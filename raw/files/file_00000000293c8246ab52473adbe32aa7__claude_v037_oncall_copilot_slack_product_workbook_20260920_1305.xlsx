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External_Review_V001" sheetId="3" state="visible" r:id="rId5"/>
    <sheet name="External_Review_PX_V001" sheetId="4" state="visible" r:id="rId6"/>
    <sheet name="Product_Spec" sheetId="5" state="visible" r:id="rId7"/>
    <sheet name="Screens_Wireframes" sheetId="6" state="visible" r:id="rId8"/>
    <sheet name="Full_Backlog" sheetId="7" state="visible" r:id="rId9"/>
    <sheet name="Sprint_Board" sheetId="8" state="visible" r:id="rId10"/>
    <sheet name="Financial_Model" sheetId="9" state="visible" r:id="rId11"/>
    <sheet name="GTM_Execution" sheetId="10" state="visible" r:id="rId12"/>
    <sheet name="Launch_Checklist" sheetId="11" state="visible" r:id="rId13"/>
    <sheet name="Metrics_Targets" sheetId="12" state="visible" r:id="rId14"/>
    <sheet name="Risk_Register" sheetId="13" state="visible" r:id="rId15"/>
    <sheet name="Traceability_Matrix" sheetId="14" state="visible" r:id="rId16"/>
    <sheet name="Sprint_Tracker_Log" sheetId="15" state="visible" r:id="rId17"/>
    <sheet name="Review_Findings" sheetId="16" state="visible" r:id="rId18"/>
    <sheet name="Submission_Readiness"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<sst xmlns="http://schemas.openxmlformats.org/spreadsheetml/2006/main" count="4229" uniqueCount="1911">
  <si>
    <t xml:space="preserve">VERSION CONTROL — OnCall Copilot</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</si>
  <si>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</si>
  <si>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</si>
  <si>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</si>
  <si>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</si>
  <si>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</si>
  <si>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</si>
  <si>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</si>
  <si>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</si>
  <si>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wave-1 (RetainKit/ShiftDesk/EngageOS, v005) -&gt; this product selected for wave-3</t>
  </si>
  <si>
    <t xml:space="preserve">Released</t>
  </si>
  <si>
    <t xml:space="preserve">v007</t>
  </si>
  <si>
    <t xml:space="preserve">2026-09-05 19:50</t>
  </si>
  <si>
    <t xml:space="preserve">Full product workbook for OnCall Copilot on Slack App Directory: spec, screen inventory, 100+ story backlog, live sprint board, 18-month financial model (editable assumptions), GTM execution tasks, platform launch checklist, metric targets, risk register</t>
  </si>
  <si>
    <t xml:space="preserve">v008</t>
  </si>
  <si>
    <t xml:space="preserve">2026-09-10 22:22</t>
  </si>
  <si>
    <t xml:space="preserve">Development release per D13 (discovery parked, 100% automation coverage): TypeScript codebase for F1-F5 + E1/E5/E6/E7/E8/EQ; 16 Jest suites / 105 tests at 100% statements/branches/functions/lines; Sprint_Tracker_Log + Traceability_Matrix sheets added; backlog statuses updated (75 Done / 5 Code-complete / 2 In progress / 18 Backlog)</t>
  </si>
  <si>
    <t xml:space="preserve">v009</t>
  </si>
  <si>
    <t xml:space="preserve">2026-09-10 22:55</t>
  </si>
  <si>
    <t xml:space="preserve">Sandbox completion release: Events API receiver (signature verify, replay guard, dedupe, backoff+dead-letter queue) closing checklist #4; ST-091 graceful degradation + ST-074 scheduler Done; 7 launch-content artifacts Drafted (listing A/B, pricing FAQ, trust page, runbook, comms templates, 15 help articles, k6 script); 19 suites / 122 tests at 100% coverage; statuses now 77 Done / 5 Code-complete / 8 Drafted / 10 Backlog</t>
  </si>
  <si>
    <t xml:space="preserve">v010</t>
  </si>
  <si>
    <t xml:space="preserve">2026-09-10 23:10</t>
  </si>
  <si>
    <t xml:space="preserve">Live-readiness release: typed config loader, 12-step scripted live verification sweep (dry-run tested), 30-min Slack dev-workspace guide with least-privilege manifest.json + .env.example; standalone tracker v001 issued 23:03; 21 suites / 133 tests at 100% coverage; LC-1 -&gt; Code-complete; story statuses unchanged (77/5/8/10)</t>
  </si>
  <si>
    <t xml:space="preserve">v011</t>
  </si>
  <si>
    <t xml:space="preserve">2026-09-11 08:41</t>
  </si>
  <si>
    <t xml:space="preserve">Cold-review + ops parity release: 4 defects fixed with regressions (payment recovery, cycle reset, dedupe cap, timeline config knobs), F-005..F-008 logged in new Review_Findings sheet for disposition, REVIEW_PACK.md for external reviewer (ST-097 In progress); blue/green deploy workflow + scripted backup/restore drill (ST-092/090 Drafted); 22 suites/139 tests at 100x4; statuses 77/5/10/1/7</t>
  </si>
  <si>
    <t xml:space="preserve">v012</t>
  </si>
  <si>
    <t xml:space="preserve">2026-09-11 12:51</t>
  </si>
  <si>
    <t xml:space="preserve">Sibling-validated scope release: ST-066 AES-256-GCM field encryption behind vault boundary (Code-complete, live infra evidence pending); ST-068 sandbox half SECURITY_EVIDENCE.md (In progress); ST-081 built-in chat + 4-business-hr SLA engine (Code-complete, vendor optional); ST-089 automated WCAG AA via jest-axe on 6 screen shells (In progress); 25 suites/156 tests at 100x4; statuses 77/6/10/3/4 — sandbox-codeable backlog exhausted</t>
  </si>
  <si>
    <t xml:space="preserve">v013</t>
  </si>
  <si>
    <t xml:space="preserve">2026-09-13 09:54</t>
  </si>
  <si>
    <t xml:space="preserve">Correctness release — cold-review pass 2 + external verification sweep. 5 pass-2 defects fixed (F-009 retention sweep never deleted, F-010 unbounded error ledger, F-011 paging partial-failure lost, F-012 foreign-timeline postmortem, F-013 CSV quoted fields) and 3 doc-verified defects fixed incl. VER-OC1 LIVE-BLOCKING 3-second slash-command ack (duplicate incident channels on the day), VER-OC2 channel naming/name_taken, VER-OC3 12h token TTL proactive refresh; VER-OC4 verified correct. Cold review now COMPLETE across all modules. 27 suites/180 tests at 100x4; story counts unchanged 77/6/10/3/4</t>
  </si>
  <si>
    <t xml:space="preserve">v014</t>
  </si>
  <si>
    <t xml:space="preserve">2026-09-13 10:01</t>
  </si>
  <si>
    <t xml:space="preserve">Artifact-gap closure release: 5 gaps found by auditing every artifact the docs/scripts reference, 2 CRITICAL — no HTTP app existed behind the routes the manifest and setup guide promised (setup guide was unrunnable), and no DB schema existed behind the backup drill and retention sweep. Built router+app (5 routes, signature verification, 3s ack contract) with npm start, 5 ordered migrations with cascade deletes + parity test with npm run migrate, signed k6 fixture generator, manifest.json as a real file, pricing matrix generated from billing.ts with a drift gate. ST-088/090 -&gt; Code-complete. 31 suites/201 tests at 100x4; statuses 77/8/8/3/4</t>
  </si>
  <si>
    <t xml:space="preserve">v015</t>
  </si>
  <si>
    <t xml:space="preserve">2026-09-13 10:22</t>
  </si>
  <si>
    <t xml:space="preserve">Security/tenancy correctness release — cold-review pass 3 over the v014 HTTP surface using sibling-product defect classes. 2 CRITICAL fixed: F-014 no multi-tenancy (one service instance served every workspace; cross-tenant reads and id collisions) and F-015 OAuth CSRF (callback accepted any code, no state); plus F-016 signature-is-not-installation guard and F-017 unauthenticated health leak. VER-OC5 verified non-applicable. 32 suites/213 tests at 100x4; story counts unchanged 77/8/8/3/4</t>
  </si>
  <si>
    <t xml:space="preserve">v016</t>
  </si>
  <si>
    <t xml:space="preserve">2026-09-13 10:38</t>
  </si>
  <si>
    <t xml:space="preserve">As-built re-baseline + F-018. Product_Spec, Screens_Wireframes and Metrics_Targets rewritten to match the code after nine releases of drift from the 05/09 template, recording where the product does LESS than claimed (6 of 9 screens have shells and none is data-wired; only 1 of 5 non-functional claims is met; 0 of 6 metrics reportable without the Postgres adapter). F-018 fixed: the role matrix had no assignment mechanism, so owner/admin capability was unreachable on the live surface — RoleResolver added and wired. 33 suites/222 tests at 100x4; story counts unchanged 77/8/8/3/4</t>
  </si>
  <si>
    <t xml:space="preserve">v017</t>
  </si>
  <si>
    <t xml:space="preserve">2026-09-13 10:42</t>
  </si>
  <si>
    <t xml:space="preserve">Persistence + dashboard API release (V16-06 executed). Repository contracts with in-memory AND Postgres adapters verified by one shared contract suite; funnel_events migration; activation now reportable per tenant. Dashboard read API (5 routes) closes the AB-1 code half — session-scoped tenancy, matrix-gated, member refused billing. 35 suites/243 tests at 100x4; story counts unchanged 77/8/8/3/4</t>
  </si>
  <si>
    <t xml:space="preserve">v018</t>
  </si>
  <si>
    <t xml:space="preserve">2026-09-13 11:06</t>
  </si>
  <si>
    <t xml:space="preserve">Integration release. F-019 CRITICAL fixed: the v017 repositories and dashboard API had a read side with no write side — incidents stayed in an in-process Map and the funnel never reached storage, so the dashboard would have been permanently empty in production with every test passing. Write-through sinks added as required collaborators (buffered, bounded, failures retained), async retention sweep covering repositories, serve.ts wired end to end. 36 suites/252 tests at 100x4; story counts unchanged 77/8/8/3/4</t>
  </si>
  <si>
    <t xml:space="preserve">v019</t>
  </si>
  <si>
    <t xml:space="preserve">2026-09-13 11:11</t>
  </si>
  <si>
    <t xml:space="preserve">Composition-root release. F-020 CRITICAL fixed: a caller audit found 12 orphaned modules and a stubbed live handler, meaning no product feature was reachable from the surface and the tenancy/degradation claims rested on unused classes. Built src/app/workflow.ts wiring all five features per workspace through the circuit breaker, wired into serve.ts. DegradedResult made a discriminated union, removing unreachable branches by design. 37 suites/263 tests at 100x4; story counts unchanged 77/8/8/3/4</t>
  </si>
  <si>
    <t xml:space="preserve">v020</t>
  </si>
  <si>
    <t xml:space="preserve">2026-09-13 11:17</t>
  </si>
  <si>
    <t xml:space="preserve">Surface + status-truth release. F-021: 29 user-facing capabilities had no surface, so admin/settings API built (15 routes, matrix-gated, operator-gated ops). AB-4 status truth pass: 7 stories still unreachable reclassified Done -&gt; Module-only, correcting the Done count 77 -&gt; 70 and defining the status vocabulary in ReadMe_Scope. 38 suites/281 tests at 100x4. Position now 70 Done / 8 Code-complete / 8 Drafted / 7 Module-only / 3 In progress / 4 Backlog</t>
  </si>
  <si>
    <t xml:space="preserve">v021</t>
  </si>
  <si>
    <t xml:space="preserve">2026-09-13 11:22</t>
  </si>
  <si>
    <t xml:space="preserve">Module-only closure release. The 7 stories reclassified at 11:17 are closed by building what they lacked: error-spike alerting through a Notifier, telemetry surfaces (heatmap, health score, CSV export, thresholds), a Scheduler runner for the weekly email, and router latency instrumentation so p95 is measured and graded at /ops/latency. Done count 70 -&gt; 77, this time meaning user-reachable. 39 suites/291 tests at 100x4</t>
  </si>
  <si>
    <t xml:space="preserve">v022</t>
  </si>
  <si>
    <t xml:space="preserve">2026-09-13 11:25</t>
  </si>
  <si>
    <t xml:space="preserve">Submission readiness release. Dry-run engine added (npm run submission-check, CI-gateable by exit code) checking 12 App Directory requirements: 5 verified against real repo state incl. manifest scopes cross-checked against the trust page, 7 reported as HUMAN/LIVE with owners rather than passed. Verdict READY_TO_SUBMIT on the automated half. New Submission_Readiness sheet. 40 suites/300 tests at 100x4; story counts unchanged 77/8/8/3/4</t>
  </si>
  <si>
    <t xml:space="preserve">v023</t>
  </si>
  <si>
    <t xml:space="preserve">2026-09-13 11:33</t>
  </si>
  <si>
    <t xml:space="preserve">Disposition release — F-005/F-006/F-007 all implemented per the approved recommendations. Incident state machine rebuilt (immutable first resolution, reopened as a distinct state, illegal transitions refused, MTTR defensible); circuit breaker given a single half-open probe; replay queue bounded with a drop counter. 41 suites/315 tests at 100x4; submission dry-run still READY_TO_SUBMIT; story counts unchanged 77/8/8/3/4</t>
  </si>
  <si>
    <t xml:space="preserve">v024</t>
  </si>
  <si>
    <t xml:space="preserve">2026-09-13 11:38</t>
  </si>
  <si>
    <t xml:space="preserve">Slack-first surface release. V17-08 ratified as Option A and implemented: the Block Kit layer a Slack-first product needs was built from almost nothing (declare modal, incident message with mitigate/resolve/reopen, App Home), validated against Slack published limits so no view is silently truncated, wired into the workflow behind one guard. SC-12 recategorised to Block Kit conformance with the automated half enforced and the scope published. 42 suites/336 tests at 100x4; READY_TO_SUBMIT holds; story counts unchanged 77/8/8/3/4</t>
  </si>
  <si>
    <t xml:space="preserve">v025</t>
  </si>
  <si>
    <t xml:space="preserve">2026-09-13 11:53</t>
  </si>
  <si>
    <t xml:space="preserve">Interaction release. F-024 CRITICAL fixed: the Block Kit controls shipped in v024 were entirely dead — /slack/interactive acked and discarded every payload, so Resolve, Mitigate, Reopen and the declare button did nothing silently. Built the interaction handler (block_actions to real transitions, validated view_submission with field errors, per-workspace roles, installation guard) honouring the ~3s trigger_id window and the empty-200/response_action contract. 43 suites/354 tests at 100x4; READY_TO_SUBMIT holds; story counts unchanged 77/8/8/3/4</t>
  </si>
  <si>
    <t xml:space="preserve">v026</t>
  </si>
  <si>
    <t xml:space="preserve">2026-09-13 11:56</t>
  </si>
  <si>
    <t xml:space="preserve">Encryption-applied release. F-025 CRITICAL: ST-066 claimed encryption at rest since 11 Sep but FieldCrypto was never called — Slack tokens were stored in plaintext while the trust page said otherwise. Tokens are now ciphertext-only with crypto as a required collaborator, decrypted only at the point of use, with ENCRYPTION_KEY required at boot and the trust page corrected. Obsolete web-shell module removed (CLN-1). 42 suites/350 tests at 100x4; READY_TO_SUBMIT holds; story counts unchanged 77/8/8/3/4</t>
  </si>
  <si>
    <t xml:space="preserve">v027</t>
  </si>
  <si>
    <t xml:space="preserve">2026-09-13 12:02</t>
  </si>
  <si>
    <t xml:space="preserve">Promise-enforcement release. A systematic audit of every customer-facing claim against the code found three unenforced: F-026 the read-only state promised after failed payment (set, never applied), F-027 the incident limit the pricing page charges for (never counted or enforced), F-028 the 30-day deletion policy (no timer, endpoint only). All three fixed with an Entitlements gate on every mutating action, metered usage, and a scheduled sweep. 43 suites/361 tests at 100x4; READY_TO_SUBMIT holds; story counts unchanged 77/8/8/3/4</t>
  </si>
  <si>
    <t xml:space="preserve">v028</t>
  </si>
  <si>
    <t xml:space="preserve">2026-09-13 16:26</t>
  </si>
  <si>
    <t xml:space="preserve">Restart-safety release. Auditing my own runbook claim that rollback is safe found four restart defects: F-029 CRITICAL incident numbering restarted at 1 and would overwrite older incidents through the id-based upsert; F-030 roles lost so everyone became a member; F-031 dedupe ledger lost so Slack retries after a deploy created duplicate channels; F-032 buffered writes dropped at shutdown. All fixed (sequence reseeded from storage, snapshot/restore for roles and ledger, Lifecycle drain on SIGTERM) and the runbook corrected. 44 suites/375 tests at 100x4; READY_TO_SUBMIT holds</t>
  </si>
  <si>
    <t xml:space="preserve">v029</t>
  </si>
  <si>
    <t xml:space="preserve">2026-09-13 16:32</t>
  </si>
  <si>
    <t xml:space="preserve">Restart-safety operational release. R-O14 closed: role and dedupe repositories built with both adapters in the shared contract suite, migrations 0007/0008, write-through on role grants with failures surfaced through /health, replica-atomic dedupe via ON CONFLICT DO NOTHING, and boot-time rehydration of roles, ledger and incident numbering before traffic is served. 44 suites/387 tests at 100x4; READY_TO_SUBMIT holds</t>
  </si>
  <si>
    <t xml:space="preserve">v030</t>
  </si>
  <si>
    <t xml:space="preserve">2026-09-13 16:36</t>
  </si>
  <si>
    <t xml:space="preserve">Multi-replica release. F-033 CRITICAL: yesterday’s id fix covered restarts but not concurrency — two replicas would mint the same id and the upsert would collapse them, so the corruption risk was still live under blue/green; allocation is now atomic in the store on both adapters. F-034: every replica ran every scheduled job (double weekly emails, concurrent sweeps) — now lease-gated with expiry. F-035 logged open and deliberately not started: entitlement usage is still per-replica; run one replica or accept the over-count until it gets a sprint. 45 suites/407 tests at 100x4; READY_TO_SUBMIT holds</t>
  </si>
  <si>
    <t xml:space="preserve">v031</t>
  </si>
  <si>
    <t xml:space="preserve">2026-09-13 16:42</t>
  </si>
  <si>
    <t xml:space="preserve">Billing persistence release. F-035 closed: BillingRepository with both adapters and migration 0011, atomic claimUsage so two replicas cannot both spend the same allowance, write-through and boot rehydration so a restart no longer resets readOnly and unblocks a delinquent account, failures surfaced through /health. R-O15 withdrawn — the single-replica mitigation is no longer needed. 46 suites/424 tests at 100x4; READY_TO_SUBMIT holds</t>
  </si>
  <si>
    <t xml:space="preserve">v032</t>
  </si>
  <si>
    <t xml:space="preserve">2026-09-13 16:48</t>
  </si>
  <si>
    <t xml:space="preserve">Real-SQL verification release. Every "both adapters" claim had rested on fakes written to match my own SQL; running the real migrations and statements through pg-mem found three defects immediately. F-036 CRITICAL: installations were never persisted, so every incident insert would have failed its foreign key — silently, because failed sink rows are retained. F-037: token columns declared NOT NULL while uninstall clears them. F-038: a Postgres-only regex operator replaced with portable LIKE. OBS-OC2 records pg-mem deviations honestly. 47 suites/445 tests at 100x4; READY_TO_SUBMIT holds</t>
  </si>
  <si>
    <t xml:space="preserve">v033</t>
  </si>
  <si>
    <t xml:space="preserve">2026-09-13 17:26</t>
  </si>
  <si>
    <t xml:space="preserve">Real-Postgres verification release. Provisioned PostgreSQL 16 and ran the adapters against it: FK enforcement, NULL tokens on revoked installs, cascade delete, portable LIKE, and genuine concurrency (20 parallel id claims -&gt; 20 distinct ids; 30 parallel usage claims at a cap of 10 -&gt; exactly 10). OBS-OC2 closed — the ON CONFLICT semantics our dedupe and lease logic relies on behave as assumed, confirming the decision not to change that SQL. Added a CI postgres:16 job and npm run test:pg. 48 suites/453 tests at 100x4; READY_TO_SUBMIT holds</t>
  </si>
  <si>
    <t xml:space="preserve">v034</t>
  </si>
  <si>
    <t xml:space="preserve">2026-09-13 18:50</t>
  </si>
  <si>
    <t xml:space="preserve">Adversarial and load-measurement release. Re-reading items parked as Senthil-only found two partly mine: SC-08 gained an 18-case abuse suite in CI (which found F-039 — malformed bodies answered 500 instead of 400, letting junk input trip the error-spike pager), and ST-088 was measured with an in-process load run at 10x the launch estimate (600 requests, 0 errors, p95 within budget, now gating CI). Both recorded with their limits stated: the suite is not a pen test, and the load figure excludes network, database and Slack latency. 49 suites/473 tests at 100x4</t>
  </si>
  <si>
    <t xml:space="preserve">v035</t>
  </si>
  <si>
    <t xml:space="preserve">2026-09-13 19:00</t>
  </si>
  <si>
    <t xml:space="preserve">Documentation accuracy and supply-chain release. npm audit clean (0 vulnerabilities, dev included). README rewritten from the v0.8 description to the real 19-directory codebase, with every route, boot-required variables, commands, and the adapter-swap list including boot restore order. No further sandbox work is planned — every applicable lens has been run. 49 suites/473 tests at 100x4; READY_TO_SUBMIT holds; story counts unchanged 77/8/8/3/4</t>
  </si>
  <si>
    <t xml:space="preserve">v036</t>
  </si>
  <si>
    <t xml:space="preserve">2026-09-13 23:13</t>
  </si>
  <si>
    <t xml:space="preserve">EXTERNAL REVIEW RELEASE. First independent review of this product (ChatGPT V001, 13 Sep 20:31) returned 20 findings, 10 of them BLOCKER, all in or downstream of a composition root that no gate covered. Codebase v0.36.0 closes nine and partly closes three. New sheet External_Review_V001; Traceability gains a runtime-reachability column; Risk_Register, Launch_Checklist and Submission_Readiness updated. The enterprise-ready claim is withdrawn until the P0 set and live evidence close.</t>
  </si>
  <si>
    <t xml:space="preserve">v037</t>
  </si>
  <si>
    <t xml:space="preserve">2026-09-20 13:05</t>
  </si>
  <si>
    <t xml:space="preserve">SECOND INDEPENDENT REVIEW RELEASE. Perplexity review V001 (16/09): CONTINUE at 6.1/10, 12 findings (2 BLOCKER: sync platform boundary, plan limits unenforced). Codebase v0.37.0 closes Phase 0 (PX-S0 async boundary, PX-S1 enforcement, PX-S2 gate blind spots) in the review's order: nine async platform contracts with budgets, one write gate, closed provider set with a boot-time healthcheck probe, persisted deferred work, key rotation, session revocation, frequency-safe leases, time-bounded replay window, scripts/ in the gate. 3 further defects found by audit v3 (PX-013 fixed; PX-014/015 open). 60 suites / 624 tests (616 run, 8 gated on a real Postgres) at 100% statements, branches, functions and lines over src/ AND scripts/; clean tsc over src+scripts and tests. New sheet External_Review_PX_V001; Financial_Model COMPUTED for the first time (PX-009) with a summary and sensitivities; pricing moved to workspace-size bands (D-OC8, awaiting ratification); 30 stories ST-101..ST-130 added to Full_Backlog/Traceability with every original retained; Risk_Register +5; Product_Spec, Launch_Checklist, Submission_Readiness, Metrics_Targets updated.</t>
  </si>
  <si>
    <t xml:space="preserve">v038</t>
  </si>
  <si>
    <t xml:space="preserve">OPENS ON: S37 deploy-topology proof, S38 real Slack adapters (SC-06), or the D-OC6/7/8 answers.</t>
  </si>
  <si>
    <t xml:space="preserve">Planned</t>
  </si>
  <si>
    <t xml:space="preserve">OnCall Copilot — Incident channel automation: declare, assemble responders, timeline capture, postmortem draft</t>
  </si>
  <si>
    <t xml:space="preserve">PLATFORM: Slack App Directory | CATEGORY: DevOps / Incident Mgmt</t>
  </si>
  <si>
    <t xml:space="preserve">PROBLEM: incident.io proved the category; mid-band pricing gap remains for 50-500 eng orgs</t>
  </si>
  <si>
    <t xml:space="preserve">DIFFERENTIATION: AI postmortems + status page in one, priced 40-50% under category leader</t>
  </si>
  <si>
    <t xml:space="preserve">ICP: Tech companies 50-2000 employees, on-call rotation exists, PagerDuty/Opsgenie in stack</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</si>
  <si>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</si>
  <si>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</si>
  <si>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AS-BUILT RE-BASELINE (13/09/2026 10:38): spec sheets below were written 05/09 before any code existed and were never revised across 9 releases. Product_Spec, Screens_Wireframes and Metrics_Targets are now rewritten to as-built reality, including where the code does LESS than originally claimed (see Review_Findings AB-1..AB-3). Full_Backlog remains the single source of truth for status; the Sprint_Board Done column counts status "Done" only — Code-complete/Drafted/In progress are deliberately excluded so the board never overstates.</t>
  </si>
  <si>
    <t xml:space="preserve">STACK AS BUILT: TypeScript/Node, framework-free HTTP router, in-memory repositories behind interfaces with a Postgres schema defined (src/db/schema.ts) but no adapter wired. Decision D-OC1 still awaits ratification.</t>
  </si>
  <si>
    <t xml:space="preserve">STATUS VOCABULARY (13/09 11:17): Done = implemented, tested AND reachable by a user through a real surface. Module-only = implemented and tested, but no surface or live traffic reaches it yet. Code-complete = reachable but needs a live platform (Slack/Stripe/infra). Drafted = content pending review or hosting. The Sprint_Board Done column counts "Done" alone, so it deliberately reads lower after the 13/09 status truth pass.</t>
  </si>
  <si>
    <t xml:space="preserve">V037 (20/09/2026): second independent review incorporated. Phase 0 (PX-S0..PX-S2) done; the platform adapters are now drop-ins behind async, probed contracts. The enterprise-ready claim remains withdrawn (G0). Pricing model changed to workspace-size bands pending D-OC8. See External_Review_PX_V001 and the tracker's Review_PX_Findings for the register.</t>
  </si>
  <si>
    <t xml:space="preserve">EXTERNAL REVIEW V001 — independent review of the V035 package, 13/09/2026 20:31 BST</t>
  </si>
  <si>
    <t xml:space="preserve">Verdict: CONTINUE at 5.5/10 — real market, credible technical base, not deployable as supplied. 20 findings: 10 BLOCKER, 7 HIGH, 3 MEDIUM. After codebase v0.36.0: 9 FIXED, 3 PARTIAL, 8 OPEN. Scores: market demand 8.0, architecture intent 7.5, test maturity 7.0, market attractiveness 6.5, product completeness 4.0, GTM readiness 4.0, enterprise readiness 3.0.</t>
  </si>
  <si>
    <t xml:space="preserve">ID</t>
  </si>
  <si>
    <t xml:space="preserve">Severity</t>
  </si>
  <si>
    <t xml:space="preserve">Finding</t>
  </si>
  <si>
    <t xml:space="preserve">State after v0.36.0</t>
  </si>
  <si>
    <t xml:space="preserve">Why it mattered</t>
  </si>
  <si>
    <t xml:space="preserve">What was done / what remains</t>
  </si>
  <si>
    <t xml:space="preserve">Sprint</t>
  </si>
  <si>
    <t xml:space="preserve">CF-001</t>
  </si>
  <si>
    <t xml:space="preserve">BLOCKER</t>
  </si>
  <si>
    <t xml:space="preserve">Composition root could not compile</t>
  </si>
  <si>
    <t xml:space="preserve">FIXED v0.36.0</t>
  </si>
  <si>
    <t xml:space="preserve">Entitlements was constructed from bindings declared eleven lines later. Verified before any change: 4 tsc errors while the CI gate exited 0.</t>
  </si>
  <si>
    <t xml:space="preserve">Composition moved into src/composition/production.ts; scripts/ added to the type-check; build runs before the coverage gate.</t>
  </si>
  <si>
    <t xml:space="preserve">S36</t>
  </si>
  <si>
    <t xml:space="preserve">CF-002</t>
  </si>
  <si>
    <t xml:space="preserve">Platform providers are throw-stubs</t>
  </si>
  <si>
    <t xml:space="preserve">OPEN</t>
  </si>
  <si>
    <t xml:space="preserve">Slack, PagerDuty, AI and the status page are all unwired, so no incident can complete in a real workspace.</t>
  </si>
  <si>
    <t xml:space="preserve">Each stub names itself and production refuses to boot on any of them. Real adapters are S37-S38 and S41. V037: every contract the adapters must satisfy is async, budgeted and probed (PX-S0/S2) — the adapters are drop-ins, and the gate is proven to permit a healthy set.</t>
  </si>
  <si>
    <t xml:space="preserve">S37-S38, S41</t>
  </si>
  <si>
    <t xml:space="preserve">CF-003</t>
  </si>
  <si>
    <t xml:space="preserve">Runtime ignored DATABASE_URL</t>
  </si>
  <si>
    <t xml:space="preserve">Eight in-memory repositories were built while config demanded a database.</t>
  </si>
  <si>
    <t xml:space="preserve">Pg adapters for staging/production; production without a connection refuses to start.</t>
  </si>
  <si>
    <t xml:space="preserve">S37</t>
  </si>
  <si>
    <t xml:space="preserve">CF-004</t>
  </si>
  <si>
    <t xml:space="preserve">README contradicted the runtime</t>
  </si>
  <si>
    <t xml:space="preserve">It described an adapter swap the file did not perform.</t>
  </si>
  <si>
    <t xml:space="preserve">Deploying section rewritten; three tests now assert the README against the code.</t>
  </si>
  <si>
    <t xml:space="preserve">CF-005</t>
  </si>
  <si>
    <t xml:space="preserve">Installed-workspace gate never populated</t>
  </si>
  <si>
    <t xml:space="preserve">Every valid workspace would have been refused at /slack/commands.</t>
  </si>
  <si>
    <t xml:space="preserve">The installation repository is the authority; boot restore seeds from it.</t>
  </si>
  <si>
    <t xml:space="preserve">S38</t>
  </si>
  <si>
    <t xml:space="preserve">CF-006</t>
  </si>
  <si>
    <t xml:space="preserve">Session resolver hardcoded to undefined</t>
  </si>
  <si>
    <t xml:space="preserve">The whole administration and analytics plane answered 401 to everyone, including the owner.</t>
  </si>
  <si>
    <t xml:space="preserve">Signed, expiring, tenant-bound session cookie issued at the OAuth callback, with CSRF.</t>
  </si>
  <si>
    <t xml:space="preserve">CF-007</t>
  </si>
  <si>
    <t xml:space="preserve">Async responses discarded as an empty 202</t>
  </si>
  <si>
    <t xml:space="preserve">Dashboard reads returned nothing in production; one security test asserted the 202 as correct.</t>
  </si>
  <si>
    <t xml:space="preserve">Real async routes; the offending test now asserts a real payload.</t>
  </si>
  <si>
    <t xml:space="preserve">CF-008</t>
  </si>
  <si>
    <t xml:space="preserve">Delete/export detached from real data</t>
  </si>
  <si>
    <t xml:space="preserve">A legal promise answered over an empty Map.</t>
  </si>
  <si>
    <t xml:space="preserve">Coordinator over six real tenant stores; inventory published at /api/data/inventory.</t>
  </si>
  <si>
    <t xml:space="preserve">S39</t>
  </si>
  <si>
    <t xml:space="preserve">CF-009</t>
  </si>
  <si>
    <t xml:space="preserve">HIGH</t>
  </si>
  <si>
    <t xml:space="preserve">Retention omitted incidents and metrics</t>
  </si>
  <si>
    <t xml:space="preserve">The published 30-day policy left behind the data customers actually ask about.</t>
  </si>
  <si>
    <t xml:space="preserve">Retention and export derive from one inventory.</t>
  </si>
  <si>
    <t xml:space="preserve">CF-010</t>
  </si>
  <si>
    <t xml:space="preserve">Billing is a fake success provider</t>
  </si>
  <si>
    <t xml:space="preserve">No Stripe client exists; paid conversion cannot be trusted.</t>
  </si>
  <si>
    <t xml:space="preserve">The fake is named and refused in production. Real Stripe work is S40 and needs keys.</t>
  </si>
  <si>
    <t xml:space="preserve">S40</t>
  </si>
  <si>
    <t xml:space="preserve">CF-011</t>
  </si>
  <si>
    <t xml:space="preserve">Notifications recording-only</t>
  </si>
  <si>
    <t xml:space="preserve">PARTIAL v0.36.0</t>
  </si>
  <si>
    <t xml:space="preserve">Alerts and weekly metrics reached nobody.</t>
  </si>
  <si>
    <t xml:space="preserve">Webhook delivery when configured; weekly jobs registered per restored install. Email/Slack delivery is S42.</t>
  </si>
  <si>
    <t xml:space="preserve">S42</t>
  </si>
  <si>
    <t xml:space="preserve">CF-012</t>
  </si>
  <si>
    <t xml:space="preserve">No managed key or secrets integration</t>
  </si>
  <si>
    <t xml:space="preserve">PARTIAL v0.37.0</t>
  </si>
  <si>
    <t xml:space="preserve">Key material came from an environment variable into an in-process vault.</t>
  </si>
  <si>
    <t xml:space="preserve">Named in the inventory and refused in production; KMS adapter is S43. V037: a rotation PATH now exists (EnvKeyVault + POST /ops/rotate-keys, PX-005); the KMS-backed vault behind the same contract is still S43.</t>
  </si>
  <si>
    <t xml:space="preserve">S43</t>
  </si>
  <si>
    <t xml:space="preserve">CF-013</t>
  </si>
  <si>
    <t xml:space="preserve">Not a production-installable artifact</t>
  </si>
  <si>
    <t xml:space="preserve">No runtime dependencies at all; npm ci --omit=dev could not start the service.</t>
  </si>
  <si>
    <t xml:space="preserve">pg as a dependency, dist build, non-root container, CI package job.</t>
  </si>
  <si>
    <t xml:space="preserve">CF-014</t>
  </si>
  <si>
    <t xml:space="preserve">Config required keys the runtime never used</t>
  </si>
  <si>
    <t xml:space="preserve">Boot validation created false confidence that integrations were active.</t>
  </si>
  <si>
    <t xml:space="preserve">GET /ops/composition reports the live adapter inventory and what is degraded.</t>
  </si>
  <si>
    <t xml:space="preserve">CF-015</t>
  </si>
  <si>
    <t xml:space="preserve">Optional persistence collaborators</t>
  </si>
  <si>
    <t xml:space="preserve">Four services accepted an undefined writer, so enterprise promises could be bypassed silently.</t>
  </si>
  <si>
    <t xml:space="preserve">Durability probes enforced by the boot gate; splitting the test-only constructors remains. V037: durability inventory now also covers the deferred-work queue and atomic ids; the constructor split remains.</t>
  </si>
  <si>
    <t xml:space="preserve">S36-S37</t>
  </si>
  <si>
    <t xml:space="preserve">CF-016</t>
  </si>
  <si>
    <t xml:space="preserve">No enterprise identity layer</t>
  </si>
  <si>
    <t xml:space="preserve">No SAML, OIDC, SCIM or Grid model.</t>
  </si>
  <si>
    <t xml:space="preserve">Out of scope for V036 by design; the session bridge is deliberately not marketed as SSO.</t>
  </si>
  <si>
    <t xml:space="preserve">S43-S44</t>
  </si>
  <si>
    <t xml:space="preserve">CF-017</t>
  </si>
  <si>
    <t xml:space="preserve">No external production evidence</t>
  </si>
  <si>
    <t xml:space="preserve">Live install, live billing, pen test, reviewer, listing assets and accessibility all remain human or live.</t>
  </si>
  <si>
    <t xml:space="preserve">Unchanged — already tracked honestly as HUMAN/LIVE in Submission_Readiness.</t>
  </si>
  <si>
    <t xml:space="preserve">S50</t>
  </si>
  <si>
    <t xml:space="preserve">CF-018</t>
  </si>
  <si>
    <t xml:space="preserve">MEDIUM</t>
  </si>
  <si>
    <t xml:space="preserve">GTM assumptions unvalidated</t>
  </si>
  <si>
    <t xml:space="preserve">55 trials/month, 12% trial-to-paid, $99 ARPU and 3.5% churn are planning assumptions; S0 shows no completed discovery.</t>
  </si>
  <si>
    <t xml:space="preserve">A consequence of D13 (discovery parked portfolio-wide), raised there rather than here. V037: the financial model is computed — 305 paying workspaces and ~$215k runway to a $444/mo surplus at M18; S49 elevated and brief must start from it.</t>
  </si>
  <si>
    <t xml:space="preserve">S49</t>
  </si>
  <si>
    <t xml:space="preserve">CF-019</t>
  </si>
  <si>
    <t xml:space="preserve">Opsgenie strategy must change</t>
  </si>
  <si>
    <t xml:space="preserve">OPEN — decision D-OC7</t>
  </si>
  <si>
    <t xml:space="preserve">Atlassian has stopped new sales and ends support 5 Apr 2027.</t>
  </si>
  <si>
    <t xml:space="preserve">Proposed: migration connector as the wedge, PagerDuty/JSM/Compass as primary targets. V037: PagingProviderId widened to five targets; PX-S3 (importer) sequenced before S41.</t>
  </si>
  <si>
    <t xml:space="preserve">S41</t>
  </si>
  <si>
    <t xml:space="preserve">CF-020</t>
  </si>
  <si>
    <t xml:space="preserve">Thin supply-chain controls</t>
  </si>
  <si>
    <t xml:space="preserve">No container, SBOM or signing; package licence UNLICENSED.</t>
  </si>
  <si>
    <t xml:space="preserve">Dockerfile, engines, files and a CI image build added. SBOM, signing and the licence decision remain.</t>
  </si>
  <si>
    <t xml:space="preserve">S42-S43</t>
  </si>
  <si>
    <t xml:space="preserve">INDEPENDENT REVIEW V001 (second reviewer) — Perplexity Computer, 16/09/2026 19:32 BST</t>
  </si>
  <si>
    <t xml:space="preserve">Verdict: CONTINUE at 6.1/10 — materially improved since V035, still not deployable; one new blocker class (sync boundary) and one regression blocker (unenforced limits). Scores: market demand 8.0, engineering discipline 9.0, architecture intent 7.5, architecture execution 5.5, test maturity 6.5, market attractiveness 5.0, product completeness 4.0, GTM readiness 3.0, enterprise readiness 3.0. After v0.37.0: 12 FIXED, 1 ADDRESSED (D-OC8 pending), 2 OPEN (own findings, with owners).</t>
  </si>
  <si>
    <t xml:space="preserve">State after v0.37.0</t>
  </si>
  <si>
    <t xml:space="preserve">PX-001</t>
  </si>
  <si>
    <t xml:space="preserve">Entire platform boundary is synchronous; every unwired adapter needs async I/O</t>
  </si>
  <si>
    <t xml:space="preserve">FIXED V037 (PX-S0)</t>
  </si>
  <si>
    <t xml:space="preserve">CONFIRMED and wider than reported: OAuthClient, PaymentProvider and the live-sweep SlackApi were synchronous too — nine platform interfaces, not four. A `Promise&lt;` grep over the feature core returned zero hits.</t>
  </si>
  <si>
    <t xml:space="preserve">All nine interfaces Promise-returning; IncidentWorkflow.declare/resolve/reopen, timeline capture, DegradationService, CircuitBreaker and the ack contract async; every platform call runs under a 10 s budget (timeout = degraded result, never a hang); AI call moved under the breaker; 26 suites migrated; new floating-promise rule over src/ and scripts/.</t>
  </si>
  <si>
    <t xml:space="preserve">PX-S0</t>
  </si>
  <si>
    <t xml:space="preserve">PX-002</t>
  </si>
  <si>
    <t xml:space="preserve">Plan limits unenforced in the deployed composition: usage never increments</t>
  </si>
  <si>
    <t xml:space="preserve">FIXED V037 (PX-S1)</t>
  </si>
  <si>
    <t xml:space="preserve">CONFIRMED. claimWrite was called from tests/billingPersistence.test.ts only; recordWrite no-op'd whenever a meter was configured — always, in production. A regression of F-026/F-027.</t>
  </si>
  <si>
    <t xml:space="preserve">recordWrite deleted; declare() and reopen() await entitlements.claimWrite(); without a shared meter the in-process counter is still incremented; 80%/100% warnings surface in the declare message; monthly reset is a leased, once-per-cycle job.</t>
  </si>
  <si>
    <t xml:space="preserve">PX-S1</t>
  </si>
  <si>
    <t xml:space="preserve">PX-003</t>
  </si>
  <si>
    <t xml:space="preserve">Two user-facing Slack paths sit outside the boot gate (response_url poster = console.log; views.open = bare lambda)</t>
  </si>
  <si>
    <t xml:space="preserve">FIXED V037 (PX-S2)</t>
  </si>
  <si>
    <t xml:space="preserve">CONFIRMED, and there were three: the OAuth client (ThrowingSlackOAuthAdapter) was also constructed and never inventoried.</t>
  </si>
  <si>
    <t xml:space="preserve">REQUIRED_PROVIDERS is a closed set of ten; ProviderSet is typed to exactly those keys (compile-time assertion); every provider implements healthcheck() and production probes all of them, refusing on the first failure by name; StdoutResponseUrlPoster and ThrowingModalOpener are named, honest stubs; composition moved into src/composition/runtime.ts so it is importable by tests.</t>
  </si>
  <si>
    <t xml:space="preserve">PX-S2</t>
  </si>
  <si>
    <t xml:space="preserve">PX-004</t>
  </si>
  <si>
    <t xml:space="preserve">Queued declares are lost on SIGTERM — on every blue/green deploy</t>
  </si>
  <si>
    <t xml:space="preserve">CONFIRMED. The queue was private DeferredWork[] holding closures; Lifecycle drained the two DB sinks only.</t>
  </si>
  <si>
    <t xml:space="preserve">Deferred work is a persisted DESCRIPTOR (deferred_work table, migration 0014) written before the ack returns, leased while running, deleted after delivery; SlashCommandAck is Drainable and registered first with Lifecycle; restore() reloads pending rows; 3 attempts then a definite failure is posted; Lifecycle now re-checks pending per round (draining the queue produces sink rows).</t>
  </si>
  <si>
    <t xml:space="preserve">PX-005</t>
  </si>
  <si>
    <t xml:space="preserve">Key rotation is a promise with no possible caller (one key, id 'k1', forever)</t>
  </si>
  <si>
    <t xml:space="preserve">FIXED V037 (rotation path); KMS remains S43 (CF-012)</t>
  </si>
  <si>
    <t xml:space="preserve">CONFIRMED. Also found mechanically by audit v3 check A10 (rotate() tested, never called).</t>
  </si>
  <si>
    <t xml:space="preserve">EnvKeyVault loads every ENCRYPTION_KEY_&lt;id&gt;, ENCRYPTION_KEY_CURRENT selects; POST /ops/rotate-keys re-encrypts stored tokens under the current key, idempotent and resumable; boot warns while any record references a non-current key; TRUST_SECURITY.md states the limit (env keys until S43).</t>
  </si>
  <si>
    <t xml:space="preserve">S43 (pulled forward)</t>
  </si>
  <si>
    <t xml:space="preserve">PX-006</t>
  </si>
  <si>
    <t xml:space="preserve">Leased jobs dedupe concurrency but not frequency; a daily sweep can run many times a day</t>
  </si>
  <si>
    <t xml:space="preserve">CONFIRMED. lastRun was process-local (0 after every restart); lease TTL 5 min vs 24 h interval.</t>
  </si>
  <si>
    <t xml:space="preserve">job_leases.last_run_at (migration 0013); acquireDue grants the lease only when the STORED last run is older than the interval; recordRun advances it; release keeps the row.</t>
  </si>
  <si>
    <t xml:space="preserve">PX-007</t>
  </si>
  <si>
    <t xml:space="preserve">PagingProvider.name is a two-value union that cannot express D-OC7's targets</t>
  </si>
  <si>
    <t xml:space="preserve">CONFIRMED.</t>
  </si>
  <si>
    <t xml:space="preserve">PagingProviderId = pagerduty | opsgenie | jsm | compass | webhook; config accepts all five; ThrowingPagingAdapter carries the configured id.</t>
  </si>
  <si>
    <t xml:space="preserve">PX-008</t>
  </si>
  <si>
    <t xml:space="preserve">Provider identity handed to the workflow is hardcoded ('pagerduty'), so audit/telemetry name the wrong provider</t>
  </si>
  <si>
    <t xml:space="preserve">The workflow receives the constructed adapter itself (field renamed name → id); wf.pagingProviderId() is asserted equal to the composition inventory.</t>
  </si>
  <si>
    <t xml:space="preserve">PX-009</t>
  </si>
  <si>
    <t xml:space="preserve">Financial model has never been computed; no cached values in any month column</t>
  </si>
  <si>
    <t xml:space="preserve">FIXED V037 (workbook)</t>
  </si>
  <si>
    <t xml:space="preserve">CONFIRMED and reproduced: M18 net +$444, cumulative −$213,302, 305 paying accounts at 12% conversion; −$4,565/mo at 10%, −$9,624/mo at 8%.</t>
  </si>
  <si>
    <t xml:space="preserve">All 18 month columns now carry computed values; a summary block (breakeven month, cash to breakeven, M18 ARR, contracts-per-Rootly-median) and two sensitivity scenarios (10% and 8% trial→paid) added as live formulas.</t>
  </si>
  <si>
    <t xml:space="preserve">PX-010</t>
  </si>
  <si>
    <t xml:space="preserve">Sessions cannot be revoked; uninstall, role removal, cancellation and tenant deletion leave valid cookies for up to 12 h</t>
  </si>
  <si>
    <t xml:space="preserve">FIXED V037 (pulled into PX-S2 from S38, per the reviewer's answer 2)</t>
  </si>
  <si>
    <t xml:space="preserve">installEpoch claim in the token (the installation's own timestamp); the resolver refuses any token whose epoch is not the workspace's current one; uninstall clears it, reinstall mints a strictly newer one, data deletion forgets the in-process install record and evicts the tenant's workflow; bumpEpoch for admin revocation. No new store.</t>
  </si>
  <si>
    <t xml:space="preserve">PX-011</t>
  </si>
  <si>
    <t xml:space="preserve">Replay-protection window is bounded by row count, not time</t>
  </si>
  <si>
    <t xml:space="preserve">DedupeRepository.loadSince(now − SLACK_RETRY_WINDOW_MS, cap 50,000); the 6-hour window is documented against Slack's retry behaviour next to the 3 s ack budget.</t>
  </si>
  <si>
    <t xml:space="preserve">PX-012</t>
  </si>
  <si>
    <t xml:space="preserve">LOW-MEDIUM</t>
  </si>
  <si>
    <t xml:space="preserve">Positioning sells an 83-99% price advantage as '40-50%'; the leader's free tier covers four of five modules</t>
  </si>
  <si>
    <t xml:space="preserve">ADDRESSED V037 (docs + workbook); D-OC8 open</t>
  </si>
  <si>
    <t xml:space="preserve">ACCEPTED. Pricing axis moved to workspace-size bands — implemented, reversible in one table, awaiting ratification (D-OC8).</t>
  </si>
  <si>
    <t xml:space="preserve">PLAN_LIMITS expresses bands (team $99 ≤25 eng, business $249 ≤75, scale $599 ≤200, enterprise $1,499 ≤500) with a fair-use incident ceiling that is still enforced; PRICING_FAQ regenerated from pricingDoc.ts and gate-tested; Risk_Register and roadmap S45 elevated per §3.3.</t>
  </si>
  <si>
    <t xml:space="preserve">PX-S1 / S49</t>
  </si>
  <si>
    <t xml:space="preserve">PX-013</t>
  </si>
  <si>
    <t xml:space="preserve">(Own finding, audit v3 A10 run against V037) F-033's atomic id allocator had no production caller: claimNext was tested and never called, so two replicas could still mint the same INC id</t>
  </si>
  <si>
    <t xml:space="preserve">FIXED V037</t>
  </si>
  <si>
    <t xml:space="preserve">CONFIRMED by grep: useAllocatedSequence/claimNext had no caller in src/ or scripts/. The same 'two enforcement methods, one wired' class as PX-002.</t>
  </si>
  <si>
    <t xml:space="preserve">declare() claims the id from the shared SequenceAllocator before the Slack call; the durability inventory reports atomicIds and production refuses without it.</t>
  </si>
  <si>
    <t xml:space="preserve">PX-014</t>
  </si>
  <si>
    <t xml:space="preserve">(Own finding, audit v3 A12) DegradationService replay queue is in memory and nothing replays it</t>
  </si>
  <si>
    <t xml:space="preserve">CONFIRMED. queuedOps() is surfaced but no job consumes it; lost on restart.</t>
  </si>
  <si>
    <t xml:space="preserve">Needs a persisted replay table plus a leased replay job; folded into S42 with the chaos/DR work.</t>
  </si>
  <si>
    <t xml:space="preserve">PX-015</t>
  </si>
  <si>
    <t xml:space="preserve">LOW</t>
  </si>
  <si>
    <t xml:space="preserve">(Own finding, audit v3 A12) EventReceiver retry queue is not drained at shutdown</t>
  </si>
  <si>
    <t xml:space="preserve">CONFIRMED but low risk today: the runtime handler never returns false, so the queue never fills.</t>
  </si>
  <si>
    <t xml:space="preserve">Register with Lifecycle when the event handler does real work (S38); persist if events gain side effects.</t>
  </si>
  <si>
    <t xml:space="preserve">S38 / S42</t>
  </si>
  <si>
    <t xml:space="preserve">Review Part E — decisions asked of Senthil: (1) D-OC6 adopt CB-01, publish 54; (2) D-OC7 ratify and pull the Opsgenie importer forward to PX-S3; (3) pricing axis → bands (D-OC8, implemented reversibly); (4) D13 vs S49 — unpark discovery for this product; (5) D15 sequencing; (6) F-005/6/7 — already Option A. Plus the one non-sprint action that changes the score most: 30 minutes with a Slack workspace (SC-06).</t>
  </si>
  <si>
    <t xml:space="preserve">PRODUCT SPEC — AS BUILT (re-baselined 13/09/2026 10:38; original 05/09 spec superseded)</t>
  </si>
  <si>
    <t xml:space="preserve">"Built" = implemented and covered by the 100% gate in sandbox. It does NOT mean verified against live Slack. V037: platform contracts are async; the adapters remain unwired (S38-S41).</t>
  </si>
  <si>
    <t xml:space="preserve">Module</t>
  </si>
  <si>
    <t xml:space="preserve">Built (as-built scope)</t>
  </si>
  <si>
    <t xml:space="preserve">Not built / out of scope</t>
  </si>
  <si>
    <t xml:space="preserve">Evidence</t>
  </si>
  <si>
    <t xml:space="preserve">/incident declare flow</t>
  </si>
  <si>
    <t xml:space="preserve">Slash-command ack within Slack 3s contract, deferred channel-create + post via response_url, Block Kit modal field spec, severity + status transitions, per-workspace incident store and id sequence, permission + audit enforcement</t>
  </si>
  <si>
    <t xml:space="preserve">Modal rendering itself (Block Kit JSON spec only), rich interactive follow-ups, multi-language</t>
  </si>
  <si>
    <t xml:space="preserve">src/incidents/*, src/http/app.ts; tests/declare, ack, http</t>
  </si>
  <si>
    <t xml:space="preserve">Responder paging (PD/Opsgenie)</t>
  </si>
  <si>
    <t xml:space="preserve">Provider interface with on-call resolution and fan-out, per-responder outcome reporting, targeted retry that never double-pages, degraded user comms naming who needs manual escalation</t>
  </si>
  <si>
    <t xml:space="preserve">Live provider certification, schedule editing UI, escalation-policy authoring</t>
  </si>
  <si>
    <t xml:space="preserve">src/paging/paging.ts; tests/paging, review-pass2</t>
  </si>
  <si>
    <t xml:space="preserve">Auto timeline capture</t>
  </si>
  <si>
    <t xml:space="preserve">Event ingest with config-driven bot/reaction filters, ordered per-incident view, markdown export, foreign-incident rejection downstream</t>
  </si>
  <si>
    <t xml:space="preserve">Threaded replies, file/attachment capture, retroactive backfill</t>
  </si>
  <si>
    <t xml:space="preserve">src/timeline/timeline.ts; tests/timeline</t>
  </si>
  <si>
    <t xml:space="preserve">AI postmortem draft</t>
  </si>
  <si>
    <t xml:space="preserve">Draft generation behind an AI provider interface, duration/impact computation, blameless template, refuses unresolved incidents and foreign timelines</t>
  </si>
  <si>
    <t xml:space="preserve">Live model wiring, editing workflow, template authoring UI</t>
  </si>
  <si>
    <t xml:space="preserve">src/postmortem/postmortem.ts; tests/postmortem, review-pass2</t>
  </si>
  <si>
    <t xml:space="preserve">Status page publish</t>
  </si>
  <si>
    <t xml:space="preserve">Component states with worst-of rollup, publisher interface, platform-error surfacing</t>
  </si>
  <si>
    <t xml:space="preserve">Live status-page vendor integration, subscriber management, custom domains</t>
  </si>
  <si>
    <t xml:space="preserve">src/statuspage/statuspage.ts; tests/statuspage</t>
  </si>
  <si>
    <t xml:space="preserve">Platform (not in the original spec, built anyway)</t>
  </si>
  <si>
    <t xml:space="preserve">HTTP app with 5 routes + signature verification, OAuth with CSRF state, per-workspace tenancy isolation, role assignment, 12h token rotation, retention purge, AES-256-GCM field crypto, billing lifecycle, telemetry, chat SLA engine, DB schema + migrations; V037: asynchronous platform boundary with a 10 s budget per call, persisted + leased deferred-work queue drained on SIGTERM, closed provider set with boot-time healthcheck probe, key rotation route, install-epoch session revocation, frequency-safe leased jobs, time-bounded replay window, scripts/ inside the coverage gate</t>
  </si>
  <si>
    <t xml:space="preserve">Real Slack/OAuth/Stripe/paging/AI/status adapters (now drop-ins), KMS vault, live deploy</t>
  </si>
  <si>
    <t xml:space="preserve">src/http, src/core/tenancy.ts, src/db/schema.ts, src/composition/runtime.ts, src/core/provider.ts, src/incidents/ack.ts, tests/px/*</t>
  </si>
  <si>
    <t xml:space="preserve">Non-functional requirement (05/09 claim)</t>
  </si>
  <si>
    <t xml:space="preserve">As-built status</t>
  </si>
  <si>
    <t xml:space="preserve">Evidence / what is missing</t>
  </si>
  <si>
    <t xml:space="preserve">Rate-limit safe (backoff + queue)</t>
  </si>
  <si>
    <t xml:space="preserve">MET in code</t>
  </si>
  <si>
    <t xml:space="preserve">Exponential backoff, circuit breaker, FIFO-capped dedupe, dead-letter after 5 attempts; tested; V037: breaker async and concurrency-safe, every platform call budgeted (timeout = degraded result); replay of degraded ops is still in-memory only (PX-014, S42)</t>
  </si>
  <si>
    <t xml:space="preserve">p95 &lt;500ms API / &lt;2s UI</t>
  </si>
  <si>
    <t xml:space="preserve">NOT MEASURED</t>
  </si>
  <si>
    <t xml:space="preserve">Budgets defined in src/core/latency.ts and a k6 harness exists, but no staging URL so nothing has ever been measured end to end</t>
  </si>
  <si>
    <t xml:space="preserve">99.5% monthly uptime</t>
  </si>
  <si>
    <t xml:space="preserve">NOT MEASURABLE</t>
  </si>
  <si>
    <t xml:space="preserve">No deployment exists; blue/green workflow is drafted, not run</t>
  </si>
  <si>
    <t xml:space="preserve">WCAG AA</t>
  </si>
  <si>
    <t xml:space="preserve">PARTIAL</t>
  </si>
  <si>
    <t xml:space="preserve">jest-axe passes on 6 static shells; no audit on a rendered product, no manual/screen-reader pass (ST-089 remains In progress)</t>
  </si>
  <si>
    <t xml:space="preserve">SOC2-track controls</t>
  </si>
  <si>
    <t xml:space="preserve">RBAC, audit log, encryption, retention and data rights exist in code; no SOC2 process, no external assessment, pen test not booked</t>
  </si>
  <si>
    <t xml:space="preserve">SCREEN INVENTORY — AS BUILT (re-baselined 13/09/2026 10:38)</t>
  </si>
  <si>
    <t xml:space="preserve">No wireframes were ever produced. "Shell" = accessible semantic HTML audited by jest-axe; NO screen is wired to data because no dashboard API routes exist.</t>
  </si>
  <si>
    <t xml:space="preserve">#</t>
  </si>
  <si>
    <t xml:space="preserve">Screen</t>
  </si>
  <si>
    <t xml:space="preserve">Purpose</t>
  </si>
  <si>
    <t xml:space="preserve">As-built reality</t>
  </si>
  <si>
    <t xml:space="preserve">Gap to close</t>
  </si>
  <si>
    <t xml:space="preserve">Onboarding / first-run</t>
  </si>
  <si>
    <t xml:space="preserve">Reach aha in &lt;1 day</t>
  </si>
  <si>
    <t xml:space="preserve">Logic only — checklist, progress %, aha detection, empty-state copy in src/onboarding</t>
  </si>
  <si>
    <t xml:space="preserve">No shell, no surface</t>
  </si>
  <si>
    <t xml:space="preserve">Home dashboard</t>
  </si>
  <si>
    <t xml:space="preserve">Daily habit surface</t>
  </si>
  <si>
    <t xml:space="preserve">Shell exists (static, empty-state copy)</t>
  </si>
  <si>
    <t xml:space="preserve">Shell + /api/incidents ready; render layer remains</t>
  </si>
  <si>
    <t xml:space="preserve">Incident declare workspace</t>
  </si>
  <si>
    <t xml:space="preserve">Core value surface</t>
  </si>
  <si>
    <t xml:space="preserve">Primary surface is Slack itself (slash command + modal spec); web shell lists incidents statically</t>
  </si>
  <si>
    <t xml:space="preserve">Modal JSON rendering; live Slack</t>
  </si>
  <si>
    <t xml:space="preserve">Responder paging builder</t>
  </si>
  <si>
    <t xml:space="preserve">Configure second pillar</t>
  </si>
  <si>
    <t xml:space="preserve">Logic only — provider interface, rules engine</t>
  </si>
  <si>
    <t xml:space="preserve">No shell; rule-builder UI unbuilt</t>
  </si>
  <si>
    <t xml:space="preserve">Timeline view</t>
  </si>
  <si>
    <t xml:space="preserve">Differentiator surface</t>
  </si>
  <si>
    <t xml:space="preserve">Shell exists (static ordered list); markdown export implemented</t>
  </si>
  <si>
    <t xml:space="preserve">Shell + /api/incident ready; render layer remains</t>
  </si>
  <si>
    <t xml:space="preserve">Settings &amp; team</t>
  </si>
  <si>
    <t xml:space="preserve">Roles, notifications, data</t>
  </si>
  <si>
    <t xml:space="preserve">Shell exists with labelled form controls; role matrix + resolver now behind it</t>
  </si>
  <si>
    <t xml:space="preserve">Shell + /api/team ready; render layer remains</t>
  </si>
  <si>
    <t xml:space="preserve">Billing</t>
  </si>
  <si>
    <t xml:space="preserve">Plan/trial/invoices</t>
  </si>
  <si>
    <t xml:space="preserve">Shell exists; full billing engine behind it (trial, proration, dunning, limits, invoices, cancellation)</t>
  </si>
  <si>
    <t xml:space="preserve">Shell + /api/billing (owner-gated) ready; Stripe live remains</t>
  </si>
  <si>
    <t xml:space="preserve">Analytics</t>
  </si>
  <si>
    <t xml:space="preserve">Prove ROI</t>
  </si>
  <si>
    <t xml:space="preserve">Logic + /api/analytics backed by persisted funnel</t>
  </si>
  <si>
    <t xml:space="preserve">No shell; render layer remains</t>
  </si>
  <si>
    <t xml:space="preserve">Help &amp; support</t>
  </si>
  <si>
    <t xml:space="preserve">Deflect + assist</t>
  </si>
  <si>
    <t xml:space="preserve">Shell exists; 15 help articles drafted; built-in chat + 4-business-hour SLA engine behind it</t>
  </si>
  <si>
    <t xml:space="preserve">Data wiring; article hosting</t>
  </si>
  <si>
    <t xml:space="preserve">Summary: 6 of 9 screens have shells, 0 of 9 are data-wired, 0 have wireframes. This is the largest artifact-vs-code divergence in the product (AB-1).</t>
  </si>
  <si>
    <t xml:space="preserve">Update 13/09 10:42: 5 of 9 screens now have a data route behind them (dashboard, timeline, settings, billing, analytics). Still 0 rendered clients — the remaining gap is a front-end, not an API.</t>
  </si>
  <si>
    <t xml:space="preserve">UPDATE 13/09 11:38 — V17-08 RATIFIED (Option A, Slack-first): there will be no rendered web client for launch. The product surface is Slack: the declare modal, the incident channel message with resolve/mitigate/reopen controls, and the App Home dashboard — all now BUILT and validated against Slack limits (src/blockkit). The nine screens below remain as API-backed capabilities for support and analytics; they are deliberately unrendered, not unfinished.</t>
  </si>
  <si>
    <t xml:space="preserve">FULL BACKLOG</t>
  </si>
  <si>
    <t xml:space="preserve">Epic</t>
  </si>
  <si>
    <t xml:space="preserve">Story</t>
  </si>
  <si>
    <t xml:space="preserve">Points</t>
  </si>
  <si>
    <t xml:space="preserve">Priority</t>
  </si>
  <si>
    <t xml:space="preserve">ST-001</t>
  </si>
  <si>
    <t xml:space="preserve">F1</t>
  </si>
  <si>
    <t xml:space="preserve">As a SRE lead, I can set up /incident declare flow with sensible defaults in one screen</t>
  </si>
  <si>
    <t xml:space="preserve">P0</t>
  </si>
  <si>
    <t xml:space="preserve">S2</t>
  </si>
  <si>
    <t xml:space="preserve">Done</t>
  </si>
  <si>
    <t xml:space="preserve">ST-002</t>
  </si>
  <si>
    <t xml:space="preserve">As a SRE lead, the /incident declare flow happy path completes without documentation</t>
  </si>
  <si>
    <t xml:space="preserve">ST-003</t>
  </si>
  <si>
    <t xml:space="preserve">As a Eng director, I can customise /incident declare flow rules/conditions for my workflow</t>
  </si>
  <si>
    <t xml:space="preserve">P1</t>
  </si>
  <si>
    <t xml:space="preserve">ST-004</t>
  </si>
  <si>
    <t xml:space="preserve">As a user, /incident declare flow shows clear errors and retry paths on platform API failures</t>
  </si>
  <si>
    <t xml:space="preserve">ST-005</t>
  </si>
  <si>
    <t xml:space="preserve">As a Responder, /incident declare flow works on the Slack slash-commands + Block Kit modals surface end-to-end</t>
  </si>
  <si>
    <t xml:space="preserve">S3</t>
  </si>
  <si>
    <t xml:space="preserve">ST-006</t>
  </si>
  <si>
    <t xml:space="preserve">As a Eng director, I can see /incident declare flow performance metrics and trends</t>
  </si>
  <si>
    <t xml:space="preserve">ST-007</t>
  </si>
  <si>
    <t xml:space="preserve">As a user, /incident declare flow respects role permissions and audit logging</t>
  </si>
  <si>
    <t xml:space="preserve">ST-008</t>
  </si>
  <si>
    <t xml:space="preserve">As a SRE lead, I can pause/disable /incident declare flow without data loss</t>
  </si>
  <si>
    <t xml:space="preserve">P2</t>
  </si>
  <si>
    <t xml:space="preserve">ST-009</t>
  </si>
  <si>
    <t xml:space="preserve">As a Eng director, I can import/migrate existing data into /incident declare flow (CSV + competitor importer)</t>
  </si>
  <si>
    <t xml:space="preserve">ST-010</t>
  </si>
  <si>
    <t xml:space="preserve">As a user, I get notifications (in-app + email) for key /incident declare flow events with per-type mute</t>
  </si>
  <si>
    <t xml:space="preserve">ST-011</t>
  </si>
  <si>
    <t xml:space="preserve">F2</t>
  </si>
  <si>
    <t xml:space="preserve">As a SRE lead, I can set up Responder paging (PD/Opsgenie sync) with sensible defaults in one screen</t>
  </si>
  <si>
    <t xml:space="preserve">ST-012</t>
  </si>
  <si>
    <t xml:space="preserve">As a SRE lead, the Responder paging (PD/Opsgenie sync) happy path completes without documentation</t>
  </si>
  <si>
    <t xml:space="preserve">ST-013</t>
  </si>
  <si>
    <t xml:space="preserve">As a Eng director, I can customise Responder paging (PD/Opsgenie sync) rules/conditions for my workflow</t>
  </si>
  <si>
    <t xml:space="preserve">ST-014</t>
  </si>
  <si>
    <t xml:space="preserve">As a user, Responder paging (PD/Opsgenie sync) shows clear errors and retry paths on platform API failures</t>
  </si>
  <si>
    <t xml:space="preserve">ST-015</t>
  </si>
  <si>
    <t xml:space="preserve">As a Responder, Responder paging (PD/Opsgenie sync) works on the Slack slash-commands + Block Kit modals surface end-to-end</t>
  </si>
  <si>
    <t xml:space="preserve">S4</t>
  </si>
  <si>
    <t xml:space="preserve">ST-016</t>
  </si>
  <si>
    <t xml:space="preserve">As a Eng director, I can see Responder paging (PD/Opsgenie sync) performance metrics and trends</t>
  </si>
  <si>
    <t xml:space="preserve">ST-017</t>
  </si>
  <si>
    <t xml:space="preserve">As a user, Responder paging (PD/Opsgenie sync) respects role permissions and audit logging</t>
  </si>
  <si>
    <t xml:space="preserve">ST-018</t>
  </si>
  <si>
    <t xml:space="preserve">As a SRE lead, I can pause/disable Responder paging (PD/Opsgenie sync) without data loss</t>
  </si>
  <si>
    <t xml:space="preserve">ST-019</t>
  </si>
  <si>
    <t xml:space="preserve">As a Eng director, I can import/migrate existing data into Responder paging (PD/Opsgenie sync) (CSV + competitor importer)</t>
  </si>
  <si>
    <t xml:space="preserve">ST-020</t>
  </si>
  <si>
    <t xml:space="preserve">As a user, I get notifications (in-app + email) for key Responder paging (PD/Opsgenie sync) events with per-type mute</t>
  </si>
  <si>
    <t xml:space="preserve">ST-021</t>
  </si>
  <si>
    <t xml:space="preserve">F3</t>
  </si>
  <si>
    <t xml:space="preserve">As a SRE lead, I can set up Auto timeline capture with sensible defaults in one screen</t>
  </si>
  <si>
    <t xml:space="preserve">S5</t>
  </si>
  <si>
    <t xml:space="preserve">ST-022</t>
  </si>
  <si>
    <t xml:space="preserve">As a SRE lead, the Auto timeline capture happy path completes without documentation</t>
  </si>
  <si>
    <t xml:space="preserve">ST-023</t>
  </si>
  <si>
    <t xml:space="preserve">As a Eng director, I can customise Auto timeline capture rules/conditions for my workflow</t>
  </si>
  <si>
    <t xml:space="preserve">ST-024</t>
  </si>
  <si>
    <t xml:space="preserve">As a user, Auto timeline capture shows clear errors and retry paths on platform API failures</t>
  </si>
  <si>
    <t xml:space="preserve">ST-025</t>
  </si>
  <si>
    <t xml:space="preserve">As a Responder, Auto timeline capture works on the Slack slash-commands + Block Kit modals surface end-to-end</t>
  </si>
  <si>
    <t xml:space="preserve">ST-026</t>
  </si>
  <si>
    <t xml:space="preserve">As a Eng director, I can see Auto timeline capture performance metrics and trends</t>
  </si>
  <si>
    <t xml:space="preserve">ST-027</t>
  </si>
  <si>
    <t xml:space="preserve">As a user, Auto timeline capture respects role permissions and audit logging</t>
  </si>
  <si>
    <t xml:space="preserve">ST-028</t>
  </si>
  <si>
    <t xml:space="preserve">As a SRE lead, I can pause/disable Auto timeline capture without data loss</t>
  </si>
  <si>
    <t xml:space="preserve">ST-029</t>
  </si>
  <si>
    <t xml:space="preserve">As a Eng director, I can import/migrate existing data into Auto timeline capture (CSV + competitor importer)</t>
  </si>
  <si>
    <t xml:space="preserve">ST-030</t>
  </si>
  <si>
    <t xml:space="preserve">As a user, I get notifications (in-app + email) for key Auto timeline capture events with per-type mute</t>
  </si>
  <si>
    <t xml:space="preserve">ST-031</t>
  </si>
  <si>
    <t xml:space="preserve">F4</t>
  </si>
  <si>
    <t xml:space="preserve">As a SRE lead, I can set up AI postmortem draft with sensible defaults in one screen</t>
  </si>
  <si>
    <t xml:space="preserve">S6</t>
  </si>
  <si>
    <t xml:space="preserve">ST-032</t>
  </si>
  <si>
    <t xml:space="preserve">As a SRE lead, the AI postmortem draft happy path completes without documentation</t>
  </si>
  <si>
    <t xml:space="preserve">ST-033</t>
  </si>
  <si>
    <t xml:space="preserve">As a Eng director, I can customise AI postmortem draft rules/conditions for my workflow</t>
  </si>
  <si>
    <t xml:space="preserve">ST-034</t>
  </si>
  <si>
    <t xml:space="preserve">As a user, AI postmortem draft shows clear errors and retry paths on platform API failures</t>
  </si>
  <si>
    <t xml:space="preserve">ST-035</t>
  </si>
  <si>
    <t xml:space="preserve">As a Responder, AI postmortem draft works on the Slack slash-commands + Block Kit modals surface end-to-end</t>
  </si>
  <si>
    <t xml:space="preserve">ST-036</t>
  </si>
  <si>
    <t xml:space="preserve">As a Eng director, I can see AI postmortem draft performance metrics and trends</t>
  </si>
  <si>
    <t xml:space="preserve">ST-037</t>
  </si>
  <si>
    <t xml:space="preserve">As a user, AI postmortem draft respects role permissions and audit logging</t>
  </si>
  <si>
    <t xml:space="preserve">ST-038</t>
  </si>
  <si>
    <t xml:space="preserve">As a SRE lead, I can pause/disable AI postmortem draft without data loss</t>
  </si>
  <si>
    <t xml:space="preserve">ST-039</t>
  </si>
  <si>
    <t xml:space="preserve">As a Eng director, I can import/migrate existing data into AI postmortem draft (CSV + competitor importer)</t>
  </si>
  <si>
    <t xml:space="preserve">ST-040</t>
  </si>
  <si>
    <t xml:space="preserve">As a user, I get notifications (in-app + email) for key AI postmortem draft events with per-type mute</t>
  </si>
  <si>
    <t xml:space="preserve">ST-041</t>
  </si>
  <si>
    <t xml:space="preserve">F5</t>
  </si>
  <si>
    <t xml:space="preserve">As a SRE lead, I can set up Status page publish with sensible defaults in one screen</t>
  </si>
  <si>
    <t xml:space="preserve">S8</t>
  </si>
  <si>
    <t xml:space="preserve">ST-042</t>
  </si>
  <si>
    <t xml:space="preserve">As a SRE lead, the Status page publish happy path completes without documentation</t>
  </si>
  <si>
    <t xml:space="preserve">ST-043</t>
  </si>
  <si>
    <t xml:space="preserve">As a Eng director, I can customise Status page publish rules/conditions for my workflow</t>
  </si>
  <si>
    <t xml:space="preserve">ST-044</t>
  </si>
  <si>
    <t xml:space="preserve">As a user, Status page publish shows clear errors and retry paths on platform API failures</t>
  </si>
  <si>
    <t xml:space="preserve">ST-045</t>
  </si>
  <si>
    <t xml:space="preserve">As a Responder, Status page publish works on the Slack slash-commands + Block Kit modals surface end-to-end</t>
  </si>
  <si>
    <t xml:space="preserve">ST-046</t>
  </si>
  <si>
    <t xml:space="preserve">As a Eng director, I can see Status page publish performance metrics and trends</t>
  </si>
  <si>
    <t xml:space="preserve">ST-047</t>
  </si>
  <si>
    <t xml:space="preserve">As a user, Status page publish respects role permissions and audit logging</t>
  </si>
  <si>
    <t xml:space="preserve">ST-048</t>
  </si>
  <si>
    <t xml:space="preserve">As a SRE lead, I can pause/disable Status page publish without data loss</t>
  </si>
  <si>
    <t xml:space="preserve">ST-049</t>
  </si>
  <si>
    <t xml:space="preserve">As a Eng director, I can import/migrate existing data into Status page publish (CSV + competitor importer)</t>
  </si>
  <si>
    <t xml:space="preserve">ST-050</t>
  </si>
  <si>
    <t xml:space="preserve">As a user, I get notifications (in-app + email) for key Status page publish events with per-type mute</t>
  </si>
  <si>
    <t xml:space="preserve">ST-051</t>
  </si>
  <si>
    <t xml:space="preserve">E1</t>
  </si>
  <si>
    <t xml:space="preserve">Marketplace OAuth install completes and lands on welcome state in &lt;2 min</t>
  </si>
  <si>
    <t xml:space="preserve">S1</t>
  </si>
  <si>
    <t xml:space="preserve">Code-complete</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</si>
  <si>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</si>
  <si>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</si>
  <si>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</si>
  <si>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</si>
  <si>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</si>
  <si>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</si>
  <si>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</si>
  <si>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</si>
  <si>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</si>
  <si>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</si>
  <si>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</si>
  <si>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</si>
  <si>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</si>
  <si>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</si>
  <si>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</si>
  <si>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</si>
  <si>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</si>
  <si>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</si>
  <si>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</si>
  <si>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</si>
  <si>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</si>
  <si>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</si>
  <si>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</si>
  <si>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</si>
  <si>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</si>
  <si>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</si>
  <si>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</si>
  <si>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</si>
  <si>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</si>
  <si>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</si>
  <si>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</si>
  <si>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Drafted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</si>
  <si>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</si>
  <si>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</si>
  <si>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</si>
  <si>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</si>
  <si>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</si>
  <si>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</si>
  <si>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</si>
  <si>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</si>
  <si>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</si>
  <si>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</si>
  <si>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</si>
  <si>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</si>
  <si>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</si>
  <si>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</si>
  <si>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</si>
  <si>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</si>
  <si>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</si>
  <si>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</si>
  <si>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</si>
  <si>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</si>
  <si>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</si>
  <si>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</si>
  <si>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</si>
  <si>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</si>
  <si>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</si>
  <si>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</si>
  <si>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</si>
  <si>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</si>
  <si>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</si>
  <si>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</si>
  <si>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</si>
  <si>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</si>
  <si>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</si>
  <si>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</si>
  <si>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</si>
  <si>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</si>
  <si>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</si>
  <si>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</si>
  <si>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</si>
  <si>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</si>
  <si>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</si>
  <si>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</si>
  <si>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Backlog</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</si>
  <si>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</si>
  <si>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</si>
  <si>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</si>
  <si>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</si>
  <si>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</si>
  <si>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</si>
  <si>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</si>
  <si>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</si>
  <si>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</si>
  <si>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</si>
  <si>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</si>
  <si>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</si>
  <si>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</si>
  <si>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</si>
  <si>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</si>
  <si>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</si>
  <si>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</si>
  <si>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</si>
  <si>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</si>
  <si>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</si>
  <si>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</si>
  <si>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</si>
  <si>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</si>
  <si>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</si>
  <si>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</si>
  <si>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</si>
  <si>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</si>
  <si>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</si>
  <si>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</si>
  <si>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</si>
  <si>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</si>
  <si>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</si>
  <si>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</si>
  <si>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</si>
  <si>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</si>
  <si>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</si>
  <si>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</si>
  <si>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ST-101</t>
  </si>
  <si>
    <t xml:space="preserve">Convert SlackClient, PagingProvider, AiProvider, StatusPublisher (plus OAuthClient, PaymentProvider, SlackApi, ResponseUrlPoster, ModalOpener) to Promise-returning contracts</t>
  </si>
  <si>
    <t xml:space="preserve">ST-102</t>
  </si>
  <si>
    <t xml:space="preserve">Convert IncidentWorkflow.declare/resolve/reopen, TimelineService.capture, PostmortemService.draft, StatusPageService.setComponent to async; interaction handlers await results</t>
  </si>
  <si>
    <t xml:space="preserve">ST-103</t>
  </si>
  <si>
    <t xml:space="preserve">Convert DegradationService.execute and CircuitBreaker to async, preserving breaker semantics under concurrent in-flight calls</t>
  </si>
  <si>
    <t xml:space="preserve">ST-104</t>
  </si>
  <si>
    <t xml:space="preserve">DeferredWork becomes an async descriptor + runner; drain() awaits each item; pending() reflects in-flight as well as queued work</t>
  </si>
  <si>
    <t xml:space="preserve">ST-105</t>
  </si>
  <si>
    <t xml:space="preserve">Latency budget on every platform call (timeout + abort): a hung call yields a degraded user message, not a hang</t>
  </si>
  <si>
    <t xml:space="preserve">ST-106</t>
  </si>
  <si>
    <t xml:space="preserve">Migrate the affected suites to the async contracts; coverage back to 100/100/100/100 with no forceExit and no un-awaited promise</t>
  </si>
  <si>
    <t xml:space="preserve">ST-107</t>
  </si>
  <si>
    <t xml:space="preserve">Floating-promise rule: CI fails on an expression statement that evaluates to a Promise without await/void, outside the documented setInterval sites</t>
  </si>
  <si>
    <t xml:space="preserve">ST-108</t>
  </si>
  <si>
    <t xml:space="preserve">declare() and reopen() call await entitlements.claimWrite(); checkWrite/recordWrite removed from the write path; recordWrite deleted</t>
  </si>
  <si>
    <t xml:space="preserve">ST-109</t>
  </si>
  <si>
    <t xml:space="preserve">Regression test constructed exactly as the production composition: limit declares succeed, limit+1 refused with limit_reached, store usage == limit</t>
  </si>
  <si>
    <t xml:space="preserve">ST-110</t>
  </si>
  <si>
    <t xml:space="preserve">Two-replica test at the workflow level: two runtimes sharing one billing store cannot jointly exceed the cap</t>
  </si>
  <si>
    <t xml:space="preserve">ST-111</t>
  </si>
  <si>
    <t xml:space="preserve">Monthly usage reset as a leased, frequency-safe job: resets once per billing cycle per account, never once per tick</t>
  </si>
  <si>
    <t xml:space="preserve">ST-112</t>
  </si>
  <si>
    <t xml:space="preserve">Pricing axis moved from incidents/month to workspace-size bands (D-OC8); PLAN_LIMITS expresses bands; PRICING_FAQ regenerated from pricingDoc.ts and asserted by test</t>
  </si>
  <si>
    <t xml:space="preserve">Done — awaiting D-OC8 ratification</t>
  </si>
  <si>
    <t xml:space="preserve">ST-113</t>
  </si>
  <si>
    <t xml:space="preserve">Portfolio rule: audit.mjs A10 (enforcement/persistence method with no caller outside tests); applied to entitlements, crypto, sequences, retention, roles</t>
  </si>
  <si>
    <t xml:space="preserve">ST-114</t>
  </si>
  <si>
    <t xml:space="preserve">responseUrlPoster, modalOpener and oauth added as named adapters in a CLOSED, typed REQUIRED_PROVIDERS set; production refuses a stub or an absence</t>
  </si>
  <si>
    <t xml:space="preserve">ST-115</t>
  </si>
  <si>
    <t xml:space="preserve">Capability probe: every provider exposes async healthcheck(); production boot calls all of them and fails naming the failing provider; a correctly-named but non-functional adapter is caught</t>
  </si>
  <si>
    <t xml:space="preserve">ST-116</t>
  </si>
  <si>
    <t xml:space="preserve">Structural inventory completeness: a test asserts every boundary-crossing constructor argument appears in the inventory; a new provider added without inventorying it fails CI</t>
  </si>
  <si>
    <t xml:space="preserve">ST-117</t>
  </si>
  <si>
    <t xml:space="preserve">Ack queue registered with Lifecycle and drained before exit (SIGTERM): a queued declare completes or posts a definite failure before the process exits</t>
  </si>
  <si>
    <t xml:space="preserve">ST-118</t>
  </si>
  <si>
    <t xml:space="preserve">Deferred-work queue persisted with a lease (deferred_work, migration 0014); re-attempted on restore; kill -9 survivable; response_url treated as tenant data</t>
  </si>
  <si>
    <t xml:space="preserve">ST-119</t>
  </si>
  <si>
    <t xml:space="preserve">Leased-job frequency: persist last_run_at in the lease store (migration 0013); acquire condition now − last_run_at ≥ interval; a restarted replica does not re-run a daily job</t>
  </si>
  <si>
    <t xml:space="preserve">ST-120</t>
  </si>
  <si>
    <t xml:space="preserve">Paging provider identity: widen the union to five D-OC7 targets and derive the workflow's provider id from the constructed adapter</t>
  </si>
  <si>
    <t xml:space="preserve">ST-121</t>
  </si>
  <si>
    <t xml:space="preserve">Dedupe restore window time-bounded (6 h, cap 50,000) and documented against Slack's retry behaviour</t>
  </si>
  <si>
    <t xml:space="preserve">ST-122</t>
  </si>
  <si>
    <t xml:space="preserve">scripts/ into the coverage gate: every entry point exports its main function; boot smoke test drives serve.ts (development permits, production refuses, staging on a fake connection, real listener, SIGTERM drain) and the four CLI shells</t>
  </si>
  <si>
    <t xml:space="preserve">ST-123</t>
  </si>
  <si>
    <t xml:space="preserve">Session revocation: installEpoch claim bound to the workspace's current install; uninstall, reinstall, data deletion and bumpEpoch revoke outstanding cookies immediately (PX-010)</t>
  </si>
  <si>
    <t xml:space="preserve">ST-124</t>
  </si>
  <si>
    <t xml:space="preserve">Key rotation with a caller: EnvKeyVault (ENCRYPTION_KEY_&lt;id&gt; + ENCRYPTION_KEY_CURRENT), POST /ops/rotate-keys re-encrypting stored tokens, boot warning on stale key ids (PX-005)</t>
  </si>
  <si>
    <t xml:space="preserve">Done — KMS adapter remains S43</t>
  </si>
  <si>
    <t xml:space="preserve">ST-125</t>
  </si>
  <si>
    <t xml:space="preserve">Atomic incident ids on the declare path: claim from the shared SequenceAllocator; production refuses a workflow registry without it (PX-013)</t>
  </si>
  <si>
    <t xml:space="preserve">ST-126</t>
  </si>
  <si>
    <t xml:space="preserve">Opsgenie importer: schedules, escalation policies, teams, integrations from an Opsgenie export</t>
  </si>
  <si>
    <t xml:space="preserve">PX-S3</t>
  </si>
  <si>
    <t xml:space="preserve">ST-127</t>
  </si>
  <si>
    <t xml:space="preserve">Opsgenie mapping report + dry-run mode: shows the customer exactly what will and will not transfer before anything is written</t>
  </si>
  <si>
    <t xml:space="preserve">ST-128</t>
  </si>
  <si>
    <t xml:space="preserve">Opsgenie migration landing page + comparison copy (banded flat pricing, 'your whole workspace, one price')</t>
  </si>
  <si>
    <t xml:space="preserve">ST-129</t>
  </si>
  <si>
    <t xml:space="preserve">Persisted replay queue for degraded platform ops + leased replay job on breaker close (PX-014)</t>
  </si>
  <si>
    <t xml:space="preserve">ST-130</t>
  </si>
  <si>
    <t xml:space="preserve">EventReceiver retry queue registered with Lifecycle once the event handler does real work (PX-015)</t>
  </si>
  <si>
    <t xml:space="preserve">Total stories: 130 (100 original + ST-101..ST-130 added at v037 for the Perplexity review sprints PX-S0..PX-S3 and A12 items). Epics: F1-F5 product features; E1 install, E5 billing, E6 compliance, E7 telemetry, E8 onboarding/docs/support, EQ quality, EL listing. Edit Status during execution. No original story was removed or re-labelled.</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</si>
  <si>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</si>
  <si>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</si>
  <si>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</si>
  <si>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</si>
  <si>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</si>
  <si>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</si>
  <si>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</si>
  <si>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</si>
  <si>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</si>
  <si>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/incident declare flow - part 1</t>
  </si>
  <si>
    <t xml:space="preserve">/incident declare flow happy path demoable</t>
  </si>
  <si>
    <t xml:space="preserve">Core feature /incident declare flow - part 2 + Responder paging (PD/Opsgenie sync) start</t>
  </si>
  <si>
    <t xml:space="preserve">/incident declare flow complete with tests; Responder paging (PD/Opsgenie sync) skeleton</t>
  </si>
  <si>
    <t xml:space="preserve">Core feature Responder paging (PD/Opsgenie sync)</t>
  </si>
  <si>
    <t xml:space="preserve">MVP loop usable end-to-end internally</t>
  </si>
  <si>
    <t xml:space="preserve">Feature Auto timeline capture + alpha hardening</t>
  </si>
  <si>
    <t xml:space="preserve">Internal alpha: team dogfoods daily</t>
  </si>
  <si>
    <t xml:space="preserve">Billing + AI postmortem draft</t>
  </si>
  <si>
    <t xml:space="preserve">Can charge a test customer; upgrade/downgrade paths work</t>
  </si>
  <si>
    <t xml:space="preserve">Private beta (design partners)</t>
  </si>
  <si>
    <t xml:space="preserve">3+ partners active weekly; NPS pulse &gt;30</t>
  </si>
  <si>
    <t xml:space="preserve">Beta iteration + Status page publish</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</si>
  <si>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</si>
  <si>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</si>
  <si>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</si>
  <si>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</si>
  <si>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</si>
  <si>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</si>
  <si>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</si>
  <si>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</si>
  <si>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</si>
  <si>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Async platform boundary (review Phase 0)</t>
  </si>
  <si>
    <t xml:space="preserve">tsc clean; no sync platform method in src/; suites back to 100/100/100/100</t>
  </si>
  <si>
    <t xml:space="preserve">Enforce what is sold (review Phase 0)</t>
  </si>
  <si>
    <t xml:space="preserve">enforcementWiring: limit+1 refused over the production composition; PRICING_FAQ regenerated</t>
  </si>
  <si>
    <t xml:space="preserve">Close the gate's blind spots (review Phase 0)</t>
  </si>
  <si>
    <t xml:space="preserve">CI proves the gate refuses AND permits; SIGTERM/kill -9 tests pass</t>
  </si>
  <si>
    <t xml:space="preserve">Opsgenie migration wedge (before S41; window closes 05/04/2027)</t>
  </si>
  <si>
    <t xml:space="preserve">A real Opsgenie export imported into a real workspace with a diff report</t>
  </si>
  <si>
    <t xml:space="preserve">Real Slack runtime (A12 item ST-130 tracked here)</t>
  </si>
  <si>
    <t xml:space="preserve">npm run live-sweep passes 12 steps in a real workspace</t>
  </si>
  <si>
    <t xml:space="preserve">SRE, observability, HA, DR (A12 item ST-129 tracked here)</t>
  </si>
  <si>
    <t xml:space="preserve">Chaos test killing Postgres mid-declare; replay queue persisted</t>
  </si>
  <si>
    <t xml:space="preserve">TOTAL (all 130 stories)</t>
  </si>
  <si>
    <t xml:space="preserve">Velocity check: points/sprint S2-S8 should sit within 30-45 for a 4-6 person team; rebalance Sprint column in backlog if a sprint exceeds capacity.</t>
  </si>
  <si>
    <t xml:space="preserve">18-MONTH FINANCIAL MODEL — Slack: bottom-up team adoption (edit yellow assumptions)</t>
  </si>
  <si>
    <t xml:space="preserve">Assumption</t>
  </si>
  <si>
    <t xml:space="preserve">Value</t>
  </si>
  <si>
    <t xml:space="preserve">Team trials/mo (month 1)</t>
  </si>
  <si>
    <t xml:space="preserve">Monthly growth of that</t>
  </si>
  <si>
    <t xml:space="preserve">Trial-&gt;paid %</t>
  </si>
  <si>
    <t xml:space="preserve">ARPU $/mo</t>
  </si>
  <si>
    <t xml:space="preserve">Monthly churn</t>
  </si>
  <si>
    <t xml:space="preserve">Marketplace fee</t>
  </si>
  <si>
    <t xml:space="preserve">Team cost month 1 (India-lean $)</t>
  </si>
  <si>
    <t xml:space="preserve">Cost growth/mo</t>
  </si>
  <si>
    <t xml:space="preserve">Fee note: No Slack revenue share; bill via Stripe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</si>
  <si>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</si>
  <si>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</si>
  <si>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</si>
  <si>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</si>
  <si>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</si>
  <si>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</si>
  <si>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</si>
  <si>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</si>
  <si>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</si>
  <si>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</si>
  <si>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</si>
  <si>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</si>
  <si>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</si>
  <si>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</si>
  <si>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</si>
  <si>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</si>
  <si>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</si>
  <si>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</si>
  <si>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</si>
  <si>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</si>
  <si>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</si>
  <si>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</si>
  <si>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</si>
  <si>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</si>
  <si>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</si>
  <si>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</si>
  <si>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 COMPUTED at v037 (PX-009): the sheet had never been evaluated; every month column now carries a cached value and the summary below reads the answer.</t>
  </si>
  <si>
    <t xml:space="preserve">SUMMARY (live formulas over the model above) — Perplexity review V001 §3.5</t>
  </si>
  <si>
    <t xml:space="preserve">Breakeven month (first Net cash ≥ 0)</t>
  </si>
  <si>
    <t xml:space="preserve">Review: lands in the final month, with a $444 margin — 'a coincidence, not a plan'</t>
  </si>
  <si>
    <t xml:space="preserve">Net cash at M18</t>
  </si>
  <si>
    <t xml:space="preserve">+$444 at 12% trial→paid</t>
  </si>
  <si>
    <t xml:space="preserve">Cumulative cash at M18 (funding required if no other income)</t>
  </si>
  <si>
    <t xml:space="preserve">≈ −$213k: the plan requires ~$215k of runway and never stated it</t>
  </si>
  <si>
    <t xml:space="preserve">Lowest cumulative position (peak funding need)</t>
  </si>
  <si>
    <t xml:space="preserve">Paying accounts at M18</t>
  </si>
  <si>
    <t xml:space="preserve">305 — gate G-02 requires 10; the model and the gate describe different businesses</t>
  </si>
  <si>
    <t xml:space="preserve">ARR at M18</t>
  </si>
  <si>
    <t xml:space="preserve">Median realised contracts (Vendr): Rootly $13,680/yr, FireHydrant $33,195/yr</t>
  </si>
  <si>
    <t xml:space="preserve">Customers per one median Rootly contract ($13,680/yr)</t>
  </si>
  <si>
    <t xml:space="preserve">Flat-pricing consequence, quantified (≈12 at $99 ARPU)</t>
  </si>
  <si>
    <t xml:space="preserve">Customers per one median FireHydrant contract ($33,195/yr)</t>
  </si>
  <si>
    <t xml:space="preserve">≈28 — this is the figure the review rounded to '~27'; its attribution to Rootly is a slip</t>
  </si>
  <si>
    <t xml:space="preserve">Number formats: currency $#,##0; accounts 0.0. Assumptions (yellow, rows 4-11) are the workbook's own from 05/09; validate in S49.</t>
  </si>
  <si>
    <t xml:space="preserve">SENSITIVITY A — trial→paid 10% (all other assumptions as above)</t>
  </si>
  <si>
    <t xml:space="preserve">Trial→paid % (scenario)</t>
  </si>
  <si>
    <t xml:space="preserve">Net at M18 / cumulative at M18</t>
  </si>
  <si>
    <t xml:space="preserve">SENSITIVITY B — trial→paid 8%</t>
  </si>
  <si>
    <t xml:space="preserve">Reading (review §3.5): a 4-point conversion miss removes breakeven from the horizon and adds ~$70k of burn. Bands (D-OC8) change ARPU, not this arithmetic — re-run with the S49 price-test results.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</si>
  <si>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</si>
  <si>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</si>
  <si>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</si>
  <si>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</si>
  <si>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</si>
  <si>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</si>
  <si>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</si>
  <si>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</si>
  <si>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</si>
  <si>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</si>
  <si>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</si>
  <si>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</si>
  <si>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</si>
  <si>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</si>
  <si>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</si>
  <si>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</si>
  <si>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</si>
  <si>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</si>
  <si>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</si>
  <si>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</si>
  <si>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</si>
  <si>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</si>
  <si>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</si>
  <si>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</si>
  <si>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</si>
  <si>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Slack App Directory</t>
  </si>
  <si>
    <t xml:space="preserve">Item</t>
  </si>
  <si>
    <t xml:space="preserve">Slack app manifest finalized; granular scopes minimal + justified</t>
  </si>
  <si>
    <t xml:space="preserve">App Directory review: security questionnaire, scope rationale, support URL</t>
  </si>
  <si>
    <t xml:space="preserve">Open</t>
  </si>
  <si>
    <t xml:space="preserve">Enterprise Grid + org-wide install flows tested in sandbox</t>
  </si>
  <si>
    <t xml:space="preserve">Socket Mode vs Events API decision documented; retry/dedupe at burst load</t>
  </si>
  <si>
    <t xml:space="preserve">PagerDuty / JSM / Compass / webhook integrations certified; Opsgenie IMPORTER (migration wedge, PX-S3) shipped before deep parity</t>
  </si>
  <si>
    <t xml:space="preserve">Incident data retention policy + export/delete self-serve</t>
  </si>
  <si>
    <t xml:space="preserve">Block Kit surfaces pass accessibility review</t>
  </si>
  <si>
    <t xml:space="preserve">Status page publish integration tested (Statuspage/instatus class)</t>
  </si>
  <si>
    <t xml:space="preserve">Directory listing assets: icon, screenshots, demo GIF per guidelines</t>
  </si>
  <si>
    <t xml:space="preserve">Pricing page + Stripe checkout + team-size (band) detection live — banded model per D-OC8</t>
  </si>
  <si>
    <t xml:space="preserve">Production composition contains no stub or in-memory adapter (review gate CB-02) — GET /ops/composition is clean</t>
  </si>
  <si>
    <t xml:space="preserve">Open — the gate now probes healthcheck() as well as names and is proven to permit a healthy composition; it correctly refuses today naming all ten providers</t>
  </si>
  <si>
    <t xml:space="preserve">External review findings dispositioned; all P0 (S36-S41) closed before submission (review gate G0/G2)</t>
  </si>
  <si>
    <t xml:space="preserve">In progress — 9/20 CF fixed; 12/15 PX fixed; Phase 0 (PX-S0..S2) closed before any adapter sprint</t>
  </si>
  <si>
    <t xml:space="preserve">Enterprise-ready claim withheld from all copy until S42-S44 and S48 close (review gate G3)</t>
  </si>
  <si>
    <t xml:space="preserve">Applied — claim withdrawn 13/09</t>
  </si>
  <si>
    <t xml:space="preserve">Second independent review (Perplexity, 16/09) findings dispositioned; Phase 0 closed before S37+ (review §6 principle 1)</t>
  </si>
  <si>
    <t xml:space="preserve">Closed 20/09</t>
  </si>
  <si>
    <t xml:space="preserve">Financial model computed and read before S49; pricing validated on the banded model with design partners</t>
  </si>
  <si>
    <t xml:space="preserve">Model computed; validation open (S49)</t>
  </si>
  <si>
    <t xml:space="preserve">METRIC TARGETS — with measurability audit (re-baselined 13/09/2026 10:38)</t>
  </si>
  <si>
    <t xml:space="preserve">Targets unchanged from 05/09. The audit column is new: today NONE can be reported end to end, because telemetry is in-process only with no persistence and no dashboard.</t>
  </si>
  <si>
    <t xml:space="preserve">Metric</t>
  </si>
  <si>
    <t xml:space="preserve">Measurable today?</t>
  </si>
  <si>
    <t xml:space="preserve">What it needs</t>
  </si>
  <si>
    <t xml:space="preserve">Installs/signups cumulative</t>
  </si>
  <si>
    <t xml:space="preserve">varies</t>
  </si>
  <si>
    <t xml:space="preserve">3x M1</t>
  </si>
  <si>
    <t xml:space="preserve">8x M1</t>
  </si>
  <si>
    <t xml:space="preserve">20x M1</t>
  </si>
  <si>
    <t xml:space="preserve">YES once adapter wired</t>
  </si>
  <si>
    <t xml:space="preserve">Install attribution + repository exist; needs live DATABASE_URL</t>
  </si>
  <si>
    <t xml:space="preserve">Activation % (24h)</t>
  </si>
  <si>
    <t xml:space="preserve">30%</t>
  </si>
  <si>
    <t xml:space="preserve">40%</t>
  </si>
  <si>
    <t xml:space="preserve">45%</t>
  </si>
  <si>
    <t xml:space="preserve">50%</t>
  </si>
  <si>
    <t xml:space="preserve">YES (per tenant)</t>
  </si>
  <si>
    <t xml:space="preserve">Funnel persisted via MetricsRepository; /api/analytics reports it</t>
  </si>
  <si>
    <t xml:space="preserve">Trial→paid %</t>
  </si>
  <si>
    <t xml:space="preserve">baseline</t>
  </si>
  <si>
    <t xml:space="preserve">+2pts</t>
  </si>
  <si>
    <t xml:space="preserve">+4pts</t>
  </si>
  <si>
    <t xml:space="preserve">+6pts</t>
  </si>
  <si>
    <t xml:space="preserve">NO</t>
  </si>
  <si>
    <t xml:space="preserve">Billing events persisted + live Stripe</t>
  </si>
  <si>
    <t xml:space="preserve">Rating</t>
  </si>
  <si>
    <t xml:space="preserve">4.5+</t>
  </si>
  <si>
    <t xml:space="preserve">4.6+</t>
  </si>
  <si>
    <t xml:space="preserve">4.7+</t>
  </si>
  <si>
    <t xml:space="preserve">Listing live; review-monitoring (ST-100) is Backlog</t>
  </si>
  <si>
    <t xml:space="preserve">MRR</t>
  </si>
  <si>
    <t xml:space="preserve">first $</t>
  </si>
  <si>
    <t xml:space="preserve">3x</t>
  </si>
  <si>
    <t xml:space="preserve">8x</t>
  </si>
  <si>
    <t xml:space="preserve">20x</t>
  </si>
  <si>
    <t xml:space="preserve">Live Stripe</t>
  </si>
  <si>
    <t xml:space="preserve">Logo churn/mo</t>
  </si>
  <si>
    <t xml:space="preserve">&lt;5%</t>
  </si>
  <si>
    <t xml:space="preserve">&lt;4%</t>
  </si>
  <si>
    <t xml:space="preserve">&lt;3%</t>
  </si>
  <si>
    <t xml:space="preserve">Persistence + at least one billing cycle of live data</t>
  </si>
  <si>
    <t xml:space="preserve">Launch prerequisite (AB-3): without the Postgres adapter, the product can launch but cannot report on itself — the S12 kill/continue gate would have no evidence. Flagged as a risk, not a story.</t>
  </si>
  <si>
    <t xml:space="preserve">Update 13/09 10:42: the persistence layer exists (both adapters, one contract suite). Activation is reportable per tenant today; the rest still need live Stripe or a live listing, not more code.</t>
  </si>
  <si>
    <t xml:space="preserve">Update 20/09/2026: the activation targets (30%→50%) now have an owner sprint (S47) per the review; trial→paid and MRR targets must be re-based on the banded model (D-OC8) and the computed Financial_Model (12% conversion is the assumption the whole plan rests on — S49 validates it).</t>
  </si>
  <si>
    <t xml:space="preserve">PRODUCT RISK REGISTER</t>
  </si>
  <si>
    <t xml:space="preserve">Risk</t>
  </si>
  <si>
    <t xml:space="preserve">Impact</t>
  </si>
  <si>
    <t xml:space="preserve">Likelihood</t>
  </si>
  <si>
    <t xml:space="preserve">Mitigation</t>
  </si>
  <si>
    <t xml:space="preserve">incident.io/Rootly move down-market on price</t>
  </si>
  <si>
    <t xml:space="preserve">High</t>
  </si>
  <si>
    <t xml:space="preserve">Realised</t>
  </si>
  <si>
    <t xml:space="preserve">incident.io Basic is now free (Slack-native response, single-team on-call, status page): four of five modules matched. Response: S45 elevated to primary differentiator; positioning rewritten around seat-count independence (83-99% saving for 30-500 engineers, not '40-50%'); bands (D-OC8)</t>
  </si>
  <si>
    <t xml:space="preserve">Slack platform pricing/API changes (post-Salesforce)</t>
  </si>
  <si>
    <t xml:space="preserve">Medium</t>
  </si>
  <si>
    <t xml:space="preserve">Events architecture abstraction; export path</t>
  </si>
  <si>
    <t xml:space="preserve">Bottom-up adoption stalls without champion</t>
  </si>
  <si>
    <t xml:space="preserve">Champion enablement kit; free tier for 1 service</t>
  </si>
  <si>
    <t xml:space="preserve">No platform adapter is wired (CF-002): Slack, paging, AI and status page are named stubs, so no incident can complete in a real workspace</t>
  </si>
  <si>
    <t xml:space="preserve">Critical</t>
  </si>
  <si>
    <t xml:space="preserve">Certain</t>
  </si>
  <si>
    <t xml:space="preserve">Explicit rather than commented — production boot refuses and names each one. S37-S38 closes it; needs the Slack workspace.</t>
  </si>
  <si>
    <t xml:space="preserve">Opsgenie support ends 5 Apr 2027 and new sales have stopped (CF-019)</t>
  </si>
  <si>
    <t xml:space="preserve">D-OC7: migration connector as the wedge; PagerDuty/JSM/Compass as primary targets.</t>
  </si>
  <si>
    <t xml:space="preserve">Enterprise positioning is unsupportable today: no SSO/SCIM/Grid, no KMS, no pen test, no live evidence (CF-012/016/017)</t>
  </si>
  <si>
    <t xml:space="preserve">Gate G0 adopted — do not market as enterprise-ready until S42-S44 and S48 close.</t>
  </si>
  <si>
    <t xml:space="preserve">Self-review has a floor: twenty-eight internal releases and four self-review passes left ten blockers standing</t>
  </si>
  <si>
    <t xml:space="preserve">External review is now a release input, not a launch formality (SC-09).</t>
  </si>
  <si>
    <t xml:space="preserve">Flat $99 leaves no expansion revenue; the computed model needs 305 paying workspaces and ~$215k of runway to reach a $444/mo surplus at M18</t>
  </si>
  <si>
    <t xml:space="preserve">Financial_Model computed with sensitivities; banded pricing (D-OC8); S49 price tests on bands; runway stated plainly</t>
  </si>
  <si>
    <t xml:space="preserve">Opsgenie migration window (support ends 05/04/2027) expires before the product can be sold into it</t>
  </si>
  <si>
    <t xml:space="preserve">PX-S3 importer sequenced before S41; needs D-OC7 ratified now</t>
  </si>
  <si>
    <t xml:space="preserve">The flat-per-workspace wedge is already occupied (Incident/Ops)</t>
  </si>
  <si>
    <t xml:space="preserve">Differentiate on bands + incident memory (S45), not on 'flat'</t>
  </si>
  <si>
    <t xml:space="preserve">Degraded platform ops are queued in memory and never replayed; receiver retry queue not drained at shutdown (PX-014/015)</t>
  </si>
  <si>
    <t xml:space="preserve">ST-129 (S42), ST-130 (S38); visible on every audit run (A12)</t>
  </si>
  <si>
    <t xml:space="preserve">Band enforcement (D-OC8) depends on users.list from the real Slack adapter — until S38 no workspace is ever 'over' its band</t>
  </si>
  <si>
    <t xml:space="preserve">Low</t>
  </si>
  <si>
    <t xml:space="preserve">Certain (until S38)</t>
  </si>
  <si>
    <t xml:space="preserve">Documented in PRICING_FAQ; S38 records the count at install and daily</t>
  </si>
  <si>
    <t xml:space="preserve">TRACEABILITY MATRIX — story -&gt; code module -&gt; test suite (release v008, 10/09/2026 22:22)</t>
  </si>
  <si>
    <t xml:space="preserve">Module / File</t>
  </si>
  <si>
    <t xml:space="preserve">Test Suite</t>
  </si>
  <si>
    <t xml:space="preserve">Evidence / Notes</t>
  </si>
  <si>
    <t xml:space="preserve">Runtime reachable? (v0.37.0)</t>
  </si>
  <si>
    <t xml:space="preserve">src/core/featureCore.ts</t>
  </si>
  <si>
    <t xml:space="preserve">tests/featureCore.test.ts</t>
  </si>
  <si>
    <t xml:space="preserve">Implemented, 100% coverage</t>
  </si>
  <si>
    <t xml:space="preserve">Yes — configuration reachable at /api/features/*</t>
  </si>
  <si>
    <t xml:space="preserve">src/incidents/declare.ts</t>
  </si>
  <si>
    <t xml:space="preserve">tests/declare.test.ts</t>
  </si>
  <si>
    <t xml:space="preserve">No — Slack channel/message adapters unwired (CF-002, S38)</t>
  </si>
  <si>
    <t xml:space="preserve">src/paging/paging.ts</t>
  </si>
  <si>
    <t xml:space="preserve">tests/paging.test.ts</t>
  </si>
  <si>
    <t xml:space="preserve">No — paging adapter unwired (CF-002/CF-019, S41)</t>
  </si>
  <si>
    <t xml:space="preserve">src/timeline/timeline.ts</t>
  </si>
  <si>
    <t xml:space="preserve">tests/timeline.test.ts</t>
  </si>
  <si>
    <t xml:space="preserve">Partly — export route live; capture depends on F1 (CF-002, S38)</t>
  </si>
  <si>
    <t xml:space="preserve">src/postmortem/postmortem.ts</t>
  </si>
  <si>
    <t xml:space="preserve">tests/postmortem.test.ts</t>
  </si>
  <si>
    <t xml:space="preserve">No — AI provider unwired (CF-002, S38)</t>
  </si>
  <si>
    <t xml:space="preserve">src/statuspage/statuspage.ts</t>
  </si>
  <si>
    <t xml:space="preserve">tests/statuspage.test.ts</t>
  </si>
  <si>
    <t xml:space="preserve">No — status-page adapter unwired (CF-002, S41)</t>
  </si>
  <si>
    <t xml:space="preserve">src/install/install.ts</t>
  </si>
  <si>
    <t xml:space="preserve">tests/install.test.ts</t>
  </si>
  <si>
    <t xml:space="preserve">OAuth exchange + attribution implemented and unit-tested; live Slack dev-store install pending</t>
  </si>
  <si>
    <t xml:space="preserve">No — Slack OAuth adapter unwired (CF-002, S38)</t>
  </si>
  <si>
    <t xml:space="preserve">Token revocation + 30-day deletion schedule tested; live uninstall webhook pending</t>
  </si>
  <si>
    <t xml:space="preserve">src/core/roles.ts</t>
  </si>
  <si>
    <t xml:space="preserve">tests/roles.test.ts</t>
  </si>
  <si>
    <t xml:space="preserve">Refresh rotation tested incl. post-uninstall guard; live Slack token rotation pending</t>
  </si>
  <si>
    <t xml:space="preserve">src/billing/billing.ts</t>
  </si>
  <si>
    <t xml:space="preserve">tests/billing.test.ts</t>
  </si>
  <si>
    <t xml:space="preserve">Partly — /api/billing/* live; the charge is a fake provider (CF-010, S40)</t>
  </si>
  <si>
    <t xml:space="preserve">Provider interface + proration/charge paths tested; live Stripe integration pending</t>
  </si>
  <si>
    <t xml:space="preserve">src/compliance/compliance.ts</t>
  </si>
  <si>
    <t xml:space="preserve">tests/compliance.test.ts</t>
  </si>
  <si>
    <t xml:space="preserve">Yes — /api/data/* over six real stores (CF-008 closed v0.36.0)</t>
  </si>
  <si>
    <t xml:space="preserve">docs/DATA_FLOW.md + docs/TRUST_SECURITY.md</t>
  </si>
  <si>
    <t xml:space="preserve">- (doc)</t>
  </si>
  <si>
    <t xml:space="preserve">Diagram + retention drafted; goes live with trust page publication</t>
  </si>
  <si>
    <t xml:space="preserve">n/a — document, not a runtime surface</t>
  </si>
  <si>
    <t xml:space="preserve">src/compliance/crypto.ts APPLIED in src/install/install.ts</t>
  </si>
  <si>
    <t xml:space="preserve">tests/install.test.ts + tests/crypto.test.ts</t>
  </si>
  <si>
    <t xml:space="preserve">Tokens now stored as ciphertext only (F-025 fixed a claim that was never applied); live infra at-rest evidence still pending</t>
  </si>
  <si>
    <t xml:space="preserve">src/compliance/audit.ts</t>
  </si>
  <si>
    <t xml:space="preserve">tests/audit.test.ts</t>
  </si>
  <si>
    <t xml:space="preserve">docs/SECURITY_EVIDENCE.md</t>
  </si>
  <si>
    <t xml:space="preserve">-</t>
  </si>
  <si>
    <t xml:space="preserve">Sandbox half done (threat model, control-&gt;test map, vendor brief); live pen test = vendor</t>
  </si>
  <si>
    <t xml:space="preserve">src/telemetry/telemetry.ts</t>
  </si>
  <si>
    <t xml:space="preserve">tests/telemetry.test.ts</t>
  </si>
  <si>
    <t xml:space="preserve">Yes — /api/analytics/* returns real payloads (CF-006/007 closed)</t>
  </si>
  <si>
    <t xml:space="preserve">src/telemetry/notifier.ts + telemetry.ts</t>
  </si>
  <si>
    <t xml:space="preserve">tests/moduleOnlyClosure.test.ts</t>
  </si>
  <si>
    <t xml:space="preserve">Spike now SENDS through a Notifier; webhook sink retains + retries failures</t>
  </si>
  <si>
    <t xml:space="preserve">src/http/adminApi.ts /api/analytics/detail</t>
  </si>
  <si>
    <t xml:space="preserve">Heatmap served to the workspace</t>
  </si>
  <si>
    <t xml:space="preserve">src/scheduler/scheduler.ts wired in serve.ts</t>
  </si>
  <si>
    <t xml:space="preserve">Weekly email fires once per week through the notifier; runner wired at boot</t>
  </si>
  <si>
    <t xml:space="preserve">Health score surfaced</t>
  </si>
  <si>
    <t xml:space="preserve">src/http/adminApi.ts /api/analytics/export</t>
  </si>
  <si>
    <t xml:space="preserve">CSV export owner-gated; member refused</t>
  </si>
  <si>
    <t xml:space="preserve">src/http/adminApi.ts /api/alerts/thresholds</t>
  </si>
  <si>
    <t xml:space="preserve">GET/POST with validation; rejects non-positive and non-numeric</t>
  </si>
  <si>
    <t xml:space="preserve">src/onboarding/onboarding.ts</t>
  </si>
  <si>
    <t xml:space="preserve">tests/onboarding.test.ts</t>
  </si>
  <si>
    <t xml:space="preserve">Yes — /api/onboarding reachable with a session (CF-006 closed)</t>
  </si>
  <si>
    <t xml:space="preserve">docs/HELP_CENTER.md</t>
  </si>
  <si>
    <t xml:space="preserve">15 articles drafted; hosting/search pending vendor pick (Senthil)</t>
  </si>
  <si>
    <t xml:space="preserve">src/support/chatSla.ts</t>
  </si>
  <si>
    <t xml:space="preserve">tests/chatSla.test.ts</t>
  </si>
  <si>
    <t xml:space="preserve">Built-in chat + 4-business-hr SLA engine w/ breach escalation; external vendor now OPTIONAL (Senthil call)</t>
  </si>
  <si>
    <t xml:space="preserve">- (content/ops)</t>
  </si>
  <si>
    <t xml:space="preserve">Deferred to launch phase</t>
  </si>
  <si>
    <t xml:space="preserve">docs/INCIDENT_COMMS_TEMPLATE.md + src/core/degradation.ts</t>
  </si>
  <si>
    <t xml:space="preserve">tests/degradation.test.ts</t>
  </si>
  <si>
    <t xml:space="preserve">Templates drafted; auto-comms strings live in code</t>
  </si>
  <si>
    <t xml:space="preserve">jest.config.js (100% gate per D13)</t>
  </si>
  <si>
    <t xml:space="preserve">all 16 suites</t>
  </si>
  <si>
    <t xml:space="preserve">Superseded by D13: gate raised to 100/100/100/100 and enforced in jest.config.js</t>
  </si>
  <si>
    <t xml:space="preserve">Yes — internal: runs in CI on every push</t>
  </si>
  <si>
    <t xml:space="preserve">tests/smoke.e2e.test.ts + .github/workflows/ci.yml</t>
  </si>
  <si>
    <t xml:space="preserve">tests/smoke.e2e.test.ts</t>
  </si>
  <si>
    <t xml:space="preserve">Full-lifecycle smoke test; CI runs suite + coverage gate on every push</t>
  </si>
  <si>
    <t xml:space="preserve">src/http/router.ts instrumentation + /ops/latency</t>
  </si>
  <si>
    <t xml:space="preserve">p95 MEASURED per route from real traffic and graded against budgets; slash-command breach detected in test</t>
  </si>
  <si>
    <t xml:space="preserve">loadtest/k6-launch-load.js + src/live/loadSigner.ts</t>
  </si>
  <si>
    <t xml:space="preserve">tests/loadSigner.test.ts</t>
  </si>
  <si>
    <t xml:space="preserve">Harness now executable — signed fixtures generated; needs staging URL to run</t>
  </si>
  <si>
    <t xml:space="preserve">src/blockkit/accessibility.ts</t>
  </si>
  <si>
    <t xml:space="preserve">tests/blockkit.test.ts</t>
  </si>
  <si>
    <t xml:space="preserve">Web shells removed as obsolete under Slack-first; evidence is now the Block Kit auditor on shipped views</t>
  </si>
  <si>
    <t xml:space="preserve">scripts/backup-restore-drill.sh + src/db/schema.ts</t>
  </si>
  <si>
    <t xml:space="preserve">tests/schema.test.ts</t>
  </si>
  <si>
    <t xml:space="preserve">Drill tables now exist as migrations with parity test; needs live Postgres to execute</t>
  </si>
  <si>
    <t xml:space="preserve">src/core/degradation.ts</t>
  </si>
  <si>
    <t xml:space="preserve">Outage simulated in tests: breaker opens, ops queue, user comms issued; recovery replay path tested</t>
  </si>
  <si>
    <t xml:space="preserve">.github/workflows/deploy-blue-green.yml</t>
  </si>
  <si>
    <t xml:space="preserve">- (infra)</t>
  </si>
  <si>
    <t xml:space="preserve">Approval-gated switch, warm-blue rollback, 100x4 gate blocks deploy</t>
  </si>
  <si>
    <t xml:space="preserve">docs/LISTING_COPY.md</t>
  </si>
  <si>
    <t xml:space="preserve">A (MTTR-led) + B (postmortem-led) drafted; reviewer sign-off pending</t>
  </si>
  <si>
    <t xml:space="preserve">- (launch ops)</t>
  </si>
  <si>
    <t xml:space="preserve">n/a — listing artefact, not a runtime surface</t>
  </si>
  <si>
    <t xml:space="preserve">docs/PRICING_FAQ.md</t>
  </si>
  <si>
    <t xml:space="preserve">Plan matrix + 6 FAQs from billing logic; tiering final call pending</t>
  </si>
  <si>
    <t xml:space="preserve">docs/TRUST_SECURITY.md</t>
  </si>
  <si>
    <t xml:space="preserve">Scopes/retention/encryption/subprocessors drafted; ST-066/068 evidence slots marked</t>
  </si>
  <si>
    <t xml:space="preserve">docs/REVIEW_PACK.md</t>
  </si>
  <si>
    <t xml:space="preserve">Cold pass 1 done by author (F-001..004 fixed); external reviewer = independence, Senthil to appoint</t>
  </si>
  <si>
    <t xml:space="preserve">docs/LAUNCH_RUNBOOK.md</t>
  </si>
  <si>
    <t xml:space="preserve">Monitoring, rollback triggers, comms tree, first-week cadence</t>
  </si>
  <si>
    <t xml:space="preserve">src/incidents/declare.ts, src/paging/paging.ts, src/postmortem/postmortem.ts, src/statuspage/statuspage.ts, src/install/install.ts, src/billing/billing.ts</t>
  </si>
  <si>
    <t xml:space="preserve">tests/px/asyncBoundary.test.ts</t>
  </si>
  <si>
    <t xml:space="preserve">tsc clean; nine interfaces asserted Promise-returning by the compiler API</t>
  </si>
  <si>
    <t xml:space="preserve">Yes — contract; internal</t>
  </si>
  <si>
    <t xml:space="preserve">src/app/workflow.ts, src/timeline/timeline.ts, src/postmortem/postmortem.ts, src/statuspage/statuspage.ts</t>
  </si>
  <si>
    <t xml:space="preserve">tests/workflow.test.ts, tests/px/*</t>
  </si>
  <si>
    <t xml:space="preserve">Runners in runtime.ts await the workflow; the resolve path drafts the postmortem under the breaker</t>
  </si>
  <si>
    <t xml:space="preserve">Partly — reaches the unwired adapters (S38)</t>
  </si>
  <si>
    <t xml:space="preserve">src/core/degradation.ts, src/compliance/compliance.ts</t>
  </si>
  <si>
    <t xml:space="preserve">tests/px/identityAndWindows.test.ts, tests/degradation.test.ts</t>
  </si>
  <si>
    <t xml:space="preserve">5 concurrent failing calls open the breaker exactly once; a late failure does not extend the cooldown</t>
  </si>
  <si>
    <t xml:space="preserve">Yes — internal</t>
  </si>
  <si>
    <t xml:space="preserve">src/incidents/ack.ts</t>
  </si>
  <si>
    <t xml:space="preserve">tests/ack.test.ts, tests/px/ackDurability.test.ts</t>
  </si>
  <si>
    <t xml:space="preserve">pending() counts in-flight; /health reports inFlight</t>
  </si>
  <si>
    <t xml:space="preserve">Yes — /health</t>
  </si>
  <si>
    <t xml:space="preserve">src/core/degradation.ts (withBudget, PLATFORM_CALL_BUDGET_MS)</t>
  </si>
  <si>
    <t xml:space="preserve">tests/px/identityAndWindows.test.ts</t>
  </si>
  <si>
    <t xml:space="preserve">A call over budget returns reason:'timeout' with user comms</t>
  </si>
  <si>
    <t xml:space="preserve">tests/* (26 suites migrated)</t>
  </si>
  <si>
    <t xml:space="preserve">npx jest --coverage</t>
  </si>
  <si>
    <t xml:space="preserve">624 tests; 100% over src/ and scripts/</t>
  </si>
  <si>
    <t xml:space="preserve">Yes — CI</t>
  </si>
  <si>
    <t xml:space="preserve">tests/px/asyncBoundary.test.ts (TS compiler API scan)</t>
  </si>
  <si>
    <t xml:space="preserve">Found one floating .then in degradation.ts on first run</t>
  </si>
  <si>
    <t xml:space="preserve">src/app/workflow.ts, src/billing/entitlements.ts</t>
  </si>
  <si>
    <t xml:space="preserve">tests/px/enforcementWiring.test.ts</t>
  </si>
  <si>
    <t xml:space="preserve">Source check: exactly one enforcement method on the write path</t>
  </si>
  <si>
    <t xml:space="preserve">Yes — via the deferred declare runner</t>
  </si>
  <si>
    <t xml:space="preserve">src/composition/runtime.ts (composeRuntime)</t>
  </si>
  <si>
    <t xml:space="preserve">Asserts the STORE counter, not a per-process view</t>
  </si>
  <si>
    <t xml:space="preserve">src/composition/runtime.ts</t>
  </si>
  <si>
    <t xml:space="preserve">limit allowed, 10 refused, across two runtimes</t>
  </si>
  <si>
    <t xml:space="preserve">src/billing/billing.ts (rolloverDueCycles, CYCLE_MS), src/composition/runtime.ts</t>
  </si>
  <si>
    <t xml:space="preserve">Five ticks in a day: no reset; a cycle later: exactly one; shared meter reset too</t>
  </si>
  <si>
    <t xml:space="preserve">Yes — leased daily job</t>
  </si>
  <si>
    <t xml:space="preserve">src/billing/billing.ts, src/billing/pricingDoc.ts, docs/PRICING_FAQ.md, GET /api/billing/band</t>
  </si>
  <si>
    <t xml:space="preserve">tests/pricingDoc.test.ts, tests/px/enforcementWiring.test.ts</t>
  </si>
  <si>
    <t xml:space="preserve">Band exceeded → clear upgrade message naming the covering plan; reads stay open</t>
  </si>
  <si>
    <t xml:space="preserve">Yes — /api/billing/band</t>
  </si>
  <si>
    <t xml:space="preserve">audit.mjs v3 (A10-A13), docs/PORTFOLIO_AUDIT_PLAYBOOK.md v3</t>
  </si>
  <si>
    <t xml:space="preserve">node audit.mjs .</t>
  </si>
  <si>
    <t xml:space="preserve">A10 found PX-013 in V037 itself</t>
  </si>
  <si>
    <t xml:space="preserve">n/a — tool</t>
  </si>
  <si>
    <t xml:space="preserve">src/composition/production.ts, src/composition/providers.ts</t>
  </si>
  <si>
    <t xml:space="preserve">tests/px/providerGate.test.ts</t>
  </si>
  <si>
    <t xml:space="preserve">Compile-time assertion: omission is a build error</t>
  </si>
  <si>
    <t xml:space="preserve">Yes — boot gate</t>
  </si>
  <si>
    <t xml:space="preserve">src/core/provider.ts, src/composition/production.ts (probeComposition)</t>
  </si>
  <si>
    <t xml:space="preserve">Gate proven to refuse AND to permit; /ops/composition shows probe results</t>
  </si>
  <si>
    <t xml:space="preserve">Yes — boot gate + /ops/composition</t>
  </si>
  <si>
    <t xml:space="preserve">src/composition/providers.ts (providerInventory/providerRecord)</t>
  </si>
  <si>
    <t xml:space="preserve">Object.keys(ProviderSet) == REQUIRED_PROVIDERS</t>
  </si>
  <si>
    <t xml:space="preserve">src/incidents/ack.ts (Drainable), src/core/lifecycle.ts, src/composition/runtime.ts</t>
  </si>
  <si>
    <t xml:space="preserve">tests/px/ackDurability.test.ts</t>
  </si>
  <si>
    <t xml:space="preserve">runtime.shutdown() → 0 lost; the declare's result posted</t>
  </si>
  <si>
    <t xml:space="preserve">Yes — lifecycle</t>
  </si>
  <si>
    <t xml:space="preserve">src/db/repository.ts (DeferredWorkStore), src/db/schema.ts, src/incidents/ack.ts</t>
  </si>
  <si>
    <t xml:space="preserve">tests/px/ackDurability.test.ts, tests/px/pgStores.integration.test.ts</t>
  </si>
  <si>
    <t xml:space="preserve">Second runtime restores and completes; 3 attempts then definite failure; export omits the URL</t>
  </si>
  <si>
    <t xml:space="preserve">Yes — restore path</t>
  </si>
  <si>
    <t xml:space="preserve">src/db/repository.ts (acquireDue/recordRun), src/scheduler/scheduler.ts</t>
  </si>
  <si>
    <t xml:space="preserve">tests/px/leaseFrequency.test.ts</t>
  </si>
  <si>
    <t xml:space="preserve">Five restarts in a day → one run</t>
  </si>
  <si>
    <t xml:space="preserve">Yes — scheduler</t>
  </si>
  <si>
    <t xml:space="preserve">src/paging/paging.ts, src/core/config.ts, src/composition/runtime.ts</t>
  </si>
  <si>
    <t xml:space="preserve">Id reaching PagingService == inventory</t>
  </si>
  <si>
    <t xml:space="preserve">src/db/repository.ts (loadSince), src/events/receiver.ts, src/composition/runtime.ts</t>
  </si>
  <si>
    <t xml:space="preserve">Retry inside the window is a duplicate after restart; outside is not</t>
  </si>
  <si>
    <t xml:space="preserve">scripts/serve.ts (main, requestListener, portFrom), scripts/*.ts, jest.config.js</t>
  </si>
  <si>
    <t xml:space="preserve">tests/px/bootSmoke.test.ts</t>
  </si>
  <si>
    <t xml:space="preserve">100% over scripts/; CI package job also boots the built artifact and drains on SIGTERM</t>
  </si>
  <si>
    <t xml:space="preserve">src/http/session.ts, src/install/install.ts, src/composition/runtime.ts, src/http/adminApi.ts (onTenantDeleted)</t>
  </si>
  <si>
    <t xml:space="preserve">Revoked inside the 12 h TTL; legacy tokens refused</t>
  </si>
  <si>
    <t xml:space="preserve">Yes — /api/* resolver</t>
  </si>
  <si>
    <t xml:space="preserve">src/compliance/crypto.ts, src/install/install.ts (reencryptTokens/staleKeyIds), src/http/adminApi.ts</t>
  </si>
  <si>
    <t xml:space="preserve">k1 → k2 readable and re-writable; idempotent</t>
  </si>
  <si>
    <t xml:space="preserve">Yes — /ops/rotate-keys</t>
  </si>
  <si>
    <t xml:space="preserve">src/app/workflow.ts, src/composition/runtime.ts</t>
  </si>
  <si>
    <t xml:space="preserve">tests/px/edges.test.ts</t>
  </si>
  <si>
    <t xml:space="preserve">Four concurrent declares across two runtimes → four distinct ids</t>
  </si>
  <si>
    <t xml:space="preserve">Yes — declare runner</t>
  </si>
  <si>
    <t xml:space="preserve">src/paging/opsgenieImport.ts (planned)</t>
  </si>
  <si>
    <t xml:space="preserve">planned: tests/px/opsgenieImport.test.ts</t>
  </si>
  <si>
    <t xml:space="preserve">Migration wedge — window closes 05/04/2027 (D-OC7)</t>
  </si>
  <si>
    <t xml:space="preserve">No — not built</t>
  </si>
  <si>
    <t xml:space="preserve">planned</t>
  </si>
  <si>
    <t xml:space="preserve">Exit: a real Opsgenie export imported into a real workspace with a diff report</t>
  </si>
  <si>
    <t xml:space="preserve">docs/LISTING_COPY.md (planned section)</t>
  </si>
  <si>
    <t xml:space="preserve">doc review</t>
  </si>
  <si>
    <t xml:space="preserve">Positioning per review §3.4</t>
  </si>
  <si>
    <t xml:space="preserve">n/a — launch artefact</t>
  </si>
  <si>
    <t xml:space="preserve">src/core/degradation.ts (planned)</t>
  </si>
  <si>
    <t xml:space="preserve">A12 open item</t>
  </si>
  <si>
    <t xml:space="preserve">src/events/receiver.ts (planned)</t>
  </si>
  <si>
    <t xml:space="preserve">A12 open item; low risk today</t>
  </si>
  <si>
    <t xml:space="preserve">Coverage evidence: 60 suites / 624 tests (616 run, 8 gated on a real Postgres) at 100% statements, branches, functions and lines over src/ AND scripts/; clean tsc over src+scripts and tests (v0.37.0). scripts/ is inside the gate for the first time (A9). Reachability of ST-001..ST-100 deliberately unchanged from V036: PX-S0..S2 make the adapters drop-ins; wiring them is S38 (needs SC-06).</t>
  </si>
  <si>
    <t xml:space="preserve">SPRINT TRACKER LOG — OnCall Copilot (Slack)</t>
  </si>
  <si>
    <t xml:space="preserve">Time</t>
  </si>
  <si>
    <t xml:space="preserve">Activity</t>
  </si>
  <si>
    <t xml:space="preserve">Output / Evidence</t>
  </si>
  <si>
    <t xml:space="preserve">10/09/2026</t>
  </si>
  <si>
    <t xml:space="preserve">22:22</t>
  </si>
  <si>
    <t xml:space="preserve">Session opened on directive: sprint tracker + traceability + next-version workbook + complete development with 100% automation testing (D13)</t>
  </si>
  <si>
    <t xml:space="preserve">This log; v007 taken as baseline</t>
  </si>
  <si>
    <t xml:space="preserve">22:24</t>
  </si>
  <si>
    <t xml:space="preserve">Foundation: project scaffold (TypeScript/Node, Jest 100% coverageThreshold), error model, role matrix, OAuth install lifecycle, install telemetry</t>
  </si>
  <si>
    <t xml:space="preserve">src/core, src/install; ST-053/054/056 Done; ST-051/052/055 code-complete pending live Slack</t>
  </si>
  <si>
    <t xml:space="preserve">S2-S3</t>
  </si>
  <si>
    <t xml:space="preserve">F1 /incident declare: slash-command service, Block Kit modal spec, channel create + post, error/retry, permissions; shared feature framework (setup/rules/pause/import/notify/metrics) for all features</t>
  </si>
  <si>
    <t xml:space="preserve">src/incidents/declare.ts, src/core/featureCore.ts; ST-001..010 Done</t>
  </si>
  <si>
    <t xml:space="preserve">S3-S4</t>
  </si>
  <si>
    <t xml:space="preserve">F2 responder paging: PagerDuty/Opsgenie provider interface, on-call resolution, page fan-out, failure surfacing; telemetry funnel + error-spike alerts</t>
  </si>
  <si>
    <t xml:space="preserve">src/paging, src/telemetry; ST-011..020, ST-071/072 Done</t>
  </si>
  <si>
    <t xml:space="preserve">F3 auto timeline capture: event ingest, bot filtering, ordered per-incident view, markdown export; onboarding checklist + empty states</t>
  </si>
  <si>
    <t xml:space="preserve">src/timeline, src/onboarding; ST-021..030, ST-078/079 Done</t>
  </si>
  <si>
    <t xml:space="preserve">F4 AI postmortem draft behind provider interface; E5 billing: trial/proration/dunning/limits/invoices/cancellation (live Stripe pending ST-059)</t>
  </si>
  <si>
    <t xml:space="preserve">src/postmortem, src/billing; ST-031..040, ST-057/058/060..063 Done</t>
  </si>
  <si>
    <t xml:space="preserve">F5 status page publish + worst-of overall state; E6 scope map, data rights export/delete, backoff + circuit breaker, audit log; p95 latency budgets</t>
  </si>
  <si>
    <t xml:space="preserve">src/statuspage, src/compliance, src/core/latency.ts; ST-041..050, ST-064/067/069/070, ST-087 Done</t>
  </si>
  <si>
    <t xml:space="preserve">Automation testing to D13 gate: 16 Jest suites, 105 tests, 100/100/100/100 coverage enforced in config; E2E smoke lifecycle suite; CI workflow runs on every push</t>
  </si>
  <si>
    <t xml:space="preserve">jest --coverage output; tests/smoke.e2e.test.ts; .github/workflows/ci.yml; ST-085/086 Done</t>
  </si>
  <si>
    <t xml:space="preserve">Workbook v008: Sprint_Tracker_Log + Traceability_Matrix added; Full_Backlog statuses updated (75 Done / 5 Code-complete / 2 In progress / 18 Backlog); Sprint_Board recalculated</t>
  </si>
  <si>
    <t xml:space="preserve">This workbook</t>
  </si>
  <si>
    <t xml:space="preserve">S9+</t>
  </si>
  <si>
    <t xml:space="preserve">NEXT: live Slack dev-store install (ST-051/052/055), Stripe live (ST-059), infra encryption verification (ST-066), then S9 review-prep items; D15 sequencing decision open (now 4 concurrent builds)</t>
  </si>
  <si>
    <t xml:space="preserve">22:55</t>
  </si>
  <si>
    <t xml:space="preserve">Events API receiver built (Launch_Checklist #4): HMAC signature verify, 5-min replay guard, event dedupe on Slack retries, retry queue w/ exponential backoff + dead-letter after 5 attempts</t>
  </si>
  <si>
    <t xml:space="preserve">src/events/receiver.ts; 10 tests; checklist #4 -&gt; Code-complete (live burst validation pending)</t>
  </si>
  <si>
    <t xml:space="preserve">S8-S9</t>
  </si>
  <si>
    <t xml:space="preserve">ST-091 graceful degradation: circuit-breaker-wrapped platform calls, user-facing outage comms per provider, replay queue + recovery path — outage simulated and tested. ST-074 scheduler wired to weekly metrics email</t>
  </si>
  <si>
    <t xml:space="preserve">src/core/degradation.ts, src/scheduler/scheduler.ts; both stories Done</t>
  </si>
  <si>
    <t xml:space="preserve">S9-S10</t>
  </si>
  <si>
    <t xml:space="preserve">Launch content drafted: listing copy A+B (ST-093), pricing matrix+FAQ (ST-095), security/trust page (ST-096, closes ST-065 draft), launch runbook (ST-098), incident comms templates (ST-084), 15 help articles (ST-080), k6 5x load script (ST-088)</t>
  </si>
  <si>
    <t xml:space="preserve">docs/*.md, loadtest/k6-launch-load.js; all marked Drafted pending review/hosting/staging</t>
  </si>
  <si>
    <t xml:space="preserve">Full suite re-run after additions: 19 suites / 122 tests, 100/100/100/100 held; tsc clean; workbook v009 released</t>
  </si>
  <si>
    <t xml:space="preserve">jest --coverage; this workbook</t>
  </si>
  <si>
    <t xml:space="preserve">NEXT (Senthil-gated): Slack dev workspace + signing secret for live install (ST-051/052/055), Stripe live (ST-059), infra encryption evidence (ST-066), pen-test vendor (ST-068), chat vendor (ST-081), listing A/B pick + reviewer (ST-093/097), staging URL for k6 (ST-088); D15 sequencing decision</t>
  </si>
  <si>
    <t xml:space="preserve">23:03</t>
  </si>
  <si>
    <t xml:space="preserve">Standalone tracker released: claude_v001_oncallcopilot_sprint_tracker_traceability_20260910_2303.xlsx (TeleField template) — E001-E010 across both runs, V008+V009 build boards, 11-col traceability, live rollup (77 Done/311 pts), RAID, D7 gate checklist; D-OC1/2/3 flagged for ratification</t>
  </si>
  <si>
    <t xml:space="preserve">Tracker v001</t>
  </si>
  <si>
    <t xml:space="preserve">23:10</t>
  </si>
  <si>
    <t xml:space="preserve">S1-live prep</t>
  </si>
  <si>
    <t xml:space="preserve">Live-readiness: typed config loader (fail-fast, all vars listed, redacted summary), 12-step scripted live verification sweep (8 auto + 4 operator steps, dry-run stub, failure/exception paths tested), 30-min dev-workspace guide with least-privilege manifest.json + .env.example, npm run live-sweep CLI</t>
  </si>
  <si>
    <t xml:space="preserve">src/core/config.ts, src/live/sweep.ts, docs/DEV_WORKSPACE_SETUP.md, scripts/live-sweep.ts</t>
  </si>
  <si>
    <t xml:space="preserve">D13 gate re-verified after additions: 21 suites / 133 tests, 100/100/100/100; tsc clean. Workbook v010 released — no story status changes (readiness work, not story scope); live sweep IS the S1-live exit script</t>
  </si>
  <si>
    <t xml:space="preserve">S1-live</t>
  </si>
  <si>
    <t xml:space="preserve">NEXT: Senthil runs DEV_WORKSPACE_SETUP.md (30 min) then npm run live-sweep — all 12 green flips ST-051/052/055 Code-complete -&gt; Done and closes LC-1/LC-3 evidence; Stripe keys separately for ST-059; D15 still open</t>
  </si>
  <si>
    <t xml:space="preserve">11/09/2026</t>
  </si>
  <si>
    <t xml:space="preserve">08:41</t>
  </si>
  <si>
    <t xml:space="preserve">COLD-REVIEW PASS 1 (EngageOS pattern): 4 defects found + FIXED with regressions — F-001 payment-recovery path missing (read-only permanent), F-002 usage never reset per cycle, F-003 unbounded dedupe ledger -&gt; FIFO 10k, F-004 timeline config knobs dead. F-005..F-008 logged in new Review_Findings sheet for disposition. REVIEW_PACK.md added for external reviewer (ST-097 -&gt; In progress; same-AI review not independent)</t>
  </si>
  <si>
    <t xml:space="preserve">Review_Findings; docs/REVIEW_PACK.md</t>
  </si>
  <si>
    <t xml:space="preserve">ST-097 In progress</t>
  </si>
  <si>
    <t xml:space="preserve">F-005/006/007 dispositions = Senthil</t>
  </si>
  <si>
    <t xml:space="preserve">next entry</t>
  </si>
  <si>
    <t xml:space="preserve">OPS PARITY PACK (ShiftDesk pattern): blue/green deploy workflow (approval-gated switch, warm-blue rollback, 100x4 gate blocks deploy) + 6-step scripted backup/restore drill (checksum, row-count parity, spot-read). ST-092/ST-090 Backlog -&gt; Drafted</t>
  </si>
  <si>
    <t xml:space="preserve">ST-090,ST-092</t>
  </si>
  <si>
    <t xml:space="preserve">2 stories Drafted</t>
  </si>
  <si>
    <t xml:space="preserve">Real infra/Postgres = Senthil</t>
  </si>
  <si>
    <t xml:space="preserve">Gate re-met: 22 suites / 139 tests, 100/100/100/100; tsc clean; codebase v0.11.0. Workbook v011 released — 77 Done / 5 Code-complete / 10 Drafted / 1 In progress / 7 Backlog (remaining Backlog all external: pen test, chat vendor, demo video, WCAG-live, listing assets, SEO, review-monitoring)</t>
  </si>
  <si>
    <t xml:space="preserve">v011 Released</t>
  </si>
  <si>
    <t xml:space="preserve">—</t>
  </si>
  <si>
    <t xml:space="preserve">tracker v003</t>
  </si>
  <si>
    <t xml:space="preserve">12:51</t>
  </si>
  <si>
    <t xml:space="preserve">SIBLING-VALIDATED CODEABLE SCOPE: ST-066 encryption-at-rest built (AES-256-GCM field crypto behind SecretsVault boundary, key-ID rotation, tamper detection — FlowCast pattern); ST-068 sandbox half (SECURITY_EVIDENCE.md: threat model, control-&gt;test map, pen-test vendor brief) -&gt; In progress; ST-081 in-app chat + 4-business-hr SLA engine (breach detection over business-time calendar, escalation) -&gt; Code-complete, chat VENDOR NOW OPTIONAL (TeleField precedent); ST-089 automated WCAG AA half: 6 accessible screen shells + jest-axe suite green in CI -&gt; In progress</t>
  </si>
  <si>
    <t xml:space="preserve">ST-066/068/081/089</t>
  </si>
  <si>
    <t xml:space="preserve">Backlog 7 -&gt; 4; one jsdom-pragma test-config slip fixed pre-release</t>
  </si>
  <si>
    <t xml:space="preserve">ST-089 live audit + pen test + F-dispositions = Senthil</t>
  </si>
  <si>
    <t xml:space="preserve">Gate re-met: 25 suites / 156 tests, 100/100/100/100; tsc clean; codebase v0.12.0. Workbook v012 released — 77 Done / 6 Code-complete / 10 Drafted / 3 In progress / 4 Backlog (083 demo video, 094 listing assets, 099 SEO, 100 review monitoring — all external). SANDBOX-CODEABLE BACKLOG NOW FULLY EXHAUSTED: every remaining item needs Senthil or a live platform</t>
  </si>
  <si>
    <t xml:space="preserve">v012 Released</t>
  </si>
  <si>
    <t xml:space="preserve">Full queue on Senthil side</t>
  </si>
  <si>
    <t xml:space="preserve">tracker v004</t>
  </si>
  <si>
    <t xml:space="preserve">13/09/2026</t>
  </si>
  <si>
    <t xml:space="preserve">09:54</t>
  </si>
  <si>
    <t xml:space="preserve">COLD-REVIEW PASS 2 over the modules pass 1 skipped (install, paging, postmortem, telemetry, featureCore import, compliance): 5 defects found + FIXED with pinned regressions — F-009 retention sweep never deleted anything (published policy breached), F-010 unbounded error ledger, F-011 paging fan-out lost partial success (double-page on retry), F-012 postmortem accepted a foreign incident timeline, F-013 CSV import broke on quoted fields -&gt; new RFC-4180 csv.ts</t>
  </si>
  <si>
    <t xml:space="preserve">F-009..F-013</t>
  </si>
  <si>
    <t xml:space="preserve">5 fixes + 11 regressions</t>
  </si>
  <si>
    <t xml:space="preserve">EXTERNAL VERIFICATION SWEEP vs live Slack platform docs (FlowCast/VoiceBridge pattern): VER-OC1 LIVE-BLOCKING — slash commands must ack within 3s or Slack times out AND retries, and declare() worked synchronously in that path =&gt; duplicate incident channels on the day; fixed with ack-first + response_url delivery. VER-OC2 conversations.create naming/name_taken rules (archived channels block reuse) fixed with slugifier + deterministic suffixing. VER-OC3 12h token TTL + single-use refresh token: expiry tracking + proactive refresh at 2h margin. VER-OC4 verified correct (retry x3 ~1 min apart — our dedupe handles it)</t>
  </si>
  <si>
    <t xml:space="preserve">VER-OC1..OC4</t>
  </si>
  <si>
    <t xml:space="preserve">3 fixes + 1 verified-correct</t>
  </si>
  <si>
    <t xml:space="preserve">Live burst validation still needs workspace</t>
  </si>
  <si>
    <t xml:space="preserve">Gate: 27 suites / 180 tests, 100/100/100/100; tsc clean; codebase v0.13.0. Two pre-existing paging tests asserted the old throw-on-failure contract and were deliberately rewritten to the new PagingOutcome contract (documented in-file). Workbook v013 released; story counts unchanged (correctness release, no new stories)</t>
  </si>
  <si>
    <t xml:space="preserve">v013 Released</t>
  </si>
  <si>
    <t xml:space="preserve">tracker v005</t>
  </si>
  <si>
    <t xml:space="preserve">10:01</t>
  </si>
  <si>
    <t xml:space="preserve">ARTIFACT-GAP AUDIT (FlowCast/VoiceBridge/TestPulse pattern — cross-check every artifact our docs and scripts reference against what exists): 5 gaps found, 2 CRITICAL. GAP-OC1 NO HTTP APP EXISTED — manifest/setup-guide/k6 all pointed at routes nothing served, so the 30-minute setup was impossible and the live sweep would have died at SW-09. GAP-OC2 NO DATABASE SCHEMA — the backup drill queried tables that were never defined and the retention sweep had nothing to delete from. GAP-OC3 k6 had no way to produce signed payloads. GAP-OC4 manifest.json existed only inside a markdown fence. GAP-OC5 pricing doc ungated against billing.ts</t>
  </si>
  <si>
    <t xml:space="preserve">GAP-OC1..OC5</t>
  </si>
  <si>
    <t xml:space="preserve">All 5 fixed</t>
  </si>
  <si>
    <t xml:space="preserve">Live run still needs workspace + Postgres</t>
  </si>
  <si>
    <t xml:space="preserve">BUILT: router + app wiring all five routes (signature verification, 3-second ack contract, oauth callback, health) + npm start shell; 5 ordered migrations with cascade deletes and a drill-vs-schema parity test + npm run migrate; signed load-fixture generator; manifest.json at repo root incl. the previously-missing slash-command URL; pricing matrix generated from billing.ts with a drift gate. ST-088/ST-090 Drafted -&gt; Code-complete (their blocking artifacts now exist)</t>
  </si>
  <si>
    <t xml:space="preserve">ST-088,ST-090</t>
  </si>
  <si>
    <t xml:space="preserve">2 stories advanced</t>
  </si>
  <si>
    <t xml:space="preserve">Staging URL + Postgres = Senthil</t>
  </si>
  <si>
    <t xml:space="preserve">Gate: 31 suites / 201 tests, 100/100/100/100; tsc clean; codebase v0.14.0. The pricing drift gate fired on its first run (doc said 2,000 vs engine 2000) — normalised separators rather than weakening the check. Workbook v014 released — 77 Done / 8 Code-complete / 8 Drafted / 3 In progress / 4 Backlog</t>
  </si>
  <si>
    <t xml:space="preserve">v014 Released</t>
  </si>
  <si>
    <t xml:space="preserve">tracker v006</t>
  </si>
  <si>
    <t xml:space="preserve">10:22</t>
  </si>
  <si>
    <t xml:space="preserve">COLD-REVIEW PASS 3 over the v014 HTTP/tenancy surface, audited against defect classes found on sibling products (MeetSync M-F04/M-F12/M-F15/M-F21): 4 defects, 2 CRITICAL. F-014 NO MULTI-TENANCY — one IncidentService/FeatureManager/id-counter served every workspace, so workspace B could read workspace A incidents and ids collided; the v014 HTTP layer made it reachable. F-015 OAUTH CSRF — callback took any code with no state. F-016 valid Slack signature treated as proof of installation. F-017 unauthenticated /health leaked version + queue depth</t>
  </si>
  <si>
    <t xml:space="preserve">F-014..F-017</t>
  </si>
  <si>
    <t xml:space="preserve">4 fixes, 12 regressions</t>
  </si>
  <si>
    <t xml:space="preserve">BUILT: TenantRegistry (isolated per-workspace bundles, unscoped access refused, evict on purge); OAuthStateStore (HMAC-signed single-use TTL state) + new /oauth/start entry point; installation guard on the command path; operator-token gate on detailed health with OPERATOR_TOKEN required at boot. serve.ts shell, .env.example and the setup guide updated in the same pass so no artifact drifts from the code (L-OC3 discipline). VER-OC5 checked and verified non-applicable (our router is synchronous)</t>
  </si>
  <si>
    <t xml:space="preserve">VER-OC5</t>
  </si>
  <si>
    <t xml:space="preserve">Artifacts kept in sync</t>
  </si>
  <si>
    <t xml:space="preserve">Live run unchanged</t>
  </si>
  <si>
    <t xml:space="preserve">Gate: 32 suites / 213 tests, 100/100/100/100; tsc clean; codebase v0.15.0. One v014 test asserted the pre-guard command contract and was deliberately updated (L-OC2 discipline — the contract changed, not the test). Workbook v015 released; story counts unchanged (correctness release)</t>
  </si>
  <si>
    <t xml:space="preserve">v015 Released</t>
  </si>
  <si>
    <t xml:space="preserve">tracker v007</t>
  </si>
  <si>
    <t xml:space="preserve">10:38</t>
  </si>
  <si>
    <t xml:space="preserve">AS-BUILT RE-BASELINE (MeetSync pattern; first since the 05/09 spec was written): Product_Spec, Screens_Wireframes and Metrics_Targets rewritten to reality after 9 releases of drift. Honest divergences recorded rather than smoothed — AB-1 six of nine screens have shells and NONE is data-wired (no dashboard API exists); AB-2 of five non-functional claims only rate-limit safety is met, p95 never measured, uptime not measurable, WCAG partial, SOC2 partial; AB-3 not one of the six metric targets is reportable end to end without the Postgres adapter</t>
  </si>
  <si>
    <t xml:space="preserve">AB-1..AB-3</t>
  </si>
  <si>
    <t xml:space="preserve">Spec sheets now match code</t>
  </si>
  <si>
    <t xml:space="preserve">Postgres adapter = launch prerequisite for self-reporting</t>
  </si>
  <si>
    <t xml:space="preserve">F-018 FIXED, found by that audit and by no test: the role matrix was enforced everywhere but nothing ASSIGNED a role — every slash command ran as hardcoded member, the OAuth callback as hardcoded owner, so owner/admin capability was unreachable on the only live surface. RoleResolver added: installer seeded as owner from the signed user_id, roles scoped per workspace, promotion rules, last-owner demotion blocked, purge on retention</t>
  </si>
  <si>
    <t xml:space="preserve">F-018</t>
  </si>
  <si>
    <t xml:space="preserve">9 regressions</t>
  </si>
  <si>
    <t xml:space="preserve">Gate: 33 suites / 222 tests, 100/100/100/100; tsc clean; codebase v0.16.0. Workbook v016 released — story counts unchanged 77/8/8/3/4 (documentation + correctness, no scope movement)</t>
  </si>
  <si>
    <t xml:space="preserve">v016 Released</t>
  </si>
  <si>
    <t xml:space="preserve">tracker v008</t>
  </si>
  <si>
    <t xml:space="preserve">10:42</t>
  </si>
  <si>
    <t xml:space="preserve">V16-06 EXECUTED (treated the continue directive as go-ahead; additive and reversible): persistence layer built — IncidentRepository + MetricsRepository contracts with in-memory AND Postgres adapters, both verified by ONE shared contract suite so the deploy-time swap is proven not hoped; funnel_events migration added; tenant isolation (F-014) re-asserted as an explicit contract test against shared storage</t>
  </si>
  <si>
    <t xml:space="preserve">AB-3,V16-06</t>
  </si>
  <si>
    <t xml:space="preserve">AB-3 code half closed</t>
  </si>
  <si>
    <t xml:space="preserve">Live DATABASE_URL still Senthil</t>
  </si>
  <si>
    <t xml:space="preserve">DASHBOARD READ API built, closing the AB-1 code half: /api/incidents, /api/incident, /api/analytics, /api/team, /api/billing. Tenant scope comes from the session, never a caller-supplied id (attacker-style override test pinned); every route role-gated through the real ST-054 matrix — a member gets 403 on billing, an owner with no billing account gets 404 not a crash. 5 of 9 screens now have data behind them; the remaining gap is a rendered front-end, not an API</t>
  </si>
  <si>
    <t xml:space="preserve">AB-1</t>
  </si>
  <si>
    <t xml:space="preserve">5 screens data-backed</t>
  </si>
  <si>
    <t xml:space="preserve">Front-end build not yet scoped</t>
  </si>
  <si>
    <t xml:space="preserve">Gate: 35 suites / 243 tests, 100/100/100/100; tsc clean; codebase v0.17.0. Workbook v017 released — story counts unchanged 77/8/8/3/4; Screens and Metrics sheets updated in place to reflect what is now data-backed</t>
  </si>
  <si>
    <t xml:space="preserve">v017 Released</t>
  </si>
  <si>
    <t xml:space="preserve">tracker v009</t>
  </si>
  <si>
    <t xml:space="preserve">11:06</t>
  </si>
  <si>
    <t xml:space="preserve">INTEGRATION CHECK on my own v017 work before starting anything new — grep for who actually CALLS the new repositories. Answer: only the dashboard API, and only to read. F-019 CRITICAL: incidents were still written to an in-process Map while /api/incidents read from the repository, and no path recorded funnel stages, so in production the dashboard would have been permanently empty and activation permanently 0 — with all 243 tests green</t>
  </si>
  <si>
    <t xml:space="preserve">F-019</t>
  </si>
  <si>
    <t xml:space="preserve">Defect found in 1-hour-old code</t>
  </si>
  <si>
    <t xml:space="preserve">FIXED: write-through sinks made REQUIRED constructor collaborators on IncidentService and Telemetry (required, not optional — an optional sink is how this recurs); buffered and bounded with failed writes retained for retry and drops counted rather than silent; async retention sweep so the 30-day purge covers repositories, not just in-process state; serve.ts now wires sinks, flush timer and the dashboard API. 9 regressions pin read and write to the same store</t>
  </si>
  <si>
    <t xml:space="preserve">Read/write reunified</t>
  </si>
  <si>
    <t xml:space="preserve">Live DATABASE_URL = Senthil</t>
  </si>
  <si>
    <t xml:space="preserve">Gate: 36 suites / 252 tests, 100/100/100/100; tsc clean; codebase v0.18.0. Six suites needed updating for the new required collaborators — done deliberately, since the constructors changed. Workbook v018 released; story counts unchanged 77/8/8/3/4</t>
  </si>
  <si>
    <t xml:space="preserve">v018 Released</t>
  </si>
  <si>
    <t xml:space="preserve">tracker v010</t>
  </si>
  <si>
    <t xml:space="preserve">11:11</t>
  </si>
  <si>
    <t xml:space="preserve">SYSTEMATIC CALLER AUDIT (applying L-OC6 to every module, not just the repositories): 12 modules had no importer outside tests. F-020 CRITICAL — the live declare handler was a stub returning a string, so F2 paging, F3 timeline, F4 postmortem and F5 status page were unreachable from the product surface; and the F-014 isolation fix plus the ST-091 degradation claim rested on orphaned classes. Five stories marked Done were resting on code nothing invoked</t>
  </si>
  <si>
    <t xml:space="preserve">F-020</t>
  </si>
  <si>
    <t xml:space="preserve">Worst finding of the build</t>
  </si>
  <si>
    <t xml:space="preserve">FIXED with a composition root (src/app/workflow.ts): one wired workflow per workspace resolved through TenantRegistry, declare threading channel creation, timeline capture, responder paging, SEV1 status publish, funnel and onboarding; resolve threading timeline, postmortem draft and status clear; every external call through the circuit breaker so a paging outage still declares the incident and tells the user to escalate manually. serve.ts calls it with adapters that throw a named wiring error rather than pretending to work</t>
  </si>
  <si>
    <t xml:space="preserve">All 5 features reachable</t>
  </si>
  <si>
    <t xml:space="preserve">Real adapters = deploy</t>
  </si>
  <si>
    <t xml:space="preserve">DegradedResult converted to a discriminated union so degraded results always carry user comms — removing two unreachable defensive branches by design rather than pragma-ing them (MeetSync precedent). Gate: 37 suites / 263 tests, 100/100/100/100; tsc clean; codebase v0.19.0. Workbook v019 released; story counts unchanged 77/8/8/3/4</t>
  </si>
  <si>
    <t xml:space="preserve">v019 Released</t>
  </si>
  <si>
    <t xml:space="preserve">tracker v011</t>
  </si>
  <si>
    <t xml:space="preserve">11:17</t>
  </si>
  <si>
    <t xml:space="preserve">REACHABILITY AUDIT of the 77 Done stories (R-O12 applied to this product first): 29 user-facing capabilities had no caller from any surface — feature rules, pause, CSV import, notification prefs, usage metrics, timeline export, onboarding, export/delete-my-data, plan change, cancellation, support chat, retention sweep, token refresh</t>
  </si>
  <si>
    <t xml:space="preserve">F-021</t>
  </si>
  <si>
    <t xml:space="preserve">Scope of overstatement measured</t>
  </si>
  <si>
    <t xml:space="preserve">BUILT src/http/adminApi.ts — 15 routes making those capabilities real: session-scoped, matrix-gated (members refused data rights and billing), operational routes behind the operator token and never a session role. Repeated missing-field fallbacks and error extraction collapsed into two tested helpers instead of duplicated defensive branches</t>
  </si>
  <si>
    <t xml:space="preserve">22 stories became genuinely reachable</t>
  </si>
  <si>
    <t xml:space="preserve">STATUS TRUTH PASS (AB-4): 7 stories still had no surface or no live traffic after the API work and were reclassified Done -&gt; Module-only. Done count corrected 77 -&gt; 70. New status vocabulary documented in ReadMe_Scope; the Sprint_Board formula is unchanged, so the board now reports the corrected number rather than the flattering one</t>
  </si>
  <si>
    <t xml:space="preserve">AB-4</t>
  </si>
  <si>
    <t xml:space="preserve">Done 77 -&gt; 70 (honest)</t>
  </si>
  <si>
    <t xml:space="preserve">Gate: 38 suites / 281 tests, 100/100/100/100; tsc clean; codebase v0.20.0. Workbook v020 released</t>
  </si>
  <si>
    <t xml:space="preserve">v020 Released</t>
  </si>
  <si>
    <t xml:space="preserve">tracker v012</t>
  </si>
  <si>
    <t xml:space="preserve">11:22</t>
  </si>
  <si>
    <t xml:space="preserve">MODULE-ONLY LIST CLOSED by building the missing halves, not by re-labelling. Notifier interface added so a detected error spike actually leaves the process (webhook sink retains and retries failures); telemetry surfaces built (/api/analytics/detail heatmap + health score + funnel, /api/analytics/export CSV owner-gated, /api/alerts/thresholds read and write with validation); Scheduler wired into serve.ts so the weekly metrics email has a runner; router instrumented so p95 is MEASURED per route and graded at /ops/latency against the real budgets</t>
  </si>
  <si>
    <t xml:space="preserve">ST-072..077, ST-087</t>
  </si>
  <si>
    <t xml:space="preserve">7 stories Module-only -&gt; Done on evidence</t>
  </si>
  <si>
    <t xml:space="preserve">A redundant always-true ternary in the latency report was found while closing coverage and deleted rather than tested. Gate: 39 suites / 291 tests, 100/100/100/100; tsc clean; codebase v0.21.0. Workbook v021 released — 77 Done / 8 Code-complete / 8 Drafted / 3 In progress / 4 Backlog, with Done now meaning user-reachable</t>
  </si>
  <si>
    <t xml:space="preserve">v021 Released</t>
  </si>
  <si>
    <t xml:space="preserve">tracker v013</t>
  </si>
  <si>
    <t xml:space="preserve">11:25</t>
  </si>
  <si>
    <t xml:space="preserve">SUBMISSION READINESS DRY-RUN built (sibling pattern this product lacked): 12 Slack App Directory requirements, the 5 checkable ones verified against real repo state — manifest scopes cross-checked against the trust page (an unjustified scope BLOCKS), every route Slack calls confirmed registered, review docs present, coverage gate read from the real summary, migrations present. The other 7 are reported as HUMAN or LIVE with an owner, never silently passed</t>
  </si>
  <si>
    <t xml:space="preserve">New Submission_Readiness sheet</t>
  </si>
  <si>
    <t xml:space="preserve">7 items are Senthil</t>
  </si>
  <si>
    <t xml:space="preserve">The checker caught a gap in itself on first run: it could not read coverage because Jest emitted no summary file, so it honestly reported 0/0/0/0 and BLOCKED. Fixed by adding the json-summary reporter rather than loosening the check. Verdict now READY_TO_SUBMIT: 5 pass, 0 blocked, 7 awaiting a human or live platform. Gate: 40 suites / 300 tests, 100/100/100/100; codebase v0.22.0; workbook v022 released</t>
  </si>
  <si>
    <t xml:space="preserve">jest --coverage; npm run submission-check</t>
  </si>
  <si>
    <t xml:space="preserve">v022 Released</t>
  </si>
  <si>
    <t xml:space="preserve">tracker v014</t>
  </si>
  <si>
    <t xml:space="preserve">11:33</t>
  </si>
  <si>
    <t xml:space="preserve">DISPOSITIONS IMPLEMENTED (Senthil approved all three recommendations). F-005: incident state machine rebuilt at the root rather than patched — explicit transition map refusing illegal moves, resolvedAt immutable after the first resolution so MTTR cannot drift, resolutions[] recording every instant, reopened as a first-class state with a counter, timeToFirstResolutionMs() as the defensible metric input, reopen wired through the workflow with timeline and status-page effects, state machine documented</t>
  </si>
  <si>
    <t xml:space="preserve">F-005</t>
  </si>
  <si>
    <t xml:space="preserve">7 regressions; MTTR now defensible</t>
  </si>
  <si>
    <t xml:space="preserve">F-006: circuit breaker given explicit closed/open/half_open states — after cooldown exactly one probe is admitted while other callers wait; success closes, failure re-opens for a full cooldown. This is also the answer to the same observation logged on FlowCast, VoiceBridge and MeetSync. F-007: replay queue bounded at 5,000 with drop-oldest and a droppedCount() so losses surface</t>
  </si>
  <si>
    <t xml:space="preserve">F-006,F-007</t>
  </si>
  <si>
    <t xml:space="preserve">8 regressions</t>
  </si>
  <si>
    <t xml:space="preserve">Sibling products can adopt the F-006 fix</t>
  </si>
  <si>
    <t xml:space="preserve">Two existing fixtures needed the new Incident shape — updated deliberately, the contract changed. Gate: 41 suites / 315 tests, 100/100/100/100; tsc clean; codebase v0.23.0. Submission dry-run re-run: still READY_TO_SUBMIT (5 pass, 0 blocked). Workbook v023 released; story counts unchanged 77/8/8/3/4 — correctness, not scope</t>
  </si>
  <si>
    <t xml:space="preserve">v023 Released</t>
  </si>
  <si>
    <t xml:space="preserve">tracker v016</t>
  </si>
  <si>
    <t xml:space="preserve">11:38</t>
  </si>
  <si>
    <t xml:space="preserve">V17-08 RATIFIED as Option A (Slack-first) and implemented properly rather than treated as a no-op. The uncomfortable discovery: choosing Slack-first exposed that the Slack surface barely existed — declareModalBlocks() returned three field names, and there was no incident message, no resolve/reopen controls and no App Home. Under Slack-first that was the ENTIRE product UI</t>
  </si>
  <si>
    <t xml:space="preserve">D-OC5,F-022</t>
  </si>
  <si>
    <t xml:space="preserve">Real surface built</t>
  </si>
  <si>
    <t xml:space="preserve">BUILT src/blockkit: declare modal with typed inputs and plain-language severity options, incident message carrying status in words with mitigate/resolve/reopen actions, App Home that pages rather than breaching the 100-block cap, all wired into the workflow behind one validation guard so an invalid view is refused rather than sent. Limits verified against Slack published reference — and the validator immediately caught a real bug in my own builder (a :warning: prefix pushed a truncated note back over the 3000-char section cap)</t>
  </si>
  <si>
    <t xml:space="preserve">F-023</t>
  </si>
  <si>
    <t xml:space="preserve">21 regressions</t>
  </si>
  <si>
    <t xml:space="preserve">SC-12 recategorised honestly: with no web client, accessibility means Block Kit conformance, not a CSS audit. Automated rules now enforced on every view (no emoji-only status, meaning never by colour alone, labelled inputs, named buttons, alt text); scope statement published in TRUST_SECURITY.md; the residual screen-reader pass in a live workspace stays a human item</t>
  </si>
  <si>
    <t xml:space="preserve">SC-12</t>
  </si>
  <si>
    <t xml:space="preserve">Automated half closed</t>
  </si>
  <si>
    <t xml:space="preserve">Live screen-reader pass = Senthil</t>
  </si>
  <si>
    <t xml:space="preserve">Gate: 42 suites / 336 tests, 100/100/100/100; tsc clean; codebase v0.24.0; submission dry-run still READY_TO_SUBMIT. Workbook v024 released; story counts unchanged 77/8/8/3/4 — the surface work strengthens existing stories rather than adding scope</t>
  </si>
  <si>
    <t xml:space="preserve">v024 Released</t>
  </si>
  <si>
    <t xml:space="preserve">tracker v017</t>
  </si>
  <si>
    <t xml:space="preserve">11:45</t>
  </si>
  <si>
    <t xml:space="preserve">CHECKED THE SURFACE SHIPPED 7 MINUTES EARLIER before opening anything new — and found F-024 CRITICAL: every Block Kit control was decorative. /slack/interactive verified the signature, acked empty and discarded the payload, so clicking Resolve, Mitigate, Reopen or the declare button did precisely nothing, silently. Fourth appearance of the build-but-never-wire class, this time in my own previous sprint</t>
  </si>
  <si>
    <t xml:space="preserve">F-024</t>
  </si>
  <si>
    <t xml:space="preserve">Defect found in 7-minute-old code</t>
  </si>
  <si>
    <t xml:space="preserve">BUILT src/incidents/interactions.ts and wired it through the route and serve.ts: block_actions routed to real transitions with per-workspace role resolution and an installation guard; view_submission validated with field-level errors. Two verified Slack constraints drove the design — the declare modal must open on the ACK path because trigger_id dies in ~3 seconds, and view_submission must answer empty-200 to close or response_action to show errors, or the user watches a spinner</t>
  </si>
  <si>
    <t xml:space="preserve">24 regressions</t>
  </si>
  <si>
    <t xml:space="preserve">11:53</t>
  </si>
  <si>
    <t xml:space="preserve">A stale test asserting the old empty-ack contract was updated deliberately, and two of my own test-fixture bugs were caught and fixed (a default parameter swallowing an undefined severity, and a malformed expression that silently dropped 14 tests from the run — caught because the total moved, not because anything failed). Gate: 43 suites / 354 tests, 100/100/100/100; tsc clean; codebase v0.25.0; submission dry-run still READY_TO_SUBMIT. Workbook v025 released; story counts unchanged 77/8/8/3/4</t>
  </si>
  <si>
    <t xml:space="preserve">v025 Released</t>
  </si>
  <si>
    <t xml:space="preserve">tracker v018</t>
  </si>
  <si>
    <t xml:space="preserve">11:56</t>
  </si>
  <si>
    <t xml:space="preserve">CALLER AUDIT RUN AS A ROUTINE STEP (L-OC9 adopted last sprint) and it earned its place immediately. F-025 CRITICAL: ST-066 has been Code-complete since 11 Sep claiming AES-256-GCM encryption at rest — and NOTHING EVER CALLED FieldCrypto. Slack access and refresh tokens sat in plaintext on the installation record while the trust page told customers otherwise. Invisible to tests, because crypto.ts was fully covered by its own suite</t>
  </si>
  <si>
    <t xml:space="preserve">F-025</t>
  </si>
  <si>
    <t xml:space="preserve">Security claim made real</t>
  </si>
  <si>
    <t xml:space="preserve">FIXED: tokens stored only as ciphertext with a key id; FieldCrypto made a REQUIRED collaborator on InstallService so plaintext cannot creep back; decryption happens only at the point of an API call; uninstall clears ciphertext and rotation re-encrypts; ENCRYPTION_KEY required at boot; trust page rewritten to describe what the code actually does. CLN-1: removed the obsolete web-shell module and its jest-axe suite, which carried apparent ST-089 evidence for a client V17-08 ratified out of existence</t>
  </si>
  <si>
    <t xml:space="preserve">CLN-1,ST-066,ST-089</t>
  </si>
  <si>
    <t xml:space="preserve">Evidence now matches reality</t>
  </si>
  <si>
    <t xml:space="preserve">Live at-rest infra evidence still Senthil</t>
  </si>
  <si>
    <t xml:space="preserve">Patching 20+ test construction sites for the new required collaborator was done by script and briefly mangled three of them; caught and repaired before release. Gate: 42 suites / 350 tests, 100/100/100/100; tsc clean; codebase v0.26.0; submission dry-run still READY_TO_SUBMIT. Workbook v026 released; story counts unchanged 77/8/8/3/4</t>
  </si>
  <si>
    <t xml:space="preserve">v026 Released</t>
  </si>
  <si>
    <t xml:space="preserve">tracker v019</t>
  </si>
  <si>
    <t xml:space="preserve">12:02</t>
  </si>
  <si>
    <t xml:space="preserve">PUBLISHED-PROMISE AUDIT — generalising L-OC10 rather than waiting for a third instance: every customer-facing claim in the trust page, pricing FAQ and help centre cross-checked against the code. Three failed. F-026 CRITICAL: the read-only state promised after a failed payment was set but enforced nowhere, so an account in arrears could keep declaring. F-027 CRITICAL: the incident limit the pricing page charges for was never counted or enforced. F-028: the 30-day deletion policy ran only if an operator called the endpoint by hand</t>
  </si>
  <si>
    <t xml:space="preserve">F-026,F-027,F-028</t>
  </si>
  <si>
    <t xml:space="preserve">3 promises made real</t>
  </si>
  <si>
    <t xml:space="preserve">FIXED — Entitlements gate as a required collaborator checked before every mutating action, carrying the reason so the Slack surface renders the right guidance; reads deliberately stay open so an account in arrears keeps its history visible and exportable; usage metered per declare with 80/100% warnings, cap refusal, cycle reset and upgrade headroom; retention sweep registered as a daily scheduled job</t>
  </si>
  <si>
    <t xml:space="preserve">12 regressions</t>
  </si>
  <si>
    <t xml:space="preserve">Scripted harness patching mangled several call sites again and was repaired before release (third time — the script approach is the risk, not the change). One existing test legitimately broke because the new gate refused 60 declares on a 25-incident trial plan; fixed by giving that workspace a business plan rather than weakening the gate. Gate: 43 suites / 361 tests, 100/100/100/100; tsc clean; v0.27.0; READY_TO_SUBMIT holds</t>
  </si>
  <si>
    <t xml:space="preserve">v027 Released</t>
  </si>
  <si>
    <t xml:space="preserve">tracker v020</t>
  </si>
  <si>
    <t xml:space="preserve">16:26</t>
  </si>
  <si>
    <t xml:space="preserve">RESTART AND DEPLOY SAFETY AUDIT — prompted by checking my own claim in the launch runbook that rollback is safe because the receiver dedupes replays. It was not true across a process restart, and the audit found four defects, one of them data-corrupting. F-029 CRITICAL: the incident counter was process-local, so after a restart the next declare produced INC-0001 and the repository upserts by id — silently overwriting an older incident on every deploy. F-030 roles lost on restart. F-031 dedupe ledger lost, so Slack retries after a deploy create duplicate channels. F-032 buffered writes dropped at shutdown</t>
  </si>
  <si>
    <t xml:space="preserve">F-029..F-032</t>
  </si>
  <si>
    <t xml:space="preserve">4 defects, 1 data-corrupting</t>
  </si>
  <si>
    <t xml:space="preserve">FIXED — highestSequence() added to the repository contract on both adapters and numbering reseeded at boot; snapshot/restore for roles and for the dedupe ledger; Lifecycle drains every buffer on SIGTERM/SIGINT, retries while progress is being made, and reports losses rather than hiding them. The runbook rollback paragraph was rewritten to state the three conditions replay safety actually depends on, instead of the claim I had made</t>
  </si>
  <si>
    <t xml:space="preserve">17 regressions</t>
  </si>
  <si>
    <t xml:space="preserve">Gate: 44 suites / 375 tests, 100/100/100/100; tsc clean; codebase v0.28.0; submission dry-run still READY_TO_SUBMIT. Workbook v028 released; story counts unchanged 77/8/8/3/4 — correctness, not scope</t>
  </si>
  <si>
    <t xml:space="preserve">v028 Released</t>
  </si>
  <si>
    <t xml:space="preserve">tracker v021</t>
  </si>
  <si>
    <t xml:space="preserve">16:32</t>
  </si>
  <si>
    <t xml:space="preserve">R-O14 CLOSED — the caveat I raised last sprint was mine to fix, not Senthil’s. Built RoleRepository and DedupeRepository with in-memory and Postgres adapters, both run through the shared contract suite, plus migrations 0007/0008 and TENANT_TABLES coverage so the retention sweep purges them. Roles write through on every grant rather than relying on a separate save step; write failures are surfaced and now fail /health, because a silently failing role store means wrong answers after the next restart</t>
  </si>
  <si>
    <t xml:space="preserve">R-O14</t>
  </si>
  <si>
    <t xml:space="preserve">Restart safety operational</t>
  </si>
  <si>
    <t xml:space="preserve">Dedupe persistence uses INSERT ... ON CONFLICT DO NOTHING RETURNING, which makes the check atomic ACROSS REPLICAS rather than merely durable — two instances handling the same Slack retry cannot both win. serve.ts now rehydrates roles, the dedupe ledger and incident numbering before serving any traffic</t>
  </si>
  <si>
    <t xml:space="preserve">Replica-safe dedupe</t>
  </si>
  <si>
    <t xml:space="preserve">Pg adapters swap in at deploy</t>
  </si>
  <si>
    <t xml:space="preserve">Gate: 44 suites / 387 tests, 100/100/100/100; tsc clean; codebase v0.29.0; submission dry-run still READY_TO_SUBMIT. Workbook v029 released; story counts unchanged 77/8/8/3/4</t>
  </si>
  <si>
    <t xml:space="preserve">v029 Released</t>
  </si>
  <si>
    <t xml:space="preserve">tracker v022</t>
  </si>
  <si>
    <t xml:space="preserve">16:36</t>
  </si>
  <si>
    <t xml:space="preserve">MULTI-REPLICA AUDIT — blue/green runs two instances simultaneously, so anything assuming a single writer is wrong exactly when it matters. F-033 CRITICAL: the v028 id fix covered restarts but NOT concurrency — two replicas seed from the same stored maximum and mint the same id, and the upsert collapses them. The data-corruption risk I reported as fixed yesterday was still live. F-034: every replica ran every scheduled job, so a deploy would double-send weekly emails and run concurrent sweeps</t>
  </si>
  <si>
    <t xml:space="preserve">F-033,F-034</t>
  </si>
  <si>
    <t xml:space="preserve">2 defects, 1 data-corrupting</t>
  </si>
  <si>
    <t xml:space="preserve">FIXED — allocation moved into the store (SequenceAllocator, both adapters, atomic INSERT ... ON CONFLICT ... RETURNING so the row lock serialises replicas) and seeded from stored data at boot; LeaseStore with lease-gated scheduling so exactly one replica runs a leased job, leases expire so a crash cannot stall a job forever, and a leased job with no lease store is a hard error rather than a silent double-run. My first allocation attempt had an off-by-one that skipped an id; its own regression caught it</t>
  </si>
  <si>
    <t xml:space="preserve">13 regressions</t>
  </si>
  <si>
    <t xml:space="preserve">F-035 LOGGED AND DELIBERATELY NOT STARTED: entitlement usage still lives in the in-memory billing store, so two replicas count separately and a workspace could exceed its plan limit by up to one cap per replica. Moving billing behind a repository is a full sprint; half-building it is the failure mode I have spent the day criticising. Until it is done: run one replica, or accept the over-count. Gate: 45 suites / 407 tests, 100/100/100/100; v0.30.0; READY_TO_SUBMIT holds</t>
  </si>
  <si>
    <t xml:space="preserve">F-035</t>
  </si>
  <si>
    <t xml:space="preserve">v030 Released</t>
  </si>
  <si>
    <t xml:space="preserve">F-035 needs a sprint</t>
  </si>
  <si>
    <t xml:space="preserve">tracker v023</t>
  </si>
  <si>
    <t xml:space="preserve">16:42</t>
  </si>
  <si>
    <t xml:space="preserve">F-035 CLOSED — the sprint I said it needed. BillingRepository built with both adapters in the shared contract suite plus migration 0011; claimUsage performs the cap check and the increment as ONE statement, so two replicas cannot both spend the same allowance (regression alternates replicas across 35 attempts on a 25-incident plan and exactly 25 are allowed). While building it I found a second failure in the same class: a restart reset readOnly to false, silently unblocking a delinquent account — billing state now rehydrates at boot</t>
  </si>
  <si>
    <t xml:space="preserve">2 failures closed</t>
  </si>
  <si>
    <t xml:space="preserve">Write failures on the billing store are surfaced through /health alongside the role store, because a silently failing store means the next restart forgets arrears. A refused gate spends no allowance. R-O15 withdrawn: the "run a single replica" mitigation is no longer needed. Two of my own test fixtures used a fixed clock so the grace period never elapsed — caught and fixed rather than the assertions being loosened</t>
  </si>
  <si>
    <t xml:space="preserve">R-O15</t>
  </si>
  <si>
    <t xml:space="preserve">Mitigation withdrawn</t>
  </si>
  <si>
    <t xml:space="preserve">A migration ordering slip (0011 inserted before 0010) was caught by the schema test I wrote eleven sprints ago. Gate: 46 suites / 424 tests, 100/100/100/100; tsc clean; codebase v0.31.0; submission dry-run still READY_TO_SUBMIT. Workbook v031 released; story counts unchanged 77/8/8/3/4</t>
  </si>
  <si>
    <t xml:space="preserve">v031 Released</t>
  </si>
  <si>
    <t xml:space="preserve">tracker v024</t>
  </si>
  <si>
    <t xml:space="preserve">16:48</t>
  </si>
  <si>
    <t xml:space="preserve">CIRCULAR-EVIDENCE AUDIT: every "verified on both adapters" claim in this build rested on fakes I wrote to match my own SQL — if a statement was wrong, the fake agreed with it. Installed pg-mem (a real Postgres-compatible engine) and ran the ACTUAL migrations and adapter statements through it</t>
  </si>
  <si>
    <t xml:space="preserve">3 real defects found immediately</t>
  </si>
  <si>
    <t xml:space="preserve">F-036 CRITICAL: incidents.team_id is a foreign key to installations(team_id) and NOTHING ever wrote an installations row, so every incident insert would have failed in production — and because the sink retains failed rows, the symptom would have been a silently growing backlog rather than an alert. F-037: the schema declared the token columns NOT NULL while uninstall deliberately clears them. F-038: a Postgres-only regex operator where a portable LIKE does the same job</t>
  </si>
  <si>
    <t xml:space="preserve">F-036,F-037,F-038</t>
  </si>
  <si>
    <t xml:space="preserve">All fixed</t>
  </si>
  <si>
    <t xml:space="preserve">OBS-OC2 recorded honestly: pg-mem returns a row for ON CONFLICT DO NOTHING ... RETURNING where real Postgres returns none, and behaves differently on a conditional DO UPDATE. Verified the deviation directly rather than assuming my code was wrong — the dedupe and lease adapters rely on the real semantics, so those assertions stay with the in-memory adapters while the SQL is still executed for syntax</t>
  </si>
  <si>
    <t xml:space="preserve">OBS-OC2</t>
  </si>
  <si>
    <t xml:space="preserve">Deviation documented</t>
  </si>
  <si>
    <t xml:space="preserve">Real-Postgres check stays a live item</t>
  </si>
  <si>
    <t xml:space="preserve">Gate: 47 suites / 445 tests, 100/100/100/100; tsc clean; codebase v0.32.0; submission dry-run still READY_TO_SUBMIT. Workbook v032 released; story counts unchanged 77/8/8/3/4</t>
  </si>
  <si>
    <t xml:space="preserve">v032 Released</t>
  </si>
  <si>
    <t xml:space="preserve">tracker v025</t>
  </si>
  <si>
    <t xml:space="preserve">17:26</t>
  </si>
  <si>
    <t xml:space="preserve">V32-07 CLOSED BY ME RATHER THAN LEFT FOR SENTHIL — provisioned a real PostgreSQL 16 in the container and ran the adapters against it. 8 integration tests: foreign-key enforcement rejects an orphan incident, token columns accept NULL on a revoked install, cascade delete works, the portable LIKE returns the right sequence while ignoring a non-conforming id, and real concurrency holds — 20 parallel id claims produce 20 distinct ids, 30 parallel usage claims against a cap of 10 admit exactly 10</t>
  </si>
  <si>
    <t xml:space="preserve">V32-07</t>
  </si>
  <si>
    <t xml:space="preserve">Concurrency proven, not simulated</t>
  </si>
  <si>
    <t xml:space="preserve">OBS-OC2 CLOSED: against real Postgres, ON CONFLICT DO NOTHING ... RETURNING returns no row and the conditional DO UPDATE holds the lease — exactly as the dedupe and lease adapters assumed. Declining to "fix" correct SQL to satisfy a fake engine last sprint was the right call, and now it is evidenced rather than argued</t>
  </si>
  <si>
    <t xml:space="preserve">Deviation resolved in our favour</t>
  </si>
  <si>
    <t xml:space="preserve">Added a CI job with a postgres:16 service and npm run test:pg; the suite skips cleanly when no server is configured so the main gate stays runnable anywhere. Gate: 48 suites / 453 tests (445 run + 8 Postgres-gated), 100/100/100/100; tsc clean; codebase v0.33.0; READY_TO_SUBMIT holds. Workbook v033 released</t>
  </si>
  <si>
    <t xml:space="preserve">jest --coverage; npm run test:pg</t>
  </si>
  <si>
    <t xml:space="preserve">v033 Released</t>
  </si>
  <si>
    <t xml:space="preserve">tracker v026</t>
  </si>
  <si>
    <t xml:space="preserve">18:50</t>
  </si>
  <si>
    <t xml:space="preserve">APPLIED L-OC15 TO OUR OWN HANDOVER — re-read the items parked as Senthil-only and found two that were partly mine. SC-08: the pen-test sandbox half was a document; it is now an 18-case adversarial suite in CI covering forged/replayed signatures, tenant escape, role escalation, operator-endpoint bypass, OAuth CSRF, hostile input, error leakage and token leakage. ST-088: the load run was blocked on a staging URL, which was only ever true for the network half</t>
  </si>
  <si>
    <t xml:space="preserve">SC-08,ST-088</t>
  </si>
  <si>
    <t xml:space="preserve">2 items advanced</t>
  </si>
  <si>
    <t xml:space="preserve">The adversarial suite found F-039 immediately: a malformed body answered 500 rather than 400 — wrong status, and an alerting problem, because the error-spike detector pages on 500s and junk input could have raised an incident about our own parser. Fixed with regressions</t>
  </si>
  <si>
    <t xml:space="preserve">F-039</t>
  </si>
  <si>
    <t xml:space="preserve">Real defect found</t>
  </si>
  <si>
    <t xml:space="preserve">ST-088 MEASURED: npm run loadtest drives the real router in-process at 20 rps for 30s (10x the launch estimate) — 600 requests, 0 errors, p95 0ms against 3000ms/500ms budgets, now gating CI. Recorded honestly: adapters are mocked, so this proves our code is not the bottleneck and proves nothing about network, database or Slack latency. The staging run is still required, and SC-08 still needs the third-party engagement</t>
  </si>
  <si>
    <t xml:space="preserve">Honest partial evidence</t>
  </si>
  <si>
    <t xml:space="preserve">Staging + vendor still Senthil</t>
  </si>
  <si>
    <t xml:space="preserve">Gate: 49 suites / 473 tests (465 run + 8 Postgres-gated), 100/100/100/100; tsc clean; codebase v0.34.0; READY_TO_SUBMIT holds. Workbook v034 released; story counts unchanged 77/8/8/3/4</t>
  </si>
  <si>
    <t xml:space="preserve">jest --coverage; npm run loadtest</t>
  </si>
  <si>
    <t xml:space="preserve">v034 Released</t>
  </si>
  <si>
    <t xml:space="preserve">tracker v027</t>
  </si>
  <si>
    <t xml:space="preserve">19:00</t>
  </si>
  <si>
    <t xml:space="preserve">TWO REMAINING LENSES RUN: supply chain and repo-documentation accuracy. SUP-1 clean — npm audit reports 0 vulnerabilities with and without dev dependencies, and the runtime surface is deliberately small. CLN-2 was drifted badly: the README still described the v0.8 codebase, 8 directories where there are 19, omitting the HTTP surface, persistence layer, Block Kit views, scheduler and live tooling, and still naming a module deleted three sprints ago</t>
  </si>
  <si>
    <t xml:space="preserve">CLN-2,SUP-1</t>
  </si>
  <si>
    <t xml:space="preserve">README now matches the code</t>
  </si>
  <si>
    <t xml:space="preserve">README rewritten to the real layout with every route, the five boot-required environment variables, the six commands, and the adapter-swap list including the boot RESTORE ORDER (installations first, because they are the foreign-key parent — the F-036 lesson written down where the next person will see it). It also states the three conventions this codebase depends on: Done means user-reachable, new collaborators are required rather than optional, and evidence states its own limits</t>
  </si>
  <si>
    <t xml:space="preserve">CLN-2</t>
  </si>
  <si>
    <t xml:space="preserve">First-read artifact accurate</t>
  </si>
  <si>
    <t xml:space="preserve">Gate: 49 suites / 473 tests, 100/100/100/100; tsc clean; codebase v0.35.0; READY_TO_SUBMIT holds. Workbook v035 released. NO FURTHER CODE OR AUDIT WORK IS PLANNED — every lens I can apply in a sandbox has now been applied, and continuing would be padding rather than progress</t>
  </si>
  <si>
    <t xml:space="preserve">v035 Released</t>
  </si>
  <si>
    <t xml:space="preserve">All remaining items need Senthil or a live platform</t>
  </si>
  <si>
    <t xml:space="preserve">tracker v028</t>
  </si>
  <si>
    <t xml:space="preserve">20:44</t>
  </si>
  <si>
    <t xml:space="preserve">External review V001 received: 20 findings, 10 BLOCKER, verdict CONTINUE at 5.5/10 with the enterprise claim withdrawn</t>
  </si>
  <si>
    <t xml:space="preserve">chatgpt_review_V001_MoPr08</t>
  </si>
  <si>
    <t xml:space="preserve">Received</t>
  </si>
  <si>
    <t xml:space="preserve">First independent review of this product</t>
  </si>
  <si>
    <t xml:space="preserve">21:10</t>
  </si>
  <si>
    <t xml:space="preserve">Findings verified against the code before any change; root cause found beyond the review — the composition root was outside both the type-check and the suite</t>
  </si>
  <si>
    <t xml:space="preserve">4 tsc errors vs a green 473-test gate</t>
  </si>
  <si>
    <t xml:space="preserve">Confirmed</t>
  </si>
  <si>
    <t xml:space="preserve">L-OC16 raised</t>
  </si>
  <si>
    <t xml:space="preserve">22:40</t>
  </si>
  <si>
    <t xml:space="preserve">S36-S39</t>
  </si>
  <si>
    <t xml:space="preserve">Nine findings fixed and three partly closed: composition root, data plane, install authority, session bridge, async routes, data rights, retention, packaging, container</t>
  </si>
  <si>
    <t xml:space="preserve">src/composition/production.ts, src/http/session.ts, Dockerfile</t>
  </si>
  <si>
    <t xml:space="preserve">Slack/Stripe/KMS/IdP remain</t>
  </si>
  <si>
    <t xml:space="preserve">23:13</t>
  </si>
  <si>
    <t xml:space="preserve">Release: codebase v0.36.0, workbook v036, tracker v029. 51 suites / 527 tests at 100x4; clean tsc over src and scripts; production boot refuses an unsafe composition</t>
  </si>
  <si>
    <t xml:space="preserve">Boot smoke in both modes</t>
  </si>
  <si>
    <t xml:space="preserve">v036 Released</t>
  </si>
  <si>
    <t xml:space="preserve">D-OC6, D-OC7, D15, SC-06/07 open</t>
  </si>
  <si>
    <t xml:space="preserve">tracker v029</t>
  </si>
  <si>
    <t xml:space="preserve">16/09/2026</t>
  </si>
  <si>
    <t xml:space="preserve">19:32</t>
  </si>
  <si>
    <t xml:space="preserve">Second independent review received (Perplexity): 12 findings, 2 BLOCKER (sync platform boundary; plan limits unenforced), CONTINUE 6.1/10</t>
  </si>
  <si>
    <t xml:space="preserve">perplexity_review_V001_MoPr08</t>
  </si>
  <si>
    <t xml:space="preserve">Phase 0 must precede S37/S38/S40/S41</t>
  </si>
  <si>
    <t xml:space="preserve">20/09/2026</t>
  </si>
  <si>
    <t xml:space="preserve">10:54</t>
  </si>
  <si>
    <t xml:space="preserve">Findings verified and widened: nine sync interfaces (not four), a third un-inventoried provider (OAuth); financial model reproduced</t>
  </si>
  <si>
    <t xml:space="preserve">Baseline 527/100x4 reproduced</t>
  </si>
  <si>
    <t xml:space="preserve">11:40</t>
  </si>
  <si>
    <t xml:space="preserve">Async platform boundary with per-call budget; 26 suites migrated; asyncBoundary gate (compiler API + reflection + floating-promise rule) found two sync-throwing stubs and one floating .then</t>
  </si>
  <si>
    <t xml:space="preserve">12:05</t>
  </si>
  <si>
    <t xml:space="preserve">claimWrite the only write gate; enforcement proven over the production composition; two-replica cap; once-per-cycle reset; bands (D-OC8); audit A10 found PX-013 (atomic ids off the declare path) — fixed</t>
  </si>
  <si>
    <t xml:space="preserve">D-OC8 to ratify</t>
  </si>
  <si>
    <t xml:space="preserve">12:35</t>
  </si>
  <si>
    <t xml:space="preserve">Closed typed provider set + healthcheck probe (gate proven to permit and refuse); persisted deferred work drained on SIGTERM and restored after kill -9; lease frequency; paging id; dedupe window; session revocation; key rotation route; scripts/ in the coverage gate</t>
  </si>
  <si>
    <t xml:space="preserve">tests/px/providerGate, ackDurability, leaseFrequency, identityAndWindows, bootSmoke</t>
  </si>
  <si>
    <t xml:space="preserve">KMS S43; adapters S38-S41</t>
  </si>
  <si>
    <t xml:space="preserve">13:05</t>
  </si>
  <si>
    <t xml:space="preserve">Release: codebase v0.37.0, workbook v037, tracker v030. 60 suites / 624 tests (616 run, 8 gated on a real Postgres) at 100% statements, branches, functions and lines over src/ AND scripts/; clean tsc over src+scripts and tests. Built artifact refuses in production naming ten providers + probes; boots and drains in development (CI-asserted)</t>
  </si>
  <si>
    <t xml:space="preserve">docs/PERPLEXITY_REVIEW_V001_RESPONSE.md; audit.mjs v3; playbook v3</t>
  </si>
  <si>
    <t xml:space="preserve">v037 Released</t>
  </si>
  <si>
    <t xml:space="preserve">D-OC6/7/8, D15, SC-06/07 open</t>
  </si>
  <si>
    <t xml:space="preserve">tracker v030</t>
  </si>
  <si>
    <t xml:space="preserve">REVIEW FINDINGS — cold-review pass 1 (11/09/2026 08:41, author self-review; external pass = ST-097)</t>
  </si>
  <si>
    <t xml:space="preserve">Action</t>
  </si>
  <si>
    <t xml:space="preserve">F-001</t>
  </si>
  <si>
    <t xml:space="preserve">billing</t>
  </si>
  <si>
    <t xml:space="preserve">No recovery path after failed payment — successful payment never cleared failedSince/dunning/readOnly; read-only became permanent</t>
  </si>
  <si>
    <t xml:space="preserve">FIXED — recordSuccessfulPayment(); regression: fresh failure starts fresh grace window</t>
  </si>
  <si>
    <t xml:space="preserve">Fixed v011</t>
  </si>
  <si>
    <t xml:space="preserve">F-002</t>
  </si>
  <si>
    <t xml:space="preserve">Metered usage never reset — limits are per-month but usage accumulated forever; 100% warning permanent after first breach</t>
  </si>
  <si>
    <t xml:space="preserve">FIXED — startNewCycle(); regression test</t>
  </si>
  <si>
    <t xml:space="preserve">F-003</t>
  </si>
  <si>
    <t xml:space="preserve">events/receiver</t>
  </si>
  <si>
    <t xml:space="preserve">Dedupe ledger unbounded — memory growth under sustained event volume (same class as EngageOS F-007)</t>
  </si>
  <si>
    <t xml:space="preserve">FIXED — FIFO cap 10k (constructor-tunable); eviction + still-deduped regressions</t>
  </si>
  <si>
    <t xml:space="preserve">F-004</t>
  </si>
  <si>
    <t xml:space="preserve">timeline</t>
  </si>
  <si>
    <t xml:space="preserve">captureBotMessages/captureReactions config knobs ignored — bot exclusion hardcoded, reactions always captured</t>
  </si>
  <si>
    <t xml:space="preserve">FIXED — FeatureManager.getDefault() wired into capture; 3 regressions incl. defaults-unchanged</t>
  </si>
  <si>
    <t xml:space="preserve">Disposition</t>
  </si>
  <si>
    <t xml:space="preserve">incidents</t>
  </si>
  <si>
    <t xml:space="preserve">transition() permits re-resolve (overwrites resolvedAt, drifts MTTR/postmortem duration) and reopen-after-resolve</t>
  </si>
  <si>
    <t xml:space="preserve">SENTHIL CALL: lock resolvedAt to first resolve? forbid reopen or add reopened status?</t>
  </si>
  <si>
    <t xml:space="preserve">Open — needs disposition</t>
  </si>
  <si>
    <t xml:space="preserve">F-006</t>
  </si>
  <si>
    <t xml:space="preserve">compliance</t>
  </si>
  <si>
    <t xml:space="preserve">Circuit breaker has no half-open probe — after cooldown full traffic resumes instantly against a possibly-sick provider</t>
  </si>
  <si>
    <t xml:space="preserve">SENTHIL CALL: add single-probe half-open state?</t>
  </si>
  <si>
    <t xml:space="preserve">F-007</t>
  </si>
  <si>
    <t xml:space="preserve">degradation</t>
  </si>
  <si>
    <t xml:space="preserve">replayQueue unbounded during extended outage</t>
  </si>
  <si>
    <t xml:space="preserve">SENTHIL CALL: cap + overflow policy (drop-oldest vs refuse-new + comms)?</t>
  </si>
  <si>
    <t xml:space="preserve">F-008</t>
  </si>
  <si>
    <t xml:space="preserve">Info</t>
  </si>
  <si>
    <t xml:space="preserve">compliance/audit</t>
  </si>
  <si>
    <t xml:space="preserve">AuditLog in-memory append-only — correct behind DB adapter in prod; adapter contract to verify at deploy</t>
  </si>
  <si>
    <t xml:space="preserve">Track at live wiring; no sandbox action</t>
  </si>
  <si>
    <t xml:space="preserve">Open — deploy-time check</t>
  </si>
  <si>
    <t xml:space="preserve">F-009</t>
  </si>
  <si>
    <t xml:space="preserve">install/compliance</t>
  </si>
  <si>
    <t xml:space="preserve">30-day retention published in the trust page, but uninstall only SET a deletedAt date — no sweep ever deleted incident/timeline/audit records. Published deletion policy breached (same class as VoiceBridge F-V01, TestPulse F-TP01)</t>
  </si>
  <si>
    <t xml:space="preserve">FIXED — PurgeableStore registry + runRetentionSweep(); 2 regressions incl. active-install safety and idempotency</t>
  </si>
  <si>
    <t xml:space="preserve">Fixed v013</t>
  </si>
  <si>
    <t xml:space="preserve">F-010</t>
  </si>
  <si>
    <t xml:space="preserve">telemetry</t>
  </si>
  <si>
    <t xml:space="preserve">Error ledger append-only, never trimmed — unbounded growth on a long-running process though only a 60s window is ever read</t>
  </si>
  <si>
    <t xml:space="preserve">FIXED — bounded 5k tail; regression proves spike detection still fires</t>
  </si>
  <si>
    <t xml:space="preserve">F-011</t>
  </si>
  <si>
    <t xml:space="preserve">paging</t>
  </si>
  <si>
    <t xml:space="preserve">Fan-out threw on the first failed page, discarding the record of who HAD been paged — any retry double-paged them and nobody knew who still needed manual escalation</t>
  </si>
  <si>
    <t xml:space="preserve">FIXED — PagingOutcome reports paged/failed per responder + retryFailed() targets only failures; 4 regressions</t>
  </si>
  <si>
    <t xml:space="preserve">F-012</t>
  </si>
  <si>
    <t xml:space="preserve">postmortem</t>
  </si>
  <si>
    <t xml:space="preserve">draft() accepted any timeline array — a caller passing the wrong incident silently produced a postmortem describing a different outage</t>
  </si>
  <si>
    <t xml:space="preserve">FIXED — foreign-incident events rejected with a count; 2 regressions</t>
  </si>
  <si>
    <t xml:space="preserve">F-013</t>
  </si>
  <si>
    <t xml:space="preserve">featureCore/csv</t>
  </si>
  <si>
    <t xml:space="preserve">CSV import split on raw commas — every quoted field containing a comma or newline mis-counted and the row was silently skipped (competitor exports are full of them; same class as ShiftDesk F-010)</t>
  </si>
  <si>
    <t xml:space="preserve">FIXED — new RFC-4180 parseCsv/toCsv + wiring; 3 regressions incl. round-trip</t>
  </si>
  <si>
    <t xml:space="preserve">VER-OC1</t>
  </si>
  <si>
    <t xml:space="preserve">LIVE-BLOCKING</t>
  </si>
  <si>
    <t xml:space="preserve">VERIFIED vs Slack docs: slash commands must be acknowledged within 3 seconds or the user sees a timeout AND Slack retries up to 3 more times. declare() did channel-create + post synchronously in that path — on a slow day this produced timeouts and DUPLICATE incident channels. Invisible to the suite (FlowCast VER-001 class)</t>
  </si>
  <si>
    <t xml:space="preserve">FIXED — SlashCommandAck: instant ephemeral ack, work deferred and delivered via response_url, failures surfaced not dropped; 5 regressions</t>
  </si>
  <si>
    <t xml:space="preserve">VER-OC2</t>
  </si>
  <si>
    <t xml:space="preserve">VERIFIED vs conversations.create docs: names must be lowercase/numbers/hyphen/underscore, &lt;=80 chars, and name_taken is returned for archived channels too. Our inc-&lt;n&gt; scheme would collide after any counter reset and never sanitised titles</t>
  </si>
  <si>
    <t xml:space="preserve">FIXED — toChannelName slugifier + nextAvailableName deterministic suffixing within the 80-char cap; 4 regressions</t>
  </si>
  <si>
    <t xml:space="preserve">VER-OC3</t>
  </si>
  <si>
    <t xml:space="preserve">install</t>
  </si>
  <si>
    <t xml:space="preserve">VERIFIED vs token-rotation docs: with rotation enabled an access token expires in exactly 43,200s (12h) and the refresh token is single-use. We tracked no expiry and never refreshed proactively — first 401 would land mid-incident</t>
  </si>
  <si>
    <t xml:space="preserve">FIXED — expiresAt on install/rotate + refreshIfNeeded() with a 2h margin (matches Slack SDK default); 2 regressions</t>
  </si>
  <si>
    <t xml:space="preserve">VER-OC4</t>
  </si>
  <si>
    <t xml:space="preserve">events</t>
  </si>
  <si>
    <t xml:space="preserve">VERIFIED correct: Slack retries a failed event up to 3 more times at ~1-minute intervals — our FIFO-capped event_id dedupe + dead-letter handles this as designed. No change</t>
  </si>
  <si>
    <t xml:space="preserve">Pinned by existing receiver regressions</t>
  </si>
  <si>
    <t xml:space="preserve">Verified correct</t>
  </si>
  <si>
    <t xml:space="preserve">GAP-OC1</t>
  </si>
  <si>
    <t xml:space="preserve">CRITICAL</t>
  </si>
  <si>
    <t xml:space="preserve">http</t>
  </si>
  <si>
    <t xml:space="preserve">The manifest, the 30-minute setup guide and the k6 script all pointed at /slack/events, /slack/commands, /slack/interactive, /oauth/callback and /health — but NO HTTP APP EXISTED. Step 4 of the setup guide ("run the app, tunnel with ngrok") was impossible; the live sweep would have died at SW-09. Same class as FlowCast GAP-1/2 and VoiceBridge F-V10</t>
  </si>
  <si>
    <t xml:space="preserve">FIXED — src/http/router.ts + app.ts wiring the real modules, all five routes with signature verification and the VER-OC1 ack contract; scripts/serve.ts shell + npm start; 12 regressions</t>
  </si>
  <si>
    <t xml:space="preserve">Fixed v014</t>
  </si>
  <si>
    <t xml:space="preserve">GAP-OC2</t>
  </si>
  <si>
    <t xml:space="preserve">db</t>
  </si>
  <si>
    <t xml:space="preserve">backup-restore-drill.sh queried incidents/installations/invoices and config demanded DATABASE_URL, but no schema, migrations or table definitions existed anywhere — the drill could never have run and the retention sweep had nothing to delete from</t>
  </si>
  <si>
    <t xml:space="preserve">FIXED — src/db/schema.ts: 5 ordered migrations, cascade deletes from installations so uninstall cannot orphan rows, TENANT_TABLES as the single source for drill + sweep; npm run migrate; 4 regressions incl. drill-vs-schema parity</t>
  </si>
  <si>
    <t xml:space="preserve">GAP-OC3</t>
  </si>
  <si>
    <t xml:space="preserve">loadtest</t>
  </si>
  <si>
    <t xml:space="preserve">k6 script read SIGNED_BODY/SIG/TS from the environment with nothing able to produce them — ST-088 was undeliverable even with a staging URL</t>
  </si>
  <si>
    <t xml:space="preserve">FIXED — src/live/loadSigner.ts generates verified signed fixtures with distinct event_ids (so dedupe does not void the run) + env export block; 3 regressions</t>
  </si>
  <si>
    <t xml:space="preserve">GAP-OC4</t>
  </si>
  <si>
    <t xml:space="preserve">repo</t>
  </si>
  <si>
    <t xml:space="preserve">manifest.json existed only as a fenced code block inside a markdown file — nothing to upload to Slack, and its slash-command URL was missing entirely</t>
  </si>
  <si>
    <t xml:space="preserve">FIXED — manifest.json at repo root with the /slack/commands request URL, scopes matching the ST-064 map; setup guide points at the file</t>
  </si>
  <si>
    <t xml:space="preserve">GAP-OC5</t>
  </si>
  <si>
    <t xml:space="preserve">billing/docs</t>
  </si>
  <si>
    <t xml:space="preserve">PRICING_FAQ.md carried hand-written prices and limits that could drift silently from the engine that actually charges</t>
  </si>
  <si>
    <t xml:space="preserve">FIXED — src/billing/pricingDoc.ts generates the matrix from billing.ts + a gate test that fails the build if the published doc disagrees (separators normalised, values compared); 3 regressions</t>
  </si>
  <si>
    <t xml:space="preserve">F-014</t>
  </si>
  <si>
    <t xml:space="preserve">http/tenancy</t>
  </si>
  <si>
    <t xml:space="preserve">MULTI-TENANCY ABSENT: every service was instantiated once per process — one IncidentService, one FeatureManager, one incident-id counter serving EVERY installed workspace. Workspace B could read workspace A incidents and ids collided across tenants. Matches MeetSync M-F04; the v014 HTTP layer made it reachable</t>
  </si>
  <si>
    <t xml:space="preserve">FIXED — TenantRegistry resolves an isolated bundle per teamId, refuses unscoped access, evict() clears state for purged workspaces; 3 regressions incl. cross-tenant isolation and independent id sequences</t>
  </si>
  <si>
    <t xml:space="preserve">Fixed v015</t>
  </si>
  <si>
    <t xml:space="preserve">F-015</t>
  </si>
  <si>
    <t xml:space="preserve">http/oauth</t>
  </si>
  <si>
    <t xml:space="preserve">OAUTH CSRF: /oauth/callback accepted any code with no state parameter, so a third party could drive an install against our callback. Matches MeetSync M-F15</t>
  </si>
  <si>
    <t xml:space="preserve">FIXED — OAuthStateStore issues HMAC-signed, TTL-bounded, single-use state; new /oauth/start entry point; callback refuses with a named reason (malformed/bad_signature/expired/replayed); 4 regressions</t>
  </si>
  <si>
    <t xml:space="preserve">F-016</t>
  </si>
  <si>
    <t xml:space="preserve">http/commands</t>
  </si>
  <si>
    <t xml:space="preserve">A valid Slack signature proves the request came from Slack, NOT that the workspace still has an installation — uninstalled or unknown workspaces could still drive /slack/commands</t>
  </si>
  <si>
    <t xml:space="preserve">FIXED — installation guard returns a reinstall prompt and queues nothing; teamId now mandatory on the command path; 3 regressions</t>
  </si>
  <si>
    <t xml:space="preserve">F-017</t>
  </si>
  <si>
    <t xml:space="preserve">http/health</t>
  </si>
  <si>
    <t xml:space="preserve">/health exposed version and internal queue depth to any unauthenticated caller. Matches MeetSync M-F12 (unauthenticated operational endpoints)</t>
  </si>
  <si>
    <t xml:space="preserve">FIXED — public callers get liveness only; detailed payload behind an operator bearer token; OPERATOR_TOKEN now required at boot; 2 regressions</t>
  </si>
  <si>
    <t xml:space="preserve">http/router</t>
  </si>
  <si>
    <t xml:space="preserve">CHECKED for MeetSync M-F21 (Express ignores rejected promises from async handlers, hanging the request): not applicable — our router is synchronous and wraps every handler in try/catch returning a contained 500. Pinned by existing regressions</t>
  </si>
  <si>
    <t xml:space="preserve">No change</t>
  </si>
  <si>
    <t xml:space="preserve">core/http</t>
  </si>
  <si>
    <t xml:space="preserve">ROLE MATRIX WAS DECORATIVE IN PRODUCTION: ST-054 enforced owner/admin/member everywhere, but nothing ever ASSIGNED a role — every slash command ran as a hardcoded member and the OAuth callback as a hardcoded owner. Owner/admin capabilities were unreachable on the only live surface. Found by the as-built audit, not by any test (all 213 passed)</t>
  </si>
  <si>
    <t xml:space="preserve">FIXED — RoleResolver: installer seeded as owner from the signed user_id, roles scoped per workspace, promotion rules enforced, last-owner demotion blocked, purge on retention; wired into /slack/commands and /oauth/callback; 9 regressions</t>
  </si>
  <si>
    <t xml:space="preserve">Fixed v016</t>
  </si>
  <si>
    <t xml:space="preserve">As-built</t>
  </si>
  <si>
    <t xml:space="preserve">Screens_Wireframes</t>
  </si>
  <si>
    <t xml:space="preserve">Sheet claimed 9 designed screens with wireframe links. Reality: 6 accessible HTML shells exist (dashboard, incidents, timeline, settings, billing, help), NONE wired to data — there are no dashboard API routes at all. Onboarding first-run, paging builder and analytics screens have logic but no surface</t>
  </si>
  <si>
    <t xml:space="preserve">Sheet rewritten to as-built with a Reality column; no story flipped</t>
  </si>
  <si>
    <t xml:space="preserve">Documented v016</t>
  </si>
  <si>
    <t xml:space="preserve">AB-2</t>
  </si>
  <si>
    <t xml:space="preserve">Product_Spec</t>
  </si>
  <si>
    <t xml:space="preserve">Non-functional claims audited: rate-limit safety genuinely met (backoff+breaker+dead-letter, tested); p95 budgets DEFINED but never measured end to end; 99.5% uptime not measurable (no deploy); WCAG AA automated on shells only, never on a rendered product; SOC2-track = controls exist, no process started</t>
  </si>
  <si>
    <t xml:space="preserve">Sheet rewritten with an honest Status column per requirement</t>
  </si>
  <si>
    <t xml:space="preserve">AB-3</t>
  </si>
  <si>
    <t xml:space="preserve">Metrics_Targets</t>
  </si>
  <si>
    <t xml:space="preserve">None of the six metric targets is measurable end to end today: the telemetry funnel is in-process only with no persistence and no dashboard, so activation/trial-to-paid/rating/MRR/churn cannot be reported even after launch without the Postgres adapter</t>
  </si>
  <si>
    <t xml:space="preserve">Measurability column added; flagged as a launch prerequisite, not a story</t>
  </si>
  <si>
    <t xml:space="preserve">http/db</t>
  </si>
  <si>
    <t xml:space="preserve">CLOSED (code half): the six shells had no data source because no dashboard API existed</t>
  </si>
  <si>
    <t xml:space="preserve">Dashboard read API built — /api/incidents, /api/incident, /api/analytics, /api/team, /api/billing; tenant scope taken from the session never the query string, role-gated through the real matrix (member refused billing with 403); 8 regressions</t>
  </si>
  <si>
    <t xml:space="preserve">Closed v017</t>
  </si>
  <si>
    <t xml:space="preserve">db/telemetry</t>
  </si>
  <si>
    <t xml:space="preserve">CLOSED (code half): no metric was reportable because telemetry was process-local</t>
  </si>
  <si>
    <t xml:space="preserve">Persistence layer built — IncidentRepository + MetricsRepository with in-memory AND Postgres adapters verified by ONE shared contract suite (14 assertions x2), funnel_events migration added, activation now computed from stored stages per tenant</t>
  </si>
  <si>
    <t xml:space="preserve">db/incidents/telemetry</t>
  </si>
  <si>
    <t xml:space="preserve">READ AND WRITE SIDES WERE DIFFERENT STORES — the repositories and dashboard API shipped in v017 (one hour earlier), but NO write path ever populated them: incidents lived in an in-process Map while /api/incidents read from the repository, and the funnel never reached MetricsRepository. In production /api/incidents would have been permanently empty and activation permanently 0, with every test green. Same class as EngageOS F-009/F-010 (module built, nothing calls it)</t>
  </si>
  <si>
    <t xml:space="preserve">FIXED — write-through sinks as REQUIRED collaborators on IncidentService and Telemetry (not optional, so it cannot silently recur); buffered, bounded, failures retained for retry with drops counted; async retention sweep added so purge covers repositories too; serve.ts wires sinks + dashboard API and flushes on a timer; 9 regressions that fail if read and write are ever re-disconnected</t>
  </si>
  <si>
    <t xml:space="preserve">Fixed v018</t>
  </si>
  <si>
    <t xml:space="preserve">app/http</t>
  </si>
  <si>
    <t xml:space="preserve">NO FEATURE WAS REACHABLE FROM THE PRODUCT SURFACE. A caller audit of every module found 12 with no importer outside tests — including paging, statuspage, postmortem, onboarding, tenancy and degradation. The live slash-command handler was a stub returning a string, so F2-F5 were fully-tested code nothing could invoke; worse, the F-014 isolation fix (TenantRegistry) and the ST-091 degradation claim rested on classes no request path used</t>
  </si>
  <si>
    <t xml:space="preserve">FIXED — src/app/workflow.ts composition root: declare wires channel + timeline + paging + SEV1 status publish + funnel + onboarding, resolve wires timeline + postmortem + status clear, every external call routed through the circuit breaker; workflowRegistry puts per-workspace isolation ON the request path; serve.ts now calls it with adapters that fail loudly rather than pretending. 15 regressions</t>
  </si>
  <si>
    <t xml:space="preserve">Fixed v019</t>
  </si>
  <si>
    <t xml:space="preserve">OBS-OC1</t>
  </si>
  <si>
    <t xml:space="preserve">Observation</t>
  </si>
  <si>
    <t xml:space="preserve">multiple</t>
  </si>
  <si>
    <t xml:space="preserve">Remaining modules with no caller are genuine libraries awaiting a surface, not defects: pricingDoc + loadSigner (build-time tools), shells (front-end, pending V17-08), chatSla (needs a support surface), scheduler (needs a process runner), latency (measured at deploy). Recorded rather than wired, so the list stays honest</t>
  </si>
  <si>
    <t xml:space="preserve">No action; revisit when V17-08 and the live deploy land</t>
  </si>
  <si>
    <t xml:space="preserve">Open — informational</t>
  </si>
  <si>
    <t xml:space="preserve">http/admin</t>
  </si>
  <si>
    <t xml:space="preserve">29 USER-FACING CAPABILITIES HAD NO SURFACE — feature rules, pause/resume, CSV import, notification preferences, usage metrics, timeline export, onboarding checklist and empty states, export/delete-my-data, plan change, cancellation, support chat and the operational sweeps were all module-only. Stories reading "the user can X" were true of the module, not the product</t>
  </si>
  <si>
    <t xml:space="preserve">FIXED — src/http/adminApi.ts: 15 routes covering all of the above, session-scoped and matrix-gated (members refused data rights and billing), operational routes behind the operator token only; repeated fallbacks and error extraction collapsed into two tested helpers rather than duplicated defensive branches; 18 regressions</t>
  </si>
  <si>
    <t xml:space="preserve">Fixed v020</t>
  </si>
  <si>
    <t xml:space="preserve">Full_Backlog</t>
  </si>
  <si>
    <t xml:space="preserve">STATUS TRUTH PASS: 7 stories remained unreachable after the API work and were reclassified Done -&gt; Module-only (weekly email, health score, heatmap, telemetry CSV, alert thresholds, error-spike alerting, p95 measurement). Each is real tested code with no surface or no live traffic behind it</t>
  </si>
  <si>
    <t xml:space="preserve">Done count corrected 77 -&gt; 70; new Module-only status defined in ReadMe_Scope; Sprint_Board Done formula unchanged so the board now reads the corrected number</t>
  </si>
  <si>
    <t xml:space="preserve">Corrected v020</t>
  </si>
  <si>
    <t xml:space="preserve">Closed</t>
  </si>
  <si>
    <t xml:space="preserve">telemetry/http</t>
  </si>
  <si>
    <t xml:space="preserve">The 7 Module-only stories from 11:17 are closed by building what they lacked rather than by re-labelling: ST-072 spike alerts now leave the process through a Notifier (webhook sink retains and retries failures), ST-073/075 heatmap and health score served at /api/analytics/detail, ST-076 CSV export owner-gated, ST-077 thresholds readable and writable with validation, ST-074 weekly email wired to a Scheduler runner in serve.ts, ST-087 p95 MEASURED per route by router instrumentation and graded at /ops/latency</t>
  </si>
  <si>
    <t xml:space="preserve">Done count restored 70 -&gt; 77 on evidence, not assertion — each story has a regression naming its surface; a redundant always-true ternary found while covering the latency report was deleted rather than tested</t>
  </si>
  <si>
    <t xml:space="preserve">Closed v021</t>
  </si>
  <si>
    <t xml:space="preserve">RESOLVED</t>
  </si>
  <si>
    <t xml:space="preserve">Re-resolve overwrote resolvedAt and reopening silently reverted to open, so MTTR and every postmortem duration drifted</t>
  </si>
  <si>
    <t xml:space="preserve">IMPLEMENTED Option A — explicit transition map (illegal moves refused, not applied); resolvedAt records the FIRST resolution and is immutable; resolutions[] keeps every instant; reopened is a first-class state with a reopen counter; timeToFirstResolutionMs() is the defensible MTTR input; reopen wired into the workflow with timeline + status-page effects; state machine documented in DATA_FLOW.md. 7 regressions</t>
  </si>
  <si>
    <t xml:space="preserve">Closed v023</t>
  </si>
  <si>
    <t xml:space="preserve">After cooldown the breaker resumed FULL traffic against a possibly-sick provider</t>
  </si>
  <si>
    <t xml:space="preserve">IMPLEMENTED Option A — explicit closed/open/half_open states; exactly one probe admitted after cooldown while all other callers wait; a successful probe closes, a failed probe re-opens for another full cooldown. 5 regressions. Same fix is the answer to FlowCast OBS-002, VoiceBridge OBS-V2 and MeetSync OBS-M1</t>
  </si>
  <si>
    <t xml:space="preserve">Replay queue grew without limit during an extended outage</t>
  </si>
  <si>
    <t xml:space="preserve">IMPLEMENTED Option A — bounded at 5,000, drop-oldest, with droppedCount() so losses are surfaced rather than silent; matches the FIFO pattern already used for the dedupe and error ledgers. 3 regressions</t>
  </si>
  <si>
    <t xml:space="preserve">D-OC5</t>
  </si>
  <si>
    <t xml:space="preserve">DECISION</t>
  </si>
  <si>
    <t xml:space="preserve">product</t>
  </si>
  <si>
    <t xml:space="preserve">V17-08 RATIFIED — Option A, Slack-first. No rendered web front-end for launch; the dashboard and admin APIs remain for support and analytics. Reversible: the API layer is built, so a client can be added later without rework</t>
  </si>
  <si>
    <t xml:space="preserve">Implemented: the Block Kit layer that a Slack-first product actually needs was built (it did not exist — declareModalBlocks() returned three field names, which under Slack-first WAS the entire UI)</t>
  </si>
  <si>
    <t xml:space="preserve">Ratified v024</t>
  </si>
  <si>
    <t xml:space="preserve">F-022</t>
  </si>
  <si>
    <t xml:space="preserve">blockkit</t>
  </si>
  <si>
    <t xml:space="preserve">The product surface barely existed. The declare "modal" was a list of three strings; there was no incident message, no resolve/reopen controls and no App Home. Under V17-08 Option A this is not a gap in a secondary surface — it is the gap in the ONLY surface</t>
  </si>
  <si>
    <t xml:space="preserve">FIXED — real declare modal (typed inputs, plain-language severity options), incident message with status in words and resolve/mitigate/reopen actions, App Home dashboard that pages rather than breaching the 100-block cap; all wired into the workflow behind a single validation guard; 21 regressions</t>
  </si>
  <si>
    <t xml:space="preserve">Fixed v024</t>
  </si>
  <si>
    <t xml:space="preserve">Slack SILENTLY TRUNCATES an over-limit payload — a partial modal with no API error. Nothing checked our views against Slack published limits</t>
  </si>
  <si>
    <t xml:space="preserve">FIXED — limits module verified against Slack reference docs (24-char titles, 100 modal / 50 message blocks, 3000-char sections, 10 fields, 75-char buttons) with a validator refusing an over-limit view at build time; caught a genuine bug in my own builder where a :warning: prefix pushed a truncated note back over the section cap</t>
  </si>
  <si>
    <t xml:space="preserve">Recategorised</t>
  </si>
  <si>
    <t xml:space="preserve">accessibility</t>
  </si>
  <si>
    <t xml:space="preserve">Previously framed as a rendered-UI audit that depended on V17-08</t>
  </si>
  <si>
    <t xml:space="preserve">With Slack-first ratified, this is Block Kit conformance (automated: text alternatives, not-colour-alone, labelled inputs, named buttons, alt text) plus a live screen-reader pass. Automated half now enforced on every view; scope statement published in TRUST_SECURITY.md</t>
  </si>
  <si>
    <t xml:space="preserve">Partly closed v024</t>
  </si>
  <si>
    <t xml:space="preserve">http/incidents</t>
  </si>
  <si>
    <t xml:space="preserve">EVERY CONTROL ON THE NEW SURFACE WAS DEAD. v024 shipped a declare modal and mitigate/resolve/reopen buttons seven minutes earlier; /slack/interactive verified the signature, returned an empty 200 and discarded the payload. A user could click Resolve and nothing whatsoever would happen — no error, no state change. Fourth appearance of the orphan class in this build, and this one was mine from the previous sprint</t>
  </si>
  <si>
    <t xml:space="preserve">FIXED — src/incidents/interactions.ts: block_actions routed to real transitions, view_submission validated and declaring, per-workspace role resolution, installation guard. Two Slack constraints honoured: the declare modal opens on the ACK path because trigger_id expires in ~3s, and view_submission answers with an empty 200 to close or a response_action payload to show field errors. Rejected transitions become user-facing warnings rather than crashes. 24 regressions</t>
  </si>
  <si>
    <t xml:space="preserve">Fixed v025</t>
  </si>
  <si>
    <t xml:space="preserve">ENCRYPTION AT REST WAS CLAIMED BUT NEVER APPLIED. ST-066 has been marked Code-complete since 11 Sep on the strength of a FieldCrypto module — and nothing ever called it. Slack access and refresh tokens were stored in plaintext on the installation record, and the trust page said otherwise. The caller audit found it; no test could, because crypto.ts was fully covered by its own tests</t>
  </si>
  <si>
    <t xml:space="preserve">FIXED — tokens stored only as AES-256-GCM ciphertext with a key id; FieldCrypto is a REQUIRED constructor collaborator on InstallService; plaintext decrypted only at the point of an API call via accessTokenFor(); uninstall clears ciphertext; rotation re-encrypts; ENCRYPTION_KEY now required at boot; trust page corrected to describe what the code actually does. 4 regressions incl. a check that no plaintext appears anywhere on the serialised record</t>
  </si>
  <si>
    <t xml:space="preserve">Fixed v026</t>
  </si>
  <si>
    <t xml:space="preserve">CLN-1</t>
  </si>
  <si>
    <t xml:space="preserve">Cleanup</t>
  </si>
  <si>
    <t xml:space="preserve">screens</t>
  </si>
  <si>
    <t xml:space="preserve">src/screens/shells.ts and its jest-axe suite tested HTML for a web client that V17-08 ratified out of existence — obsolete code carrying apparent test evidence for ST-089</t>
  </si>
  <si>
    <t xml:space="preserve">REMOVED. ST-089 evidence is now the Block Kit accessibility auditor, which audits views the product actually ships</t>
  </si>
  <si>
    <t xml:space="preserve">Closed v026</t>
  </si>
  <si>
    <t xml:space="preserve">F-026</t>
  </si>
  <si>
    <t xml:space="preserve">billing/app</t>
  </si>
  <si>
    <t xml:space="preserve">THE READ-ONLY STATE WE PROMISE CUSTOMERS WAS NEVER APPLIED. The help centre and dunning emails say "7-day grace, then read-only — nothing is deleted"; the account flag was set correctly and enforced nowhere, so an account in arrears could declare incidents exactly as before. A cancelled subscription was equally unenforced</t>
  </si>
  <si>
    <t xml:space="preserve">FIXED — Entitlements gate as a REQUIRED collaborator on the workflow, checked before every mutating action (declare, reopen) with the reason carried for the Slack surface; reads deliberately stay open so history remains visible and exportable; payment recovery lifts the block. 11 regressions</t>
  </si>
  <si>
    <t xml:space="preserve">Fixed v027</t>
  </si>
  <si>
    <t xml:space="preserve">F-027</t>
  </si>
  <si>
    <t xml:space="preserve">THE PLAN LIMIT WE CHARGE FOR DID NOT EXIST. Pricing sells tiers by incidents/month (25/200/2000) and nothing counted incidents against the plan or refused at the cap — the meter was never connected to incident creation</t>
  </si>
  <si>
    <t xml:space="preserve">FIXED — every declare is metered against the plan and refused at the cap with an upgrade prompt; 80%/100% warnings fire on the way up; a new cycle restores the allowance and an upgrade raises the cap without a reset</t>
  </si>
  <si>
    <t xml:space="preserve">F-028</t>
  </si>
  <si>
    <t xml:space="preserve">install/scheduler</t>
  </si>
  <si>
    <t xml:space="preserve">The 30-day deletion policy ran ONLY if an operator called the ops endpoint by hand — a published retention promise with no timer behind it</t>
  </si>
  <si>
    <t xml:space="preserve">FIXED — registered as a daily scheduled job in serve.ts, so the policy executes whether or not anyone remembers; regression proves the sweep purges without the endpoint being called</t>
  </si>
  <si>
    <t xml:space="preserve">F-029</t>
  </si>
  <si>
    <t xml:space="preserve">incidents/db</t>
  </si>
  <si>
    <t xml:space="preserve">DEPLOYS WOULD HAVE CORRUPTED DATA. The incident counter was process-local, so after any restart the next declare produced INC-0001 — and the repository upserts BY ID, meaning it would silently OVERWRITE an older, unrelated incident. Every blue/green switch was a data-loss event waiting to happen</t>
  </si>
  <si>
    <t xml:space="preserve">FIXED — highestSequence() added to the repository contract (both adapters, in the shared suite) and numbering reseeded from stored state at boot; seeding never lowers a live sequence; regression proves a restarted process issues INC-0003 and leaves INC-0001 intact</t>
  </si>
  <si>
    <t xml:space="preserve">Fixed v028</t>
  </si>
  <si>
    <t xml:space="preserve">F-030</t>
  </si>
  <si>
    <t xml:space="preserve">roleResolver</t>
  </si>
  <si>
    <t xml:space="preserve">Roles lived only in memory, so after a restart every caller resolved to member — owner-only actions (billing, data rights, uninstall) became unreachable until someone reinstalled the app</t>
  </si>
  <si>
    <t xml:space="preserve">FIXED — snapshot/restore so a persistent adapter rehydrates roles at boot; regression demonstrates the unrestored failure and the restored recovery</t>
  </si>
  <si>
    <t xml:space="preserve">F-031</t>
  </si>
  <si>
    <t xml:space="preserve">The dedupe ledger was process-local, so Slack retries arriving after a deploy (up to 3, ~1 minute apart) looked like new events and created DUPLICATE incident channels — which also falsified the runbook claim that rollback is safe because replays are deduped</t>
  </si>
  <si>
    <t xml:space="preserve">FIXED — snapshot/restore for the ledger, cap-respecting on restore; regression proves a retry after restart is still deduped and no second channel is created</t>
  </si>
  <si>
    <t xml:space="preserve">F-032</t>
  </si>
  <si>
    <t xml:space="preserve">writeThrough/lifecycle</t>
  </si>
  <si>
    <t xml:space="preserve">Buffered sink rows flushed on a 1-second timer with NOTHING running at shutdown, so every deploy silently dropped whatever had not yet flushed — incidents and funnel events alike</t>
  </si>
  <si>
    <t xml:space="preserve">FIXED — Lifecycle drains every registered buffer on SIGTERM/SIGINT, retries while making progress, stops when storage is unreachable and REPORTS the loss rather than hiding it; exit code reflects whether anything was lost</t>
  </si>
  <si>
    <t xml:space="preserve">CLOSED</t>
  </si>
  <si>
    <t xml:space="preserve">db/core</t>
  </si>
  <si>
    <t xml:space="preserve">Restart safety was designed but not operational: roles and the dedupe ledger had snapshot/restore hooks with no store behind them, so F-030 and F-031 would have returned on the first blue/green deploy</t>
  </si>
  <si>
    <t xml:space="preserve">CLOSED — RoleRepository and DedupeRepository added with in-memory AND Postgres adapters in the shared contract suite, plus migrations 0007/0008. Roles write through on every grant (failures surfaced, not swallowed, and now fail /health). Dedupe uses INSERT ... ON CONFLICT DO NOTHING RETURNING, so the check is atomic across replicas rather than merely persistent. serve.ts rehydrates roles, ledger and incident numbering BEFORE serving traffic, and both tables are registered with the retention sweep. 12 regressions</t>
  </si>
  <si>
    <t xml:space="preserve">Closed v029</t>
  </si>
  <si>
    <t xml:space="preserve">F-033</t>
  </si>
  <si>
    <t xml:space="preserve">THE v028 ID FIX ONLY COVERED RESTARTS, NOT CONCURRENCY. Seeding the counter from the stored maximum is correct for one process; under blue/green TWO instances run at once, both seed from the same maximum and both mint the same next id, which the id-based upsert then collapses into a single row. The data-corruption risk I reported as fixed was still live in precisely the scenario the deploy creates</t>
  </si>
  <si>
    <t xml:space="preserve">FIXED — allocation moved into the store: SequenceAllocator with in-memory and Postgres adapters (INSERT ... ON CONFLICT DO UPDATE ... RETURNING, so the row lock serialises replicas), seeded from stored data at boot, wired through the service. A genuine off-by-one in my first attempt was caught by its own regression (the counter skipped an id after an allocation). 12 regressions</t>
  </si>
  <si>
    <t xml:space="preserve">Fixed v030</t>
  </si>
  <si>
    <t xml:space="preserve">F-034</t>
  </si>
  <si>
    <t xml:space="preserve">scheduler</t>
  </si>
  <si>
    <t xml:space="preserve">EVERY REPLICA RAN EVERY SCHEDULED JOB. A two-instance deploy would send each workspace its weekly metrics email twice and run concurrent retention sweeps against the same tenants</t>
  </si>
  <si>
    <t xml:space="preserve">FIXED — LeaseStore (both adapters) with lease-gated jobs: exactly one holder runs a leased job, leases expire so a crashed replica cannot stall the job forever, a non-holder cannot release, and skipped jobs are recorded rather than silently dropped. A leased job with no lease store configured is a hard error, not a silent double-run</t>
  </si>
  <si>
    <t xml:space="preserve">SINGLE-WRITER GAP REMAINING, STATED PLAINLY: entitlement usage lives in the in-memory billing account store, so two replicas each count separately and a workspace could exceed its plan limit by up to one cap per replica. Not fixed this sprint — moving the billing store behind a repository is a larger change than the time available, and half-doing it is the failure mode I have criticised all day</t>
  </si>
  <si>
    <t xml:space="preserve">OPEN — deliberately not started rather than partially built. Fix is the same shape as the others: a BillingRepository with both adapters in the shared contract suite. Until then, run ONE replica, or accept the over-count</t>
  </si>
  <si>
    <t xml:space="preserve">Open — needs a sprint</t>
  </si>
  <si>
    <t xml:space="preserve">billing/db</t>
  </si>
  <si>
    <t xml:space="preserve">Logged open last sprint: entitlement usage lived in memory, so two replicas each counted to the cap (a workspace could exceed its plan by one cap per instance) and — found while fixing it — a restart reset readOnly to FALSE, silently unblocking a delinquent account</t>
  </si>
  <si>
    <t xml:space="preserve">CLOSED — BillingRepository with in-memory and Postgres adapters in the shared contract suite plus migration 0011; claimUsage does the cap check and the increment in ONE statement (UPDATE ... WHERE usage &lt; limit RETURNING), so a second replica at the cap updates zero rows and is told so; BillingService writes through on every state change and rehydrates at boot, with write failures surfaced through /health; a refused gate spends no allowance. 19 regressions</t>
  </si>
  <si>
    <t xml:space="preserve">Closed v031</t>
  </si>
  <si>
    <t xml:space="preserve">deployment</t>
  </si>
  <si>
    <t xml:space="preserve">Mitigation "run a single replica" is withdrawn — the reason for it is gone</t>
  </si>
  <si>
    <t xml:space="preserve">Entitlement usage is now shared and atomic; arrears survive a restart</t>
  </si>
  <si>
    <t xml:space="preserve">F-036</t>
  </si>
  <si>
    <t xml:space="preserve">install/db</t>
  </si>
  <si>
    <t xml:space="preserve">INSTALLATIONS WERE NEVER PERSISTED, SO EVERY INCIDENT WRITE WOULD HAVE FAILED. incidents.team_id is a foreign key to installations(team_id) and nothing ever wrote an installations row — installs lived only in memory. Worse than a visible error: the write-through sink RETAINS failed rows, so the symptom in production would have been a silently growing backlog, not an alert</t>
  </si>
  <si>
    <t xml:space="preserve">FIXED — InstallationRepository with both adapters; InstallService writes through on install, rotation and uninstall, rehydrates at boot before any child write, deletes the row in the retention sweep, and surfaces write failures through /health. 8 regressions</t>
  </si>
  <si>
    <t xml:space="preserve">Fixed v032</t>
  </si>
  <si>
    <t xml:space="preserve">F-037</t>
  </si>
  <si>
    <t xml:space="preserve">db/schema</t>
  </si>
  <si>
    <t xml:space="preserve">SCHEMA CONTRADICTED THE CODE: installations.access_token and refresh_token were NOT NULL, but uninstall deliberately clears them while the row survives the retention window — that write would have failed against a real database</t>
  </si>
  <si>
    <t xml:space="preserve">FIXED — both columns made nullable with the reason recorded in the migration; round-trip regression covers a revoked install</t>
  </si>
  <si>
    <t xml:space="preserve">F-038</t>
  </si>
  <si>
    <t xml:space="preserve">db/repository</t>
  </si>
  <si>
    <t xml:space="preserve">highestSequence used the Postgres-specific regex operator (id ~ pattern) where a portable LIKE does the same job on ids we generate ourselves</t>
  </si>
  <si>
    <t xml:space="preserve">FIXED — LIKE 'INC-%'; fewer exotic operators, same result</t>
  </si>
  <si>
    <t xml:space="preserve">tests</t>
  </si>
  <si>
    <t xml:space="preserve">pg-mem deviates from Postgres on ON CONFLICT DO NOTHING ... RETURNING (returns the conflicting row where Postgres returns none) and on a conditional DO UPDATE whose WHERE fails. Verified directly and recorded rather than worked around; the dedupe and lease adapters depend on the real behaviour, so those semantics are asserted against the in-memory adapters and the contract suite while the SQL itself is still executed for syntax</t>
  </si>
  <si>
    <t xml:space="preserve">No change — documented in the integration suite</t>
  </si>
  <si>
    <t xml:space="preserve">db/tests</t>
  </si>
  <si>
    <t xml:space="preserve">pg-mem could not confirm the ON CONFLICT semantics our dedupe and lease logic depends on, and I had left the SQL unchanged on the strength of a direct check rather than the suite</t>
  </si>
  <si>
    <t xml:space="preserve">CLOSED — a real PostgreSQL 16 was provisioned in the container and the adapters run against it: ON CONFLICT DO NOTHING ... RETURNING returns no row and the conditional DO UPDATE holds the lease, exactly as the code assumed. Leaving that SQL alone was correct</t>
  </si>
  <si>
    <t xml:space="preserve">Closed v033</t>
  </si>
  <si>
    <t xml:space="preserve">db/ci</t>
  </si>
  <si>
    <t xml:space="preserve">The real-Postgres run was carried as an item for Senthil</t>
  </si>
  <si>
    <t xml:space="preserve">CLOSED — done here instead: 8 integration tests against PostgreSQL 16 covering FK enforcement, NULL tokens on revoked installs, ON CONFLICT semantics, cascade delete, the portable LIKE, and REAL concurrency — 20 parallel id claims yield 20 distinct ids, and 30 parallel usage claims against a cap of 10 admit exactly 10. Added as a CI job with a postgres:16 service plus npm run test:pg; the suite skips cleanly when no server is configured</t>
  </si>
  <si>
    <t xml:space="preserve">A malformed request body answered 500 instead of 400. That is the wrong status AND an alerting problem: the error-spike detector now pages on 500s, so junk input could raise an incident about our own parser</t>
  </si>
  <si>
    <t xml:space="preserve">FIXED — unparseable or non-object bodies return 400 "malformed payload"; regressions cover junk text and valid-JSON-but-not-an-object. Found by the adversarial suite, not by review</t>
  </si>
  <si>
    <t xml:space="preserve">Fixed v034</t>
  </si>
  <si>
    <t xml:space="preserve">SC-08</t>
  </si>
  <si>
    <t xml:space="preserve">security</t>
  </si>
  <si>
    <t xml:space="preserve">Pen test was carried wholly as a Senthil item; the sandbox half was a document</t>
  </si>
  <si>
    <t xml:space="preserve">ADVANCED — 18-case adversarial suite now runs in CI: forged/replayed/truncated signatures, tenant escape by supplied team id, cross-workspace role bleed, self-granted roles, admin-minted owners, member access to billing and deletion, operator endpoints with session/wrong-token/malformed header, OAuth CSRF with absent, forged and replayed state, SQL- and script-shaped input, oversized and junk bodies, stack-trace and connection-string leakage, and plaintext-token leakage. It found F-039. NOT a substitute for the third-party engagement — it can only test attacks we thought of</t>
  </si>
  <si>
    <t xml:space="preserve">In progress v034</t>
  </si>
  <si>
    <t xml:space="preserve">The load run was blocked on a staging URL, which was only true for the network half</t>
  </si>
  <si>
    <t xml:space="preserve">MEASURED — npm run loadtest drives the real router in-process at 20 rps for 30s (10x launch estimate): 600 requests, 0 errors, p95 0ms against 3000ms and 500ms budgets, now gating CI. Stated honestly: this measures OUR application overhead with platform adapters mocked, so it proves the code is not the bottleneck and says nothing about network, database or Slack latency. The staging run is still required</t>
  </si>
  <si>
    <t xml:space="preserve">Code-complete v034</t>
  </si>
  <si>
    <t xml:space="preserve">README still described the v0.8 codebase: 8 directories where there are now 19, omitting the entire HTTP surface, persistence layer, Block Kit views, scheduler and live tooling, and still naming a module deleted three sprints ago. It is the first artifact a marketplace reviewer or a new engineer reads</t>
  </si>
  <si>
    <t xml:space="preserve">FIXED — rewritten to the real layout, every route, the five boot-required environment variables, the six commands, the adapter-swap list with the boot restore ORDER (installations first as the FK parent), and the three conventions this codebase depends on</t>
  </si>
  <si>
    <t xml:space="preserve">Fixed v035</t>
  </si>
  <si>
    <t xml:space="preserve">SUP-1</t>
  </si>
  <si>
    <t xml:space="preserve">Supply chain</t>
  </si>
  <si>
    <t xml:space="preserve">deps</t>
  </si>
  <si>
    <t xml:space="preserve">No dependency audit had been run at any point</t>
  </si>
  <si>
    <t xml:space="preserve">CLEAN — npm audit reports 0 vulnerabilities with and without dev dependencies. Runtime surface is deliberately small (framework-free router, pg only at deploy); pg-mem, jest-axe and ts-node are dev-only</t>
  </si>
  <si>
    <t xml:space="preserve">Verified v035</t>
  </si>
  <si>
    <t xml:space="preserve">Blocker</t>
  </si>
  <si>
    <t xml:space="preserve">composition root</t>
  </si>
  <si>
    <t xml:space="preserve">The composition root constructed Entitlements from bindings declared eleven lines later, so npm start could never have run. tsconfig covered src/** only, so the CI type-check passed.</t>
  </si>
  <si>
    <t xml:space="preserve">FIXED — composition moved into src/composition/production.ts; scripts/ inside the type-check; build before coverage in CI</t>
  </si>
  <si>
    <t xml:space="preserve">Fixed v036</t>
  </si>
  <si>
    <t xml:space="preserve">db/composition</t>
  </si>
  <si>
    <t xml:space="preserve">The runtime demanded DATABASE_URL and then built eight in-memory repositories.</t>
  </si>
  <si>
    <t xml:space="preserve">FIXED — Pg adapters for staging/production; production refuses to boot without a connection</t>
  </si>
  <si>
    <t xml:space="preserve">install/http</t>
  </si>
  <si>
    <t xml:space="preserve">The installed-workspace check consulted a Set nothing ever added to.</t>
  </si>
  <si>
    <t xml:space="preserve">FIXED — the installation repository is authoritative; restore seeds from it</t>
  </si>
  <si>
    <t xml:space="preserve">http/session</t>
  </si>
  <si>
    <t xml:space="preserve">Every guarded /api/* route answered 401 because the runtime resolved all sessions to undefined.</t>
  </si>
  <si>
    <t xml:space="preserve">FIXED — signed, expiring, tenant-bound cookie issued at OAuth with double-submit CSRF</t>
  </si>
  <si>
    <t xml:space="preserve">Async handlers were collapsed to an empty 202; a security test asserted that 202 as correct behaviour.</t>
  </si>
  <si>
    <t xml:space="preserve">FIXED — real async routes; the test now asserts a real payload and a 404 cross-tenant read</t>
  </si>
  <si>
    <t xml:space="preserve">Export and delete ran over an empty Map, reporting success over none of the tenant data.</t>
  </si>
  <si>
    <t xml:space="preserve">FIXED — coordinator over six real stores; inventory published</t>
  </si>
  <si>
    <t xml:space="preserve">install/retention</t>
  </si>
  <si>
    <t xml:space="preserve">Retention covered roles, billing and dedupe but not incidents or metrics.</t>
  </si>
  <si>
    <t xml:space="preserve">FIXED — retention and export derive from one inventory</t>
  </si>
  <si>
    <t xml:space="preserve">packaging</t>
  </si>
  <si>
    <t xml:space="preserve">pg and ts-node were dev-only and there were no runtime dependencies, so a production install could not start the service.</t>
  </si>
  <si>
    <t xml:space="preserve">FIXED — pg as a dependency, dist build, non-root container, CI package job</t>
  </si>
  <si>
    <t xml:space="preserve">L-OC16</t>
  </si>
  <si>
    <t xml:space="preserve">Lesson</t>
  </si>
  <si>
    <t xml:space="preserve">gates</t>
  </si>
  <si>
    <t xml:space="preserve">The gate did not cover the file that decides what ships: 473 tests at 100% coverage were green against a runtime that could not compile.</t>
  </si>
  <si>
    <t xml:space="preserve">APPLIED — scripts/ inside the type-check; every sibling built from this template needs the same check</t>
  </si>
  <si>
    <t xml:space="preserve">Closed v036</t>
  </si>
  <si>
    <t xml:space="preserve">L-OC17</t>
  </si>
  <si>
    <t xml:space="preserve">A test can encode the defect and then defend it.</t>
  </si>
  <si>
    <t xml:space="preserve">APPLIED — when a test asserts a transport shape rather than a value, ask what value belongs there</t>
  </si>
  <si>
    <t xml:space="preserve">INDEPENDENT REVIEW V001 (Perplexity, 16/09) + audit v3 findings — dispositioned at v0.37.0 (full register: External_Review_PX_V001 / tracker Review_PX_Findings)</t>
  </si>
  <si>
    <t xml:space="preserve">incidents/declare.ts</t>
  </si>
  <si>
    <t xml:space="preserve">app/workflow.ts</t>
  </si>
  <si>
    <t xml:space="preserve">scripts/serve.ts</t>
  </si>
  <si>
    <t xml:space="preserve">incidents/ack.ts; scripts/serve.ts (lifecycle.register x2 only)</t>
  </si>
  <si>
    <t xml:space="preserve">scripts/serve.ts (vault.addKey('k1')); compliance/crypto.ts</t>
  </si>
  <si>
    <t xml:space="preserve">scheduler/scheduler.ts; scripts/serve.ts</t>
  </si>
  <si>
    <t xml:space="preserve">paging/paging.ts</t>
  </si>
  <si>
    <t xml:space="preserve">Product workbook Financial_Model</t>
  </si>
  <si>
    <t xml:space="preserve">http/session.ts</t>
  </si>
  <si>
    <t xml:space="preserve">scripts/serve.ts (loadRecent(10000))</t>
  </si>
  <si>
    <t xml:space="preserve">Risk_Register</t>
  </si>
  <si>
    <t xml:space="preserve">db/repository.ts</t>
  </si>
  <si>
    <t xml:space="preserve">core/degradation.ts</t>
  </si>
  <si>
    <t xml:space="preserve">events/receiver.ts</t>
  </si>
  <si>
    <t xml:space="preserve">SUBMISSION READINESS DRY-RUN — machine-checked where possible (13/09/2026 11:25)</t>
  </si>
  <si>
    <t xml:space="preserve">Regenerate any time with: npm run submission-check. Exit code is non-zero while any automated check is blocked, so it can gate CI.</t>
  </si>
  <si>
    <t xml:space="preserve">VERDICT: READY_TO_SUBMIT on the automated half, and NOT SUBMITTABLE overall — external review V001 gate G0 blocks submission until the P0 remediation set closes. The automated checks were always necessary and never sufficient. V037: Phase 0 of the second review closed; S38-S41 (adapters, now drop-ins) remain the gate.</t>
  </si>
  <si>
    <t xml:space="preserve">Requirement</t>
  </si>
  <si>
    <t xml:space="preserve">State</t>
  </si>
  <si>
    <t xml:space="preserve">Evidence / what is needed</t>
  </si>
  <si>
    <t xml:space="preserve">Owner</t>
  </si>
  <si>
    <t xml:space="preserve">SC-01</t>
  </si>
  <si>
    <t xml:space="preserve">App manifest present with least-privilege scopes</t>
  </si>
  <si>
    <t xml:space="preserve">PASS</t>
  </si>
  <si>
    <t xml:space="preserve">5 scopes, each justified on the trust page</t>
  </si>
  <si>
    <t xml:space="preserve">automated</t>
  </si>
  <si>
    <t xml:space="preserve">SC-02</t>
  </si>
  <si>
    <t xml:space="preserve">Endpoints Slack calls are served</t>
  </si>
  <si>
    <t xml:space="preserve">5 required routes registered</t>
  </si>
  <si>
    <t xml:space="preserve">SC-03</t>
  </si>
  <si>
    <t xml:space="preserve">Review and listing documentation present</t>
  </si>
  <si>
    <t xml:space="preserve">7 documents present</t>
  </si>
  <si>
    <t xml:space="preserve">SC-04</t>
  </si>
  <si>
    <t xml:space="preserve">Automated quality gate green (D13)</t>
  </si>
  <si>
    <t xml:space="preserve">60 suites / 624 tests (616 run, 8 gated on a real Postgres) at 100% statements, branches, functions and lines over src/ AND scripts/; clean tsc over src+scripts and tests (v0.37.0)</t>
  </si>
  <si>
    <t xml:space="preserve">SC-05</t>
  </si>
  <si>
    <t xml:space="preserve">Database migrations present</t>
  </si>
  <si>
    <t xml:space="preserve">Ordered migrations with cascade deletes</t>
  </si>
  <si>
    <t xml:space="preserve">SC-06</t>
  </si>
  <si>
    <t xml:space="preserve">Installed and verified in a real Slack workspace</t>
  </si>
  <si>
    <t xml:space="preserve">LIVE</t>
  </si>
  <si>
    <t xml:space="preserve">docs/DEV_WORKSPACE_SETUP.md then npm run live-sweep (12 steps)</t>
  </si>
  <si>
    <t xml:space="preserve">Senthil</t>
  </si>
  <si>
    <t xml:space="preserve">SC-07</t>
  </si>
  <si>
    <t xml:space="preserve">Live billing verified end to end</t>
  </si>
  <si>
    <t xml:space="preserve">Stripe keys + one real test charge</t>
  </si>
  <si>
    <t xml:space="preserve">Third-party penetration test completed</t>
  </si>
  <si>
    <t xml:space="preserve">HUMAN</t>
  </si>
  <si>
    <t xml:space="preserve">Sandbox half now an 18-case adversarial suite in CI (it found F-039); the third-party engagement remains open — a self-written suite only covers attacks we thought of</t>
  </si>
  <si>
    <t xml:space="preserve">SC-09</t>
  </si>
  <si>
    <t xml:space="preserve">Independent second reviewer sign-off</t>
  </si>
  <si>
    <t xml:space="preserve">Served twice (ChatGPT 13/09, Perplexity 16/09), both dispositioned; S50 needs a THIRD reviewer independent of both</t>
  </si>
  <si>
    <t xml:space="preserve">SC-10</t>
  </si>
  <si>
    <t xml:space="preserve">Listing assets captured (icon, screenshots, video)</t>
  </si>
  <si>
    <t xml:space="preserve">Copy drafted; capture needs the running product</t>
  </si>
  <si>
    <t xml:space="preserve">SC-11</t>
  </si>
  <si>
    <t xml:space="preserve">Listing copy variant chosen (A or B)</t>
  </si>
  <si>
    <t xml:space="preserve">Both drafted; the pick is a product decision</t>
  </si>
  <si>
    <t xml:space="preserve">Accessibility: Block Kit conformance + live screen-reader pass</t>
  </si>
  <si>
    <t xml:space="preserve">Automated rules enforced on every view (text alternatives, not-colour-alone, labels, alt text) and limits gated at build time; screen-reader pass needs the installed app</t>
  </si>
  <si>
    <t xml:space="preserve">SC-13</t>
  </si>
  <si>
    <t xml:space="preserve">Production composition contains no stub or in-memory adapter</t>
  </si>
  <si>
    <t xml:space="preserve">BLOCKED</t>
  </si>
  <si>
    <t xml:space="preserve">The boot gate refuses today naming all TEN providers with their probe results (healthcheck), and is proven to PERMIT a healthy composition. GET /ops/composition reports inventory + probes.</t>
  </si>
</sst>
</file>

<file path=xl/styles.xml><?xml version="1.0" encoding="utf-8"?>
<styleSheet xmlns="http://schemas.openxmlformats.org/spreadsheetml/2006/main">
  <numFmts count="3">
    <numFmt numFmtId="164" formatCode="General"/>
    <numFmt numFmtId="165" formatCode="\$#,##0;&quot;($&quot;#,##0\);\-"/>
    <numFmt numFmtId="166" formatCode="0%"/>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i val="true"/>
      <sz val="9"/>
      <name val="Arial"/>
      <family val="0"/>
      <charset val="1"/>
    </font>
    <font>
      <b val="true"/>
      <sz val="12"/>
      <name val="Cambria"/>
      <family val="0"/>
      <charset val="1"/>
    </font>
    <font>
      <sz val="9"/>
      <name val="Cambria"/>
      <family val="0"/>
      <charset val="1"/>
    </font>
    <font>
      <b val="true"/>
      <sz val="10"/>
      <name val="Cambria"/>
      <family val="0"/>
      <charset val="1"/>
    </font>
    <font>
      <sz val="10"/>
      <name val="Cambria"/>
      <family val="0"/>
      <charset val="1"/>
    </font>
    <font>
      <b val="true"/>
      <sz val="12"/>
      <name val="Arial"/>
      <family val="0"/>
      <charset val="1"/>
    </font>
    <font>
      <sz val="9"/>
      <name val="Arial"/>
      <family val="0"/>
      <charset val="1"/>
    </font>
    <font>
      <b val="true"/>
      <sz val="10"/>
      <name val="Arial"/>
      <family val="0"/>
      <charset val="1"/>
    </font>
    <font>
      <sz val="10"/>
      <color rgb="FF0000FF"/>
      <name val="Arial"/>
      <family val="0"/>
      <charset val="1"/>
    </font>
  </fonts>
  <fills count="7">
    <fill>
      <patternFill patternType="none"/>
    </fill>
    <fill>
      <patternFill patternType="gray125"/>
    </fill>
    <fill>
      <patternFill patternType="solid">
        <fgColor rgb="FF1F3864"/>
        <bgColor rgb="FF1F4E79"/>
      </patternFill>
    </fill>
    <fill>
      <patternFill patternType="solid">
        <fgColor rgb="FFFFF2CC"/>
        <bgColor rgb="FFFFFFFF"/>
      </patternFill>
    </fill>
    <fill>
      <patternFill patternType="solid">
        <fgColor rgb="FFD9E2F3"/>
        <bgColor rgb="FFCCFFFF"/>
      </patternFill>
    </fill>
    <fill>
      <patternFill patternType="solid">
        <fgColor rgb="FFFFFF00"/>
        <bgColor rgb="FFFFFF00"/>
      </patternFill>
    </fill>
    <fill>
      <patternFill patternType="solid">
        <fgColor rgb="FF1F4E79"/>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15" fillId="5" borderId="0" xfId="0" applyFont="true" applyBorder="fals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15" hidden="false" customHeight="true" outlineLevel="0" collapsed="false">
      <c r="A7" s="6" t="s">
        <v>17</v>
      </c>
      <c r="B7" s="6" t="s">
        <v>18</v>
      </c>
      <c r="C7" s="6" t="s">
        <v>8</v>
      </c>
      <c r="D7" s="6" t="s">
        <v>19</v>
      </c>
      <c r="E7" s="6" t="s">
        <v>10</v>
      </c>
    </row>
    <row r="8" customFormat="false" ht="15" hidden="false" customHeight="true" outlineLevel="0" collapsed="false">
      <c r="A8" s="6" t="s">
        <v>20</v>
      </c>
      <c r="B8" s="6" t="s">
        <v>21</v>
      </c>
      <c r="C8" s="6" t="s">
        <v>8</v>
      </c>
      <c r="D8" s="6" t="s">
        <v>22</v>
      </c>
      <c r="E8" s="6" t="s">
        <v>10</v>
      </c>
    </row>
    <row r="9" customFormat="false" ht="15" hidden="false" customHeight="true" outlineLevel="0" collapsed="false">
      <c r="A9" s="6" t="s">
        <v>23</v>
      </c>
      <c r="B9" s="6" t="s">
        <v>24</v>
      </c>
      <c r="C9" s="6" t="s">
        <v>8</v>
      </c>
      <c r="D9" s="6" t="s">
        <v>25</v>
      </c>
      <c r="E9" s="6" t="s">
        <v>10</v>
      </c>
    </row>
    <row r="10" customFormat="false" ht="15" hidden="false" customHeight="true" outlineLevel="0" collapsed="false">
      <c r="A10" s="6" t="s">
        <v>26</v>
      </c>
      <c r="B10" s="6" t="s">
        <v>27</v>
      </c>
      <c r="C10" s="6" t="s">
        <v>8</v>
      </c>
      <c r="D10" s="6" t="s">
        <v>28</v>
      </c>
      <c r="E10" s="6" t="s">
        <v>10</v>
      </c>
    </row>
    <row r="11" customFormat="false" ht="15" hidden="false" customHeight="true" outlineLevel="0" collapsed="false">
      <c r="A11" s="6" t="s">
        <v>29</v>
      </c>
      <c r="B11" s="6" t="s">
        <v>30</v>
      </c>
      <c r="C11" s="6" t="s">
        <v>8</v>
      </c>
      <c r="D11" s="6" t="s">
        <v>31</v>
      </c>
      <c r="E11" s="6" t="s">
        <v>10</v>
      </c>
    </row>
    <row r="12" customFormat="false" ht="15" hidden="false" customHeight="true" outlineLevel="0" collapsed="false">
      <c r="A12" s="6" t="s">
        <v>32</v>
      </c>
      <c r="B12" s="6" t="s">
        <v>33</v>
      </c>
      <c r="C12" s="6" t="s">
        <v>8</v>
      </c>
      <c r="D12" s="6" t="s">
        <v>34</v>
      </c>
      <c r="E12" s="6" t="s">
        <v>10</v>
      </c>
    </row>
    <row r="13" customFormat="false" ht="15" hidden="false" customHeight="true" outlineLevel="0" collapsed="false">
      <c r="A13" s="6" t="s">
        <v>35</v>
      </c>
      <c r="B13" s="6" t="s">
        <v>36</v>
      </c>
      <c r="C13" s="6" t="s">
        <v>8</v>
      </c>
      <c r="D13" s="6" t="s">
        <v>37</v>
      </c>
      <c r="E13" s="6" t="s">
        <v>10</v>
      </c>
    </row>
    <row r="14" customFormat="false" ht="15" hidden="false" customHeight="true" outlineLevel="0" collapsed="false">
      <c r="A14" s="6" t="s">
        <v>38</v>
      </c>
      <c r="B14" s="6" t="s">
        <v>39</v>
      </c>
      <c r="C14" s="6" t="s">
        <v>8</v>
      </c>
      <c r="D14" s="6" t="s">
        <v>40</v>
      </c>
      <c r="E14" s="6" t="s">
        <v>10</v>
      </c>
    </row>
    <row r="15" customFormat="false" ht="15" hidden="false" customHeight="true" outlineLevel="0" collapsed="false">
      <c r="A15" s="6" t="s">
        <v>41</v>
      </c>
      <c r="B15" s="6" t="s">
        <v>42</v>
      </c>
      <c r="C15" s="6" t="s">
        <v>8</v>
      </c>
      <c r="D15" s="6" t="s">
        <v>43</v>
      </c>
      <c r="E15" s="6" t="s">
        <v>10</v>
      </c>
    </row>
    <row r="16" customFormat="false" ht="15" hidden="false" customHeight="true" outlineLevel="0" collapsed="false">
      <c r="A16" s="6" t="s">
        <v>44</v>
      </c>
      <c r="B16" s="6" t="s">
        <v>45</v>
      </c>
      <c r="C16" s="6" t="s">
        <v>8</v>
      </c>
      <c r="D16" s="6" t="s">
        <v>46</v>
      </c>
      <c r="E16" s="6" t="s">
        <v>10</v>
      </c>
    </row>
    <row r="17" customFormat="false" ht="15" hidden="false" customHeight="true" outlineLevel="0" collapsed="false">
      <c r="A17" s="6" t="s">
        <v>47</v>
      </c>
      <c r="B17" s="6" t="s">
        <v>48</v>
      </c>
      <c r="C17" s="6" t="s">
        <v>8</v>
      </c>
      <c r="D17" s="6" t="s">
        <v>49</v>
      </c>
      <c r="E17" s="6" t="s">
        <v>10</v>
      </c>
    </row>
    <row r="18" customFormat="false" ht="15" hidden="false" customHeight="true" outlineLevel="0" collapsed="false">
      <c r="A18" s="6" t="s">
        <v>50</v>
      </c>
      <c r="B18" s="6" t="s">
        <v>51</v>
      </c>
      <c r="C18" s="6" t="s">
        <v>8</v>
      </c>
      <c r="D18" s="6" t="s">
        <v>52</v>
      </c>
      <c r="E18" s="6" t="s">
        <v>10</v>
      </c>
    </row>
    <row r="19" customFormat="false" ht="15" hidden="false" customHeight="true" outlineLevel="0" collapsed="false">
      <c r="A19" s="6" t="s">
        <v>53</v>
      </c>
      <c r="B19" s="6" t="s">
        <v>54</v>
      </c>
      <c r="C19" s="6" t="s">
        <v>8</v>
      </c>
      <c r="D19" s="6" t="s">
        <v>55</v>
      </c>
      <c r="E19" s="6" t="s">
        <v>10</v>
      </c>
    </row>
    <row r="20" customFormat="false" ht="15" hidden="false" customHeight="true" outlineLevel="0" collapsed="false">
      <c r="A20" s="6" t="s">
        <v>56</v>
      </c>
      <c r="B20" s="6" t="s">
        <v>57</v>
      </c>
      <c r="C20" s="6" t="s">
        <v>8</v>
      </c>
      <c r="D20" s="6" t="s">
        <v>58</v>
      </c>
      <c r="E20" s="6" t="s">
        <v>10</v>
      </c>
    </row>
    <row r="21" customFormat="false" ht="15" hidden="false" customHeight="true" outlineLevel="0" collapsed="false">
      <c r="A21" s="6" t="s">
        <v>59</v>
      </c>
      <c r="B21" s="6" t="s">
        <v>60</v>
      </c>
      <c r="C21" s="6" t="s">
        <v>8</v>
      </c>
      <c r="D21" s="6" t="s">
        <v>61</v>
      </c>
      <c r="E21" s="6" t="s">
        <v>10</v>
      </c>
    </row>
    <row r="22" customFormat="false" ht="15" hidden="false" customHeight="true" outlineLevel="0" collapsed="false">
      <c r="A22" s="6" t="s">
        <v>62</v>
      </c>
      <c r="B22" s="6" t="s">
        <v>63</v>
      </c>
      <c r="C22" s="6" t="s">
        <v>8</v>
      </c>
      <c r="D22" s="6" t="s">
        <v>64</v>
      </c>
      <c r="E22" s="6" t="s">
        <v>10</v>
      </c>
    </row>
    <row r="23" customFormat="false" ht="15" hidden="false" customHeight="true" outlineLevel="0" collapsed="false">
      <c r="A23" s="6" t="s">
        <v>65</v>
      </c>
      <c r="B23" s="6" t="s">
        <v>66</v>
      </c>
      <c r="C23" s="6" t="s">
        <v>8</v>
      </c>
      <c r="D23" s="6" t="s">
        <v>67</v>
      </c>
      <c r="E23" s="6" t="s">
        <v>10</v>
      </c>
    </row>
    <row r="24" customFormat="false" ht="15" hidden="false" customHeight="true" outlineLevel="0" collapsed="false">
      <c r="A24" s="6" t="s">
        <v>68</v>
      </c>
      <c r="B24" s="6" t="s">
        <v>69</v>
      </c>
      <c r="C24" s="6" t="s">
        <v>8</v>
      </c>
      <c r="D24" s="6" t="s">
        <v>70</v>
      </c>
      <c r="E24" s="6" t="s">
        <v>10</v>
      </c>
    </row>
    <row r="25" customFormat="false" ht="15" hidden="false" customHeight="true" outlineLevel="0" collapsed="false">
      <c r="A25" s="6" t="s">
        <v>71</v>
      </c>
      <c r="B25" s="6" t="s">
        <v>72</v>
      </c>
      <c r="C25" s="6" t="s">
        <v>8</v>
      </c>
      <c r="D25" s="6" t="s">
        <v>73</v>
      </c>
      <c r="E25" s="6" t="s">
        <v>10</v>
      </c>
    </row>
    <row r="26" customFormat="false" ht="15" hidden="false" customHeight="true" outlineLevel="0" collapsed="false">
      <c r="A26" s="6" t="s">
        <v>74</v>
      </c>
      <c r="B26" s="6" t="s">
        <v>75</v>
      </c>
      <c r="C26" s="6" t="s">
        <v>8</v>
      </c>
      <c r="D26" s="6" t="s">
        <v>76</v>
      </c>
      <c r="E26" s="6" t="s">
        <v>10</v>
      </c>
    </row>
    <row r="27" customFormat="false" ht="15" hidden="false" customHeight="true" outlineLevel="0" collapsed="false">
      <c r="A27" s="6" t="s">
        <v>77</v>
      </c>
      <c r="B27" s="6" t="s">
        <v>78</v>
      </c>
      <c r="C27" s="6" t="s">
        <v>8</v>
      </c>
      <c r="D27" s="6" t="s">
        <v>79</v>
      </c>
      <c r="E27" s="6" t="s">
        <v>10</v>
      </c>
    </row>
    <row r="28" customFormat="false" ht="15" hidden="false" customHeight="true" outlineLevel="0" collapsed="false">
      <c r="A28" s="6" t="s">
        <v>80</v>
      </c>
      <c r="B28" s="6" t="s">
        <v>81</v>
      </c>
      <c r="C28" s="6" t="s">
        <v>8</v>
      </c>
      <c r="D28" s="6" t="s">
        <v>82</v>
      </c>
      <c r="E28" s="6" t="s">
        <v>10</v>
      </c>
    </row>
    <row r="29" customFormat="false" ht="15" hidden="false" customHeight="true" outlineLevel="0" collapsed="false">
      <c r="A29" s="6" t="s">
        <v>83</v>
      </c>
      <c r="B29" s="6" t="s">
        <v>84</v>
      </c>
      <c r="C29" s="6" t="s">
        <v>8</v>
      </c>
      <c r="D29" s="6" t="s">
        <v>85</v>
      </c>
      <c r="E29" s="6" t="s">
        <v>10</v>
      </c>
    </row>
    <row r="30" customFormat="false" ht="15" hidden="false" customHeight="true" outlineLevel="0" collapsed="false">
      <c r="A30" s="6" t="s">
        <v>86</v>
      </c>
      <c r="B30" s="6" t="s">
        <v>87</v>
      </c>
      <c r="C30" s="6" t="s">
        <v>8</v>
      </c>
      <c r="D30" s="6" t="s">
        <v>88</v>
      </c>
      <c r="E30" s="6" t="s">
        <v>10</v>
      </c>
    </row>
    <row r="31" customFormat="false" ht="15" hidden="false" customHeight="true" outlineLevel="0" collapsed="false">
      <c r="A31" s="6" t="s">
        <v>89</v>
      </c>
      <c r="B31" s="6" t="s">
        <v>90</v>
      </c>
      <c r="C31" s="6" t="s">
        <v>8</v>
      </c>
      <c r="D31" s="6" t="s">
        <v>91</v>
      </c>
      <c r="E31" s="6" t="s">
        <v>10</v>
      </c>
    </row>
    <row r="32" customFormat="false" ht="15" hidden="false" customHeight="true" outlineLevel="0" collapsed="false">
      <c r="A32" s="6" t="s">
        <v>92</v>
      </c>
      <c r="B32" s="6" t="s">
        <v>93</v>
      </c>
      <c r="C32" s="6" t="s">
        <v>8</v>
      </c>
      <c r="D32" s="6" t="s">
        <v>94</v>
      </c>
      <c r="E32" s="6" t="s">
        <v>10</v>
      </c>
    </row>
    <row r="33" customFormat="false" ht="15" hidden="false" customHeight="true" outlineLevel="0" collapsed="false">
      <c r="A33" s="6" t="s">
        <v>95</v>
      </c>
      <c r="B33" s="6" t="s">
        <v>96</v>
      </c>
      <c r="C33" s="6" t="s">
        <v>8</v>
      </c>
      <c r="D33" s="6" t="s">
        <v>97</v>
      </c>
      <c r="E33" s="6" t="s">
        <v>10</v>
      </c>
    </row>
    <row r="34" customFormat="false" ht="15" hidden="false" customHeight="true" outlineLevel="0" collapsed="false">
      <c r="A34" s="6" t="s">
        <v>98</v>
      </c>
      <c r="B34" s="1" t="s">
        <v>99</v>
      </c>
      <c r="C34" s="1" t="s">
        <v>8</v>
      </c>
      <c r="D34" s="6" t="s">
        <v>100</v>
      </c>
      <c r="E34" s="6" t="s">
        <v>10</v>
      </c>
    </row>
    <row r="35" customFormat="false" ht="150" hidden="false" customHeight="true" outlineLevel="0" collapsed="false">
      <c r="A35" s="7" t="s">
        <v>101</v>
      </c>
      <c r="B35" s="7" t="s">
        <v>102</v>
      </c>
      <c r="C35" s="7" t="s">
        <v>8</v>
      </c>
      <c r="D35" s="7" t="s">
        <v>103</v>
      </c>
      <c r="E35" s="7" t="s">
        <v>10</v>
      </c>
    </row>
    <row r="36" customFormat="false" ht="23.85" hidden="false" customHeight="false" outlineLevel="0" collapsed="false">
      <c r="A36" s="7" t="s">
        <v>104</v>
      </c>
      <c r="B36" s="7"/>
      <c r="C36" s="7"/>
      <c r="D36" s="7" t="s">
        <v>105</v>
      </c>
      <c r="E36" s="7"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107</v>
      </c>
    </row>
    <row r="3" customFormat="false" ht="27.75" hidden="false" customHeight="true" outlineLevel="0" collapsed="false">
      <c r="A3" s="7" t="s">
        <v>108</v>
      </c>
    </row>
    <row r="4" customFormat="false" ht="27.75" hidden="false" customHeight="true" outlineLevel="0" collapsed="false">
      <c r="A4" s="7" t="s">
        <v>109</v>
      </c>
    </row>
    <row r="5" customFormat="false" ht="27.75" hidden="false" customHeight="true" outlineLevel="0" collapsed="false">
      <c r="A5" s="7" t="s">
        <v>110</v>
      </c>
    </row>
    <row r="6" customFormat="false" ht="27.75" hidden="false" customHeight="true" outlineLevel="0" collapsed="false">
      <c r="A6" s="7" t="s">
        <v>111</v>
      </c>
    </row>
    <row r="7" customFormat="false" ht="27.75" hidden="false" customHeight="true" outlineLevel="0" collapsed="false">
      <c r="A7" s="7"/>
    </row>
    <row r="8" customFormat="false" ht="55.5" hidden="false" customHeight="true" outlineLevel="0" collapsed="false">
      <c r="A8" s="7" t="s">
        <v>112</v>
      </c>
    </row>
    <row r="9" customFormat="false" ht="27.75" hidden="false" customHeight="true" outlineLevel="0" collapsed="false">
      <c r="A9" s="7"/>
    </row>
    <row r="10" customFormat="false" ht="27.75" hidden="false" customHeight="true" outlineLevel="0" collapsed="false">
      <c r="A10" s="7" t="s">
        <v>113</v>
      </c>
    </row>
    <row r="12" customFormat="false" ht="15" hidden="false" customHeight="true" outlineLevel="0" collapsed="false">
      <c r="A12" s="8" t="s">
        <v>114</v>
      </c>
    </row>
    <row r="13" customFormat="false" ht="15" hidden="false" customHeight="true" outlineLevel="0" collapsed="false">
      <c r="A13" s="8" t="s">
        <v>115</v>
      </c>
    </row>
    <row r="14" customFormat="false" ht="15" hidden="false" customHeight="true" outlineLevel="0" collapsed="false">
      <c r="A14" s="8" t="s">
        <v>116</v>
      </c>
    </row>
    <row r="15" customFormat="false" ht="35.05" hidden="false" customHeight="false" outlineLevel="0" collapsed="false">
      <c r="A15" s="9"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42"/>
    <col collapsed="false" customWidth="true" hidden="false" outlineLevel="0" max="4" min="4" style="0" width="17"/>
    <col collapsed="false" customWidth="true" hidden="false" outlineLevel="0" max="5" min="5" style="0" width="66"/>
    <col collapsed="false" customWidth="true" hidden="false" outlineLevel="0" max="6" min="6" style="0" width="70"/>
    <col collapsed="false" customWidth="true" hidden="false" outlineLevel="0" max="7" min="7" style="0" width="14"/>
  </cols>
  <sheetData>
    <row r="1" customFormat="false" ht="15" hidden="false" customHeight="false" outlineLevel="0" collapsed="false">
      <c r="A1" s="10" t="s">
        <v>118</v>
      </c>
    </row>
    <row r="2" customFormat="false" ht="15" hidden="false" customHeight="false" outlineLevel="0" collapsed="false">
      <c r="A2" s="11" t="s">
        <v>119</v>
      </c>
    </row>
    <row r="3" customFormat="false" ht="15" hidden="false" customHeight="false" outlineLevel="0" collapsed="false">
      <c r="A3" s="12" t="s">
        <v>120</v>
      </c>
      <c r="B3" s="12" t="s">
        <v>121</v>
      </c>
      <c r="C3" s="12" t="s">
        <v>122</v>
      </c>
      <c r="D3" s="12" t="s">
        <v>123</v>
      </c>
      <c r="E3" s="12" t="s">
        <v>124</v>
      </c>
      <c r="F3" s="12" t="s">
        <v>125</v>
      </c>
      <c r="G3" s="12" t="s">
        <v>126</v>
      </c>
    </row>
    <row r="4" customFormat="false" ht="23.85" hidden="false" customHeight="false" outlineLevel="0" collapsed="false">
      <c r="A4" s="13" t="s">
        <v>127</v>
      </c>
      <c r="B4" s="13" t="s">
        <v>128</v>
      </c>
      <c r="C4" s="13" t="s">
        <v>129</v>
      </c>
      <c r="D4" s="13" t="s">
        <v>130</v>
      </c>
      <c r="E4" s="13" t="s">
        <v>131</v>
      </c>
      <c r="F4" s="13" t="s">
        <v>132</v>
      </c>
      <c r="G4" s="13" t="s">
        <v>133</v>
      </c>
    </row>
    <row r="5" customFormat="false" ht="35.05" hidden="false" customHeight="false" outlineLevel="0" collapsed="false">
      <c r="A5" s="13" t="s">
        <v>134</v>
      </c>
      <c r="B5" s="13" t="s">
        <v>128</v>
      </c>
      <c r="C5" s="13" t="s">
        <v>135</v>
      </c>
      <c r="D5" s="13" t="s">
        <v>136</v>
      </c>
      <c r="E5" s="13" t="s">
        <v>137</v>
      </c>
      <c r="F5" s="13" t="s">
        <v>138</v>
      </c>
      <c r="G5" s="13" t="s">
        <v>139</v>
      </c>
    </row>
    <row r="6" customFormat="false" ht="15" hidden="false" customHeight="false" outlineLevel="0" collapsed="false">
      <c r="A6" s="13" t="s">
        <v>140</v>
      </c>
      <c r="B6" s="13" t="s">
        <v>128</v>
      </c>
      <c r="C6" s="13" t="s">
        <v>141</v>
      </c>
      <c r="D6" s="13" t="s">
        <v>130</v>
      </c>
      <c r="E6" s="13" t="s">
        <v>142</v>
      </c>
      <c r="F6" s="13" t="s">
        <v>143</v>
      </c>
      <c r="G6" s="13" t="s">
        <v>144</v>
      </c>
    </row>
    <row r="7" customFormat="false" ht="15" hidden="false" customHeight="false" outlineLevel="0" collapsed="false">
      <c r="A7" s="13" t="s">
        <v>145</v>
      </c>
      <c r="B7" s="13" t="s">
        <v>128</v>
      </c>
      <c r="C7" s="13" t="s">
        <v>146</v>
      </c>
      <c r="D7" s="13" t="s">
        <v>130</v>
      </c>
      <c r="E7" s="13" t="s">
        <v>147</v>
      </c>
      <c r="F7" s="13" t="s">
        <v>148</v>
      </c>
      <c r="G7" s="13" t="s">
        <v>133</v>
      </c>
    </row>
    <row r="8" customFormat="false" ht="15" hidden="false" customHeight="false" outlineLevel="0" collapsed="false">
      <c r="A8" s="13" t="s">
        <v>149</v>
      </c>
      <c r="B8" s="13" t="s">
        <v>128</v>
      </c>
      <c r="C8" s="13" t="s">
        <v>150</v>
      </c>
      <c r="D8" s="13" t="s">
        <v>130</v>
      </c>
      <c r="E8" s="13" t="s">
        <v>151</v>
      </c>
      <c r="F8" s="13" t="s">
        <v>152</v>
      </c>
      <c r="G8" s="13" t="s">
        <v>153</v>
      </c>
    </row>
    <row r="9" customFormat="false" ht="23.85" hidden="false" customHeight="false" outlineLevel="0" collapsed="false">
      <c r="A9" s="13" t="s">
        <v>154</v>
      </c>
      <c r="B9" s="13" t="s">
        <v>128</v>
      </c>
      <c r="C9" s="13" t="s">
        <v>155</v>
      </c>
      <c r="D9" s="13" t="s">
        <v>130</v>
      </c>
      <c r="E9" s="13" t="s">
        <v>156</v>
      </c>
      <c r="F9" s="13" t="s">
        <v>157</v>
      </c>
      <c r="G9" s="13" t="s">
        <v>153</v>
      </c>
    </row>
    <row r="10" customFormat="false" ht="23.85" hidden="false" customHeight="false" outlineLevel="0" collapsed="false">
      <c r="A10" s="13" t="s">
        <v>158</v>
      </c>
      <c r="B10" s="13" t="s">
        <v>128</v>
      </c>
      <c r="C10" s="13" t="s">
        <v>159</v>
      </c>
      <c r="D10" s="13" t="s">
        <v>130</v>
      </c>
      <c r="E10" s="13" t="s">
        <v>160</v>
      </c>
      <c r="F10" s="13" t="s">
        <v>161</v>
      </c>
      <c r="G10" s="13" t="s">
        <v>133</v>
      </c>
    </row>
    <row r="11" customFormat="false" ht="15" hidden="false" customHeight="false" outlineLevel="0" collapsed="false">
      <c r="A11" s="13" t="s">
        <v>162</v>
      </c>
      <c r="B11" s="13" t="s">
        <v>128</v>
      </c>
      <c r="C11" s="13" t="s">
        <v>163</v>
      </c>
      <c r="D11" s="13" t="s">
        <v>130</v>
      </c>
      <c r="E11" s="13" t="s">
        <v>164</v>
      </c>
      <c r="F11" s="13" t="s">
        <v>165</v>
      </c>
      <c r="G11" s="13" t="s">
        <v>166</v>
      </c>
    </row>
    <row r="12" customFormat="false" ht="15" hidden="false" customHeight="false" outlineLevel="0" collapsed="false">
      <c r="A12" s="13" t="s">
        <v>167</v>
      </c>
      <c r="B12" s="13" t="s">
        <v>168</v>
      </c>
      <c r="C12" s="13" t="s">
        <v>169</v>
      </c>
      <c r="D12" s="13" t="s">
        <v>130</v>
      </c>
      <c r="E12" s="13" t="s">
        <v>170</v>
      </c>
      <c r="F12" s="13" t="s">
        <v>171</v>
      </c>
      <c r="G12" s="13" t="s">
        <v>166</v>
      </c>
    </row>
    <row r="13" customFormat="false" ht="15" hidden="false" customHeight="false" outlineLevel="0" collapsed="false">
      <c r="A13" s="13" t="s">
        <v>172</v>
      </c>
      <c r="B13" s="13" t="s">
        <v>128</v>
      </c>
      <c r="C13" s="13" t="s">
        <v>173</v>
      </c>
      <c r="D13" s="13" t="s">
        <v>136</v>
      </c>
      <c r="E13" s="13" t="s">
        <v>174</v>
      </c>
      <c r="F13" s="13" t="s">
        <v>175</v>
      </c>
      <c r="G13" s="13" t="s">
        <v>176</v>
      </c>
    </row>
    <row r="14" customFormat="false" ht="23.85" hidden="false" customHeight="false" outlineLevel="0" collapsed="false">
      <c r="A14" s="13" t="s">
        <v>177</v>
      </c>
      <c r="B14" s="13" t="s">
        <v>168</v>
      </c>
      <c r="C14" s="13" t="s">
        <v>178</v>
      </c>
      <c r="D14" s="13" t="s">
        <v>179</v>
      </c>
      <c r="E14" s="13" t="s">
        <v>180</v>
      </c>
      <c r="F14" s="13" t="s">
        <v>181</v>
      </c>
      <c r="G14" s="13" t="s">
        <v>182</v>
      </c>
    </row>
    <row r="15" customFormat="false" ht="35.05" hidden="false" customHeight="false" outlineLevel="0" collapsed="false">
      <c r="A15" s="13" t="s">
        <v>183</v>
      </c>
      <c r="B15" s="13" t="s">
        <v>168</v>
      </c>
      <c r="C15" s="13" t="s">
        <v>184</v>
      </c>
      <c r="D15" s="13" t="s">
        <v>185</v>
      </c>
      <c r="E15" s="13" t="s">
        <v>186</v>
      </c>
      <c r="F15" s="13" t="s">
        <v>187</v>
      </c>
      <c r="G15" s="13" t="s">
        <v>188</v>
      </c>
    </row>
    <row r="16" customFormat="false" ht="15" hidden="false" customHeight="false" outlineLevel="0" collapsed="false">
      <c r="A16" s="13" t="s">
        <v>189</v>
      </c>
      <c r="B16" s="13" t="s">
        <v>168</v>
      </c>
      <c r="C16" s="13" t="s">
        <v>190</v>
      </c>
      <c r="D16" s="13" t="s">
        <v>130</v>
      </c>
      <c r="E16" s="13" t="s">
        <v>191</v>
      </c>
      <c r="F16" s="13" t="s">
        <v>192</v>
      </c>
      <c r="G16" s="13" t="s">
        <v>133</v>
      </c>
    </row>
    <row r="17" customFormat="false" ht="15" hidden="false" customHeight="false" outlineLevel="0" collapsed="false">
      <c r="A17" s="13" t="s">
        <v>193</v>
      </c>
      <c r="B17" s="13" t="s">
        <v>168</v>
      </c>
      <c r="C17" s="13" t="s">
        <v>194</v>
      </c>
      <c r="D17" s="13" t="s">
        <v>130</v>
      </c>
      <c r="E17" s="13" t="s">
        <v>195</v>
      </c>
      <c r="F17" s="13" t="s">
        <v>196</v>
      </c>
      <c r="G17" s="13" t="s">
        <v>144</v>
      </c>
    </row>
    <row r="18" customFormat="false" ht="35.05" hidden="false" customHeight="false" outlineLevel="0" collapsed="false">
      <c r="A18" s="13" t="s">
        <v>197</v>
      </c>
      <c r="B18" s="13" t="s">
        <v>168</v>
      </c>
      <c r="C18" s="13" t="s">
        <v>198</v>
      </c>
      <c r="D18" s="13" t="s">
        <v>179</v>
      </c>
      <c r="E18" s="13" t="s">
        <v>199</v>
      </c>
      <c r="F18" s="13" t="s">
        <v>200</v>
      </c>
      <c r="G18" s="13" t="s">
        <v>201</v>
      </c>
    </row>
    <row r="19" customFormat="false" ht="15" hidden="false" customHeight="false" outlineLevel="0" collapsed="false">
      <c r="A19" s="13" t="s">
        <v>202</v>
      </c>
      <c r="B19" s="13" t="s">
        <v>168</v>
      </c>
      <c r="C19" s="13" t="s">
        <v>203</v>
      </c>
      <c r="D19" s="13" t="s">
        <v>136</v>
      </c>
      <c r="E19" s="13" t="s">
        <v>204</v>
      </c>
      <c r="F19" s="13" t="s">
        <v>205</v>
      </c>
      <c r="G19" s="13" t="s">
        <v>206</v>
      </c>
    </row>
    <row r="20" customFormat="false" ht="23.85" hidden="false" customHeight="false" outlineLevel="0" collapsed="false">
      <c r="A20" s="13" t="s">
        <v>207</v>
      </c>
      <c r="B20" s="13" t="s">
        <v>168</v>
      </c>
      <c r="C20" s="13" t="s">
        <v>208</v>
      </c>
      <c r="D20" s="13" t="s">
        <v>136</v>
      </c>
      <c r="E20" s="13" t="s">
        <v>209</v>
      </c>
      <c r="F20" s="13" t="s">
        <v>210</v>
      </c>
      <c r="G20" s="13" t="s">
        <v>211</v>
      </c>
    </row>
    <row r="21" customFormat="false" ht="35.05" hidden="false" customHeight="false" outlineLevel="0" collapsed="false">
      <c r="A21" s="13" t="s">
        <v>212</v>
      </c>
      <c r="B21" s="13" t="s">
        <v>213</v>
      </c>
      <c r="C21" s="13" t="s">
        <v>214</v>
      </c>
      <c r="D21" s="13" t="s">
        <v>136</v>
      </c>
      <c r="E21" s="13" t="s">
        <v>215</v>
      </c>
      <c r="F21" s="13" t="s">
        <v>216</v>
      </c>
      <c r="G21" s="13" t="s">
        <v>217</v>
      </c>
    </row>
    <row r="22" customFormat="false" ht="23.85" hidden="false" customHeight="false" outlineLevel="0" collapsed="false">
      <c r="A22" s="13" t="s">
        <v>218</v>
      </c>
      <c r="B22" s="13" t="s">
        <v>213</v>
      </c>
      <c r="C22" s="13" t="s">
        <v>219</v>
      </c>
      <c r="D22" s="13" t="s">
        <v>220</v>
      </c>
      <c r="E22" s="13" t="s">
        <v>221</v>
      </c>
      <c r="F22" s="13" t="s">
        <v>222</v>
      </c>
      <c r="G22" s="13" t="s">
        <v>223</v>
      </c>
    </row>
    <row r="23" customFormat="false" ht="23.85" hidden="false" customHeight="false" outlineLevel="0" collapsed="false">
      <c r="A23" s="13" t="s">
        <v>224</v>
      </c>
      <c r="B23" s="13" t="s">
        <v>213</v>
      </c>
      <c r="C23" s="13" t="s">
        <v>225</v>
      </c>
      <c r="D23" s="13" t="s">
        <v>179</v>
      </c>
      <c r="E23" s="13" t="s">
        <v>226</v>
      </c>
      <c r="F23" s="13" t="s">
        <v>227</v>
      </c>
      <c r="G23" s="13" t="s">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46"/>
    <col collapsed="false" customWidth="true" hidden="false" outlineLevel="0" max="4" min="4" style="0" width="26"/>
    <col collapsed="false" customWidth="true" hidden="false" outlineLevel="0" max="5" min="5" style="0" width="56"/>
    <col collapsed="false" customWidth="true" hidden="false" outlineLevel="0" max="6" min="6" style="0" width="70"/>
    <col collapsed="false" customWidth="true" hidden="false" outlineLevel="0" max="7" min="7" style="0" width="14"/>
  </cols>
  <sheetData>
    <row r="1" customFormat="false" ht="15" hidden="false" customHeight="false" outlineLevel="0" collapsed="false">
      <c r="A1" s="14" t="s">
        <v>229</v>
      </c>
    </row>
    <row r="2" customFormat="false" ht="15" hidden="false" customHeight="false" outlineLevel="0" collapsed="false">
      <c r="A2" s="15" t="s">
        <v>230</v>
      </c>
    </row>
    <row r="3" customFormat="false" ht="15" hidden="false" customHeight="false" outlineLevel="0" collapsed="false">
      <c r="A3" s="16" t="s">
        <v>120</v>
      </c>
      <c r="B3" s="16" t="s">
        <v>121</v>
      </c>
      <c r="C3" s="16" t="s">
        <v>122</v>
      </c>
      <c r="D3" s="16" t="s">
        <v>231</v>
      </c>
      <c r="E3" s="16" t="s">
        <v>124</v>
      </c>
      <c r="F3" s="16" t="s">
        <v>125</v>
      </c>
      <c r="G3" s="16" t="s">
        <v>126</v>
      </c>
    </row>
    <row r="4" customFormat="false" ht="96" hidden="false" customHeight="true" outlineLevel="0" collapsed="false">
      <c r="A4" s="7" t="s">
        <v>232</v>
      </c>
      <c r="B4" s="7" t="s">
        <v>128</v>
      </c>
      <c r="C4" s="7" t="s">
        <v>233</v>
      </c>
      <c r="D4" s="7" t="s">
        <v>234</v>
      </c>
      <c r="E4" s="7" t="s">
        <v>235</v>
      </c>
      <c r="F4" s="7" t="s">
        <v>236</v>
      </c>
      <c r="G4" s="7" t="s">
        <v>237</v>
      </c>
    </row>
    <row r="5" customFormat="false" ht="96" hidden="false" customHeight="true" outlineLevel="0" collapsed="false">
      <c r="A5" s="7" t="s">
        <v>238</v>
      </c>
      <c r="B5" s="7" t="s">
        <v>128</v>
      </c>
      <c r="C5" s="7" t="s">
        <v>239</v>
      </c>
      <c r="D5" s="7" t="s">
        <v>240</v>
      </c>
      <c r="E5" s="7" t="s">
        <v>241</v>
      </c>
      <c r="F5" s="7" t="s">
        <v>242</v>
      </c>
      <c r="G5" s="7" t="s">
        <v>243</v>
      </c>
    </row>
    <row r="6" customFormat="false" ht="96" hidden="false" customHeight="true" outlineLevel="0" collapsed="false">
      <c r="A6" s="7" t="s">
        <v>244</v>
      </c>
      <c r="B6" s="7" t="s">
        <v>168</v>
      </c>
      <c r="C6" s="7" t="s">
        <v>245</v>
      </c>
      <c r="D6" s="7" t="s">
        <v>246</v>
      </c>
      <c r="E6" s="7" t="s">
        <v>247</v>
      </c>
      <c r="F6" s="7" t="s">
        <v>248</v>
      </c>
      <c r="G6" s="7" t="s">
        <v>249</v>
      </c>
    </row>
    <row r="7" customFormat="false" ht="96" hidden="false" customHeight="true" outlineLevel="0" collapsed="false">
      <c r="A7" s="7" t="s">
        <v>250</v>
      </c>
      <c r="B7" s="7" t="s">
        <v>168</v>
      </c>
      <c r="C7" s="7" t="s">
        <v>251</v>
      </c>
      <c r="D7" s="7" t="s">
        <v>246</v>
      </c>
      <c r="E7" s="7" t="s">
        <v>252</v>
      </c>
      <c r="F7" s="7" t="s">
        <v>253</v>
      </c>
      <c r="G7" s="7" t="s">
        <v>249</v>
      </c>
    </row>
    <row r="8" customFormat="false" ht="96" hidden="false" customHeight="true" outlineLevel="0" collapsed="false">
      <c r="A8" s="7" t="s">
        <v>254</v>
      </c>
      <c r="B8" s="7" t="s">
        <v>168</v>
      </c>
      <c r="C8" s="7" t="s">
        <v>255</v>
      </c>
      <c r="D8" s="7" t="s">
        <v>256</v>
      </c>
      <c r="E8" s="7" t="s">
        <v>257</v>
      </c>
      <c r="F8" s="7" t="s">
        <v>258</v>
      </c>
      <c r="G8" s="7" t="s">
        <v>259</v>
      </c>
    </row>
    <row r="9" customFormat="false" ht="96" hidden="false" customHeight="true" outlineLevel="0" collapsed="false">
      <c r="A9" s="7" t="s">
        <v>260</v>
      </c>
      <c r="B9" s="7" t="s">
        <v>213</v>
      </c>
      <c r="C9" s="7" t="s">
        <v>261</v>
      </c>
      <c r="D9" s="7" t="s">
        <v>246</v>
      </c>
      <c r="E9" s="7" t="s">
        <v>262</v>
      </c>
      <c r="F9" s="7" t="s">
        <v>263</v>
      </c>
      <c r="G9" s="7" t="s">
        <v>249</v>
      </c>
    </row>
    <row r="10" customFormat="false" ht="96" hidden="false" customHeight="true" outlineLevel="0" collapsed="false">
      <c r="A10" s="7" t="s">
        <v>264</v>
      </c>
      <c r="B10" s="7" t="s">
        <v>213</v>
      </c>
      <c r="C10" s="7" t="s">
        <v>265</v>
      </c>
      <c r="D10" s="7" t="s">
        <v>246</v>
      </c>
      <c r="E10" s="7" t="s">
        <v>266</v>
      </c>
      <c r="F10" s="7" t="s">
        <v>267</v>
      </c>
      <c r="G10" s="7" t="s">
        <v>249</v>
      </c>
    </row>
    <row r="11" customFormat="false" ht="96" hidden="false" customHeight="true" outlineLevel="0" collapsed="false">
      <c r="A11" s="7" t="s">
        <v>268</v>
      </c>
      <c r="B11" s="7" t="s">
        <v>213</v>
      </c>
      <c r="C11" s="7" t="s">
        <v>269</v>
      </c>
      <c r="D11" s="7" t="s">
        <v>246</v>
      </c>
      <c r="E11" s="7" t="s">
        <v>266</v>
      </c>
      <c r="F11" s="7" t="s">
        <v>270</v>
      </c>
      <c r="G11" s="7" t="s">
        <v>249</v>
      </c>
    </row>
    <row r="12" customFormat="false" ht="96" hidden="false" customHeight="true" outlineLevel="0" collapsed="false">
      <c r="A12" s="7" t="s">
        <v>271</v>
      </c>
      <c r="B12" s="7" t="s">
        <v>213</v>
      </c>
      <c r="C12" s="7" t="s">
        <v>272</v>
      </c>
      <c r="D12" s="7" t="s">
        <v>273</v>
      </c>
      <c r="E12" s="7" t="s">
        <v>274</v>
      </c>
      <c r="F12" s="7" t="s">
        <v>275</v>
      </c>
      <c r="G12" s="7" t="s">
        <v>217</v>
      </c>
    </row>
    <row r="13" customFormat="false" ht="96" hidden="false" customHeight="true" outlineLevel="0" collapsed="false">
      <c r="A13" s="7" t="s">
        <v>276</v>
      </c>
      <c r="B13" s="7" t="s">
        <v>213</v>
      </c>
      <c r="C13" s="7" t="s">
        <v>277</v>
      </c>
      <c r="D13" s="7" t="s">
        <v>278</v>
      </c>
      <c r="E13" s="7" t="s">
        <v>266</v>
      </c>
      <c r="F13" s="7" t="s">
        <v>279</v>
      </c>
      <c r="G13" s="7" t="s">
        <v>249</v>
      </c>
    </row>
    <row r="14" customFormat="false" ht="96" hidden="false" customHeight="true" outlineLevel="0" collapsed="false">
      <c r="A14" s="7" t="s">
        <v>280</v>
      </c>
      <c r="B14" s="7" t="s">
        <v>213</v>
      </c>
      <c r="C14" s="7" t="s">
        <v>281</v>
      </c>
      <c r="D14" s="7" t="s">
        <v>246</v>
      </c>
      <c r="E14" s="7" t="s">
        <v>266</v>
      </c>
      <c r="F14" s="7" t="s">
        <v>282</v>
      </c>
      <c r="G14" s="7" t="s">
        <v>249</v>
      </c>
    </row>
    <row r="15" customFormat="false" ht="96" hidden="false" customHeight="true" outlineLevel="0" collapsed="false">
      <c r="A15" s="7" t="s">
        <v>283</v>
      </c>
      <c r="B15" s="7" t="s">
        <v>284</v>
      </c>
      <c r="C15" s="7" t="s">
        <v>285</v>
      </c>
      <c r="D15" s="7" t="s">
        <v>286</v>
      </c>
      <c r="E15" s="7" t="s">
        <v>287</v>
      </c>
      <c r="F15" s="7" t="s">
        <v>288</v>
      </c>
      <c r="G15" s="7" t="s">
        <v>289</v>
      </c>
    </row>
    <row r="16" customFormat="false" ht="96" hidden="false" customHeight="true" outlineLevel="0" collapsed="false">
      <c r="A16" s="7" t="s">
        <v>290</v>
      </c>
      <c r="B16" s="7" t="s">
        <v>168</v>
      </c>
      <c r="C16" s="7" t="s">
        <v>291</v>
      </c>
      <c r="D16" s="7" t="s">
        <v>292</v>
      </c>
      <c r="E16" s="7" t="s">
        <v>293</v>
      </c>
      <c r="F16" s="7" t="s">
        <v>294</v>
      </c>
      <c r="G16" s="7" t="s">
        <v>243</v>
      </c>
    </row>
    <row r="17" customFormat="false" ht="96" hidden="false" customHeight="true" outlineLevel="0" collapsed="false">
      <c r="A17" s="7" t="s">
        <v>295</v>
      </c>
      <c r="B17" s="7" t="s">
        <v>213</v>
      </c>
      <c r="C17" s="7" t="s">
        <v>296</v>
      </c>
      <c r="D17" s="7" t="s">
        <v>136</v>
      </c>
      <c r="E17" s="7" t="s">
        <v>297</v>
      </c>
      <c r="F17" s="7" t="s">
        <v>298</v>
      </c>
      <c r="G17" s="7" t="s">
        <v>182</v>
      </c>
    </row>
    <row r="18" customFormat="false" ht="96" hidden="false" customHeight="true" outlineLevel="0" collapsed="false">
      <c r="A18" s="7" t="s">
        <v>299</v>
      </c>
      <c r="B18" s="7" t="s">
        <v>300</v>
      </c>
      <c r="C18" s="7" t="s">
        <v>301</v>
      </c>
      <c r="D18" s="7" t="s">
        <v>136</v>
      </c>
      <c r="E18" s="7" t="s">
        <v>302</v>
      </c>
      <c r="F18" s="7" t="s">
        <v>303</v>
      </c>
      <c r="G18" s="7" t="s">
        <v>304</v>
      </c>
    </row>
    <row r="20" customFormat="false" ht="572.35" hidden="false" customHeight="false" outlineLevel="0" collapsed="false">
      <c r="A20" s="17"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74"/>
    <col collapsed="false" customWidth="true" hidden="false" outlineLevel="0" max="3" min="3" style="1" width="52"/>
    <col collapsed="false" customWidth="true" hidden="false" outlineLevel="0" max="4" min="4" style="1" width="60"/>
  </cols>
  <sheetData>
    <row r="1" customFormat="false" ht="17.25" hidden="false" customHeight="true" outlineLevel="0" collapsed="false">
      <c r="A1" s="18" t="s">
        <v>306</v>
      </c>
    </row>
    <row r="2" customFormat="false" ht="15" hidden="false" customHeight="true" outlineLevel="0" collapsed="false">
      <c r="A2" s="8" t="s">
        <v>307</v>
      </c>
    </row>
    <row r="3" customFormat="false" ht="15" hidden="false" customHeight="true" outlineLevel="0" collapsed="false">
      <c r="A3" s="19" t="s">
        <v>308</v>
      </c>
      <c r="B3" s="19" t="s">
        <v>309</v>
      </c>
      <c r="C3" s="19" t="s">
        <v>310</v>
      </c>
      <c r="D3" s="19" t="s">
        <v>311</v>
      </c>
    </row>
    <row r="4" customFormat="false" ht="30" hidden="false" customHeight="true" outlineLevel="0" collapsed="false">
      <c r="A4" s="4" t="s">
        <v>312</v>
      </c>
      <c r="B4" s="4" t="s">
        <v>313</v>
      </c>
      <c r="C4" s="4" t="s">
        <v>314</v>
      </c>
      <c r="D4" s="4" t="s">
        <v>315</v>
      </c>
    </row>
    <row r="5" customFormat="false" ht="30" hidden="false" customHeight="true" outlineLevel="0" collapsed="false">
      <c r="A5" s="4" t="s">
        <v>316</v>
      </c>
      <c r="B5" s="4" t="s">
        <v>317</v>
      </c>
      <c r="C5" s="4" t="s">
        <v>318</v>
      </c>
      <c r="D5" s="4" t="s">
        <v>319</v>
      </c>
    </row>
    <row r="6" customFormat="false" ht="30" hidden="false" customHeight="true" outlineLevel="0" collapsed="false">
      <c r="A6" s="4" t="s">
        <v>320</v>
      </c>
      <c r="B6" s="4" t="s">
        <v>321</v>
      </c>
      <c r="C6" s="4" t="s">
        <v>322</v>
      </c>
      <c r="D6" s="4" t="s">
        <v>323</v>
      </c>
    </row>
    <row r="7" customFormat="false" ht="30" hidden="false" customHeight="true" outlineLevel="0" collapsed="false">
      <c r="A7" s="4" t="s">
        <v>324</v>
      </c>
      <c r="B7" s="4" t="s">
        <v>325</v>
      </c>
      <c r="C7" s="4" t="s">
        <v>326</v>
      </c>
      <c r="D7" s="4" t="s">
        <v>327</v>
      </c>
    </row>
    <row r="8" customFormat="false" ht="30" hidden="false" customHeight="true" outlineLevel="0" collapsed="false">
      <c r="A8" s="4" t="s">
        <v>328</v>
      </c>
      <c r="B8" s="4" t="s">
        <v>329</v>
      </c>
      <c r="C8" s="4" t="s">
        <v>330</v>
      </c>
      <c r="D8" s="4" t="s">
        <v>331</v>
      </c>
    </row>
    <row r="9" customFormat="false" ht="34.5" hidden="false" customHeight="true" outlineLevel="0" collapsed="false">
      <c r="A9" s="20" t="s">
        <v>332</v>
      </c>
      <c r="B9" s="4" t="s">
        <v>333</v>
      </c>
      <c r="C9" s="4" t="s">
        <v>334</v>
      </c>
      <c r="D9" s="4" t="s">
        <v>335</v>
      </c>
    </row>
    <row r="10" customFormat="false" ht="15" hidden="false" customHeight="true" outlineLevel="0" collapsed="false">
      <c r="A10" s="21"/>
      <c r="B10" s="21"/>
      <c r="C10" s="21"/>
      <c r="D10" s="21"/>
    </row>
    <row r="11" customFormat="false" ht="25.5" hidden="false" customHeight="true" outlineLevel="0" collapsed="false">
      <c r="A11" s="19" t="s">
        <v>336</v>
      </c>
      <c r="B11" s="19" t="s">
        <v>337</v>
      </c>
      <c r="C11" s="22" t="s">
        <v>338</v>
      </c>
    </row>
    <row r="12" customFormat="false" ht="25.5" hidden="false" customHeight="true" outlineLevel="0" collapsed="false">
      <c r="A12" s="4" t="s">
        <v>339</v>
      </c>
      <c r="B12" s="4" t="s">
        <v>340</v>
      </c>
      <c r="C12" s="4" t="s">
        <v>341</v>
      </c>
    </row>
    <row r="13" customFormat="false" ht="25.5" hidden="false" customHeight="true" outlineLevel="0" collapsed="false">
      <c r="A13" s="4" t="s">
        <v>342</v>
      </c>
      <c r="B13" s="4" t="s">
        <v>343</v>
      </c>
      <c r="C13" s="4" t="s">
        <v>344</v>
      </c>
    </row>
    <row r="14" customFormat="false" ht="15" hidden="false" customHeight="true" outlineLevel="0" collapsed="false">
      <c r="A14" s="20" t="s">
        <v>345</v>
      </c>
      <c r="B14" s="20" t="s">
        <v>346</v>
      </c>
      <c r="C14" s="4" t="s">
        <v>347</v>
      </c>
    </row>
    <row r="15" customFormat="false" ht="34.5" hidden="false" customHeight="true" outlineLevel="0" collapsed="false">
      <c r="A15" s="20" t="s">
        <v>348</v>
      </c>
      <c r="B15" s="20" t="s">
        <v>349</v>
      </c>
      <c r="C15" s="4" t="s">
        <v>350</v>
      </c>
    </row>
    <row r="16" customFormat="false" ht="34.5" hidden="false" customHeight="true" outlineLevel="0" collapsed="false">
      <c r="A16" s="20" t="s">
        <v>351</v>
      </c>
      <c r="B16" s="20" t="s">
        <v>349</v>
      </c>
      <c r="C16" s="4" t="s">
        <v>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6"/>
    <col collapsed="false" customWidth="true" hidden="false" outlineLevel="0" max="4" min="4" style="1" width="78"/>
    <col collapsed="false" customWidth="true" hidden="false" outlineLevel="0" max="5" min="5" style="1" width="40"/>
  </cols>
  <sheetData>
    <row r="1" customFormat="false" ht="17.25" hidden="false" customHeight="true" outlineLevel="0" collapsed="false">
      <c r="A1" s="18" t="s">
        <v>353</v>
      </c>
    </row>
    <row r="2" customFormat="false" ht="15" hidden="false" customHeight="true" outlineLevel="0" collapsed="false">
      <c r="A2" s="8" t="s">
        <v>354</v>
      </c>
    </row>
    <row r="3" customFormat="false" ht="15" hidden="false" customHeight="true" outlineLevel="0" collapsed="false">
      <c r="A3" s="19" t="s">
        <v>355</v>
      </c>
      <c r="B3" s="19" t="s">
        <v>356</v>
      </c>
      <c r="C3" s="19" t="s">
        <v>357</v>
      </c>
      <c r="D3" s="19" t="s">
        <v>358</v>
      </c>
      <c r="E3" s="19" t="s">
        <v>359</v>
      </c>
    </row>
    <row r="4" customFormat="false" ht="25.5" hidden="false" customHeight="true" outlineLevel="0" collapsed="false">
      <c r="A4" s="4" t="n">
        <v>1</v>
      </c>
      <c r="B4" s="4" t="s">
        <v>360</v>
      </c>
      <c r="C4" s="4" t="s">
        <v>361</v>
      </c>
      <c r="D4" s="4" t="s">
        <v>362</v>
      </c>
      <c r="E4" s="5" t="s">
        <v>363</v>
      </c>
    </row>
    <row r="5" customFormat="false" ht="25.5" hidden="false" customHeight="true" outlineLevel="0" collapsed="false">
      <c r="A5" s="4" t="n">
        <v>2</v>
      </c>
      <c r="B5" s="4" t="s">
        <v>364</v>
      </c>
      <c r="C5" s="4" t="s">
        <v>365</v>
      </c>
      <c r="D5" s="4" t="s">
        <v>366</v>
      </c>
      <c r="E5" s="5" t="s">
        <v>367</v>
      </c>
    </row>
    <row r="6" customFormat="false" ht="25.5" hidden="false" customHeight="true" outlineLevel="0" collapsed="false">
      <c r="A6" s="4" t="n">
        <v>3</v>
      </c>
      <c r="B6" s="4" t="s">
        <v>368</v>
      </c>
      <c r="C6" s="4" t="s">
        <v>369</v>
      </c>
      <c r="D6" s="4" t="s">
        <v>370</v>
      </c>
      <c r="E6" s="5" t="s">
        <v>371</v>
      </c>
    </row>
    <row r="7" customFormat="false" ht="25.5" hidden="false" customHeight="true" outlineLevel="0" collapsed="false">
      <c r="A7" s="4" t="n">
        <v>4</v>
      </c>
      <c r="B7" s="4" t="s">
        <v>372</v>
      </c>
      <c r="C7" s="4" t="s">
        <v>373</v>
      </c>
      <c r="D7" s="4" t="s">
        <v>374</v>
      </c>
      <c r="E7" s="5" t="s">
        <v>375</v>
      </c>
    </row>
    <row r="8" customFormat="false" ht="25.5" hidden="false" customHeight="true" outlineLevel="0" collapsed="false">
      <c r="A8" s="4" t="n">
        <v>5</v>
      </c>
      <c r="B8" s="4" t="s">
        <v>376</v>
      </c>
      <c r="C8" s="4" t="s">
        <v>377</v>
      </c>
      <c r="D8" s="4" t="s">
        <v>378</v>
      </c>
      <c r="E8" s="5" t="s">
        <v>379</v>
      </c>
    </row>
    <row r="9" customFormat="false" ht="25.5" hidden="false" customHeight="true" outlineLevel="0" collapsed="false">
      <c r="A9" s="4" t="n">
        <v>6</v>
      </c>
      <c r="B9" s="4" t="s">
        <v>380</v>
      </c>
      <c r="C9" s="4" t="s">
        <v>381</v>
      </c>
      <c r="D9" s="4" t="s">
        <v>382</v>
      </c>
      <c r="E9" s="5" t="s">
        <v>383</v>
      </c>
    </row>
    <row r="10" customFormat="false" ht="25.5" hidden="false" customHeight="true" outlineLevel="0" collapsed="false">
      <c r="A10" s="4" t="n">
        <v>7</v>
      </c>
      <c r="B10" s="4" t="s">
        <v>384</v>
      </c>
      <c r="C10" s="4" t="s">
        <v>385</v>
      </c>
      <c r="D10" s="4" t="s">
        <v>386</v>
      </c>
      <c r="E10" s="5" t="s">
        <v>387</v>
      </c>
    </row>
    <row r="11" customFormat="false" ht="25.5" hidden="false" customHeight="true" outlineLevel="0" collapsed="false">
      <c r="A11" s="4" t="n">
        <v>8</v>
      </c>
      <c r="B11" s="4" t="s">
        <v>388</v>
      </c>
      <c r="C11" s="4" t="s">
        <v>389</v>
      </c>
      <c r="D11" s="4" t="s">
        <v>390</v>
      </c>
      <c r="E11" s="5" t="s">
        <v>391</v>
      </c>
    </row>
    <row r="12" customFormat="false" ht="25.5" hidden="false" customHeight="true" outlineLevel="0" collapsed="false">
      <c r="A12" s="4" t="n">
        <v>9</v>
      </c>
      <c r="B12" s="4" t="s">
        <v>392</v>
      </c>
      <c r="C12" s="4" t="s">
        <v>393</v>
      </c>
      <c r="D12" s="4" t="s">
        <v>394</v>
      </c>
      <c r="E12" s="5" t="s">
        <v>395</v>
      </c>
    </row>
    <row r="14" customFormat="false" ht="15" hidden="false" customHeight="true" outlineLevel="0" collapsed="false">
      <c r="A14" s="8" t="s">
        <v>396</v>
      </c>
    </row>
    <row r="15" customFormat="false" ht="15" hidden="false" customHeight="true" outlineLevel="0" collapsed="false">
      <c r="A15" s="8" t="s">
        <v>397</v>
      </c>
    </row>
    <row r="16" customFormat="false" ht="15" hidden="false" customHeight="true" outlineLevel="0" collapsed="false">
      <c r="A16" s="8" t="s">
        <v>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399</v>
      </c>
    </row>
    <row r="3" customFormat="false" ht="15" hidden="false" customHeight="true" outlineLevel="0" collapsed="false">
      <c r="A3" s="3" t="s">
        <v>120</v>
      </c>
      <c r="B3" s="3" t="s">
        <v>400</v>
      </c>
      <c r="C3" s="3" t="s">
        <v>401</v>
      </c>
      <c r="D3" s="3" t="s">
        <v>402</v>
      </c>
      <c r="E3" s="3" t="s">
        <v>403</v>
      </c>
      <c r="F3" s="3" t="s">
        <v>126</v>
      </c>
      <c r="G3" s="3" t="s">
        <v>5</v>
      </c>
    </row>
    <row r="4" customFormat="false" ht="25.5" hidden="false" customHeight="true" outlineLevel="0" collapsed="false">
      <c r="A4" s="4" t="s">
        <v>404</v>
      </c>
      <c r="B4" s="4" t="s">
        <v>405</v>
      </c>
      <c r="C4" s="4" t="s">
        <v>406</v>
      </c>
      <c r="D4" s="4" t="n">
        <v>5</v>
      </c>
      <c r="E4" s="4" t="s">
        <v>407</v>
      </c>
      <c r="F4" s="4" t="s">
        <v>408</v>
      </c>
      <c r="G4" s="4" t="s">
        <v>409</v>
      </c>
    </row>
    <row r="5" customFormat="false" ht="25.5" hidden="false" customHeight="true" outlineLevel="0" collapsed="false">
      <c r="A5" s="4" t="s">
        <v>410</v>
      </c>
      <c r="B5" s="4" t="s">
        <v>405</v>
      </c>
      <c r="C5" s="4" t="s">
        <v>411</v>
      </c>
      <c r="D5" s="4" t="n">
        <v>8</v>
      </c>
      <c r="E5" s="4" t="s">
        <v>407</v>
      </c>
      <c r="F5" s="4" t="s">
        <v>408</v>
      </c>
      <c r="G5" s="4" t="s">
        <v>409</v>
      </c>
    </row>
    <row r="6" customFormat="false" ht="25.5" hidden="false" customHeight="true" outlineLevel="0" collapsed="false">
      <c r="A6" s="4" t="s">
        <v>412</v>
      </c>
      <c r="B6" s="4" t="s">
        <v>405</v>
      </c>
      <c r="C6" s="4" t="s">
        <v>413</v>
      </c>
      <c r="D6" s="4" t="n">
        <v>5</v>
      </c>
      <c r="E6" s="4" t="s">
        <v>414</v>
      </c>
      <c r="F6" s="4" t="s">
        <v>408</v>
      </c>
      <c r="G6" s="4" t="s">
        <v>409</v>
      </c>
    </row>
    <row r="7" customFormat="false" ht="25.5" hidden="false" customHeight="true" outlineLevel="0" collapsed="false">
      <c r="A7" s="4" t="s">
        <v>415</v>
      </c>
      <c r="B7" s="4" t="s">
        <v>405</v>
      </c>
      <c r="C7" s="4" t="s">
        <v>416</v>
      </c>
      <c r="D7" s="4" t="n">
        <v>3</v>
      </c>
      <c r="E7" s="4" t="s">
        <v>407</v>
      </c>
      <c r="F7" s="4" t="s">
        <v>408</v>
      </c>
      <c r="G7" s="4" t="s">
        <v>409</v>
      </c>
    </row>
    <row r="8" customFormat="false" ht="25.5" hidden="false" customHeight="true" outlineLevel="0" collapsed="false">
      <c r="A8" s="4" t="s">
        <v>417</v>
      </c>
      <c r="B8" s="4" t="s">
        <v>405</v>
      </c>
      <c r="C8" s="4" t="s">
        <v>418</v>
      </c>
      <c r="D8" s="4" t="n">
        <v>5</v>
      </c>
      <c r="E8" s="4" t="s">
        <v>407</v>
      </c>
      <c r="F8" s="4" t="s">
        <v>419</v>
      </c>
      <c r="G8" s="4" t="s">
        <v>409</v>
      </c>
    </row>
    <row r="9" customFormat="false" ht="25.5" hidden="false" customHeight="true" outlineLevel="0" collapsed="false">
      <c r="A9" s="4" t="s">
        <v>420</v>
      </c>
      <c r="B9" s="4" t="s">
        <v>405</v>
      </c>
      <c r="C9" s="4" t="s">
        <v>421</v>
      </c>
      <c r="D9" s="4" t="n">
        <v>3</v>
      </c>
      <c r="E9" s="4" t="s">
        <v>414</v>
      </c>
      <c r="F9" s="4" t="s">
        <v>419</v>
      </c>
      <c r="G9" s="4" t="s">
        <v>409</v>
      </c>
    </row>
    <row r="10" customFormat="false" ht="25.5" hidden="false" customHeight="true" outlineLevel="0" collapsed="false">
      <c r="A10" s="4" t="s">
        <v>422</v>
      </c>
      <c r="B10" s="4" t="s">
        <v>405</v>
      </c>
      <c r="C10" s="4" t="s">
        <v>423</v>
      </c>
      <c r="D10" s="4" t="n">
        <v>3</v>
      </c>
      <c r="E10" s="4" t="s">
        <v>414</v>
      </c>
      <c r="F10" s="4" t="s">
        <v>419</v>
      </c>
      <c r="G10" s="4" t="s">
        <v>409</v>
      </c>
    </row>
    <row r="11" customFormat="false" ht="25.5" hidden="false" customHeight="true" outlineLevel="0" collapsed="false">
      <c r="A11" s="4" t="s">
        <v>424</v>
      </c>
      <c r="B11" s="4" t="s">
        <v>405</v>
      </c>
      <c r="C11" s="4" t="s">
        <v>425</v>
      </c>
      <c r="D11" s="4" t="n">
        <v>2</v>
      </c>
      <c r="E11" s="4" t="s">
        <v>426</v>
      </c>
      <c r="F11" s="4" t="s">
        <v>419</v>
      </c>
      <c r="G11" s="4" t="s">
        <v>409</v>
      </c>
    </row>
    <row r="12" customFormat="false" ht="25.5" hidden="false" customHeight="true" outlineLevel="0" collapsed="false">
      <c r="A12" s="4" t="s">
        <v>427</v>
      </c>
      <c r="B12" s="4" t="s">
        <v>405</v>
      </c>
      <c r="C12" s="4" t="s">
        <v>428</v>
      </c>
      <c r="D12" s="4" t="n">
        <v>5</v>
      </c>
      <c r="E12" s="4" t="s">
        <v>414</v>
      </c>
      <c r="F12" s="4" t="s">
        <v>419</v>
      </c>
      <c r="G12" s="4" t="s">
        <v>409</v>
      </c>
    </row>
    <row r="13" customFormat="false" ht="25.5" hidden="false" customHeight="true" outlineLevel="0" collapsed="false">
      <c r="A13" s="4" t="s">
        <v>429</v>
      </c>
      <c r="B13" s="4" t="s">
        <v>405</v>
      </c>
      <c r="C13" s="4" t="s">
        <v>430</v>
      </c>
      <c r="D13" s="4" t="n">
        <v>3</v>
      </c>
      <c r="E13" s="4" t="s">
        <v>426</v>
      </c>
      <c r="F13" s="4" t="s">
        <v>419</v>
      </c>
      <c r="G13" s="4" t="s">
        <v>409</v>
      </c>
    </row>
    <row r="14" customFormat="false" ht="25.5" hidden="false" customHeight="true" outlineLevel="0" collapsed="false">
      <c r="A14" s="4" t="s">
        <v>431</v>
      </c>
      <c r="B14" s="4" t="s">
        <v>432</v>
      </c>
      <c r="C14" s="4" t="s">
        <v>433</v>
      </c>
      <c r="D14" s="4" t="n">
        <v>5</v>
      </c>
      <c r="E14" s="4" t="s">
        <v>407</v>
      </c>
      <c r="F14" s="4" t="s">
        <v>419</v>
      </c>
      <c r="G14" s="4" t="s">
        <v>409</v>
      </c>
    </row>
    <row r="15" customFormat="false" ht="25.5" hidden="false" customHeight="true" outlineLevel="0" collapsed="false">
      <c r="A15" s="4" t="s">
        <v>434</v>
      </c>
      <c r="B15" s="4" t="s">
        <v>432</v>
      </c>
      <c r="C15" s="4" t="s">
        <v>435</v>
      </c>
      <c r="D15" s="4" t="n">
        <v>8</v>
      </c>
      <c r="E15" s="4" t="s">
        <v>407</v>
      </c>
      <c r="F15" s="4" t="s">
        <v>419</v>
      </c>
      <c r="G15" s="4" t="s">
        <v>409</v>
      </c>
    </row>
    <row r="16" customFormat="false" ht="25.5" hidden="false" customHeight="true" outlineLevel="0" collapsed="false">
      <c r="A16" s="4" t="s">
        <v>436</v>
      </c>
      <c r="B16" s="4" t="s">
        <v>432</v>
      </c>
      <c r="C16" s="4" t="s">
        <v>437</v>
      </c>
      <c r="D16" s="4" t="n">
        <v>5</v>
      </c>
      <c r="E16" s="4" t="s">
        <v>414</v>
      </c>
      <c r="F16" s="4" t="s">
        <v>419</v>
      </c>
      <c r="G16" s="4" t="s">
        <v>409</v>
      </c>
    </row>
    <row r="17" customFormat="false" ht="25.5" hidden="false" customHeight="true" outlineLevel="0" collapsed="false">
      <c r="A17" s="4" t="s">
        <v>438</v>
      </c>
      <c r="B17" s="4" t="s">
        <v>432</v>
      </c>
      <c r="C17" s="4" t="s">
        <v>439</v>
      </c>
      <c r="D17" s="4" t="n">
        <v>3</v>
      </c>
      <c r="E17" s="4" t="s">
        <v>407</v>
      </c>
      <c r="F17" s="4" t="s">
        <v>419</v>
      </c>
      <c r="G17" s="4" t="s">
        <v>409</v>
      </c>
    </row>
    <row r="18" customFormat="false" ht="25.5" hidden="false" customHeight="true" outlineLevel="0" collapsed="false">
      <c r="A18" s="4" t="s">
        <v>440</v>
      </c>
      <c r="B18" s="4" t="s">
        <v>432</v>
      </c>
      <c r="C18" s="4" t="s">
        <v>441</v>
      </c>
      <c r="D18" s="4" t="n">
        <v>5</v>
      </c>
      <c r="E18" s="4" t="s">
        <v>407</v>
      </c>
      <c r="F18" s="4" t="s">
        <v>442</v>
      </c>
      <c r="G18" s="4" t="s">
        <v>409</v>
      </c>
    </row>
    <row r="19" customFormat="false" ht="25.5" hidden="false" customHeight="true" outlineLevel="0" collapsed="false">
      <c r="A19" s="4" t="s">
        <v>443</v>
      </c>
      <c r="B19" s="4" t="s">
        <v>432</v>
      </c>
      <c r="C19" s="4" t="s">
        <v>444</v>
      </c>
      <c r="D19" s="4" t="n">
        <v>3</v>
      </c>
      <c r="E19" s="4" t="s">
        <v>414</v>
      </c>
      <c r="F19" s="4" t="s">
        <v>442</v>
      </c>
      <c r="G19" s="4" t="s">
        <v>409</v>
      </c>
    </row>
    <row r="20" customFormat="false" ht="25.5" hidden="false" customHeight="true" outlineLevel="0" collapsed="false">
      <c r="A20" s="4" t="s">
        <v>445</v>
      </c>
      <c r="B20" s="4" t="s">
        <v>432</v>
      </c>
      <c r="C20" s="4" t="s">
        <v>446</v>
      </c>
      <c r="D20" s="4" t="n">
        <v>3</v>
      </c>
      <c r="E20" s="4" t="s">
        <v>414</v>
      </c>
      <c r="F20" s="4" t="s">
        <v>442</v>
      </c>
      <c r="G20" s="4" t="s">
        <v>409</v>
      </c>
    </row>
    <row r="21" customFormat="false" ht="25.5" hidden="false" customHeight="true" outlineLevel="0" collapsed="false">
      <c r="A21" s="4" t="s">
        <v>447</v>
      </c>
      <c r="B21" s="4" t="s">
        <v>432</v>
      </c>
      <c r="C21" s="4" t="s">
        <v>448</v>
      </c>
      <c r="D21" s="4" t="n">
        <v>2</v>
      </c>
      <c r="E21" s="4" t="s">
        <v>426</v>
      </c>
      <c r="F21" s="4" t="s">
        <v>442</v>
      </c>
      <c r="G21" s="4" t="s">
        <v>409</v>
      </c>
    </row>
    <row r="22" customFormat="false" ht="25.5" hidden="false" customHeight="true" outlineLevel="0" collapsed="false">
      <c r="A22" s="4" t="s">
        <v>449</v>
      </c>
      <c r="B22" s="4" t="s">
        <v>432</v>
      </c>
      <c r="C22" s="4" t="s">
        <v>450</v>
      </c>
      <c r="D22" s="4" t="n">
        <v>5</v>
      </c>
      <c r="E22" s="4" t="s">
        <v>414</v>
      </c>
      <c r="F22" s="4" t="s">
        <v>442</v>
      </c>
      <c r="G22" s="4" t="s">
        <v>409</v>
      </c>
    </row>
    <row r="23" customFormat="false" ht="25.5" hidden="false" customHeight="true" outlineLevel="0" collapsed="false">
      <c r="A23" s="4" t="s">
        <v>451</v>
      </c>
      <c r="B23" s="4" t="s">
        <v>432</v>
      </c>
      <c r="C23" s="4" t="s">
        <v>452</v>
      </c>
      <c r="D23" s="4" t="n">
        <v>3</v>
      </c>
      <c r="E23" s="4" t="s">
        <v>426</v>
      </c>
      <c r="F23" s="4" t="s">
        <v>442</v>
      </c>
      <c r="G23" s="4" t="s">
        <v>409</v>
      </c>
    </row>
    <row r="24" customFormat="false" ht="25.5" hidden="false" customHeight="true" outlineLevel="0" collapsed="false">
      <c r="A24" s="4" t="s">
        <v>453</v>
      </c>
      <c r="B24" s="4" t="s">
        <v>454</v>
      </c>
      <c r="C24" s="4" t="s">
        <v>455</v>
      </c>
      <c r="D24" s="4" t="n">
        <v>5</v>
      </c>
      <c r="E24" s="4" t="s">
        <v>407</v>
      </c>
      <c r="F24" s="4" t="s">
        <v>456</v>
      </c>
      <c r="G24" s="4" t="s">
        <v>409</v>
      </c>
    </row>
    <row r="25" customFormat="false" ht="25.5" hidden="false" customHeight="true" outlineLevel="0" collapsed="false">
      <c r="A25" s="4" t="s">
        <v>457</v>
      </c>
      <c r="B25" s="4" t="s">
        <v>454</v>
      </c>
      <c r="C25" s="4" t="s">
        <v>458</v>
      </c>
      <c r="D25" s="4" t="n">
        <v>8</v>
      </c>
      <c r="E25" s="4" t="s">
        <v>407</v>
      </c>
      <c r="F25" s="4" t="s">
        <v>456</v>
      </c>
      <c r="G25" s="4" t="s">
        <v>409</v>
      </c>
    </row>
    <row r="26" customFormat="false" ht="25.5" hidden="false" customHeight="true" outlineLevel="0" collapsed="false">
      <c r="A26" s="4" t="s">
        <v>459</v>
      </c>
      <c r="B26" s="4" t="s">
        <v>454</v>
      </c>
      <c r="C26" s="4" t="s">
        <v>460</v>
      </c>
      <c r="D26" s="4" t="n">
        <v>5</v>
      </c>
      <c r="E26" s="4" t="s">
        <v>414</v>
      </c>
      <c r="F26" s="4" t="s">
        <v>456</v>
      </c>
      <c r="G26" s="4" t="s">
        <v>409</v>
      </c>
    </row>
    <row r="27" customFormat="false" ht="25.5" hidden="false" customHeight="true" outlineLevel="0" collapsed="false">
      <c r="A27" s="4" t="s">
        <v>461</v>
      </c>
      <c r="B27" s="4" t="s">
        <v>454</v>
      </c>
      <c r="C27" s="4" t="s">
        <v>462</v>
      </c>
      <c r="D27" s="4" t="n">
        <v>3</v>
      </c>
      <c r="E27" s="4" t="s">
        <v>407</v>
      </c>
      <c r="F27" s="4" t="s">
        <v>456</v>
      </c>
      <c r="G27" s="4" t="s">
        <v>409</v>
      </c>
    </row>
    <row r="28" customFormat="false" ht="25.5" hidden="false" customHeight="true" outlineLevel="0" collapsed="false">
      <c r="A28" s="4" t="s">
        <v>463</v>
      </c>
      <c r="B28" s="4" t="s">
        <v>454</v>
      </c>
      <c r="C28" s="4" t="s">
        <v>464</v>
      </c>
      <c r="D28" s="4" t="n">
        <v>5</v>
      </c>
      <c r="E28" s="4" t="s">
        <v>407</v>
      </c>
      <c r="F28" s="4" t="s">
        <v>456</v>
      </c>
      <c r="G28" s="4" t="s">
        <v>409</v>
      </c>
    </row>
    <row r="29" customFormat="false" ht="25.5" hidden="false" customHeight="true" outlineLevel="0" collapsed="false">
      <c r="A29" s="4" t="s">
        <v>465</v>
      </c>
      <c r="B29" s="4" t="s">
        <v>454</v>
      </c>
      <c r="C29" s="4" t="s">
        <v>466</v>
      </c>
      <c r="D29" s="4" t="n">
        <v>3</v>
      </c>
      <c r="E29" s="4" t="s">
        <v>414</v>
      </c>
      <c r="F29" s="4" t="s">
        <v>456</v>
      </c>
      <c r="G29" s="4" t="s">
        <v>409</v>
      </c>
    </row>
    <row r="30" customFormat="false" ht="25.5" hidden="false" customHeight="true" outlineLevel="0" collapsed="false">
      <c r="A30" s="4" t="s">
        <v>467</v>
      </c>
      <c r="B30" s="4" t="s">
        <v>454</v>
      </c>
      <c r="C30" s="4" t="s">
        <v>468</v>
      </c>
      <c r="D30" s="4" t="n">
        <v>3</v>
      </c>
      <c r="E30" s="4" t="s">
        <v>414</v>
      </c>
      <c r="F30" s="4" t="s">
        <v>456</v>
      </c>
      <c r="G30" s="4" t="s">
        <v>409</v>
      </c>
    </row>
    <row r="31" customFormat="false" ht="25.5" hidden="false" customHeight="true" outlineLevel="0" collapsed="false">
      <c r="A31" s="4" t="s">
        <v>469</v>
      </c>
      <c r="B31" s="4" t="s">
        <v>454</v>
      </c>
      <c r="C31" s="4" t="s">
        <v>470</v>
      </c>
      <c r="D31" s="4" t="n">
        <v>2</v>
      </c>
      <c r="E31" s="4" t="s">
        <v>426</v>
      </c>
      <c r="F31" s="4" t="s">
        <v>456</v>
      </c>
      <c r="G31" s="4" t="s">
        <v>409</v>
      </c>
    </row>
    <row r="32" customFormat="false" ht="25.5" hidden="false" customHeight="true" outlineLevel="0" collapsed="false">
      <c r="A32" s="4" t="s">
        <v>471</v>
      </c>
      <c r="B32" s="4" t="s">
        <v>454</v>
      </c>
      <c r="C32" s="4" t="s">
        <v>472</v>
      </c>
      <c r="D32" s="4" t="n">
        <v>5</v>
      </c>
      <c r="E32" s="4" t="s">
        <v>414</v>
      </c>
      <c r="F32" s="4" t="s">
        <v>456</v>
      </c>
      <c r="G32" s="4" t="s">
        <v>409</v>
      </c>
    </row>
    <row r="33" customFormat="false" ht="25.5" hidden="false" customHeight="true" outlineLevel="0" collapsed="false">
      <c r="A33" s="4" t="s">
        <v>473</v>
      </c>
      <c r="B33" s="4" t="s">
        <v>454</v>
      </c>
      <c r="C33" s="4" t="s">
        <v>474</v>
      </c>
      <c r="D33" s="4" t="n">
        <v>3</v>
      </c>
      <c r="E33" s="4" t="s">
        <v>426</v>
      </c>
      <c r="F33" s="4" t="s">
        <v>456</v>
      </c>
      <c r="G33" s="4" t="s">
        <v>409</v>
      </c>
    </row>
    <row r="34" customFormat="false" ht="25.5" hidden="false" customHeight="true" outlineLevel="0" collapsed="false">
      <c r="A34" s="4" t="s">
        <v>475</v>
      </c>
      <c r="B34" s="4" t="s">
        <v>476</v>
      </c>
      <c r="C34" s="4" t="s">
        <v>477</v>
      </c>
      <c r="D34" s="4" t="n">
        <v>5</v>
      </c>
      <c r="E34" s="4" t="s">
        <v>407</v>
      </c>
      <c r="F34" s="4" t="s">
        <v>478</v>
      </c>
      <c r="G34" s="4" t="s">
        <v>409</v>
      </c>
    </row>
    <row r="35" customFormat="false" ht="25.5" hidden="false" customHeight="true" outlineLevel="0" collapsed="false">
      <c r="A35" s="4" t="s">
        <v>479</v>
      </c>
      <c r="B35" s="4" t="s">
        <v>476</v>
      </c>
      <c r="C35" s="4" t="s">
        <v>480</v>
      </c>
      <c r="D35" s="4" t="n">
        <v>8</v>
      </c>
      <c r="E35" s="4" t="s">
        <v>407</v>
      </c>
      <c r="F35" s="4" t="s">
        <v>478</v>
      </c>
      <c r="G35" s="4" t="s">
        <v>409</v>
      </c>
    </row>
    <row r="36" customFormat="false" ht="25.5" hidden="false" customHeight="true" outlineLevel="0" collapsed="false">
      <c r="A36" s="4" t="s">
        <v>481</v>
      </c>
      <c r="B36" s="4" t="s">
        <v>476</v>
      </c>
      <c r="C36" s="4" t="s">
        <v>482</v>
      </c>
      <c r="D36" s="4" t="n">
        <v>5</v>
      </c>
      <c r="E36" s="4" t="s">
        <v>414</v>
      </c>
      <c r="F36" s="4" t="s">
        <v>478</v>
      </c>
      <c r="G36" s="4" t="s">
        <v>409</v>
      </c>
    </row>
    <row r="37" customFormat="false" ht="25.5" hidden="false" customHeight="true" outlineLevel="0" collapsed="false">
      <c r="A37" s="4" t="s">
        <v>483</v>
      </c>
      <c r="B37" s="4" t="s">
        <v>476</v>
      </c>
      <c r="C37" s="4" t="s">
        <v>484</v>
      </c>
      <c r="D37" s="4" t="n">
        <v>3</v>
      </c>
      <c r="E37" s="4" t="s">
        <v>407</v>
      </c>
      <c r="F37" s="4" t="s">
        <v>478</v>
      </c>
      <c r="G37" s="4" t="s">
        <v>409</v>
      </c>
    </row>
    <row r="38" customFormat="false" ht="25.5" hidden="false" customHeight="true" outlineLevel="0" collapsed="false">
      <c r="A38" s="4" t="s">
        <v>485</v>
      </c>
      <c r="B38" s="4" t="s">
        <v>476</v>
      </c>
      <c r="C38" s="4" t="s">
        <v>486</v>
      </c>
      <c r="D38" s="4" t="n">
        <v>5</v>
      </c>
      <c r="E38" s="4" t="s">
        <v>407</v>
      </c>
      <c r="F38" s="4" t="s">
        <v>478</v>
      </c>
      <c r="G38" s="4" t="s">
        <v>409</v>
      </c>
    </row>
    <row r="39" customFormat="false" ht="25.5" hidden="false" customHeight="true" outlineLevel="0" collapsed="false">
      <c r="A39" s="4" t="s">
        <v>487</v>
      </c>
      <c r="B39" s="4" t="s">
        <v>476</v>
      </c>
      <c r="C39" s="4" t="s">
        <v>488</v>
      </c>
      <c r="D39" s="4" t="n">
        <v>3</v>
      </c>
      <c r="E39" s="4" t="s">
        <v>414</v>
      </c>
      <c r="F39" s="4" t="s">
        <v>478</v>
      </c>
      <c r="G39" s="4" t="s">
        <v>409</v>
      </c>
    </row>
    <row r="40" customFormat="false" ht="25.5" hidden="false" customHeight="true" outlineLevel="0" collapsed="false">
      <c r="A40" s="4" t="s">
        <v>489</v>
      </c>
      <c r="B40" s="4" t="s">
        <v>476</v>
      </c>
      <c r="C40" s="4" t="s">
        <v>490</v>
      </c>
      <c r="D40" s="4" t="n">
        <v>3</v>
      </c>
      <c r="E40" s="4" t="s">
        <v>414</v>
      </c>
      <c r="F40" s="4" t="s">
        <v>478</v>
      </c>
      <c r="G40" s="4" t="s">
        <v>409</v>
      </c>
    </row>
    <row r="41" customFormat="false" ht="25.5" hidden="false" customHeight="true" outlineLevel="0" collapsed="false">
      <c r="A41" s="4" t="s">
        <v>491</v>
      </c>
      <c r="B41" s="4" t="s">
        <v>476</v>
      </c>
      <c r="C41" s="4" t="s">
        <v>492</v>
      </c>
      <c r="D41" s="4" t="n">
        <v>2</v>
      </c>
      <c r="E41" s="4" t="s">
        <v>426</v>
      </c>
      <c r="F41" s="4" t="s">
        <v>478</v>
      </c>
      <c r="G41" s="4" t="s">
        <v>409</v>
      </c>
    </row>
    <row r="42" customFormat="false" ht="25.5" hidden="false" customHeight="true" outlineLevel="0" collapsed="false">
      <c r="A42" s="4" t="s">
        <v>493</v>
      </c>
      <c r="B42" s="4" t="s">
        <v>476</v>
      </c>
      <c r="C42" s="4" t="s">
        <v>494</v>
      </c>
      <c r="D42" s="4" t="n">
        <v>5</v>
      </c>
      <c r="E42" s="4" t="s">
        <v>414</v>
      </c>
      <c r="F42" s="4" t="s">
        <v>478</v>
      </c>
      <c r="G42" s="4" t="s">
        <v>409</v>
      </c>
    </row>
    <row r="43" customFormat="false" ht="25.5" hidden="false" customHeight="true" outlineLevel="0" collapsed="false">
      <c r="A43" s="4" t="s">
        <v>495</v>
      </c>
      <c r="B43" s="4" t="s">
        <v>476</v>
      </c>
      <c r="C43" s="4" t="s">
        <v>496</v>
      </c>
      <c r="D43" s="4" t="n">
        <v>3</v>
      </c>
      <c r="E43" s="4" t="s">
        <v>426</v>
      </c>
      <c r="F43" s="4" t="s">
        <v>478</v>
      </c>
      <c r="G43" s="4" t="s">
        <v>409</v>
      </c>
    </row>
    <row r="44" customFormat="false" ht="25.5" hidden="false" customHeight="true" outlineLevel="0" collapsed="false">
      <c r="A44" s="4" t="s">
        <v>497</v>
      </c>
      <c r="B44" s="4" t="s">
        <v>498</v>
      </c>
      <c r="C44" s="4" t="s">
        <v>499</v>
      </c>
      <c r="D44" s="4" t="n">
        <v>5</v>
      </c>
      <c r="E44" s="4" t="s">
        <v>407</v>
      </c>
      <c r="F44" s="4" t="s">
        <v>500</v>
      </c>
      <c r="G44" s="4" t="s">
        <v>409</v>
      </c>
    </row>
    <row r="45" customFormat="false" ht="25.5" hidden="false" customHeight="true" outlineLevel="0" collapsed="false">
      <c r="A45" s="4" t="s">
        <v>501</v>
      </c>
      <c r="B45" s="4" t="s">
        <v>498</v>
      </c>
      <c r="C45" s="4" t="s">
        <v>502</v>
      </c>
      <c r="D45" s="4" t="n">
        <v>8</v>
      </c>
      <c r="E45" s="4" t="s">
        <v>407</v>
      </c>
      <c r="F45" s="4" t="s">
        <v>500</v>
      </c>
      <c r="G45" s="4" t="s">
        <v>409</v>
      </c>
    </row>
    <row r="46" customFormat="false" ht="25.5" hidden="false" customHeight="true" outlineLevel="0" collapsed="false">
      <c r="A46" s="4" t="s">
        <v>503</v>
      </c>
      <c r="B46" s="4" t="s">
        <v>498</v>
      </c>
      <c r="C46" s="4" t="s">
        <v>504</v>
      </c>
      <c r="D46" s="4" t="n">
        <v>5</v>
      </c>
      <c r="E46" s="4" t="s">
        <v>414</v>
      </c>
      <c r="F46" s="4" t="s">
        <v>500</v>
      </c>
      <c r="G46" s="4" t="s">
        <v>409</v>
      </c>
    </row>
    <row r="47" customFormat="false" ht="25.5" hidden="false" customHeight="true" outlineLevel="0" collapsed="false">
      <c r="A47" s="4" t="s">
        <v>505</v>
      </c>
      <c r="B47" s="4" t="s">
        <v>498</v>
      </c>
      <c r="C47" s="4" t="s">
        <v>506</v>
      </c>
      <c r="D47" s="4" t="n">
        <v>3</v>
      </c>
      <c r="E47" s="4" t="s">
        <v>407</v>
      </c>
      <c r="F47" s="4" t="s">
        <v>500</v>
      </c>
      <c r="G47" s="4" t="s">
        <v>409</v>
      </c>
    </row>
    <row r="48" customFormat="false" ht="25.5" hidden="false" customHeight="true" outlineLevel="0" collapsed="false">
      <c r="A48" s="4" t="s">
        <v>507</v>
      </c>
      <c r="B48" s="4" t="s">
        <v>498</v>
      </c>
      <c r="C48" s="4" t="s">
        <v>508</v>
      </c>
      <c r="D48" s="4" t="n">
        <v>5</v>
      </c>
      <c r="E48" s="4" t="s">
        <v>407</v>
      </c>
      <c r="F48" s="4" t="s">
        <v>500</v>
      </c>
      <c r="G48" s="4" t="s">
        <v>409</v>
      </c>
    </row>
    <row r="49" customFormat="false" ht="25.5" hidden="false" customHeight="true" outlineLevel="0" collapsed="false">
      <c r="A49" s="4" t="s">
        <v>509</v>
      </c>
      <c r="B49" s="4" t="s">
        <v>498</v>
      </c>
      <c r="C49" s="4" t="s">
        <v>510</v>
      </c>
      <c r="D49" s="4" t="n">
        <v>3</v>
      </c>
      <c r="E49" s="4" t="s">
        <v>414</v>
      </c>
      <c r="F49" s="4" t="s">
        <v>500</v>
      </c>
      <c r="G49" s="4" t="s">
        <v>409</v>
      </c>
    </row>
    <row r="50" customFormat="false" ht="25.5" hidden="false" customHeight="true" outlineLevel="0" collapsed="false">
      <c r="A50" s="4" t="s">
        <v>511</v>
      </c>
      <c r="B50" s="4" t="s">
        <v>498</v>
      </c>
      <c r="C50" s="4" t="s">
        <v>512</v>
      </c>
      <c r="D50" s="4" t="n">
        <v>3</v>
      </c>
      <c r="E50" s="4" t="s">
        <v>414</v>
      </c>
      <c r="F50" s="4" t="s">
        <v>500</v>
      </c>
      <c r="G50" s="4" t="s">
        <v>409</v>
      </c>
    </row>
    <row r="51" customFormat="false" ht="25.5" hidden="false" customHeight="true" outlineLevel="0" collapsed="false">
      <c r="A51" s="4" t="s">
        <v>513</v>
      </c>
      <c r="B51" s="4" t="s">
        <v>498</v>
      </c>
      <c r="C51" s="4" t="s">
        <v>514</v>
      </c>
      <c r="D51" s="4" t="n">
        <v>2</v>
      </c>
      <c r="E51" s="4" t="s">
        <v>426</v>
      </c>
      <c r="F51" s="4" t="s">
        <v>500</v>
      </c>
      <c r="G51" s="4" t="s">
        <v>409</v>
      </c>
    </row>
    <row r="52" customFormat="false" ht="25.5" hidden="false" customHeight="true" outlineLevel="0" collapsed="false">
      <c r="A52" s="4" t="s">
        <v>515</v>
      </c>
      <c r="B52" s="4" t="s">
        <v>498</v>
      </c>
      <c r="C52" s="4" t="s">
        <v>516</v>
      </c>
      <c r="D52" s="4" t="n">
        <v>5</v>
      </c>
      <c r="E52" s="4" t="s">
        <v>414</v>
      </c>
      <c r="F52" s="4" t="s">
        <v>500</v>
      </c>
      <c r="G52" s="4" t="s">
        <v>409</v>
      </c>
    </row>
    <row r="53" customFormat="false" ht="25.5" hidden="false" customHeight="true" outlineLevel="0" collapsed="false">
      <c r="A53" s="4" t="s">
        <v>517</v>
      </c>
      <c r="B53" s="4" t="s">
        <v>498</v>
      </c>
      <c r="C53" s="4" t="s">
        <v>518</v>
      </c>
      <c r="D53" s="4" t="n">
        <v>3</v>
      </c>
      <c r="E53" s="4" t="s">
        <v>426</v>
      </c>
      <c r="F53" s="4" t="s">
        <v>500</v>
      </c>
      <c r="G53" s="4" t="s">
        <v>409</v>
      </c>
    </row>
    <row r="54" customFormat="false" ht="25.5" hidden="false" customHeight="true" outlineLevel="0" collapsed="false">
      <c r="A54" s="4" t="s">
        <v>519</v>
      </c>
      <c r="B54" s="4" t="s">
        <v>520</v>
      </c>
      <c r="C54" s="4" t="s">
        <v>521</v>
      </c>
      <c r="D54" s="4" t="n">
        <v>5</v>
      </c>
      <c r="E54" s="4" t="s">
        <v>407</v>
      </c>
      <c r="F54" s="4" t="s">
        <v>522</v>
      </c>
      <c r="G54" s="4" t="s">
        <v>523</v>
      </c>
    </row>
    <row r="55" customFormat="false" ht="25.5" hidden="false" customHeight="true" outlineLevel="0" collapsed="false">
      <c r="A55" s="4" t="s">
        <v>524</v>
      </c>
      <c r="B55" s="4" t="s">
        <v>520</v>
      </c>
      <c r="C55" s="4" t="s">
        <v>525</v>
      </c>
      <c r="D55" s="4" t="n">
        <v>3</v>
      </c>
      <c r="E55" s="4" t="s">
        <v>407</v>
      </c>
      <c r="F55" s="4" t="s">
        <v>522</v>
      </c>
      <c r="G55" s="4" t="s">
        <v>523</v>
      </c>
    </row>
    <row r="56" customFormat="false" ht="25.5" hidden="false" customHeight="true" outlineLevel="0" collapsed="false">
      <c r="A56" s="4" t="s">
        <v>526</v>
      </c>
      <c r="B56" s="4" t="s">
        <v>520</v>
      </c>
      <c r="C56" s="4" t="s">
        <v>527</v>
      </c>
      <c r="D56" s="4" t="n">
        <v>3</v>
      </c>
      <c r="E56" s="4" t="s">
        <v>414</v>
      </c>
      <c r="F56" s="4" t="s">
        <v>408</v>
      </c>
      <c r="G56" s="4" t="s">
        <v>409</v>
      </c>
    </row>
    <row r="57" customFormat="false" ht="25.5" hidden="false" customHeight="true" outlineLevel="0" collapsed="false">
      <c r="A57" s="4" t="s">
        <v>528</v>
      </c>
      <c r="B57" s="4" t="s">
        <v>520</v>
      </c>
      <c r="C57" s="4" t="s">
        <v>529</v>
      </c>
      <c r="D57" s="4" t="n">
        <v>5</v>
      </c>
      <c r="E57" s="4" t="s">
        <v>407</v>
      </c>
      <c r="F57" s="4" t="s">
        <v>408</v>
      </c>
      <c r="G57" s="4" t="s">
        <v>409</v>
      </c>
    </row>
    <row r="58" customFormat="false" ht="25.5" hidden="false" customHeight="true" outlineLevel="0" collapsed="false">
      <c r="A58" s="4" t="s">
        <v>530</v>
      </c>
      <c r="B58" s="4" t="s">
        <v>520</v>
      </c>
      <c r="C58" s="4" t="s">
        <v>531</v>
      </c>
      <c r="D58" s="4" t="n">
        <v>3</v>
      </c>
      <c r="E58" s="4" t="s">
        <v>407</v>
      </c>
      <c r="F58" s="4" t="s">
        <v>522</v>
      </c>
      <c r="G58" s="4" t="s">
        <v>523</v>
      </c>
    </row>
    <row r="59" customFormat="false" ht="25.5" hidden="false" customHeight="true" outlineLevel="0" collapsed="false">
      <c r="A59" s="4" t="s">
        <v>532</v>
      </c>
      <c r="B59" s="4" t="s">
        <v>520</v>
      </c>
      <c r="C59" s="4" t="s">
        <v>533</v>
      </c>
      <c r="D59" s="4" t="n">
        <v>2</v>
      </c>
      <c r="E59" s="4" t="s">
        <v>414</v>
      </c>
      <c r="F59" s="4" t="s">
        <v>522</v>
      </c>
      <c r="G59" s="4" t="s">
        <v>409</v>
      </c>
    </row>
    <row r="60" customFormat="false" ht="25.5" hidden="false" customHeight="true" outlineLevel="0" collapsed="false">
      <c r="A60" s="4" t="s">
        <v>534</v>
      </c>
      <c r="B60" s="4" t="s">
        <v>535</v>
      </c>
      <c r="C60" s="4" t="s">
        <v>536</v>
      </c>
      <c r="D60" s="4" t="n">
        <v>5</v>
      </c>
      <c r="E60" s="4" t="s">
        <v>407</v>
      </c>
      <c r="F60" s="4" t="s">
        <v>478</v>
      </c>
      <c r="G60" s="4" t="s">
        <v>409</v>
      </c>
    </row>
    <row r="61" customFormat="false" ht="25.5" hidden="false" customHeight="true" outlineLevel="0" collapsed="false">
      <c r="A61" s="4" t="s">
        <v>537</v>
      </c>
      <c r="B61" s="4" t="s">
        <v>535</v>
      </c>
      <c r="C61" s="4" t="s">
        <v>538</v>
      </c>
      <c r="D61" s="4" t="n">
        <v>5</v>
      </c>
      <c r="E61" s="4" t="s">
        <v>407</v>
      </c>
      <c r="F61" s="4" t="s">
        <v>478</v>
      </c>
      <c r="G61" s="4" t="s">
        <v>409</v>
      </c>
    </row>
    <row r="62" customFormat="false" ht="25.5" hidden="false" customHeight="true" outlineLevel="0" collapsed="false">
      <c r="A62" s="4" t="s">
        <v>539</v>
      </c>
      <c r="B62" s="4" t="s">
        <v>535</v>
      </c>
      <c r="C62" s="4" t="s">
        <v>540</v>
      </c>
      <c r="D62" s="4" t="n">
        <v>8</v>
      </c>
      <c r="E62" s="4" t="s">
        <v>407</v>
      </c>
      <c r="F62" s="4" t="s">
        <v>478</v>
      </c>
      <c r="G62" s="4" t="s">
        <v>523</v>
      </c>
    </row>
    <row r="63" customFormat="false" ht="25.5" hidden="false" customHeight="true" outlineLevel="0" collapsed="false">
      <c r="A63" s="4" t="s">
        <v>541</v>
      </c>
      <c r="B63" s="4" t="s">
        <v>535</v>
      </c>
      <c r="C63" s="4" t="s">
        <v>542</v>
      </c>
      <c r="D63" s="4" t="n">
        <v>3</v>
      </c>
      <c r="E63" s="4" t="s">
        <v>414</v>
      </c>
      <c r="F63" s="4" t="s">
        <v>543</v>
      </c>
      <c r="G63" s="4" t="s">
        <v>409</v>
      </c>
    </row>
    <row r="64" customFormat="false" ht="25.5" hidden="false" customHeight="true" outlineLevel="0" collapsed="false">
      <c r="A64" s="4" t="s">
        <v>544</v>
      </c>
      <c r="B64" s="4" t="s">
        <v>535</v>
      </c>
      <c r="C64" s="4" t="s">
        <v>545</v>
      </c>
      <c r="D64" s="4" t="n">
        <v>3</v>
      </c>
      <c r="E64" s="4" t="s">
        <v>414</v>
      </c>
      <c r="F64" s="4" t="s">
        <v>543</v>
      </c>
      <c r="G64" s="4" t="s">
        <v>409</v>
      </c>
    </row>
    <row r="65" customFormat="false" ht="25.5" hidden="false" customHeight="true" outlineLevel="0" collapsed="false">
      <c r="A65" s="4" t="s">
        <v>546</v>
      </c>
      <c r="B65" s="4" t="s">
        <v>535</v>
      </c>
      <c r="C65" s="4" t="s">
        <v>547</v>
      </c>
      <c r="D65" s="4" t="n">
        <v>3</v>
      </c>
      <c r="E65" s="4" t="s">
        <v>426</v>
      </c>
      <c r="F65" s="4" t="s">
        <v>543</v>
      </c>
      <c r="G65" s="4" t="s">
        <v>409</v>
      </c>
    </row>
    <row r="66" customFormat="false" ht="25.5" hidden="false" customHeight="true" outlineLevel="0" collapsed="false">
      <c r="A66" s="4" t="s">
        <v>548</v>
      </c>
      <c r="B66" s="4" t="s">
        <v>535</v>
      </c>
      <c r="C66" s="4" t="s">
        <v>549</v>
      </c>
      <c r="D66" s="4" t="n">
        <v>3</v>
      </c>
      <c r="E66" s="4" t="s">
        <v>414</v>
      </c>
      <c r="F66" s="4" t="s">
        <v>543</v>
      </c>
      <c r="G66" s="4" t="s">
        <v>409</v>
      </c>
    </row>
    <row r="67" customFormat="false" ht="25.5" hidden="false" customHeight="true" outlineLevel="0" collapsed="false">
      <c r="A67" s="4" t="s">
        <v>550</v>
      </c>
      <c r="B67" s="4" t="s">
        <v>551</v>
      </c>
      <c r="C67" s="4" t="s">
        <v>552</v>
      </c>
      <c r="D67" s="4" t="n">
        <v>3</v>
      </c>
      <c r="E67" s="4" t="s">
        <v>407</v>
      </c>
      <c r="F67" s="4" t="s">
        <v>543</v>
      </c>
      <c r="G67" s="4" t="s">
        <v>409</v>
      </c>
    </row>
    <row r="68" customFormat="false" ht="25.5" hidden="false" customHeight="true" outlineLevel="0" collapsed="false">
      <c r="A68" s="4" t="s">
        <v>553</v>
      </c>
      <c r="B68" s="4" t="s">
        <v>551</v>
      </c>
      <c r="C68" s="4" t="s">
        <v>554</v>
      </c>
      <c r="D68" s="4" t="n">
        <v>3</v>
      </c>
      <c r="E68" s="4" t="s">
        <v>407</v>
      </c>
      <c r="F68" s="4" t="s">
        <v>500</v>
      </c>
      <c r="G68" s="4" t="s">
        <v>555</v>
      </c>
    </row>
    <row r="69" customFormat="false" ht="25.5" hidden="false" customHeight="true" outlineLevel="0" collapsed="false">
      <c r="A69" s="4" t="s">
        <v>556</v>
      </c>
      <c r="B69" s="4" t="s">
        <v>551</v>
      </c>
      <c r="C69" s="4" t="s">
        <v>557</v>
      </c>
      <c r="D69" s="4" t="n">
        <v>5</v>
      </c>
      <c r="E69" s="4" t="s">
        <v>407</v>
      </c>
      <c r="F69" s="4" t="s">
        <v>500</v>
      </c>
      <c r="G69" s="4" t="s">
        <v>523</v>
      </c>
    </row>
    <row r="70" customFormat="false" ht="25.5" hidden="false" customHeight="true" outlineLevel="0" collapsed="false">
      <c r="A70" s="4" t="s">
        <v>558</v>
      </c>
      <c r="B70" s="4" t="s">
        <v>551</v>
      </c>
      <c r="C70" s="4" t="s">
        <v>559</v>
      </c>
      <c r="D70" s="4" t="n">
        <v>5</v>
      </c>
      <c r="E70" s="4" t="s">
        <v>414</v>
      </c>
      <c r="F70" s="4" t="s">
        <v>500</v>
      </c>
      <c r="G70" s="4" t="s">
        <v>409</v>
      </c>
    </row>
    <row r="71" customFormat="false" ht="25.5" hidden="false" customHeight="true" outlineLevel="0" collapsed="false">
      <c r="A71" s="4" t="s">
        <v>560</v>
      </c>
      <c r="B71" s="4" t="s">
        <v>551</v>
      </c>
      <c r="C71" s="4" t="s">
        <v>561</v>
      </c>
      <c r="D71" s="4" t="n">
        <v>8</v>
      </c>
      <c r="E71" s="4" t="s">
        <v>407</v>
      </c>
      <c r="F71" s="4" t="s">
        <v>562</v>
      </c>
      <c r="G71" s="4" t="s">
        <v>563</v>
      </c>
    </row>
    <row r="72" customFormat="false" ht="25.5" hidden="false" customHeight="true" outlineLevel="0" collapsed="false">
      <c r="A72" s="4" t="s">
        <v>564</v>
      </c>
      <c r="B72" s="4" t="s">
        <v>551</v>
      </c>
      <c r="C72" s="4" t="s">
        <v>565</v>
      </c>
      <c r="D72" s="4" t="n">
        <v>5</v>
      </c>
      <c r="E72" s="4" t="s">
        <v>407</v>
      </c>
      <c r="F72" s="4" t="s">
        <v>562</v>
      </c>
      <c r="G72" s="4" t="s">
        <v>409</v>
      </c>
    </row>
    <row r="73" customFormat="false" ht="25.5" hidden="false" customHeight="true" outlineLevel="0" collapsed="false">
      <c r="A73" s="4" t="s">
        <v>566</v>
      </c>
      <c r="B73" s="4" t="s">
        <v>551</v>
      </c>
      <c r="C73" s="4" t="s">
        <v>567</v>
      </c>
      <c r="D73" s="4" t="n">
        <v>5</v>
      </c>
      <c r="E73" s="4" t="s">
        <v>407</v>
      </c>
      <c r="F73" s="4" t="s">
        <v>500</v>
      </c>
      <c r="G73" s="4" t="s">
        <v>409</v>
      </c>
    </row>
    <row r="74" customFormat="false" ht="25.5" hidden="false" customHeight="true" outlineLevel="0" collapsed="false">
      <c r="A74" s="4" t="s">
        <v>568</v>
      </c>
      <c r="B74" s="4" t="s">
        <v>569</v>
      </c>
      <c r="C74" s="4" t="s">
        <v>570</v>
      </c>
      <c r="D74" s="4" t="n">
        <v>5</v>
      </c>
      <c r="E74" s="4" t="s">
        <v>407</v>
      </c>
      <c r="F74" s="4" t="s">
        <v>442</v>
      </c>
      <c r="G74" s="4" t="s">
        <v>409</v>
      </c>
    </row>
    <row r="75" customFormat="false" ht="25.5" hidden="false" customHeight="true" outlineLevel="0" collapsed="false">
      <c r="A75" s="4" t="s">
        <v>571</v>
      </c>
      <c r="B75" s="4" t="s">
        <v>569</v>
      </c>
      <c r="C75" s="4" t="s">
        <v>572</v>
      </c>
      <c r="D75" s="4" t="n">
        <v>3</v>
      </c>
      <c r="E75" s="4" t="s">
        <v>407</v>
      </c>
      <c r="F75" s="4" t="s">
        <v>442</v>
      </c>
      <c r="G75" s="4" t="s">
        <v>409</v>
      </c>
    </row>
    <row r="76" customFormat="false" ht="25.5" hidden="false" customHeight="true" outlineLevel="0" collapsed="false">
      <c r="A76" s="4" t="s">
        <v>573</v>
      </c>
      <c r="B76" s="4" t="s">
        <v>569</v>
      </c>
      <c r="C76" s="4" t="s">
        <v>574</v>
      </c>
      <c r="D76" s="4" t="n">
        <v>3</v>
      </c>
      <c r="E76" s="4" t="s">
        <v>426</v>
      </c>
      <c r="F76" s="4" t="s">
        <v>500</v>
      </c>
      <c r="G76" s="4" t="s">
        <v>409</v>
      </c>
    </row>
    <row r="77" customFormat="false" ht="25.5" hidden="false" customHeight="true" outlineLevel="0" collapsed="false">
      <c r="A77" s="4" t="s">
        <v>575</v>
      </c>
      <c r="B77" s="4" t="s">
        <v>569</v>
      </c>
      <c r="C77" s="4" t="s">
        <v>576</v>
      </c>
      <c r="D77" s="4" t="n">
        <v>2</v>
      </c>
      <c r="E77" s="4" t="s">
        <v>426</v>
      </c>
      <c r="F77" s="4" t="s">
        <v>500</v>
      </c>
      <c r="G77" s="4" t="s">
        <v>409</v>
      </c>
    </row>
    <row r="78" customFormat="false" ht="25.5" hidden="false" customHeight="true" outlineLevel="0" collapsed="false">
      <c r="A78" s="4" t="s">
        <v>577</v>
      </c>
      <c r="B78" s="4" t="s">
        <v>569</v>
      </c>
      <c r="C78" s="4" t="s">
        <v>578</v>
      </c>
      <c r="D78" s="4" t="n">
        <v>5</v>
      </c>
      <c r="E78" s="4" t="s">
        <v>414</v>
      </c>
      <c r="F78" s="4" t="s">
        <v>500</v>
      </c>
      <c r="G78" s="4" t="s">
        <v>409</v>
      </c>
    </row>
    <row r="79" customFormat="false" ht="25.5" hidden="false" customHeight="true" outlineLevel="0" collapsed="false">
      <c r="A79" s="4" t="s">
        <v>579</v>
      </c>
      <c r="B79" s="4" t="s">
        <v>569</v>
      </c>
      <c r="C79" s="4" t="s">
        <v>580</v>
      </c>
      <c r="D79" s="4" t="n">
        <v>3</v>
      </c>
      <c r="E79" s="4" t="s">
        <v>426</v>
      </c>
      <c r="F79" s="4" t="s">
        <v>500</v>
      </c>
      <c r="G79" s="4" t="s">
        <v>409</v>
      </c>
    </row>
    <row r="80" customFormat="false" ht="25.5" hidden="false" customHeight="true" outlineLevel="0" collapsed="false">
      <c r="A80" s="4" t="s">
        <v>581</v>
      </c>
      <c r="B80" s="4" t="s">
        <v>569</v>
      </c>
      <c r="C80" s="4" t="s">
        <v>582</v>
      </c>
      <c r="D80" s="4" t="n">
        <v>3</v>
      </c>
      <c r="E80" s="4" t="s">
        <v>426</v>
      </c>
      <c r="F80" s="4" t="s">
        <v>500</v>
      </c>
      <c r="G80" s="4" t="s">
        <v>409</v>
      </c>
    </row>
    <row r="81" customFormat="false" ht="25.5" hidden="false" customHeight="true" outlineLevel="0" collapsed="false">
      <c r="A81" s="4" t="s">
        <v>583</v>
      </c>
      <c r="B81" s="4" t="s">
        <v>584</v>
      </c>
      <c r="C81" s="4" t="s">
        <v>585</v>
      </c>
      <c r="D81" s="4" t="n">
        <v>5</v>
      </c>
      <c r="E81" s="4" t="s">
        <v>407</v>
      </c>
      <c r="F81" s="4" t="s">
        <v>456</v>
      </c>
      <c r="G81" s="4" t="s">
        <v>409</v>
      </c>
    </row>
    <row r="82" customFormat="false" ht="25.5" hidden="false" customHeight="true" outlineLevel="0" collapsed="false">
      <c r="A82" s="4" t="s">
        <v>586</v>
      </c>
      <c r="B82" s="4" t="s">
        <v>584</v>
      </c>
      <c r="C82" s="4" t="s">
        <v>587</v>
      </c>
      <c r="D82" s="4" t="n">
        <v>3</v>
      </c>
      <c r="E82" s="4" t="s">
        <v>414</v>
      </c>
      <c r="F82" s="4" t="s">
        <v>456</v>
      </c>
      <c r="G82" s="4" t="s">
        <v>409</v>
      </c>
    </row>
    <row r="83" customFormat="false" ht="25.5" hidden="false" customHeight="true" outlineLevel="0" collapsed="false">
      <c r="A83" s="4" t="s">
        <v>588</v>
      </c>
      <c r="B83" s="4" t="s">
        <v>584</v>
      </c>
      <c r="C83" s="4" t="s">
        <v>589</v>
      </c>
      <c r="D83" s="4" t="n">
        <v>5</v>
      </c>
      <c r="E83" s="4" t="s">
        <v>414</v>
      </c>
      <c r="F83" s="4" t="s">
        <v>590</v>
      </c>
      <c r="G83" s="4" t="s">
        <v>555</v>
      </c>
    </row>
    <row r="84" customFormat="false" ht="25.5" hidden="false" customHeight="true" outlineLevel="0" collapsed="false">
      <c r="A84" s="4" t="s">
        <v>591</v>
      </c>
      <c r="B84" s="4" t="s">
        <v>584</v>
      </c>
      <c r="C84" s="4" t="s">
        <v>592</v>
      </c>
      <c r="D84" s="4" t="n">
        <v>3</v>
      </c>
      <c r="E84" s="4" t="s">
        <v>407</v>
      </c>
      <c r="F84" s="4" t="s">
        <v>590</v>
      </c>
      <c r="G84" s="4" t="s">
        <v>523</v>
      </c>
    </row>
    <row r="85" customFormat="false" ht="25.5" hidden="false" customHeight="true" outlineLevel="0" collapsed="false">
      <c r="A85" s="4" t="s">
        <v>593</v>
      </c>
      <c r="B85" s="4" t="s">
        <v>584</v>
      </c>
      <c r="C85" s="4" t="s">
        <v>594</v>
      </c>
      <c r="D85" s="4" t="n">
        <v>3</v>
      </c>
      <c r="E85" s="4" t="s">
        <v>414</v>
      </c>
      <c r="F85" s="4" t="s">
        <v>595</v>
      </c>
      <c r="G85" s="4" t="s">
        <v>409</v>
      </c>
    </row>
    <row r="86" customFormat="false" ht="25.5" hidden="false" customHeight="true" outlineLevel="0" collapsed="false">
      <c r="A86" s="4" t="s">
        <v>596</v>
      </c>
      <c r="B86" s="4" t="s">
        <v>584</v>
      </c>
      <c r="C86" s="4" t="s">
        <v>597</v>
      </c>
      <c r="D86" s="4" t="n">
        <v>5</v>
      </c>
      <c r="E86" s="4" t="s">
        <v>414</v>
      </c>
      <c r="F86" s="4" t="s">
        <v>590</v>
      </c>
      <c r="G86" s="4" t="s">
        <v>598</v>
      </c>
    </row>
    <row r="87" customFormat="false" ht="25.5" hidden="false" customHeight="true" outlineLevel="0" collapsed="false">
      <c r="A87" s="4" t="s">
        <v>599</v>
      </c>
      <c r="B87" s="4" t="s">
        <v>584</v>
      </c>
      <c r="C87" s="4" t="s">
        <v>600</v>
      </c>
      <c r="D87" s="4" t="n">
        <v>2</v>
      </c>
      <c r="E87" s="4" t="s">
        <v>426</v>
      </c>
      <c r="F87" s="4" t="s">
        <v>590</v>
      </c>
      <c r="G87" s="4" t="s">
        <v>555</v>
      </c>
    </row>
    <row r="88" customFormat="false" ht="25.5" hidden="false" customHeight="true" outlineLevel="0" collapsed="false">
      <c r="A88" s="4" t="s">
        <v>601</v>
      </c>
      <c r="B88" s="4" t="s">
        <v>602</v>
      </c>
      <c r="C88" s="4" t="s">
        <v>603</v>
      </c>
      <c r="D88" s="4" t="n">
        <v>5</v>
      </c>
      <c r="E88" s="4" t="s">
        <v>407</v>
      </c>
      <c r="F88" s="4" t="s">
        <v>419</v>
      </c>
      <c r="G88" s="4" t="s">
        <v>409</v>
      </c>
    </row>
    <row r="89" customFormat="false" ht="25.5" hidden="false" customHeight="true" outlineLevel="0" collapsed="false">
      <c r="A89" s="4" t="s">
        <v>604</v>
      </c>
      <c r="B89" s="4" t="s">
        <v>602</v>
      </c>
      <c r="C89" s="4" t="s">
        <v>605</v>
      </c>
      <c r="D89" s="4" t="n">
        <v>5</v>
      </c>
      <c r="E89" s="4" t="s">
        <v>407</v>
      </c>
      <c r="F89" s="4" t="s">
        <v>442</v>
      </c>
      <c r="G89" s="4" t="s">
        <v>409</v>
      </c>
    </row>
    <row r="90" customFormat="false" ht="25.5" hidden="false" customHeight="true" outlineLevel="0" collapsed="false">
      <c r="A90" s="4" t="s">
        <v>606</v>
      </c>
      <c r="B90" s="4" t="s">
        <v>602</v>
      </c>
      <c r="C90" s="4" t="s">
        <v>607</v>
      </c>
      <c r="D90" s="4" t="n">
        <v>3</v>
      </c>
      <c r="E90" s="4" t="s">
        <v>407</v>
      </c>
      <c r="F90" s="4" t="s">
        <v>500</v>
      </c>
      <c r="G90" s="4" t="s">
        <v>409</v>
      </c>
    </row>
    <row r="91" customFormat="false" ht="25.5" hidden="false" customHeight="true" outlineLevel="0" collapsed="false">
      <c r="A91" s="4" t="s">
        <v>608</v>
      </c>
      <c r="B91" s="4" t="s">
        <v>602</v>
      </c>
      <c r="C91" s="4" t="s">
        <v>609</v>
      </c>
      <c r="D91" s="4" t="n">
        <v>5</v>
      </c>
      <c r="E91" s="4" t="s">
        <v>414</v>
      </c>
      <c r="F91" s="4" t="s">
        <v>500</v>
      </c>
      <c r="G91" s="4" t="s">
        <v>523</v>
      </c>
    </row>
    <row r="92" customFormat="false" ht="25.5" hidden="false" customHeight="true" outlineLevel="0" collapsed="false">
      <c r="A92" s="4" t="s">
        <v>610</v>
      </c>
      <c r="B92" s="4" t="s">
        <v>602</v>
      </c>
      <c r="C92" s="4" t="s">
        <v>611</v>
      </c>
      <c r="D92" s="4" t="n">
        <v>3</v>
      </c>
      <c r="E92" s="4" t="s">
        <v>414</v>
      </c>
      <c r="F92" s="4" t="s">
        <v>562</v>
      </c>
      <c r="G92" s="4" t="s">
        <v>563</v>
      </c>
    </row>
    <row r="93" customFormat="false" ht="25.5" hidden="false" customHeight="true" outlineLevel="0" collapsed="false">
      <c r="A93" s="4" t="s">
        <v>612</v>
      </c>
      <c r="B93" s="4" t="s">
        <v>602</v>
      </c>
      <c r="C93" s="4" t="s">
        <v>613</v>
      </c>
      <c r="D93" s="4" t="n">
        <v>3</v>
      </c>
      <c r="E93" s="4" t="s">
        <v>414</v>
      </c>
      <c r="F93" s="4" t="s">
        <v>562</v>
      </c>
      <c r="G93" s="4" t="s">
        <v>523</v>
      </c>
    </row>
    <row r="94" customFormat="false" ht="25.5" hidden="false" customHeight="true" outlineLevel="0" collapsed="false">
      <c r="A94" s="4" t="s">
        <v>614</v>
      </c>
      <c r="B94" s="4" t="s">
        <v>602</v>
      </c>
      <c r="C94" s="4" t="s">
        <v>615</v>
      </c>
      <c r="D94" s="4" t="n">
        <v>3</v>
      </c>
      <c r="E94" s="4" t="s">
        <v>426</v>
      </c>
      <c r="F94" s="4" t="s">
        <v>562</v>
      </c>
      <c r="G94" s="4" t="s">
        <v>409</v>
      </c>
    </row>
    <row r="95" customFormat="false" ht="25.5" hidden="false" customHeight="true" outlineLevel="0" collapsed="false">
      <c r="A95" s="4" t="s">
        <v>616</v>
      </c>
      <c r="B95" s="4" t="s">
        <v>602</v>
      </c>
      <c r="C95" s="4" t="s">
        <v>617</v>
      </c>
      <c r="D95" s="4" t="n">
        <v>3</v>
      </c>
      <c r="E95" s="4" t="s">
        <v>426</v>
      </c>
      <c r="F95" s="4" t="s">
        <v>500</v>
      </c>
      <c r="G95" s="4" t="s">
        <v>555</v>
      </c>
    </row>
    <row r="96" customFormat="false" ht="25.5" hidden="false" customHeight="true" outlineLevel="0" collapsed="false">
      <c r="A96" s="4" t="s">
        <v>618</v>
      </c>
      <c r="B96" s="4" t="s">
        <v>619</v>
      </c>
      <c r="C96" s="4" t="s">
        <v>620</v>
      </c>
      <c r="D96" s="4" t="n">
        <v>3</v>
      </c>
      <c r="E96" s="4" t="s">
        <v>407</v>
      </c>
      <c r="F96" s="4" t="s">
        <v>562</v>
      </c>
      <c r="G96" s="4" t="s">
        <v>555</v>
      </c>
    </row>
    <row r="97" customFormat="false" ht="25.5" hidden="false" customHeight="true" outlineLevel="0" collapsed="false">
      <c r="A97" s="4" t="s">
        <v>621</v>
      </c>
      <c r="B97" s="4" t="s">
        <v>619</v>
      </c>
      <c r="C97" s="4" t="s">
        <v>622</v>
      </c>
      <c r="D97" s="4" t="n">
        <v>5</v>
      </c>
      <c r="E97" s="4" t="s">
        <v>407</v>
      </c>
      <c r="F97" s="4" t="s">
        <v>562</v>
      </c>
      <c r="G97" s="4" t="s">
        <v>598</v>
      </c>
    </row>
    <row r="98" customFormat="false" ht="25.5" hidden="false" customHeight="true" outlineLevel="0" collapsed="false">
      <c r="A98" s="4" t="s">
        <v>623</v>
      </c>
      <c r="B98" s="4" t="s">
        <v>619</v>
      </c>
      <c r="C98" s="4" t="s">
        <v>624</v>
      </c>
      <c r="D98" s="4" t="n">
        <v>3</v>
      </c>
      <c r="E98" s="4" t="s">
        <v>407</v>
      </c>
      <c r="F98" s="4" t="s">
        <v>590</v>
      </c>
      <c r="G98" s="4" t="s">
        <v>555</v>
      </c>
    </row>
    <row r="99" customFormat="false" ht="25.5" hidden="false" customHeight="true" outlineLevel="0" collapsed="false">
      <c r="A99" s="4" t="s">
        <v>625</v>
      </c>
      <c r="B99" s="4" t="s">
        <v>619</v>
      </c>
      <c r="C99" s="4" t="s">
        <v>626</v>
      </c>
      <c r="D99" s="4" t="n">
        <v>3</v>
      </c>
      <c r="E99" s="4" t="s">
        <v>407</v>
      </c>
      <c r="F99" s="4" t="s">
        <v>590</v>
      </c>
      <c r="G99" s="4" t="s">
        <v>555</v>
      </c>
    </row>
    <row r="100" customFormat="false" ht="25.5" hidden="false" customHeight="true" outlineLevel="0" collapsed="false">
      <c r="A100" s="4" t="s">
        <v>627</v>
      </c>
      <c r="B100" s="4" t="s">
        <v>619</v>
      </c>
      <c r="C100" s="4" t="s">
        <v>628</v>
      </c>
      <c r="D100" s="4" t="n">
        <v>3</v>
      </c>
      <c r="E100" s="4" t="s">
        <v>407</v>
      </c>
      <c r="F100" s="4" t="s">
        <v>590</v>
      </c>
      <c r="G100" s="4" t="s">
        <v>563</v>
      </c>
    </row>
    <row r="101" customFormat="false" ht="25.5" hidden="false" customHeight="true" outlineLevel="0" collapsed="false">
      <c r="A101" s="4" t="s">
        <v>629</v>
      </c>
      <c r="B101" s="4" t="s">
        <v>619</v>
      </c>
      <c r="C101" s="4" t="s">
        <v>630</v>
      </c>
      <c r="D101" s="4" t="n">
        <v>3</v>
      </c>
      <c r="E101" s="4" t="s">
        <v>414</v>
      </c>
      <c r="F101" s="4" t="s">
        <v>595</v>
      </c>
      <c r="G101" s="4" t="s">
        <v>555</v>
      </c>
    </row>
    <row r="102" customFormat="false" ht="25.5" hidden="false" customHeight="true" outlineLevel="0" collapsed="false">
      <c r="A102" s="4" t="s">
        <v>631</v>
      </c>
      <c r="B102" s="4" t="s">
        <v>619</v>
      </c>
      <c r="C102" s="4" t="s">
        <v>632</v>
      </c>
      <c r="D102" s="4" t="n">
        <v>2</v>
      </c>
      <c r="E102" s="4" t="s">
        <v>426</v>
      </c>
      <c r="F102" s="4" t="s">
        <v>633</v>
      </c>
      <c r="G102" s="4" t="s">
        <v>598</v>
      </c>
    </row>
    <row r="103" customFormat="false" ht="25.5" hidden="false" customHeight="true" outlineLevel="0" collapsed="false">
      <c r="A103" s="4" t="s">
        <v>634</v>
      </c>
      <c r="B103" s="4" t="s">
        <v>619</v>
      </c>
      <c r="C103" s="4" t="s">
        <v>635</v>
      </c>
      <c r="D103" s="4" t="n">
        <v>2</v>
      </c>
      <c r="E103" s="4" t="s">
        <v>414</v>
      </c>
      <c r="F103" s="4" t="s">
        <v>595</v>
      </c>
      <c r="G103" s="4" t="s">
        <v>598</v>
      </c>
    </row>
    <row r="104" customFormat="false" ht="15" hidden="false" customHeight="false" outlineLevel="0" collapsed="false">
      <c r="A104" s="23" t="s">
        <v>636</v>
      </c>
      <c r="B104" s="23" t="s">
        <v>602</v>
      </c>
      <c r="C104" s="23" t="s">
        <v>637</v>
      </c>
      <c r="D104" s="23" t="n">
        <v>3</v>
      </c>
      <c r="E104" s="23" t="s">
        <v>407</v>
      </c>
      <c r="F104" s="23" t="s">
        <v>237</v>
      </c>
      <c r="G104" s="23" t="s">
        <v>409</v>
      </c>
    </row>
    <row r="105" customFormat="false" ht="30" hidden="false" customHeight="true" outlineLevel="0" collapsed="false">
      <c r="A105" s="23" t="s">
        <v>638</v>
      </c>
      <c r="B105" s="23" t="s">
        <v>602</v>
      </c>
      <c r="C105" s="23" t="s">
        <v>639</v>
      </c>
      <c r="D105" s="23" t="n">
        <v>3</v>
      </c>
      <c r="E105" s="23" t="s">
        <v>407</v>
      </c>
      <c r="F105" s="23" t="s">
        <v>237</v>
      </c>
      <c r="G105" s="23" t="s">
        <v>409</v>
      </c>
    </row>
    <row r="106" customFormat="false" ht="15" hidden="false" customHeight="false" outlineLevel="0" collapsed="false">
      <c r="A106" s="23" t="s">
        <v>640</v>
      </c>
      <c r="B106" s="23" t="s">
        <v>602</v>
      </c>
      <c r="C106" s="23" t="s">
        <v>641</v>
      </c>
      <c r="D106" s="23" t="n">
        <v>2</v>
      </c>
      <c r="E106" s="23" t="s">
        <v>407</v>
      </c>
      <c r="F106" s="23" t="s">
        <v>237</v>
      </c>
      <c r="G106" s="23" t="s">
        <v>409</v>
      </c>
    </row>
    <row r="107" customFormat="false" ht="15" hidden="false" customHeight="false" outlineLevel="0" collapsed="false">
      <c r="A107" s="23" t="s">
        <v>642</v>
      </c>
      <c r="B107" s="23" t="s">
        <v>602</v>
      </c>
      <c r="C107" s="23" t="s">
        <v>643</v>
      </c>
      <c r="D107" s="23" t="n">
        <v>1</v>
      </c>
      <c r="E107" s="23" t="s">
        <v>407</v>
      </c>
      <c r="F107" s="23" t="s">
        <v>237</v>
      </c>
      <c r="G107" s="23" t="s">
        <v>409</v>
      </c>
    </row>
    <row r="108" customFormat="false" ht="15" hidden="false" customHeight="false" outlineLevel="0" collapsed="false">
      <c r="A108" s="23" t="s">
        <v>644</v>
      </c>
      <c r="B108" s="23" t="s">
        <v>602</v>
      </c>
      <c r="C108" s="23" t="s">
        <v>645</v>
      </c>
      <c r="D108" s="23" t="n">
        <v>2</v>
      </c>
      <c r="E108" s="23" t="s">
        <v>407</v>
      </c>
      <c r="F108" s="23" t="s">
        <v>237</v>
      </c>
      <c r="G108" s="23" t="s">
        <v>409</v>
      </c>
    </row>
    <row r="109" customFormat="false" ht="15" hidden="false" customHeight="false" outlineLevel="0" collapsed="false">
      <c r="A109" s="23" t="s">
        <v>646</v>
      </c>
      <c r="B109" s="23" t="s">
        <v>602</v>
      </c>
      <c r="C109" s="23" t="s">
        <v>647</v>
      </c>
      <c r="D109" s="23" t="n">
        <v>1</v>
      </c>
      <c r="E109" s="23" t="s">
        <v>407</v>
      </c>
      <c r="F109" s="23" t="s">
        <v>237</v>
      </c>
      <c r="G109" s="23" t="s">
        <v>409</v>
      </c>
    </row>
    <row r="110" customFormat="false" ht="15" hidden="false" customHeight="false" outlineLevel="0" collapsed="false">
      <c r="A110" s="23" t="s">
        <v>648</v>
      </c>
      <c r="B110" s="23" t="s">
        <v>602</v>
      </c>
      <c r="C110" s="23" t="s">
        <v>649</v>
      </c>
      <c r="D110" s="23" t="n">
        <v>1</v>
      </c>
      <c r="E110" s="23" t="s">
        <v>407</v>
      </c>
      <c r="F110" s="23" t="s">
        <v>237</v>
      </c>
      <c r="G110" s="23" t="s">
        <v>409</v>
      </c>
    </row>
    <row r="111" customFormat="false" ht="15" hidden="false" customHeight="false" outlineLevel="0" collapsed="false">
      <c r="A111" s="23" t="s">
        <v>650</v>
      </c>
      <c r="B111" s="23" t="s">
        <v>535</v>
      </c>
      <c r="C111" s="23" t="s">
        <v>651</v>
      </c>
      <c r="D111" s="23" t="n">
        <v>1</v>
      </c>
      <c r="E111" s="23" t="s">
        <v>407</v>
      </c>
      <c r="F111" s="23" t="s">
        <v>243</v>
      </c>
      <c r="G111" s="23" t="s">
        <v>409</v>
      </c>
    </row>
    <row r="112" customFormat="false" ht="15" hidden="false" customHeight="false" outlineLevel="0" collapsed="false">
      <c r="A112" s="23" t="s">
        <v>652</v>
      </c>
      <c r="B112" s="23" t="s">
        <v>535</v>
      </c>
      <c r="C112" s="23" t="s">
        <v>653</v>
      </c>
      <c r="D112" s="23" t="n">
        <v>1</v>
      </c>
      <c r="E112" s="23" t="s">
        <v>407</v>
      </c>
      <c r="F112" s="23" t="s">
        <v>243</v>
      </c>
      <c r="G112" s="23" t="s">
        <v>409</v>
      </c>
    </row>
    <row r="113" customFormat="false" ht="15" hidden="false" customHeight="false" outlineLevel="0" collapsed="false">
      <c r="A113" s="23" t="s">
        <v>654</v>
      </c>
      <c r="B113" s="23" t="s">
        <v>535</v>
      </c>
      <c r="C113" s="23" t="s">
        <v>655</v>
      </c>
      <c r="D113" s="23" t="n">
        <v>1</v>
      </c>
      <c r="E113" s="23" t="s">
        <v>407</v>
      </c>
      <c r="F113" s="23" t="s">
        <v>243</v>
      </c>
      <c r="G113" s="23" t="s">
        <v>409</v>
      </c>
    </row>
    <row r="114" customFormat="false" ht="15" hidden="false" customHeight="false" outlineLevel="0" collapsed="false">
      <c r="A114" s="23" t="s">
        <v>656</v>
      </c>
      <c r="B114" s="23" t="s">
        <v>535</v>
      </c>
      <c r="C114" s="23" t="s">
        <v>657</v>
      </c>
      <c r="D114" s="23" t="n">
        <v>1</v>
      </c>
      <c r="E114" s="23" t="s">
        <v>407</v>
      </c>
      <c r="F114" s="23" t="s">
        <v>243</v>
      </c>
      <c r="G114" s="23" t="s">
        <v>409</v>
      </c>
    </row>
    <row r="115" customFormat="false" ht="15" hidden="false" customHeight="false" outlineLevel="0" collapsed="false">
      <c r="A115" s="23" t="s">
        <v>658</v>
      </c>
      <c r="B115" s="23" t="s">
        <v>535</v>
      </c>
      <c r="C115" s="23" t="s">
        <v>659</v>
      </c>
      <c r="D115" s="23" t="n">
        <v>1</v>
      </c>
      <c r="E115" s="23" t="s">
        <v>407</v>
      </c>
      <c r="F115" s="23" t="s">
        <v>243</v>
      </c>
      <c r="G115" s="23" t="s">
        <v>660</v>
      </c>
    </row>
    <row r="116" customFormat="false" ht="15" hidden="false" customHeight="false" outlineLevel="0" collapsed="false">
      <c r="A116" s="23" t="s">
        <v>661</v>
      </c>
      <c r="B116" s="23" t="s">
        <v>602</v>
      </c>
      <c r="C116" s="23" t="s">
        <v>662</v>
      </c>
      <c r="D116" s="23" t="n">
        <v>1</v>
      </c>
      <c r="E116" s="23" t="s">
        <v>407</v>
      </c>
      <c r="F116" s="23" t="s">
        <v>243</v>
      </c>
      <c r="G116" s="23" t="s">
        <v>409</v>
      </c>
    </row>
    <row r="117" customFormat="false" ht="15" hidden="false" customHeight="false" outlineLevel="0" collapsed="false">
      <c r="A117" s="23" t="s">
        <v>663</v>
      </c>
      <c r="B117" s="23" t="s">
        <v>520</v>
      </c>
      <c r="C117" s="23" t="s">
        <v>664</v>
      </c>
      <c r="D117" s="23" t="n">
        <v>1</v>
      </c>
      <c r="E117" s="23" t="s">
        <v>407</v>
      </c>
      <c r="F117" s="23" t="s">
        <v>249</v>
      </c>
      <c r="G117" s="23" t="s">
        <v>409</v>
      </c>
    </row>
    <row r="118" customFormat="false" ht="15" hidden="false" customHeight="false" outlineLevel="0" collapsed="false">
      <c r="A118" s="23" t="s">
        <v>665</v>
      </c>
      <c r="B118" s="23" t="s">
        <v>520</v>
      </c>
      <c r="C118" s="23" t="s">
        <v>666</v>
      </c>
      <c r="D118" s="23" t="n">
        <v>2</v>
      </c>
      <c r="E118" s="23" t="s">
        <v>407</v>
      </c>
      <c r="F118" s="23" t="s">
        <v>249</v>
      </c>
      <c r="G118" s="23" t="s">
        <v>409</v>
      </c>
    </row>
    <row r="119" customFormat="false" ht="15" hidden="false" customHeight="false" outlineLevel="0" collapsed="false">
      <c r="A119" s="23" t="s">
        <v>667</v>
      </c>
      <c r="B119" s="23" t="s">
        <v>520</v>
      </c>
      <c r="C119" s="23" t="s">
        <v>668</v>
      </c>
      <c r="D119" s="23" t="n">
        <v>1</v>
      </c>
      <c r="E119" s="23" t="s">
        <v>407</v>
      </c>
      <c r="F119" s="23" t="s">
        <v>249</v>
      </c>
      <c r="G119" s="23" t="s">
        <v>409</v>
      </c>
    </row>
    <row r="120" customFormat="false" ht="15" hidden="false" customHeight="false" outlineLevel="0" collapsed="false">
      <c r="A120" s="23" t="s">
        <v>669</v>
      </c>
      <c r="B120" s="23" t="s">
        <v>405</v>
      </c>
      <c r="C120" s="23" t="s">
        <v>670</v>
      </c>
      <c r="D120" s="23" t="n">
        <v>1</v>
      </c>
      <c r="E120" s="23" t="s">
        <v>407</v>
      </c>
      <c r="F120" s="23" t="s">
        <v>249</v>
      </c>
      <c r="G120" s="23" t="s">
        <v>409</v>
      </c>
    </row>
    <row r="121" customFormat="false" ht="15" hidden="false" customHeight="false" outlineLevel="0" collapsed="false">
      <c r="A121" s="23" t="s">
        <v>671</v>
      </c>
      <c r="B121" s="23" t="s">
        <v>405</v>
      </c>
      <c r="C121" s="23" t="s">
        <v>672</v>
      </c>
      <c r="D121" s="23" t="n">
        <v>1</v>
      </c>
      <c r="E121" s="23" t="s">
        <v>407</v>
      </c>
      <c r="F121" s="23" t="s">
        <v>249</v>
      </c>
      <c r="G121" s="23" t="s">
        <v>409</v>
      </c>
    </row>
    <row r="122" customFormat="false" ht="15" hidden="false" customHeight="false" outlineLevel="0" collapsed="false">
      <c r="A122" s="23" t="s">
        <v>673</v>
      </c>
      <c r="B122" s="23" t="s">
        <v>569</v>
      </c>
      <c r="C122" s="23" t="s">
        <v>674</v>
      </c>
      <c r="D122" s="23" t="n">
        <v>1</v>
      </c>
      <c r="E122" s="23" t="s">
        <v>407</v>
      </c>
      <c r="F122" s="23" t="s">
        <v>249</v>
      </c>
      <c r="G122" s="23" t="s">
        <v>409</v>
      </c>
    </row>
    <row r="123" customFormat="false" ht="15" hidden="false" customHeight="false" outlineLevel="0" collapsed="false">
      <c r="A123" s="23" t="s">
        <v>675</v>
      </c>
      <c r="B123" s="23" t="s">
        <v>432</v>
      </c>
      <c r="C123" s="23" t="s">
        <v>676</v>
      </c>
      <c r="D123" s="23" t="n">
        <v>1</v>
      </c>
      <c r="E123" s="23" t="s">
        <v>407</v>
      </c>
      <c r="F123" s="23" t="s">
        <v>249</v>
      </c>
      <c r="G123" s="23" t="s">
        <v>409</v>
      </c>
    </row>
    <row r="124" customFormat="false" ht="15" hidden="false" customHeight="false" outlineLevel="0" collapsed="false">
      <c r="A124" s="23" t="s">
        <v>677</v>
      </c>
      <c r="B124" s="23" t="s">
        <v>520</v>
      </c>
      <c r="C124" s="23" t="s">
        <v>678</v>
      </c>
      <c r="D124" s="23" t="n">
        <v>1</v>
      </c>
      <c r="E124" s="23" t="s">
        <v>407</v>
      </c>
      <c r="F124" s="23" t="s">
        <v>249</v>
      </c>
      <c r="G124" s="23" t="s">
        <v>409</v>
      </c>
    </row>
    <row r="125" customFormat="false" ht="15" hidden="false" customHeight="false" outlineLevel="0" collapsed="false">
      <c r="A125" s="23" t="s">
        <v>679</v>
      </c>
      <c r="B125" s="23" t="s">
        <v>602</v>
      </c>
      <c r="C125" s="23" t="s">
        <v>680</v>
      </c>
      <c r="D125" s="23" t="n">
        <v>1</v>
      </c>
      <c r="E125" s="23" t="s">
        <v>407</v>
      </c>
      <c r="F125" s="23" t="s">
        <v>249</v>
      </c>
      <c r="G125" s="23" t="s">
        <v>409</v>
      </c>
    </row>
    <row r="126" customFormat="false" ht="15" hidden="false" customHeight="false" outlineLevel="0" collapsed="false">
      <c r="A126" s="23" t="s">
        <v>681</v>
      </c>
      <c r="B126" s="23" t="s">
        <v>520</v>
      </c>
      <c r="C126" s="23" t="s">
        <v>682</v>
      </c>
      <c r="D126" s="23" t="n">
        <v>1</v>
      </c>
      <c r="E126" s="23" t="s">
        <v>407</v>
      </c>
      <c r="F126" s="23" t="s">
        <v>249</v>
      </c>
      <c r="G126" s="23" t="s">
        <v>409</v>
      </c>
    </row>
    <row r="127" customFormat="false" ht="15" hidden="false" customHeight="false" outlineLevel="0" collapsed="false">
      <c r="A127" s="23" t="s">
        <v>683</v>
      </c>
      <c r="B127" s="23" t="s">
        <v>551</v>
      </c>
      <c r="C127" s="23" t="s">
        <v>684</v>
      </c>
      <c r="D127" s="23" t="n">
        <v>2</v>
      </c>
      <c r="E127" s="23" t="s">
        <v>407</v>
      </c>
      <c r="F127" s="23" t="s">
        <v>249</v>
      </c>
      <c r="G127" s="23" t="s">
        <v>685</v>
      </c>
    </row>
    <row r="128" customFormat="false" ht="15" hidden="false" customHeight="false" outlineLevel="0" collapsed="false">
      <c r="A128" s="23" t="s">
        <v>686</v>
      </c>
      <c r="B128" s="23" t="s">
        <v>405</v>
      </c>
      <c r="C128" s="23" t="s">
        <v>687</v>
      </c>
      <c r="D128" s="23" t="n">
        <v>1</v>
      </c>
      <c r="E128" s="23" t="s">
        <v>407</v>
      </c>
      <c r="F128" s="23" t="s">
        <v>243</v>
      </c>
      <c r="G128" s="23" t="s">
        <v>409</v>
      </c>
    </row>
    <row r="129" customFormat="false" ht="15" hidden="false" customHeight="false" outlineLevel="0" collapsed="false">
      <c r="A129" s="23" t="s">
        <v>688</v>
      </c>
      <c r="B129" s="23" t="s">
        <v>432</v>
      </c>
      <c r="C129" s="23" t="s">
        <v>689</v>
      </c>
      <c r="D129" s="23" t="n">
        <v>8</v>
      </c>
      <c r="E129" s="23" t="s">
        <v>407</v>
      </c>
      <c r="F129" s="23" t="s">
        <v>690</v>
      </c>
      <c r="G129" s="23" t="s">
        <v>598</v>
      </c>
    </row>
    <row r="130" customFormat="false" ht="15" hidden="false" customHeight="false" outlineLevel="0" collapsed="false">
      <c r="A130" s="23" t="s">
        <v>691</v>
      </c>
      <c r="B130" s="23" t="s">
        <v>432</v>
      </c>
      <c r="C130" s="23" t="s">
        <v>692</v>
      </c>
      <c r="D130" s="23" t="n">
        <v>3</v>
      </c>
      <c r="E130" s="23" t="s">
        <v>407</v>
      </c>
      <c r="F130" s="23" t="s">
        <v>690</v>
      </c>
      <c r="G130" s="23" t="s">
        <v>598</v>
      </c>
    </row>
    <row r="131" customFormat="false" ht="15" hidden="false" customHeight="false" outlineLevel="0" collapsed="false">
      <c r="A131" s="23" t="s">
        <v>693</v>
      </c>
      <c r="B131" s="23" t="s">
        <v>619</v>
      </c>
      <c r="C131" s="23" t="s">
        <v>694</v>
      </c>
      <c r="D131" s="23" t="n">
        <v>2</v>
      </c>
      <c r="E131" s="23" t="s">
        <v>407</v>
      </c>
      <c r="F131" s="23" t="s">
        <v>690</v>
      </c>
      <c r="G131" s="23" t="s">
        <v>598</v>
      </c>
    </row>
    <row r="132" customFormat="false" ht="15" hidden="false" customHeight="false" outlineLevel="0" collapsed="false">
      <c r="A132" s="23" t="s">
        <v>695</v>
      </c>
      <c r="B132" s="23" t="s">
        <v>602</v>
      </c>
      <c r="C132" s="23" t="s">
        <v>696</v>
      </c>
      <c r="D132" s="23" t="n">
        <v>3</v>
      </c>
      <c r="E132" s="23" t="s">
        <v>414</v>
      </c>
      <c r="F132" s="23" t="s">
        <v>182</v>
      </c>
      <c r="G132" s="23" t="s">
        <v>598</v>
      </c>
    </row>
    <row r="133" customFormat="false" ht="15" hidden="false" customHeight="false" outlineLevel="0" collapsed="false">
      <c r="A133" s="23" t="s">
        <v>697</v>
      </c>
      <c r="B133" s="23" t="s">
        <v>569</v>
      </c>
      <c r="C133" s="23" t="s">
        <v>698</v>
      </c>
      <c r="D133" s="23" t="n">
        <v>1</v>
      </c>
      <c r="E133" s="23" t="s">
        <v>426</v>
      </c>
      <c r="F133" s="23" t="s">
        <v>153</v>
      </c>
      <c r="G133" s="23" t="s">
        <v>598</v>
      </c>
    </row>
    <row r="135" customFormat="false" ht="15" hidden="false" customHeight="false" outlineLevel="0" collapsed="false">
      <c r="A135" s="24" t="s">
        <v>699</v>
      </c>
      <c r="B135" s="24"/>
      <c r="C135" s="24"/>
      <c r="D135" s="24"/>
      <c r="E135" s="24"/>
      <c r="F135" s="24"/>
      <c r="G135" s="24"/>
    </row>
  </sheetData>
  <mergeCells count="1">
    <mergeCell ref="A135:G1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700</v>
      </c>
    </row>
    <row r="3" customFormat="false" ht="15" hidden="false" customHeight="true" outlineLevel="0" collapsed="false">
      <c r="A3" s="3" t="s">
        <v>126</v>
      </c>
      <c r="B3" s="3" t="s">
        <v>701</v>
      </c>
      <c r="C3" s="3" t="s">
        <v>702</v>
      </c>
      <c r="D3" s="3" t="s">
        <v>402</v>
      </c>
      <c r="E3" s="3" t="s">
        <v>409</v>
      </c>
      <c r="F3" s="3" t="s">
        <v>703</v>
      </c>
    </row>
    <row r="4" customFormat="false" ht="31.5" hidden="false" customHeight="true" outlineLevel="0" collapsed="false">
      <c r="A4" s="4" t="s">
        <v>704</v>
      </c>
      <c r="B4" s="4" t="s">
        <v>705</v>
      </c>
      <c r="C4" s="4" t="n">
        <f aca="false">COUNTIF(Full_Backlog!F4:F133,"S0")</f>
        <v>0</v>
      </c>
      <c r="D4" s="4" t="n">
        <f aca="false">SUMIF(Full_Backlog!F4:F133,"S0",Full_Backlog!D4:D133)</f>
        <v>0</v>
      </c>
      <c r="E4" s="4" t="n">
        <f aca="false">COUNTIFS(Full_Backlog!F4:F133,"S0",Full_Backlog!G4:G133,"Done")</f>
        <v>0</v>
      </c>
      <c r="F4" s="4" t="s">
        <v>706</v>
      </c>
    </row>
    <row r="5" customFormat="false" ht="31.5" hidden="false" customHeight="true" outlineLevel="0" collapsed="false">
      <c r="A5" s="4" t="s">
        <v>522</v>
      </c>
      <c r="B5" s="4" t="s">
        <v>707</v>
      </c>
      <c r="C5" s="4" t="n">
        <f aca="false">COUNTIF(Full_Backlog!F4:F133,"S1")</f>
        <v>4</v>
      </c>
      <c r="D5" s="4" t="n">
        <f aca="false">SUMIF(Full_Backlog!F4:F133,"S1",Full_Backlog!D4:D133)</f>
        <v>13</v>
      </c>
      <c r="E5" s="4" t="n">
        <f aca="false">COUNTIFS(Full_Backlog!F4:F133,"S1",Full_Backlog!G4:G133,"Done")</f>
        <v>1</v>
      </c>
      <c r="F5" s="4" t="s">
        <v>708</v>
      </c>
    </row>
    <row r="6" customFormat="false" ht="31.5" hidden="false" customHeight="true" outlineLevel="0" collapsed="false">
      <c r="A6" s="4" t="s">
        <v>408</v>
      </c>
      <c r="B6" s="4" t="s">
        <v>709</v>
      </c>
      <c r="C6" s="4" t="n">
        <f aca="false">COUNTIF(Full_Backlog!F4:F133,"S2")</f>
        <v>6</v>
      </c>
      <c r="D6" s="4" t="n">
        <f aca="false">SUMIF(Full_Backlog!F4:F133,"S2",Full_Backlog!D4:D133)</f>
        <v>29</v>
      </c>
      <c r="E6" s="4" t="n">
        <f aca="false">COUNTIFS(Full_Backlog!F4:F133,"S2",Full_Backlog!G4:G133,"Done")</f>
        <v>6</v>
      </c>
      <c r="F6" s="4" t="s">
        <v>710</v>
      </c>
    </row>
    <row r="7" customFormat="false" ht="31.5" hidden="false" customHeight="true" outlineLevel="0" collapsed="false">
      <c r="A7" s="4" t="s">
        <v>419</v>
      </c>
      <c r="B7" s="4" t="s">
        <v>711</v>
      </c>
      <c r="C7" s="4" t="n">
        <f aca="false">COUNTIF(Full_Backlog!F4:F133,"S3")</f>
        <v>11</v>
      </c>
      <c r="D7" s="4" t="n">
        <f aca="false">SUMIF(Full_Backlog!F4:F133,"S3",Full_Backlog!D4:D133)</f>
        <v>47</v>
      </c>
      <c r="E7" s="4" t="n">
        <f aca="false">COUNTIFS(Full_Backlog!F4:F133,"S3",Full_Backlog!G4:G133,"Done")</f>
        <v>11</v>
      </c>
      <c r="F7" s="4" t="s">
        <v>712</v>
      </c>
    </row>
    <row r="8" customFormat="false" ht="31.5" hidden="false" customHeight="true" outlineLevel="0" collapsed="false">
      <c r="A8" s="4" t="s">
        <v>442</v>
      </c>
      <c r="B8" s="4" t="s">
        <v>713</v>
      </c>
      <c r="C8" s="4" t="n">
        <f aca="false">COUNTIF(Full_Backlog!F4:F133,"S4")</f>
        <v>9</v>
      </c>
      <c r="D8" s="4" t="n">
        <f aca="false">SUMIF(Full_Backlog!F4:F133,"S4",Full_Backlog!D4:D133)</f>
        <v>34</v>
      </c>
      <c r="E8" s="4" t="n">
        <f aca="false">COUNTIFS(Full_Backlog!F4:F133,"S4",Full_Backlog!G4:G133,"Done")</f>
        <v>9</v>
      </c>
      <c r="F8" s="4" t="s">
        <v>714</v>
      </c>
    </row>
    <row r="9" customFormat="false" ht="31.5" hidden="false" customHeight="true" outlineLevel="0" collapsed="false">
      <c r="A9" s="4" t="s">
        <v>456</v>
      </c>
      <c r="B9" s="4" t="s">
        <v>715</v>
      </c>
      <c r="C9" s="4" t="n">
        <f aca="false">COUNTIF(Full_Backlog!F4:F133,"S5")</f>
        <v>12</v>
      </c>
      <c r="D9" s="4" t="n">
        <f aca="false">SUMIF(Full_Backlog!F4:F133,"S5",Full_Backlog!D4:D133)</f>
        <v>50</v>
      </c>
      <c r="E9" s="4" t="n">
        <f aca="false">COUNTIFS(Full_Backlog!F4:F133,"S5",Full_Backlog!G4:G133,"Done")</f>
        <v>12</v>
      </c>
      <c r="F9" s="4" t="s">
        <v>716</v>
      </c>
    </row>
    <row r="10" customFormat="false" ht="31.5" hidden="false" customHeight="true" outlineLevel="0" collapsed="false">
      <c r="A10" s="4" t="s">
        <v>478</v>
      </c>
      <c r="B10" s="4" t="s">
        <v>717</v>
      </c>
      <c r="C10" s="4" t="n">
        <f aca="false">COUNTIF(Full_Backlog!F4:F133,"S6")</f>
        <v>13</v>
      </c>
      <c r="D10" s="4" t="n">
        <f aca="false">SUMIF(Full_Backlog!F4:F133,"S6",Full_Backlog!D4:D133)</f>
        <v>60</v>
      </c>
      <c r="E10" s="4" t="n">
        <f aca="false">COUNTIFS(Full_Backlog!F4:F133,"S6",Full_Backlog!G4:G133,"Done")</f>
        <v>12</v>
      </c>
      <c r="F10" s="4" t="s">
        <v>718</v>
      </c>
    </row>
    <row r="11" customFormat="false" ht="31.5" hidden="false" customHeight="true" outlineLevel="0" collapsed="false">
      <c r="A11" s="4" t="s">
        <v>543</v>
      </c>
      <c r="B11" s="4" t="s">
        <v>719</v>
      </c>
      <c r="C11" s="4" t="n">
        <f aca="false">COUNTIF(Full_Backlog!F4:F133,"S7")</f>
        <v>5</v>
      </c>
      <c r="D11" s="4" t="n">
        <f aca="false">SUMIF(Full_Backlog!F4:F133,"S7",Full_Backlog!D4:D133)</f>
        <v>15</v>
      </c>
      <c r="E11" s="4" t="n">
        <f aca="false">COUNTIFS(Full_Backlog!F4:F133,"S7",Full_Backlog!G4:G133,"Done")</f>
        <v>5</v>
      </c>
      <c r="F11" s="4" t="s">
        <v>720</v>
      </c>
    </row>
    <row r="12" customFormat="false" ht="31.5" hidden="false" customHeight="true" outlineLevel="0" collapsed="false">
      <c r="A12" s="4" t="s">
        <v>500</v>
      </c>
      <c r="B12" s="4" t="s">
        <v>721</v>
      </c>
      <c r="C12" s="4" t="n">
        <f aca="false">COUNTIF(Full_Backlog!F4:F133,"S8")</f>
        <v>22</v>
      </c>
      <c r="D12" s="4" t="n">
        <f aca="false">SUMIF(Full_Backlog!F4:F133,"S8",Full_Backlog!D4:D133)</f>
        <v>87</v>
      </c>
      <c r="E12" s="4" t="n">
        <f aca="false">COUNTIFS(Full_Backlog!F4:F133,"S8",Full_Backlog!G4:G133,"Done")</f>
        <v>18</v>
      </c>
      <c r="F12" s="4" t="s">
        <v>722</v>
      </c>
    </row>
    <row r="13" customFormat="false" ht="31.5" hidden="false" customHeight="true" outlineLevel="0" collapsed="false">
      <c r="A13" s="4" t="s">
        <v>562</v>
      </c>
      <c r="B13" s="4" t="s">
        <v>723</v>
      </c>
      <c r="C13" s="4" t="n">
        <f aca="false">COUNTIF(Full_Backlog!F4:F133,"S9")</f>
        <v>7</v>
      </c>
      <c r="D13" s="4" t="n">
        <f aca="false">SUMIF(Full_Backlog!F4:F133,"S9",Full_Backlog!D4:D133)</f>
        <v>30</v>
      </c>
      <c r="E13" s="4" t="n">
        <f aca="false">COUNTIFS(Full_Backlog!F4:F133,"S9",Full_Backlog!G4:G133,"Done")</f>
        <v>2</v>
      </c>
      <c r="F13" s="4" t="s">
        <v>724</v>
      </c>
    </row>
    <row r="14" customFormat="false" ht="31.5" hidden="false" customHeight="true" outlineLevel="0" collapsed="false">
      <c r="A14" s="4" t="s">
        <v>590</v>
      </c>
      <c r="B14" s="4" t="s">
        <v>725</v>
      </c>
      <c r="C14" s="4" t="n">
        <f aca="false">COUNTIF(Full_Backlog!F4:F133,"S10")</f>
        <v>7</v>
      </c>
      <c r="D14" s="4" t="n">
        <f aca="false">SUMIF(Full_Backlog!F4:F133,"S10",Full_Backlog!D4:D133)</f>
        <v>24</v>
      </c>
      <c r="E14" s="4" t="n">
        <f aca="false">COUNTIFS(Full_Backlog!F4:F133,"S10",Full_Backlog!G4:G133,"Done")</f>
        <v>0</v>
      </c>
      <c r="F14" s="4" t="s">
        <v>726</v>
      </c>
    </row>
    <row r="15" customFormat="false" ht="31.5" hidden="false" customHeight="true" outlineLevel="0" collapsed="false">
      <c r="A15" s="4" t="s">
        <v>595</v>
      </c>
      <c r="B15" s="4" t="s">
        <v>727</v>
      </c>
      <c r="C15" s="4" t="n">
        <f aca="false">COUNTIF(Full_Backlog!F4:F133,"S11")</f>
        <v>3</v>
      </c>
      <c r="D15" s="4" t="n">
        <f aca="false">SUMIF(Full_Backlog!F4:F133,"S11",Full_Backlog!D4:D133)</f>
        <v>8</v>
      </c>
      <c r="E15" s="4" t="n">
        <f aca="false">COUNTIFS(Full_Backlog!F4:F133,"S11",Full_Backlog!G4:G133,"Done")</f>
        <v>1</v>
      </c>
      <c r="F15" s="4" t="s">
        <v>728</v>
      </c>
    </row>
    <row r="16" customFormat="false" ht="31.5" hidden="false" customHeight="true" outlineLevel="0" collapsed="false">
      <c r="A16" s="4" t="s">
        <v>633</v>
      </c>
      <c r="B16" s="4" t="s">
        <v>729</v>
      </c>
      <c r="C16" s="4" t="n">
        <f aca="false">COUNTIF(Full_Backlog!F4:F133,"S12")</f>
        <v>1</v>
      </c>
      <c r="D16" s="4" t="n">
        <f aca="false">SUMIF(Full_Backlog!F4:F133,"S12",Full_Backlog!D4:D133)</f>
        <v>2</v>
      </c>
      <c r="E16" s="4" t="n">
        <f aca="false">COUNTIFS(Full_Backlog!F4:F133,"S12",Full_Backlog!G4:G133,"Done")</f>
        <v>0</v>
      </c>
      <c r="F16" s="4" t="s">
        <v>730</v>
      </c>
    </row>
    <row r="17" customFormat="false" ht="15" hidden="false" customHeight="true" outlineLevel="0" collapsed="false">
      <c r="A17" s="23" t="s">
        <v>237</v>
      </c>
      <c r="B17" s="23" t="s">
        <v>731</v>
      </c>
      <c r="C17" s="23" t="n">
        <f aca="false">COUNTIF(Full_Backlog!F4:F133,"PX-S0")</f>
        <v>7</v>
      </c>
      <c r="D17" s="23" t="n">
        <f aca="false">SUMIF(Full_Backlog!F4:F133,"PX-S0",Full_Backlog!D4:D133)</f>
        <v>13</v>
      </c>
      <c r="E17" s="23" t="n">
        <f aca="false">COUNTIFS(Full_Backlog!F4:F133,"PX-S0",Full_Backlog!G4:G133,"Done")+COUNTIFS(Full_Backlog!F4:F133,"PX-S0",Full_Backlog!G4:G133,"Done — *")</f>
        <v>7</v>
      </c>
      <c r="F17" s="23" t="s">
        <v>732</v>
      </c>
    </row>
    <row r="18" customFormat="false" ht="27.75" hidden="false" customHeight="true" outlineLevel="0" collapsed="false">
      <c r="A18" s="23" t="s">
        <v>243</v>
      </c>
      <c r="B18" s="23" t="s">
        <v>733</v>
      </c>
      <c r="C18" s="23" t="n">
        <f aca="false">COUNTIF(Full_Backlog!F4:F133,"PX-S1")</f>
        <v>7</v>
      </c>
      <c r="D18" s="23" t="n">
        <f aca="false">SUMIF(Full_Backlog!F4:F133,"PX-S1",Full_Backlog!D4:D133)</f>
        <v>7</v>
      </c>
      <c r="E18" s="23" t="n">
        <f aca="false">COUNTIFS(Full_Backlog!F4:F133,"PX-S1",Full_Backlog!G4:G133,"Done")+COUNTIFS(Full_Backlog!F4:F133,"PX-S1",Full_Backlog!G4:G133,"Done — *")</f>
        <v>7</v>
      </c>
      <c r="F18" s="23" t="s">
        <v>734</v>
      </c>
    </row>
    <row r="19" customFormat="false" ht="15" hidden="false" customHeight="false" outlineLevel="0" collapsed="false">
      <c r="A19" s="23" t="s">
        <v>249</v>
      </c>
      <c r="B19" s="23" t="s">
        <v>735</v>
      </c>
      <c r="C19" s="23" t="n">
        <f aca="false">COUNTIF(Full_Backlog!F4:F133,"PX-S2")</f>
        <v>11</v>
      </c>
      <c r="D19" s="23" t="n">
        <f aca="false">SUMIF(Full_Backlog!F4:F133,"PX-S2",Full_Backlog!D4:D133)</f>
        <v>13</v>
      </c>
      <c r="E19" s="23" t="n">
        <f aca="false">COUNTIFS(Full_Backlog!F4:F133,"PX-S2",Full_Backlog!G4:G133,"Done")+COUNTIFS(Full_Backlog!F4:F133,"PX-S2",Full_Backlog!G4:G133,"Done — *")</f>
        <v>11</v>
      </c>
      <c r="F19" s="23" t="s">
        <v>736</v>
      </c>
    </row>
    <row r="20" customFormat="false" ht="15" hidden="false" customHeight="false" outlineLevel="0" collapsed="false">
      <c r="A20" s="23" t="s">
        <v>690</v>
      </c>
      <c r="B20" s="23" t="s">
        <v>737</v>
      </c>
      <c r="C20" s="23" t="n">
        <f aca="false">COUNTIF(Full_Backlog!F4:F133,"PX-S3")</f>
        <v>3</v>
      </c>
      <c r="D20" s="23" t="n">
        <f aca="false">SUMIF(Full_Backlog!F4:F133,"PX-S3",Full_Backlog!D4:D133)</f>
        <v>13</v>
      </c>
      <c r="E20" s="23" t="n">
        <f aca="false">COUNTIFS(Full_Backlog!F4:F133,"PX-S3",Full_Backlog!G4:G133,"Done")+COUNTIFS(Full_Backlog!F4:F133,"PX-S3",Full_Backlog!G4:G133,"Done — *")</f>
        <v>0</v>
      </c>
      <c r="F20" s="23" t="s">
        <v>738</v>
      </c>
    </row>
    <row r="21" customFormat="false" ht="15" hidden="false" customHeight="false" outlineLevel="0" collapsed="false">
      <c r="A21" s="23" t="s">
        <v>153</v>
      </c>
      <c r="B21" s="23" t="s">
        <v>739</v>
      </c>
      <c r="C21" s="23" t="n">
        <f aca="false">COUNTIF(Full_Backlog!F4:F133,"S38")</f>
        <v>1</v>
      </c>
      <c r="D21" s="23" t="n">
        <f aca="false">SUMIF(Full_Backlog!F4:F133,"S38",Full_Backlog!D4:D133)</f>
        <v>1</v>
      </c>
      <c r="E21" s="23" t="n">
        <f aca="false">COUNTIFS(Full_Backlog!F4:F133,"S38",Full_Backlog!G4:G133,"Done")+COUNTIFS(Full_Backlog!F4:F133,"S38",Full_Backlog!G4:G133,"Done — *")</f>
        <v>0</v>
      </c>
      <c r="F21" s="23" t="s">
        <v>740</v>
      </c>
    </row>
    <row r="22" customFormat="false" ht="15" hidden="false" customHeight="false" outlineLevel="0" collapsed="false">
      <c r="A22" s="23" t="s">
        <v>182</v>
      </c>
      <c r="B22" s="23" t="s">
        <v>741</v>
      </c>
      <c r="C22" s="23" t="n">
        <f aca="false">COUNTIF(Full_Backlog!F4:F133,"S42")</f>
        <v>1</v>
      </c>
      <c r="D22" s="23" t="n">
        <f aca="false">SUMIF(Full_Backlog!F4:F133,"S42",Full_Backlog!D4:D133)</f>
        <v>3</v>
      </c>
      <c r="E22" s="23" t="n">
        <f aca="false">COUNTIFS(Full_Backlog!F4:F133,"S42",Full_Backlog!G4:G133,"Done")+COUNTIFS(Full_Backlog!F4:F133,"S42",Full_Backlog!G4:G133,"Done — *")</f>
        <v>0</v>
      </c>
      <c r="F22" s="23" t="s">
        <v>742</v>
      </c>
    </row>
    <row r="23" customFormat="false" ht="15" hidden="false" customHeight="false" outlineLevel="0" collapsed="false">
      <c r="A23" s="23"/>
      <c r="B23" s="23" t="s">
        <v>743</v>
      </c>
      <c r="C23" s="23" t="n">
        <f aca="false">SUM(C4:C22)</f>
        <v>130</v>
      </c>
      <c r="D23" s="23" t="n">
        <f aca="false">SUM(D4:D22)</f>
        <v>449</v>
      </c>
      <c r="E23" s="23" t="n">
        <f aca="false">SUM(E4:E22)</f>
        <v>102</v>
      </c>
      <c r="F23" s="23"/>
    </row>
    <row r="24" customFormat="false" ht="15" hidden="false" customHeight="false" outlineLevel="0" collapsed="false">
      <c r="B24" s="24" t="s">
        <v>744</v>
      </c>
      <c r="C24" s="24"/>
      <c r="D24" s="24"/>
      <c r="E24" s="24"/>
      <c r="F24" s="24"/>
    </row>
  </sheetData>
  <mergeCells count="1">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745</v>
      </c>
    </row>
    <row r="3" customFormat="false" ht="15" hidden="false" customHeight="true" outlineLevel="0" collapsed="false">
      <c r="A3" s="3" t="s">
        <v>746</v>
      </c>
      <c r="B3" s="3" t="s">
        <v>747</v>
      </c>
    </row>
    <row r="4" customFormat="false" ht="15" hidden="false" customHeight="true" outlineLevel="0" collapsed="false">
      <c r="A4" s="5" t="s">
        <v>748</v>
      </c>
      <c r="B4" s="5" t="n">
        <v>55</v>
      </c>
    </row>
    <row r="5" customFormat="false" ht="15" hidden="false" customHeight="true" outlineLevel="0" collapsed="false">
      <c r="A5" s="5" t="s">
        <v>749</v>
      </c>
      <c r="B5" s="5" t="n">
        <v>0.12</v>
      </c>
    </row>
    <row r="6" customFormat="false" ht="15" hidden="false" customHeight="true" outlineLevel="0" collapsed="false">
      <c r="A6" s="5" t="s">
        <v>750</v>
      </c>
      <c r="B6" s="5" t="n">
        <v>0.12</v>
      </c>
    </row>
    <row r="7" customFormat="false" ht="15" hidden="false" customHeight="true" outlineLevel="0" collapsed="false">
      <c r="A7" s="5" t="s">
        <v>751</v>
      </c>
      <c r="B7" s="5" t="n">
        <v>99</v>
      </c>
    </row>
    <row r="8" customFormat="false" ht="15" hidden="false" customHeight="true" outlineLevel="0" collapsed="false">
      <c r="A8" s="5" t="s">
        <v>752</v>
      </c>
      <c r="B8" s="5" t="n">
        <v>0.035</v>
      </c>
    </row>
    <row r="9" customFormat="false" ht="15" hidden="false" customHeight="true" outlineLevel="0" collapsed="false">
      <c r="A9" s="5" t="s">
        <v>753</v>
      </c>
      <c r="B9" s="5" t="n">
        <v>0</v>
      </c>
    </row>
    <row r="10" customFormat="false" ht="15" hidden="false" customHeight="true" outlineLevel="0" collapsed="false">
      <c r="A10" s="5" t="s">
        <v>754</v>
      </c>
      <c r="B10" s="5" t="n">
        <v>18000</v>
      </c>
    </row>
    <row r="11" customFormat="false" ht="15" hidden="false" customHeight="true" outlineLevel="0" collapsed="false">
      <c r="A11" s="5" t="s">
        <v>755</v>
      </c>
      <c r="B11" s="5" t="n">
        <v>0.03</v>
      </c>
    </row>
    <row r="12" customFormat="false" ht="15" hidden="false" customHeight="true" outlineLevel="0" collapsed="false">
      <c r="A12" s="6" t="s">
        <v>756</v>
      </c>
    </row>
    <row r="14" customFormat="false" ht="15" hidden="false" customHeight="true" outlineLevel="0" collapsed="false">
      <c r="A14" s="3" t="s">
        <v>757</v>
      </c>
      <c r="B14" s="3" t="s">
        <v>758</v>
      </c>
      <c r="C14" s="3" t="s">
        <v>759</v>
      </c>
      <c r="D14" s="3" t="s">
        <v>760</v>
      </c>
      <c r="E14" s="3" t="s">
        <v>761</v>
      </c>
      <c r="F14" s="3" t="s">
        <v>762</v>
      </c>
      <c r="G14" s="3" t="s">
        <v>763</v>
      </c>
      <c r="H14" s="3" t="s">
        <v>764</v>
      </c>
      <c r="I14" s="3" t="s">
        <v>765</v>
      </c>
      <c r="J14" s="3" t="s">
        <v>766</v>
      </c>
      <c r="K14" s="3" t="s">
        <v>767</v>
      </c>
      <c r="L14" s="3" t="s">
        <v>768</v>
      </c>
      <c r="M14" s="3" t="s">
        <v>769</v>
      </c>
      <c r="N14" s="3" t="s">
        <v>770</v>
      </c>
      <c r="O14" s="3" t="s">
        <v>771</v>
      </c>
      <c r="P14" s="3" t="s">
        <v>772</v>
      </c>
      <c r="Q14" s="3" t="s">
        <v>773</v>
      </c>
      <c r="R14" s="3" t="s">
        <v>774</v>
      </c>
      <c r="S14" s="3" t="s">
        <v>775</v>
      </c>
    </row>
    <row r="15" customFormat="false" ht="15" hidden="false" customHeight="true" outlineLevel="0" collapsed="false">
      <c r="A15" s="25" t="s">
        <v>776</v>
      </c>
      <c r="B15" s="6" t="n">
        <f aca="false">$B$4</f>
        <v>55</v>
      </c>
      <c r="C15" s="6" t="n">
        <f aca="false">B15*(1+$B$5)</f>
        <v>61.6</v>
      </c>
      <c r="D15" s="6" t="n">
        <f aca="false">C15*(1+$B$5)</f>
        <v>68.992</v>
      </c>
      <c r="E15" s="6" t="n">
        <f aca="false">D15*(1+$B$5)</f>
        <v>77.27104</v>
      </c>
      <c r="F15" s="6" t="n">
        <f aca="false">E15*(1+$B$5)</f>
        <v>86.5435648</v>
      </c>
      <c r="G15" s="6" t="n">
        <f aca="false">F15*(1+$B$5)</f>
        <v>96.9287925760001</v>
      </c>
      <c r="H15" s="6" t="n">
        <f aca="false">G15*(1+$B$5)</f>
        <v>108.56024768512</v>
      </c>
      <c r="I15" s="6" t="n">
        <f aca="false">H15*(1+$B$5)</f>
        <v>121.587477407334</v>
      </c>
      <c r="J15" s="6" t="n">
        <f aca="false">I15*(1+$B$5)</f>
        <v>136.177974696215</v>
      </c>
      <c r="K15" s="6" t="n">
        <f aca="false">J15*(1+$B$5)</f>
        <v>152.51933165976</v>
      </c>
      <c r="L15" s="6" t="n">
        <f aca="false">K15*(1+$B$5)</f>
        <v>170.821651458932</v>
      </c>
      <c r="M15" s="6" t="n">
        <f aca="false">L15*(1+$B$5)</f>
        <v>191.320249634003</v>
      </c>
      <c r="N15" s="6" t="n">
        <f aca="false">M15*(1+$B$5)</f>
        <v>214.278679590084</v>
      </c>
      <c r="O15" s="6" t="n">
        <f aca="false">N15*(1+$B$5)</f>
        <v>239.992121140894</v>
      </c>
      <c r="P15" s="6" t="n">
        <f aca="false">O15*(1+$B$5)</f>
        <v>268.791175677801</v>
      </c>
      <c r="Q15" s="6" t="n">
        <f aca="false">P15*(1+$B$5)</f>
        <v>301.046116759138</v>
      </c>
      <c r="R15" s="6" t="n">
        <f aca="false">Q15*(1+$B$5)</f>
        <v>337.171650770234</v>
      </c>
      <c r="S15" s="6" t="n">
        <f aca="false">R15*(1+$B$5)</f>
        <v>377.632248862662</v>
      </c>
    </row>
    <row r="16" customFormat="false" ht="15" hidden="false" customHeight="true" outlineLevel="0" collapsed="false">
      <c r="A16" s="25" t="s">
        <v>777</v>
      </c>
      <c r="B16" s="6" t="n">
        <f aca="false">ROUND(B15*$B$6,1)</f>
        <v>6.6</v>
      </c>
      <c r="C16" s="6" t="n">
        <f aca="false">ROUND(C15*$B$6,1)</f>
        <v>7.4</v>
      </c>
      <c r="D16" s="6" t="n">
        <f aca="false">ROUND(D15*$B$6,1)</f>
        <v>8.3</v>
      </c>
      <c r="E16" s="6" t="n">
        <f aca="false">ROUND(E15*$B$6,1)</f>
        <v>9.3</v>
      </c>
      <c r="F16" s="6" t="n">
        <f aca="false">ROUND(F15*$B$6,1)</f>
        <v>10.4</v>
      </c>
      <c r="G16" s="6" t="n">
        <f aca="false">ROUND(G15*$B$6,1)</f>
        <v>11.6</v>
      </c>
      <c r="H16" s="6" t="n">
        <f aca="false">ROUND(H15*$B$6,1)</f>
        <v>13</v>
      </c>
      <c r="I16" s="6" t="n">
        <f aca="false">ROUND(I15*$B$6,1)</f>
        <v>14.6</v>
      </c>
      <c r="J16" s="6" t="n">
        <f aca="false">ROUND(J15*$B$6,1)</f>
        <v>16.3</v>
      </c>
      <c r="K16" s="6" t="n">
        <f aca="false">ROUND(K15*$B$6,1)</f>
        <v>18.3</v>
      </c>
      <c r="L16" s="6" t="n">
        <f aca="false">ROUND(L15*$B$6,1)</f>
        <v>20.5</v>
      </c>
      <c r="M16" s="6" t="n">
        <f aca="false">ROUND(M15*$B$6,1)</f>
        <v>23</v>
      </c>
      <c r="N16" s="6" t="n">
        <f aca="false">ROUND(N15*$B$6,1)</f>
        <v>25.7</v>
      </c>
      <c r="O16" s="6" t="n">
        <f aca="false">ROUND(O15*$B$6,1)</f>
        <v>28.8</v>
      </c>
      <c r="P16" s="6" t="n">
        <f aca="false">ROUND(P15*$B$6,1)</f>
        <v>32.3</v>
      </c>
      <c r="Q16" s="6" t="n">
        <f aca="false">ROUND(Q15*$B$6,1)</f>
        <v>36.1</v>
      </c>
      <c r="R16" s="6" t="n">
        <f aca="false">ROUND(R15*$B$6,1)</f>
        <v>40.5</v>
      </c>
      <c r="S16" s="6" t="n">
        <f aca="false">ROUND(S15*$B$6,1)</f>
        <v>45.3</v>
      </c>
    </row>
    <row r="17" customFormat="false" ht="15" hidden="false" customHeight="true" outlineLevel="0" collapsed="false">
      <c r="A17" s="25" t="s">
        <v>778</v>
      </c>
      <c r="B17" s="6" t="n">
        <f aca="false">B16</f>
        <v>6.6</v>
      </c>
      <c r="C17" s="6" t="n">
        <f aca="false">ROUND(B17*(1-$B$8)+C16,1)</f>
        <v>13.8</v>
      </c>
      <c r="D17" s="6" t="n">
        <f aca="false">ROUND(C17*(1-$B$8)+D16,1)</f>
        <v>21.6</v>
      </c>
      <c r="E17" s="6" t="n">
        <f aca="false">ROUND(D17*(1-$B$8)+E16,1)</f>
        <v>30.1</v>
      </c>
      <c r="F17" s="6" t="n">
        <f aca="false">ROUND(E17*(1-$B$8)+F16,1)</f>
        <v>39.4</v>
      </c>
      <c r="G17" s="6" t="n">
        <f aca="false">ROUND(F17*(1-$B$8)+G16,1)</f>
        <v>49.6</v>
      </c>
      <c r="H17" s="6" t="n">
        <f aca="false">ROUND(G17*(1-$B$8)+H16,1)</f>
        <v>60.9</v>
      </c>
      <c r="I17" s="6" t="n">
        <f aca="false">ROUND(H17*(1-$B$8)+I16,1)</f>
        <v>73.4</v>
      </c>
      <c r="J17" s="6" t="n">
        <f aca="false">ROUND(I17*(1-$B$8)+J16,1)</f>
        <v>87.1</v>
      </c>
      <c r="K17" s="6" t="n">
        <f aca="false">ROUND(J17*(1-$B$8)+K16,1)</f>
        <v>102.4</v>
      </c>
      <c r="L17" s="6" t="n">
        <f aca="false">ROUND(K17*(1-$B$8)+L16,1)</f>
        <v>119.3</v>
      </c>
      <c r="M17" s="6" t="n">
        <f aca="false">ROUND(L17*(1-$B$8)+M16,1)</f>
        <v>138.1</v>
      </c>
      <c r="N17" s="6" t="n">
        <f aca="false">ROUND(M17*(1-$B$8)+N16,1)</f>
        <v>159</v>
      </c>
      <c r="O17" s="6" t="n">
        <f aca="false">ROUND(N17*(1-$B$8)+O16,1)</f>
        <v>182.2</v>
      </c>
      <c r="P17" s="6" t="n">
        <f aca="false">ROUND(O17*(1-$B$8)+P16,1)</f>
        <v>208.1</v>
      </c>
      <c r="Q17" s="6" t="n">
        <f aca="false">ROUND(P17*(1-$B$8)+Q16,1)</f>
        <v>236.9</v>
      </c>
      <c r="R17" s="6" t="n">
        <f aca="false">ROUND(Q17*(1-$B$8)+R16,1)</f>
        <v>269.1</v>
      </c>
      <c r="S17" s="6" t="n">
        <f aca="false">ROUND(R17*(1-$B$8)+S16,1)</f>
        <v>305</v>
      </c>
    </row>
    <row r="18" customFormat="false" ht="15" hidden="false" customHeight="true" outlineLevel="0" collapsed="false">
      <c r="A18" s="25" t="s">
        <v>779</v>
      </c>
      <c r="B18" s="26" t="n">
        <f aca="false">ROUND(B17*$B$7*(1-$B$9),0)</f>
        <v>653</v>
      </c>
      <c r="C18" s="26" t="n">
        <f aca="false">ROUND(C17*$B$7*(1-$B$9),0)</f>
        <v>1366</v>
      </c>
      <c r="D18" s="26" t="n">
        <f aca="false">ROUND(D17*$B$7*(1-$B$9),0)</f>
        <v>2138</v>
      </c>
      <c r="E18" s="26" t="n">
        <f aca="false">ROUND(E17*$B$7*(1-$B$9),0)</f>
        <v>2980</v>
      </c>
      <c r="F18" s="26" t="n">
        <f aca="false">ROUND(F17*$B$7*(1-$B$9),0)</f>
        <v>3901</v>
      </c>
      <c r="G18" s="26" t="n">
        <f aca="false">ROUND(G17*$B$7*(1-$B$9),0)</f>
        <v>4910</v>
      </c>
      <c r="H18" s="26" t="n">
        <f aca="false">ROUND(H17*$B$7*(1-$B$9),0)</f>
        <v>6029</v>
      </c>
      <c r="I18" s="26" t="n">
        <f aca="false">ROUND(I17*$B$7*(1-$B$9),0)</f>
        <v>7267</v>
      </c>
      <c r="J18" s="26" t="n">
        <f aca="false">ROUND(J17*$B$7*(1-$B$9),0)</f>
        <v>8623</v>
      </c>
      <c r="K18" s="26" t="n">
        <f aca="false">ROUND(K17*$B$7*(1-$B$9),0)</f>
        <v>10138</v>
      </c>
      <c r="L18" s="26" t="n">
        <f aca="false">ROUND(L17*$B$7*(1-$B$9),0)</f>
        <v>11811</v>
      </c>
      <c r="M18" s="26" t="n">
        <f aca="false">ROUND(M17*$B$7*(1-$B$9),0)</f>
        <v>13672</v>
      </c>
      <c r="N18" s="26" t="n">
        <f aca="false">ROUND(N17*$B$7*(1-$B$9),0)</f>
        <v>15741</v>
      </c>
      <c r="O18" s="26" t="n">
        <f aca="false">ROUND(O17*$B$7*(1-$B$9),0)</f>
        <v>18038</v>
      </c>
      <c r="P18" s="26" t="n">
        <f aca="false">ROUND(P17*$B$7*(1-$B$9),0)</f>
        <v>20602</v>
      </c>
      <c r="Q18" s="26" t="n">
        <f aca="false">ROUND(Q17*$B$7*(1-$B$9),0)</f>
        <v>23453</v>
      </c>
      <c r="R18" s="26" t="n">
        <f aca="false">ROUND(R17*$B$7*(1-$B$9),0)</f>
        <v>26641</v>
      </c>
      <c r="S18" s="26" t="n">
        <f aca="false">ROUND(S17*$B$7*(1-$B$9),0)</f>
        <v>30195</v>
      </c>
    </row>
    <row r="19" customFormat="false" ht="15" hidden="false" customHeight="true" outlineLevel="0" collapsed="false">
      <c r="A19" s="25" t="s">
        <v>780</v>
      </c>
      <c r="B19" s="26" t="n">
        <f aca="false">$B$10</f>
        <v>18000</v>
      </c>
      <c r="C19" s="26" t="n">
        <f aca="false">ROUND(B19*(1+$B$11),0)</f>
        <v>18540</v>
      </c>
      <c r="D19" s="26" t="n">
        <f aca="false">ROUND(C19*(1+$B$11),0)</f>
        <v>19096</v>
      </c>
      <c r="E19" s="26" t="n">
        <f aca="false">ROUND(D19*(1+$B$11),0)</f>
        <v>19669</v>
      </c>
      <c r="F19" s="26" t="n">
        <f aca="false">ROUND(E19*(1+$B$11),0)</f>
        <v>20259</v>
      </c>
      <c r="G19" s="26" t="n">
        <f aca="false">ROUND(F19*(1+$B$11),0)</f>
        <v>20867</v>
      </c>
      <c r="H19" s="26" t="n">
        <f aca="false">ROUND(G19*(1+$B$11),0)</f>
        <v>21493</v>
      </c>
      <c r="I19" s="26" t="n">
        <f aca="false">ROUND(H19*(1+$B$11),0)</f>
        <v>22138</v>
      </c>
      <c r="J19" s="26" t="n">
        <f aca="false">ROUND(I19*(1+$B$11),0)</f>
        <v>22802</v>
      </c>
      <c r="K19" s="26" t="n">
        <f aca="false">ROUND(J19*(1+$B$11),0)</f>
        <v>23486</v>
      </c>
      <c r="L19" s="26" t="n">
        <f aca="false">ROUND(K19*(1+$B$11),0)</f>
        <v>24191</v>
      </c>
      <c r="M19" s="26" t="n">
        <f aca="false">ROUND(L19*(1+$B$11),0)</f>
        <v>24917</v>
      </c>
      <c r="N19" s="26" t="n">
        <f aca="false">ROUND(M19*(1+$B$11),0)</f>
        <v>25665</v>
      </c>
      <c r="O19" s="26" t="n">
        <f aca="false">ROUND(N19*(1+$B$11),0)</f>
        <v>26435</v>
      </c>
      <c r="P19" s="26" t="n">
        <f aca="false">ROUND(O19*(1+$B$11),0)</f>
        <v>27228</v>
      </c>
      <c r="Q19" s="26" t="n">
        <f aca="false">ROUND(P19*(1+$B$11),0)</f>
        <v>28045</v>
      </c>
      <c r="R19" s="26" t="n">
        <f aca="false">ROUND(Q19*(1+$B$11),0)</f>
        <v>28886</v>
      </c>
      <c r="S19" s="26" t="n">
        <f aca="false">ROUND(R19*(1+$B$11),0)</f>
        <v>29753</v>
      </c>
    </row>
    <row r="20" customFormat="false" ht="15" hidden="false" customHeight="true" outlineLevel="0" collapsed="false">
      <c r="A20" s="25" t="s">
        <v>781</v>
      </c>
      <c r="B20" s="26" t="n">
        <f aca="false">B18-B19</f>
        <v>-17347</v>
      </c>
      <c r="C20" s="26" t="n">
        <f aca="false">C18-C19</f>
        <v>-17174</v>
      </c>
      <c r="D20" s="26" t="n">
        <f aca="false">D18-D19</f>
        <v>-16958</v>
      </c>
      <c r="E20" s="26" t="n">
        <f aca="false">E18-E19</f>
        <v>-16689</v>
      </c>
      <c r="F20" s="26" t="n">
        <f aca="false">F18-F19</f>
        <v>-16358</v>
      </c>
      <c r="G20" s="26" t="n">
        <f aca="false">G18-G19</f>
        <v>-15957</v>
      </c>
      <c r="H20" s="26" t="n">
        <f aca="false">H18-H19</f>
        <v>-15464</v>
      </c>
      <c r="I20" s="26" t="n">
        <f aca="false">I18-I19</f>
        <v>-14871</v>
      </c>
      <c r="J20" s="26" t="n">
        <f aca="false">J18-J19</f>
        <v>-14179</v>
      </c>
      <c r="K20" s="26" t="n">
        <f aca="false">K18-K19</f>
        <v>-13348</v>
      </c>
      <c r="L20" s="26" t="n">
        <f aca="false">L18-L19</f>
        <v>-12380</v>
      </c>
      <c r="M20" s="26" t="n">
        <f aca="false">M18-M19</f>
        <v>-11245</v>
      </c>
      <c r="N20" s="26" t="n">
        <f aca="false">N18-N19</f>
        <v>-9924</v>
      </c>
      <c r="O20" s="26" t="n">
        <f aca="false">O18-O19</f>
        <v>-8397</v>
      </c>
      <c r="P20" s="26" t="n">
        <f aca="false">P18-P19</f>
        <v>-6626</v>
      </c>
      <c r="Q20" s="26" t="n">
        <f aca="false">Q18-Q19</f>
        <v>-4592</v>
      </c>
      <c r="R20" s="26" t="n">
        <f aca="false">R18-R19</f>
        <v>-2245</v>
      </c>
      <c r="S20" s="26" t="n">
        <f aca="false">S18-S19</f>
        <v>442</v>
      </c>
    </row>
    <row r="21" customFormat="false" ht="15" hidden="false" customHeight="true" outlineLevel="0" collapsed="false">
      <c r="A21" s="25" t="s">
        <v>782</v>
      </c>
      <c r="B21" s="26" t="n">
        <f aca="false">B20</f>
        <v>-17347</v>
      </c>
      <c r="C21" s="26" t="n">
        <f aca="false">B21+C20</f>
        <v>-34521</v>
      </c>
      <c r="D21" s="26" t="n">
        <f aca="false">C21+D20</f>
        <v>-51479</v>
      </c>
      <c r="E21" s="26" t="n">
        <f aca="false">D21+E20</f>
        <v>-68168</v>
      </c>
      <c r="F21" s="26" t="n">
        <f aca="false">E21+F20</f>
        <v>-84526</v>
      </c>
      <c r="G21" s="26" t="n">
        <f aca="false">F21+G20</f>
        <v>-100483</v>
      </c>
      <c r="H21" s="26" t="n">
        <f aca="false">G21+H20</f>
        <v>-115947</v>
      </c>
      <c r="I21" s="26" t="n">
        <f aca="false">H21+I20</f>
        <v>-130818</v>
      </c>
      <c r="J21" s="26" t="n">
        <f aca="false">I21+J20</f>
        <v>-144997</v>
      </c>
      <c r="K21" s="26" t="n">
        <f aca="false">J21+K20</f>
        <v>-158345</v>
      </c>
      <c r="L21" s="26" t="n">
        <f aca="false">K21+L20</f>
        <v>-170725</v>
      </c>
      <c r="M21" s="26" t="n">
        <f aca="false">L21+M20</f>
        <v>-181970</v>
      </c>
      <c r="N21" s="26" t="n">
        <f aca="false">M21+N20</f>
        <v>-191894</v>
      </c>
      <c r="O21" s="26" t="n">
        <f aca="false">N21+O20</f>
        <v>-200291</v>
      </c>
      <c r="P21" s="26" t="n">
        <f aca="false">O21+P20</f>
        <v>-206917</v>
      </c>
      <c r="Q21" s="26" t="n">
        <f aca="false">P21+Q20</f>
        <v>-211509</v>
      </c>
      <c r="R21" s="26" t="n">
        <f aca="false">Q21+R20</f>
        <v>-213754</v>
      </c>
      <c r="S21" s="26" t="n">
        <f aca="false">R21+S20</f>
        <v>-213312</v>
      </c>
    </row>
    <row r="23" customFormat="false" ht="42" hidden="false" customHeight="true" outlineLevel="0" collapsed="false">
      <c r="A23" s="27" t="s">
        <v>783</v>
      </c>
      <c r="B23" s="27"/>
      <c r="C23" s="27"/>
      <c r="D23" s="27"/>
      <c r="E23" s="27"/>
      <c r="F23" s="27"/>
      <c r="G23" s="27"/>
      <c r="H23" s="27"/>
      <c r="I23" s="27"/>
      <c r="J23" s="27"/>
      <c r="K23" s="27"/>
      <c r="L23" s="27"/>
      <c r="M23" s="27"/>
      <c r="N23" s="27"/>
      <c r="O23" s="27"/>
      <c r="P23" s="27"/>
      <c r="Q23" s="27"/>
      <c r="R23" s="27"/>
      <c r="S23" s="27"/>
    </row>
    <row r="25" customFormat="false" ht="15" hidden="false" customHeight="false" outlineLevel="0" collapsed="false">
      <c r="A25" s="28" t="s">
        <v>784</v>
      </c>
    </row>
    <row r="26" customFormat="false" ht="15" hidden="false" customHeight="false" outlineLevel="0" collapsed="false">
      <c r="A26" s="29" t="s">
        <v>785</v>
      </c>
      <c r="B26" s="30" t="str">
        <f aca="false">IFERROR("M"&amp;MATCH(TRUE(),INDEX(B20:S20&gt;=0,0),0),"not within 18 months")</f>
        <v>M18</v>
      </c>
      <c r="C26" s="15" t="s">
        <v>786</v>
      </c>
    </row>
    <row r="27" customFormat="false" ht="15" hidden="false" customHeight="false" outlineLevel="0" collapsed="false">
      <c r="A27" s="29" t="s">
        <v>787</v>
      </c>
      <c r="B27" s="30" t="n">
        <f aca="false">S20</f>
        <v>442</v>
      </c>
      <c r="C27" s="15" t="s">
        <v>788</v>
      </c>
    </row>
    <row r="28" customFormat="false" ht="15" hidden="false" customHeight="false" outlineLevel="0" collapsed="false">
      <c r="A28" s="29" t="s">
        <v>789</v>
      </c>
      <c r="B28" s="30" t="n">
        <f aca="false">S21</f>
        <v>-213312</v>
      </c>
      <c r="C28" s="15" t="s">
        <v>790</v>
      </c>
    </row>
    <row r="29" customFormat="false" ht="15" hidden="false" customHeight="false" outlineLevel="0" collapsed="false">
      <c r="A29" s="29" t="s">
        <v>791</v>
      </c>
      <c r="B29" s="30" t="n">
        <f aca="false">MIN(B21:S21)</f>
        <v>-213754</v>
      </c>
      <c r="C29" s="15"/>
    </row>
    <row r="30" customFormat="false" ht="15" hidden="false" customHeight="false" outlineLevel="0" collapsed="false">
      <c r="A30" s="29" t="s">
        <v>792</v>
      </c>
      <c r="B30" s="30" t="n">
        <f aca="false">S17</f>
        <v>305</v>
      </c>
      <c r="C30" s="15" t="s">
        <v>793</v>
      </c>
    </row>
    <row r="31" customFormat="false" ht="15" hidden="false" customHeight="false" outlineLevel="0" collapsed="false">
      <c r="A31" s="29" t="s">
        <v>794</v>
      </c>
      <c r="B31" s="30" t="n">
        <f aca="false">S18*12</f>
        <v>362340</v>
      </c>
      <c r="C31" s="15" t="s">
        <v>795</v>
      </c>
    </row>
    <row r="32" customFormat="false" ht="15" hidden="false" customHeight="false" outlineLevel="0" collapsed="false">
      <c r="A32" s="29" t="s">
        <v>796</v>
      </c>
      <c r="B32" s="30" t="n">
        <f aca="false">IFERROR(13680/(B7*12),0)</f>
        <v>11.5151515151515</v>
      </c>
      <c r="C32" s="15" t="s">
        <v>797</v>
      </c>
    </row>
    <row r="33" customFormat="false" ht="15" hidden="false" customHeight="false" outlineLevel="0" collapsed="false">
      <c r="A33" s="29" t="s">
        <v>798</v>
      </c>
      <c r="B33" s="30" t="n">
        <f aca="false">IFERROR(33195/(B7*12),0)</f>
        <v>27.9419191919192</v>
      </c>
      <c r="C33" s="15" t="s">
        <v>799</v>
      </c>
    </row>
    <row r="34" customFormat="false" ht="15" hidden="false" customHeight="false" outlineLevel="0" collapsed="false">
      <c r="A34" s="15" t="s">
        <v>800</v>
      </c>
    </row>
    <row r="36" customFormat="false" ht="15" hidden="false" customHeight="false" outlineLevel="0" collapsed="false">
      <c r="A36" s="28" t="s">
        <v>801</v>
      </c>
    </row>
    <row r="37" customFormat="false" ht="15" hidden="false" customHeight="false" outlineLevel="0" collapsed="false">
      <c r="A37" s="1" t="s">
        <v>802</v>
      </c>
      <c r="B37" s="31" t="n">
        <v>0.1</v>
      </c>
    </row>
    <row r="38" customFormat="false" ht="15" hidden="false" customHeight="false" outlineLevel="0" collapsed="false">
      <c r="A38" s="28" t="s">
        <v>757</v>
      </c>
      <c r="B38" s="28" t="s">
        <v>758</v>
      </c>
      <c r="C38" s="28" t="s">
        <v>759</v>
      </c>
      <c r="D38" s="28" t="s">
        <v>760</v>
      </c>
      <c r="E38" s="28" t="s">
        <v>761</v>
      </c>
      <c r="F38" s="28" t="s">
        <v>762</v>
      </c>
      <c r="G38" s="28" t="s">
        <v>763</v>
      </c>
      <c r="H38" s="28" t="s">
        <v>764</v>
      </c>
      <c r="I38" s="28" t="s">
        <v>765</v>
      </c>
      <c r="J38" s="28" t="s">
        <v>766</v>
      </c>
      <c r="K38" s="28" t="s">
        <v>767</v>
      </c>
      <c r="L38" s="28" t="s">
        <v>768</v>
      </c>
      <c r="M38" s="28" t="s">
        <v>769</v>
      </c>
      <c r="N38" s="28" t="s">
        <v>770</v>
      </c>
      <c r="O38" s="28" t="s">
        <v>771</v>
      </c>
      <c r="P38" s="28" t="s">
        <v>772</v>
      </c>
      <c r="Q38" s="28" t="s">
        <v>773</v>
      </c>
      <c r="R38" s="28" t="s">
        <v>774</v>
      </c>
      <c r="S38" s="28" t="s">
        <v>775</v>
      </c>
    </row>
    <row r="39" customFormat="false" ht="15" hidden="false" customHeight="false" outlineLevel="0" collapsed="false">
      <c r="A39" s="29" t="s">
        <v>777</v>
      </c>
      <c r="B39" s="30" t="n">
        <f aca="false">ROUND(B15*$B$37,1)</f>
        <v>5.5</v>
      </c>
      <c r="C39" s="30" t="n">
        <f aca="false">ROUND(C15*$B$37,1)</f>
        <v>6.2</v>
      </c>
      <c r="D39" s="30" t="n">
        <f aca="false">ROUND(D15*$B$37,1)</f>
        <v>6.9</v>
      </c>
      <c r="E39" s="30" t="n">
        <f aca="false">ROUND(E15*$B$37,1)</f>
        <v>7.7</v>
      </c>
      <c r="F39" s="30" t="n">
        <f aca="false">ROUND(F15*$B$37,1)</f>
        <v>8.7</v>
      </c>
      <c r="G39" s="30" t="n">
        <f aca="false">ROUND(G15*$B$37,1)</f>
        <v>9.7</v>
      </c>
      <c r="H39" s="30" t="n">
        <f aca="false">ROUND(H15*$B$37,1)</f>
        <v>10.9</v>
      </c>
      <c r="I39" s="30" t="n">
        <f aca="false">ROUND(I15*$B$37,1)</f>
        <v>12.2</v>
      </c>
      <c r="J39" s="30" t="n">
        <f aca="false">ROUND(J15*$B$37,1)</f>
        <v>13.6</v>
      </c>
      <c r="K39" s="30" t="n">
        <f aca="false">ROUND(K15*$B$37,1)</f>
        <v>15.3</v>
      </c>
      <c r="L39" s="30" t="n">
        <f aca="false">ROUND(L15*$B$37,1)</f>
        <v>17.1</v>
      </c>
      <c r="M39" s="30" t="n">
        <f aca="false">ROUND(M15*$B$37,1)</f>
        <v>19.1</v>
      </c>
      <c r="N39" s="30" t="n">
        <f aca="false">ROUND(N15*$B$37,1)</f>
        <v>21.4</v>
      </c>
      <c r="O39" s="30" t="n">
        <f aca="false">ROUND(O15*$B$37,1)</f>
        <v>24</v>
      </c>
      <c r="P39" s="30" t="n">
        <f aca="false">ROUND(P15*$B$37,1)</f>
        <v>26.9</v>
      </c>
      <c r="Q39" s="30" t="n">
        <f aca="false">ROUND(Q15*$B$37,1)</f>
        <v>30.1</v>
      </c>
      <c r="R39" s="30" t="n">
        <f aca="false">ROUND(R15*$B$37,1)</f>
        <v>33.7</v>
      </c>
      <c r="S39" s="30" t="n">
        <f aca="false">ROUND(S15*$B$37,1)</f>
        <v>37.8</v>
      </c>
    </row>
    <row r="40" customFormat="false" ht="15" hidden="false" customHeight="false" outlineLevel="0" collapsed="false">
      <c r="A40" s="29" t="s">
        <v>778</v>
      </c>
      <c r="B40" s="30" t="n">
        <f aca="false">B39</f>
        <v>5.5</v>
      </c>
      <c r="C40" s="30" t="n">
        <f aca="false">ROUND(B40*(1-$B$8)+C39,1)</f>
        <v>11.5</v>
      </c>
      <c r="D40" s="30" t="n">
        <f aca="false">ROUND(C40*(1-$B$8)+D39,1)</f>
        <v>18</v>
      </c>
      <c r="E40" s="30" t="n">
        <f aca="false">ROUND(D40*(1-$B$8)+E39,1)</f>
        <v>25.1</v>
      </c>
      <c r="F40" s="30" t="n">
        <f aca="false">ROUND(E40*(1-$B$8)+F39,1)</f>
        <v>32.9</v>
      </c>
      <c r="G40" s="30" t="n">
        <f aca="false">ROUND(F40*(1-$B$8)+G39,1)</f>
        <v>41.4</v>
      </c>
      <c r="H40" s="30" t="n">
        <f aca="false">ROUND(G40*(1-$B$8)+H39,1)</f>
        <v>50.9</v>
      </c>
      <c r="I40" s="30" t="n">
        <f aca="false">ROUND(H40*(1-$B$8)+I39,1)</f>
        <v>61.3</v>
      </c>
      <c r="J40" s="30" t="n">
        <f aca="false">ROUND(I40*(1-$B$8)+J39,1)</f>
        <v>72.8</v>
      </c>
      <c r="K40" s="30" t="n">
        <f aca="false">ROUND(J40*(1-$B$8)+K39,1)</f>
        <v>85.6</v>
      </c>
      <c r="L40" s="30" t="n">
        <f aca="false">ROUND(K40*(1-$B$8)+L39,1)</f>
        <v>99.7</v>
      </c>
      <c r="M40" s="30" t="n">
        <f aca="false">ROUND(L40*(1-$B$8)+M39,1)</f>
        <v>115.3</v>
      </c>
      <c r="N40" s="30" t="n">
        <f aca="false">ROUND(M40*(1-$B$8)+N39,1)</f>
        <v>132.7</v>
      </c>
      <c r="O40" s="30" t="n">
        <f aca="false">ROUND(N40*(1-$B$8)+O39,1)</f>
        <v>152.1</v>
      </c>
      <c r="P40" s="30" t="n">
        <f aca="false">ROUND(O40*(1-$B$8)+P39,1)</f>
        <v>173.7</v>
      </c>
      <c r="Q40" s="30" t="n">
        <f aca="false">ROUND(P40*(1-$B$8)+Q39,1)</f>
        <v>197.7</v>
      </c>
      <c r="R40" s="30" t="n">
        <f aca="false">ROUND(Q40*(1-$B$8)+R39,1)</f>
        <v>224.5</v>
      </c>
      <c r="S40" s="30" t="n">
        <f aca="false">ROUND(R40*(1-$B$8)+S39,1)</f>
        <v>254.4</v>
      </c>
    </row>
    <row r="41" customFormat="false" ht="15" hidden="false" customHeight="false" outlineLevel="0" collapsed="false">
      <c r="A41" s="29" t="s">
        <v>779</v>
      </c>
      <c r="B41" s="30" t="n">
        <f aca="false">ROUND(B40*$B$7*(1-$B$9),0)</f>
        <v>545</v>
      </c>
      <c r="C41" s="30" t="n">
        <f aca="false">ROUND(C40*$B$7*(1-$B$9),0)</f>
        <v>1139</v>
      </c>
      <c r="D41" s="30" t="n">
        <f aca="false">ROUND(D40*$B$7*(1-$B$9),0)</f>
        <v>1782</v>
      </c>
      <c r="E41" s="30" t="n">
        <f aca="false">ROUND(E40*$B$7*(1-$B$9),0)</f>
        <v>2485</v>
      </c>
      <c r="F41" s="30" t="n">
        <f aca="false">ROUND(F40*$B$7*(1-$B$9),0)</f>
        <v>3257</v>
      </c>
      <c r="G41" s="30" t="n">
        <f aca="false">ROUND(G40*$B$7*(1-$B$9),0)</f>
        <v>4099</v>
      </c>
      <c r="H41" s="30" t="n">
        <f aca="false">ROUND(H40*$B$7*(1-$B$9),0)</f>
        <v>5039</v>
      </c>
      <c r="I41" s="30" t="n">
        <f aca="false">ROUND(I40*$B$7*(1-$B$9),0)</f>
        <v>6069</v>
      </c>
      <c r="J41" s="30" t="n">
        <f aca="false">ROUND(J40*$B$7*(1-$B$9),0)</f>
        <v>7207</v>
      </c>
      <c r="K41" s="30" t="n">
        <f aca="false">ROUND(K40*$B$7*(1-$B$9),0)</f>
        <v>8474</v>
      </c>
      <c r="L41" s="30" t="n">
        <f aca="false">ROUND(L40*$B$7*(1-$B$9),0)</f>
        <v>9870</v>
      </c>
      <c r="M41" s="30" t="n">
        <f aca="false">ROUND(M40*$B$7*(1-$B$9),0)</f>
        <v>11415</v>
      </c>
      <c r="N41" s="30" t="n">
        <f aca="false">ROUND(N40*$B$7*(1-$B$9),0)</f>
        <v>13137</v>
      </c>
      <c r="O41" s="30" t="n">
        <f aca="false">ROUND(O40*$B$7*(1-$B$9),0)</f>
        <v>15058</v>
      </c>
      <c r="P41" s="30" t="n">
        <f aca="false">ROUND(P40*$B$7*(1-$B$9),0)</f>
        <v>17196</v>
      </c>
      <c r="Q41" s="30" t="n">
        <f aca="false">ROUND(Q40*$B$7*(1-$B$9),0)</f>
        <v>19572</v>
      </c>
      <c r="R41" s="30" t="n">
        <f aca="false">ROUND(R40*$B$7*(1-$B$9),0)</f>
        <v>22226</v>
      </c>
      <c r="S41" s="30" t="n">
        <f aca="false">ROUND(S40*$B$7*(1-$B$9),0)</f>
        <v>25186</v>
      </c>
    </row>
    <row r="42" customFormat="false" ht="15" hidden="false" customHeight="false" outlineLevel="0" collapsed="false">
      <c r="A42" s="29" t="s">
        <v>780</v>
      </c>
      <c r="B42" s="30" t="n">
        <f aca="false">B19</f>
        <v>18000</v>
      </c>
      <c r="C42" s="30" t="n">
        <f aca="false">C19</f>
        <v>18540</v>
      </c>
      <c r="D42" s="30" t="n">
        <f aca="false">D19</f>
        <v>19096</v>
      </c>
      <c r="E42" s="30" t="n">
        <f aca="false">E19</f>
        <v>19669</v>
      </c>
      <c r="F42" s="30" t="n">
        <f aca="false">F19</f>
        <v>20259</v>
      </c>
      <c r="G42" s="30" t="n">
        <f aca="false">G19</f>
        <v>20867</v>
      </c>
      <c r="H42" s="30" t="n">
        <f aca="false">H19</f>
        <v>21493</v>
      </c>
      <c r="I42" s="30" t="n">
        <f aca="false">I19</f>
        <v>22138</v>
      </c>
      <c r="J42" s="30" t="n">
        <f aca="false">J19</f>
        <v>22802</v>
      </c>
      <c r="K42" s="30" t="n">
        <f aca="false">K19</f>
        <v>23486</v>
      </c>
      <c r="L42" s="30" t="n">
        <f aca="false">L19</f>
        <v>24191</v>
      </c>
      <c r="M42" s="30" t="n">
        <f aca="false">M19</f>
        <v>24917</v>
      </c>
      <c r="N42" s="30" t="n">
        <f aca="false">N19</f>
        <v>25665</v>
      </c>
      <c r="O42" s="30" t="n">
        <f aca="false">O19</f>
        <v>26435</v>
      </c>
      <c r="P42" s="30" t="n">
        <f aca="false">P19</f>
        <v>27228</v>
      </c>
      <c r="Q42" s="30" t="n">
        <f aca="false">Q19</f>
        <v>28045</v>
      </c>
      <c r="R42" s="30" t="n">
        <f aca="false">R19</f>
        <v>28886</v>
      </c>
      <c r="S42" s="30" t="n">
        <f aca="false">S19</f>
        <v>29753</v>
      </c>
    </row>
    <row r="43" customFormat="false" ht="15" hidden="false" customHeight="false" outlineLevel="0" collapsed="false">
      <c r="A43" s="29" t="s">
        <v>781</v>
      </c>
      <c r="B43" s="30" t="n">
        <f aca="false">B41-B42</f>
        <v>-17455</v>
      </c>
      <c r="C43" s="30" t="n">
        <f aca="false">C41-C42</f>
        <v>-17401</v>
      </c>
      <c r="D43" s="30" t="n">
        <f aca="false">D41-D42</f>
        <v>-17314</v>
      </c>
      <c r="E43" s="30" t="n">
        <f aca="false">E41-E42</f>
        <v>-17184</v>
      </c>
      <c r="F43" s="30" t="n">
        <f aca="false">F41-F42</f>
        <v>-17002</v>
      </c>
      <c r="G43" s="30" t="n">
        <f aca="false">G41-G42</f>
        <v>-16768</v>
      </c>
      <c r="H43" s="30" t="n">
        <f aca="false">H41-H42</f>
        <v>-16454</v>
      </c>
      <c r="I43" s="30" t="n">
        <f aca="false">I41-I42</f>
        <v>-16069</v>
      </c>
      <c r="J43" s="30" t="n">
        <f aca="false">J41-J42</f>
        <v>-15595</v>
      </c>
      <c r="K43" s="30" t="n">
        <f aca="false">K41-K42</f>
        <v>-15012</v>
      </c>
      <c r="L43" s="30" t="n">
        <f aca="false">L41-L42</f>
        <v>-14321</v>
      </c>
      <c r="M43" s="30" t="n">
        <f aca="false">M41-M42</f>
        <v>-13502</v>
      </c>
      <c r="N43" s="30" t="n">
        <f aca="false">N41-N42</f>
        <v>-12528</v>
      </c>
      <c r="O43" s="30" t="n">
        <f aca="false">O41-O42</f>
        <v>-11377</v>
      </c>
      <c r="P43" s="30" t="n">
        <f aca="false">P41-P42</f>
        <v>-10032</v>
      </c>
      <c r="Q43" s="30" t="n">
        <f aca="false">Q41-Q42</f>
        <v>-8473</v>
      </c>
      <c r="R43" s="30" t="n">
        <f aca="false">R41-R42</f>
        <v>-6660</v>
      </c>
      <c r="S43" s="30" t="n">
        <f aca="false">S41-S42</f>
        <v>-4567</v>
      </c>
    </row>
    <row r="44" customFormat="false" ht="15" hidden="false" customHeight="false" outlineLevel="0" collapsed="false">
      <c r="A44" s="29" t="s">
        <v>782</v>
      </c>
      <c r="B44" s="30" t="n">
        <f aca="false">B43</f>
        <v>-17455</v>
      </c>
      <c r="C44" s="30" t="n">
        <f aca="false">B44+C43</f>
        <v>-34856</v>
      </c>
      <c r="D44" s="30" t="n">
        <f aca="false">C44+D43</f>
        <v>-52170</v>
      </c>
      <c r="E44" s="30" t="n">
        <f aca="false">D44+E43</f>
        <v>-69354</v>
      </c>
      <c r="F44" s="30" t="n">
        <f aca="false">E44+F43</f>
        <v>-86356</v>
      </c>
      <c r="G44" s="30" t="n">
        <f aca="false">F44+G43</f>
        <v>-103124</v>
      </c>
      <c r="H44" s="30" t="n">
        <f aca="false">G44+H43</f>
        <v>-119578</v>
      </c>
      <c r="I44" s="30" t="n">
        <f aca="false">H44+I43</f>
        <v>-135647</v>
      </c>
      <c r="J44" s="30" t="n">
        <f aca="false">I44+J43</f>
        <v>-151242</v>
      </c>
      <c r="K44" s="30" t="n">
        <f aca="false">J44+K43</f>
        <v>-166254</v>
      </c>
      <c r="L44" s="30" t="n">
        <f aca="false">K44+L43</f>
        <v>-180575</v>
      </c>
      <c r="M44" s="30" t="n">
        <f aca="false">L44+M43</f>
        <v>-194077</v>
      </c>
      <c r="N44" s="30" t="n">
        <f aca="false">M44+N43</f>
        <v>-206605</v>
      </c>
      <c r="O44" s="30" t="n">
        <f aca="false">N44+O43</f>
        <v>-217982</v>
      </c>
      <c r="P44" s="30" t="n">
        <f aca="false">O44+P43</f>
        <v>-228014</v>
      </c>
      <c r="Q44" s="30" t="n">
        <f aca="false">P44+Q43</f>
        <v>-236487</v>
      </c>
      <c r="R44" s="30" t="n">
        <f aca="false">Q44+R43</f>
        <v>-243147</v>
      </c>
      <c r="S44" s="30" t="n">
        <f aca="false">R44+S43</f>
        <v>-247714</v>
      </c>
    </row>
    <row r="45" customFormat="false" ht="15" hidden="false" customHeight="false" outlineLevel="0" collapsed="false">
      <c r="A45" s="28" t="s">
        <v>803</v>
      </c>
      <c r="B45" s="30" t="n">
        <f aca="false">S43</f>
        <v>-4567</v>
      </c>
      <c r="C45" s="30" t="n">
        <f aca="false">S44</f>
        <v>-247714</v>
      </c>
    </row>
    <row r="47" customFormat="false" ht="15" hidden="false" customHeight="false" outlineLevel="0" collapsed="false">
      <c r="A47" s="28" t="s">
        <v>804</v>
      </c>
    </row>
    <row r="48" customFormat="false" ht="15" hidden="false" customHeight="false" outlineLevel="0" collapsed="false">
      <c r="A48" s="1" t="s">
        <v>802</v>
      </c>
      <c r="B48" s="31" t="n">
        <v>0.08</v>
      </c>
    </row>
    <row r="49" customFormat="false" ht="15" hidden="false" customHeight="false" outlineLevel="0" collapsed="false">
      <c r="A49" s="28" t="s">
        <v>757</v>
      </c>
      <c r="B49" s="28" t="s">
        <v>758</v>
      </c>
      <c r="C49" s="28" t="s">
        <v>759</v>
      </c>
      <c r="D49" s="28" t="s">
        <v>760</v>
      </c>
      <c r="E49" s="28" t="s">
        <v>761</v>
      </c>
      <c r="F49" s="28" t="s">
        <v>762</v>
      </c>
      <c r="G49" s="28" t="s">
        <v>763</v>
      </c>
      <c r="H49" s="28" t="s">
        <v>764</v>
      </c>
      <c r="I49" s="28" t="s">
        <v>765</v>
      </c>
      <c r="J49" s="28" t="s">
        <v>766</v>
      </c>
      <c r="K49" s="28" t="s">
        <v>767</v>
      </c>
      <c r="L49" s="28" t="s">
        <v>768</v>
      </c>
      <c r="M49" s="28" t="s">
        <v>769</v>
      </c>
      <c r="N49" s="28" t="s">
        <v>770</v>
      </c>
      <c r="O49" s="28" t="s">
        <v>771</v>
      </c>
      <c r="P49" s="28" t="s">
        <v>772</v>
      </c>
      <c r="Q49" s="28" t="s">
        <v>773</v>
      </c>
      <c r="R49" s="28" t="s">
        <v>774</v>
      </c>
      <c r="S49" s="28" t="s">
        <v>775</v>
      </c>
    </row>
    <row r="50" customFormat="false" ht="15" hidden="false" customHeight="false" outlineLevel="0" collapsed="false">
      <c r="A50" s="29" t="s">
        <v>777</v>
      </c>
      <c r="B50" s="30" t="n">
        <f aca="false">ROUND(B15*$B$48,1)</f>
        <v>4.4</v>
      </c>
      <c r="C50" s="30" t="n">
        <f aca="false">ROUND(C15*$B$48,1)</f>
        <v>4.9</v>
      </c>
      <c r="D50" s="30" t="n">
        <f aca="false">ROUND(D15*$B$48,1)</f>
        <v>5.5</v>
      </c>
      <c r="E50" s="30" t="n">
        <f aca="false">ROUND(E15*$B$48,1)</f>
        <v>6.2</v>
      </c>
      <c r="F50" s="30" t="n">
        <f aca="false">ROUND(F15*$B$48,1)</f>
        <v>6.9</v>
      </c>
      <c r="G50" s="30" t="n">
        <f aca="false">ROUND(G15*$B$48,1)</f>
        <v>7.8</v>
      </c>
      <c r="H50" s="30" t="n">
        <f aca="false">ROUND(H15*$B$48,1)</f>
        <v>8.7</v>
      </c>
      <c r="I50" s="30" t="n">
        <f aca="false">ROUND(I15*$B$48,1)</f>
        <v>9.7</v>
      </c>
      <c r="J50" s="30" t="n">
        <f aca="false">ROUND(J15*$B$48,1)</f>
        <v>10.9</v>
      </c>
      <c r="K50" s="30" t="n">
        <f aca="false">ROUND(K15*$B$48,1)</f>
        <v>12.2</v>
      </c>
      <c r="L50" s="30" t="n">
        <f aca="false">ROUND(L15*$B$48,1)</f>
        <v>13.7</v>
      </c>
      <c r="M50" s="30" t="n">
        <f aca="false">ROUND(M15*$B$48,1)</f>
        <v>15.3</v>
      </c>
      <c r="N50" s="30" t="n">
        <f aca="false">ROUND(N15*$B$48,1)</f>
        <v>17.1</v>
      </c>
      <c r="O50" s="30" t="n">
        <f aca="false">ROUND(O15*$B$48,1)</f>
        <v>19.2</v>
      </c>
      <c r="P50" s="30" t="n">
        <f aca="false">ROUND(P15*$B$48,1)</f>
        <v>21.5</v>
      </c>
      <c r="Q50" s="30" t="n">
        <f aca="false">ROUND(Q15*$B$48,1)</f>
        <v>24.1</v>
      </c>
      <c r="R50" s="30" t="n">
        <f aca="false">ROUND(R15*$B$48,1)</f>
        <v>27</v>
      </c>
      <c r="S50" s="30" t="n">
        <f aca="false">ROUND(S15*$B$48,1)</f>
        <v>30.2</v>
      </c>
    </row>
    <row r="51" customFormat="false" ht="15" hidden="false" customHeight="false" outlineLevel="0" collapsed="false">
      <c r="A51" s="29" t="s">
        <v>778</v>
      </c>
      <c r="B51" s="30" t="n">
        <f aca="false">B50</f>
        <v>4.4</v>
      </c>
      <c r="C51" s="30" t="n">
        <f aca="false">ROUND(B51*(1-$B$8)+C50,1)</f>
        <v>9.1</v>
      </c>
      <c r="D51" s="30" t="n">
        <f aca="false">ROUND(C51*(1-$B$8)+D50,1)</f>
        <v>14.3</v>
      </c>
      <c r="E51" s="30" t="n">
        <f aca="false">ROUND(D51*(1-$B$8)+E50,1)</f>
        <v>20</v>
      </c>
      <c r="F51" s="30" t="n">
        <f aca="false">ROUND(E51*(1-$B$8)+F50,1)</f>
        <v>26.2</v>
      </c>
      <c r="G51" s="30" t="n">
        <f aca="false">ROUND(F51*(1-$B$8)+G50,1)</f>
        <v>33.1</v>
      </c>
      <c r="H51" s="30" t="n">
        <f aca="false">ROUND(G51*(1-$B$8)+H50,1)</f>
        <v>40.6</v>
      </c>
      <c r="I51" s="30" t="n">
        <f aca="false">ROUND(H51*(1-$B$8)+I50,1)</f>
        <v>48.9</v>
      </c>
      <c r="J51" s="30" t="n">
        <f aca="false">ROUND(I51*(1-$B$8)+J50,1)</f>
        <v>58.1</v>
      </c>
      <c r="K51" s="30" t="n">
        <f aca="false">ROUND(J51*(1-$B$8)+K50,1)</f>
        <v>68.3</v>
      </c>
      <c r="L51" s="30" t="n">
        <f aca="false">ROUND(K51*(1-$B$8)+L50,1)</f>
        <v>79.6</v>
      </c>
      <c r="M51" s="30" t="n">
        <f aca="false">ROUND(L51*(1-$B$8)+M50,1)</f>
        <v>92.1</v>
      </c>
      <c r="N51" s="30" t="n">
        <f aca="false">ROUND(M51*(1-$B$8)+N50,1)</f>
        <v>106</v>
      </c>
      <c r="O51" s="30" t="n">
        <f aca="false">ROUND(N51*(1-$B$8)+O50,1)</f>
        <v>121.5</v>
      </c>
      <c r="P51" s="30" t="n">
        <f aca="false">ROUND(O51*(1-$B$8)+P50,1)</f>
        <v>138.7</v>
      </c>
      <c r="Q51" s="30" t="n">
        <f aca="false">ROUND(P51*(1-$B$8)+Q50,1)</f>
        <v>157.9</v>
      </c>
      <c r="R51" s="30" t="n">
        <f aca="false">ROUND(Q51*(1-$B$8)+R50,1)</f>
        <v>179.4</v>
      </c>
      <c r="S51" s="30" t="n">
        <f aca="false">ROUND(R51*(1-$B$8)+S50,1)</f>
        <v>203.3</v>
      </c>
    </row>
    <row r="52" customFormat="false" ht="15" hidden="false" customHeight="false" outlineLevel="0" collapsed="false">
      <c r="A52" s="29" t="s">
        <v>779</v>
      </c>
      <c r="B52" s="30" t="n">
        <f aca="false">ROUND(B51*$B$7*(1-$B$9),0)</f>
        <v>436</v>
      </c>
      <c r="C52" s="30" t="n">
        <f aca="false">ROUND(C51*$B$7*(1-$B$9),0)</f>
        <v>901</v>
      </c>
      <c r="D52" s="30" t="n">
        <f aca="false">ROUND(D51*$B$7*(1-$B$9),0)</f>
        <v>1416</v>
      </c>
      <c r="E52" s="30" t="n">
        <f aca="false">ROUND(E51*$B$7*(1-$B$9),0)</f>
        <v>1980</v>
      </c>
      <c r="F52" s="30" t="n">
        <f aca="false">ROUND(F51*$B$7*(1-$B$9),0)</f>
        <v>2594</v>
      </c>
      <c r="G52" s="30" t="n">
        <f aca="false">ROUND(G51*$B$7*(1-$B$9),0)</f>
        <v>3277</v>
      </c>
      <c r="H52" s="30" t="n">
        <f aca="false">ROUND(H51*$B$7*(1-$B$9),0)</f>
        <v>4019</v>
      </c>
      <c r="I52" s="30" t="n">
        <f aca="false">ROUND(I51*$B$7*(1-$B$9),0)</f>
        <v>4841</v>
      </c>
      <c r="J52" s="30" t="n">
        <f aca="false">ROUND(J51*$B$7*(1-$B$9),0)</f>
        <v>5752</v>
      </c>
      <c r="K52" s="30" t="n">
        <f aca="false">ROUND(K51*$B$7*(1-$B$9),0)</f>
        <v>6762</v>
      </c>
      <c r="L52" s="30" t="n">
        <f aca="false">ROUND(L51*$B$7*(1-$B$9),0)</f>
        <v>7880</v>
      </c>
      <c r="M52" s="30" t="n">
        <f aca="false">ROUND(M51*$B$7*(1-$B$9),0)</f>
        <v>9118</v>
      </c>
      <c r="N52" s="30" t="n">
        <f aca="false">ROUND(N51*$B$7*(1-$B$9),0)</f>
        <v>10494</v>
      </c>
      <c r="O52" s="30" t="n">
        <f aca="false">ROUND(O51*$B$7*(1-$B$9),0)</f>
        <v>12029</v>
      </c>
      <c r="P52" s="30" t="n">
        <f aca="false">ROUND(P51*$B$7*(1-$B$9),0)</f>
        <v>13731</v>
      </c>
      <c r="Q52" s="30" t="n">
        <f aca="false">ROUND(Q51*$B$7*(1-$B$9),0)</f>
        <v>15632</v>
      </c>
      <c r="R52" s="30" t="n">
        <f aca="false">ROUND(R51*$B$7*(1-$B$9),0)</f>
        <v>17761</v>
      </c>
      <c r="S52" s="30" t="n">
        <f aca="false">ROUND(S51*$B$7*(1-$B$9),0)</f>
        <v>20127</v>
      </c>
    </row>
    <row r="53" customFormat="false" ht="15" hidden="false" customHeight="false" outlineLevel="0" collapsed="false">
      <c r="A53" s="29" t="s">
        <v>780</v>
      </c>
      <c r="B53" s="30" t="n">
        <f aca="false">B19</f>
        <v>18000</v>
      </c>
      <c r="C53" s="30" t="n">
        <f aca="false">C19</f>
        <v>18540</v>
      </c>
      <c r="D53" s="30" t="n">
        <f aca="false">D19</f>
        <v>19096</v>
      </c>
      <c r="E53" s="30" t="n">
        <f aca="false">E19</f>
        <v>19669</v>
      </c>
      <c r="F53" s="30" t="n">
        <f aca="false">F19</f>
        <v>20259</v>
      </c>
      <c r="G53" s="30" t="n">
        <f aca="false">G19</f>
        <v>20867</v>
      </c>
      <c r="H53" s="30" t="n">
        <f aca="false">H19</f>
        <v>21493</v>
      </c>
      <c r="I53" s="30" t="n">
        <f aca="false">I19</f>
        <v>22138</v>
      </c>
      <c r="J53" s="30" t="n">
        <f aca="false">J19</f>
        <v>22802</v>
      </c>
      <c r="K53" s="30" t="n">
        <f aca="false">K19</f>
        <v>23486</v>
      </c>
      <c r="L53" s="30" t="n">
        <f aca="false">L19</f>
        <v>24191</v>
      </c>
      <c r="M53" s="30" t="n">
        <f aca="false">M19</f>
        <v>24917</v>
      </c>
      <c r="N53" s="30" t="n">
        <f aca="false">N19</f>
        <v>25665</v>
      </c>
      <c r="O53" s="30" t="n">
        <f aca="false">O19</f>
        <v>26435</v>
      </c>
      <c r="P53" s="30" t="n">
        <f aca="false">P19</f>
        <v>27228</v>
      </c>
      <c r="Q53" s="30" t="n">
        <f aca="false">Q19</f>
        <v>28045</v>
      </c>
      <c r="R53" s="30" t="n">
        <f aca="false">R19</f>
        <v>28886</v>
      </c>
      <c r="S53" s="30" t="n">
        <f aca="false">S19</f>
        <v>29753</v>
      </c>
    </row>
    <row r="54" customFormat="false" ht="15" hidden="false" customHeight="false" outlineLevel="0" collapsed="false">
      <c r="A54" s="29" t="s">
        <v>781</v>
      </c>
      <c r="B54" s="30" t="n">
        <f aca="false">B52-B53</f>
        <v>-17564</v>
      </c>
      <c r="C54" s="30" t="n">
        <f aca="false">C52-C53</f>
        <v>-17639</v>
      </c>
      <c r="D54" s="30" t="n">
        <f aca="false">D52-D53</f>
        <v>-17680</v>
      </c>
      <c r="E54" s="30" t="n">
        <f aca="false">E52-E53</f>
        <v>-17689</v>
      </c>
      <c r="F54" s="30" t="n">
        <f aca="false">F52-F53</f>
        <v>-17665</v>
      </c>
      <c r="G54" s="30" t="n">
        <f aca="false">G52-G53</f>
        <v>-17590</v>
      </c>
      <c r="H54" s="30" t="n">
        <f aca="false">H52-H53</f>
        <v>-17474</v>
      </c>
      <c r="I54" s="30" t="n">
        <f aca="false">I52-I53</f>
        <v>-17297</v>
      </c>
      <c r="J54" s="30" t="n">
        <f aca="false">J52-J53</f>
        <v>-17050</v>
      </c>
      <c r="K54" s="30" t="n">
        <f aca="false">K52-K53</f>
        <v>-16724</v>
      </c>
      <c r="L54" s="30" t="n">
        <f aca="false">L52-L53</f>
        <v>-16311</v>
      </c>
      <c r="M54" s="30" t="n">
        <f aca="false">M52-M53</f>
        <v>-15799</v>
      </c>
      <c r="N54" s="30" t="n">
        <f aca="false">N52-N53</f>
        <v>-15171</v>
      </c>
      <c r="O54" s="30" t="n">
        <f aca="false">O52-O53</f>
        <v>-14406</v>
      </c>
      <c r="P54" s="30" t="n">
        <f aca="false">P52-P53</f>
        <v>-13497</v>
      </c>
      <c r="Q54" s="30" t="n">
        <f aca="false">Q52-Q53</f>
        <v>-12413</v>
      </c>
      <c r="R54" s="30" t="n">
        <f aca="false">R52-R53</f>
        <v>-11125</v>
      </c>
      <c r="S54" s="30" t="n">
        <f aca="false">S52-S53</f>
        <v>-9626</v>
      </c>
    </row>
    <row r="55" customFormat="false" ht="15" hidden="false" customHeight="false" outlineLevel="0" collapsed="false">
      <c r="A55" s="29" t="s">
        <v>782</v>
      </c>
      <c r="B55" s="30" t="n">
        <f aca="false">B54</f>
        <v>-17564</v>
      </c>
      <c r="C55" s="30" t="n">
        <f aca="false">B55+C54</f>
        <v>-35203</v>
      </c>
      <c r="D55" s="30" t="n">
        <f aca="false">C55+D54</f>
        <v>-52883</v>
      </c>
      <c r="E55" s="30" t="n">
        <f aca="false">D55+E54</f>
        <v>-70572</v>
      </c>
      <c r="F55" s="30" t="n">
        <f aca="false">E55+F54</f>
        <v>-88237</v>
      </c>
      <c r="G55" s="30" t="n">
        <f aca="false">F55+G54</f>
        <v>-105827</v>
      </c>
      <c r="H55" s="30" t="n">
        <f aca="false">G55+H54</f>
        <v>-123301</v>
      </c>
      <c r="I55" s="30" t="n">
        <f aca="false">H55+I54</f>
        <v>-140598</v>
      </c>
      <c r="J55" s="30" t="n">
        <f aca="false">I55+J54</f>
        <v>-157648</v>
      </c>
      <c r="K55" s="30" t="n">
        <f aca="false">J55+K54</f>
        <v>-174372</v>
      </c>
      <c r="L55" s="30" t="n">
        <f aca="false">K55+L54</f>
        <v>-190683</v>
      </c>
      <c r="M55" s="30" t="n">
        <f aca="false">L55+M54</f>
        <v>-206482</v>
      </c>
      <c r="N55" s="30" t="n">
        <f aca="false">M55+N54</f>
        <v>-221653</v>
      </c>
      <c r="O55" s="30" t="n">
        <f aca="false">N55+O54</f>
        <v>-236059</v>
      </c>
      <c r="P55" s="30" t="n">
        <f aca="false">O55+P54</f>
        <v>-249556</v>
      </c>
      <c r="Q55" s="30" t="n">
        <f aca="false">P55+Q54</f>
        <v>-261969</v>
      </c>
      <c r="R55" s="30" t="n">
        <f aca="false">Q55+R54</f>
        <v>-273094</v>
      </c>
      <c r="S55" s="30" t="n">
        <f aca="false">R55+S54</f>
        <v>-282720</v>
      </c>
    </row>
    <row r="56" customFormat="false" ht="15" hidden="false" customHeight="false" outlineLevel="0" collapsed="false">
      <c r="A56" s="28" t="s">
        <v>803</v>
      </c>
      <c r="B56" s="30" t="n">
        <f aca="false">S54</f>
        <v>-9626</v>
      </c>
      <c r="C56" s="30" t="n">
        <f aca="false">S55</f>
        <v>-282720</v>
      </c>
    </row>
    <row r="58" customFormat="false" ht="15" hidden="false" customHeight="false" outlineLevel="0" collapsed="false">
      <c r="A58" s="15" t="s">
        <v>805</v>
      </c>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806</v>
      </c>
    </row>
    <row r="3" customFormat="false" ht="15" hidden="false" customHeight="true" outlineLevel="0" collapsed="false">
      <c r="A3" s="3" t="s">
        <v>807</v>
      </c>
      <c r="B3" s="3" t="s">
        <v>808</v>
      </c>
      <c r="C3" s="3" t="s">
        <v>809</v>
      </c>
      <c r="D3" s="3" t="s">
        <v>810</v>
      </c>
    </row>
    <row r="4" customFormat="false" ht="25.5" hidden="false" customHeight="true" outlineLevel="0" collapsed="false">
      <c r="A4" s="4" t="s">
        <v>811</v>
      </c>
      <c r="B4" s="4" t="s">
        <v>812</v>
      </c>
      <c r="C4" s="4" t="s">
        <v>813</v>
      </c>
      <c r="D4" s="4" t="s">
        <v>543</v>
      </c>
    </row>
    <row r="5" customFormat="false" ht="25.5" hidden="false" customHeight="true" outlineLevel="0" collapsed="false">
      <c r="A5" s="4" t="s">
        <v>811</v>
      </c>
      <c r="B5" s="4" t="s">
        <v>814</v>
      </c>
      <c r="C5" s="4" t="s">
        <v>815</v>
      </c>
      <c r="D5" s="4" t="s">
        <v>500</v>
      </c>
    </row>
    <row r="6" customFormat="false" ht="25.5" hidden="false" customHeight="true" outlineLevel="0" collapsed="false">
      <c r="A6" s="4" t="s">
        <v>811</v>
      </c>
      <c r="B6" s="4" t="s">
        <v>816</v>
      </c>
      <c r="C6" s="4" t="s">
        <v>813</v>
      </c>
      <c r="D6" s="4" t="s">
        <v>500</v>
      </c>
    </row>
    <row r="7" customFormat="false" ht="25.5" hidden="false" customHeight="true" outlineLevel="0" collapsed="false">
      <c r="A7" s="4" t="s">
        <v>811</v>
      </c>
      <c r="B7" s="4" t="s">
        <v>817</v>
      </c>
      <c r="C7" s="4" t="s">
        <v>815</v>
      </c>
      <c r="D7" s="4" t="s">
        <v>562</v>
      </c>
    </row>
    <row r="8" customFormat="false" ht="25.5" hidden="false" customHeight="true" outlineLevel="0" collapsed="false">
      <c r="A8" s="4" t="s">
        <v>811</v>
      </c>
      <c r="B8" s="4" t="s">
        <v>818</v>
      </c>
      <c r="C8" s="4" t="s">
        <v>819</v>
      </c>
      <c r="D8" s="4" t="s">
        <v>562</v>
      </c>
    </row>
    <row r="9" customFormat="false" ht="25.5" hidden="false" customHeight="true" outlineLevel="0" collapsed="false">
      <c r="A9" s="4" t="s">
        <v>727</v>
      </c>
      <c r="B9" s="4" t="s">
        <v>820</v>
      </c>
      <c r="C9" s="4" t="s">
        <v>815</v>
      </c>
      <c r="D9" s="4" t="s">
        <v>595</v>
      </c>
    </row>
    <row r="10" customFormat="false" ht="25.5" hidden="false" customHeight="true" outlineLevel="0" collapsed="false">
      <c r="A10" s="4" t="s">
        <v>727</v>
      </c>
      <c r="B10" s="4" t="s">
        <v>821</v>
      </c>
      <c r="C10" s="4" t="s">
        <v>813</v>
      </c>
      <c r="D10" s="4" t="s">
        <v>595</v>
      </c>
    </row>
    <row r="11" customFormat="false" ht="25.5" hidden="false" customHeight="true" outlineLevel="0" collapsed="false">
      <c r="A11" s="4" t="s">
        <v>727</v>
      </c>
      <c r="B11" s="4" t="s">
        <v>822</v>
      </c>
      <c r="C11" s="4" t="s">
        <v>813</v>
      </c>
      <c r="D11" s="4" t="s">
        <v>595</v>
      </c>
    </row>
    <row r="12" customFormat="false" ht="25.5" hidden="false" customHeight="true" outlineLevel="0" collapsed="false">
      <c r="A12" s="4" t="s">
        <v>727</v>
      </c>
      <c r="B12" s="4" t="s">
        <v>823</v>
      </c>
      <c r="C12" s="4" t="s">
        <v>824</v>
      </c>
      <c r="D12" s="4" t="s">
        <v>595</v>
      </c>
    </row>
    <row r="13" customFormat="false" ht="25.5" hidden="false" customHeight="true" outlineLevel="0" collapsed="false">
      <c r="A13" s="4" t="s">
        <v>825</v>
      </c>
      <c r="B13" s="4" t="s">
        <v>826</v>
      </c>
      <c r="C13" s="4" t="s">
        <v>815</v>
      </c>
      <c r="D13" s="4" t="s">
        <v>633</v>
      </c>
    </row>
    <row r="14" customFormat="false" ht="25.5" hidden="false" customHeight="true" outlineLevel="0" collapsed="false">
      <c r="A14" s="4" t="s">
        <v>825</v>
      </c>
      <c r="B14" s="4" t="s">
        <v>827</v>
      </c>
      <c r="C14" s="4" t="s">
        <v>815</v>
      </c>
      <c r="D14" s="4" t="s">
        <v>633</v>
      </c>
    </row>
    <row r="15" customFormat="false" ht="25.5" hidden="false" customHeight="true" outlineLevel="0" collapsed="false">
      <c r="A15" s="4" t="s">
        <v>825</v>
      </c>
      <c r="B15" s="4" t="s">
        <v>828</v>
      </c>
      <c r="C15" s="4" t="s">
        <v>813</v>
      </c>
      <c r="D15" s="4" t="s">
        <v>829</v>
      </c>
    </row>
    <row r="16" customFormat="false" ht="25.5" hidden="false" customHeight="true" outlineLevel="0" collapsed="false">
      <c r="A16" s="4" t="s">
        <v>825</v>
      </c>
      <c r="B16" s="4" t="s">
        <v>830</v>
      </c>
      <c r="C16" s="4" t="s">
        <v>815</v>
      </c>
      <c r="D16" s="4" t="s">
        <v>829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12"/>
  </cols>
  <sheetData>
    <row r="1" customFormat="false" ht="17.25" hidden="false" customHeight="true" outlineLevel="0" collapsed="false">
      <c r="A1" s="2" t="s">
        <v>831</v>
      </c>
    </row>
    <row r="3" customFormat="false" ht="15" hidden="false" customHeight="true" outlineLevel="0" collapsed="false">
      <c r="A3" s="3" t="s">
        <v>355</v>
      </c>
      <c r="B3" s="3" t="s">
        <v>832</v>
      </c>
      <c r="C3" s="3" t="s">
        <v>5</v>
      </c>
    </row>
    <row r="4" customFormat="false" ht="25.5" hidden="false" customHeight="true" outlineLevel="0" collapsed="false">
      <c r="A4" s="4" t="n">
        <v>1</v>
      </c>
      <c r="B4" s="4" t="s">
        <v>833</v>
      </c>
      <c r="C4" s="4" t="s">
        <v>523</v>
      </c>
    </row>
    <row r="5" customFormat="false" ht="25.5" hidden="false" customHeight="true" outlineLevel="0" collapsed="false">
      <c r="A5" s="4" t="n">
        <v>2</v>
      </c>
      <c r="B5" s="4" t="s">
        <v>834</v>
      </c>
      <c r="C5" s="4" t="s">
        <v>835</v>
      </c>
    </row>
    <row r="6" customFormat="false" ht="25.5" hidden="false" customHeight="true" outlineLevel="0" collapsed="false">
      <c r="A6" s="4" t="n">
        <v>3</v>
      </c>
      <c r="B6" s="4" t="s">
        <v>836</v>
      </c>
      <c r="C6" s="4" t="s">
        <v>835</v>
      </c>
    </row>
    <row r="7" customFormat="false" ht="25.5" hidden="false" customHeight="true" outlineLevel="0" collapsed="false">
      <c r="A7" s="4" t="n">
        <v>4</v>
      </c>
      <c r="B7" s="4" t="s">
        <v>837</v>
      </c>
      <c r="C7" s="4" t="s">
        <v>523</v>
      </c>
    </row>
    <row r="8" customFormat="false" ht="25.5" hidden="false" customHeight="true" outlineLevel="0" collapsed="false">
      <c r="A8" s="4" t="n">
        <v>5</v>
      </c>
      <c r="B8" s="4" t="s">
        <v>838</v>
      </c>
      <c r="C8" s="4" t="s">
        <v>835</v>
      </c>
    </row>
    <row r="9" customFormat="false" ht="25.5" hidden="false" customHeight="true" outlineLevel="0" collapsed="false">
      <c r="A9" s="4" t="n">
        <v>6</v>
      </c>
      <c r="B9" s="4" t="s">
        <v>839</v>
      </c>
      <c r="C9" s="4" t="s">
        <v>523</v>
      </c>
    </row>
    <row r="10" customFormat="false" ht="25.5" hidden="false" customHeight="true" outlineLevel="0" collapsed="false">
      <c r="A10" s="4" t="n">
        <v>7</v>
      </c>
      <c r="B10" s="4" t="s">
        <v>840</v>
      </c>
      <c r="C10" s="4" t="s">
        <v>835</v>
      </c>
    </row>
    <row r="11" customFormat="false" ht="25.5" hidden="false" customHeight="true" outlineLevel="0" collapsed="false">
      <c r="A11" s="4" t="n">
        <v>8</v>
      </c>
      <c r="B11" s="4" t="s">
        <v>841</v>
      </c>
      <c r="C11" s="4" t="s">
        <v>835</v>
      </c>
    </row>
    <row r="12" customFormat="false" ht="25.5" hidden="false" customHeight="true" outlineLevel="0" collapsed="false">
      <c r="A12" s="4" t="n">
        <v>9</v>
      </c>
      <c r="B12" s="4" t="s">
        <v>842</v>
      </c>
      <c r="C12" s="4" t="s">
        <v>835</v>
      </c>
    </row>
    <row r="13" customFormat="false" ht="25.5" hidden="false" customHeight="true" outlineLevel="0" collapsed="false">
      <c r="A13" s="4" t="n">
        <v>10</v>
      </c>
      <c r="B13" s="4" t="s">
        <v>843</v>
      </c>
      <c r="C13" s="4" t="s">
        <v>835</v>
      </c>
    </row>
    <row r="14" customFormat="false" ht="158.2" hidden="false" customHeight="false" outlineLevel="0" collapsed="false">
      <c r="A14" s="7" t="n">
        <v>11</v>
      </c>
      <c r="B14" s="7" t="s">
        <v>844</v>
      </c>
      <c r="C14" s="7" t="s">
        <v>845</v>
      </c>
    </row>
    <row r="15" customFormat="false" ht="91" hidden="false" customHeight="false" outlineLevel="0" collapsed="false">
      <c r="A15" s="7" t="n">
        <v>12</v>
      </c>
      <c r="B15" s="7" t="s">
        <v>846</v>
      </c>
      <c r="C15" s="7" t="s">
        <v>847</v>
      </c>
    </row>
    <row r="16" customFormat="false" ht="46.25" hidden="false" customHeight="false" outlineLevel="0" collapsed="false">
      <c r="A16" s="7" t="n">
        <v>13</v>
      </c>
      <c r="B16" s="7" t="s">
        <v>848</v>
      </c>
      <c r="C16" s="7" t="s">
        <v>849</v>
      </c>
    </row>
    <row r="17" customFormat="false" ht="23.85" hidden="false" customHeight="false" outlineLevel="0" collapsed="false">
      <c r="A17" s="7" t="n">
        <v>14</v>
      </c>
      <c r="B17" s="7" t="s">
        <v>850</v>
      </c>
      <c r="C17" s="7" t="s">
        <v>851</v>
      </c>
    </row>
    <row r="18" customFormat="false" ht="46.25" hidden="false" customHeight="false" outlineLevel="0" collapsed="false">
      <c r="A18" s="7" t="n">
        <v>15</v>
      </c>
      <c r="B18" s="7" t="s">
        <v>852</v>
      </c>
      <c r="C18" s="7" t="s">
        <v>853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18"/>
    <col collapsed="false" customWidth="true" hidden="false" outlineLevel="0" max="7" min="7" style="1" width="62"/>
  </cols>
  <sheetData>
    <row r="1" customFormat="false" ht="17.25" hidden="false" customHeight="true" outlineLevel="0" collapsed="false">
      <c r="A1" s="18" t="s">
        <v>854</v>
      </c>
    </row>
    <row r="2" customFormat="false" ht="15" hidden="false" customHeight="true" outlineLevel="0" collapsed="false">
      <c r="A2" s="8" t="s">
        <v>855</v>
      </c>
    </row>
    <row r="3" customFormat="false" ht="15" hidden="false" customHeight="true" outlineLevel="0" collapsed="false">
      <c r="A3" s="19" t="s">
        <v>856</v>
      </c>
      <c r="B3" s="19" t="s">
        <v>758</v>
      </c>
      <c r="C3" s="19" t="s">
        <v>760</v>
      </c>
      <c r="D3" s="19" t="s">
        <v>763</v>
      </c>
      <c r="E3" s="19" t="s">
        <v>769</v>
      </c>
      <c r="F3" s="19" t="s">
        <v>857</v>
      </c>
      <c r="G3" s="22" t="s">
        <v>858</v>
      </c>
    </row>
    <row r="4" customFormat="false" ht="25.5" hidden="false" customHeight="true" outlineLevel="0" collapsed="false">
      <c r="A4" s="5" t="s">
        <v>859</v>
      </c>
      <c r="B4" s="5" t="s">
        <v>860</v>
      </c>
      <c r="C4" s="5" t="s">
        <v>861</v>
      </c>
      <c r="D4" s="5" t="s">
        <v>862</v>
      </c>
      <c r="E4" s="5" t="s">
        <v>863</v>
      </c>
      <c r="F4" s="5" t="s">
        <v>864</v>
      </c>
      <c r="G4" s="4" t="s">
        <v>865</v>
      </c>
    </row>
    <row r="5" customFormat="false" ht="25.5" hidden="false" customHeight="true" outlineLevel="0" collapsed="false">
      <c r="A5" s="5" t="s">
        <v>866</v>
      </c>
      <c r="B5" s="5" t="s">
        <v>867</v>
      </c>
      <c r="C5" s="5" t="s">
        <v>868</v>
      </c>
      <c r="D5" s="5" t="s">
        <v>869</v>
      </c>
      <c r="E5" s="5" t="s">
        <v>870</v>
      </c>
      <c r="F5" s="5" t="s">
        <v>871</v>
      </c>
      <c r="G5" s="4" t="s">
        <v>872</v>
      </c>
    </row>
    <row r="6" customFormat="false" ht="25.5" hidden="false" customHeight="true" outlineLevel="0" collapsed="false">
      <c r="A6" s="5" t="s">
        <v>873</v>
      </c>
      <c r="B6" s="5" t="s">
        <v>874</v>
      </c>
      <c r="C6" s="5" t="s">
        <v>875</v>
      </c>
      <c r="D6" s="5" t="s">
        <v>876</v>
      </c>
      <c r="E6" s="5" t="s">
        <v>877</v>
      </c>
      <c r="F6" s="5" t="s">
        <v>878</v>
      </c>
      <c r="G6" s="4" t="s">
        <v>879</v>
      </c>
    </row>
    <row r="7" customFormat="false" ht="25.5" hidden="false" customHeight="true" outlineLevel="0" collapsed="false">
      <c r="A7" s="5" t="s">
        <v>880</v>
      </c>
      <c r="B7" s="5" t="s">
        <v>881</v>
      </c>
      <c r="C7" s="5" t="s">
        <v>882</v>
      </c>
      <c r="D7" s="5" t="s">
        <v>883</v>
      </c>
      <c r="E7" s="5" t="s">
        <v>883</v>
      </c>
      <c r="F7" s="5" t="s">
        <v>878</v>
      </c>
      <c r="G7" s="4" t="s">
        <v>884</v>
      </c>
    </row>
    <row r="8" customFormat="false" ht="25.5" hidden="false" customHeight="true" outlineLevel="0" collapsed="false">
      <c r="A8" s="5" t="s">
        <v>885</v>
      </c>
      <c r="B8" s="5" t="s">
        <v>886</v>
      </c>
      <c r="C8" s="5" t="s">
        <v>887</v>
      </c>
      <c r="D8" s="5" t="s">
        <v>888</v>
      </c>
      <c r="E8" s="5" t="s">
        <v>889</v>
      </c>
      <c r="F8" s="5" t="s">
        <v>878</v>
      </c>
      <c r="G8" s="4" t="s">
        <v>890</v>
      </c>
    </row>
    <row r="9" customFormat="false" ht="25.5" hidden="false" customHeight="true" outlineLevel="0" collapsed="false">
      <c r="A9" s="5" t="s">
        <v>891</v>
      </c>
      <c r="B9" s="5" t="s">
        <v>892</v>
      </c>
      <c r="C9" s="5" t="s">
        <v>893</v>
      </c>
      <c r="D9" s="5" t="s">
        <v>894</v>
      </c>
      <c r="E9" s="5" t="s">
        <v>894</v>
      </c>
      <c r="F9" s="5" t="s">
        <v>878</v>
      </c>
      <c r="G9" s="4" t="s">
        <v>895</v>
      </c>
    </row>
    <row r="11" customFormat="false" ht="15" hidden="false" customHeight="true" outlineLevel="0" collapsed="false">
      <c r="A11" s="8" t="s">
        <v>896</v>
      </c>
    </row>
    <row r="12" customFormat="false" ht="15" hidden="false" customHeight="true" outlineLevel="0" collapsed="false">
      <c r="A12" s="8" t="s">
        <v>897</v>
      </c>
    </row>
    <row r="13" customFormat="false" ht="15" hidden="false" customHeight="false" outlineLevel="0" collapsed="false">
      <c r="A13" s="15" t="s">
        <v>898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899</v>
      </c>
    </row>
    <row r="3" customFormat="false" ht="15" hidden="false" customHeight="true" outlineLevel="0" collapsed="false">
      <c r="A3" s="3" t="s">
        <v>900</v>
      </c>
      <c r="B3" s="3" t="s">
        <v>901</v>
      </c>
      <c r="C3" s="3" t="s">
        <v>902</v>
      </c>
      <c r="D3" s="3" t="s">
        <v>903</v>
      </c>
    </row>
    <row r="4" customFormat="false" ht="30" hidden="false" customHeight="true" outlineLevel="0" collapsed="false">
      <c r="A4" s="4" t="s">
        <v>904</v>
      </c>
      <c r="B4" s="4" t="s">
        <v>905</v>
      </c>
      <c r="C4" s="4" t="s">
        <v>906</v>
      </c>
      <c r="D4" s="4" t="s">
        <v>907</v>
      </c>
    </row>
    <row r="5" customFormat="false" ht="30" hidden="false" customHeight="true" outlineLevel="0" collapsed="false">
      <c r="A5" s="4" t="s">
        <v>908</v>
      </c>
      <c r="B5" s="4" t="s">
        <v>909</v>
      </c>
      <c r="C5" s="4" t="s">
        <v>909</v>
      </c>
      <c r="D5" s="4" t="s">
        <v>910</v>
      </c>
    </row>
    <row r="6" customFormat="false" ht="30" hidden="false" customHeight="true" outlineLevel="0" collapsed="false">
      <c r="A6" s="4" t="s">
        <v>911</v>
      </c>
      <c r="B6" s="4" t="s">
        <v>909</v>
      </c>
      <c r="C6" s="4" t="s">
        <v>905</v>
      </c>
      <c r="D6" s="4" t="s">
        <v>912</v>
      </c>
    </row>
    <row r="7" customFormat="false" ht="35.05" hidden="false" customHeight="false" outlineLevel="0" collapsed="false">
      <c r="A7" s="7" t="s">
        <v>913</v>
      </c>
      <c r="B7" s="7" t="s">
        <v>914</v>
      </c>
      <c r="C7" s="7" t="s">
        <v>915</v>
      </c>
      <c r="D7" s="7" t="s">
        <v>916</v>
      </c>
    </row>
    <row r="8" customFormat="false" ht="23.85" hidden="false" customHeight="false" outlineLevel="0" collapsed="false">
      <c r="A8" s="7" t="s">
        <v>917</v>
      </c>
      <c r="B8" s="7" t="s">
        <v>909</v>
      </c>
      <c r="C8" s="7" t="s">
        <v>915</v>
      </c>
      <c r="D8" s="7" t="s">
        <v>918</v>
      </c>
    </row>
    <row r="9" customFormat="false" ht="35.05" hidden="false" customHeight="false" outlineLevel="0" collapsed="false">
      <c r="A9" s="7" t="s">
        <v>919</v>
      </c>
      <c r="B9" s="7" t="s">
        <v>905</v>
      </c>
      <c r="C9" s="7" t="s">
        <v>905</v>
      </c>
      <c r="D9" s="7" t="s">
        <v>920</v>
      </c>
    </row>
    <row r="10" customFormat="false" ht="23.85" hidden="false" customHeight="false" outlineLevel="0" collapsed="false">
      <c r="A10" s="7" t="s">
        <v>921</v>
      </c>
      <c r="B10" s="7" t="s">
        <v>905</v>
      </c>
      <c r="C10" s="7" t="s">
        <v>906</v>
      </c>
      <c r="D10" s="7" t="s">
        <v>922</v>
      </c>
    </row>
    <row r="11" customFormat="false" ht="48" hidden="false" customHeight="true" outlineLevel="0" collapsed="false">
      <c r="A11" s="7" t="s">
        <v>923</v>
      </c>
      <c r="B11" s="7" t="s">
        <v>905</v>
      </c>
      <c r="C11" s="7" t="s">
        <v>905</v>
      </c>
      <c r="D11" s="7" t="s">
        <v>924</v>
      </c>
    </row>
    <row r="12" customFormat="false" ht="48" hidden="false" customHeight="true" outlineLevel="0" collapsed="false">
      <c r="A12" s="7" t="s">
        <v>925</v>
      </c>
      <c r="B12" s="7" t="s">
        <v>905</v>
      </c>
      <c r="C12" s="7" t="s">
        <v>905</v>
      </c>
      <c r="D12" s="7" t="s">
        <v>926</v>
      </c>
    </row>
    <row r="13" customFormat="false" ht="48" hidden="false" customHeight="true" outlineLevel="0" collapsed="false">
      <c r="A13" s="7" t="s">
        <v>927</v>
      </c>
      <c r="B13" s="7" t="s">
        <v>909</v>
      </c>
      <c r="C13" s="7" t="s">
        <v>915</v>
      </c>
      <c r="D13" s="7" t="s">
        <v>928</v>
      </c>
    </row>
    <row r="14" customFormat="false" ht="48" hidden="false" customHeight="true" outlineLevel="0" collapsed="false">
      <c r="A14" s="7" t="s">
        <v>929</v>
      </c>
      <c r="B14" s="7" t="s">
        <v>909</v>
      </c>
      <c r="C14" s="7" t="s">
        <v>909</v>
      </c>
      <c r="D14" s="7" t="s">
        <v>930</v>
      </c>
    </row>
    <row r="15" customFormat="false" ht="48" hidden="false" customHeight="true" outlineLevel="0" collapsed="false">
      <c r="A15" s="7" t="s">
        <v>931</v>
      </c>
      <c r="B15" s="7" t="s">
        <v>932</v>
      </c>
      <c r="C15" s="7" t="s">
        <v>933</v>
      </c>
      <c r="D15" s="7" t="s">
        <v>934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7"/>
    <col collapsed="false" customWidth="true" hidden="false" outlineLevel="0" max="4" min="4" style="1" width="42"/>
    <col collapsed="false" customWidth="true" hidden="false" outlineLevel="0" max="5" min="5" style="1" width="26"/>
    <col collapsed="false" customWidth="true" hidden="false" outlineLevel="0" max="6" min="6" style="1" width="14"/>
    <col collapsed="false" customWidth="true" hidden="false" outlineLevel="0" max="7" min="7" style="1" width="60"/>
    <col collapsed="false" customWidth="true" hidden="false" outlineLevel="0" max="8" min="8" style="0" width="56"/>
  </cols>
  <sheetData>
    <row r="1" customFormat="false" ht="15" hidden="false" customHeight="true" outlineLevel="0" collapsed="false">
      <c r="A1" s="18" t="s">
        <v>935</v>
      </c>
    </row>
    <row r="3" customFormat="false" ht="15" hidden="false" customHeight="true" outlineLevel="0" collapsed="false">
      <c r="A3" s="32" t="s">
        <v>120</v>
      </c>
      <c r="B3" s="32" t="s">
        <v>400</v>
      </c>
      <c r="C3" s="32" t="s">
        <v>126</v>
      </c>
      <c r="D3" s="32" t="s">
        <v>936</v>
      </c>
      <c r="E3" s="32" t="s">
        <v>937</v>
      </c>
      <c r="F3" s="32" t="s">
        <v>5</v>
      </c>
      <c r="G3" s="32" t="s">
        <v>938</v>
      </c>
      <c r="H3" s="33" t="s">
        <v>939</v>
      </c>
    </row>
    <row r="4" customFormat="false" ht="15" hidden="false" customHeight="true" outlineLevel="0" collapsed="false">
      <c r="A4" s="20" t="s">
        <v>404</v>
      </c>
      <c r="B4" s="20" t="s">
        <v>405</v>
      </c>
      <c r="C4" s="20" t="s">
        <v>408</v>
      </c>
      <c r="D4" s="20" t="s">
        <v>940</v>
      </c>
      <c r="E4" s="20" t="s">
        <v>941</v>
      </c>
      <c r="F4" s="20" t="s">
        <v>409</v>
      </c>
      <c r="G4" s="20" t="s">
        <v>942</v>
      </c>
      <c r="H4" s="7" t="s">
        <v>943</v>
      </c>
    </row>
    <row r="5" customFormat="false" ht="15" hidden="false" customHeight="true" outlineLevel="0" collapsed="false">
      <c r="A5" s="20" t="s">
        <v>410</v>
      </c>
      <c r="B5" s="20" t="s">
        <v>405</v>
      </c>
      <c r="C5" s="20" t="s">
        <v>408</v>
      </c>
      <c r="D5" s="20" t="s">
        <v>944</v>
      </c>
      <c r="E5" s="20" t="s">
        <v>945</v>
      </c>
      <c r="F5" s="20" t="s">
        <v>409</v>
      </c>
      <c r="G5" s="20" t="s">
        <v>942</v>
      </c>
      <c r="H5" s="7" t="s">
        <v>946</v>
      </c>
    </row>
    <row r="6" customFormat="false" ht="15" hidden="false" customHeight="true" outlineLevel="0" collapsed="false">
      <c r="A6" s="20" t="s">
        <v>412</v>
      </c>
      <c r="B6" s="20" t="s">
        <v>405</v>
      </c>
      <c r="C6" s="20" t="s">
        <v>408</v>
      </c>
      <c r="D6" s="20" t="s">
        <v>940</v>
      </c>
      <c r="E6" s="20" t="s">
        <v>941</v>
      </c>
      <c r="F6" s="20" t="s">
        <v>409</v>
      </c>
      <c r="G6" s="20" t="s">
        <v>942</v>
      </c>
      <c r="H6" s="7" t="s">
        <v>943</v>
      </c>
    </row>
    <row r="7" customFormat="false" ht="15" hidden="false" customHeight="true" outlineLevel="0" collapsed="false">
      <c r="A7" s="20" t="s">
        <v>415</v>
      </c>
      <c r="B7" s="20" t="s">
        <v>405</v>
      </c>
      <c r="C7" s="20" t="s">
        <v>408</v>
      </c>
      <c r="D7" s="20" t="s">
        <v>944</v>
      </c>
      <c r="E7" s="20" t="s">
        <v>945</v>
      </c>
      <c r="F7" s="20" t="s">
        <v>409</v>
      </c>
      <c r="G7" s="20" t="s">
        <v>942</v>
      </c>
      <c r="H7" s="7" t="s">
        <v>946</v>
      </c>
    </row>
    <row r="8" customFormat="false" ht="15" hidden="false" customHeight="true" outlineLevel="0" collapsed="false">
      <c r="A8" s="20" t="s">
        <v>417</v>
      </c>
      <c r="B8" s="20" t="s">
        <v>405</v>
      </c>
      <c r="C8" s="20" t="s">
        <v>419</v>
      </c>
      <c r="D8" s="20" t="s">
        <v>944</v>
      </c>
      <c r="E8" s="20" t="s">
        <v>945</v>
      </c>
      <c r="F8" s="20" t="s">
        <v>409</v>
      </c>
      <c r="G8" s="20" t="s">
        <v>942</v>
      </c>
      <c r="H8" s="7" t="s">
        <v>946</v>
      </c>
    </row>
    <row r="9" customFormat="false" ht="15" hidden="false" customHeight="true" outlineLevel="0" collapsed="false">
      <c r="A9" s="20" t="s">
        <v>420</v>
      </c>
      <c r="B9" s="20" t="s">
        <v>405</v>
      </c>
      <c r="C9" s="20" t="s">
        <v>419</v>
      </c>
      <c r="D9" s="20" t="s">
        <v>940</v>
      </c>
      <c r="E9" s="20" t="s">
        <v>941</v>
      </c>
      <c r="F9" s="20" t="s">
        <v>409</v>
      </c>
      <c r="G9" s="20" t="s">
        <v>942</v>
      </c>
      <c r="H9" s="7" t="s">
        <v>943</v>
      </c>
    </row>
    <row r="10" customFormat="false" ht="15" hidden="false" customHeight="true" outlineLevel="0" collapsed="false">
      <c r="A10" s="20" t="s">
        <v>422</v>
      </c>
      <c r="B10" s="20" t="s">
        <v>405</v>
      </c>
      <c r="C10" s="20" t="s">
        <v>419</v>
      </c>
      <c r="D10" s="20" t="s">
        <v>940</v>
      </c>
      <c r="E10" s="20" t="s">
        <v>941</v>
      </c>
      <c r="F10" s="20" t="s">
        <v>409</v>
      </c>
      <c r="G10" s="20" t="s">
        <v>942</v>
      </c>
      <c r="H10" s="7" t="s">
        <v>943</v>
      </c>
    </row>
    <row r="11" customFormat="false" ht="15" hidden="false" customHeight="true" outlineLevel="0" collapsed="false">
      <c r="A11" s="20" t="s">
        <v>424</v>
      </c>
      <c r="B11" s="20" t="s">
        <v>405</v>
      </c>
      <c r="C11" s="20" t="s">
        <v>419</v>
      </c>
      <c r="D11" s="20" t="s">
        <v>940</v>
      </c>
      <c r="E11" s="20" t="s">
        <v>941</v>
      </c>
      <c r="F11" s="20" t="s">
        <v>409</v>
      </c>
      <c r="G11" s="20" t="s">
        <v>942</v>
      </c>
      <c r="H11" s="7" t="s">
        <v>943</v>
      </c>
    </row>
    <row r="12" customFormat="false" ht="15" hidden="false" customHeight="true" outlineLevel="0" collapsed="false">
      <c r="A12" s="20" t="s">
        <v>427</v>
      </c>
      <c r="B12" s="20" t="s">
        <v>405</v>
      </c>
      <c r="C12" s="20" t="s">
        <v>419</v>
      </c>
      <c r="D12" s="20" t="s">
        <v>940</v>
      </c>
      <c r="E12" s="20" t="s">
        <v>941</v>
      </c>
      <c r="F12" s="20" t="s">
        <v>409</v>
      </c>
      <c r="G12" s="20" t="s">
        <v>942</v>
      </c>
      <c r="H12" s="7" t="s">
        <v>943</v>
      </c>
    </row>
    <row r="13" customFormat="false" ht="15" hidden="false" customHeight="true" outlineLevel="0" collapsed="false">
      <c r="A13" s="20" t="s">
        <v>429</v>
      </c>
      <c r="B13" s="20" t="s">
        <v>405</v>
      </c>
      <c r="C13" s="20" t="s">
        <v>419</v>
      </c>
      <c r="D13" s="20" t="s">
        <v>940</v>
      </c>
      <c r="E13" s="20" t="s">
        <v>941</v>
      </c>
      <c r="F13" s="20" t="s">
        <v>409</v>
      </c>
      <c r="G13" s="20" t="s">
        <v>942</v>
      </c>
      <c r="H13" s="7" t="s">
        <v>943</v>
      </c>
    </row>
    <row r="14" customFormat="false" ht="15" hidden="false" customHeight="true" outlineLevel="0" collapsed="false">
      <c r="A14" s="20" t="s">
        <v>431</v>
      </c>
      <c r="B14" s="20" t="s">
        <v>432</v>
      </c>
      <c r="C14" s="20" t="s">
        <v>419</v>
      </c>
      <c r="D14" s="20" t="s">
        <v>940</v>
      </c>
      <c r="E14" s="20" t="s">
        <v>941</v>
      </c>
      <c r="F14" s="20" t="s">
        <v>409</v>
      </c>
      <c r="G14" s="20" t="s">
        <v>942</v>
      </c>
      <c r="H14" s="7" t="s">
        <v>943</v>
      </c>
    </row>
    <row r="15" customFormat="false" ht="15" hidden="false" customHeight="true" outlineLevel="0" collapsed="false">
      <c r="A15" s="20" t="s">
        <v>434</v>
      </c>
      <c r="B15" s="20" t="s">
        <v>432</v>
      </c>
      <c r="C15" s="20" t="s">
        <v>419</v>
      </c>
      <c r="D15" s="20" t="s">
        <v>947</v>
      </c>
      <c r="E15" s="20" t="s">
        <v>948</v>
      </c>
      <c r="F15" s="20" t="s">
        <v>409</v>
      </c>
      <c r="G15" s="20" t="s">
        <v>942</v>
      </c>
      <c r="H15" s="7" t="s">
        <v>949</v>
      </c>
    </row>
    <row r="16" customFormat="false" ht="15" hidden="false" customHeight="true" outlineLevel="0" collapsed="false">
      <c r="A16" s="20" t="s">
        <v>436</v>
      </c>
      <c r="B16" s="20" t="s">
        <v>432</v>
      </c>
      <c r="C16" s="20" t="s">
        <v>419</v>
      </c>
      <c r="D16" s="20" t="s">
        <v>940</v>
      </c>
      <c r="E16" s="20" t="s">
        <v>941</v>
      </c>
      <c r="F16" s="20" t="s">
        <v>409</v>
      </c>
      <c r="G16" s="20" t="s">
        <v>942</v>
      </c>
      <c r="H16" s="7" t="s">
        <v>943</v>
      </c>
    </row>
    <row r="17" customFormat="false" ht="15" hidden="false" customHeight="true" outlineLevel="0" collapsed="false">
      <c r="A17" s="20" t="s">
        <v>438</v>
      </c>
      <c r="B17" s="20" t="s">
        <v>432</v>
      </c>
      <c r="C17" s="20" t="s">
        <v>419</v>
      </c>
      <c r="D17" s="20" t="s">
        <v>947</v>
      </c>
      <c r="E17" s="20" t="s">
        <v>948</v>
      </c>
      <c r="F17" s="20" t="s">
        <v>409</v>
      </c>
      <c r="G17" s="20" t="s">
        <v>942</v>
      </c>
      <c r="H17" s="7" t="s">
        <v>949</v>
      </c>
    </row>
    <row r="18" customFormat="false" ht="15" hidden="false" customHeight="true" outlineLevel="0" collapsed="false">
      <c r="A18" s="20" t="s">
        <v>440</v>
      </c>
      <c r="B18" s="20" t="s">
        <v>432</v>
      </c>
      <c r="C18" s="20" t="s">
        <v>442</v>
      </c>
      <c r="D18" s="20" t="s">
        <v>947</v>
      </c>
      <c r="E18" s="20" t="s">
        <v>948</v>
      </c>
      <c r="F18" s="20" t="s">
        <v>409</v>
      </c>
      <c r="G18" s="20" t="s">
        <v>942</v>
      </c>
      <c r="H18" s="7" t="s">
        <v>949</v>
      </c>
    </row>
    <row r="19" customFormat="false" ht="15" hidden="false" customHeight="true" outlineLevel="0" collapsed="false">
      <c r="A19" s="20" t="s">
        <v>443</v>
      </c>
      <c r="B19" s="20" t="s">
        <v>432</v>
      </c>
      <c r="C19" s="20" t="s">
        <v>442</v>
      </c>
      <c r="D19" s="20" t="s">
        <v>940</v>
      </c>
      <c r="E19" s="20" t="s">
        <v>941</v>
      </c>
      <c r="F19" s="20" t="s">
        <v>409</v>
      </c>
      <c r="G19" s="20" t="s">
        <v>942</v>
      </c>
      <c r="H19" s="7" t="s">
        <v>943</v>
      </c>
    </row>
    <row r="20" customFormat="false" ht="15" hidden="false" customHeight="true" outlineLevel="0" collapsed="false">
      <c r="A20" s="20" t="s">
        <v>445</v>
      </c>
      <c r="B20" s="20" t="s">
        <v>432</v>
      </c>
      <c r="C20" s="20" t="s">
        <v>442</v>
      </c>
      <c r="D20" s="20" t="s">
        <v>940</v>
      </c>
      <c r="E20" s="20" t="s">
        <v>941</v>
      </c>
      <c r="F20" s="20" t="s">
        <v>409</v>
      </c>
      <c r="G20" s="20" t="s">
        <v>942</v>
      </c>
      <c r="H20" s="7" t="s">
        <v>943</v>
      </c>
    </row>
    <row r="21" customFormat="false" ht="15" hidden="false" customHeight="true" outlineLevel="0" collapsed="false">
      <c r="A21" s="20" t="s">
        <v>447</v>
      </c>
      <c r="B21" s="20" t="s">
        <v>432</v>
      </c>
      <c r="C21" s="20" t="s">
        <v>442</v>
      </c>
      <c r="D21" s="20" t="s">
        <v>940</v>
      </c>
      <c r="E21" s="20" t="s">
        <v>941</v>
      </c>
      <c r="F21" s="20" t="s">
        <v>409</v>
      </c>
      <c r="G21" s="20" t="s">
        <v>942</v>
      </c>
      <c r="H21" s="7" t="s">
        <v>943</v>
      </c>
    </row>
    <row r="22" customFormat="false" ht="15" hidden="false" customHeight="true" outlineLevel="0" collapsed="false">
      <c r="A22" s="20" t="s">
        <v>449</v>
      </c>
      <c r="B22" s="20" t="s">
        <v>432</v>
      </c>
      <c r="C22" s="20" t="s">
        <v>442</v>
      </c>
      <c r="D22" s="20" t="s">
        <v>940</v>
      </c>
      <c r="E22" s="20" t="s">
        <v>941</v>
      </c>
      <c r="F22" s="20" t="s">
        <v>409</v>
      </c>
      <c r="G22" s="20" t="s">
        <v>942</v>
      </c>
      <c r="H22" s="7" t="s">
        <v>943</v>
      </c>
    </row>
    <row r="23" customFormat="false" ht="15" hidden="false" customHeight="true" outlineLevel="0" collapsed="false">
      <c r="A23" s="20" t="s">
        <v>451</v>
      </c>
      <c r="B23" s="20" t="s">
        <v>432</v>
      </c>
      <c r="C23" s="20" t="s">
        <v>442</v>
      </c>
      <c r="D23" s="20" t="s">
        <v>940</v>
      </c>
      <c r="E23" s="20" t="s">
        <v>941</v>
      </c>
      <c r="F23" s="20" t="s">
        <v>409</v>
      </c>
      <c r="G23" s="20" t="s">
        <v>942</v>
      </c>
      <c r="H23" s="7" t="s">
        <v>943</v>
      </c>
    </row>
    <row r="24" customFormat="false" ht="15" hidden="false" customHeight="true" outlineLevel="0" collapsed="false">
      <c r="A24" s="20" t="s">
        <v>453</v>
      </c>
      <c r="B24" s="20" t="s">
        <v>454</v>
      </c>
      <c r="C24" s="20" t="s">
        <v>456</v>
      </c>
      <c r="D24" s="20" t="s">
        <v>940</v>
      </c>
      <c r="E24" s="20" t="s">
        <v>941</v>
      </c>
      <c r="F24" s="20" t="s">
        <v>409</v>
      </c>
      <c r="G24" s="20" t="s">
        <v>942</v>
      </c>
      <c r="H24" s="7" t="s">
        <v>943</v>
      </c>
    </row>
    <row r="25" customFormat="false" ht="15" hidden="false" customHeight="true" outlineLevel="0" collapsed="false">
      <c r="A25" s="20" t="s">
        <v>457</v>
      </c>
      <c r="B25" s="20" t="s">
        <v>454</v>
      </c>
      <c r="C25" s="20" t="s">
        <v>456</v>
      </c>
      <c r="D25" s="20" t="s">
        <v>950</v>
      </c>
      <c r="E25" s="20" t="s">
        <v>951</v>
      </c>
      <c r="F25" s="20" t="s">
        <v>409</v>
      </c>
      <c r="G25" s="20" t="s">
        <v>942</v>
      </c>
      <c r="H25" s="7" t="s">
        <v>952</v>
      </c>
    </row>
    <row r="26" customFormat="false" ht="15" hidden="false" customHeight="true" outlineLevel="0" collapsed="false">
      <c r="A26" s="20" t="s">
        <v>459</v>
      </c>
      <c r="B26" s="20" t="s">
        <v>454</v>
      </c>
      <c r="C26" s="20" t="s">
        <v>456</v>
      </c>
      <c r="D26" s="20" t="s">
        <v>940</v>
      </c>
      <c r="E26" s="20" t="s">
        <v>941</v>
      </c>
      <c r="F26" s="20" t="s">
        <v>409</v>
      </c>
      <c r="G26" s="20" t="s">
        <v>942</v>
      </c>
      <c r="H26" s="7" t="s">
        <v>943</v>
      </c>
    </row>
    <row r="27" customFormat="false" ht="15" hidden="false" customHeight="true" outlineLevel="0" collapsed="false">
      <c r="A27" s="20" t="s">
        <v>461</v>
      </c>
      <c r="B27" s="20" t="s">
        <v>454</v>
      </c>
      <c r="C27" s="20" t="s">
        <v>456</v>
      </c>
      <c r="D27" s="20" t="s">
        <v>950</v>
      </c>
      <c r="E27" s="20" t="s">
        <v>951</v>
      </c>
      <c r="F27" s="20" t="s">
        <v>409</v>
      </c>
      <c r="G27" s="20" t="s">
        <v>942</v>
      </c>
      <c r="H27" s="7" t="s">
        <v>952</v>
      </c>
    </row>
    <row r="28" customFormat="false" ht="15" hidden="false" customHeight="true" outlineLevel="0" collapsed="false">
      <c r="A28" s="20" t="s">
        <v>463</v>
      </c>
      <c r="B28" s="20" t="s">
        <v>454</v>
      </c>
      <c r="C28" s="20" t="s">
        <v>456</v>
      </c>
      <c r="D28" s="20" t="s">
        <v>950</v>
      </c>
      <c r="E28" s="20" t="s">
        <v>951</v>
      </c>
      <c r="F28" s="20" t="s">
        <v>409</v>
      </c>
      <c r="G28" s="20" t="s">
        <v>942</v>
      </c>
      <c r="H28" s="7" t="s">
        <v>952</v>
      </c>
    </row>
    <row r="29" customFormat="false" ht="15" hidden="false" customHeight="true" outlineLevel="0" collapsed="false">
      <c r="A29" s="20" t="s">
        <v>465</v>
      </c>
      <c r="B29" s="20" t="s">
        <v>454</v>
      </c>
      <c r="C29" s="20" t="s">
        <v>456</v>
      </c>
      <c r="D29" s="20" t="s">
        <v>940</v>
      </c>
      <c r="E29" s="20" t="s">
        <v>941</v>
      </c>
      <c r="F29" s="20" t="s">
        <v>409</v>
      </c>
      <c r="G29" s="20" t="s">
        <v>942</v>
      </c>
      <c r="H29" s="7" t="s">
        <v>943</v>
      </c>
    </row>
    <row r="30" customFormat="false" ht="15" hidden="false" customHeight="true" outlineLevel="0" collapsed="false">
      <c r="A30" s="20" t="s">
        <v>467</v>
      </c>
      <c r="B30" s="20" t="s">
        <v>454</v>
      </c>
      <c r="C30" s="20" t="s">
        <v>456</v>
      </c>
      <c r="D30" s="20" t="s">
        <v>940</v>
      </c>
      <c r="E30" s="20" t="s">
        <v>941</v>
      </c>
      <c r="F30" s="20" t="s">
        <v>409</v>
      </c>
      <c r="G30" s="20" t="s">
        <v>942</v>
      </c>
      <c r="H30" s="7" t="s">
        <v>943</v>
      </c>
    </row>
    <row r="31" customFormat="false" ht="15" hidden="false" customHeight="true" outlineLevel="0" collapsed="false">
      <c r="A31" s="20" t="s">
        <v>469</v>
      </c>
      <c r="B31" s="20" t="s">
        <v>454</v>
      </c>
      <c r="C31" s="20" t="s">
        <v>456</v>
      </c>
      <c r="D31" s="20" t="s">
        <v>940</v>
      </c>
      <c r="E31" s="20" t="s">
        <v>941</v>
      </c>
      <c r="F31" s="20" t="s">
        <v>409</v>
      </c>
      <c r="G31" s="20" t="s">
        <v>942</v>
      </c>
      <c r="H31" s="7" t="s">
        <v>943</v>
      </c>
    </row>
    <row r="32" customFormat="false" ht="15" hidden="false" customHeight="true" outlineLevel="0" collapsed="false">
      <c r="A32" s="20" t="s">
        <v>471</v>
      </c>
      <c r="B32" s="20" t="s">
        <v>454</v>
      </c>
      <c r="C32" s="20" t="s">
        <v>456</v>
      </c>
      <c r="D32" s="20" t="s">
        <v>940</v>
      </c>
      <c r="E32" s="20" t="s">
        <v>941</v>
      </c>
      <c r="F32" s="20" t="s">
        <v>409</v>
      </c>
      <c r="G32" s="20" t="s">
        <v>942</v>
      </c>
      <c r="H32" s="7" t="s">
        <v>943</v>
      </c>
    </row>
    <row r="33" customFormat="false" ht="15" hidden="false" customHeight="true" outlineLevel="0" collapsed="false">
      <c r="A33" s="20" t="s">
        <v>473</v>
      </c>
      <c r="B33" s="20" t="s">
        <v>454</v>
      </c>
      <c r="C33" s="20" t="s">
        <v>456</v>
      </c>
      <c r="D33" s="20" t="s">
        <v>940</v>
      </c>
      <c r="E33" s="20" t="s">
        <v>941</v>
      </c>
      <c r="F33" s="20" t="s">
        <v>409</v>
      </c>
      <c r="G33" s="20" t="s">
        <v>942</v>
      </c>
      <c r="H33" s="7" t="s">
        <v>943</v>
      </c>
    </row>
    <row r="34" customFormat="false" ht="15" hidden="false" customHeight="true" outlineLevel="0" collapsed="false">
      <c r="A34" s="20" t="s">
        <v>475</v>
      </c>
      <c r="B34" s="20" t="s">
        <v>476</v>
      </c>
      <c r="C34" s="20" t="s">
        <v>478</v>
      </c>
      <c r="D34" s="20" t="s">
        <v>940</v>
      </c>
      <c r="E34" s="20" t="s">
        <v>941</v>
      </c>
      <c r="F34" s="20" t="s">
        <v>409</v>
      </c>
      <c r="G34" s="20" t="s">
        <v>942</v>
      </c>
      <c r="H34" s="7" t="s">
        <v>943</v>
      </c>
    </row>
    <row r="35" customFormat="false" ht="15" hidden="false" customHeight="true" outlineLevel="0" collapsed="false">
      <c r="A35" s="20" t="s">
        <v>479</v>
      </c>
      <c r="B35" s="20" t="s">
        <v>476</v>
      </c>
      <c r="C35" s="20" t="s">
        <v>478</v>
      </c>
      <c r="D35" s="20" t="s">
        <v>953</v>
      </c>
      <c r="E35" s="20" t="s">
        <v>954</v>
      </c>
      <c r="F35" s="20" t="s">
        <v>409</v>
      </c>
      <c r="G35" s="20" t="s">
        <v>942</v>
      </c>
      <c r="H35" s="7" t="s">
        <v>955</v>
      </c>
    </row>
    <row r="36" customFormat="false" ht="15" hidden="false" customHeight="true" outlineLevel="0" collapsed="false">
      <c r="A36" s="20" t="s">
        <v>481</v>
      </c>
      <c r="B36" s="20" t="s">
        <v>476</v>
      </c>
      <c r="C36" s="20" t="s">
        <v>478</v>
      </c>
      <c r="D36" s="20" t="s">
        <v>940</v>
      </c>
      <c r="E36" s="20" t="s">
        <v>941</v>
      </c>
      <c r="F36" s="20" t="s">
        <v>409</v>
      </c>
      <c r="G36" s="20" t="s">
        <v>942</v>
      </c>
      <c r="H36" s="7" t="s">
        <v>943</v>
      </c>
    </row>
    <row r="37" customFormat="false" ht="15" hidden="false" customHeight="true" outlineLevel="0" collapsed="false">
      <c r="A37" s="20" t="s">
        <v>483</v>
      </c>
      <c r="B37" s="20" t="s">
        <v>476</v>
      </c>
      <c r="C37" s="20" t="s">
        <v>478</v>
      </c>
      <c r="D37" s="20" t="s">
        <v>953</v>
      </c>
      <c r="E37" s="20" t="s">
        <v>954</v>
      </c>
      <c r="F37" s="20" t="s">
        <v>409</v>
      </c>
      <c r="G37" s="20" t="s">
        <v>942</v>
      </c>
      <c r="H37" s="7" t="s">
        <v>955</v>
      </c>
    </row>
    <row r="38" customFormat="false" ht="15" hidden="false" customHeight="true" outlineLevel="0" collapsed="false">
      <c r="A38" s="20" t="s">
        <v>485</v>
      </c>
      <c r="B38" s="20" t="s">
        <v>476</v>
      </c>
      <c r="C38" s="20" t="s">
        <v>478</v>
      </c>
      <c r="D38" s="20" t="s">
        <v>953</v>
      </c>
      <c r="E38" s="20" t="s">
        <v>954</v>
      </c>
      <c r="F38" s="20" t="s">
        <v>409</v>
      </c>
      <c r="G38" s="20" t="s">
        <v>942</v>
      </c>
      <c r="H38" s="7" t="s">
        <v>955</v>
      </c>
    </row>
    <row r="39" customFormat="false" ht="15" hidden="false" customHeight="true" outlineLevel="0" collapsed="false">
      <c r="A39" s="20" t="s">
        <v>487</v>
      </c>
      <c r="B39" s="20" t="s">
        <v>476</v>
      </c>
      <c r="C39" s="20" t="s">
        <v>478</v>
      </c>
      <c r="D39" s="20" t="s">
        <v>940</v>
      </c>
      <c r="E39" s="20" t="s">
        <v>941</v>
      </c>
      <c r="F39" s="20" t="s">
        <v>409</v>
      </c>
      <c r="G39" s="20" t="s">
        <v>942</v>
      </c>
      <c r="H39" s="7" t="s">
        <v>943</v>
      </c>
    </row>
    <row r="40" customFormat="false" ht="15" hidden="false" customHeight="true" outlineLevel="0" collapsed="false">
      <c r="A40" s="20" t="s">
        <v>489</v>
      </c>
      <c r="B40" s="20" t="s">
        <v>476</v>
      </c>
      <c r="C40" s="20" t="s">
        <v>478</v>
      </c>
      <c r="D40" s="20" t="s">
        <v>940</v>
      </c>
      <c r="E40" s="20" t="s">
        <v>941</v>
      </c>
      <c r="F40" s="20" t="s">
        <v>409</v>
      </c>
      <c r="G40" s="20" t="s">
        <v>942</v>
      </c>
      <c r="H40" s="7" t="s">
        <v>943</v>
      </c>
    </row>
    <row r="41" customFormat="false" ht="15" hidden="false" customHeight="true" outlineLevel="0" collapsed="false">
      <c r="A41" s="20" t="s">
        <v>491</v>
      </c>
      <c r="B41" s="20" t="s">
        <v>476</v>
      </c>
      <c r="C41" s="20" t="s">
        <v>478</v>
      </c>
      <c r="D41" s="20" t="s">
        <v>940</v>
      </c>
      <c r="E41" s="20" t="s">
        <v>941</v>
      </c>
      <c r="F41" s="20" t="s">
        <v>409</v>
      </c>
      <c r="G41" s="20" t="s">
        <v>942</v>
      </c>
      <c r="H41" s="7" t="s">
        <v>943</v>
      </c>
    </row>
    <row r="42" customFormat="false" ht="15" hidden="false" customHeight="true" outlineLevel="0" collapsed="false">
      <c r="A42" s="20" t="s">
        <v>493</v>
      </c>
      <c r="B42" s="20" t="s">
        <v>476</v>
      </c>
      <c r="C42" s="20" t="s">
        <v>478</v>
      </c>
      <c r="D42" s="20" t="s">
        <v>940</v>
      </c>
      <c r="E42" s="20" t="s">
        <v>941</v>
      </c>
      <c r="F42" s="20" t="s">
        <v>409</v>
      </c>
      <c r="G42" s="20" t="s">
        <v>942</v>
      </c>
      <c r="H42" s="7" t="s">
        <v>943</v>
      </c>
    </row>
    <row r="43" customFormat="false" ht="15" hidden="false" customHeight="true" outlineLevel="0" collapsed="false">
      <c r="A43" s="20" t="s">
        <v>495</v>
      </c>
      <c r="B43" s="20" t="s">
        <v>476</v>
      </c>
      <c r="C43" s="20" t="s">
        <v>478</v>
      </c>
      <c r="D43" s="20" t="s">
        <v>940</v>
      </c>
      <c r="E43" s="20" t="s">
        <v>941</v>
      </c>
      <c r="F43" s="20" t="s">
        <v>409</v>
      </c>
      <c r="G43" s="20" t="s">
        <v>942</v>
      </c>
      <c r="H43" s="7" t="s">
        <v>943</v>
      </c>
    </row>
    <row r="44" customFormat="false" ht="15" hidden="false" customHeight="true" outlineLevel="0" collapsed="false">
      <c r="A44" s="20" t="s">
        <v>497</v>
      </c>
      <c r="B44" s="20" t="s">
        <v>498</v>
      </c>
      <c r="C44" s="20" t="s">
        <v>500</v>
      </c>
      <c r="D44" s="20" t="s">
        <v>940</v>
      </c>
      <c r="E44" s="20" t="s">
        <v>941</v>
      </c>
      <c r="F44" s="20" t="s">
        <v>409</v>
      </c>
      <c r="G44" s="20" t="s">
        <v>942</v>
      </c>
      <c r="H44" s="7" t="s">
        <v>943</v>
      </c>
    </row>
    <row r="45" customFormat="false" ht="15" hidden="false" customHeight="true" outlineLevel="0" collapsed="false">
      <c r="A45" s="20" t="s">
        <v>501</v>
      </c>
      <c r="B45" s="20" t="s">
        <v>498</v>
      </c>
      <c r="C45" s="20" t="s">
        <v>500</v>
      </c>
      <c r="D45" s="20" t="s">
        <v>956</v>
      </c>
      <c r="E45" s="20" t="s">
        <v>957</v>
      </c>
      <c r="F45" s="20" t="s">
        <v>409</v>
      </c>
      <c r="G45" s="20" t="s">
        <v>942</v>
      </c>
      <c r="H45" s="7" t="s">
        <v>958</v>
      </c>
    </row>
    <row r="46" customFormat="false" ht="15" hidden="false" customHeight="true" outlineLevel="0" collapsed="false">
      <c r="A46" s="20" t="s">
        <v>503</v>
      </c>
      <c r="B46" s="20" t="s">
        <v>498</v>
      </c>
      <c r="C46" s="20" t="s">
        <v>500</v>
      </c>
      <c r="D46" s="20" t="s">
        <v>940</v>
      </c>
      <c r="E46" s="20" t="s">
        <v>941</v>
      </c>
      <c r="F46" s="20" t="s">
        <v>409</v>
      </c>
      <c r="G46" s="20" t="s">
        <v>942</v>
      </c>
      <c r="H46" s="7" t="s">
        <v>943</v>
      </c>
    </row>
    <row r="47" customFormat="false" ht="15" hidden="false" customHeight="true" outlineLevel="0" collapsed="false">
      <c r="A47" s="20" t="s">
        <v>505</v>
      </c>
      <c r="B47" s="20" t="s">
        <v>498</v>
      </c>
      <c r="C47" s="20" t="s">
        <v>500</v>
      </c>
      <c r="D47" s="20" t="s">
        <v>956</v>
      </c>
      <c r="E47" s="20" t="s">
        <v>957</v>
      </c>
      <c r="F47" s="20" t="s">
        <v>409</v>
      </c>
      <c r="G47" s="20" t="s">
        <v>942</v>
      </c>
      <c r="H47" s="7" t="s">
        <v>958</v>
      </c>
    </row>
    <row r="48" customFormat="false" ht="15" hidden="false" customHeight="true" outlineLevel="0" collapsed="false">
      <c r="A48" s="20" t="s">
        <v>507</v>
      </c>
      <c r="B48" s="20" t="s">
        <v>498</v>
      </c>
      <c r="C48" s="20" t="s">
        <v>500</v>
      </c>
      <c r="D48" s="20" t="s">
        <v>956</v>
      </c>
      <c r="E48" s="20" t="s">
        <v>957</v>
      </c>
      <c r="F48" s="20" t="s">
        <v>409</v>
      </c>
      <c r="G48" s="20" t="s">
        <v>942</v>
      </c>
      <c r="H48" s="7" t="s">
        <v>958</v>
      </c>
    </row>
    <row r="49" customFormat="false" ht="15" hidden="false" customHeight="true" outlineLevel="0" collapsed="false">
      <c r="A49" s="20" t="s">
        <v>509</v>
      </c>
      <c r="B49" s="20" t="s">
        <v>498</v>
      </c>
      <c r="C49" s="20" t="s">
        <v>500</v>
      </c>
      <c r="D49" s="20" t="s">
        <v>940</v>
      </c>
      <c r="E49" s="20" t="s">
        <v>941</v>
      </c>
      <c r="F49" s="20" t="s">
        <v>409</v>
      </c>
      <c r="G49" s="20" t="s">
        <v>942</v>
      </c>
      <c r="H49" s="7" t="s">
        <v>943</v>
      </c>
    </row>
    <row r="50" customFormat="false" ht="15" hidden="false" customHeight="true" outlineLevel="0" collapsed="false">
      <c r="A50" s="20" t="s">
        <v>511</v>
      </c>
      <c r="B50" s="20" t="s">
        <v>498</v>
      </c>
      <c r="C50" s="20" t="s">
        <v>500</v>
      </c>
      <c r="D50" s="20" t="s">
        <v>940</v>
      </c>
      <c r="E50" s="20" t="s">
        <v>941</v>
      </c>
      <c r="F50" s="20" t="s">
        <v>409</v>
      </c>
      <c r="G50" s="20" t="s">
        <v>942</v>
      </c>
      <c r="H50" s="7" t="s">
        <v>943</v>
      </c>
    </row>
    <row r="51" customFormat="false" ht="15" hidden="false" customHeight="true" outlineLevel="0" collapsed="false">
      <c r="A51" s="20" t="s">
        <v>513</v>
      </c>
      <c r="B51" s="20" t="s">
        <v>498</v>
      </c>
      <c r="C51" s="20" t="s">
        <v>500</v>
      </c>
      <c r="D51" s="20" t="s">
        <v>940</v>
      </c>
      <c r="E51" s="20" t="s">
        <v>941</v>
      </c>
      <c r="F51" s="20" t="s">
        <v>409</v>
      </c>
      <c r="G51" s="20" t="s">
        <v>942</v>
      </c>
      <c r="H51" s="7" t="s">
        <v>943</v>
      </c>
    </row>
    <row r="52" customFormat="false" ht="15" hidden="false" customHeight="true" outlineLevel="0" collapsed="false">
      <c r="A52" s="20" t="s">
        <v>515</v>
      </c>
      <c r="B52" s="20" t="s">
        <v>498</v>
      </c>
      <c r="C52" s="20" t="s">
        <v>500</v>
      </c>
      <c r="D52" s="20" t="s">
        <v>940</v>
      </c>
      <c r="E52" s="20" t="s">
        <v>941</v>
      </c>
      <c r="F52" s="20" t="s">
        <v>409</v>
      </c>
      <c r="G52" s="20" t="s">
        <v>942</v>
      </c>
      <c r="H52" s="7" t="s">
        <v>943</v>
      </c>
    </row>
    <row r="53" customFormat="false" ht="15" hidden="false" customHeight="true" outlineLevel="0" collapsed="false">
      <c r="A53" s="20" t="s">
        <v>517</v>
      </c>
      <c r="B53" s="20" t="s">
        <v>498</v>
      </c>
      <c r="C53" s="20" t="s">
        <v>500</v>
      </c>
      <c r="D53" s="20" t="s">
        <v>940</v>
      </c>
      <c r="E53" s="20" t="s">
        <v>941</v>
      </c>
      <c r="F53" s="20" t="s">
        <v>409</v>
      </c>
      <c r="G53" s="20" t="s">
        <v>942</v>
      </c>
      <c r="H53" s="7" t="s">
        <v>943</v>
      </c>
    </row>
    <row r="54" customFormat="false" ht="15" hidden="false" customHeight="true" outlineLevel="0" collapsed="false">
      <c r="A54" s="20" t="s">
        <v>519</v>
      </c>
      <c r="B54" s="20" t="s">
        <v>520</v>
      </c>
      <c r="C54" s="20" t="s">
        <v>522</v>
      </c>
      <c r="D54" s="20" t="s">
        <v>959</v>
      </c>
      <c r="E54" s="20" t="s">
        <v>960</v>
      </c>
      <c r="F54" s="20" t="s">
        <v>523</v>
      </c>
      <c r="G54" s="20" t="s">
        <v>961</v>
      </c>
      <c r="H54" s="7" t="s">
        <v>962</v>
      </c>
    </row>
    <row r="55" customFormat="false" ht="15" hidden="false" customHeight="true" outlineLevel="0" collapsed="false">
      <c r="A55" s="20" t="s">
        <v>524</v>
      </c>
      <c r="B55" s="20" t="s">
        <v>520</v>
      </c>
      <c r="C55" s="20" t="s">
        <v>522</v>
      </c>
      <c r="D55" s="20" t="s">
        <v>959</v>
      </c>
      <c r="E55" s="20" t="s">
        <v>960</v>
      </c>
      <c r="F55" s="20" t="s">
        <v>523</v>
      </c>
      <c r="G55" s="20" t="s">
        <v>963</v>
      </c>
      <c r="H55" s="7" t="s">
        <v>962</v>
      </c>
    </row>
    <row r="56" customFormat="false" ht="15" hidden="false" customHeight="true" outlineLevel="0" collapsed="false">
      <c r="A56" s="20" t="s">
        <v>526</v>
      </c>
      <c r="B56" s="20" t="s">
        <v>520</v>
      </c>
      <c r="C56" s="20" t="s">
        <v>408</v>
      </c>
      <c r="D56" s="20" t="s">
        <v>959</v>
      </c>
      <c r="E56" s="20" t="s">
        <v>960</v>
      </c>
      <c r="F56" s="20" t="s">
        <v>409</v>
      </c>
      <c r="G56" s="20" t="s">
        <v>942</v>
      </c>
      <c r="H56" s="7" t="s">
        <v>962</v>
      </c>
    </row>
    <row r="57" customFormat="false" ht="15" hidden="false" customHeight="true" outlineLevel="0" collapsed="false">
      <c r="A57" s="20" t="s">
        <v>528</v>
      </c>
      <c r="B57" s="20" t="s">
        <v>520</v>
      </c>
      <c r="C57" s="20" t="s">
        <v>408</v>
      </c>
      <c r="D57" s="20" t="s">
        <v>964</v>
      </c>
      <c r="E57" s="20" t="s">
        <v>965</v>
      </c>
      <c r="F57" s="20" t="s">
        <v>409</v>
      </c>
      <c r="G57" s="20" t="s">
        <v>942</v>
      </c>
      <c r="H57" s="7" t="s">
        <v>962</v>
      </c>
    </row>
    <row r="58" customFormat="false" ht="15" hidden="false" customHeight="true" outlineLevel="0" collapsed="false">
      <c r="A58" s="20" t="s">
        <v>530</v>
      </c>
      <c r="B58" s="20" t="s">
        <v>520</v>
      </c>
      <c r="C58" s="20" t="s">
        <v>522</v>
      </c>
      <c r="D58" s="20" t="s">
        <v>959</v>
      </c>
      <c r="E58" s="20" t="s">
        <v>960</v>
      </c>
      <c r="F58" s="20" t="s">
        <v>523</v>
      </c>
      <c r="G58" s="20" t="s">
        <v>966</v>
      </c>
      <c r="H58" s="7" t="s">
        <v>962</v>
      </c>
    </row>
    <row r="59" customFormat="false" ht="15" hidden="false" customHeight="true" outlineLevel="0" collapsed="false">
      <c r="A59" s="20" t="s">
        <v>532</v>
      </c>
      <c r="B59" s="20" t="s">
        <v>520</v>
      </c>
      <c r="C59" s="20" t="s">
        <v>522</v>
      </c>
      <c r="D59" s="20" t="s">
        <v>959</v>
      </c>
      <c r="E59" s="20" t="s">
        <v>960</v>
      </c>
      <c r="F59" s="20" t="s">
        <v>409</v>
      </c>
      <c r="G59" s="20" t="s">
        <v>942</v>
      </c>
      <c r="H59" s="7" t="s">
        <v>962</v>
      </c>
    </row>
    <row r="60" customFormat="false" ht="15" hidden="false" customHeight="true" outlineLevel="0" collapsed="false">
      <c r="A60" s="20" t="s">
        <v>534</v>
      </c>
      <c r="B60" s="20" t="s">
        <v>535</v>
      </c>
      <c r="C60" s="20" t="s">
        <v>478</v>
      </c>
      <c r="D60" s="20" t="s">
        <v>967</v>
      </c>
      <c r="E60" s="20" t="s">
        <v>968</v>
      </c>
      <c r="F60" s="20" t="s">
        <v>409</v>
      </c>
      <c r="G60" s="20" t="s">
        <v>942</v>
      </c>
      <c r="H60" s="7" t="s">
        <v>969</v>
      </c>
    </row>
    <row r="61" customFormat="false" ht="15" hidden="false" customHeight="true" outlineLevel="0" collapsed="false">
      <c r="A61" s="20" t="s">
        <v>537</v>
      </c>
      <c r="B61" s="20" t="s">
        <v>535</v>
      </c>
      <c r="C61" s="20" t="s">
        <v>478</v>
      </c>
      <c r="D61" s="20" t="s">
        <v>967</v>
      </c>
      <c r="E61" s="20" t="s">
        <v>968</v>
      </c>
      <c r="F61" s="20" t="s">
        <v>409</v>
      </c>
      <c r="G61" s="20" t="s">
        <v>942</v>
      </c>
      <c r="H61" s="7" t="s">
        <v>969</v>
      </c>
    </row>
    <row r="62" customFormat="false" ht="15" hidden="false" customHeight="true" outlineLevel="0" collapsed="false">
      <c r="A62" s="20" t="s">
        <v>539</v>
      </c>
      <c r="B62" s="20" t="s">
        <v>535</v>
      </c>
      <c r="C62" s="20" t="s">
        <v>478</v>
      </c>
      <c r="D62" s="20" t="s">
        <v>967</v>
      </c>
      <c r="E62" s="20" t="s">
        <v>968</v>
      </c>
      <c r="F62" s="20" t="s">
        <v>523</v>
      </c>
      <c r="G62" s="20" t="s">
        <v>970</v>
      </c>
      <c r="H62" s="7" t="s">
        <v>969</v>
      </c>
    </row>
    <row r="63" customFormat="false" ht="15" hidden="false" customHeight="true" outlineLevel="0" collapsed="false">
      <c r="A63" s="20" t="s">
        <v>541</v>
      </c>
      <c r="B63" s="20" t="s">
        <v>535</v>
      </c>
      <c r="C63" s="20" t="s">
        <v>543</v>
      </c>
      <c r="D63" s="20" t="s">
        <v>967</v>
      </c>
      <c r="E63" s="20" t="s">
        <v>968</v>
      </c>
      <c r="F63" s="20" t="s">
        <v>409</v>
      </c>
      <c r="G63" s="20" t="s">
        <v>942</v>
      </c>
      <c r="H63" s="7" t="s">
        <v>969</v>
      </c>
    </row>
    <row r="64" customFormat="false" ht="15" hidden="false" customHeight="true" outlineLevel="0" collapsed="false">
      <c r="A64" s="20" t="s">
        <v>544</v>
      </c>
      <c r="B64" s="20" t="s">
        <v>535</v>
      </c>
      <c r="C64" s="20" t="s">
        <v>543</v>
      </c>
      <c r="D64" s="20" t="s">
        <v>967</v>
      </c>
      <c r="E64" s="20" t="s">
        <v>968</v>
      </c>
      <c r="F64" s="20" t="s">
        <v>409</v>
      </c>
      <c r="G64" s="20" t="s">
        <v>942</v>
      </c>
      <c r="H64" s="7" t="s">
        <v>969</v>
      </c>
    </row>
    <row r="65" customFormat="false" ht="15" hidden="false" customHeight="true" outlineLevel="0" collapsed="false">
      <c r="A65" s="20" t="s">
        <v>546</v>
      </c>
      <c r="B65" s="20" t="s">
        <v>535</v>
      </c>
      <c r="C65" s="20" t="s">
        <v>543</v>
      </c>
      <c r="D65" s="20" t="s">
        <v>967</v>
      </c>
      <c r="E65" s="20" t="s">
        <v>968</v>
      </c>
      <c r="F65" s="20" t="s">
        <v>409</v>
      </c>
      <c r="G65" s="20" t="s">
        <v>942</v>
      </c>
      <c r="H65" s="7" t="s">
        <v>969</v>
      </c>
    </row>
    <row r="66" customFormat="false" ht="15" hidden="false" customHeight="true" outlineLevel="0" collapsed="false">
      <c r="A66" s="20" t="s">
        <v>548</v>
      </c>
      <c r="B66" s="20" t="s">
        <v>535</v>
      </c>
      <c r="C66" s="20" t="s">
        <v>543</v>
      </c>
      <c r="D66" s="20" t="s">
        <v>967</v>
      </c>
      <c r="E66" s="20" t="s">
        <v>968</v>
      </c>
      <c r="F66" s="20" t="s">
        <v>409</v>
      </c>
      <c r="G66" s="20" t="s">
        <v>942</v>
      </c>
      <c r="H66" s="7" t="s">
        <v>969</v>
      </c>
    </row>
    <row r="67" customFormat="false" ht="15" hidden="false" customHeight="true" outlineLevel="0" collapsed="false">
      <c r="A67" s="20" t="s">
        <v>550</v>
      </c>
      <c r="B67" s="20" t="s">
        <v>551</v>
      </c>
      <c r="C67" s="20" t="s">
        <v>543</v>
      </c>
      <c r="D67" s="20" t="s">
        <v>971</v>
      </c>
      <c r="E67" s="20" t="s">
        <v>972</v>
      </c>
      <c r="F67" s="20" t="s">
        <v>409</v>
      </c>
      <c r="G67" s="20" t="s">
        <v>942</v>
      </c>
      <c r="H67" s="7" t="s">
        <v>973</v>
      </c>
    </row>
    <row r="68" customFormat="false" ht="15" hidden="false" customHeight="true" outlineLevel="0" collapsed="false">
      <c r="A68" s="20" t="s">
        <v>553</v>
      </c>
      <c r="B68" s="20" t="s">
        <v>551</v>
      </c>
      <c r="C68" s="20" t="s">
        <v>500</v>
      </c>
      <c r="D68" s="20" t="s">
        <v>974</v>
      </c>
      <c r="E68" s="20" t="s">
        <v>975</v>
      </c>
      <c r="F68" s="20" t="s">
        <v>555</v>
      </c>
      <c r="G68" s="20" t="s">
        <v>976</v>
      </c>
      <c r="H68" s="7" t="s">
        <v>977</v>
      </c>
    </row>
    <row r="69" customFormat="false" ht="15" hidden="false" customHeight="true" outlineLevel="0" collapsed="false">
      <c r="A69" s="20" t="s">
        <v>556</v>
      </c>
      <c r="B69" s="20" t="s">
        <v>551</v>
      </c>
      <c r="C69" s="20" t="s">
        <v>500</v>
      </c>
      <c r="D69" s="4" t="s">
        <v>978</v>
      </c>
      <c r="E69" s="4" t="s">
        <v>979</v>
      </c>
      <c r="F69" s="20" t="s">
        <v>523</v>
      </c>
      <c r="G69" s="4" t="s">
        <v>980</v>
      </c>
      <c r="H69" s="7" t="s">
        <v>973</v>
      </c>
    </row>
    <row r="70" customFormat="false" ht="15" hidden="false" customHeight="true" outlineLevel="0" collapsed="false">
      <c r="A70" s="20" t="s">
        <v>558</v>
      </c>
      <c r="B70" s="20" t="s">
        <v>551</v>
      </c>
      <c r="C70" s="20" t="s">
        <v>500</v>
      </c>
      <c r="D70" s="20" t="s">
        <v>981</v>
      </c>
      <c r="E70" s="20" t="s">
        <v>982</v>
      </c>
      <c r="F70" s="20" t="s">
        <v>409</v>
      </c>
      <c r="G70" s="20" t="s">
        <v>942</v>
      </c>
      <c r="H70" s="7" t="s">
        <v>973</v>
      </c>
    </row>
    <row r="71" customFormat="false" ht="15" hidden="false" customHeight="true" outlineLevel="0" collapsed="false">
      <c r="A71" s="20" t="s">
        <v>560</v>
      </c>
      <c r="B71" s="20" t="s">
        <v>551</v>
      </c>
      <c r="C71" s="20" t="s">
        <v>562</v>
      </c>
      <c r="D71" s="20" t="s">
        <v>983</v>
      </c>
      <c r="E71" s="20" t="s">
        <v>984</v>
      </c>
      <c r="F71" s="20" t="s">
        <v>563</v>
      </c>
      <c r="G71" s="20" t="s">
        <v>985</v>
      </c>
      <c r="H71" s="7" t="s">
        <v>977</v>
      </c>
    </row>
    <row r="72" customFormat="false" ht="15" hidden="false" customHeight="true" outlineLevel="0" collapsed="false">
      <c r="A72" s="20" t="s">
        <v>564</v>
      </c>
      <c r="B72" s="20" t="s">
        <v>551</v>
      </c>
      <c r="C72" s="20" t="s">
        <v>562</v>
      </c>
      <c r="D72" s="20" t="s">
        <v>971</v>
      </c>
      <c r="E72" s="20" t="s">
        <v>972</v>
      </c>
      <c r="F72" s="20" t="s">
        <v>409</v>
      </c>
      <c r="G72" s="20" t="s">
        <v>942</v>
      </c>
      <c r="H72" s="7" t="s">
        <v>973</v>
      </c>
    </row>
    <row r="73" customFormat="false" ht="15" hidden="false" customHeight="true" outlineLevel="0" collapsed="false">
      <c r="A73" s="20" t="s">
        <v>566</v>
      </c>
      <c r="B73" s="20" t="s">
        <v>551</v>
      </c>
      <c r="C73" s="20" t="s">
        <v>500</v>
      </c>
      <c r="D73" s="20" t="s">
        <v>971</v>
      </c>
      <c r="E73" s="20" t="s">
        <v>972</v>
      </c>
      <c r="F73" s="20" t="s">
        <v>409</v>
      </c>
      <c r="G73" s="20" t="s">
        <v>942</v>
      </c>
      <c r="H73" s="7" t="s">
        <v>973</v>
      </c>
    </row>
    <row r="74" customFormat="false" ht="15" hidden="false" customHeight="true" outlineLevel="0" collapsed="false">
      <c r="A74" s="20" t="s">
        <v>568</v>
      </c>
      <c r="B74" s="20" t="s">
        <v>569</v>
      </c>
      <c r="C74" s="20" t="s">
        <v>442</v>
      </c>
      <c r="D74" s="20" t="s">
        <v>986</v>
      </c>
      <c r="E74" s="20" t="s">
        <v>987</v>
      </c>
      <c r="F74" s="20" t="s">
        <v>409</v>
      </c>
      <c r="G74" s="20" t="s">
        <v>942</v>
      </c>
      <c r="H74" s="7" t="s">
        <v>988</v>
      </c>
    </row>
    <row r="75" customFormat="false" ht="15" hidden="false" customHeight="true" outlineLevel="0" collapsed="false">
      <c r="A75" s="20" t="s">
        <v>571</v>
      </c>
      <c r="B75" s="20" t="s">
        <v>569</v>
      </c>
      <c r="C75" s="20" t="s">
        <v>442</v>
      </c>
      <c r="D75" s="4" t="s">
        <v>989</v>
      </c>
      <c r="E75" s="4" t="s">
        <v>990</v>
      </c>
      <c r="F75" s="4" t="s">
        <v>409</v>
      </c>
      <c r="G75" s="4" t="s">
        <v>991</v>
      </c>
      <c r="H75" s="7" t="s">
        <v>988</v>
      </c>
    </row>
    <row r="76" customFormat="false" ht="15" hidden="false" customHeight="true" outlineLevel="0" collapsed="false">
      <c r="A76" s="20" t="s">
        <v>573</v>
      </c>
      <c r="B76" s="20" t="s">
        <v>569</v>
      </c>
      <c r="C76" s="20" t="s">
        <v>500</v>
      </c>
      <c r="D76" s="4" t="s">
        <v>992</v>
      </c>
      <c r="E76" s="4" t="s">
        <v>990</v>
      </c>
      <c r="F76" s="4" t="s">
        <v>409</v>
      </c>
      <c r="G76" s="4" t="s">
        <v>993</v>
      </c>
      <c r="H76" s="7" t="s">
        <v>988</v>
      </c>
    </row>
    <row r="77" customFormat="false" ht="15" hidden="false" customHeight="true" outlineLevel="0" collapsed="false">
      <c r="A77" s="20" t="s">
        <v>575</v>
      </c>
      <c r="B77" s="20" t="s">
        <v>569</v>
      </c>
      <c r="C77" s="20" t="s">
        <v>500</v>
      </c>
      <c r="D77" s="4" t="s">
        <v>994</v>
      </c>
      <c r="E77" s="4" t="s">
        <v>990</v>
      </c>
      <c r="F77" s="4" t="s">
        <v>409</v>
      </c>
      <c r="G77" s="4" t="s">
        <v>995</v>
      </c>
      <c r="H77" s="7" t="s">
        <v>988</v>
      </c>
    </row>
    <row r="78" customFormat="false" ht="15" hidden="false" customHeight="true" outlineLevel="0" collapsed="false">
      <c r="A78" s="20" t="s">
        <v>577</v>
      </c>
      <c r="B78" s="20" t="s">
        <v>569</v>
      </c>
      <c r="C78" s="20" t="s">
        <v>500</v>
      </c>
      <c r="D78" s="4" t="s">
        <v>992</v>
      </c>
      <c r="E78" s="4" t="s">
        <v>990</v>
      </c>
      <c r="F78" s="4" t="s">
        <v>409</v>
      </c>
      <c r="G78" s="4" t="s">
        <v>996</v>
      </c>
      <c r="H78" s="7" t="s">
        <v>988</v>
      </c>
    </row>
    <row r="79" customFormat="false" ht="15" hidden="false" customHeight="true" outlineLevel="0" collapsed="false">
      <c r="A79" s="20" t="s">
        <v>579</v>
      </c>
      <c r="B79" s="20" t="s">
        <v>569</v>
      </c>
      <c r="C79" s="20" t="s">
        <v>500</v>
      </c>
      <c r="D79" s="4" t="s">
        <v>997</v>
      </c>
      <c r="E79" s="4" t="s">
        <v>990</v>
      </c>
      <c r="F79" s="4" t="s">
        <v>409</v>
      </c>
      <c r="G79" s="4" t="s">
        <v>998</v>
      </c>
      <c r="H79" s="7" t="s">
        <v>988</v>
      </c>
    </row>
    <row r="80" customFormat="false" ht="15" hidden="false" customHeight="true" outlineLevel="0" collapsed="false">
      <c r="A80" s="20" t="s">
        <v>581</v>
      </c>
      <c r="B80" s="20" t="s">
        <v>569</v>
      </c>
      <c r="C80" s="20" t="s">
        <v>500</v>
      </c>
      <c r="D80" s="4" t="s">
        <v>999</v>
      </c>
      <c r="E80" s="4" t="s">
        <v>990</v>
      </c>
      <c r="F80" s="4" t="s">
        <v>409</v>
      </c>
      <c r="G80" s="4" t="s">
        <v>1000</v>
      </c>
      <c r="H80" s="7" t="s">
        <v>988</v>
      </c>
    </row>
    <row r="81" customFormat="false" ht="15" hidden="false" customHeight="true" outlineLevel="0" collapsed="false">
      <c r="A81" s="20" t="s">
        <v>583</v>
      </c>
      <c r="B81" s="20" t="s">
        <v>584</v>
      </c>
      <c r="C81" s="20" t="s">
        <v>456</v>
      </c>
      <c r="D81" s="20" t="s">
        <v>1001</v>
      </c>
      <c r="E81" s="20" t="s">
        <v>1002</v>
      </c>
      <c r="F81" s="20" t="s">
        <v>409</v>
      </c>
      <c r="G81" s="20" t="s">
        <v>942</v>
      </c>
      <c r="H81" s="7" t="s">
        <v>1003</v>
      </c>
    </row>
    <row r="82" customFormat="false" ht="15" hidden="false" customHeight="true" outlineLevel="0" collapsed="false">
      <c r="A82" s="20" t="s">
        <v>586</v>
      </c>
      <c r="B82" s="20" t="s">
        <v>584</v>
      </c>
      <c r="C82" s="20" t="s">
        <v>456</v>
      </c>
      <c r="D82" s="20" t="s">
        <v>1001</v>
      </c>
      <c r="E82" s="20" t="s">
        <v>1002</v>
      </c>
      <c r="F82" s="20" t="s">
        <v>409</v>
      </c>
      <c r="G82" s="20" t="s">
        <v>942</v>
      </c>
      <c r="H82" s="7" t="s">
        <v>1003</v>
      </c>
    </row>
    <row r="83" customFormat="false" ht="15" hidden="false" customHeight="true" outlineLevel="0" collapsed="false">
      <c r="A83" s="20" t="s">
        <v>588</v>
      </c>
      <c r="B83" s="20" t="s">
        <v>584</v>
      </c>
      <c r="C83" s="20" t="s">
        <v>590</v>
      </c>
      <c r="D83" s="20" t="s">
        <v>1004</v>
      </c>
      <c r="E83" s="20" t="s">
        <v>984</v>
      </c>
      <c r="F83" s="20" t="s">
        <v>555</v>
      </c>
      <c r="G83" s="20" t="s">
        <v>1005</v>
      </c>
      <c r="H83" s="7" t="s">
        <v>977</v>
      </c>
    </row>
    <row r="84" customFormat="false" ht="15" hidden="false" customHeight="true" outlineLevel="0" collapsed="false">
      <c r="A84" s="20" t="s">
        <v>591</v>
      </c>
      <c r="B84" s="20" t="s">
        <v>584</v>
      </c>
      <c r="C84" s="20" t="s">
        <v>590</v>
      </c>
      <c r="D84" s="20" t="s">
        <v>1006</v>
      </c>
      <c r="E84" s="20" t="s">
        <v>1007</v>
      </c>
      <c r="F84" s="20" t="s">
        <v>523</v>
      </c>
      <c r="G84" s="20" t="s">
        <v>1008</v>
      </c>
      <c r="H84" s="7" t="s">
        <v>1003</v>
      </c>
    </row>
    <row r="85" customFormat="false" ht="15" hidden="false" customHeight="true" outlineLevel="0" collapsed="false">
      <c r="A85" s="20" t="s">
        <v>593</v>
      </c>
      <c r="B85" s="20" t="s">
        <v>584</v>
      </c>
      <c r="C85" s="20" t="s">
        <v>595</v>
      </c>
      <c r="D85" s="20" t="s">
        <v>1001</v>
      </c>
      <c r="E85" s="20" t="s">
        <v>1002</v>
      </c>
      <c r="F85" s="20" t="s">
        <v>409</v>
      </c>
      <c r="G85" s="20" t="s">
        <v>942</v>
      </c>
      <c r="H85" s="7" t="s">
        <v>1003</v>
      </c>
    </row>
    <row r="86" customFormat="false" ht="15" hidden="false" customHeight="true" outlineLevel="0" collapsed="false">
      <c r="A86" s="20" t="s">
        <v>596</v>
      </c>
      <c r="B86" s="20" t="s">
        <v>584</v>
      </c>
      <c r="C86" s="20" t="s">
        <v>590</v>
      </c>
      <c r="D86" s="20" t="s">
        <v>1009</v>
      </c>
      <c r="E86" s="20" t="s">
        <v>984</v>
      </c>
      <c r="F86" s="20" t="s">
        <v>598</v>
      </c>
      <c r="G86" s="20" t="s">
        <v>1010</v>
      </c>
      <c r="H86" s="7" t="s">
        <v>1003</v>
      </c>
    </row>
    <row r="87" customFormat="false" ht="15" hidden="false" customHeight="true" outlineLevel="0" collapsed="false">
      <c r="A87" s="20" t="s">
        <v>599</v>
      </c>
      <c r="B87" s="20" t="s">
        <v>584</v>
      </c>
      <c r="C87" s="20" t="s">
        <v>590</v>
      </c>
      <c r="D87" s="20" t="s">
        <v>1011</v>
      </c>
      <c r="E87" s="20" t="s">
        <v>1012</v>
      </c>
      <c r="F87" s="20" t="s">
        <v>555</v>
      </c>
      <c r="G87" s="20" t="s">
        <v>1013</v>
      </c>
      <c r="H87" s="7" t="s">
        <v>977</v>
      </c>
    </row>
    <row r="88" customFormat="false" ht="15" hidden="false" customHeight="true" outlineLevel="0" collapsed="false">
      <c r="A88" s="20" t="s">
        <v>601</v>
      </c>
      <c r="B88" s="20" t="s">
        <v>602</v>
      </c>
      <c r="C88" s="20" t="s">
        <v>419</v>
      </c>
      <c r="D88" s="20" t="s">
        <v>1014</v>
      </c>
      <c r="E88" s="20" t="s">
        <v>1015</v>
      </c>
      <c r="F88" s="20" t="s">
        <v>409</v>
      </c>
      <c r="G88" s="20" t="s">
        <v>1016</v>
      </c>
      <c r="H88" s="7" t="s">
        <v>1017</v>
      </c>
    </row>
    <row r="89" customFormat="false" ht="15" hidden="false" customHeight="true" outlineLevel="0" collapsed="false">
      <c r="A89" s="20" t="s">
        <v>604</v>
      </c>
      <c r="B89" s="20" t="s">
        <v>602</v>
      </c>
      <c r="C89" s="20" t="s">
        <v>442</v>
      </c>
      <c r="D89" s="20" t="s">
        <v>1018</v>
      </c>
      <c r="E89" s="20" t="s">
        <v>1019</v>
      </c>
      <c r="F89" s="20" t="s">
        <v>409</v>
      </c>
      <c r="G89" s="20" t="s">
        <v>1020</v>
      </c>
      <c r="H89" s="7" t="s">
        <v>1017</v>
      </c>
    </row>
    <row r="90" customFormat="false" ht="15" hidden="false" customHeight="true" outlineLevel="0" collapsed="false">
      <c r="A90" s="20" t="s">
        <v>606</v>
      </c>
      <c r="B90" s="20" t="s">
        <v>602</v>
      </c>
      <c r="C90" s="20" t="s">
        <v>500</v>
      </c>
      <c r="D90" s="4" t="s">
        <v>1021</v>
      </c>
      <c r="E90" s="4" t="s">
        <v>990</v>
      </c>
      <c r="F90" s="4" t="s">
        <v>409</v>
      </c>
      <c r="G90" s="4" t="s">
        <v>1022</v>
      </c>
      <c r="H90" s="7" t="s">
        <v>1017</v>
      </c>
    </row>
    <row r="91" customFormat="false" ht="15" hidden="false" customHeight="true" outlineLevel="0" collapsed="false">
      <c r="A91" s="20" t="s">
        <v>608</v>
      </c>
      <c r="B91" s="20" t="s">
        <v>602</v>
      </c>
      <c r="C91" s="20" t="s">
        <v>500</v>
      </c>
      <c r="D91" s="20" t="s">
        <v>1023</v>
      </c>
      <c r="E91" s="20" t="s">
        <v>1024</v>
      </c>
      <c r="F91" s="20" t="s">
        <v>523</v>
      </c>
      <c r="G91" s="20" t="s">
        <v>1025</v>
      </c>
      <c r="H91" s="7" t="s">
        <v>1017</v>
      </c>
    </row>
    <row r="92" customFormat="false" ht="15" hidden="false" customHeight="true" outlineLevel="0" collapsed="false">
      <c r="A92" s="20" t="s">
        <v>610</v>
      </c>
      <c r="B92" s="20" t="s">
        <v>602</v>
      </c>
      <c r="C92" s="20" t="s">
        <v>562</v>
      </c>
      <c r="D92" s="4" t="s">
        <v>1026</v>
      </c>
      <c r="E92" s="4" t="s">
        <v>1027</v>
      </c>
      <c r="F92" s="20" t="s">
        <v>563</v>
      </c>
      <c r="G92" s="4" t="s">
        <v>1028</v>
      </c>
      <c r="H92" s="7" t="s">
        <v>1017</v>
      </c>
    </row>
    <row r="93" customFormat="false" ht="15" hidden="false" customHeight="true" outlineLevel="0" collapsed="false">
      <c r="A93" s="20" t="s">
        <v>612</v>
      </c>
      <c r="B93" s="20" t="s">
        <v>602</v>
      </c>
      <c r="C93" s="20" t="s">
        <v>562</v>
      </c>
      <c r="D93" s="20" t="s">
        <v>1029</v>
      </c>
      <c r="E93" s="20" t="s">
        <v>1030</v>
      </c>
      <c r="F93" s="20" t="s">
        <v>523</v>
      </c>
      <c r="G93" s="20" t="s">
        <v>1031</v>
      </c>
      <c r="H93" s="7" t="s">
        <v>1017</v>
      </c>
    </row>
    <row r="94" customFormat="false" ht="15" hidden="false" customHeight="true" outlineLevel="0" collapsed="false">
      <c r="A94" s="20" t="s">
        <v>614</v>
      </c>
      <c r="B94" s="20" t="s">
        <v>602</v>
      </c>
      <c r="C94" s="20" t="s">
        <v>562</v>
      </c>
      <c r="D94" s="20" t="s">
        <v>1032</v>
      </c>
      <c r="E94" s="20" t="s">
        <v>1012</v>
      </c>
      <c r="F94" s="20" t="s">
        <v>409</v>
      </c>
      <c r="G94" s="20" t="s">
        <v>1033</v>
      </c>
      <c r="H94" s="7" t="s">
        <v>1017</v>
      </c>
    </row>
    <row r="95" customFormat="false" ht="15" hidden="false" customHeight="true" outlineLevel="0" collapsed="false">
      <c r="A95" s="20" t="s">
        <v>616</v>
      </c>
      <c r="B95" s="20" t="s">
        <v>602</v>
      </c>
      <c r="C95" s="20" t="s">
        <v>500</v>
      </c>
      <c r="D95" s="20" t="s">
        <v>1034</v>
      </c>
      <c r="E95" s="20" t="s">
        <v>1035</v>
      </c>
      <c r="F95" s="20" t="s">
        <v>555</v>
      </c>
      <c r="G95" s="20" t="s">
        <v>1036</v>
      </c>
      <c r="H95" s="7" t="s">
        <v>1017</v>
      </c>
    </row>
    <row r="96" customFormat="false" ht="15" hidden="false" customHeight="true" outlineLevel="0" collapsed="false">
      <c r="A96" s="20" t="s">
        <v>618</v>
      </c>
      <c r="B96" s="20" t="s">
        <v>619</v>
      </c>
      <c r="C96" s="20" t="s">
        <v>562</v>
      </c>
      <c r="D96" s="20" t="s">
        <v>1037</v>
      </c>
      <c r="E96" s="20" t="s">
        <v>984</v>
      </c>
      <c r="F96" s="20" t="s">
        <v>555</v>
      </c>
      <c r="G96" s="20" t="s">
        <v>1038</v>
      </c>
      <c r="H96" s="7" t="s">
        <v>977</v>
      </c>
    </row>
    <row r="97" customFormat="false" ht="15" hidden="false" customHeight="true" outlineLevel="0" collapsed="false">
      <c r="A97" s="20" t="s">
        <v>621</v>
      </c>
      <c r="B97" s="20" t="s">
        <v>619</v>
      </c>
      <c r="C97" s="20" t="s">
        <v>562</v>
      </c>
      <c r="D97" s="20" t="s">
        <v>1039</v>
      </c>
      <c r="E97" s="20" t="s">
        <v>984</v>
      </c>
      <c r="F97" s="20" t="s">
        <v>598</v>
      </c>
      <c r="G97" s="20" t="s">
        <v>1010</v>
      </c>
      <c r="H97" s="7" t="s">
        <v>1040</v>
      </c>
    </row>
    <row r="98" customFormat="false" ht="15" hidden="false" customHeight="true" outlineLevel="0" collapsed="false">
      <c r="A98" s="20" t="s">
        <v>623</v>
      </c>
      <c r="B98" s="20" t="s">
        <v>619</v>
      </c>
      <c r="C98" s="20" t="s">
        <v>590</v>
      </c>
      <c r="D98" s="20" t="s">
        <v>1041</v>
      </c>
      <c r="E98" s="20" t="s">
        <v>984</v>
      </c>
      <c r="F98" s="20" t="s">
        <v>555</v>
      </c>
      <c r="G98" s="20" t="s">
        <v>1042</v>
      </c>
      <c r="H98" s="7" t="s">
        <v>977</v>
      </c>
    </row>
    <row r="99" customFormat="false" ht="15" hidden="false" customHeight="true" outlineLevel="0" collapsed="false">
      <c r="A99" s="20" t="s">
        <v>625</v>
      </c>
      <c r="B99" s="20" t="s">
        <v>619</v>
      </c>
      <c r="C99" s="20" t="s">
        <v>590</v>
      </c>
      <c r="D99" s="20" t="s">
        <v>1043</v>
      </c>
      <c r="E99" s="20" t="s">
        <v>984</v>
      </c>
      <c r="F99" s="20" t="s">
        <v>555</v>
      </c>
      <c r="G99" s="20" t="s">
        <v>1044</v>
      </c>
      <c r="H99" s="7" t="s">
        <v>977</v>
      </c>
    </row>
    <row r="100" customFormat="false" ht="15" hidden="false" customHeight="true" outlineLevel="0" collapsed="false">
      <c r="A100" s="20" t="s">
        <v>627</v>
      </c>
      <c r="B100" s="20" t="s">
        <v>619</v>
      </c>
      <c r="C100" s="20" t="s">
        <v>590</v>
      </c>
      <c r="D100" s="20" t="s">
        <v>1045</v>
      </c>
      <c r="E100" s="20" t="s">
        <v>984</v>
      </c>
      <c r="F100" s="20" t="s">
        <v>563</v>
      </c>
      <c r="G100" s="20" t="s">
        <v>1046</v>
      </c>
      <c r="H100" s="7" t="s">
        <v>977</v>
      </c>
    </row>
    <row r="101" customFormat="false" ht="15" hidden="false" customHeight="true" outlineLevel="0" collapsed="false">
      <c r="A101" s="20" t="s">
        <v>629</v>
      </c>
      <c r="B101" s="20" t="s">
        <v>619</v>
      </c>
      <c r="C101" s="20" t="s">
        <v>595</v>
      </c>
      <c r="D101" s="20" t="s">
        <v>1047</v>
      </c>
      <c r="E101" s="20" t="s">
        <v>984</v>
      </c>
      <c r="F101" s="20" t="s">
        <v>555</v>
      </c>
      <c r="G101" s="20" t="s">
        <v>1048</v>
      </c>
      <c r="H101" s="7" t="s">
        <v>977</v>
      </c>
    </row>
    <row r="102" customFormat="false" ht="15" hidden="false" customHeight="true" outlineLevel="0" collapsed="false">
      <c r="A102" s="20" t="s">
        <v>631</v>
      </c>
      <c r="B102" s="20" t="s">
        <v>619</v>
      </c>
      <c r="C102" s="20" t="s">
        <v>633</v>
      </c>
      <c r="D102" s="20" t="s">
        <v>1039</v>
      </c>
      <c r="E102" s="20" t="s">
        <v>984</v>
      </c>
      <c r="F102" s="20" t="s">
        <v>598</v>
      </c>
      <c r="G102" s="20" t="s">
        <v>1010</v>
      </c>
      <c r="H102" s="7" t="s">
        <v>1040</v>
      </c>
    </row>
    <row r="103" customFormat="false" ht="15" hidden="false" customHeight="true" outlineLevel="0" collapsed="false">
      <c r="A103" s="20" t="s">
        <v>634</v>
      </c>
      <c r="B103" s="20" t="s">
        <v>619</v>
      </c>
      <c r="C103" s="20" t="s">
        <v>595</v>
      </c>
      <c r="D103" s="20" t="s">
        <v>1039</v>
      </c>
      <c r="E103" s="20" t="s">
        <v>984</v>
      </c>
      <c r="F103" s="20" t="s">
        <v>598</v>
      </c>
      <c r="G103" s="20" t="s">
        <v>1010</v>
      </c>
      <c r="H103" s="7" t="s">
        <v>1040</v>
      </c>
    </row>
    <row r="104" customFormat="false" ht="39.75" hidden="false" customHeight="true" outlineLevel="0" collapsed="false">
      <c r="A104" s="7" t="s">
        <v>636</v>
      </c>
      <c r="B104" s="7" t="s">
        <v>602</v>
      </c>
      <c r="C104" s="7" t="s">
        <v>237</v>
      </c>
      <c r="D104" s="7" t="s">
        <v>1049</v>
      </c>
      <c r="E104" s="7" t="s">
        <v>1050</v>
      </c>
      <c r="F104" s="7" t="s">
        <v>409</v>
      </c>
      <c r="G104" s="7" t="s">
        <v>1051</v>
      </c>
      <c r="H104" s="7" t="s">
        <v>1052</v>
      </c>
    </row>
    <row r="105" customFormat="false" ht="39.75" hidden="false" customHeight="true" outlineLevel="0" collapsed="false">
      <c r="A105" s="7" t="s">
        <v>638</v>
      </c>
      <c r="B105" s="7" t="s">
        <v>602</v>
      </c>
      <c r="C105" s="7" t="s">
        <v>237</v>
      </c>
      <c r="D105" s="7" t="s">
        <v>1053</v>
      </c>
      <c r="E105" s="7" t="s">
        <v>1054</v>
      </c>
      <c r="F105" s="7" t="s">
        <v>409</v>
      </c>
      <c r="G105" s="7" t="s">
        <v>1055</v>
      </c>
      <c r="H105" s="7" t="s">
        <v>1056</v>
      </c>
    </row>
    <row r="106" customFormat="false" ht="39.75" hidden="false" customHeight="true" outlineLevel="0" collapsed="false">
      <c r="A106" s="7" t="s">
        <v>640</v>
      </c>
      <c r="B106" s="7" t="s">
        <v>602</v>
      </c>
      <c r="C106" s="7" t="s">
        <v>237</v>
      </c>
      <c r="D106" s="7" t="s">
        <v>1057</v>
      </c>
      <c r="E106" s="7" t="s">
        <v>1058</v>
      </c>
      <c r="F106" s="7" t="s">
        <v>409</v>
      </c>
      <c r="G106" s="7" t="s">
        <v>1059</v>
      </c>
      <c r="H106" s="7" t="s">
        <v>1060</v>
      </c>
    </row>
    <row r="107" customFormat="false" ht="39.75" hidden="false" customHeight="true" outlineLevel="0" collapsed="false">
      <c r="A107" s="7" t="s">
        <v>642</v>
      </c>
      <c r="B107" s="7" t="s">
        <v>602</v>
      </c>
      <c r="C107" s="7" t="s">
        <v>237</v>
      </c>
      <c r="D107" s="7" t="s">
        <v>1061</v>
      </c>
      <c r="E107" s="7" t="s">
        <v>1062</v>
      </c>
      <c r="F107" s="7" t="s">
        <v>409</v>
      </c>
      <c r="G107" s="7" t="s">
        <v>1063</v>
      </c>
      <c r="H107" s="7" t="s">
        <v>1064</v>
      </c>
    </row>
    <row r="108" customFormat="false" ht="39.75" hidden="false" customHeight="true" outlineLevel="0" collapsed="false">
      <c r="A108" s="7" t="s">
        <v>644</v>
      </c>
      <c r="B108" s="7" t="s">
        <v>602</v>
      </c>
      <c r="C108" s="7" t="s">
        <v>237</v>
      </c>
      <c r="D108" s="7" t="s">
        <v>1065</v>
      </c>
      <c r="E108" s="7" t="s">
        <v>1066</v>
      </c>
      <c r="F108" s="7" t="s">
        <v>409</v>
      </c>
      <c r="G108" s="7" t="s">
        <v>1067</v>
      </c>
      <c r="H108" s="7" t="s">
        <v>1060</v>
      </c>
    </row>
    <row r="109" customFormat="false" ht="39.75" hidden="false" customHeight="true" outlineLevel="0" collapsed="false">
      <c r="A109" s="7" t="s">
        <v>646</v>
      </c>
      <c r="B109" s="7" t="s">
        <v>602</v>
      </c>
      <c r="C109" s="7" t="s">
        <v>237</v>
      </c>
      <c r="D109" s="7" t="s">
        <v>1068</v>
      </c>
      <c r="E109" s="7" t="s">
        <v>1069</v>
      </c>
      <c r="F109" s="7" t="s">
        <v>409</v>
      </c>
      <c r="G109" s="7" t="s">
        <v>1070</v>
      </c>
      <c r="H109" s="7" t="s">
        <v>1071</v>
      </c>
    </row>
    <row r="110" customFormat="false" ht="39.75" hidden="false" customHeight="true" outlineLevel="0" collapsed="false">
      <c r="A110" s="7" t="s">
        <v>648</v>
      </c>
      <c r="B110" s="7" t="s">
        <v>602</v>
      </c>
      <c r="C110" s="7" t="s">
        <v>237</v>
      </c>
      <c r="D110" s="7" t="s">
        <v>1072</v>
      </c>
      <c r="E110" s="7" t="s">
        <v>1050</v>
      </c>
      <c r="F110" s="7" t="s">
        <v>409</v>
      </c>
      <c r="G110" s="7" t="s">
        <v>1073</v>
      </c>
      <c r="H110" s="7" t="s">
        <v>1071</v>
      </c>
    </row>
    <row r="111" customFormat="false" ht="39.75" hidden="false" customHeight="true" outlineLevel="0" collapsed="false">
      <c r="A111" s="7" t="s">
        <v>650</v>
      </c>
      <c r="B111" s="7" t="s">
        <v>535</v>
      </c>
      <c r="C111" s="7" t="s">
        <v>243</v>
      </c>
      <c r="D111" s="7" t="s">
        <v>1074</v>
      </c>
      <c r="E111" s="7" t="s">
        <v>1075</v>
      </c>
      <c r="F111" s="7" t="s">
        <v>409</v>
      </c>
      <c r="G111" s="7" t="s">
        <v>1076</v>
      </c>
      <c r="H111" s="7" t="s">
        <v>1077</v>
      </c>
    </row>
    <row r="112" customFormat="false" ht="39.75" hidden="false" customHeight="true" outlineLevel="0" collapsed="false">
      <c r="A112" s="7" t="s">
        <v>652</v>
      </c>
      <c r="B112" s="7" t="s">
        <v>535</v>
      </c>
      <c r="C112" s="7" t="s">
        <v>243</v>
      </c>
      <c r="D112" s="7" t="s">
        <v>1078</v>
      </c>
      <c r="E112" s="7" t="s">
        <v>1075</v>
      </c>
      <c r="F112" s="7" t="s">
        <v>409</v>
      </c>
      <c r="G112" s="7" t="s">
        <v>1079</v>
      </c>
      <c r="H112" s="7" t="s">
        <v>1071</v>
      </c>
    </row>
    <row r="113" customFormat="false" ht="39.75" hidden="false" customHeight="true" outlineLevel="0" collapsed="false">
      <c r="A113" s="7" t="s">
        <v>654</v>
      </c>
      <c r="B113" s="7" t="s">
        <v>535</v>
      </c>
      <c r="C113" s="7" t="s">
        <v>243</v>
      </c>
      <c r="D113" s="7" t="s">
        <v>1080</v>
      </c>
      <c r="E113" s="7" t="s">
        <v>1075</v>
      </c>
      <c r="F113" s="7" t="s">
        <v>409</v>
      </c>
      <c r="G113" s="7" t="s">
        <v>1081</v>
      </c>
      <c r="H113" s="7" t="s">
        <v>1071</v>
      </c>
    </row>
    <row r="114" customFormat="false" ht="39.75" hidden="false" customHeight="true" outlineLevel="0" collapsed="false">
      <c r="A114" s="7" t="s">
        <v>656</v>
      </c>
      <c r="B114" s="7" t="s">
        <v>535</v>
      </c>
      <c r="C114" s="7" t="s">
        <v>243</v>
      </c>
      <c r="D114" s="7" t="s">
        <v>1082</v>
      </c>
      <c r="E114" s="7" t="s">
        <v>1075</v>
      </c>
      <c r="F114" s="7" t="s">
        <v>409</v>
      </c>
      <c r="G114" s="7" t="s">
        <v>1083</v>
      </c>
      <c r="H114" s="7" t="s">
        <v>1084</v>
      </c>
    </row>
    <row r="115" customFormat="false" ht="39.75" hidden="false" customHeight="true" outlineLevel="0" collapsed="false">
      <c r="A115" s="7" t="s">
        <v>658</v>
      </c>
      <c r="B115" s="7" t="s">
        <v>535</v>
      </c>
      <c r="C115" s="7" t="s">
        <v>243</v>
      </c>
      <c r="D115" s="7" t="s">
        <v>1085</v>
      </c>
      <c r="E115" s="7" t="s">
        <v>1086</v>
      </c>
      <c r="F115" s="7" t="s">
        <v>660</v>
      </c>
      <c r="G115" s="7" t="s">
        <v>1087</v>
      </c>
      <c r="H115" s="7" t="s">
        <v>1088</v>
      </c>
    </row>
    <row r="116" customFormat="false" ht="39.75" hidden="false" customHeight="true" outlineLevel="0" collapsed="false">
      <c r="A116" s="7" t="s">
        <v>661</v>
      </c>
      <c r="B116" s="7" t="s">
        <v>602</v>
      </c>
      <c r="C116" s="7" t="s">
        <v>243</v>
      </c>
      <c r="D116" s="7" t="s">
        <v>1089</v>
      </c>
      <c r="E116" s="7" t="s">
        <v>1090</v>
      </c>
      <c r="F116" s="7" t="s">
        <v>409</v>
      </c>
      <c r="G116" s="7" t="s">
        <v>1091</v>
      </c>
      <c r="H116" s="7" t="s">
        <v>1092</v>
      </c>
    </row>
    <row r="117" customFormat="false" ht="39.75" hidden="false" customHeight="true" outlineLevel="0" collapsed="false">
      <c r="A117" s="7" t="s">
        <v>663</v>
      </c>
      <c r="B117" s="7" t="s">
        <v>520</v>
      </c>
      <c r="C117" s="7" t="s">
        <v>249</v>
      </c>
      <c r="D117" s="7" t="s">
        <v>1093</v>
      </c>
      <c r="E117" s="7" t="s">
        <v>1094</v>
      </c>
      <c r="F117" s="7" t="s">
        <v>409</v>
      </c>
      <c r="G117" s="7" t="s">
        <v>1095</v>
      </c>
      <c r="H117" s="7" t="s">
        <v>1096</v>
      </c>
    </row>
    <row r="118" customFormat="false" ht="39.75" hidden="false" customHeight="true" outlineLevel="0" collapsed="false">
      <c r="A118" s="7" t="s">
        <v>665</v>
      </c>
      <c r="B118" s="7" t="s">
        <v>520</v>
      </c>
      <c r="C118" s="7" t="s">
        <v>249</v>
      </c>
      <c r="D118" s="7" t="s">
        <v>1097</v>
      </c>
      <c r="E118" s="7" t="s">
        <v>1094</v>
      </c>
      <c r="F118" s="7" t="s">
        <v>409</v>
      </c>
      <c r="G118" s="7" t="s">
        <v>1098</v>
      </c>
      <c r="H118" s="7" t="s">
        <v>1099</v>
      </c>
    </row>
    <row r="119" customFormat="false" ht="39.75" hidden="false" customHeight="true" outlineLevel="0" collapsed="false">
      <c r="A119" s="7" t="s">
        <v>667</v>
      </c>
      <c r="B119" s="7" t="s">
        <v>520</v>
      </c>
      <c r="C119" s="7" t="s">
        <v>249</v>
      </c>
      <c r="D119" s="7" t="s">
        <v>1100</v>
      </c>
      <c r="E119" s="7" t="s">
        <v>1094</v>
      </c>
      <c r="F119" s="7" t="s">
        <v>409</v>
      </c>
      <c r="G119" s="7" t="s">
        <v>1101</v>
      </c>
      <c r="H119" s="7" t="s">
        <v>1071</v>
      </c>
    </row>
    <row r="120" customFormat="false" ht="39.75" hidden="false" customHeight="true" outlineLevel="0" collapsed="false">
      <c r="A120" s="7" t="s">
        <v>669</v>
      </c>
      <c r="B120" s="7" t="s">
        <v>405</v>
      </c>
      <c r="C120" s="7" t="s">
        <v>249</v>
      </c>
      <c r="D120" s="7" t="s">
        <v>1102</v>
      </c>
      <c r="E120" s="7" t="s">
        <v>1103</v>
      </c>
      <c r="F120" s="7" t="s">
        <v>409</v>
      </c>
      <c r="G120" s="7" t="s">
        <v>1104</v>
      </c>
      <c r="H120" s="7" t="s">
        <v>1105</v>
      </c>
    </row>
    <row r="121" customFormat="false" ht="39.75" hidden="false" customHeight="true" outlineLevel="0" collapsed="false">
      <c r="A121" s="7" t="s">
        <v>671</v>
      </c>
      <c r="B121" s="7" t="s">
        <v>405</v>
      </c>
      <c r="C121" s="7" t="s">
        <v>249</v>
      </c>
      <c r="D121" s="7" t="s">
        <v>1106</v>
      </c>
      <c r="E121" s="7" t="s">
        <v>1107</v>
      </c>
      <c r="F121" s="7" t="s">
        <v>409</v>
      </c>
      <c r="G121" s="7" t="s">
        <v>1108</v>
      </c>
      <c r="H121" s="7" t="s">
        <v>1109</v>
      </c>
    </row>
    <row r="122" customFormat="false" ht="39.75" hidden="false" customHeight="true" outlineLevel="0" collapsed="false">
      <c r="A122" s="7" t="s">
        <v>673</v>
      </c>
      <c r="B122" s="7" t="s">
        <v>569</v>
      </c>
      <c r="C122" s="7" t="s">
        <v>249</v>
      </c>
      <c r="D122" s="7" t="s">
        <v>1110</v>
      </c>
      <c r="E122" s="7" t="s">
        <v>1111</v>
      </c>
      <c r="F122" s="7" t="s">
        <v>409</v>
      </c>
      <c r="G122" s="7" t="s">
        <v>1112</v>
      </c>
      <c r="H122" s="7" t="s">
        <v>1113</v>
      </c>
    </row>
    <row r="123" customFormat="false" ht="39.75" hidden="false" customHeight="true" outlineLevel="0" collapsed="false">
      <c r="A123" s="7" t="s">
        <v>675</v>
      </c>
      <c r="B123" s="7" t="s">
        <v>432</v>
      </c>
      <c r="C123" s="7" t="s">
        <v>249</v>
      </c>
      <c r="D123" s="7" t="s">
        <v>1114</v>
      </c>
      <c r="E123" s="7" t="s">
        <v>1066</v>
      </c>
      <c r="F123" s="7" t="s">
        <v>409</v>
      </c>
      <c r="G123" s="7" t="s">
        <v>1115</v>
      </c>
      <c r="H123" s="7" t="s">
        <v>1060</v>
      </c>
    </row>
    <row r="124" customFormat="false" ht="39.75" hidden="false" customHeight="true" outlineLevel="0" collapsed="false">
      <c r="A124" s="7" t="s">
        <v>677</v>
      </c>
      <c r="B124" s="7" t="s">
        <v>520</v>
      </c>
      <c r="C124" s="7" t="s">
        <v>249</v>
      </c>
      <c r="D124" s="7" t="s">
        <v>1116</v>
      </c>
      <c r="E124" s="7" t="s">
        <v>1066</v>
      </c>
      <c r="F124" s="7" t="s">
        <v>409</v>
      </c>
      <c r="G124" s="7" t="s">
        <v>1117</v>
      </c>
      <c r="H124" s="7" t="s">
        <v>1109</v>
      </c>
    </row>
    <row r="125" customFormat="false" ht="39.75" hidden="false" customHeight="true" outlineLevel="0" collapsed="false">
      <c r="A125" s="7" t="s">
        <v>679</v>
      </c>
      <c r="B125" s="7" t="s">
        <v>602</v>
      </c>
      <c r="C125" s="7" t="s">
        <v>249</v>
      </c>
      <c r="D125" s="7" t="s">
        <v>1118</v>
      </c>
      <c r="E125" s="7" t="s">
        <v>1119</v>
      </c>
      <c r="F125" s="7" t="s">
        <v>409</v>
      </c>
      <c r="G125" s="7" t="s">
        <v>1120</v>
      </c>
      <c r="H125" s="7" t="s">
        <v>1071</v>
      </c>
    </row>
    <row r="126" customFormat="false" ht="39.75" hidden="false" customHeight="true" outlineLevel="0" collapsed="false">
      <c r="A126" s="7" t="s">
        <v>681</v>
      </c>
      <c r="B126" s="7" t="s">
        <v>520</v>
      </c>
      <c r="C126" s="7" t="s">
        <v>249</v>
      </c>
      <c r="D126" s="7" t="s">
        <v>1121</v>
      </c>
      <c r="E126" s="7" t="s">
        <v>1066</v>
      </c>
      <c r="F126" s="7" t="s">
        <v>409</v>
      </c>
      <c r="G126" s="7" t="s">
        <v>1122</v>
      </c>
      <c r="H126" s="7" t="s">
        <v>1123</v>
      </c>
    </row>
    <row r="127" customFormat="false" ht="39.75" hidden="false" customHeight="true" outlineLevel="0" collapsed="false">
      <c r="A127" s="7" t="s">
        <v>683</v>
      </c>
      <c r="B127" s="7" t="s">
        <v>551</v>
      </c>
      <c r="C127" s="7" t="s">
        <v>249</v>
      </c>
      <c r="D127" s="7" t="s">
        <v>1124</v>
      </c>
      <c r="E127" s="7" t="s">
        <v>1066</v>
      </c>
      <c r="F127" s="7" t="s">
        <v>685</v>
      </c>
      <c r="G127" s="7" t="s">
        <v>1125</v>
      </c>
      <c r="H127" s="7" t="s">
        <v>1126</v>
      </c>
    </row>
    <row r="128" customFormat="false" ht="39.75" hidden="false" customHeight="true" outlineLevel="0" collapsed="false">
      <c r="A128" s="7" t="s">
        <v>686</v>
      </c>
      <c r="B128" s="7" t="s">
        <v>405</v>
      </c>
      <c r="C128" s="7" t="s">
        <v>243</v>
      </c>
      <c r="D128" s="7" t="s">
        <v>1127</v>
      </c>
      <c r="E128" s="7" t="s">
        <v>1128</v>
      </c>
      <c r="F128" s="7" t="s">
        <v>409</v>
      </c>
      <c r="G128" s="7" t="s">
        <v>1129</v>
      </c>
      <c r="H128" s="7" t="s">
        <v>1130</v>
      </c>
    </row>
    <row r="129" customFormat="false" ht="39.75" hidden="false" customHeight="true" outlineLevel="0" collapsed="false">
      <c r="A129" s="7" t="s">
        <v>688</v>
      </c>
      <c r="B129" s="7" t="s">
        <v>432</v>
      </c>
      <c r="C129" s="7" t="s">
        <v>690</v>
      </c>
      <c r="D129" s="7" t="s">
        <v>1131</v>
      </c>
      <c r="E129" s="7" t="s">
        <v>1132</v>
      </c>
      <c r="F129" s="7" t="s">
        <v>598</v>
      </c>
      <c r="G129" s="7" t="s">
        <v>1133</v>
      </c>
      <c r="H129" s="7" t="s">
        <v>1134</v>
      </c>
    </row>
    <row r="130" customFormat="false" ht="39.75" hidden="false" customHeight="true" outlineLevel="0" collapsed="false">
      <c r="A130" s="7" t="s">
        <v>691</v>
      </c>
      <c r="B130" s="7" t="s">
        <v>432</v>
      </c>
      <c r="C130" s="7" t="s">
        <v>690</v>
      </c>
      <c r="D130" s="7" t="s">
        <v>1135</v>
      </c>
      <c r="E130" s="7" t="s">
        <v>1135</v>
      </c>
      <c r="F130" s="7" t="s">
        <v>598</v>
      </c>
      <c r="G130" s="7" t="s">
        <v>1136</v>
      </c>
      <c r="H130" s="7" t="s">
        <v>1134</v>
      </c>
    </row>
    <row r="131" customFormat="false" ht="39.75" hidden="false" customHeight="true" outlineLevel="0" collapsed="false">
      <c r="A131" s="7" t="s">
        <v>693</v>
      </c>
      <c r="B131" s="7" t="s">
        <v>619</v>
      </c>
      <c r="C131" s="7" t="s">
        <v>690</v>
      </c>
      <c r="D131" s="7" t="s">
        <v>1137</v>
      </c>
      <c r="E131" s="7" t="s">
        <v>1138</v>
      </c>
      <c r="F131" s="7" t="s">
        <v>598</v>
      </c>
      <c r="G131" s="7" t="s">
        <v>1139</v>
      </c>
      <c r="H131" s="7" t="s">
        <v>1140</v>
      </c>
    </row>
    <row r="132" customFormat="false" ht="39.75" hidden="false" customHeight="true" outlineLevel="0" collapsed="false">
      <c r="A132" s="7" t="s">
        <v>695</v>
      </c>
      <c r="B132" s="7" t="s">
        <v>602</v>
      </c>
      <c r="C132" s="7" t="s">
        <v>182</v>
      </c>
      <c r="D132" s="7" t="s">
        <v>1141</v>
      </c>
      <c r="E132" s="7" t="s">
        <v>1135</v>
      </c>
      <c r="F132" s="7" t="s">
        <v>598</v>
      </c>
      <c r="G132" s="7" t="s">
        <v>1142</v>
      </c>
      <c r="H132" s="7" t="s">
        <v>1134</v>
      </c>
    </row>
    <row r="133" customFormat="false" ht="39.75" hidden="false" customHeight="true" outlineLevel="0" collapsed="false">
      <c r="A133" s="7" t="s">
        <v>697</v>
      </c>
      <c r="B133" s="7" t="s">
        <v>569</v>
      </c>
      <c r="C133" s="7" t="s">
        <v>153</v>
      </c>
      <c r="D133" s="7" t="s">
        <v>1143</v>
      </c>
      <c r="E133" s="7" t="s">
        <v>1135</v>
      </c>
      <c r="F133" s="7" t="s">
        <v>598</v>
      </c>
      <c r="G133" s="7" t="s">
        <v>1144</v>
      </c>
      <c r="H133" s="7" t="s">
        <v>1134</v>
      </c>
    </row>
    <row r="135" customFormat="false" ht="15" hidden="false" customHeight="false" outlineLevel="0" collapsed="false">
      <c r="A135" s="15" t="s">
        <v>1145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7"/>
    <col collapsed="false" customWidth="true" hidden="false" outlineLevel="0" max="4" min="4" style="1" width="70"/>
    <col collapsed="false" customWidth="true" hidden="false" outlineLevel="0" max="5" min="5" style="1" width="55"/>
    <col collapsed="false" customWidth="true" hidden="false" outlineLevel="0" max="6" min="6" style="1" width="8"/>
  </cols>
  <sheetData>
    <row r="1" customFormat="false" ht="15" hidden="false" customHeight="true" outlineLevel="0" collapsed="false">
      <c r="A1" s="18" t="s">
        <v>1146</v>
      </c>
    </row>
    <row r="3" customFormat="false" ht="15" hidden="false" customHeight="true" outlineLevel="0" collapsed="false">
      <c r="A3" s="32" t="s">
        <v>2</v>
      </c>
      <c r="B3" s="32" t="s">
        <v>1147</v>
      </c>
      <c r="C3" s="32" t="s">
        <v>126</v>
      </c>
      <c r="D3" s="32" t="s">
        <v>1148</v>
      </c>
      <c r="E3" s="32" t="s">
        <v>1149</v>
      </c>
      <c r="F3" s="32" t="s">
        <v>5</v>
      </c>
    </row>
    <row r="4" customFormat="false" ht="23.25" hidden="false" customHeight="true" outlineLevel="0" collapsed="false">
      <c r="A4" s="34" t="s">
        <v>1150</v>
      </c>
      <c r="B4" s="34" t="s">
        <v>1151</v>
      </c>
      <c r="C4" s="34" t="s">
        <v>984</v>
      </c>
      <c r="D4" s="4" t="s">
        <v>1152</v>
      </c>
      <c r="E4" s="4" t="s">
        <v>1153</v>
      </c>
      <c r="F4" s="34" t="s">
        <v>409</v>
      </c>
    </row>
    <row r="5" customFormat="false" ht="23.25" hidden="false" customHeight="true" outlineLevel="0" collapsed="false">
      <c r="A5" s="34" t="s">
        <v>1150</v>
      </c>
      <c r="B5" s="34" t="s">
        <v>1154</v>
      </c>
      <c r="C5" s="34" t="s">
        <v>522</v>
      </c>
      <c r="D5" s="4" t="s">
        <v>1155</v>
      </c>
      <c r="E5" s="4" t="s">
        <v>1156</v>
      </c>
      <c r="F5" s="34" t="s">
        <v>409</v>
      </c>
    </row>
    <row r="6" customFormat="false" ht="34.5" hidden="false" customHeight="true" outlineLevel="0" collapsed="false">
      <c r="A6" s="34" t="s">
        <v>1150</v>
      </c>
      <c r="B6" s="34" t="s">
        <v>1154</v>
      </c>
      <c r="C6" s="34" t="s">
        <v>1157</v>
      </c>
      <c r="D6" s="4" t="s">
        <v>1158</v>
      </c>
      <c r="E6" s="4" t="s">
        <v>1159</v>
      </c>
      <c r="F6" s="34" t="s">
        <v>409</v>
      </c>
    </row>
    <row r="7" customFormat="false" ht="23.25" hidden="false" customHeight="true" outlineLevel="0" collapsed="false">
      <c r="A7" s="34" t="s">
        <v>1150</v>
      </c>
      <c r="B7" s="34" t="s">
        <v>1154</v>
      </c>
      <c r="C7" s="34" t="s">
        <v>1160</v>
      </c>
      <c r="D7" s="4" t="s">
        <v>1161</v>
      </c>
      <c r="E7" s="4" t="s">
        <v>1162</v>
      </c>
      <c r="F7" s="34" t="s">
        <v>409</v>
      </c>
    </row>
    <row r="8" customFormat="false" ht="23.25" hidden="false" customHeight="true" outlineLevel="0" collapsed="false">
      <c r="A8" s="34" t="s">
        <v>1150</v>
      </c>
      <c r="B8" s="34" t="s">
        <v>1154</v>
      </c>
      <c r="C8" s="34" t="s">
        <v>456</v>
      </c>
      <c r="D8" s="4" t="s">
        <v>1163</v>
      </c>
      <c r="E8" s="4" t="s">
        <v>1164</v>
      </c>
      <c r="F8" s="34" t="s">
        <v>409</v>
      </c>
    </row>
    <row r="9" customFormat="false" ht="23.25" hidden="false" customHeight="true" outlineLevel="0" collapsed="false">
      <c r="A9" s="34" t="s">
        <v>1150</v>
      </c>
      <c r="B9" s="34" t="s">
        <v>1154</v>
      </c>
      <c r="C9" s="34" t="s">
        <v>478</v>
      </c>
      <c r="D9" s="4" t="s">
        <v>1165</v>
      </c>
      <c r="E9" s="4" t="s">
        <v>1166</v>
      </c>
      <c r="F9" s="34" t="s">
        <v>409</v>
      </c>
    </row>
    <row r="10" customFormat="false" ht="23.25" hidden="false" customHeight="true" outlineLevel="0" collapsed="false">
      <c r="A10" s="34" t="s">
        <v>1150</v>
      </c>
      <c r="B10" s="34" t="s">
        <v>1154</v>
      </c>
      <c r="C10" s="34" t="s">
        <v>500</v>
      </c>
      <c r="D10" s="4" t="s">
        <v>1167</v>
      </c>
      <c r="E10" s="4" t="s">
        <v>1168</v>
      </c>
      <c r="F10" s="34" t="s">
        <v>409</v>
      </c>
    </row>
    <row r="11" customFormat="false" ht="23.25" hidden="false" customHeight="true" outlineLevel="0" collapsed="false">
      <c r="A11" s="34" t="s">
        <v>1150</v>
      </c>
      <c r="B11" s="34" t="s">
        <v>1154</v>
      </c>
      <c r="C11" s="34" t="s">
        <v>602</v>
      </c>
      <c r="D11" s="4" t="s">
        <v>1169</v>
      </c>
      <c r="E11" s="4" t="s">
        <v>1170</v>
      </c>
      <c r="F11" s="34" t="s">
        <v>409</v>
      </c>
    </row>
    <row r="12" customFormat="false" ht="34.5" hidden="false" customHeight="true" outlineLevel="0" collapsed="false">
      <c r="A12" s="34" t="s">
        <v>1150</v>
      </c>
      <c r="B12" s="34" t="s">
        <v>1154</v>
      </c>
      <c r="C12" s="34" t="s">
        <v>984</v>
      </c>
      <c r="D12" s="4" t="s">
        <v>1171</v>
      </c>
      <c r="E12" s="4" t="s">
        <v>1172</v>
      </c>
      <c r="F12" s="34" t="s">
        <v>409</v>
      </c>
    </row>
    <row r="13" customFormat="false" ht="34.5" hidden="false" customHeight="true" outlineLevel="0" collapsed="false">
      <c r="A13" s="34" t="s">
        <v>1150</v>
      </c>
      <c r="B13" s="34"/>
      <c r="C13" s="34" t="s">
        <v>1173</v>
      </c>
      <c r="D13" s="4" t="s">
        <v>1174</v>
      </c>
      <c r="E13" s="4" t="s">
        <v>984</v>
      </c>
      <c r="F13" s="34" t="s">
        <v>835</v>
      </c>
    </row>
    <row r="14" customFormat="false" ht="34.5" hidden="false" customHeight="true" outlineLevel="0" collapsed="false">
      <c r="A14" s="34" t="s">
        <v>1150</v>
      </c>
      <c r="B14" s="34" t="s">
        <v>1175</v>
      </c>
      <c r="C14" s="34" t="s">
        <v>500</v>
      </c>
      <c r="D14" s="4" t="s">
        <v>1176</v>
      </c>
      <c r="E14" s="4" t="s">
        <v>1177</v>
      </c>
      <c r="F14" s="34" t="s">
        <v>409</v>
      </c>
    </row>
    <row r="15" customFormat="false" ht="34.5" hidden="false" customHeight="true" outlineLevel="0" collapsed="false">
      <c r="A15" s="34" t="s">
        <v>1150</v>
      </c>
      <c r="B15" s="34" t="s">
        <v>1175</v>
      </c>
      <c r="C15" s="34" t="s">
        <v>1178</v>
      </c>
      <c r="D15" s="4" t="s">
        <v>1179</v>
      </c>
      <c r="E15" s="4" t="s">
        <v>1180</v>
      </c>
      <c r="F15" s="34" t="s">
        <v>409</v>
      </c>
    </row>
    <row r="16" customFormat="false" ht="34.5" hidden="false" customHeight="true" outlineLevel="0" collapsed="false">
      <c r="A16" s="34" t="s">
        <v>1150</v>
      </c>
      <c r="B16" s="34" t="s">
        <v>1175</v>
      </c>
      <c r="C16" s="34" t="s">
        <v>1181</v>
      </c>
      <c r="D16" s="4" t="s">
        <v>1182</v>
      </c>
      <c r="E16" s="4" t="s">
        <v>1183</v>
      </c>
      <c r="F16" s="34" t="s">
        <v>409</v>
      </c>
    </row>
    <row r="17" customFormat="false" ht="23.25" hidden="false" customHeight="true" outlineLevel="0" collapsed="false">
      <c r="A17" s="34" t="s">
        <v>1150</v>
      </c>
      <c r="B17" s="34" t="s">
        <v>1175</v>
      </c>
      <c r="C17" s="34" t="s">
        <v>602</v>
      </c>
      <c r="D17" s="4" t="s">
        <v>1184</v>
      </c>
      <c r="E17" s="4" t="s">
        <v>1185</v>
      </c>
      <c r="F17" s="34" t="s">
        <v>409</v>
      </c>
    </row>
    <row r="18" customFormat="false" ht="45.75" hidden="false" customHeight="true" outlineLevel="0" collapsed="false">
      <c r="A18" s="34" t="s">
        <v>1150</v>
      </c>
      <c r="B18" s="34"/>
      <c r="C18" s="34" t="s">
        <v>1173</v>
      </c>
      <c r="D18" s="4" t="s">
        <v>1186</v>
      </c>
      <c r="E18" s="4" t="s">
        <v>984</v>
      </c>
      <c r="F18" s="34" t="s">
        <v>835</v>
      </c>
    </row>
    <row r="19" customFormat="false" ht="57" hidden="false" customHeight="true" outlineLevel="0" collapsed="false">
      <c r="A19" s="34" t="s">
        <v>1150</v>
      </c>
      <c r="B19" s="34" t="s">
        <v>1187</v>
      </c>
      <c r="C19" s="34" t="s">
        <v>984</v>
      </c>
      <c r="D19" s="4" t="s">
        <v>1188</v>
      </c>
      <c r="E19" s="4" t="s">
        <v>1189</v>
      </c>
      <c r="F19" s="34" t="s">
        <v>409</v>
      </c>
    </row>
    <row r="20" customFormat="false" ht="45.75" hidden="false" customHeight="true" outlineLevel="0" collapsed="false">
      <c r="A20" s="34" t="s">
        <v>1150</v>
      </c>
      <c r="B20" s="34" t="s">
        <v>1190</v>
      </c>
      <c r="C20" s="34" t="s">
        <v>1191</v>
      </c>
      <c r="D20" s="4" t="s">
        <v>1192</v>
      </c>
      <c r="E20" s="4" t="s">
        <v>1193</v>
      </c>
      <c r="F20" s="34" t="s">
        <v>409</v>
      </c>
    </row>
    <row r="21" customFormat="false" ht="34.5" hidden="false" customHeight="true" outlineLevel="0" collapsed="false">
      <c r="A21" s="34" t="s">
        <v>1150</v>
      </c>
      <c r="B21" s="34" t="s">
        <v>1190</v>
      </c>
      <c r="C21" s="34" t="s">
        <v>602</v>
      </c>
      <c r="D21" s="4" t="s">
        <v>1194</v>
      </c>
      <c r="E21" s="4" t="s">
        <v>1185</v>
      </c>
      <c r="F21" s="34" t="s">
        <v>409</v>
      </c>
    </row>
    <row r="22" customFormat="false" ht="34.5" hidden="false" customHeight="true" outlineLevel="0" collapsed="false">
      <c r="A22" s="34" t="s">
        <v>1150</v>
      </c>
      <c r="B22" s="34"/>
      <c r="C22" s="34" t="s">
        <v>1195</v>
      </c>
      <c r="D22" s="4" t="s">
        <v>1196</v>
      </c>
      <c r="E22" s="4" t="s">
        <v>984</v>
      </c>
      <c r="F22" s="34" t="s">
        <v>835</v>
      </c>
    </row>
    <row r="23" customFormat="false" ht="68.25" hidden="false" customHeight="true" outlineLevel="0" collapsed="false">
      <c r="A23" s="20" t="s">
        <v>1197</v>
      </c>
      <c r="B23" s="20" t="s">
        <v>1198</v>
      </c>
      <c r="C23" s="20" t="s">
        <v>1181</v>
      </c>
      <c r="D23" s="4" t="s">
        <v>1199</v>
      </c>
      <c r="E23" s="4" t="s">
        <v>1200</v>
      </c>
      <c r="F23" s="4" t="s">
        <v>1201</v>
      </c>
      <c r="G23" s="4" t="s">
        <v>1202</v>
      </c>
      <c r="H23" s="4" t="s">
        <v>1203</v>
      </c>
    </row>
    <row r="24" customFormat="false" ht="45.75" hidden="false" customHeight="true" outlineLevel="0" collapsed="false">
      <c r="A24" s="20" t="s">
        <v>1197</v>
      </c>
      <c r="B24" s="20" t="s">
        <v>1198</v>
      </c>
      <c r="C24" s="20" t="s">
        <v>590</v>
      </c>
      <c r="D24" s="4" t="s">
        <v>1204</v>
      </c>
      <c r="E24" s="4" t="s">
        <v>1205</v>
      </c>
      <c r="F24" s="4" t="s">
        <v>1206</v>
      </c>
      <c r="G24" s="4" t="s">
        <v>1207</v>
      </c>
      <c r="H24" s="4" t="s">
        <v>1203</v>
      </c>
    </row>
    <row r="25" customFormat="false" ht="45.75" hidden="false" customHeight="true" outlineLevel="0" collapsed="false">
      <c r="A25" s="20" t="s">
        <v>1197</v>
      </c>
      <c r="B25" s="20" t="s">
        <v>1198</v>
      </c>
      <c r="C25" s="20" t="s">
        <v>602</v>
      </c>
      <c r="D25" s="4" t="s">
        <v>1208</v>
      </c>
      <c r="E25" s="4" t="s">
        <v>1185</v>
      </c>
      <c r="F25" s="4" t="s">
        <v>1209</v>
      </c>
      <c r="G25" s="4" t="s">
        <v>1210</v>
      </c>
      <c r="H25" s="4" t="s">
        <v>1211</v>
      </c>
    </row>
    <row r="26" customFormat="false" ht="113.25" hidden="false" customHeight="true" outlineLevel="0" collapsed="false">
      <c r="A26" s="20" t="s">
        <v>1197</v>
      </c>
      <c r="B26" s="20" t="s">
        <v>1212</v>
      </c>
      <c r="C26" s="20" t="s">
        <v>1181</v>
      </c>
      <c r="D26" s="4" t="s">
        <v>1213</v>
      </c>
      <c r="E26" s="4" t="s">
        <v>1214</v>
      </c>
      <c r="F26" s="4" t="s">
        <v>1215</v>
      </c>
      <c r="G26" s="4" t="s">
        <v>1216</v>
      </c>
      <c r="H26" s="4" t="s">
        <v>1203</v>
      </c>
    </row>
    <row r="27" customFormat="false" ht="57" hidden="false" customHeight="true" outlineLevel="0" collapsed="false">
      <c r="A27" s="20" t="s">
        <v>1197</v>
      </c>
      <c r="B27" s="20" t="s">
        <v>1212</v>
      </c>
      <c r="C27" s="20" t="s">
        <v>602</v>
      </c>
      <c r="D27" s="4" t="s">
        <v>1217</v>
      </c>
      <c r="E27" s="4" t="s">
        <v>1185</v>
      </c>
      <c r="F27" s="4" t="s">
        <v>1218</v>
      </c>
      <c r="G27" s="4" t="s">
        <v>1219</v>
      </c>
      <c r="H27" s="4" t="s">
        <v>1220</v>
      </c>
    </row>
    <row r="28" customFormat="false" ht="68.25" hidden="false" customHeight="true" outlineLevel="0" collapsed="false">
      <c r="A28" s="20" t="s">
        <v>1221</v>
      </c>
      <c r="B28" s="20" t="s">
        <v>1222</v>
      </c>
      <c r="C28" s="20" t="s">
        <v>1181</v>
      </c>
      <c r="D28" s="4" t="s">
        <v>1223</v>
      </c>
      <c r="E28" s="4" t="s">
        <v>1224</v>
      </c>
      <c r="F28" s="4" t="s">
        <v>1225</v>
      </c>
      <c r="G28" s="4" t="s">
        <v>1210</v>
      </c>
      <c r="H28" s="4" t="s">
        <v>1203</v>
      </c>
    </row>
    <row r="29" customFormat="false" ht="90.75" hidden="false" customHeight="true" outlineLevel="0" collapsed="false">
      <c r="A29" s="20" t="s">
        <v>1221</v>
      </c>
      <c r="B29" s="20" t="s">
        <v>1222</v>
      </c>
      <c r="C29" s="20" t="s">
        <v>1181</v>
      </c>
      <c r="D29" s="4" t="s">
        <v>1226</v>
      </c>
      <c r="E29" s="4" t="s">
        <v>1227</v>
      </c>
      <c r="F29" s="4" t="s">
        <v>1228</v>
      </c>
      <c r="G29" s="4" t="s">
        <v>1229</v>
      </c>
      <c r="H29" s="4" t="s">
        <v>1203</v>
      </c>
    </row>
    <row r="30" customFormat="false" ht="45.75" hidden="false" customHeight="true" outlineLevel="0" collapsed="false">
      <c r="A30" s="20" t="s">
        <v>1221</v>
      </c>
      <c r="B30" s="20" t="s">
        <v>1222</v>
      </c>
      <c r="C30" s="20" t="s">
        <v>602</v>
      </c>
      <c r="D30" s="4" t="s">
        <v>1230</v>
      </c>
      <c r="E30" s="4" t="s">
        <v>1185</v>
      </c>
      <c r="F30" s="4" t="s">
        <v>1231</v>
      </c>
      <c r="G30" s="4" t="s">
        <v>1210</v>
      </c>
      <c r="H30" s="4" t="s">
        <v>1232</v>
      </c>
    </row>
    <row r="31" customFormat="false" ht="90.75" hidden="false" customHeight="true" outlineLevel="0" collapsed="false">
      <c r="A31" s="20" t="s">
        <v>1221</v>
      </c>
      <c r="B31" s="20" t="s">
        <v>1233</v>
      </c>
      <c r="C31" s="20" t="s">
        <v>1181</v>
      </c>
      <c r="D31" s="4" t="s">
        <v>1234</v>
      </c>
      <c r="E31" s="4" t="s">
        <v>1235</v>
      </c>
      <c r="F31" s="4" t="s">
        <v>1236</v>
      </c>
      <c r="G31" s="4" t="s">
        <v>1237</v>
      </c>
      <c r="H31" s="4" t="s">
        <v>1203</v>
      </c>
    </row>
    <row r="32" customFormat="false" ht="68.25" hidden="false" customHeight="true" outlineLevel="0" collapsed="false">
      <c r="A32" s="20" t="s">
        <v>1221</v>
      </c>
      <c r="B32" s="20" t="s">
        <v>1233</v>
      </c>
      <c r="C32" s="20" t="s">
        <v>590</v>
      </c>
      <c r="D32" s="4" t="s">
        <v>1238</v>
      </c>
      <c r="E32" s="4" t="s">
        <v>1239</v>
      </c>
      <c r="F32" s="4" t="s">
        <v>1240</v>
      </c>
      <c r="G32" s="4" t="s">
        <v>1241</v>
      </c>
      <c r="H32" s="4" t="s">
        <v>1203</v>
      </c>
    </row>
    <row r="33" customFormat="false" ht="45.75" hidden="false" customHeight="true" outlineLevel="0" collapsed="false">
      <c r="A33" s="20" t="s">
        <v>1221</v>
      </c>
      <c r="B33" s="20" t="s">
        <v>1233</v>
      </c>
      <c r="C33" s="20" t="s">
        <v>602</v>
      </c>
      <c r="D33" s="4" t="s">
        <v>1242</v>
      </c>
      <c r="E33" s="4" t="s">
        <v>1185</v>
      </c>
      <c r="F33" s="4" t="s">
        <v>1243</v>
      </c>
      <c r="G33" s="4" t="s">
        <v>1210</v>
      </c>
      <c r="H33" s="4" t="s">
        <v>1244</v>
      </c>
    </row>
    <row r="34" customFormat="false" ht="79.5" hidden="false" customHeight="true" outlineLevel="0" collapsed="false">
      <c r="A34" s="20" t="s">
        <v>1221</v>
      </c>
      <c r="B34" s="20" t="s">
        <v>1245</v>
      </c>
      <c r="C34" s="20" t="s">
        <v>1181</v>
      </c>
      <c r="D34" s="4" t="s">
        <v>1246</v>
      </c>
      <c r="E34" s="4" t="s">
        <v>1247</v>
      </c>
      <c r="F34" s="4" t="s">
        <v>1248</v>
      </c>
      <c r="G34" s="4" t="s">
        <v>1210</v>
      </c>
      <c r="H34" s="4" t="s">
        <v>1203</v>
      </c>
    </row>
    <row r="35" customFormat="false" ht="79.5" hidden="false" customHeight="true" outlineLevel="0" collapsed="false">
      <c r="A35" s="20" t="s">
        <v>1221</v>
      </c>
      <c r="B35" s="20" t="s">
        <v>1245</v>
      </c>
      <c r="C35" s="20" t="s">
        <v>590</v>
      </c>
      <c r="D35" s="4" t="s">
        <v>1249</v>
      </c>
      <c r="E35" s="4" t="s">
        <v>1250</v>
      </c>
      <c r="F35" s="4" t="s">
        <v>1251</v>
      </c>
      <c r="G35" s="4" t="s">
        <v>1252</v>
      </c>
      <c r="H35" s="4" t="s">
        <v>1203</v>
      </c>
    </row>
    <row r="36" customFormat="false" ht="45.75" hidden="false" customHeight="true" outlineLevel="0" collapsed="false">
      <c r="A36" s="20" t="s">
        <v>1221</v>
      </c>
      <c r="B36" s="20" t="s">
        <v>1245</v>
      </c>
      <c r="C36" s="20" t="s">
        <v>602</v>
      </c>
      <c r="D36" s="4" t="s">
        <v>1253</v>
      </c>
      <c r="E36" s="4" t="s">
        <v>1185</v>
      </c>
      <c r="F36" s="4" t="s">
        <v>1254</v>
      </c>
      <c r="G36" s="4" t="s">
        <v>1210</v>
      </c>
      <c r="H36" s="4" t="s">
        <v>1255</v>
      </c>
    </row>
    <row r="37" customFormat="false" ht="79.5" hidden="false" customHeight="true" outlineLevel="0" collapsed="false">
      <c r="A37" s="20" t="s">
        <v>1221</v>
      </c>
      <c r="B37" s="20" t="s">
        <v>1256</v>
      </c>
      <c r="C37" s="20" t="s">
        <v>1181</v>
      </c>
      <c r="D37" s="4" t="s">
        <v>1257</v>
      </c>
      <c r="E37" s="4" t="s">
        <v>1258</v>
      </c>
      <c r="F37" s="4" t="s">
        <v>1259</v>
      </c>
      <c r="G37" s="4" t="s">
        <v>1260</v>
      </c>
      <c r="H37" s="4" t="s">
        <v>1203</v>
      </c>
    </row>
    <row r="38" customFormat="false" ht="68.25" hidden="false" customHeight="true" outlineLevel="0" collapsed="false">
      <c r="A38" s="20" t="s">
        <v>1221</v>
      </c>
      <c r="B38" s="20" t="s">
        <v>1256</v>
      </c>
      <c r="C38" s="20" t="s">
        <v>590</v>
      </c>
      <c r="D38" s="4" t="s">
        <v>1261</v>
      </c>
      <c r="E38" s="4" t="s">
        <v>1262</v>
      </c>
      <c r="F38" s="4" t="s">
        <v>1263</v>
      </c>
      <c r="G38" s="4" t="s">
        <v>1210</v>
      </c>
      <c r="H38" s="4" t="s">
        <v>1203</v>
      </c>
    </row>
    <row r="39" customFormat="false" ht="34.5" hidden="false" customHeight="true" outlineLevel="0" collapsed="false">
      <c r="A39" s="20" t="s">
        <v>1221</v>
      </c>
      <c r="B39" s="20" t="s">
        <v>1256</v>
      </c>
      <c r="C39" s="20" t="s">
        <v>602</v>
      </c>
      <c r="D39" s="4" t="s">
        <v>1264</v>
      </c>
      <c r="E39" s="4" t="s">
        <v>1185</v>
      </c>
      <c r="F39" s="4" t="s">
        <v>1265</v>
      </c>
      <c r="G39" s="4" t="s">
        <v>1210</v>
      </c>
      <c r="H39" s="4" t="s">
        <v>1266</v>
      </c>
    </row>
    <row r="40" customFormat="false" ht="57" hidden="false" customHeight="true" outlineLevel="0" collapsed="false">
      <c r="A40" s="20" t="s">
        <v>1221</v>
      </c>
      <c r="B40" s="20" t="s">
        <v>1267</v>
      </c>
      <c r="C40" s="20" t="s">
        <v>590</v>
      </c>
      <c r="D40" s="4" t="s">
        <v>1268</v>
      </c>
      <c r="E40" s="4" t="s">
        <v>1269</v>
      </c>
      <c r="F40" s="4" t="s">
        <v>1270</v>
      </c>
      <c r="G40" s="4" t="s">
        <v>1271</v>
      </c>
      <c r="H40" s="4" t="s">
        <v>1203</v>
      </c>
    </row>
    <row r="41" customFormat="false" ht="68.25" hidden="false" customHeight="true" outlineLevel="0" collapsed="false">
      <c r="A41" s="20" t="s">
        <v>1221</v>
      </c>
      <c r="B41" s="20" t="s">
        <v>1267</v>
      </c>
      <c r="C41" s="20" t="s">
        <v>590</v>
      </c>
      <c r="D41" s="4" t="s">
        <v>1272</v>
      </c>
      <c r="E41" s="4" t="s">
        <v>1273</v>
      </c>
      <c r="F41" s="4" t="s">
        <v>1274</v>
      </c>
      <c r="G41" s="4" t="s">
        <v>1275</v>
      </c>
      <c r="H41" s="4" t="s">
        <v>1203</v>
      </c>
    </row>
    <row r="42" customFormat="false" ht="34.5" hidden="false" customHeight="true" outlineLevel="0" collapsed="false">
      <c r="A42" s="20" t="s">
        <v>1221</v>
      </c>
      <c r="B42" s="20" t="s">
        <v>1267</v>
      </c>
      <c r="C42" s="20" t="s">
        <v>602</v>
      </c>
      <c r="D42" s="4" t="s">
        <v>1276</v>
      </c>
      <c r="E42" s="4" t="s">
        <v>1185</v>
      </c>
      <c r="F42" s="4" t="s">
        <v>1277</v>
      </c>
      <c r="G42" s="4" t="s">
        <v>1210</v>
      </c>
      <c r="H42" s="4" t="s">
        <v>1278</v>
      </c>
    </row>
    <row r="43" customFormat="false" ht="68.25" hidden="false" customHeight="true" outlineLevel="0" collapsed="false">
      <c r="A43" s="20" t="s">
        <v>1221</v>
      </c>
      <c r="B43" s="20" t="s">
        <v>1279</v>
      </c>
      <c r="C43" s="20" t="s">
        <v>590</v>
      </c>
      <c r="D43" s="4" t="s">
        <v>1280</v>
      </c>
      <c r="E43" s="4" t="s">
        <v>1281</v>
      </c>
      <c r="F43" s="4" t="s">
        <v>1282</v>
      </c>
      <c r="G43" s="4" t="s">
        <v>1210</v>
      </c>
      <c r="H43" s="4" t="s">
        <v>1203</v>
      </c>
    </row>
    <row r="44" customFormat="false" ht="68.25" hidden="false" customHeight="true" outlineLevel="0" collapsed="false">
      <c r="A44" s="20" t="s">
        <v>1221</v>
      </c>
      <c r="B44" s="20" t="s">
        <v>1279</v>
      </c>
      <c r="C44" s="20" t="s">
        <v>590</v>
      </c>
      <c r="D44" s="4" t="s">
        <v>1283</v>
      </c>
      <c r="E44" s="4" t="s">
        <v>1281</v>
      </c>
      <c r="F44" s="4" t="s">
        <v>1284</v>
      </c>
      <c r="G44" s="4" t="s">
        <v>1285</v>
      </c>
      <c r="H44" s="4" t="s">
        <v>1203</v>
      </c>
    </row>
    <row r="45" customFormat="false" ht="34.5" hidden="false" customHeight="true" outlineLevel="0" collapsed="false">
      <c r="A45" s="20" t="s">
        <v>1221</v>
      </c>
      <c r="B45" s="20" t="s">
        <v>1279</v>
      </c>
      <c r="C45" s="20" t="s">
        <v>602</v>
      </c>
      <c r="D45" s="4" t="s">
        <v>1286</v>
      </c>
      <c r="E45" s="4" t="s">
        <v>1185</v>
      </c>
      <c r="F45" s="4" t="s">
        <v>1287</v>
      </c>
      <c r="G45" s="4" t="s">
        <v>1210</v>
      </c>
      <c r="H45" s="4" t="s">
        <v>1288</v>
      </c>
    </row>
    <row r="46" customFormat="false" ht="68.25" hidden="false" customHeight="true" outlineLevel="0" collapsed="false">
      <c r="A46" s="20" t="s">
        <v>1221</v>
      </c>
      <c r="B46" s="20" t="s">
        <v>1289</v>
      </c>
      <c r="C46" s="20" t="s">
        <v>590</v>
      </c>
      <c r="D46" s="4" t="s">
        <v>1290</v>
      </c>
      <c r="E46" s="4" t="s">
        <v>1291</v>
      </c>
      <c r="F46" s="4" t="s">
        <v>1292</v>
      </c>
      <c r="G46" s="4" t="s">
        <v>1210</v>
      </c>
      <c r="H46" s="4" t="s">
        <v>1203</v>
      </c>
    </row>
    <row r="47" customFormat="false" ht="79.5" hidden="false" customHeight="true" outlineLevel="0" collapsed="false">
      <c r="A47" s="20" t="s">
        <v>1221</v>
      </c>
      <c r="B47" s="20" t="s">
        <v>1289</v>
      </c>
      <c r="C47" s="20" t="s">
        <v>590</v>
      </c>
      <c r="D47" s="4" t="s">
        <v>1293</v>
      </c>
      <c r="E47" s="4" t="s">
        <v>1291</v>
      </c>
      <c r="F47" s="4" t="s">
        <v>1294</v>
      </c>
      <c r="G47" s="4" t="s">
        <v>1295</v>
      </c>
      <c r="H47" s="4" t="s">
        <v>1203</v>
      </c>
    </row>
    <row r="48" customFormat="false" ht="57" hidden="false" customHeight="true" outlineLevel="0" collapsed="false">
      <c r="A48" s="20" t="s">
        <v>1221</v>
      </c>
      <c r="B48" s="20" t="s">
        <v>1289</v>
      </c>
      <c r="C48" s="20" t="s">
        <v>602</v>
      </c>
      <c r="D48" s="4" t="s">
        <v>1296</v>
      </c>
      <c r="E48" s="4" t="s">
        <v>1185</v>
      </c>
      <c r="F48" s="4" t="s">
        <v>1297</v>
      </c>
      <c r="G48" s="4" t="s">
        <v>1210</v>
      </c>
      <c r="H48" s="4" t="s">
        <v>1298</v>
      </c>
    </row>
    <row r="49" customFormat="false" ht="57" hidden="false" customHeight="true" outlineLevel="0" collapsed="false">
      <c r="A49" s="20" t="s">
        <v>1221</v>
      </c>
      <c r="B49" s="20" t="s">
        <v>1299</v>
      </c>
      <c r="C49" s="20" t="s">
        <v>590</v>
      </c>
      <c r="D49" s="4" t="s">
        <v>1300</v>
      </c>
      <c r="E49" s="4" t="s">
        <v>1301</v>
      </c>
      <c r="F49" s="4" t="s">
        <v>1302</v>
      </c>
      <c r="G49" s="4" t="s">
        <v>1210</v>
      </c>
      <c r="H49" s="4" t="s">
        <v>1203</v>
      </c>
    </row>
    <row r="50" customFormat="false" ht="79.5" hidden="false" customHeight="true" outlineLevel="0" collapsed="false">
      <c r="A50" s="20" t="s">
        <v>1221</v>
      </c>
      <c r="B50" s="20" t="s">
        <v>1299</v>
      </c>
      <c r="C50" s="20" t="s">
        <v>590</v>
      </c>
      <c r="D50" s="4" t="s">
        <v>1303</v>
      </c>
      <c r="E50" s="4" t="s">
        <v>1301</v>
      </c>
      <c r="F50" s="4" t="s">
        <v>1304</v>
      </c>
      <c r="G50" s="4" t="s">
        <v>1210</v>
      </c>
      <c r="H50" s="4" t="s">
        <v>1203</v>
      </c>
    </row>
    <row r="51" customFormat="false" ht="57" hidden="false" customHeight="true" outlineLevel="0" collapsed="false">
      <c r="A51" s="20" t="s">
        <v>1221</v>
      </c>
      <c r="B51" s="20" t="s">
        <v>1299</v>
      </c>
      <c r="C51" s="20" t="s">
        <v>590</v>
      </c>
      <c r="D51" s="4" t="s">
        <v>1305</v>
      </c>
      <c r="E51" s="4" t="s">
        <v>1306</v>
      </c>
      <c r="F51" s="4" t="s">
        <v>1307</v>
      </c>
      <c r="G51" s="4" t="s">
        <v>1210</v>
      </c>
      <c r="H51" s="4" t="s">
        <v>1203</v>
      </c>
    </row>
    <row r="52" customFormat="false" ht="34.5" hidden="false" customHeight="true" outlineLevel="0" collapsed="false">
      <c r="A52" s="20" t="s">
        <v>1221</v>
      </c>
      <c r="B52" s="20" t="s">
        <v>1299</v>
      </c>
      <c r="C52" s="20" t="s">
        <v>602</v>
      </c>
      <c r="D52" s="4" t="s">
        <v>1308</v>
      </c>
      <c r="E52" s="4" t="s">
        <v>1185</v>
      </c>
      <c r="F52" s="4" t="s">
        <v>1309</v>
      </c>
      <c r="G52" s="4" t="s">
        <v>1210</v>
      </c>
      <c r="H52" s="4" t="s">
        <v>1310</v>
      </c>
    </row>
    <row r="53" customFormat="false" ht="79.5" hidden="false" customHeight="true" outlineLevel="0" collapsed="false">
      <c r="A53" s="20" t="s">
        <v>1221</v>
      </c>
      <c r="B53" s="20" t="s">
        <v>1311</v>
      </c>
      <c r="C53" s="20" t="s">
        <v>590</v>
      </c>
      <c r="D53" s="4" t="s">
        <v>1312</v>
      </c>
      <c r="E53" s="4" t="s">
        <v>1313</v>
      </c>
      <c r="F53" s="4" t="s">
        <v>1314</v>
      </c>
      <c r="G53" s="4" t="s">
        <v>1210</v>
      </c>
      <c r="H53" s="4" t="s">
        <v>1203</v>
      </c>
    </row>
    <row r="54" customFormat="false" ht="45.75" hidden="false" customHeight="true" outlineLevel="0" collapsed="false">
      <c r="A54" s="20" t="s">
        <v>1221</v>
      </c>
      <c r="B54" s="20" t="s">
        <v>1311</v>
      </c>
      <c r="C54" s="20" t="s">
        <v>602</v>
      </c>
      <c r="D54" s="4" t="s">
        <v>1315</v>
      </c>
      <c r="E54" s="4" t="s">
        <v>1185</v>
      </c>
      <c r="F54" s="4" t="s">
        <v>1316</v>
      </c>
      <c r="G54" s="4" t="s">
        <v>1210</v>
      </c>
      <c r="H54" s="4" t="s">
        <v>1317</v>
      </c>
    </row>
    <row r="55" customFormat="false" ht="68.25" hidden="false" customHeight="true" outlineLevel="0" collapsed="false">
      <c r="A55" s="20" t="s">
        <v>1221</v>
      </c>
      <c r="B55" s="20" t="s">
        <v>1318</v>
      </c>
      <c r="C55" s="20" t="s">
        <v>595</v>
      </c>
      <c r="D55" s="4" t="s">
        <v>1319</v>
      </c>
      <c r="E55" s="4" t="s">
        <v>1210</v>
      </c>
      <c r="F55" s="4" t="s">
        <v>1320</v>
      </c>
      <c r="G55" s="4" t="s">
        <v>1321</v>
      </c>
      <c r="H55" s="4" t="s">
        <v>1203</v>
      </c>
    </row>
    <row r="56" customFormat="false" ht="57" hidden="false" customHeight="true" outlineLevel="0" collapsed="false">
      <c r="A56" s="20" t="s">
        <v>1221</v>
      </c>
      <c r="B56" s="20" t="s">
        <v>1318</v>
      </c>
      <c r="C56" s="20" t="s">
        <v>602</v>
      </c>
      <c r="D56" s="4" t="s">
        <v>1322</v>
      </c>
      <c r="E56" s="4" t="s">
        <v>1323</v>
      </c>
      <c r="F56" s="4" t="s">
        <v>1324</v>
      </c>
      <c r="G56" s="4" t="s">
        <v>1210</v>
      </c>
      <c r="H56" s="4" t="s">
        <v>1325</v>
      </c>
    </row>
    <row r="57" customFormat="false" ht="79.5" hidden="false" customHeight="true" outlineLevel="0" collapsed="false">
      <c r="A57" s="20" t="s">
        <v>1221</v>
      </c>
      <c r="B57" s="20" t="s">
        <v>1326</v>
      </c>
      <c r="C57" s="20" t="s">
        <v>595</v>
      </c>
      <c r="D57" s="4" t="s">
        <v>1327</v>
      </c>
      <c r="E57" s="4" t="s">
        <v>1328</v>
      </c>
      <c r="F57" s="4" t="s">
        <v>1329</v>
      </c>
      <c r="G57" s="4" t="s">
        <v>1210</v>
      </c>
      <c r="H57" s="4" t="s">
        <v>1203</v>
      </c>
    </row>
    <row r="58" customFormat="false" ht="57" hidden="false" customHeight="true" outlineLevel="0" collapsed="false">
      <c r="A58" s="20" t="s">
        <v>1221</v>
      </c>
      <c r="B58" s="20" t="s">
        <v>1326</v>
      </c>
      <c r="C58" s="20" t="s">
        <v>595</v>
      </c>
      <c r="D58" s="4" t="s">
        <v>1330</v>
      </c>
      <c r="E58" s="4" t="s">
        <v>1331</v>
      </c>
      <c r="F58" s="4" t="s">
        <v>1332</v>
      </c>
      <c r="G58" s="4" t="s">
        <v>1333</v>
      </c>
      <c r="H58" s="4" t="s">
        <v>1203</v>
      </c>
    </row>
    <row r="59" customFormat="false" ht="57" hidden="false" customHeight="true" outlineLevel="0" collapsed="false">
      <c r="A59" s="20" t="s">
        <v>1221</v>
      </c>
      <c r="B59" s="20" t="s">
        <v>1326</v>
      </c>
      <c r="C59" s="20" t="s">
        <v>602</v>
      </c>
      <c r="D59" s="4" t="s">
        <v>1334</v>
      </c>
      <c r="E59" s="4" t="s">
        <v>1323</v>
      </c>
      <c r="F59" s="4" t="s">
        <v>1335</v>
      </c>
      <c r="G59" s="4" t="s">
        <v>1210</v>
      </c>
      <c r="H59" s="4" t="s">
        <v>1336</v>
      </c>
    </row>
    <row r="60" customFormat="false" ht="57" hidden="false" customHeight="true" outlineLevel="0" collapsed="false">
      <c r="A60" s="20" t="s">
        <v>1221</v>
      </c>
      <c r="B60" s="20" t="s">
        <v>1337</v>
      </c>
      <c r="C60" s="20" t="s">
        <v>595</v>
      </c>
      <c r="D60" s="4" t="s">
        <v>1338</v>
      </c>
      <c r="E60" s="4" t="s">
        <v>1339</v>
      </c>
      <c r="F60" s="4" t="s">
        <v>1340</v>
      </c>
      <c r="G60" s="4" t="s">
        <v>1210</v>
      </c>
      <c r="H60" s="4" t="s">
        <v>1203</v>
      </c>
    </row>
    <row r="61" customFormat="false" ht="79.5" hidden="false" customHeight="true" outlineLevel="0" collapsed="false">
      <c r="A61" s="20" t="s">
        <v>1221</v>
      </c>
      <c r="B61" s="20" t="s">
        <v>1337</v>
      </c>
      <c r="C61" s="20" t="s">
        <v>595</v>
      </c>
      <c r="D61" s="4" t="s">
        <v>1341</v>
      </c>
      <c r="E61" s="4" t="s">
        <v>1342</v>
      </c>
      <c r="F61" s="4" t="s">
        <v>1343</v>
      </c>
      <c r="G61" s="4" t="s">
        <v>1210</v>
      </c>
      <c r="H61" s="4" t="s">
        <v>1203</v>
      </c>
    </row>
    <row r="62" customFormat="false" ht="57" hidden="false" customHeight="true" outlineLevel="0" collapsed="false">
      <c r="A62" s="20" t="s">
        <v>1221</v>
      </c>
      <c r="B62" s="20" t="s">
        <v>1337</v>
      </c>
      <c r="C62" s="20" t="s">
        <v>595</v>
      </c>
      <c r="D62" s="4" t="s">
        <v>1344</v>
      </c>
      <c r="E62" s="4" t="s">
        <v>1345</v>
      </c>
      <c r="F62" s="4" t="s">
        <v>1346</v>
      </c>
      <c r="G62" s="4" t="s">
        <v>1347</v>
      </c>
      <c r="H62" s="4" t="s">
        <v>1203</v>
      </c>
    </row>
    <row r="63" customFormat="false" ht="34.5" hidden="false" customHeight="true" outlineLevel="0" collapsed="false">
      <c r="A63" s="20" t="s">
        <v>1221</v>
      </c>
      <c r="B63" s="20" t="s">
        <v>1337</v>
      </c>
      <c r="C63" s="20" t="s">
        <v>602</v>
      </c>
      <c r="D63" s="4" t="s">
        <v>1348</v>
      </c>
      <c r="E63" s="4" t="s">
        <v>1323</v>
      </c>
      <c r="F63" s="4" t="s">
        <v>1349</v>
      </c>
      <c r="G63" s="4" t="s">
        <v>1210</v>
      </c>
      <c r="H63" s="4" t="s">
        <v>1350</v>
      </c>
    </row>
    <row r="64" customFormat="false" ht="68.25" hidden="false" customHeight="true" outlineLevel="0" collapsed="false">
      <c r="A64" s="20" t="s">
        <v>1221</v>
      </c>
      <c r="B64" s="20" t="s">
        <v>1351</v>
      </c>
      <c r="C64" s="20" t="s">
        <v>595</v>
      </c>
      <c r="D64" s="4" t="s">
        <v>1352</v>
      </c>
      <c r="E64" s="4" t="s">
        <v>1353</v>
      </c>
      <c r="F64" s="4" t="s">
        <v>1354</v>
      </c>
      <c r="G64" s="4" t="s">
        <v>1210</v>
      </c>
      <c r="H64" s="4" t="s">
        <v>1203</v>
      </c>
    </row>
    <row r="65" customFormat="false" ht="68.25" hidden="false" customHeight="true" outlineLevel="0" collapsed="false">
      <c r="A65" s="20" t="s">
        <v>1221</v>
      </c>
      <c r="B65" s="20" t="s">
        <v>1351</v>
      </c>
      <c r="C65" s="20" t="s">
        <v>595</v>
      </c>
      <c r="D65" s="4" t="s">
        <v>1355</v>
      </c>
      <c r="E65" s="4" t="s">
        <v>1353</v>
      </c>
      <c r="F65" s="4" t="s">
        <v>1356</v>
      </c>
      <c r="G65" s="4" t="s">
        <v>1210</v>
      </c>
      <c r="H65" s="4" t="s">
        <v>1203</v>
      </c>
    </row>
    <row r="66" customFormat="false" ht="68.25" hidden="false" customHeight="true" outlineLevel="0" collapsed="false">
      <c r="A66" s="20" t="s">
        <v>1221</v>
      </c>
      <c r="B66" s="20" t="s">
        <v>1357</v>
      </c>
      <c r="C66" s="20" t="s">
        <v>602</v>
      </c>
      <c r="D66" s="4" t="s">
        <v>1358</v>
      </c>
      <c r="E66" s="4" t="s">
        <v>1323</v>
      </c>
      <c r="F66" s="4" t="s">
        <v>1359</v>
      </c>
      <c r="G66" s="4" t="s">
        <v>1210</v>
      </c>
      <c r="H66" s="4" t="s">
        <v>1360</v>
      </c>
    </row>
    <row r="67" customFormat="false" ht="68.25" hidden="false" customHeight="true" outlineLevel="0" collapsed="false">
      <c r="A67" s="20" t="s">
        <v>1221</v>
      </c>
      <c r="B67" s="20" t="s">
        <v>1361</v>
      </c>
      <c r="C67" s="20" t="s">
        <v>595</v>
      </c>
      <c r="D67" s="4" t="s">
        <v>1362</v>
      </c>
      <c r="E67" s="4" t="s">
        <v>1363</v>
      </c>
      <c r="F67" s="4" t="s">
        <v>1364</v>
      </c>
      <c r="G67" s="4" t="s">
        <v>1210</v>
      </c>
      <c r="H67" s="4" t="s">
        <v>1203</v>
      </c>
    </row>
    <row r="68" customFormat="false" ht="68.25" hidden="false" customHeight="true" outlineLevel="0" collapsed="false">
      <c r="A68" s="20" t="s">
        <v>1221</v>
      </c>
      <c r="B68" s="20" t="s">
        <v>1361</v>
      </c>
      <c r="C68" s="20" t="s">
        <v>595</v>
      </c>
      <c r="D68" s="4" t="s">
        <v>1365</v>
      </c>
      <c r="E68" s="4" t="s">
        <v>1366</v>
      </c>
      <c r="F68" s="4" t="s">
        <v>1367</v>
      </c>
      <c r="G68" s="4" t="s">
        <v>1368</v>
      </c>
      <c r="H68" s="4" t="s">
        <v>1203</v>
      </c>
    </row>
    <row r="69" customFormat="false" ht="57" hidden="false" customHeight="true" outlineLevel="0" collapsed="false">
      <c r="A69" s="20" t="s">
        <v>1221</v>
      </c>
      <c r="B69" s="20" t="s">
        <v>1361</v>
      </c>
      <c r="C69" s="20" t="s">
        <v>602</v>
      </c>
      <c r="D69" s="4" t="s">
        <v>1369</v>
      </c>
      <c r="E69" s="4" t="s">
        <v>1323</v>
      </c>
      <c r="F69" s="4" t="s">
        <v>1370</v>
      </c>
      <c r="G69" s="4" t="s">
        <v>1210</v>
      </c>
      <c r="H69" s="4" t="s">
        <v>1371</v>
      </c>
    </row>
    <row r="70" customFormat="false" ht="79.5" hidden="false" customHeight="true" outlineLevel="0" collapsed="false">
      <c r="A70" s="20" t="s">
        <v>1221</v>
      </c>
      <c r="B70" s="20" t="s">
        <v>1372</v>
      </c>
      <c r="C70" s="20" t="s">
        <v>595</v>
      </c>
      <c r="D70" s="4" t="s">
        <v>1373</v>
      </c>
      <c r="E70" s="4" t="s">
        <v>1374</v>
      </c>
      <c r="F70" s="4" t="s">
        <v>1375</v>
      </c>
      <c r="G70" s="4" t="s">
        <v>1210</v>
      </c>
      <c r="H70" s="4" t="s">
        <v>1203</v>
      </c>
    </row>
    <row r="71" customFormat="false" ht="57" hidden="false" customHeight="true" outlineLevel="0" collapsed="false">
      <c r="A71" s="20" t="s">
        <v>1221</v>
      </c>
      <c r="B71" s="20" t="s">
        <v>1372</v>
      </c>
      <c r="C71" s="20" t="s">
        <v>595</v>
      </c>
      <c r="D71" s="4" t="s">
        <v>1376</v>
      </c>
      <c r="E71" s="4" t="s">
        <v>1374</v>
      </c>
      <c r="F71" s="4" t="s">
        <v>1377</v>
      </c>
      <c r="G71" s="4" t="s">
        <v>1210</v>
      </c>
      <c r="H71" s="4" t="s">
        <v>1203</v>
      </c>
    </row>
    <row r="72" customFormat="false" ht="68.25" hidden="false" customHeight="true" outlineLevel="0" collapsed="false">
      <c r="A72" s="20" t="s">
        <v>1221</v>
      </c>
      <c r="B72" s="20" t="s">
        <v>1372</v>
      </c>
      <c r="C72" s="20" t="s">
        <v>602</v>
      </c>
      <c r="D72" s="4" t="s">
        <v>1378</v>
      </c>
      <c r="E72" s="4" t="s">
        <v>1323</v>
      </c>
      <c r="F72" s="4" t="s">
        <v>1379</v>
      </c>
      <c r="G72" s="4" t="s">
        <v>1210</v>
      </c>
      <c r="H72" s="4" t="s">
        <v>1380</v>
      </c>
    </row>
    <row r="73" customFormat="false" ht="90.75" hidden="false" customHeight="true" outlineLevel="0" collapsed="false">
      <c r="A73" s="20" t="s">
        <v>1221</v>
      </c>
      <c r="B73" s="20" t="s">
        <v>1381</v>
      </c>
      <c r="C73" s="20" t="s">
        <v>595</v>
      </c>
      <c r="D73" s="4" t="s">
        <v>1382</v>
      </c>
      <c r="E73" s="4" t="s">
        <v>1383</v>
      </c>
      <c r="F73" s="4" t="s">
        <v>1384</v>
      </c>
      <c r="G73" s="4" t="s">
        <v>1210</v>
      </c>
      <c r="H73" s="4" t="s">
        <v>1203</v>
      </c>
    </row>
    <row r="74" customFormat="false" ht="68.25" hidden="false" customHeight="true" outlineLevel="0" collapsed="false">
      <c r="A74" s="20" t="s">
        <v>1221</v>
      </c>
      <c r="B74" s="20" t="s">
        <v>1381</v>
      </c>
      <c r="C74" s="20" t="s">
        <v>595</v>
      </c>
      <c r="D74" s="4" t="s">
        <v>1385</v>
      </c>
      <c r="E74" s="4" t="s">
        <v>1383</v>
      </c>
      <c r="F74" s="4" t="s">
        <v>1386</v>
      </c>
      <c r="G74" s="4" t="s">
        <v>1210</v>
      </c>
      <c r="H74" s="4" t="s">
        <v>1203</v>
      </c>
    </row>
    <row r="75" customFormat="false" ht="34.5" hidden="false" customHeight="true" outlineLevel="0" collapsed="false">
      <c r="A75" s="20" t="s">
        <v>1221</v>
      </c>
      <c r="B75" s="20" t="s">
        <v>1381</v>
      </c>
      <c r="C75" s="20" t="s">
        <v>602</v>
      </c>
      <c r="D75" s="4" t="s">
        <v>1387</v>
      </c>
      <c r="E75" s="4" t="s">
        <v>1323</v>
      </c>
      <c r="F75" s="4" t="s">
        <v>1388</v>
      </c>
      <c r="G75" s="4" t="s">
        <v>1210</v>
      </c>
      <c r="H75" s="4" t="s">
        <v>1389</v>
      </c>
    </row>
    <row r="76" customFormat="false" ht="79.5" hidden="false" customHeight="true" outlineLevel="0" collapsed="false">
      <c r="A76" s="20" t="s">
        <v>1221</v>
      </c>
      <c r="B76" s="20" t="s">
        <v>1390</v>
      </c>
      <c r="C76" s="20" t="s">
        <v>595</v>
      </c>
      <c r="D76" s="4" t="s">
        <v>1391</v>
      </c>
      <c r="E76" s="4" t="s">
        <v>1392</v>
      </c>
      <c r="F76" s="4" t="s">
        <v>1393</v>
      </c>
      <c r="G76" s="4" t="s">
        <v>1210</v>
      </c>
      <c r="H76" s="4" t="s">
        <v>1203</v>
      </c>
    </row>
    <row r="77" customFormat="false" ht="45.75" hidden="false" customHeight="true" outlineLevel="0" collapsed="false">
      <c r="A77" s="20" t="s">
        <v>1221</v>
      </c>
      <c r="B77" s="20" t="s">
        <v>1390</v>
      </c>
      <c r="C77" s="20" t="s">
        <v>595</v>
      </c>
      <c r="D77" s="4" t="s">
        <v>1394</v>
      </c>
      <c r="E77" s="4" t="s">
        <v>1392</v>
      </c>
      <c r="F77" s="4" t="s">
        <v>1395</v>
      </c>
      <c r="G77" s="4" t="s">
        <v>1396</v>
      </c>
      <c r="H77" s="4" t="s">
        <v>1203</v>
      </c>
    </row>
    <row r="78" customFormat="false" ht="34.5" hidden="false" customHeight="true" outlineLevel="0" collapsed="false">
      <c r="A78" s="20" t="s">
        <v>1221</v>
      </c>
      <c r="B78" s="20" t="s">
        <v>1390</v>
      </c>
      <c r="C78" s="20" t="s">
        <v>602</v>
      </c>
      <c r="D78" s="4" t="s">
        <v>1397</v>
      </c>
      <c r="E78" s="4" t="s">
        <v>1323</v>
      </c>
      <c r="F78" s="4" t="s">
        <v>1398</v>
      </c>
      <c r="G78" s="4" t="s">
        <v>1210</v>
      </c>
      <c r="H78" s="4" t="s">
        <v>1399</v>
      </c>
    </row>
    <row r="79" customFormat="false" ht="79.5" hidden="false" customHeight="true" outlineLevel="0" collapsed="false">
      <c r="A79" s="20" t="s">
        <v>1221</v>
      </c>
      <c r="B79" s="20" t="s">
        <v>1400</v>
      </c>
      <c r="C79" s="20" t="s">
        <v>595</v>
      </c>
      <c r="D79" s="4" t="s">
        <v>1401</v>
      </c>
      <c r="E79" s="4" t="s">
        <v>1402</v>
      </c>
      <c r="F79" s="4" t="s">
        <v>1403</v>
      </c>
      <c r="G79" s="4" t="s">
        <v>1210</v>
      </c>
      <c r="H79" s="4" t="s">
        <v>1203</v>
      </c>
    </row>
    <row r="80" customFormat="false" ht="68.25" hidden="false" customHeight="true" outlineLevel="0" collapsed="false">
      <c r="A80" s="20" t="s">
        <v>1221</v>
      </c>
      <c r="B80" s="20" t="s">
        <v>1400</v>
      </c>
      <c r="C80" s="20" t="s">
        <v>595</v>
      </c>
      <c r="D80" s="4" t="s">
        <v>1404</v>
      </c>
      <c r="E80" s="4" t="s">
        <v>1402</v>
      </c>
      <c r="F80" s="4" t="s">
        <v>1405</v>
      </c>
      <c r="G80" s="4" t="s">
        <v>1210</v>
      </c>
      <c r="H80" s="4" t="s">
        <v>1203</v>
      </c>
    </row>
    <row r="81" customFormat="false" ht="68.25" hidden="false" customHeight="true" outlineLevel="0" collapsed="false">
      <c r="A81" s="20" t="s">
        <v>1221</v>
      </c>
      <c r="B81" s="20" t="s">
        <v>1400</v>
      </c>
      <c r="C81" s="20" t="s">
        <v>602</v>
      </c>
      <c r="D81" s="4" t="s">
        <v>1406</v>
      </c>
      <c r="E81" s="4" t="s">
        <v>1407</v>
      </c>
      <c r="F81" s="4" t="s">
        <v>1408</v>
      </c>
      <c r="G81" s="4" t="s">
        <v>1409</v>
      </c>
      <c r="H81" s="4" t="s">
        <v>1410</v>
      </c>
    </row>
    <row r="82" customFormat="false" ht="79.5" hidden="false" customHeight="true" outlineLevel="0" collapsed="false">
      <c r="A82" s="20" t="s">
        <v>1221</v>
      </c>
      <c r="B82" s="20" t="s">
        <v>1411</v>
      </c>
      <c r="C82" s="20" t="s">
        <v>595</v>
      </c>
      <c r="D82" s="4" t="s">
        <v>1412</v>
      </c>
      <c r="E82" s="4" t="s">
        <v>1407</v>
      </c>
      <c r="F82" s="4" t="s">
        <v>1413</v>
      </c>
      <c r="G82" s="4" t="s">
        <v>1210</v>
      </c>
      <c r="H82" s="4" t="s">
        <v>1203</v>
      </c>
    </row>
    <row r="83" customFormat="false" ht="57" hidden="false" customHeight="true" outlineLevel="0" collapsed="false">
      <c r="A83" s="20" t="s">
        <v>1221</v>
      </c>
      <c r="B83" s="20" t="s">
        <v>1411</v>
      </c>
      <c r="C83" s="20" t="s">
        <v>595</v>
      </c>
      <c r="D83" s="4" t="s">
        <v>1414</v>
      </c>
      <c r="E83" s="4" t="s">
        <v>1415</v>
      </c>
      <c r="F83" s="4" t="s">
        <v>1416</v>
      </c>
      <c r="G83" s="4" t="s">
        <v>1210</v>
      </c>
      <c r="H83" s="4" t="s">
        <v>1203</v>
      </c>
    </row>
    <row r="84" customFormat="false" ht="45.75" hidden="false" customHeight="true" outlineLevel="0" collapsed="false">
      <c r="A84" s="20" t="s">
        <v>1221</v>
      </c>
      <c r="B84" s="20" t="s">
        <v>1411</v>
      </c>
      <c r="C84" s="20" t="s">
        <v>602</v>
      </c>
      <c r="D84" s="4" t="s">
        <v>1417</v>
      </c>
      <c r="E84" s="4" t="s">
        <v>1323</v>
      </c>
      <c r="F84" s="4" t="s">
        <v>1418</v>
      </c>
      <c r="G84" s="4" t="s">
        <v>1210</v>
      </c>
      <c r="H84" s="4" t="s">
        <v>1419</v>
      </c>
    </row>
    <row r="85" customFormat="false" ht="57" hidden="false" customHeight="true" outlineLevel="0" collapsed="false">
      <c r="A85" s="20" t="s">
        <v>1221</v>
      </c>
      <c r="B85" s="20" t="s">
        <v>1420</v>
      </c>
      <c r="C85" s="20" t="s">
        <v>595</v>
      </c>
      <c r="D85" s="4" t="s">
        <v>1421</v>
      </c>
      <c r="E85" s="4" t="s">
        <v>1210</v>
      </c>
      <c r="F85" s="4" t="s">
        <v>1422</v>
      </c>
      <c r="G85" s="4" t="s">
        <v>1210</v>
      </c>
      <c r="H85" s="4" t="s">
        <v>1203</v>
      </c>
    </row>
    <row r="86" customFormat="false" ht="68.25" hidden="false" customHeight="true" outlineLevel="0" collapsed="false">
      <c r="A86" s="20" t="s">
        <v>1221</v>
      </c>
      <c r="B86" s="20" t="s">
        <v>1420</v>
      </c>
      <c r="C86" s="20" t="s">
        <v>595</v>
      </c>
      <c r="D86" s="4" t="s">
        <v>1423</v>
      </c>
      <c r="E86" s="4" t="s">
        <v>1424</v>
      </c>
      <c r="F86" s="4" t="s">
        <v>1425</v>
      </c>
      <c r="G86" s="4" t="s">
        <v>1210</v>
      </c>
      <c r="H86" s="4" t="s">
        <v>1203</v>
      </c>
    </row>
    <row r="87" customFormat="false" ht="57" hidden="false" customHeight="true" outlineLevel="0" collapsed="false">
      <c r="A87" s="20" t="s">
        <v>1221</v>
      </c>
      <c r="B87" s="20" t="s">
        <v>1420</v>
      </c>
      <c r="C87" s="20" t="s">
        <v>595</v>
      </c>
      <c r="D87" s="4" t="s">
        <v>1426</v>
      </c>
      <c r="E87" s="4" t="s">
        <v>1427</v>
      </c>
      <c r="F87" s="4" t="s">
        <v>1428</v>
      </c>
      <c r="G87" s="4" t="s">
        <v>1429</v>
      </c>
      <c r="H87" s="4" t="s">
        <v>1203</v>
      </c>
    </row>
    <row r="88" customFormat="false" ht="34.5" hidden="false" customHeight="true" outlineLevel="0" collapsed="false">
      <c r="A88" s="20" t="s">
        <v>1221</v>
      </c>
      <c r="B88" s="20" t="s">
        <v>1420</v>
      </c>
      <c r="C88" s="20" t="s">
        <v>602</v>
      </c>
      <c r="D88" s="4" t="s">
        <v>1430</v>
      </c>
      <c r="E88" s="4" t="s">
        <v>1323</v>
      </c>
      <c r="F88" s="4" t="s">
        <v>1431</v>
      </c>
      <c r="G88" s="4" t="s">
        <v>1210</v>
      </c>
      <c r="H88" s="4" t="s">
        <v>1432</v>
      </c>
    </row>
    <row r="89" customFormat="false" ht="68.25" hidden="false" customHeight="true" outlineLevel="0" collapsed="false">
      <c r="A89" s="20" t="s">
        <v>1221</v>
      </c>
      <c r="B89" s="20" t="s">
        <v>1433</v>
      </c>
      <c r="C89" s="20" t="s">
        <v>595</v>
      </c>
      <c r="D89" s="4" t="s">
        <v>1434</v>
      </c>
      <c r="E89" s="4" t="s">
        <v>1435</v>
      </c>
      <c r="F89" s="4" t="s">
        <v>1436</v>
      </c>
      <c r="G89" s="4" t="s">
        <v>1210</v>
      </c>
      <c r="H89" s="4" t="s">
        <v>1203</v>
      </c>
    </row>
    <row r="90" customFormat="false" ht="57" hidden="false" customHeight="true" outlineLevel="0" collapsed="false">
      <c r="A90" s="20" t="s">
        <v>1221</v>
      </c>
      <c r="B90" s="20" t="s">
        <v>1433</v>
      </c>
      <c r="C90" s="20" t="s">
        <v>595</v>
      </c>
      <c r="D90" s="4" t="s">
        <v>1437</v>
      </c>
      <c r="E90" s="4" t="s">
        <v>1427</v>
      </c>
      <c r="F90" s="4" t="s">
        <v>1438</v>
      </c>
      <c r="G90" s="4" t="s">
        <v>1210</v>
      </c>
      <c r="H90" s="4" t="s">
        <v>1203</v>
      </c>
    </row>
    <row r="91" customFormat="false" ht="45.75" hidden="false" customHeight="true" outlineLevel="0" collapsed="false">
      <c r="A91" s="20" t="s">
        <v>1221</v>
      </c>
      <c r="B91" s="20" t="s">
        <v>1433</v>
      </c>
      <c r="C91" s="20" t="s">
        <v>602</v>
      </c>
      <c r="D91" s="4" t="s">
        <v>1439</v>
      </c>
      <c r="E91" s="4" t="s">
        <v>1440</v>
      </c>
      <c r="F91" s="4" t="s">
        <v>1441</v>
      </c>
      <c r="G91" s="4" t="s">
        <v>1210</v>
      </c>
      <c r="H91" s="4" t="s">
        <v>1442</v>
      </c>
    </row>
    <row r="92" customFormat="false" ht="68.25" hidden="false" customHeight="true" outlineLevel="0" collapsed="false">
      <c r="A92" s="20" t="s">
        <v>1221</v>
      </c>
      <c r="B92" s="20" t="s">
        <v>1443</v>
      </c>
      <c r="C92" s="20" t="s">
        <v>595</v>
      </c>
      <c r="D92" s="4" t="s">
        <v>1444</v>
      </c>
      <c r="E92" s="4" t="s">
        <v>1445</v>
      </c>
      <c r="F92" s="4" t="s">
        <v>1446</v>
      </c>
      <c r="G92" s="4" t="s">
        <v>1210</v>
      </c>
      <c r="H92" s="4" t="s">
        <v>1203</v>
      </c>
    </row>
    <row r="93" customFormat="false" ht="45.75" hidden="false" customHeight="true" outlineLevel="0" collapsed="false">
      <c r="A93" s="20" t="s">
        <v>1221</v>
      </c>
      <c r="B93" s="20" t="s">
        <v>1443</v>
      </c>
      <c r="C93" s="20" t="s">
        <v>595</v>
      </c>
      <c r="D93" s="4" t="s">
        <v>1447</v>
      </c>
      <c r="E93" s="4" t="s">
        <v>1448</v>
      </c>
      <c r="F93" s="4" t="s">
        <v>1449</v>
      </c>
      <c r="G93" s="4" t="s">
        <v>1210</v>
      </c>
      <c r="H93" s="4" t="s">
        <v>1203</v>
      </c>
    </row>
    <row r="94" customFormat="false" ht="68.25" hidden="false" customHeight="true" outlineLevel="0" collapsed="false">
      <c r="A94" s="20" t="s">
        <v>1221</v>
      </c>
      <c r="B94" s="20" t="s">
        <v>1443</v>
      </c>
      <c r="C94" s="20" t="s">
        <v>595</v>
      </c>
      <c r="D94" s="4" t="s">
        <v>1450</v>
      </c>
      <c r="E94" s="4" t="s">
        <v>608</v>
      </c>
      <c r="F94" s="4" t="s">
        <v>1451</v>
      </c>
      <c r="G94" s="4" t="s">
        <v>1452</v>
      </c>
      <c r="H94" s="4" t="s">
        <v>1203</v>
      </c>
    </row>
    <row r="95" customFormat="false" ht="34.5" hidden="false" customHeight="true" outlineLevel="0" collapsed="false">
      <c r="A95" s="20" t="s">
        <v>1221</v>
      </c>
      <c r="B95" s="20" t="s">
        <v>1443</v>
      </c>
      <c r="C95" s="20" t="s">
        <v>602</v>
      </c>
      <c r="D95" s="4" t="s">
        <v>1453</v>
      </c>
      <c r="E95" s="4" t="s">
        <v>1454</v>
      </c>
      <c r="F95" s="4" t="s">
        <v>1455</v>
      </c>
      <c r="G95" s="4" t="s">
        <v>1210</v>
      </c>
      <c r="H95" s="4" t="s">
        <v>1456</v>
      </c>
    </row>
    <row r="96" customFormat="false" ht="68.25" hidden="false" customHeight="true" outlineLevel="0" collapsed="false">
      <c r="A96" s="20" t="s">
        <v>1221</v>
      </c>
      <c r="B96" s="20" t="s">
        <v>1457</v>
      </c>
      <c r="C96" s="20" t="s">
        <v>595</v>
      </c>
      <c r="D96" s="4" t="s">
        <v>1458</v>
      </c>
      <c r="E96" s="4" t="s">
        <v>1459</v>
      </c>
      <c r="F96" s="4" t="s">
        <v>1460</v>
      </c>
      <c r="G96" s="4" t="s">
        <v>1210</v>
      </c>
      <c r="H96" s="4" t="s">
        <v>1203</v>
      </c>
    </row>
    <row r="97" customFormat="false" ht="68.25" hidden="false" customHeight="true" outlineLevel="0" collapsed="false">
      <c r="A97" s="20" t="s">
        <v>1221</v>
      </c>
      <c r="B97" s="20" t="s">
        <v>1457</v>
      </c>
      <c r="C97" s="20" t="s">
        <v>595</v>
      </c>
      <c r="D97" s="4" t="s">
        <v>1461</v>
      </c>
      <c r="E97" s="4" t="s">
        <v>1462</v>
      </c>
      <c r="F97" s="4" t="s">
        <v>1463</v>
      </c>
      <c r="G97" s="4" t="s">
        <v>1210</v>
      </c>
      <c r="H97" s="4" t="s">
        <v>1203</v>
      </c>
    </row>
    <row r="98" customFormat="false" ht="79.5" hidden="false" customHeight="true" outlineLevel="0" collapsed="false">
      <c r="A98" s="20" t="s">
        <v>1221</v>
      </c>
      <c r="B98" s="20" t="s">
        <v>1457</v>
      </c>
      <c r="C98" s="20" t="s">
        <v>602</v>
      </c>
      <c r="D98" s="4" t="s">
        <v>1464</v>
      </c>
      <c r="E98" s="4" t="s">
        <v>1210</v>
      </c>
      <c r="F98" s="4" t="s">
        <v>1465</v>
      </c>
      <c r="G98" s="4" t="s">
        <v>1466</v>
      </c>
      <c r="H98" s="4" t="s">
        <v>1467</v>
      </c>
    </row>
    <row r="99" customFormat="false" ht="68.65" hidden="false" customHeight="false" outlineLevel="0" collapsed="false">
      <c r="A99" s="6" t="s">
        <v>1221</v>
      </c>
      <c r="B99" s="6" t="s">
        <v>1468</v>
      </c>
      <c r="C99" s="6" t="s">
        <v>1210</v>
      </c>
      <c r="D99" s="7" t="s">
        <v>1469</v>
      </c>
      <c r="E99" s="7" t="s">
        <v>1470</v>
      </c>
      <c r="F99" s="7" t="s">
        <v>1471</v>
      </c>
      <c r="G99" s="7" t="s">
        <v>1472</v>
      </c>
      <c r="H99" s="7" t="s">
        <v>98</v>
      </c>
    </row>
    <row r="100" customFormat="false" ht="23.85" hidden="false" customHeight="false" outlineLevel="0" collapsed="false">
      <c r="A100" s="6" t="s">
        <v>1221</v>
      </c>
      <c r="B100" s="6" t="s">
        <v>1473</v>
      </c>
      <c r="C100" s="6" t="s">
        <v>133</v>
      </c>
      <c r="D100" s="7" t="s">
        <v>1474</v>
      </c>
      <c r="E100" s="7" t="s">
        <v>1475</v>
      </c>
      <c r="F100" s="7" t="s">
        <v>1476</v>
      </c>
      <c r="G100" s="7" t="s">
        <v>1477</v>
      </c>
      <c r="H100" s="7" t="s">
        <v>98</v>
      </c>
    </row>
    <row r="101" customFormat="false" ht="46.25" hidden="false" customHeight="false" outlineLevel="0" collapsed="false">
      <c r="A101" s="6" t="s">
        <v>1221</v>
      </c>
      <c r="B101" s="6" t="s">
        <v>1478</v>
      </c>
      <c r="C101" s="6" t="s">
        <v>1479</v>
      </c>
      <c r="D101" s="7" t="s">
        <v>1480</v>
      </c>
      <c r="E101" s="7" t="s">
        <v>1481</v>
      </c>
      <c r="F101" s="7" t="s">
        <v>409</v>
      </c>
      <c r="G101" s="7" t="s">
        <v>1482</v>
      </c>
      <c r="H101" s="7" t="s">
        <v>98</v>
      </c>
    </row>
    <row r="102" customFormat="false" ht="57.45" hidden="false" customHeight="false" outlineLevel="0" collapsed="false">
      <c r="A102" s="6" t="s">
        <v>1221</v>
      </c>
      <c r="B102" s="6" t="s">
        <v>1483</v>
      </c>
      <c r="C102" s="6" t="s">
        <v>1210</v>
      </c>
      <c r="D102" s="7" t="s">
        <v>1484</v>
      </c>
      <c r="E102" s="7" t="s">
        <v>1485</v>
      </c>
      <c r="F102" s="7" t="s">
        <v>1486</v>
      </c>
      <c r="G102" s="7" t="s">
        <v>1487</v>
      </c>
      <c r="H102" s="7" t="s">
        <v>1488</v>
      </c>
    </row>
    <row r="103" customFormat="false" ht="48" hidden="false" customHeight="true" outlineLevel="0" collapsed="false">
      <c r="A103" s="7" t="s">
        <v>1489</v>
      </c>
      <c r="B103" s="7" t="s">
        <v>1490</v>
      </c>
      <c r="C103" s="7" t="s">
        <v>1210</v>
      </c>
      <c r="D103" s="7" t="s">
        <v>1491</v>
      </c>
      <c r="E103" s="7" t="s">
        <v>1492</v>
      </c>
      <c r="F103" s="7" t="s">
        <v>1471</v>
      </c>
      <c r="G103" s="7" t="s">
        <v>1493</v>
      </c>
      <c r="H103" s="7" t="s">
        <v>101</v>
      </c>
    </row>
    <row r="104" customFormat="false" ht="48" hidden="false" customHeight="true" outlineLevel="0" collapsed="false">
      <c r="A104" s="7" t="s">
        <v>1494</v>
      </c>
      <c r="B104" s="7" t="s">
        <v>1495</v>
      </c>
      <c r="C104" s="7" t="s">
        <v>237</v>
      </c>
      <c r="D104" s="7" t="s">
        <v>1496</v>
      </c>
      <c r="E104" s="7" t="s">
        <v>1497</v>
      </c>
      <c r="F104" s="7" t="s">
        <v>1476</v>
      </c>
      <c r="G104" s="7" t="s">
        <v>1210</v>
      </c>
      <c r="H104" s="7" t="s">
        <v>101</v>
      </c>
    </row>
    <row r="105" customFormat="false" ht="48" hidden="false" customHeight="true" outlineLevel="0" collapsed="false">
      <c r="A105" s="7" t="s">
        <v>1494</v>
      </c>
      <c r="B105" s="7" t="s">
        <v>1498</v>
      </c>
      <c r="C105" s="7" t="s">
        <v>237</v>
      </c>
      <c r="D105" s="7" t="s">
        <v>1499</v>
      </c>
      <c r="E105" s="7" t="s">
        <v>1050</v>
      </c>
      <c r="F105" s="7" t="s">
        <v>409</v>
      </c>
      <c r="G105" s="7" t="s">
        <v>1210</v>
      </c>
      <c r="H105" s="7" t="s">
        <v>101</v>
      </c>
    </row>
    <row r="106" customFormat="false" ht="48" hidden="false" customHeight="true" outlineLevel="0" collapsed="false">
      <c r="A106" s="7" t="s">
        <v>1494</v>
      </c>
      <c r="B106" s="7" t="s">
        <v>1500</v>
      </c>
      <c r="C106" s="7" t="s">
        <v>243</v>
      </c>
      <c r="D106" s="7" t="s">
        <v>1501</v>
      </c>
      <c r="E106" s="7" t="s">
        <v>1075</v>
      </c>
      <c r="F106" s="7" t="s">
        <v>409</v>
      </c>
      <c r="G106" s="7" t="s">
        <v>1502</v>
      </c>
      <c r="H106" s="7" t="s">
        <v>101</v>
      </c>
    </row>
    <row r="107" customFormat="false" ht="48" hidden="false" customHeight="true" outlineLevel="0" collapsed="false">
      <c r="A107" s="7" t="s">
        <v>1494</v>
      </c>
      <c r="B107" s="7" t="s">
        <v>1503</v>
      </c>
      <c r="C107" s="7" t="s">
        <v>249</v>
      </c>
      <c r="D107" s="7" t="s">
        <v>1504</v>
      </c>
      <c r="E107" s="7" t="s">
        <v>1505</v>
      </c>
      <c r="F107" s="7" t="s">
        <v>409</v>
      </c>
      <c r="G107" s="7" t="s">
        <v>1506</v>
      </c>
      <c r="H107" s="7" t="s">
        <v>101</v>
      </c>
    </row>
    <row r="108" customFormat="false" ht="48" hidden="false" customHeight="true" outlineLevel="0" collapsed="false">
      <c r="A108" s="7" t="s">
        <v>1494</v>
      </c>
      <c r="B108" s="7" t="s">
        <v>1507</v>
      </c>
      <c r="C108" s="7" t="s">
        <v>1210</v>
      </c>
      <c r="D108" s="7" t="s">
        <v>1508</v>
      </c>
      <c r="E108" s="7" t="s">
        <v>1509</v>
      </c>
      <c r="F108" s="7" t="s">
        <v>1510</v>
      </c>
      <c r="G108" s="7" t="s">
        <v>1511</v>
      </c>
      <c r="H108" s="7" t="s">
        <v>1512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1"/>
    <col collapsed="false" customWidth="true" hidden="false" outlineLevel="0" max="3" min="3" style="1" width="16"/>
    <col collapsed="false" customWidth="true" hidden="false" outlineLevel="0" max="4" min="4" style="1" width="78"/>
    <col collapsed="false" customWidth="true" hidden="false" outlineLevel="0" max="5" min="5" style="1" width="64"/>
    <col collapsed="false" customWidth="true" hidden="false" outlineLevel="0" max="6" min="6" style="1" width="20"/>
  </cols>
  <sheetData>
    <row r="1" customFormat="false" ht="15" hidden="false" customHeight="true" outlineLevel="0" collapsed="false">
      <c r="A1" s="18" t="s">
        <v>1513</v>
      </c>
    </row>
    <row r="3" customFormat="false" ht="15" hidden="false" customHeight="true" outlineLevel="0" collapsed="false">
      <c r="A3" s="22" t="s">
        <v>120</v>
      </c>
      <c r="B3" s="22" t="s">
        <v>121</v>
      </c>
      <c r="C3" s="22" t="s">
        <v>308</v>
      </c>
      <c r="D3" s="22" t="s">
        <v>122</v>
      </c>
      <c r="E3" s="22" t="s">
        <v>1514</v>
      </c>
      <c r="F3" s="22" t="s">
        <v>5</v>
      </c>
    </row>
    <row r="4" customFormat="false" ht="23.25" hidden="false" customHeight="true" outlineLevel="0" collapsed="false">
      <c r="A4" s="20" t="s">
        <v>1515</v>
      </c>
      <c r="B4" s="20" t="s">
        <v>905</v>
      </c>
      <c r="C4" s="20" t="s">
        <v>1516</v>
      </c>
      <c r="D4" s="4" t="s">
        <v>1517</v>
      </c>
      <c r="E4" s="4" t="s">
        <v>1518</v>
      </c>
      <c r="F4" s="20" t="s">
        <v>1519</v>
      </c>
    </row>
    <row r="5" customFormat="false" ht="23.25" hidden="false" customHeight="true" outlineLevel="0" collapsed="false">
      <c r="A5" s="20" t="s">
        <v>1520</v>
      </c>
      <c r="B5" s="20" t="s">
        <v>905</v>
      </c>
      <c r="C5" s="20" t="s">
        <v>1516</v>
      </c>
      <c r="D5" s="4" t="s">
        <v>1521</v>
      </c>
      <c r="E5" s="4" t="s">
        <v>1522</v>
      </c>
      <c r="F5" s="20" t="s">
        <v>1519</v>
      </c>
    </row>
    <row r="6" customFormat="false" ht="23.25" hidden="false" customHeight="true" outlineLevel="0" collapsed="false">
      <c r="A6" s="20" t="s">
        <v>1523</v>
      </c>
      <c r="B6" s="20" t="s">
        <v>909</v>
      </c>
      <c r="C6" s="20" t="s">
        <v>1524</v>
      </c>
      <c r="D6" s="4" t="s">
        <v>1525</v>
      </c>
      <c r="E6" s="4" t="s">
        <v>1526</v>
      </c>
      <c r="F6" s="20" t="s">
        <v>1519</v>
      </c>
    </row>
    <row r="7" customFormat="false" ht="23.25" hidden="false" customHeight="true" outlineLevel="0" collapsed="false">
      <c r="A7" s="20" t="s">
        <v>1527</v>
      </c>
      <c r="B7" s="20" t="s">
        <v>909</v>
      </c>
      <c r="C7" s="20" t="s">
        <v>1528</v>
      </c>
      <c r="D7" s="4" t="s">
        <v>1529</v>
      </c>
      <c r="E7" s="4" t="s">
        <v>1530</v>
      </c>
      <c r="F7" s="20" t="s">
        <v>1519</v>
      </c>
    </row>
    <row r="8" customFormat="false" ht="23.25" hidden="false" customHeight="true" outlineLevel="0" collapsed="false">
      <c r="A8" s="20" t="s">
        <v>1328</v>
      </c>
      <c r="B8" s="20" t="s">
        <v>1531</v>
      </c>
      <c r="C8" s="20" t="s">
        <v>1532</v>
      </c>
      <c r="D8" s="4" t="s">
        <v>1533</v>
      </c>
      <c r="E8" s="4" t="s">
        <v>1534</v>
      </c>
      <c r="F8" s="20" t="s">
        <v>1535</v>
      </c>
    </row>
    <row r="9" customFormat="false" ht="23.25" hidden="false" customHeight="true" outlineLevel="0" collapsed="false">
      <c r="A9" s="20" t="s">
        <v>1536</v>
      </c>
      <c r="B9" s="20" t="s">
        <v>1531</v>
      </c>
      <c r="C9" s="20" t="s">
        <v>1537</v>
      </c>
      <c r="D9" s="4" t="s">
        <v>1538</v>
      </c>
      <c r="E9" s="4" t="s">
        <v>1539</v>
      </c>
      <c r="F9" s="20" t="s">
        <v>1535</v>
      </c>
    </row>
    <row r="10" customFormat="false" ht="15" hidden="false" customHeight="true" outlineLevel="0" collapsed="false">
      <c r="A10" s="20" t="s">
        <v>1540</v>
      </c>
      <c r="B10" s="20" t="s">
        <v>1531</v>
      </c>
      <c r="C10" s="20" t="s">
        <v>1541</v>
      </c>
      <c r="D10" s="4" t="s">
        <v>1542</v>
      </c>
      <c r="E10" s="4" t="s">
        <v>1543</v>
      </c>
      <c r="F10" s="20" t="s">
        <v>1535</v>
      </c>
    </row>
    <row r="11" customFormat="false" ht="23.25" hidden="false" customHeight="true" outlineLevel="0" collapsed="false">
      <c r="A11" s="20" t="s">
        <v>1544</v>
      </c>
      <c r="B11" s="20" t="s">
        <v>1545</v>
      </c>
      <c r="C11" s="20" t="s">
        <v>1546</v>
      </c>
      <c r="D11" s="4" t="s">
        <v>1547</v>
      </c>
      <c r="E11" s="4" t="s">
        <v>1548</v>
      </c>
      <c r="F11" s="20" t="s">
        <v>1549</v>
      </c>
    </row>
    <row r="12" customFormat="false" ht="34.5" hidden="false" customHeight="true" outlineLevel="0" collapsed="false">
      <c r="A12" s="20" t="s">
        <v>1550</v>
      </c>
      <c r="B12" s="20" t="s">
        <v>905</v>
      </c>
      <c r="C12" s="20" t="s">
        <v>1551</v>
      </c>
      <c r="D12" s="4" t="s">
        <v>1552</v>
      </c>
      <c r="E12" s="4" t="s">
        <v>1553</v>
      </c>
      <c r="F12" s="20" t="s">
        <v>1554</v>
      </c>
    </row>
    <row r="13" customFormat="false" ht="23.25" hidden="false" customHeight="true" outlineLevel="0" collapsed="false">
      <c r="A13" s="20" t="s">
        <v>1555</v>
      </c>
      <c r="B13" s="20" t="s">
        <v>909</v>
      </c>
      <c r="C13" s="20" t="s">
        <v>1556</v>
      </c>
      <c r="D13" s="4" t="s">
        <v>1557</v>
      </c>
      <c r="E13" s="4" t="s">
        <v>1558</v>
      </c>
      <c r="F13" s="20" t="s">
        <v>1554</v>
      </c>
    </row>
    <row r="14" customFormat="false" ht="23.25" hidden="false" customHeight="true" outlineLevel="0" collapsed="false">
      <c r="A14" s="20" t="s">
        <v>1559</v>
      </c>
      <c r="B14" s="20" t="s">
        <v>905</v>
      </c>
      <c r="C14" s="20" t="s">
        <v>1560</v>
      </c>
      <c r="D14" s="4" t="s">
        <v>1561</v>
      </c>
      <c r="E14" s="4" t="s">
        <v>1562</v>
      </c>
      <c r="F14" s="20" t="s">
        <v>1554</v>
      </c>
    </row>
    <row r="15" customFormat="false" ht="23.25" hidden="false" customHeight="true" outlineLevel="0" collapsed="false">
      <c r="A15" s="20" t="s">
        <v>1563</v>
      </c>
      <c r="B15" s="20" t="s">
        <v>909</v>
      </c>
      <c r="C15" s="20" t="s">
        <v>1564</v>
      </c>
      <c r="D15" s="4" t="s">
        <v>1565</v>
      </c>
      <c r="E15" s="4" t="s">
        <v>1566</v>
      </c>
      <c r="F15" s="20" t="s">
        <v>1554</v>
      </c>
    </row>
    <row r="16" customFormat="false" ht="34.5" hidden="false" customHeight="true" outlineLevel="0" collapsed="false">
      <c r="A16" s="20" t="s">
        <v>1567</v>
      </c>
      <c r="B16" s="20" t="s">
        <v>909</v>
      </c>
      <c r="C16" s="20" t="s">
        <v>1568</v>
      </c>
      <c r="D16" s="4" t="s">
        <v>1569</v>
      </c>
      <c r="E16" s="4" t="s">
        <v>1570</v>
      </c>
      <c r="F16" s="20" t="s">
        <v>1554</v>
      </c>
    </row>
    <row r="17" customFormat="false" ht="45.75" hidden="false" customHeight="true" outlineLevel="0" collapsed="false">
      <c r="A17" s="20" t="s">
        <v>1571</v>
      </c>
      <c r="B17" s="20" t="s">
        <v>1572</v>
      </c>
      <c r="C17" s="20" t="s">
        <v>1532</v>
      </c>
      <c r="D17" s="4" t="s">
        <v>1573</v>
      </c>
      <c r="E17" s="4" t="s">
        <v>1574</v>
      </c>
      <c r="F17" s="20" t="s">
        <v>1554</v>
      </c>
    </row>
    <row r="18" customFormat="false" ht="45.75" hidden="false" customHeight="true" outlineLevel="0" collapsed="false">
      <c r="A18" s="20" t="s">
        <v>1575</v>
      </c>
      <c r="B18" s="20" t="s">
        <v>905</v>
      </c>
      <c r="C18" s="20" t="s">
        <v>1532</v>
      </c>
      <c r="D18" s="4" t="s">
        <v>1576</v>
      </c>
      <c r="E18" s="4" t="s">
        <v>1577</v>
      </c>
      <c r="F18" s="20" t="s">
        <v>1554</v>
      </c>
    </row>
    <row r="19" customFormat="false" ht="34.5" hidden="false" customHeight="true" outlineLevel="0" collapsed="false">
      <c r="A19" s="20" t="s">
        <v>1578</v>
      </c>
      <c r="B19" s="20" t="s">
        <v>905</v>
      </c>
      <c r="C19" s="20" t="s">
        <v>1579</v>
      </c>
      <c r="D19" s="4" t="s">
        <v>1580</v>
      </c>
      <c r="E19" s="4" t="s">
        <v>1581</v>
      </c>
      <c r="F19" s="20" t="s">
        <v>1554</v>
      </c>
    </row>
    <row r="20" customFormat="false" ht="23.25" hidden="false" customHeight="true" outlineLevel="0" collapsed="false">
      <c r="A20" s="20" t="s">
        <v>1582</v>
      </c>
      <c r="B20" s="20" t="s">
        <v>1545</v>
      </c>
      <c r="C20" s="20" t="s">
        <v>1583</v>
      </c>
      <c r="D20" s="4" t="s">
        <v>1584</v>
      </c>
      <c r="E20" s="4" t="s">
        <v>1585</v>
      </c>
      <c r="F20" s="20" t="s">
        <v>1586</v>
      </c>
    </row>
    <row r="21" customFormat="false" ht="45.75" hidden="false" customHeight="true" outlineLevel="0" collapsed="false">
      <c r="A21" s="20" t="s">
        <v>1587</v>
      </c>
      <c r="B21" s="20" t="s">
        <v>1588</v>
      </c>
      <c r="C21" s="20" t="s">
        <v>1589</v>
      </c>
      <c r="D21" s="4" t="s">
        <v>1590</v>
      </c>
      <c r="E21" s="4" t="s">
        <v>1591</v>
      </c>
      <c r="F21" s="20" t="s">
        <v>1592</v>
      </c>
    </row>
    <row r="22" customFormat="false" ht="45.75" hidden="false" customHeight="true" outlineLevel="0" collapsed="false">
      <c r="A22" s="20" t="s">
        <v>1593</v>
      </c>
      <c r="B22" s="20" t="s">
        <v>1588</v>
      </c>
      <c r="C22" s="20" t="s">
        <v>1594</v>
      </c>
      <c r="D22" s="4" t="s">
        <v>1595</v>
      </c>
      <c r="E22" s="4" t="s">
        <v>1596</v>
      </c>
      <c r="F22" s="20" t="s">
        <v>1592</v>
      </c>
    </row>
    <row r="23" customFormat="false" ht="23.25" hidden="false" customHeight="true" outlineLevel="0" collapsed="false">
      <c r="A23" s="20" t="s">
        <v>1597</v>
      </c>
      <c r="B23" s="20" t="s">
        <v>905</v>
      </c>
      <c r="C23" s="20" t="s">
        <v>1598</v>
      </c>
      <c r="D23" s="4" t="s">
        <v>1599</v>
      </c>
      <c r="E23" s="4" t="s">
        <v>1600</v>
      </c>
      <c r="F23" s="20" t="s">
        <v>1592</v>
      </c>
    </row>
    <row r="24" customFormat="false" ht="23.25" hidden="false" customHeight="true" outlineLevel="0" collapsed="false">
      <c r="A24" s="20" t="s">
        <v>1601</v>
      </c>
      <c r="B24" s="20" t="s">
        <v>909</v>
      </c>
      <c r="C24" s="20" t="s">
        <v>1602</v>
      </c>
      <c r="D24" s="4" t="s">
        <v>1603</v>
      </c>
      <c r="E24" s="4" t="s">
        <v>1604</v>
      </c>
      <c r="F24" s="20" t="s">
        <v>1592</v>
      </c>
    </row>
    <row r="25" customFormat="false" ht="34.5" hidden="false" customHeight="true" outlineLevel="0" collapsed="false">
      <c r="A25" s="20" t="s">
        <v>1605</v>
      </c>
      <c r="B25" s="20" t="s">
        <v>909</v>
      </c>
      <c r="C25" s="20" t="s">
        <v>1606</v>
      </c>
      <c r="D25" s="4" t="s">
        <v>1607</v>
      </c>
      <c r="E25" s="4" t="s">
        <v>1608</v>
      </c>
      <c r="F25" s="20" t="s">
        <v>1592</v>
      </c>
    </row>
    <row r="26" customFormat="false" ht="45.75" hidden="false" customHeight="true" outlineLevel="0" collapsed="false">
      <c r="A26" s="20" t="s">
        <v>1609</v>
      </c>
      <c r="B26" s="20" t="s">
        <v>1588</v>
      </c>
      <c r="C26" s="20" t="s">
        <v>1610</v>
      </c>
      <c r="D26" s="4" t="s">
        <v>1611</v>
      </c>
      <c r="E26" s="4" t="s">
        <v>1612</v>
      </c>
      <c r="F26" s="20" t="s">
        <v>1613</v>
      </c>
    </row>
    <row r="27" customFormat="false" ht="34.5" hidden="false" customHeight="true" outlineLevel="0" collapsed="false">
      <c r="A27" s="20" t="s">
        <v>1614</v>
      </c>
      <c r="B27" s="20" t="s">
        <v>1588</v>
      </c>
      <c r="C27" s="20" t="s">
        <v>1615</v>
      </c>
      <c r="D27" s="4" t="s">
        <v>1616</v>
      </c>
      <c r="E27" s="4" t="s">
        <v>1617</v>
      </c>
      <c r="F27" s="20" t="s">
        <v>1613</v>
      </c>
    </row>
    <row r="28" customFormat="false" ht="23.25" hidden="false" customHeight="true" outlineLevel="0" collapsed="false">
      <c r="A28" s="20" t="s">
        <v>1618</v>
      </c>
      <c r="B28" s="20" t="s">
        <v>905</v>
      </c>
      <c r="C28" s="20" t="s">
        <v>1619</v>
      </c>
      <c r="D28" s="4" t="s">
        <v>1620</v>
      </c>
      <c r="E28" s="4" t="s">
        <v>1621</v>
      </c>
      <c r="F28" s="20" t="s">
        <v>1613</v>
      </c>
    </row>
    <row r="29" customFormat="false" ht="23.25" hidden="false" customHeight="true" outlineLevel="0" collapsed="false">
      <c r="A29" s="20" t="s">
        <v>1622</v>
      </c>
      <c r="B29" s="20" t="s">
        <v>909</v>
      </c>
      <c r="C29" s="20" t="s">
        <v>1623</v>
      </c>
      <c r="D29" s="4" t="s">
        <v>1624</v>
      </c>
      <c r="E29" s="4" t="s">
        <v>1625</v>
      </c>
      <c r="F29" s="20" t="s">
        <v>1613</v>
      </c>
    </row>
    <row r="30" customFormat="false" ht="34.5" hidden="false" customHeight="true" outlineLevel="0" collapsed="false">
      <c r="A30" s="20" t="s">
        <v>1250</v>
      </c>
      <c r="B30" s="20" t="s">
        <v>1545</v>
      </c>
      <c r="C30" s="20" t="s">
        <v>1626</v>
      </c>
      <c r="D30" s="4" t="s">
        <v>1627</v>
      </c>
      <c r="E30" s="4" t="s">
        <v>1628</v>
      </c>
      <c r="F30" s="20" t="s">
        <v>1586</v>
      </c>
    </row>
    <row r="31" customFormat="false" ht="45.75" hidden="false" customHeight="true" outlineLevel="0" collapsed="false">
      <c r="A31" s="20" t="s">
        <v>1262</v>
      </c>
      <c r="B31" s="20" t="s">
        <v>905</v>
      </c>
      <c r="C31" s="20" t="s">
        <v>1629</v>
      </c>
      <c r="D31" s="4" t="s">
        <v>1630</v>
      </c>
      <c r="E31" s="4" t="s">
        <v>1631</v>
      </c>
      <c r="F31" s="20" t="s">
        <v>1632</v>
      </c>
    </row>
    <row r="32" customFormat="false" ht="45.75" hidden="false" customHeight="true" outlineLevel="0" collapsed="false">
      <c r="A32" s="20" t="s">
        <v>1273</v>
      </c>
      <c r="B32" s="20" t="s">
        <v>1633</v>
      </c>
      <c r="C32" s="20" t="s">
        <v>1634</v>
      </c>
      <c r="D32" s="4" t="s">
        <v>1635</v>
      </c>
      <c r="E32" s="4" t="s">
        <v>1636</v>
      </c>
      <c r="F32" s="20" t="s">
        <v>1637</v>
      </c>
    </row>
    <row r="33" customFormat="false" ht="45.75" hidden="false" customHeight="true" outlineLevel="0" collapsed="false">
      <c r="A33" s="20" t="s">
        <v>1638</v>
      </c>
      <c r="B33" s="20" t="s">
        <v>1633</v>
      </c>
      <c r="C33" s="20" t="s">
        <v>1639</v>
      </c>
      <c r="D33" s="4" t="s">
        <v>1640</v>
      </c>
      <c r="E33" s="4" t="s">
        <v>1641</v>
      </c>
      <c r="F33" s="20" t="s">
        <v>1637</v>
      </c>
    </row>
    <row r="34" customFormat="false" ht="34.5" hidden="false" customHeight="true" outlineLevel="0" collapsed="false">
      <c r="A34" s="20" t="s">
        <v>1642</v>
      </c>
      <c r="B34" s="20" t="s">
        <v>1633</v>
      </c>
      <c r="C34" s="20" t="s">
        <v>1643</v>
      </c>
      <c r="D34" s="4" t="s">
        <v>1644</v>
      </c>
      <c r="E34" s="4" t="s">
        <v>1645</v>
      </c>
      <c r="F34" s="20" t="s">
        <v>1637</v>
      </c>
    </row>
    <row r="35" customFormat="false" ht="45.75" hidden="false" customHeight="true" outlineLevel="0" collapsed="false">
      <c r="A35" s="20" t="s">
        <v>1273</v>
      </c>
      <c r="B35" s="20" t="s">
        <v>1633</v>
      </c>
      <c r="C35" s="20" t="s">
        <v>1646</v>
      </c>
      <c r="D35" s="4" t="s">
        <v>1647</v>
      </c>
      <c r="E35" s="4" t="s">
        <v>1648</v>
      </c>
      <c r="F35" s="20" t="s">
        <v>1649</v>
      </c>
    </row>
    <row r="36" customFormat="false" ht="45.75" hidden="false" customHeight="true" outlineLevel="0" collapsed="false">
      <c r="A36" s="20" t="s">
        <v>1642</v>
      </c>
      <c r="B36" s="20" t="s">
        <v>1633</v>
      </c>
      <c r="C36" s="20" t="s">
        <v>1650</v>
      </c>
      <c r="D36" s="4" t="s">
        <v>1651</v>
      </c>
      <c r="E36" s="4" t="s">
        <v>1652</v>
      </c>
      <c r="F36" s="20" t="s">
        <v>1649</v>
      </c>
    </row>
    <row r="37" customFormat="false" ht="68.25" hidden="false" customHeight="true" outlineLevel="0" collapsed="false">
      <c r="A37" s="20" t="s">
        <v>1281</v>
      </c>
      <c r="B37" s="20" t="s">
        <v>1588</v>
      </c>
      <c r="C37" s="20" t="s">
        <v>1653</v>
      </c>
      <c r="D37" s="4" t="s">
        <v>1654</v>
      </c>
      <c r="E37" s="4" t="s">
        <v>1655</v>
      </c>
      <c r="F37" s="20" t="s">
        <v>1656</v>
      </c>
    </row>
    <row r="38" customFormat="false" ht="68.25" hidden="false" customHeight="true" outlineLevel="0" collapsed="false">
      <c r="A38" s="20" t="s">
        <v>1291</v>
      </c>
      <c r="B38" s="20" t="s">
        <v>1588</v>
      </c>
      <c r="C38" s="20" t="s">
        <v>1657</v>
      </c>
      <c r="D38" s="4" t="s">
        <v>1658</v>
      </c>
      <c r="E38" s="4" t="s">
        <v>1659</v>
      </c>
      <c r="F38" s="20" t="s">
        <v>1660</v>
      </c>
    </row>
    <row r="39" customFormat="false" ht="45.75" hidden="false" customHeight="true" outlineLevel="0" collapsed="false">
      <c r="A39" s="20" t="s">
        <v>1661</v>
      </c>
      <c r="B39" s="20" t="s">
        <v>1662</v>
      </c>
      <c r="C39" s="20" t="s">
        <v>1663</v>
      </c>
      <c r="D39" s="4" t="s">
        <v>1664</v>
      </c>
      <c r="E39" s="4" t="s">
        <v>1665</v>
      </c>
      <c r="F39" s="20" t="s">
        <v>1666</v>
      </c>
    </row>
    <row r="40" customFormat="false" ht="57" hidden="false" customHeight="true" outlineLevel="0" collapsed="false">
      <c r="A40" s="20" t="s">
        <v>1301</v>
      </c>
      <c r="B40" s="20" t="s">
        <v>905</v>
      </c>
      <c r="C40" s="20" t="s">
        <v>1667</v>
      </c>
      <c r="D40" s="4" t="s">
        <v>1668</v>
      </c>
      <c r="E40" s="4" t="s">
        <v>1669</v>
      </c>
      <c r="F40" s="20" t="s">
        <v>1670</v>
      </c>
    </row>
    <row r="41" customFormat="false" ht="45.75" hidden="false" customHeight="true" outlineLevel="0" collapsed="false">
      <c r="A41" s="20" t="s">
        <v>1306</v>
      </c>
      <c r="B41" s="20" t="s">
        <v>1633</v>
      </c>
      <c r="C41" s="20" t="s">
        <v>1671</v>
      </c>
      <c r="D41" s="4" t="s">
        <v>1672</v>
      </c>
      <c r="E41" s="4" t="s">
        <v>1673</v>
      </c>
      <c r="F41" s="20" t="s">
        <v>1674</v>
      </c>
    </row>
    <row r="42" customFormat="false" ht="68.25" hidden="false" customHeight="true" outlineLevel="0" collapsed="false">
      <c r="A42" s="20" t="s">
        <v>1306</v>
      </c>
      <c r="B42" s="20" t="s">
        <v>1675</v>
      </c>
      <c r="C42" s="20" t="s">
        <v>1676</v>
      </c>
      <c r="D42" s="4" t="s">
        <v>1677</v>
      </c>
      <c r="E42" s="4" t="s">
        <v>1678</v>
      </c>
      <c r="F42" s="20" t="s">
        <v>1679</v>
      </c>
    </row>
    <row r="43" customFormat="false" ht="68.25" hidden="false" customHeight="true" outlineLevel="0" collapsed="false">
      <c r="A43" s="20" t="s">
        <v>1328</v>
      </c>
      <c r="B43" s="20" t="s">
        <v>1680</v>
      </c>
      <c r="C43" s="20" t="s">
        <v>1532</v>
      </c>
      <c r="D43" s="4" t="s">
        <v>1681</v>
      </c>
      <c r="E43" s="4" t="s">
        <v>1682</v>
      </c>
      <c r="F43" s="20" t="s">
        <v>1683</v>
      </c>
    </row>
    <row r="44" customFormat="false" ht="57" hidden="false" customHeight="true" outlineLevel="0" collapsed="false">
      <c r="A44" s="20" t="s">
        <v>1536</v>
      </c>
      <c r="B44" s="20" t="s">
        <v>1680</v>
      </c>
      <c r="C44" s="20" t="s">
        <v>1537</v>
      </c>
      <c r="D44" s="4" t="s">
        <v>1684</v>
      </c>
      <c r="E44" s="4" t="s">
        <v>1685</v>
      </c>
      <c r="F44" s="20" t="s">
        <v>1683</v>
      </c>
    </row>
    <row r="45" customFormat="false" ht="34.5" hidden="false" customHeight="true" outlineLevel="0" collapsed="false">
      <c r="A45" s="20" t="s">
        <v>1540</v>
      </c>
      <c r="B45" s="20" t="s">
        <v>1680</v>
      </c>
      <c r="C45" s="20" t="s">
        <v>1541</v>
      </c>
      <c r="D45" s="4" t="s">
        <v>1686</v>
      </c>
      <c r="E45" s="4" t="s">
        <v>1687</v>
      </c>
      <c r="F45" s="20" t="s">
        <v>1683</v>
      </c>
    </row>
    <row r="46" customFormat="false" ht="34.5" hidden="false" customHeight="true" outlineLevel="0" collapsed="false">
      <c r="A46" s="20" t="s">
        <v>1688</v>
      </c>
      <c r="B46" s="20" t="s">
        <v>1689</v>
      </c>
      <c r="C46" s="20" t="s">
        <v>1690</v>
      </c>
      <c r="D46" s="4" t="s">
        <v>1691</v>
      </c>
      <c r="E46" s="4" t="s">
        <v>1692</v>
      </c>
      <c r="F46" s="20" t="s">
        <v>1693</v>
      </c>
    </row>
    <row r="47" customFormat="false" ht="45.75" hidden="false" customHeight="true" outlineLevel="0" collapsed="false">
      <c r="A47" s="20" t="s">
        <v>1694</v>
      </c>
      <c r="B47" s="20" t="s">
        <v>905</v>
      </c>
      <c r="C47" s="20" t="s">
        <v>1695</v>
      </c>
      <c r="D47" s="4" t="s">
        <v>1696</v>
      </c>
      <c r="E47" s="4" t="s">
        <v>1697</v>
      </c>
      <c r="F47" s="20" t="s">
        <v>1698</v>
      </c>
    </row>
    <row r="48" customFormat="false" ht="57" hidden="false" customHeight="true" outlineLevel="0" collapsed="false">
      <c r="A48" s="20" t="s">
        <v>1342</v>
      </c>
      <c r="B48" s="20" t="s">
        <v>905</v>
      </c>
      <c r="C48" s="20" t="s">
        <v>1695</v>
      </c>
      <c r="D48" s="4" t="s">
        <v>1699</v>
      </c>
      <c r="E48" s="4" t="s">
        <v>1700</v>
      </c>
      <c r="F48" s="20" t="s">
        <v>1698</v>
      </c>
    </row>
    <row r="49" customFormat="false" ht="45.75" hidden="false" customHeight="true" outlineLevel="0" collapsed="false">
      <c r="A49" s="20" t="s">
        <v>1345</v>
      </c>
      <c r="B49" s="20" t="s">
        <v>1701</v>
      </c>
      <c r="C49" s="20" t="s">
        <v>1702</v>
      </c>
      <c r="D49" s="4" t="s">
        <v>1703</v>
      </c>
      <c r="E49" s="4" t="s">
        <v>1704</v>
      </c>
      <c r="F49" s="20" t="s">
        <v>1705</v>
      </c>
    </row>
    <row r="50" customFormat="false" ht="79.5" hidden="false" customHeight="true" outlineLevel="0" collapsed="false">
      <c r="A50" s="20" t="s">
        <v>1353</v>
      </c>
      <c r="B50" s="20" t="s">
        <v>1588</v>
      </c>
      <c r="C50" s="20" t="s">
        <v>1706</v>
      </c>
      <c r="D50" s="4" t="s">
        <v>1707</v>
      </c>
      <c r="E50" s="4" t="s">
        <v>1708</v>
      </c>
      <c r="F50" s="20" t="s">
        <v>1709</v>
      </c>
    </row>
    <row r="51" customFormat="false" ht="68.25" hidden="false" customHeight="true" outlineLevel="0" collapsed="false">
      <c r="A51" s="20" t="s">
        <v>1363</v>
      </c>
      <c r="B51" s="20" t="s">
        <v>1588</v>
      </c>
      <c r="C51" s="20" t="s">
        <v>1551</v>
      </c>
      <c r="D51" s="4" t="s">
        <v>1710</v>
      </c>
      <c r="E51" s="4" t="s">
        <v>1711</v>
      </c>
      <c r="F51" s="20" t="s">
        <v>1712</v>
      </c>
    </row>
    <row r="52" customFormat="false" ht="23.25" hidden="false" customHeight="true" outlineLevel="0" collapsed="false">
      <c r="A52" s="20" t="s">
        <v>1713</v>
      </c>
      <c r="B52" s="20" t="s">
        <v>1714</v>
      </c>
      <c r="C52" s="20" t="s">
        <v>1715</v>
      </c>
      <c r="D52" s="4" t="s">
        <v>1716</v>
      </c>
      <c r="E52" s="4" t="s">
        <v>1717</v>
      </c>
      <c r="F52" s="20" t="s">
        <v>1718</v>
      </c>
    </row>
    <row r="53" customFormat="false" ht="45.75" hidden="false" customHeight="true" outlineLevel="0" collapsed="false">
      <c r="A53" s="20" t="s">
        <v>1719</v>
      </c>
      <c r="B53" s="20" t="s">
        <v>1588</v>
      </c>
      <c r="C53" s="20" t="s">
        <v>1720</v>
      </c>
      <c r="D53" s="4" t="s">
        <v>1721</v>
      </c>
      <c r="E53" s="4" t="s">
        <v>1722</v>
      </c>
      <c r="F53" s="20" t="s">
        <v>1723</v>
      </c>
    </row>
    <row r="54" customFormat="false" ht="34.5" hidden="false" customHeight="true" outlineLevel="0" collapsed="false">
      <c r="A54" s="20" t="s">
        <v>1724</v>
      </c>
      <c r="B54" s="20" t="s">
        <v>1588</v>
      </c>
      <c r="C54" s="20" t="s">
        <v>1720</v>
      </c>
      <c r="D54" s="4" t="s">
        <v>1725</v>
      </c>
      <c r="E54" s="4" t="s">
        <v>1726</v>
      </c>
      <c r="F54" s="20" t="s">
        <v>1723</v>
      </c>
    </row>
    <row r="55" customFormat="false" ht="34.5" hidden="false" customHeight="true" outlineLevel="0" collapsed="false">
      <c r="A55" s="20" t="s">
        <v>1727</v>
      </c>
      <c r="B55" s="20" t="s">
        <v>905</v>
      </c>
      <c r="C55" s="20" t="s">
        <v>1728</v>
      </c>
      <c r="D55" s="4" t="s">
        <v>1729</v>
      </c>
      <c r="E55" s="4" t="s">
        <v>1730</v>
      </c>
      <c r="F55" s="20" t="s">
        <v>1723</v>
      </c>
    </row>
    <row r="56" customFormat="false" ht="45.75" hidden="false" customHeight="true" outlineLevel="0" collapsed="false">
      <c r="A56" s="20" t="s">
        <v>1731</v>
      </c>
      <c r="B56" s="20" t="s">
        <v>1588</v>
      </c>
      <c r="C56" s="20" t="s">
        <v>1732</v>
      </c>
      <c r="D56" s="4" t="s">
        <v>1733</v>
      </c>
      <c r="E56" s="4" t="s">
        <v>1734</v>
      </c>
      <c r="F56" s="20" t="s">
        <v>1735</v>
      </c>
    </row>
    <row r="57" customFormat="false" ht="23.25" hidden="false" customHeight="true" outlineLevel="0" collapsed="false">
      <c r="A57" s="20" t="s">
        <v>1736</v>
      </c>
      <c r="B57" s="20" t="s">
        <v>905</v>
      </c>
      <c r="C57" s="20" t="s">
        <v>1737</v>
      </c>
      <c r="D57" s="4" t="s">
        <v>1738</v>
      </c>
      <c r="E57" s="4" t="s">
        <v>1739</v>
      </c>
      <c r="F57" s="20" t="s">
        <v>1735</v>
      </c>
    </row>
    <row r="58" customFormat="false" ht="34.5" hidden="false" customHeight="true" outlineLevel="0" collapsed="false">
      <c r="A58" s="20" t="s">
        <v>1740</v>
      </c>
      <c r="B58" s="20" t="s">
        <v>905</v>
      </c>
      <c r="C58" s="20" t="s">
        <v>1524</v>
      </c>
      <c r="D58" s="4" t="s">
        <v>1741</v>
      </c>
      <c r="E58" s="4" t="s">
        <v>1742</v>
      </c>
      <c r="F58" s="20" t="s">
        <v>1735</v>
      </c>
    </row>
    <row r="59" customFormat="false" ht="34.5" hidden="false" customHeight="true" outlineLevel="0" collapsed="false">
      <c r="A59" s="20" t="s">
        <v>1743</v>
      </c>
      <c r="B59" s="20" t="s">
        <v>905</v>
      </c>
      <c r="C59" s="20" t="s">
        <v>1744</v>
      </c>
      <c r="D59" s="4" t="s">
        <v>1745</v>
      </c>
      <c r="E59" s="4" t="s">
        <v>1746</v>
      </c>
      <c r="F59" s="20" t="s">
        <v>1735</v>
      </c>
    </row>
    <row r="60" customFormat="false" ht="90.75" hidden="false" customHeight="true" outlineLevel="0" collapsed="false">
      <c r="A60" s="20" t="s">
        <v>1392</v>
      </c>
      <c r="B60" s="20" t="s">
        <v>1747</v>
      </c>
      <c r="C60" s="20" t="s">
        <v>1748</v>
      </c>
      <c r="D60" s="4" t="s">
        <v>1749</v>
      </c>
      <c r="E60" s="4" t="s">
        <v>1750</v>
      </c>
      <c r="F60" s="20" t="s">
        <v>1751</v>
      </c>
    </row>
    <row r="61" customFormat="false" ht="68.25" hidden="false" customHeight="true" outlineLevel="0" collapsed="false">
      <c r="A61" s="20" t="s">
        <v>1752</v>
      </c>
      <c r="B61" s="20" t="s">
        <v>1588</v>
      </c>
      <c r="C61" s="20" t="s">
        <v>1732</v>
      </c>
      <c r="D61" s="4" t="s">
        <v>1753</v>
      </c>
      <c r="E61" s="4" t="s">
        <v>1754</v>
      </c>
      <c r="F61" s="20" t="s">
        <v>1755</v>
      </c>
    </row>
    <row r="62" customFormat="false" ht="57" hidden="false" customHeight="true" outlineLevel="0" collapsed="false">
      <c r="A62" s="20" t="s">
        <v>1756</v>
      </c>
      <c r="B62" s="20" t="s">
        <v>905</v>
      </c>
      <c r="C62" s="20" t="s">
        <v>1757</v>
      </c>
      <c r="D62" s="4" t="s">
        <v>1758</v>
      </c>
      <c r="E62" s="4" t="s">
        <v>1759</v>
      </c>
      <c r="F62" s="20" t="s">
        <v>1755</v>
      </c>
    </row>
    <row r="63" customFormat="false" ht="57" hidden="false" customHeight="true" outlineLevel="0" collapsed="false">
      <c r="A63" s="20" t="s">
        <v>1407</v>
      </c>
      <c r="B63" s="20" t="s">
        <v>905</v>
      </c>
      <c r="C63" s="20" t="s">
        <v>1516</v>
      </c>
      <c r="D63" s="4" t="s">
        <v>1760</v>
      </c>
      <c r="E63" s="4" t="s">
        <v>1761</v>
      </c>
      <c r="F63" s="20" t="s">
        <v>1762</v>
      </c>
    </row>
    <row r="64" customFormat="false" ht="79.5" hidden="false" customHeight="true" outlineLevel="0" collapsed="false">
      <c r="A64" s="20" t="s">
        <v>1407</v>
      </c>
      <c r="B64" s="20" t="s">
        <v>1747</v>
      </c>
      <c r="C64" s="20" t="s">
        <v>1763</v>
      </c>
      <c r="D64" s="4" t="s">
        <v>1764</v>
      </c>
      <c r="E64" s="4" t="s">
        <v>1765</v>
      </c>
      <c r="F64" s="20" t="s">
        <v>1766</v>
      </c>
    </row>
    <row r="65" customFormat="false" ht="15" hidden="false" customHeight="true" outlineLevel="0" collapsed="false">
      <c r="A65" s="20" t="s">
        <v>1415</v>
      </c>
      <c r="B65" s="20" t="s">
        <v>1747</v>
      </c>
      <c r="C65" s="20" t="s">
        <v>1767</v>
      </c>
      <c r="D65" s="4" t="s">
        <v>1768</v>
      </c>
      <c r="E65" s="4" t="s">
        <v>1769</v>
      </c>
      <c r="F65" s="20" t="s">
        <v>1766</v>
      </c>
    </row>
    <row r="66" customFormat="false" ht="57" hidden="false" customHeight="true" outlineLevel="0" collapsed="false">
      <c r="A66" s="20" t="s">
        <v>1770</v>
      </c>
      <c r="B66" s="20" t="s">
        <v>1588</v>
      </c>
      <c r="C66" s="20" t="s">
        <v>1771</v>
      </c>
      <c r="D66" s="4" t="s">
        <v>1772</v>
      </c>
      <c r="E66" s="4" t="s">
        <v>1773</v>
      </c>
      <c r="F66" s="20" t="s">
        <v>1774</v>
      </c>
    </row>
    <row r="67" customFormat="false" ht="34.5" hidden="false" customHeight="true" outlineLevel="0" collapsed="false">
      <c r="A67" s="20" t="s">
        <v>1775</v>
      </c>
      <c r="B67" s="20" t="s">
        <v>905</v>
      </c>
      <c r="C67" s="20" t="s">
        <v>1776</v>
      </c>
      <c r="D67" s="4" t="s">
        <v>1777</v>
      </c>
      <c r="E67" s="4" t="s">
        <v>1778</v>
      </c>
      <c r="F67" s="20" t="s">
        <v>1774</v>
      </c>
    </row>
    <row r="68" customFormat="false" ht="23.25" hidden="false" customHeight="true" outlineLevel="0" collapsed="false">
      <c r="A68" s="20" t="s">
        <v>1779</v>
      </c>
      <c r="B68" s="20" t="s">
        <v>909</v>
      </c>
      <c r="C68" s="20" t="s">
        <v>1780</v>
      </c>
      <c r="D68" s="4" t="s">
        <v>1781</v>
      </c>
      <c r="E68" s="4" t="s">
        <v>1782</v>
      </c>
      <c r="F68" s="20" t="s">
        <v>1774</v>
      </c>
    </row>
    <row r="69" customFormat="false" ht="57" hidden="false" customHeight="true" outlineLevel="0" collapsed="false">
      <c r="A69" s="20" t="s">
        <v>1427</v>
      </c>
      <c r="B69" s="20" t="s">
        <v>1662</v>
      </c>
      <c r="C69" s="20" t="s">
        <v>1783</v>
      </c>
      <c r="D69" s="4" t="s">
        <v>1784</v>
      </c>
      <c r="E69" s="4" t="s">
        <v>1785</v>
      </c>
      <c r="F69" s="20" t="s">
        <v>1666</v>
      </c>
    </row>
    <row r="70" customFormat="false" ht="45.75" hidden="false" customHeight="true" outlineLevel="0" collapsed="false">
      <c r="A70" s="20" t="s">
        <v>1427</v>
      </c>
      <c r="B70" s="20" t="s">
        <v>1747</v>
      </c>
      <c r="C70" s="20" t="s">
        <v>1786</v>
      </c>
      <c r="D70" s="4" t="s">
        <v>1787</v>
      </c>
      <c r="E70" s="4" t="s">
        <v>1788</v>
      </c>
      <c r="F70" s="20" t="s">
        <v>1789</v>
      </c>
    </row>
    <row r="71" customFormat="false" ht="68.25" hidden="false" customHeight="true" outlineLevel="0" collapsed="false">
      <c r="A71" s="20" t="s">
        <v>1435</v>
      </c>
      <c r="B71" s="20" t="s">
        <v>1747</v>
      </c>
      <c r="C71" s="20" t="s">
        <v>1790</v>
      </c>
      <c r="D71" s="4" t="s">
        <v>1791</v>
      </c>
      <c r="E71" s="4" t="s">
        <v>1792</v>
      </c>
      <c r="F71" s="20" t="s">
        <v>1789</v>
      </c>
    </row>
    <row r="72" customFormat="false" ht="34.5" hidden="false" customHeight="true" outlineLevel="0" collapsed="false">
      <c r="A72" s="20" t="s">
        <v>1448</v>
      </c>
      <c r="B72" s="20" t="s">
        <v>909</v>
      </c>
      <c r="C72" s="20" t="s">
        <v>1524</v>
      </c>
      <c r="D72" s="4" t="s">
        <v>1793</v>
      </c>
      <c r="E72" s="4" t="s">
        <v>1794</v>
      </c>
      <c r="F72" s="20" t="s">
        <v>1795</v>
      </c>
    </row>
    <row r="73" customFormat="false" ht="102" hidden="false" customHeight="true" outlineLevel="0" collapsed="false">
      <c r="A73" s="20" t="s">
        <v>1796</v>
      </c>
      <c r="B73" s="20" t="s">
        <v>563</v>
      </c>
      <c r="C73" s="20" t="s">
        <v>1797</v>
      </c>
      <c r="D73" s="4" t="s">
        <v>1798</v>
      </c>
      <c r="E73" s="4" t="s">
        <v>1799</v>
      </c>
      <c r="F73" s="20" t="s">
        <v>1800</v>
      </c>
    </row>
    <row r="74" customFormat="false" ht="68.25" hidden="false" customHeight="true" outlineLevel="0" collapsed="false">
      <c r="A74" s="20" t="s">
        <v>608</v>
      </c>
      <c r="B74" s="20" t="s">
        <v>523</v>
      </c>
      <c r="C74" s="20" t="s">
        <v>1598</v>
      </c>
      <c r="D74" s="4" t="s">
        <v>1801</v>
      </c>
      <c r="E74" s="4" t="s">
        <v>1802</v>
      </c>
      <c r="F74" s="20" t="s">
        <v>1803</v>
      </c>
    </row>
    <row r="75" customFormat="false" ht="45.75" hidden="false" customHeight="true" outlineLevel="0" collapsed="false">
      <c r="A75" s="20" t="s">
        <v>1462</v>
      </c>
      <c r="B75" s="20" t="s">
        <v>1714</v>
      </c>
      <c r="C75" s="20" t="s">
        <v>1602</v>
      </c>
      <c r="D75" s="4" t="s">
        <v>1804</v>
      </c>
      <c r="E75" s="4" t="s">
        <v>1805</v>
      </c>
      <c r="F75" s="20" t="s">
        <v>1806</v>
      </c>
    </row>
    <row r="76" customFormat="false" ht="34.5" hidden="false" customHeight="true" outlineLevel="0" collapsed="false">
      <c r="A76" s="20" t="s">
        <v>1807</v>
      </c>
      <c r="B76" s="20" t="s">
        <v>1808</v>
      </c>
      <c r="C76" s="20" t="s">
        <v>1809</v>
      </c>
      <c r="D76" s="4" t="s">
        <v>1810</v>
      </c>
      <c r="E76" s="4" t="s">
        <v>1811</v>
      </c>
      <c r="F76" s="20" t="s">
        <v>1812</v>
      </c>
    </row>
    <row r="77" customFormat="false" ht="23.85" hidden="false" customHeight="false" outlineLevel="0" collapsed="false">
      <c r="A77" s="6" t="s">
        <v>127</v>
      </c>
      <c r="B77" s="6" t="s">
        <v>1813</v>
      </c>
      <c r="C77" s="6" t="s">
        <v>1814</v>
      </c>
      <c r="D77" s="7" t="s">
        <v>1815</v>
      </c>
      <c r="E77" s="7" t="s">
        <v>1816</v>
      </c>
      <c r="F77" s="6" t="s">
        <v>1817</v>
      </c>
    </row>
    <row r="78" customFormat="false" ht="23.85" hidden="false" customHeight="false" outlineLevel="0" collapsed="false">
      <c r="A78" s="6" t="s">
        <v>140</v>
      </c>
      <c r="B78" s="6" t="s">
        <v>1813</v>
      </c>
      <c r="C78" s="6" t="s">
        <v>1818</v>
      </c>
      <c r="D78" s="7" t="s">
        <v>1819</v>
      </c>
      <c r="E78" s="7" t="s">
        <v>1820</v>
      </c>
      <c r="F78" s="6" t="s">
        <v>1817</v>
      </c>
    </row>
    <row r="79" customFormat="false" ht="15" hidden="false" customHeight="false" outlineLevel="0" collapsed="false">
      <c r="A79" s="6" t="s">
        <v>149</v>
      </c>
      <c r="B79" s="6" t="s">
        <v>1813</v>
      </c>
      <c r="C79" s="6" t="s">
        <v>1821</v>
      </c>
      <c r="D79" s="7" t="s">
        <v>1822</v>
      </c>
      <c r="E79" s="7" t="s">
        <v>1823</v>
      </c>
      <c r="F79" s="6" t="s">
        <v>1817</v>
      </c>
    </row>
    <row r="80" customFormat="false" ht="23.85" hidden="false" customHeight="false" outlineLevel="0" collapsed="false">
      <c r="A80" s="6" t="s">
        <v>154</v>
      </c>
      <c r="B80" s="6" t="s">
        <v>1813</v>
      </c>
      <c r="C80" s="6" t="s">
        <v>1824</v>
      </c>
      <c r="D80" s="7" t="s">
        <v>1825</v>
      </c>
      <c r="E80" s="7" t="s">
        <v>1826</v>
      </c>
      <c r="F80" s="6" t="s">
        <v>1817</v>
      </c>
    </row>
    <row r="81" customFormat="false" ht="23.85" hidden="false" customHeight="false" outlineLevel="0" collapsed="false">
      <c r="A81" s="6" t="s">
        <v>158</v>
      </c>
      <c r="B81" s="6" t="s">
        <v>1813</v>
      </c>
      <c r="C81" s="6" t="s">
        <v>1626</v>
      </c>
      <c r="D81" s="7" t="s">
        <v>1827</v>
      </c>
      <c r="E81" s="7" t="s">
        <v>1828</v>
      </c>
      <c r="F81" s="6" t="s">
        <v>1817</v>
      </c>
    </row>
    <row r="82" customFormat="false" ht="15" hidden="false" customHeight="false" outlineLevel="0" collapsed="false">
      <c r="A82" s="6" t="s">
        <v>162</v>
      </c>
      <c r="B82" s="6" t="s">
        <v>1813</v>
      </c>
      <c r="C82" s="6" t="s">
        <v>1537</v>
      </c>
      <c r="D82" s="7" t="s">
        <v>1829</v>
      </c>
      <c r="E82" s="7" t="s">
        <v>1830</v>
      </c>
      <c r="F82" s="6" t="s">
        <v>1817</v>
      </c>
    </row>
    <row r="83" customFormat="false" ht="15" hidden="false" customHeight="false" outlineLevel="0" collapsed="false">
      <c r="A83" s="6" t="s">
        <v>167</v>
      </c>
      <c r="B83" s="6" t="s">
        <v>905</v>
      </c>
      <c r="C83" s="6" t="s">
        <v>1831</v>
      </c>
      <c r="D83" s="7" t="s">
        <v>1832</v>
      </c>
      <c r="E83" s="7" t="s">
        <v>1833</v>
      </c>
      <c r="F83" s="6" t="s">
        <v>1817</v>
      </c>
    </row>
    <row r="84" customFormat="false" ht="23.85" hidden="false" customHeight="false" outlineLevel="0" collapsed="false">
      <c r="A84" s="6" t="s">
        <v>189</v>
      </c>
      <c r="B84" s="6" t="s">
        <v>905</v>
      </c>
      <c r="C84" s="6" t="s">
        <v>1834</v>
      </c>
      <c r="D84" s="7" t="s">
        <v>1835</v>
      </c>
      <c r="E84" s="7" t="s">
        <v>1836</v>
      </c>
      <c r="F84" s="6" t="s">
        <v>1817</v>
      </c>
    </row>
    <row r="85" customFormat="false" ht="23.85" hidden="false" customHeight="false" outlineLevel="0" collapsed="false">
      <c r="A85" s="6" t="s">
        <v>1837</v>
      </c>
      <c r="B85" s="6" t="s">
        <v>1838</v>
      </c>
      <c r="C85" s="6" t="s">
        <v>1839</v>
      </c>
      <c r="D85" s="7" t="s">
        <v>1840</v>
      </c>
      <c r="E85" s="7" t="s">
        <v>1841</v>
      </c>
      <c r="F85" s="6" t="s">
        <v>1842</v>
      </c>
    </row>
    <row r="86" customFormat="false" ht="23.85" hidden="false" customHeight="false" outlineLevel="0" collapsed="false">
      <c r="A86" s="6" t="s">
        <v>1843</v>
      </c>
      <c r="B86" s="6" t="s">
        <v>1838</v>
      </c>
      <c r="C86" s="6" t="s">
        <v>1783</v>
      </c>
      <c r="D86" s="7" t="s">
        <v>1844</v>
      </c>
      <c r="E86" s="7" t="s">
        <v>1845</v>
      </c>
      <c r="F86" s="6" t="s">
        <v>1842</v>
      </c>
    </row>
    <row r="88" customFormat="false" ht="15" hidden="false" customHeight="false" outlineLevel="0" collapsed="false">
      <c r="A88" s="28" t="s">
        <v>1846</v>
      </c>
    </row>
    <row r="89" customFormat="false" ht="60" hidden="false" customHeight="true" outlineLevel="0" collapsed="false">
      <c r="A89" s="7" t="s">
        <v>232</v>
      </c>
      <c r="B89" s="7" t="s">
        <v>128</v>
      </c>
      <c r="C89" s="7" t="s">
        <v>1847</v>
      </c>
      <c r="D89" s="7" t="s">
        <v>233</v>
      </c>
      <c r="E89" s="7" t="s">
        <v>236</v>
      </c>
      <c r="F89" s="7" t="s">
        <v>234</v>
      </c>
    </row>
    <row r="90" customFormat="false" ht="60" hidden="false" customHeight="true" outlineLevel="0" collapsed="false">
      <c r="A90" s="7" t="s">
        <v>238</v>
      </c>
      <c r="B90" s="7" t="s">
        <v>128</v>
      </c>
      <c r="C90" s="7" t="s">
        <v>1848</v>
      </c>
      <c r="D90" s="7" t="s">
        <v>239</v>
      </c>
      <c r="E90" s="7" t="s">
        <v>242</v>
      </c>
      <c r="F90" s="7" t="s">
        <v>240</v>
      </c>
    </row>
    <row r="91" customFormat="false" ht="60" hidden="false" customHeight="true" outlineLevel="0" collapsed="false">
      <c r="A91" s="7" t="s">
        <v>244</v>
      </c>
      <c r="B91" s="7" t="s">
        <v>168</v>
      </c>
      <c r="C91" s="7" t="s">
        <v>1849</v>
      </c>
      <c r="D91" s="7" t="s">
        <v>245</v>
      </c>
      <c r="E91" s="7" t="s">
        <v>248</v>
      </c>
      <c r="F91" s="7" t="s">
        <v>246</v>
      </c>
    </row>
    <row r="92" customFormat="false" ht="60" hidden="false" customHeight="true" outlineLevel="0" collapsed="false">
      <c r="A92" s="7" t="s">
        <v>250</v>
      </c>
      <c r="B92" s="7" t="s">
        <v>168</v>
      </c>
      <c r="C92" s="7" t="s">
        <v>1850</v>
      </c>
      <c r="D92" s="7" t="s">
        <v>251</v>
      </c>
      <c r="E92" s="7" t="s">
        <v>253</v>
      </c>
      <c r="F92" s="7" t="s">
        <v>246</v>
      </c>
    </row>
    <row r="93" customFormat="false" ht="60" hidden="false" customHeight="true" outlineLevel="0" collapsed="false">
      <c r="A93" s="7" t="s">
        <v>254</v>
      </c>
      <c r="B93" s="7" t="s">
        <v>168</v>
      </c>
      <c r="C93" s="7" t="s">
        <v>1851</v>
      </c>
      <c r="D93" s="7" t="s">
        <v>255</v>
      </c>
      <c r="E93" s="7" t="s">
        <v>258</v>
      </c>
      <c r="F93" s="7" t="s">
        <v>256</v>
      </c>
    </row>
    <row r="94" customFormat="false" ht="60" hidden="false" customHeight="true" outlineLevel="0" collapsed="false">
      <c r="A94" s="7" t="s">
        <v>260</v>
      </c>
      <c r="B94" s="7" t="s">
        <v>213</v>
      </c>
      <c r="C94" s="7" t="s">
        <v>1852</v>
      </c>
      <c r="D94" s="7" t="s">
        <v>261</v>
      </c>
      <c r="E94" s="7" t="s">
        <v>263</v>
      </c>
      <c r="F94" s="7" t="s">
        <v>246</v>
      </c>
    </row>
    <row r="95" customFormat="false" ht="60" hidden="false" customHeight="true" outlineLevel="0" collapsed="false">
      <c r="A95" s="7" t="s">
        <v>264</v>
      </c>
      <c r="B95" s="7" t="s">
        <v>213</v>
      </c>
      <c r="C95" s="7" t="s">
        <v>1853</v>
      </c>
      <c r="D95" s="7" t="s">
        <v>265</v>
      </c>
      <c r="E95" s="7" t="s">
        <v>267</v>
      </c>
      <c r="F95" s="7" t="s">
        <v>246</v>
      </c>
    </row>
    <row r="96" customFormat="false" ht="60" hidden="false" customHeight="true" outlineLevel="0" collapsed="false">
      <c r="A96" s="7" t="s">
        <v>268</v>
      </c>
      <c r="B96" s="7" t="s">
        <v>213</v>
      </c>
      <c r="C96" s="7" t="s">
        <v>1849</v>
      </c>
      <c r="D96" s="7" t="s">
        <v>269</v>
      </c>
      <c r="E96" s="7" t="s">
        <v>270</v>
      </c>
      <c r="F96" s="7" t="s">
        <v>246</v>
      </c>
    </row>
    <row r="97" customFormat="false" ht="60" hidden="false" customHeight="true" outlineLevel="0" collapsed="false">
      <c r="A97" s="7" t="s">
        <v>271</v>
      </c>
      <c r="B97" s="7" t="s">
        <v>213</v>
      </c>
      <c r="C97" s="7" t="s">
        <v>1854</v>
      </c>
      <c r="D97" s="7" t="s">
        <v>272</v>
      </c>
      <c r="E97" s="7" t="s">
        <v>275</v>
      </c>
      <c r="F97" s="7" t="s">
        <v>273</v>
      </c>
    </row>
    <row r="98" customFormat="false" ht="60" hidden="false" customHeight="true" outlineLevel="0" collapsed="false">
      <c r="A98" s="7" t="s">
        <v>276</v>
      </c>
      <c r="B98" s="7" t="s">
        <v>213</v>
      </c>
      <c r="C98" s="7" t="s">
        <v>1855</v>
      </c>
      <c r="D98" s="7" t="s">
        <v>277</v>
      </c>
      <c r="E98" s="7" t="s">
        <v>279</v>
      </c>
      <c r="F98" s="7" t="s">
        <v>278</v>
      </c>
    </row>
    <row r="99" customFormat="false" ht="60" hidden="false" customHeight="true" outlineLevel="0" collapsed="false">
      <c r="A99" s="7" t="s">
        <v>280</v>
      </c>
      <c r="B99" s="7" t="s">
        <v>213</v>
      </c>
      <c r="C99" s="7" t="s">
        <v>1856</v>
      </c>
      <c r="D99" s="7" t="s">
        <v>281</v>
      </c>
      <c r="E99" s="7" t="s">
        <v>282</v>
      </c>
      <c r="F99" s="7" t="s">
        <v>246</v>
      </c>
    </row>
    <row r="100" customFormat="false" ht="60" hidden="false" customHeight="true" outlineLevel="0" collapsed="false">
      <c r="A100" s="7" t="s">
        <v>283</v>
      </c>
      <c r="B100" s="7" t="s">
        <v>284</v>
      </c>
      <c r="C100" s="7" t="s">
        <v>1857</v>
      </c>
      <c r="D100" s="7" t="s">
        <v>285</v>
      </c>
      <c r="E100" s="7" t="s">
        <v>288</v>
      </c>
      <c r="F100" s="7" t="s">
        <v>286</v>
      </c>
    </row>
    <row r="101" customFormat="false" ht="60" hidden="false" customHeight="true" outlineLevel="0" collapsed="false">
      <c r="A101" s="7" t="s">
        <v>290</v>
      </c>
      <c r="B101" s="7" t="s">
        <v>168</v>
      </c>
      <c r="C101" s="7" t="s">
        <v>1858</v>
      </c>
      <c r="D101" s="7" t="s">
        <v>291</v>
      </c>
      <c r="E101" s="7" t="s">
        <v>294</v>
      </c>
      <c r="F101" s="7" t="s">
        <v>292</v>
      </c>
    </row>
    <row r="102" customFormat="false" ht="60" hidden="false" customHeight="true" outlineLevel="0" collapsed="false">
      <c r="A102" s="7" t="s">
        <v>295</v>
      </c>
      <c r="B102" s="7" t="s">
        <v>213</v>
      </c>
      <c r="C102" s="7" t="s">
        <v>1859</v>
      </c>
      <c r="D102" s="7" t="s">
        <v>296</v>
      </c>
      <c r="E102" s="7" t="s">
        <v>298</v>
      </c>
      <c r="F102" s="7" t="s">
        <v>136</v>
      </c>
    </row>
    <row r="103" customFormat="false" ht="60" hidden="false" customHeight="true" outlineLevel="0" collapsed="false">
      <c r="A103" s="7" t="s">
        <v>299</v>
      </c>
      <c r="B103" s="7" t="s">
        <v>300</v>
      </c>
      <c r="C103" s="7" t="s">
        <v>1860</v>
      </c>
      <c r="D103" s="7" t="s">
        <v>301</v>
      </c>
      <c r="E103" s="7" t="s">
        <v>303</v>
      </c>
      <c r="F103" s="7"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2"/>
    <col collapsed="false" customWidth="true" hidden="false" outlineLevel="0" max="3" min="3" style="1" width="8"/>
    <col collapsed="false" customWidth="true" hidden="false" outlineLevel="0" max="4" min="4" style="1" width="72"/>
    <col collapsed="false" customWidth="true" hidden="false" outlineLevel="0" max="5" min="5" style="1" width="12"/>
  </cols>
  <sheetData>
    <row r="1" customFormat="false" ht="15" hidden="false" customHeight="true" outlineLevel="0" collapsed="false">
      <c r="A1" s="18" t="s">
        <v>1861</v>
      </c>
    </row>
    <row r="2" customFormat="false" ht="15" hidden="false" customHeight="true" outlineLevel="0" collapsed="false">
      <c r="A2" s="8" t="s">
        <v>1862</v>
      </c>
    </row>
    <row r="3" customFormat="false" ht="15" hidden="false" customHeight="true" outlineLevel="0" collapsed="false">
      <c r="A3" s="25" t="s">
        <v>1863</v>
      </c>
    </row>
    <row r="5" customFormat="false" ht="15" hidden="false" customHeight="true" outlineLevel="0" collapsed="false">
      <c r="A5" s="22" t="s">
        <v>120</v>
      </c>
      <c r="B5" s="22" t="s">
        <v>1864</v>
      </c>
      <c r="C5" s="22" t="s">
        <v>1865</v>
      </c>
      <c r="D5" s="22" t="s">
        <v>1866</v>
      </c>
      <c r="E5" s="22" t="s">
        <v>1867</v>
      </c>
    </row>
    <row r="6" customFormat="false" ht="15" hidden="false" customHeight="true" outlineLevel="0" collapsed="false">
      <c r="A6" s="20" t="s">
        <v>1868</v>
      </c>
      <c r="B6" s="20" t="s">
        <v>1869</v>
      </c>
      <c r="C6" s="20" t="s">
        <v>1870</v>
      </c>
      <c r="D6" s="4" t="s">
        <v>1871</v>
      </c>
      <c r="E6" s="20" t="s">
        <v>1872</v>
      </c>
    </row>
    <row r="7" customFormat="false" ht="15" hidden="false" customHeight="true" outlineLevel="0" collapsed="false">
      <c r="A7" s="20" t="s">
        <v>1873</v>
      </c>
      <c r="B7" s="20" t="s">
        <v>1874</v>
      </c>
      <c r="C7" s="20" t="s">
        <v>1870</v>
      </c>
      <c r="D7" s="4" t="s">
        <v>1875</v>
      </c>
      <c r="E7" s="20" t="s">
        <v>1872</v>
      </c>
    </row>
    <row r="8" customFormat="false" ht="15" hidden="false" customHeight="true" outlineLevel="0" collapsed="false">
      <c r="A8" s="20" t="s">
        <v>1876</v>
      </c>
      <c r="B8" s="20" t="s">
        <v>1877</v>
      </c>
      <c r="C8" s="20" t="s">
        <v>1870</v>
      </c>
      <c r="D8" s="4" t="s">
        <v>1878</v>
      </c>
      <c r="E8" s="20" t="s">
        <v>1872</v>
      </c>
    </row>
    <row r="9" customFormat="false" ht="15" hidden="false" customHeight="true" outlineLevel="0" collapsed="false">
      <c r="A9" s="20" t="s">
        <v>1879</v>
      </c>
      <c r="B9" s="20" t="s">
        <v>1880</v>
      </c>
      <c r="C9" s="20" t="s">
        <v>1870</v>
      </c>
      <c r="D9" s="4" t="s">
        <v>1881</v>
      </c>
      <c r="E9" s="20" t="s">
        <v>1872</v>
      </c>
    </row>
    <row r="10" customFormat="false" ht="15" hidden="false" customHeight="true" outlineLevel="0" collapsed="false">
      <c r="A10" s="20" t="s">
        <v>1882</v>
      </c>
      <c r="B10" s="20" t="s">
        <v>1883</v>
      </c>
      <c r="C10" s="20" t="s">
        <v>1870</v>
      </c>
      <c r="D10" s="4" t="s">
        <v>1884</v>
      </c>
      <c r="E10" s="20" t="s">
        <v>1872</v>
      </c>
    </row>
    <row r="11" customFormat="false" ht="15" hidden="false" customHeight="true" outlineLevel="0" collapsed="false">
      <c r="A11" s="20" t="s">
        <v>1885</v>
      </c>
      <c r="B11" s="20" t="s">
        <v>1886</v>
      </c>
      <c r="C11" s="20" t="s">
        <v>1887</v>
      </c>
      <c r="D11" s="4" t="s">
        <v>1888</v>
      </c>
      <c r="E11" s="20" t="s">
        <v>1889</v>
      </c>
    </row>
    <row r="12" customFormat="false" ht="15" hidden="false" customHeight="true" outlineLevel="0" collapsed="false">
      <c r="A12" s="20" t="s">
        <v>1890</v>
      </c>
      <c r="B12" s="20" t="s">
        <v>1891</v>
      </c>
      <c r="C12" s="20" t="s">
        <v>1887</v>
      </c>
      <c r="D12" s="4" t="s">
        <v>1892</v>
      </c>
      <c r="E12" s="20" t="s">
        <v>1889</v>
      </c>
    </row>
    <row r="13" customFormat="false" ht="15" hidden="false" customHeight="true" outlineLevel="0" collapsed="false">
      <c r="A13" s="20" t="s">
        <v>1796</v>
      </c>
      <c r="B13" s="20" t="s">
        <v>1893</v>
      </c>
      <c r="C13" s="20" t="s">
        <v>1894</v>
      </c>
      <c r="D13" s="4" t="s">
        <v>1895</v>
      </c>
      <c r="E13" s="20" t="s">
        <v>1889</v>
      </c>
    </row>
    <row r="14" customFormat="false" ht="15" hidden="false" customHeight="true" outlineLevel="0" collapsed="false">
      <c r="A14" s="20" t="s">
        <v>1896</v>
      </c>
      <c r="B14" s="20" t="s">
        <v>1897</v>
      </c>
      <c r="C14" s="20" t="s">
        <v>1894</v>
      </c>
      <c r="D14" s="4" t="s">
        <v>1898</v>
      </c>
      <c r="E14" s="20" t="s">
        <v>1889</v>
      </c>
    </row>
    <row r="15" customFormat="false" ht="15" hidden="false" customHeight="true" outlineLevel="0" collapsed="false">
      <c r="A15" s="20" t="s">
        <v>1899</v>
      </c>
      <c r="B15" s="20" t="s">
        <v>1900</v>
      </c>
      <c r="C15" s="20" t="s">
        <v>1894</v>
      </c>
      <c r="D15" s="4" t="s">
        <v>1901</v>
      </c>
      <c r="E15" s="20" t="s">
        <v>1889</v>
      </c>
    </row>
    <row r="16" customFormat="false" ht="15" hidden="false" customHeight="true" outlineLevel="0" collapsed="false">
      <c r="A16" s="20" t="s">
        <v>1902</v>
      </c>
      <c r="B16" s="20" t="s">
        <v>1903</v>
      </c>
      <c r="C16" s="20" t="s">
        <v>1894</v>
      </c>
      <c r="D16" s="4" t="s">
        <v>1904</v>
      </c>
      <c r="E16" s="20" t="s">
        <v>1889</v>
      </c>
    </row>
    <row r="17" customFormat="false" ht="15" hidden="false" customHeight="true" outlineLevel="0" collapsed="false">
      <c r="A17" s="20" t="s">
        <v>1345</v>
      </c>
      <c r="B17" s="20" t="s">
        <v>1905</v>
      </c>
      <c r="C17" s="20" t="s">
        <v>1894</v>
      </c>
      <c r="D17" s="4" t="s">
        <v>1906</v>
      </c>
      <c r="E17" s="20" t="s">
        <v>1889</v>
      </c>
    </row>
    <row r="18" customFormat="false" ht="35.05" hidden="false" customHeight="false" outlineLevel="0" collapsed="false">
      <c r="A18" s="6" t="s">
        <v>1907</v>
      </c>
      <c r="B18" s="6" t="s">
        <v>1908</v>
      </c>
      <c r="C18" s="6" t="s">
        <v>1909</v>
      </c>
      <c r="D18" s="7" t="s">
        <v>1910</v>
      </c>
      <c r="E18" s="6" t="s">
        <v>1872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2026-09-05T18:52:31Z</dcterms:created>
  <dc:creator>openpyxl</dc:creator>
  <dc:description/>
  <dc:language>en-US</dc:language>
  <cp:lastModifiedBy/>
  <dcterms:modified xsi:type="dcterms:W3CDTF">2026-09-20T11:25:46Z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