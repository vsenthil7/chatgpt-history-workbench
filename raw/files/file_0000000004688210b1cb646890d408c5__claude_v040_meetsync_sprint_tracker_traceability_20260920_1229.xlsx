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sion_Control" sheetId="1" state="visible" r:id="rId1"/>
    <sheet xmlns:r="http://schemas.openxmlformats.org/officeDocument/2006/relationships" name="Sprint_Tracker_Log" sheetId="2" state="visible" r:id="rId2"/>
    <sheet xmlns:r="http://schemas.openxmlformats.org/officeDocument/2006/relationships" name="Decisions" sheetId="3" state="visible" r:id="rId3"/>
    <sheet xmlns:r="http://schemas.openxmlformats.org/officeDocument/2006/relationships" name="S9_Prep_Board" sheetId="4" state="visible" r:id="rId4"/>
    <sheet xmlns:r="http://schemas.openxmlformats.org/officeDocument/2006/relationships" name="Traceability_Matrix" sheetId="5" state="visible" r:id="rId5"/>
    <sheet xmlns:r="http://schemas.openxmlformats.org/officeDocument/2006/relationships" name="Sprint_Status_Rollup" sheetId="6" state="visible" r:id="rId6"/>
    <sheet xmlns:r="http://schemas.openxmlformats.org/officeDocument/2006/relationships" name="RAID_Carryover" sheetId="7" state="visible" r:id="rId7"/>
    <sheet xmlns:r="http://schemas.openxmlformats.org/officeDocument/2006/relationships" name="Gate_Checklist" sheetId="8" state="visible" r:id="rId8"/>
    <sheet xmlns:r="http://schemas.openxmlformats.org/officeDocument/2006/relationships" name="S10_Board" sheetId="9" state="visible" r:id="rId9"/>
    <sheet xmlns:r="http://schemas.openxmlformats.org/officeDocument/2006/relationships" name="S13_S20_Board" sheetId="10" state="visible" r:id="rId10"/>
    <sheet xmlns:r="http://schemas.openxmlformats.org/officeDocument/2006/relationships" name="Senthil_Handover" sheetId="11" state="visible" r:id="rId11"/>
    <sheet xmlns:r="http://schemas.openxmlformats.org/officeDocument/2006/relationships" name="Review_Findings" sheetId="12" state="visible" r:id="rId12"/>
    <sheet xmlns:r="http://schemas.openxmlformats.org/officeDocument/2006/relationships" name="Verification_Sweep" sheetId="13" state="visible" r:id="rId13"/>
    <sheet xmlns:r="http://schemas.openxmlformats.org/officeDocument/2006/relationships" name="A11Y_Audit" sheetId="14" state="visible" r:id="rId14"/>
    <sheet xmlns:r="http://schemas.openxmlformats.org/officeDocument/2006/relationships" name="Reachability" sheetId="15" state="visible" r:id="rId15"/>
    <sheet xmlns:r="http://schemas.openxmlformats.org/officeDocument/2006/relationships" name="Enterprise_Scorecard" sheetId="16" state="visible" r:id="rId1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sz val="9"/>
    </font>
    <font>
      <name val="Arial"/>
      <charset val="1"/>
      <family val="0"/>
      <b val="1"/>
      <sz val="10"/>
    </font>
    <font>
      <name val="Arial"/>
      <charset val="1"/>
      <family val="0"/>
      <sz val="10"/>
    </font>
    <font>
      <name val="Arial"/>
      <charset val="1"/>
      <family val="0"/>
      <sz val="9"/>
    </font>
    <font>
      <b val="1"/>
    </font>
  </fonts>
  <fills count="11">
    <fill>
      <patternFill/>
    </fill>
    <fill>
      <patternFill patternType="gray125"/>
    </fill>
    <fill>
      <patternFill patternType="solid">
        <fgColor rgb="FF1F3864"/>
        <bgColor rgb="FF333333"/>
      </patternFill>
    </fill>
    <fill>
      <patternFill patternType="solid">
        <fgColor rgb="FFD9E2F3"/>
        <bgColor rgb="FFE2EFDA"/>
      </patternFill>
    </fill>
    <fill>
      <patternFill patternType="solid">
        <fgColor rgb="FFFFFF00"/>
        <bgColor rgb="FFFFFF00"/>
      </patternFill>
    </fill>
    <fill>
      <patternFill patternType="solid">
        <fgColor rgb="FFE2EFDA"/>
        <bgColor rgb="FFEDEDED"/>
      </patternFill>
    </fill>
    <fill>
      <patternFill patternType="solid">
        <fgColor rgb="FFFFF2CC"/>
        <bgColor rgb="FFFCE4E4"/>
      </patternFill>
    </fill>
    <fill>
      <patternFill patternType="solid">
        <fgColor rgb="FFFCE4E4"/>
        <bgColor rgb="FFEDEDED"/>
      </patternFill>
    </fill>
    <fill>
      <patternFill patternType="solid">
        <fgColor rgb="FFEDEDED"/>
        <bgColor rgb="FFE2EFDA"/>
      </patternFill>
    </fill>
    <fill>
      <patternFill patternType="solid">
        <fgColor rgb="FFD9E2F3"/>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1" applyAlignment="1" pivotButton="0" quotePrefix="0" xfId="0">
      <alignment horizontal="general" vertical="top" wrapText="1"/>
    </xf>
    <xf numFmtId="0" fontId="7" fillId="0" borderId="1" applyAlignment="1" pivotButton="0" quotePrefix="0" xfId="0">
      <alignment horizontal="general" vertical="top" wrapText="1"/>
    </xf>
    <xf numFmtId="0" fontId="7" fillId="0" borderId="0" applyAlignment="1" pivotButton="0" quotePrefix="0" xfId="0">
      <alignment horizontal="general" vertical="top" wrapText="1"/>
    </xf>
    <xf numFmtId="0" fontId="7" fillId="4" borderId="1" applyAlignment="1" pivotButton="0" quotePrefix="0" xfId="0">
      <alignment horizontal="general" vertical="top" wrapText="1"/>
    </xf>
    <xf numFmtId="0" fontId="6" fillId="3" borderId="0" applyAlignment="1" pivotButton="0" quotePrefix="0" xfId="0">
      <alignment horizontal="general" vertical="top" wrapText="1"/>
    </xf>
    <xf numFmtId="0" fontId="7" fillId="5" borderId="0" applyAlignment="1" pivotButton="0" quotePrefix="0" xfId="0">
      <alignment horizontal="general" vertical="top" wrapText="1"/>
    </xf>
    <xf numFmtId="0" fontId="7" fillId="6" borderId="0" applyAlignment="1" pivotButton="0" quotePrefix="0" xfId="0">
      <alignment horizontal="general" vertical="top" wrapText="1"/>
    </xf>
    <xf numFmtId="0" fontId="7" fillId="7" borderId="0" applyAlignment="1" pivotButton="0" quotePrefix="0" xfId="0">
      <alignment horizontal="general" vertical="top" wrapText="1"/>
    </xf>
    <xf numFmtId="164" fontId="7" fillId="0" borderId="1" applyAlignment="1" pivotButton="0" quotePrefix="0" xfId="0">
      <alignment horizontal="general" vertical="top" wrapText="1"/>
    </xf>
    <xf numFmtId="0" fontId="6" fillId="0" borderId="1" applyAlignment="1" pivotButton="0" quotePrefix="0" xfId="0">
      <alignment horizontal="general" vertical="top" wrapText="1"/>
    </xf>
    <xf numFmtId="164" fontId="6" fillId="0" borderId="1" applyAlignment="1" pivotButton="0" quotePrefix="0" xfId="0">
      <alignment horizontal="general" vertical="top" wrapText="1"/>
    </xf>
    <xf numFmtId="0" fontId="8" fillId="0" borderId="0" applyAlignment="1" pivotButton="0" quotePrefix="0" xfId="0">
      <alignment horizontal="general" vertical="top" wrapText="1"/>
    </xf>
    <xf numFmtId="0" fontId="7" fillId="8" borderId="0" applyAlignment="1" pivotButton="0" quotePrefix="0" xfId="0">
      <alignment horizontal="general" vertical="top" wrapText="1"/>
    </xf>
    <xf numFmtId="0" fontId="4" fillId="2" borderId="0" applyAlignment="1" pivotButton="0" quotePrefix="0" xfId="0">
      <alignment horizontal="general" vertical="top" wrapText="1"/>
    </xf>
    <xf numFmtId="0" fontId="4"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1" applyAlignment="1" pivotButton="0" quotePrefix="0" xfId="0">
      <alignment horizontal="general" vertical="top" wrapText="1"/>
    </xf>
    <xf numFmtId="0" fontId="7" fillId="0" borderId="1"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1" applyAlignment="1" pivotButton="0" quotePrefix="0" xfId="0">
      <alignment horizontal="general" vertical="top" wrapText="1"/>
    </xf>
    <xf numFmtId="0" fontId="7" fillId="4" borderId="1" applyAlignment="1" pivotButton="0" quotePrefix="0" xfId="0">
      <alignment horizontal="general" vertical="top" wrapText="1"/>
    </xf>
    <xf numFmtId="0" fontId="6" fillId="3" borderId="0" applyAlignment="1" pivotButton="0" quotePrefix="0" xfId="0">
      <alignment horizontal="general" vertical="top" wrapText="1"/>
    </xf>
    <xf numFmtId="0" fontId="7" fillId="5" borderId="0" applyAlignment="1" pivotButton="0" quotePrefix="0" xfId="0">
      <alignment horizontal="general" vertical="top" wrapText="1"/>
    </xf>
    <xf numFmtId="0" fontId="7" fillId="6" borderId="0" applyAlignment="1" pivotButton="0" quotePrefix="0" xfId="0">
      <alignment horizontal="general" vertical="top" wrapText="1"/>
    </xf>
    <xf numFmtId="0" fontId="7" fillId="7" borderId="0" applyAlignment="1" pivotButton="0" quotePrefix="0" xfId="0">
      <alignment horizontal="general" vertical="top" wrapText="1"/>
    </xf>
    <xf numFmtId="0" fontId="7" fillId="4" borderId="1" applyAlignment="1" pivotButton="0" quotePrefix="0" xfId="0">
      <alignment horizontal="general" vertical="top" wrapText="1"/>
    </xf>
    <xf numFmtId="0" fontId="7" fillId="5" borderId="0" applyAlignment="1" pivotButton="0" quotePrefix="0" xfId="0">
      <alignment horizontal="general" vertical="top" wrapText="1"/>
    </xf>
    <xf numFmtId="164" fontId="7" fillId="0" borderId="1" applyAlignment="1" pivotButton="0" quotePrefix="0" xfId="0">
      <alignment horizontal="general" vertical="top" wrapText="1"/>
    </xf>
    <xf numFmtId="164" fontId="7" fillId="0" borderId="1" applyAlignment="1" pivotButton="0" quotePrefix="0" xfId="0">
      <alignment horizontal="general" vertical="top" wrapText="1"/>
    </xf>
    <xf numFmtId="0" fontId="9" fillId="0" borderId="1" applyAlignment="1" pivotButton="0" quotePrefix="0" xfId="0">
      <alignment horizontal="general" vertical="top" wrapText="1"/>
    </xf>
    <xf numFmtId="164" fontId="9" fillId="0" borderId="1" applyAlignment="1" pivotButton="0" quotePrefix="0" xfId="0">
      <alignment horizontal="general" vertical="top" wrapText="1"/>
    </xf>
    <xf numFmtId="0" fontId="9" fillId="0" borderId="0" pivotButton="0" quotePrefix="0" xfId="0"/>
    <xf numFmtId="0" fontId="9" fillId="9" borderId="0" pivotButton="0" quotePrefix="0" xfId="0"/>
    <xf numFmtId="0" fontId="0" fillId="0" borderId="0" applyAlignment="1" pivotButton="0" quotePrefix="0" xfId="0">
      <alignment vertical="top" wrapText="1"/>
    </xf>
    <xf numFmtId="0" fontId="0" fillId="10" borderId="0" applyAlignment="1" pivotButton="0" quotePrefix="0" xfId="0">
      <alignment vertical="top" wrapText="1"/>
    </xf>
    <xf numFmtId="0" fontId="8" fillId="0" borderId="0" applyAlignment="1" pivotButton="0" quotePrefix="0" xfId="0">
      <alignment horizontal="general" vertical="top" wrapText="1"/>
    </xf>
    <xf numFmtId="0" fontId="7" fillId="8" borderId="0" applyAlignment="1" pivotButton="0" quotePrefix="0" xfId="0">
      <alignment horizontal="general" vertical="top" wrapText="1"/>
    </xf>
    <xf numFmtId="0" fontId="7" fillId="6" borderId="0" applyAlignment="1" pivotButton="0" quotePrefix="0" xfId="0">
      <alignment horizontal="general" vertical="top" wrapText="1"/>
    </xf>
    <xf numFmtId="0" fontId="4" fillId="2" borderId="0" applyAlignment="1" pivotButton="0" quotePrefix="0" xfId="0">
      <alignment horizontal="general" vertical="top" wrapText="1"/>
    </xf>
    <xf numFmtId="0" fontId="6" fillId="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44"/>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9" min="1" max="1"/>
    <col width="17" customWidth="1" style="19" min="2" max="2"/>
    <col width="22" customWidth="1" style="19" min="3" max="3"/>
    <col width="110" customWidth="1" style="19" min="4" max="4"/>
    <col width="10" customWidth="1" style="19" min="5" max="5"/>
  </cols>
  <sheetData>
    <row r="1" ht="15.75" customHeight="1" s="20">
      <c r="A1" s="21" t="inlineStr">
        <is>
          <t>VERSION CONTROL — MeetSync Sprint Tracker &amp; Traceability</t>
        </is>
      </c>
    </row>
    <row r="2" ht="15" customHeight="1" s="20">
      <c r="A2" s="22" t="inlineStr">
        <is>
          <t>File naming: claude_v&lt;NNN&gt;_&lt;proper file name&gt;_YYYYMMDD_HHMI.xlsx. Companion: v008 product workbook = backlog source of truth; v009 of that workbook stays planned for full as-built re-baseline.</t>
        </is>
      </c>
    </row>
    <row r="3" ht="15" customHeight="1" s="20">
      <c r="A3" s="23" t="inlineStr">
        <is>
          <t>Version</t>
        </is>
      </c>
      <c r="B3" s="23" t="inlineStr">
        <is>
          <t>Date/Time</t>
        </is>
      </c>
      <c r="C3" s="23" t="inlineStr">
        <is>
          <t>Author</t>
        </is>
      </c>
      <c r="D3" s="23" t="inlineStr">
        <is>
          <t>Change Description</t>
        </is>
      </c>
      <c r="E3" s="23" t="inlineStr">
        <is>
          <t>Status</t>
        </is>
      </c>
    </row>
    <row r="4" ht="68.25" customHeight="1" s="20">
      <c r="A4" s="27" t="inlineStr">
        <is>
          <t>v001</t>
        </is>
      </c>
      <c r="B4" s="27" t="inlineStr">
        <is>
          <t>2026-09-11 08:42</t>
        </is>
      </c>
      <c r="C4" s="27" t="inlineStr">
        <is>
          <t>Claude for Senthil/KP</t>
        </is>
      </c>
      <c r="D4" s="27" t="inlineStr">
        <is>
          <t>THIS FILE — Standalone live execution tracker for MeetSync (Zoom App Marketplace), extracted to the TeleField-v001 file pattern per Senthil's 08:42 instruction; supersedes nothing — mirrors and will carry forward the tracker sheets embedded in the v008 product workbook. Contains: Sprint_Tracker_Log E001-E011, Decisions (D13/D15 + D-M1..M3), full 100-story Traceability_Matrix from v008 Full_Backlog (399 pts, rollup formula-verified: 74 Done-in-code / 292 pts / 73.2%), Sprint_Status_Rollup S1-S12, S9_Prep_Board, RAID_Carryover, Gate_Checklist. Build state carried in: S1-S8 executed under D13 — 18 Jest suites / 139 tests, 100% stmts/branches/funcs/lines, zero pragmas. Code: claude_v008_meetsync_s1_s8_code_20260910_2258.zip.</t>
        </is>
      </c>
      <c r="E4" s="27" t="inlineStr">
        <is>
          <t>Released</t>
        </is>
      </c>
    </row>
    <row r="5" ht="23.25" customHeight="1" s="20">
      <c r="A5" s="27" t="inlineStr">
        <is>
          <t>v002</t>
        </is>
      </c>
      <c r="B5" s="27" t="inlineStr">
        <is>
          <t>2026-09-11 08:47</t>
        </is>
      </c>
      <c r="C5" s="27" t="inlineStr">
        <is>
          <t>Claude for Senthil/KP</t>
        </is>
      </c>
      <c r="D5" s="27" t="inlineStr">
        <is>
          <t>THIS FILE — S9 CODEABLE SCOPE EXECUTED on 08:47 continue: ST-069 delete-my-data self-serve SHIPPED (owner-only POST /orgs/:id/delete-my-data, explicit DELETE confirmation, immediate token wipe, purge due at next sweep — retention window bypassed; allow/deny audit-logged per ST-067; accelerates purge on already-uninstalled accounts preserving original uninstall facts). ST-091 degradation made observable in code: ZoomClient.platformHealth() ok/degraded/probing surfaced on /orgs/:id/status — breaker-open shows 'degraded' without erroring; live chaos drill still owed. D13 gate re-verified: 19 Jest suites / 149 tests, 100% stmts/branches/funcs/lines, ZERO pragmas. Rollup now 75 Done-in-code / 297 pts / 74.4%. Docs updated (DATA_FLOW ST-069 shipped; README v0.9.0). Code: claude_v009_meetsync_s9_code_20260911_0847.zip. E012 logged.</t>
        </is>
      </c>
      <c r="E5" s="27" t="inlineStr">
        <is>
          <t>Released</t>
        </is>
      </c>
    </row>
    <row r="6" ht="23.25" customHeight="1" s="20">
      <c r="A6" s="27" t="inlineStr">
        <is>
          <t>v003</t>
        </is>
      </c>
      <c r="B6" s="27" t="inlineStr">
        <is>
          <t>2026-09-11 13:32</t>
        </is>
      </c>
      <c r="C6" s="27" t="inlineStr">
        <is>
          <t>Claude for Senthil/KP</t>
        </is>
      </c>
      <c r="D6" s="27" t="inlineStr">
        <is>
          <t>THIS FILE — S10 CODEABLE SCOPE EXECUTED on 13:32 continue: ST-080 help center SHIPPED (15 launch articles covering install-&gt;troubleshooting + ranked keyword search title&gt;keyword&gt;body with deterministic tie-break; /help/articles, /help/articles/:id, /help/search — same source for hosted site and in-app panel). ST-084 status page SHIPPED (public /status JSON + /status.html, component health incl. ST-091 platformHealth, uptime; incident comms template docs/INCIDENT_COMMS.md). ST-095 pricing endpoint /pricing served from the SAME PLANS object billing enforces (matrix+FAQ draft docs/PRICING_PAGE.md). ST-083 code side: demo-data mode POST /orgs/:id/demo-mode (admin+) seeds realistic workspace — notes session, extracted actions, completed sandbox writebacks; 2-min video remains live. ST-096 trust page drafted (docs/TRUST_PAGE.md incl. subprocessors). D13 gate: 20 suites / 160 tests, 100x4, zero pragmas. Rollup 77 Done-in-code / 304 pts / 76.2%. Code: claude_v010_meetsync_s10_code_20260911_1332.zip. E013 + S10_Board added.</t>
        </is>
      </c>
      <c r="E6" s="27" t="inlineStr">
        <is>
          <t>Released</t>
        </is>
      </c>
    </row>
    <row r="7" ht="23.25" customHeight="1" s="20">
      <c r="A7" s="27" t="inlineStr">
        <is>
          <t>v004</t>
        </is>
      </c>
      <c r="B7" s="27" t="inlineStr">
        <is>
          <t>2026-09-11 15:26</t>
        </is>
      </c>
      <c r="C7" s="27" t="inlineStr">
        <is>
          <t>Claude for Senthil/KP</t>
        </is>
      </c>
      <c r="D7" s="27" t="inlineStr">
        <is>
          <t>THIS FILE — CODEABLE RUNWAY CLOSED on 15:26 continue: ST-098 launch-day runbook FINALIZED v1.0 (monitoring table over shipped surfaces /healthz /status funnel errorSpike; &lt;2-min blue/green rollback with the safety properties that make it lossless — webhook replay-guard/dedupe, queued writebacks; Zoom-outage DON'T-rollback path; comms tree + T-1d..T+7d launch sequence) -&gt; Done-in-code. ST-099 groundwork built, story kept HONESTLY in Backlog (it is a post-launch iteration from real data): help-search terms now captured, normalized, ranked at /analytics/search-terms so iteration 1 has data on day 1. D13 gate: 20 suites / 162 tests, 100x4, zero pragmas. Rollup 78 Done-in-code / 307 pts / 76.9%. NEW Senthil_Handover sheet consolidates every remaining item by decision/live/human with what-Claude-needs-back. Code: claude_v011_meetsync_s11_code_20260911_1526.zip. E014 logged. All codeable MeetSync scope is now exhausted.</t>
        </is>
      </c>
      <c r="E7" s="27" t="inlineStr">
        <is>
          <t>Released</t>
        </is>
      </c>
    </row>
    <row r="8" ht="23.25" customHeight="1" s="20">
      <c r="A8" s="27" t="inlineStr">
        <is>
          <t>v005</t>
        </is>
      </c>
      <c r="B8" s="27" t="inlineStr">
        <is>
          <t>2026-09-11 22:09</t>
        </is>
      </c>
      <c r="C8" s="27" t="inlineStr">
        <is>
          <t>Claude for Senthil/KP</t>
        </is>
      </c>
      <c r="D8" s="27" t="inlineStr">
        <is>
          <t>THIS FILE — WEB SURFACE BUILT on 22:09 continue. Correction to E014's 'runway closed': the five surface stories (ST-005/015/025/035/045) read 'in-meeting panel + WEB DASHBOARD surface' — the dashboard half and the panel UI were codeable all along with the Zoom Apps SDK behind a boundary interface; only the live SDK handshake needs the dev app. Built: React web/ layer — NotesPanel (timestamped entries, chip cycling, degraded-mode banner wired to ST-091 platformHealth), ActionsPanel (rule preview in test mode), CrmPanel (mappings, queue, terminal-failure retry visibility), DealRiskPanel (score bands + sensitivity), IndicSettings (pack toggles), App shell serving in-meeting panel AND web dashboard from one codebase via ZoomSdk boundary (MockZoomSdk in tests), typed Api client w/ ApiError. RTL suite added under the SAME gate: 21 suites / 171 tests, 100% x4 across src/ AND web/, zero pragmas. Evidence upgraded on all five surface rows — remaining gap is ONLY the live dev-app handshake (Handover #2). Code: claude_v012_meetsync_web_surface_code_20260911_2209.zip. E015 logged.</t>
        </is>
      </c>
      <c r="E8" s="27" t="inlineStr">
        <is>
          <t>Released</t>
        </is>
      </c>
    </row>
    <row r="9" ht="23.25" customHeight="1" s="20">
      <c r="A9" s="27" t="inlineStr">
        <is>
          <t>v006</t>
        </is>
      </c>
      <c r="B9" s="27" t="inlineStr">
        <is>
          <t>2026-09-13 09:52</t>
        </is>
      </c>
      <c r="C9" s="27" t="inlineStr">
        <is>
          <t>Claude for Senthil/KP</t>
        </is>
      </c>
      <c r="D9" s="27" t="inlineStr">
        <is>
          <t>THIS FILE — ADVERSARIAL COLD REVIEW passes 1+2 executed on 11 Sep 22:32 / 13 Sep 09:52 'do them all properly' / 'continue'. First cold review of MeetSync; all 20 src modules plus the web surface read line by line against the sibling defect classes. 21 defects fixed with pinned regressions (M-F01..M-F21, new Review_Findings sheet), 3 observations logged no-fix for Senthil's disposition. Code v013 released: 22 suites / 225 tests at 100% statements/branches/functions/lines, zero istanbul pragmas, tsc clean. Story position deliberately UNCHANGED (78 Done / 22 remaining) — this is a correctness release, no story flips.</t>
        </is>
      </c>
      <c r="E9" s="27" t="inlineStr">
        <is>
          <t>Released</t>
        </is>
      </c>
    </row>
    <row r="10" ht="34.5" customHeight="1" s="20">
      <c r="A10" s="26" t="inlineStr">
        <is>
          <t>v007</t>
        </is>
      </c>
      <c r="B10" s="26" t="inlineStr">
        <is>
          <t>2026-09-13 10:01</t>
        </is>
      </c>
      <c r="C10" s="26" t="inlineStr">
        <is>
          <t>Claude for Senthil/KP</t>
        </is>
      </c>
      <c r="D10" s="26" t="inlineStr">
        <is>
          <t>THIS FILE — product workbook AS-BUILT RE-BASELINE released as claude_v009_meetsync_zoom_product_workbook_20260913_1001.xlsx, closing Senthil_Handover #11. Full_Backlog statuses and a new evidence column synced from this tracker's Traceability_Matrix; Sprint_Board Done formula corrected to count Done-in-code (it counted exact 'Done' only, so it had been reading zero for eight days); Product_Spec, Screens_Wireframes, Launch_Checklist, Risk_Register and Metrics_Targets rewritten from what v013 actually does. No story states changed in this tracker — the workbook was brought to the tracker, not the other way round.</t>
        </is>
      </c>
      <c r="E10" s="26" t="inlineStr">
        <is>
          <t>Released</t>
        </is>
      </c>
    </row>
    <row r="11" ht="23.25" customHeight="1" s="20">
      <c r="A11" s="26" t="inlineStr">
        <is>
          <t>v008</t>
        </is>
      </c>
      <c r="B11" s="26" t="inlineStr">
        <is>
          <t>2026-09-13 10:25</t>
        </is>
      </c>
      <c r="C11" s="26" t="inlineStr">
        <is>
          <t>Claude for Senthil/KP</t>
        </is>
      </c>
      <c r="D11" s="26" t="inlineStr">
        <is>
          <t>THIS FILE — EXTERNAL VERIFICATION SWEEP against live Zoom platform documentation, MeetSync's first. 7 findings in a new Verification_Sweep sheet, 4 of them LIVE-BLOCKING and invisible to a suite at 100% coverage, because every test asserted our own wrong shape back to us. Code v014 released (claude_v014_meetsync_verification_sweep_code_20260913_1025.zip): 22 suites / 239 tests at 100% statements/branches/functions/lines, zero pragmas, tsc clean. Story position UNCHANGED (78 Done / 307 of 399 pts) — correctness release. Same sibling pattern as VoiceBridge VER-V01/V02 and TestPulse's runtime/API sweep: the defects a cold review cannot reach are the ones where the code is internally consistent and externally wrong.</t>
        </is>
      </c>
      <c r="E11" s="26" t="inlineStr">
        <is>
          <t>Released</t>
        </is>
      </c>
    </row>
    <row r="12" ht="23.25" customHeight="1" s="20">
      <c r="A12" s="26" t="inlineStr">
        <is>
          <t>v009</t>
        </is>
      </c>
      <c r="B12" s="26" t="inlineStr">
        <is>
          <t>2026-09-13 10:36</t>
        </is>
      </c>
      <c r="C12" s="26" t="inlineStr">
        <is>
          <t>Claude for Senthil/KP</t>
        </is>
      </c>
      <c r="D12" s="26" t="inlineStr">
        <is>
          <t>THIS FILE — two artifact claims closed in code. (1) WCAG AA, asserted as an NFR since 5 Sep and never audited on MeetSync: web/a11y.test.tsx now audits all five panels and the shell in every render state, inside the 100% gate. axe found zero violations even on its full ruleset; a manual read of the same markup found four real failures it cannot see, all fixed (see A11Y_Audit sheet). (2) Trial-to-paid, MRR, ARPU and logo churn had targets and no computation: Billing.revenueMetrics + operator-gated /analytics/revenue close it. Code v015 released (claude_v015_meetsync_a11y_metrics_code_20260913_1036.zip): 23 suites / 253 tests at 100% four ways, zero pragmas, tsc clean. Story position UNCHANGED (78 Done / 307 of 399) — neither item is a story, both are claims the artifacts were already making.</t>
        </is>
      </c>
      <c r="E12" s="26" t="inlineStr">
        <is>
          <t>Released</t>
        </is>
      </c>
    </row>
    <row r="13" ht="34.5" customHeight="1" s="20">
      <c r="A13" s="26" t="inlineStr">
        <is>
          <t>v010</t>
        </is>
      </c>
      <c r="B13" s="26" t="inlineStr">
        <is>
          <t>2026-09-13 10:43</t>
        </is>
      </c>
      <c r="C13" s="26" t="inlineStr">
        <is>
          <t>Claude for Senthil/KP</t>
        </is>
      </c>
      <c r="D13" s="26" t="inlineStr">
        <is>
          <t>THIS FILE — OBS-M3 CLOSED (partially, and the partially is the important word). The Store interface is now async with a real PostgresStore beside InMemoryStore, both held to one contract suite that runs every case twice against both implementations and is NOT skipped when no database is present. Verified against a live PostgreSQL 16 in this session, not written blind — an unverified SQL adapter would have repeated exactly the VER-M01 mistake this project has now made three times across products. CI provisions postgres:16 and Node was lifted 20 to 22 (Node 20 EOL Apr 2026). Code v016: 23 suites / 281 tests at 100% four ways, zero pragmas, tsc clean. Story position UNCHANGED (78 Done / 307 of 399). docs/PERSISTENCE.md states plainly what is still process-local — billing, tenant state, CRM queue, RBAC audit — and that MeetSync therefore still cannot run more than one instance.</t>
        </is>
      </c>
      <c r="E13" s="26" t="inlineStr">
        <is>
          <t>Released</t>
        </is>
      </c>
    </row>
    <row r="14" ht="23.25" customHeight="1" s="20">
      <c r="A14" s="26" t="inlineStr">
        <is>
          <t>v011</t>
        </is>
      </c>
      <c r="B14" s="26" t="inlineStr">
        <is>
          <t>2026-09-13 10:56</t>
        </is>
      </c>
      <c r="C14" s="26" t="inlineStr">
        <is>
          <t>Claude for Senthil/KP</t>
        </is>
      </c>
      <c r="D14" s="26" t="inlineStr">
        <is>
          <t>THIS FILE — SECOND DURABLE SLICE: subscriptions. Billing now sits behind a SubscriptionStore with the same two-implementation, one-contract arrangement as the account store, verified against live PostgreSQL 16. This was the recommended next slice because losing it did not merely lose history — a restart reverted every account to no_subscription, un-gating every paid feature and reporting MRR as zero. Code v017: 23 suites / 301 tests at 100% four ways, zero pragmas, tsc clean. Story position UNCHANGED (78 Done / 307 of 399). Entitlement and billing are no longer among the things two instances would disagree about; the single-instance constraint itself stands until tenant state, the CRM queue and the RBAC audit log follow.</t>
        </is>
      </c>
      <c r="E14" s="26" t="inlineStr">
        <is>
          <t>Released</t>
        </is>
      </c>
    </row>
    <row r="15" ht="23.25" customHeight="1" s="20">
      <c r="A15" s="26" t="inlineStr">
        <is>
          <t>v012</t>
        </is>
      </c>
      <c r="B15" s="26" t="inlineStr">
        <is>
          <t>2026-09-13 11:03</t>
        </is>
      </c>
      <c r="C15" s="26" t="inlineStr">
        <is>
          <t>Claude for Senthil/KP</t>
        </is>
      </c>
      <c r="D15" s="26" t="inlineStr">
        <is>
          <t>THIS FILE — THIRD DURABLE SLICE: the RBAC audit log, the one with a compliance argument rather than a convenience one, because it holds the proof-of-erasure rows. Same two-implementation, one-contract arrangement, verified against live PostgreSQL 16; purge keeps data.delete rows and drops the rest; the row cap is enforced in SQL because this is the fastest-growing collection in the product. One hazard found and closed that the type system cannot see: a Promise-returning authorize with synchronous callers makes `if (!authorize(...))` always false, so every permission check in the feature engine would have silently passed. Code v018: 23 suites / 316 tests at 100% four ways, zero pragmas, tsc clean. Story position UNCHANGED (78 Done / 307 of 399).</t>
        </is>
      </c>
      <c r="E15" s="26" t="inlineStr">
        <is>
          <t>Released</t>
        </is>
      </c>
    </row>
    <row r="16" ht="23.25" customHeight="1" s="20">
      <c r="A16" s="26" t="inlineStr">
        <is>
          <t>v013</t>
        </is>
      </c>
      <c r="B16" s="26" t="inlineStr">
        <is>
          <t>2026-09-13 11:10</t>
        </is>
      </c>
      <c r="C16" s="26" t="inlineStr">
        <is>
          <t>Claude for Senthil/KP</t>
        </is>
      </c>
      <c r="D16" s="26" t="inlineStr">
        <is>
          <t>THIS FILE — TWO GAPS CLOSED THAT NO CODE REVIEW COULD HAVE FOUND, because both were the absence of code rather than a fault in it. GAP-1: there was no composition root. createApp was exported and nothing in the repository ever called it or listen(); no migration ever ran; three durable stores built over the previous hour had nothing wiring them. The product could not be started. GAP-2: retentionSweep had exactly one caller — the delete-my-data route — so an ordinary uninstall scheduled a purge for 30 days later that nothing ever performed, and the retention sentence customers have been shown since 5 Sep was simply not true. Code v019: 25 suites / 333 tests at 100% four ways, zero pragmas, tsc clean, still zero coverage exclusions. Story position UNCHANGED (78 Done / 307 of 399).</t>
        </is>
      </c>
      <c r="E16" s="26" t="inlineStr">
        <is>
          <t>Released</t>
        </is>
      </c>
    </row>
    <row r="17" ht="23.25" customHeight="1" s="20">
      <c r="A17" s="26" t="inlineStr">
        <is>
          <t>v014</t>
        </is>
      </c>
      <c r="B17" s="26" t="inlineStr">
        <is>
          <t>2026-09-13 11:15</t>
        </is>
      </c>
      <c r="C17" s="26" t="inlineStr">
        <is>
          <t>Claude for Senthil/KP</t>
        </is>
      </c>
      <c r="D17" s="26" t="inlineStr">
        <is>
          <t>THIS FILE — GAP-3, the largest finding of the whole review programme, and one that bears directly on how the story counts in this tracker should be read. A reachability audit asked, for each capability, which HTTP route can reach it. Deal-risk and the Indic pack had ZERO references in application code. Notes, extraction and CRM writeback were reachable only from the demo seeder. The ST-067 audit log had no read path and audit.read gated nothing. 78 stories were marked Done-in-code for features a customer had no way to invoke. v020 wires 17 routes covering F1-F5, feature rules and pause, and the audit-log read; 26 suites / 356 tests at 100% four ways, zero pragmas, zero coverage exclusions. See the new Reachability sheet and docs/REACHABILITY.md, including what is STILL unreachable and why.</t>
        </is>
      </c>
      <c r="E17" s="26" t="inlineStr">
        <is>
          <t>Released</t>
        </is>
      </c>
    </row>
    <row r="18" ht="23.25" customHeight="1" s="20">
      <c r="A18" s="26" t="inlineStr">
        <is>
          <t>v015</t>
        </is>
      </c>
      <c r="B18" s="26" t="inlineStr">
        <is>
          <t>2026-09-13 11:24</t>
        </is>
      </c>
      <c r="C18" s="26" t="inlineStr">
        <is>
          <t>Claude for Senthil/KP</t>
        </is>
      </c>
      <c r="D18" s="26" t="inlineStr">
        <is>
          <t>THIS FILE — the GAP-3 audit made STANDING rather than one-off. test/reachability.test.ts fails the build when a capability is called by nothing; deliberate exceptions live in an allowlist where each entry must carry a reason, and a second test fails when an entry goes stale. Running it found three more items on its first pass: CappedList.clear had lost its last caller (deleted, not allowlisted); mute/unmute and the notification list had no surface at all, so ST-x10 was unreachable across all five features; and notify() was recording an 'email' delivery row unconditionally, for a channel this codebase has no sender for. Code v021: 27 suites / 362 tests at 100% four ways, zero pragmas, zero coverage exclusions. Story position UNCHANGED pending Handover #20.</t>
        </is>
      </c>
      <c r="E18" s="26" t="inlineStr">
        <is>
          <t>Released</t>
        </is>
      </c>
    </row>
    <row r="19" ht="23.25" customHeight="1" s="20">
      <c r="A19" s="26" t="inlineStr">
        <is>
          <t>v016</t>
        </is>
      </c>
      <c r="B19" s="26" t="inlineStr">
        <is>
          <t>2026-09-13 11:32</t>
        </is>
      </c>
      <c r="C19" s="26" t="inlineStr">
        <is>
          <t>Claude for Senthil/KP</t>
        </is>
      </c>
      <c r="D19" s="26" t="inlineStr">
        <is>
          <t>THIS FILE — HANDOVER #20 EXECUTED under 'do all properly': option (a), a Customer-reachable column, populated for ALL 100 stories from the routes that exist at code v021, each with the route that reaches it or the specific thing missing. Result: 60 REACHABLE / 14 PARTIAL / 7 PENDING LIVE / 19 NOT REACHABLE, against 78 Done-in-code. Also code v022: empty-state copy given one source (ST-079) — there had been two different bodies of copy for the same moments, free to drift. 27 suites / 362 tests at 100% four ways. Story STATUS values deliberately untouched: the new column adds the missing property rather than restating the old one.</t>
        </is>
      </c>
      <c r="E19" s="26" t="inlineStr">
        <is>
          <t>Released</t>
        </is>
      </c>
    </row>
    <row r="20" ht="23.25" customHeight="1" s="20">
      <c r="A20" s="26" t="inlineStr">
        <is>
          <t>v017</t>
        </is>
      </c>
      <c r="B20" s="26" t="inlineStr">
        <is>
          <t>2026-09-13 11:51</t>
        </is>
      </c>
      <c r="C20" s="26" t="inlineStr">
        <is>
          <t>Claude for Senthil/KP</t>
        </is>
      </c>
      <c r="D20" s="26" t="inlineStr">
        <is>
          <t>THIS FILE — HANDOVER #18a EXECUTED on the 11:37 'do all properly': tenant feature state is durable, split by access pattern into feature_settings (one row per account per feature) and feature_records (imported CSV, its own capped and indexed table). FeatureEngine went async throughout, rippling into notes, actions, dealRisk, indic, crm, demo and the routes. Verified against live PostgreSQL 16 with 11 shared contract cases run against both implementations. Code v023: 27 suites / 390 tests at 100% four ways, zero pragmas, zero coverage exclusions. Story position UNCHANGED; the Customer-reachable column added in v016 is unaffected.</t>
        </is>
      </c>
      <c r="E20" s="26" t="inlineStr">
        <is>
          <t>Released</t>
        </is>
      </c>
    </row>
    <row r="21" ht="23.25" customHeight="1" s="20">
      <c r="A21" s="26" t="inlineStr">
        <is>
          <t>v018</t>
        </is>
      </c>
      <c r="B21" s="26" t="inlineStr">
        <is>
          <t>2026-09-13 11:57</t>
        </is>
      </c>
      <c r="C21" s="26" t="inlineStr">
        <is>
          <t>Claude for Senthil/KP</t>
        </is>
      </c>
      <c r="D21" s="26" t="inlineStr">
        <is>
          <t>THIS FILE — HANDOVER #18b CLOSED: the CRM writeback queue, its audit trail and field mappings are durable. I had twice declined to take the own-vs-borrow decision unilaterally; on the third 'continue' I took my own stated recommendation — OWN a queue in the Postgres we already run — because it adds nothing to deploy and is reversible, with CrmStore as the entire swap surface. Say the word and moving to SQS, Redis or pg-boss replaces one implementation and touches nothing else. Code v024: 27 suites / 410 tests at 100% four ways, zero pragmas, zero coverage exclusions. Story position UNCHANGED.</t>
        </is>
      </c>
      <c r="E21" s="26" t="inlineStr">
        <is>
          <t>Released</t>
        </is>
      </c>
    </row>
    <row r="22" ht="23.25" customHeight="1" s="20">
      <c r="A22" s="26" t="inlineStr">
        <is>
          <t>v019</t>
        </is>
      </c>
      <c r="B22" s="26" t="inlineStr">
        <is>
          <t>2026-09-13 16:28</t>
        </is>
      </c>
      <c r="C22" s="26" t="inlineStr">
        <is>
          <t>Claude for Senthil/KP</t>
        </is>
      </c>
      <c r="D22" s="26" t="inlineStr">
        <is>
          <t>THIS FILE — MEETSYNC CAN NOW RUN MORE THAN ONE INSTANCE. Webhook dedupe, the last piece of state two processes would disagree about, is shared through Postgres with an ATOMIC claim. Same call as the CRM queue and for the same reasons: own it in the database we already run, with DedupeStore as the whole swap surface if a shared cache is preferred later. Code v025: 27 suites / 425 tests at 100% four ways, zero pragmas, zero coverage exclusions; the contract suite now covers six stores across both implementations against live PostgreSQL 16. Story position UNCHANGED.</t>
        </is>
      </c>
      <c r="E22" s="26" t="inlineStr">
        <is>
          <t>Released</t>
        </is>
      </c>
    </row>
    <row r="23" ht="23.25" customHeight="1" s="20">
      <c r="A23" s="26" t="inlineStr">
        <is>
          <t>v020</t>
        </is>
      </c>
      <c r="B23" s="26" t="inlineStr">
        <is>
          <t>2026-09-13 16:38</t>
        </is>
      </c>
      <c r="C23" s="26" t="inlineStr">
        <is>
          <t>Claude for Senthil/KP</t>
        </is>
      </c>
      <c r="D23" s="26" t="inlineStr">
        <is>
          <t>THIS FILE — HANDOVER #21 PREPARED: the reachability gate is now product-agnostic and packaged as a standalone drop-in (claude_v001_reachability_gate_portable_20260913_1638.zip). I cannot run it against the other eleven products from here — their repositories are not in this session — so what I can deliver is the portable artifact plus porting instructions, and the proof that it works: MeetSync itself now runs the very module another product would copy, rather than me writing an export and never exercising it. Code v026: 27 suites / 426 tests at 100% four ways, zero pragmas, zero coverage exclusions. Story position UNCHANGED.</t>
        </is>
      </c>
      <c r="E23" s="26" t="inlineStr">
        <is>
          <t>Released</t>
        </is>
      </c>
    </row>
    <row r="24" ht="23.25" customHeight="1" s="20">
      <c r="A24" s="26" t="inlineStr">
        <is>
          <t>v021</t>
        </is>
      </c>
      <c r="B24" s="26" t="inlineStr">
        <is>
          <t>2026-09-13 16:44</t>
        </is>
      </c>
      <c r="C24" s="26" t="inlineStr">
        <is>
          <t>Claude for Senthil/KP</t>
        </is>
      </c>
      <c r="D24" s="26" t="inlineStr">
        <is>
          <t>THIS FILE — ST-072..077 made reachable: the observability layer now observes. Error tracking, the feature heatmap, the weekly digest, the health score and alert thresholds were all implemented, tested and called by nothing. Code v027: 28 suites / 441 tests at 100% four ways, zero pragmas, zero coverage exclusions. Seven telemetry exemptions removed from the reachability allowlist — the stale check caught them automatically, which is the gate doing its job. Story position UNCHANGED; the Customer-reachable column should move for ST-072/073/074/075/077 on your next pass.</t>
        </is>
      </c>
      <c r="E24" s="26" t="inlineStr">
        <is>
          <t>Released</t>
        </is>
      </c>
    </row>
    <row r="25" ht="23.25" customHeight="1" s="20">
      <c r="A25" s="26" t="inlineStr">
        <is>
          <t>v022</t>
        </is>
      </c>
      <c r="B25" s="26" t="inlineStr">
        <is>
          <t>2026-09-13 17:26</t>
        </is>
      </c>
      <c r="C25" s="26" t="inlineStr">
        <is>
          <t>Claude for Senthil/KP</t>
        </is>
      </c>
      <c r="D25" s="26" t="inlineStr">
        <is>
          <t>THIS FILE — ST-069 completed and three billing stories made reachable after I REVERSED MY OWN EARLIER JUDGEMENT. I had twice written that the billing lifecycle would be theatre without a payment processor; that was right for invoices and dunning and wrong for plan change, seat prompts and cancellation, which are customer state transitions that need no money to move. Also shipped: export-my-data, the half of ST-069 that never existed while delete-my-data has shipped since v013. Code v028: 29 suites / 457 tests at 100% four ways, zero pragmas, zero coverage exclusions.</t>
        </is>
      </c>
      <c r="E25" s="26" t="inlineStr">
        <is>
          <t>Released</t>
        </is>
      </c>
    </row>
    <row r="26" ht="23.25" customHeight="1" s="20">
      <c r="A26" s="26" t="inlineStr">
        <is>
          <t>v023</t>
        </is>
      </c>
      <c r="B26" s="26" t="inlineStr">
        <is>
          <t>2026-09-13 19:00</t>
        </is>
      </c>
      <c r="C26" s="26" t="inlineStr">
        <is>
          <t>Claude for Senthil/KP</t>
        </is>
      </c>
      <c r="D26" s="26" t="inlineStr">
        <is>
          <t>THIS FILE — THE PRODUCT'S ACTUAL LOOP CLOSED. Until v029 a transcript could only reach MeetSync by being POSTed into a request body: nothing fetched one from Zoom, so the premise that the product reads your meetings was carried entirely by the caller supplying the meeting. Verified against Zoom's documentation BEFORE building, and two assumptions were wrong. Code v029: 30 suites / 479 tests at 100% four ways, zero pragmas, zero coverage exclusions.</t>
        </is>
      </c>
      <c r="E26" s="26" t="inlineStr">
        <is>
          <t>Released</t>
        </is>
      </c>
    </row>
    <row r="27" ht="23.25" customHeight="1" s="20">
      <c r="A27" s="26" t="inlineStr">
        <is>
          <t>v024</t>
        </is>
      </c>
      <c r="B27" s="26" t="inlineStr">
        <is>
          <t>2026-09-13 19:12</t>
        </is>
      </c>
      <c r="C27" s="26" t="inlineStr">
        <is>
          <t>Claude for Senthil/KP</t>
        </is>
      </c>
      <c r="D27" s="26" t="inlineStr">
        <is>
          <t>THIS FILE — ST-090 closed with a restore DRILL rather than a backup. I flagged this myself in the v009 Risk_Register: before v016 there was nothing durable to lose, so an untested backup cost nothing; now that six stores live in Postgres it is the usual failure — a backup that has never been restored is not a backup. Verified against the live database as well as in memory. Code v030: 31 suites / 497 tests at 100% four ways, zero pragmas, zero coverage exclusions.</t>
        </is>
      </c>
      <c r="E27" s="26" t="inlineStr">
        <is>
          <t>Released</t>
        </is>
      </c>
    </row>
    <row r="28" ht="23.25" customHeight="1" s="20">
      <c r="A28" s="26" t="inlineStr">
        <is>
          <t>v025</t>
        </is>
      </c>
      <c r="B28" s="26" t="inlineStr">
        <is>
          <t>2026-09-13 19:27</t>
        </is>
      </c>
      <c r="C28" s="26" t="inlineStr">
        <is>
          <t>Claude for Senthil/KP</t>
        </is>
      </c>
      <c r="D28" s="26" t="inlineStr">
        <is>
          <t>THIS FILE — ST-066 closed (OAuth tokens encrypted at rest) AND A DEFECT I INTRODUCED LAST SITTING FIXED: the v030 operator backup was handing out every account row including tokens in plain text, while the customer export three routes away carefully excluded exactly those fields. Code v031: 32 suites / 511 tests at 100% four ways, zero pragmas, zero coverage exclusions. New required env: MEETSYNC_TOKEN_KEY (base64, exactly 32 bytes) — a deployment will refuse to boot without it. See Handover #27.</t>
        </is>
      </c>
      <c r="E28" s="26" t="inlineStr">
        <is>
          <t>Released</t>
        </is>
      </c>
    </row>
    <row r="29" ht="23.25" customHeight="1" s="20">
      <c r="A29" s="26" t="inlineStr">
        <is>
          <t>v026</t>
        </is>
      </c>
      <c r="B29" s="26" t="inlineStr">
        <is>
          <t>2026-09-13 19:36</t>
        </is>
      </c>
      <c r="C29" s="26" t="inlineStr">
        <is>
          <t>Claude for Senthil/KP</t>
        </is>
      </c>
      <c r="D29" s="26" t="inlineStr">
        <is>
          <t>THIS FILE — SELF-REVIEW OF TODAY'S OWN WORK (v013-v031), and it found two defects, one of which contradicted a claim I made three sittings ago. Code v032: 32 suites / 517 tests at 100% four ways, zero pragmas, zero coverage exclusions. Story position UNCHANGED. This is the third time today that reviewing my own recent output found something; the pattern is worth institutionalising rather than relying on my remembering to do it.</t>
        </is>
      </c>
      <c r="E29" s="26" t="inlineStr">
        <is>
          <t>Released</t>
        </is>
      </c>
    </row>
    <row r="30" ht="23.25" customHeight="1" s="20">
      <c r="A30" s="26" t="inlineStr">
        <is>
          <t>v027</t>
        </is>
      </c>
      <c r="B30" s="26" t="inlineStr">
        <is>
          <t>2026-09-13 19:41</t>
        </is>
      </c>
      <c r="C30" s="26" t="inlineStr">
        <is>
          <t>Claude for Senthil/KP</t>
        </is>
      </c>
      <c r="D30" s="26" t="inlineStr">
        <is>
          <t>THIS FILE — the standing review step from Handover #28 applied for the first time, to v032. BOTH of that sitting's fixes had problems. Code v033: 32 suites / 533 tests at 100% four ways, zero pragmas, zero coverage exclusions. Contains a BREAKING SCHEMA CHANGE to crm_jobs, harmless today because nothing is deployed, documented in the RUNBOOK because it would not be harmless later.</t>
        </is>
      </c>
      <c r="E30" s="26" t="inlineStr">
        <is>
          <t>Released</t>
        </is>
      </c>
    </row>
    <row r="31" ht="23.25" customHeight="1" s="20">
      <c r="A31" s="26" t="inlineStr">
        <is>
          <t>v028</t>
        </is>
      </c>
      <c r="B31" s="26" t="inlineStr">
        <is>
          <t>2026-09-13 20:01</t>
        </is>
      </c>
      <c r="C31" s="26" t="inlineStr">
        <is>
          <t>Claude for Senthil/KP</t>
        </is>
      </c>
      <c r="D31" s="26" t="inlineStr">
        <is>
          <t>THIS FILE — the review of v033, and it found the worst defect of the whole series: a restore could take a queued writeback from one account and give it to another. Code v034: 32 suites / 540 tests at 100% four ways, zero pragmas, zero coverage exclusions. Six self-review findings now (SR-01..SR-06); every single one was introduced by a fix for an earlier finding, and three of them by a fix made the same day.</t>
        </is>
      </c>
      <c r="E31" s="26" t="inlineStr">
        <is>
          <t>Released</t>
        </is>
      </c>
    </row>
    <row r="32" ht="23.25" customHeight="1" s="20">
      <c r="A32" s="26" t="inlineStr">
        <is>
          <t>v029</t>
        </is>
      </c>
      <c r="B32" s="26" t="inlineStr">
        <is>
          <t>2026-09-13 20:09</t>
        </is>
      </c>
      <c r="C32" s="26" t="inlineStr">
        <is>
          <t>Claude for Senthil/KP</t>
        </is>
      </c>
      <c r="D32" s="26" t="inlineStr">
        <is>
          <t>THIS FILE — review of v034. One finding, and it is about what the restore tool never claimed rather than what it got wrong: restoreSnapshot is not atomic and said nothing about it. Code v035: 32 suites / 542 tests at 100% four ways, zero pragmas, zero coverage exclusions. The review chain is showing diminishing returns — one finding this sitting against two in each of the previous two — which is itself worth recording.</t>
        </is>
      </c>
      <c r="E32" s="26" t="inlineStr">
        <is>
          <t>Released</t>
        </is>
      </c>
    </row>
    <row r="33" ht="23.25" customHeight="1" s="20">
      <c r="A33" s="26" t="inlineStr">
        <is>
          <t>v030</t>
        </is>
      </c>
      <c r="B33" s="26" t="inlineStr">
        <is>
          <t>2026-09-13 20:14</t>
        </is>
      </c>
      <c r="C33" s="26" t="inlineStr">
        <is>
          <t>Claude for Senthil/KP</t>
        </is>
      </c>
      <c r="D33" s="26" t="inlineStr">
        <is>
          <t>THIS FILE — review of v035, and the SELF-REVIEW CHAIN IS NOW CLOSED. One finding, and it was in the guard added by the previous review rather than in the product. Code v036: 32 suites / 543 tests at 100% four ways, zero pragmas, zero coverage exclusions. Eight self-review findings in total (SR-01..SR-08), severity falling monotonically from cross-tenant data movement to an incomplete precondition check. Per E066, no further review-of-the-review releases: the step stays as a habit at the start of a sitting that follows a change.</t>
        </is>
      </c>
      <c r="E33" s="26" t="inlineStr">
        <is>
          <t>Released</t>
        </is>
      </c>
    </row>
    <row r="34" ht="23.25" customHeight="1" s="20">
      <c r="A34" s="26" t="inlineStr">
        <is>
          <t>v031</t>
        </is>
      </c>
      <c r="B34" s="26" t="inlineStr">
        <is>
          <t>2026-09-13 20:24</t>
        </is>
      </c>
      <c r="C34" s="26" t="inlineStr">
        <is>
          <t>Claude for Senthil/KP</t>
        </is>
      </c>
      <c r="D34" s="26" t="inlineStr">
        <is>
          <t>THIS FILE — ST-087 closed, AND A CORRECTION TO WHAT I TOLD YOU LAST SITTING. I said nothing buildable remained that was not blocked on you. That was wrong: ST-087 was sitting in the v016 classification as PARTIAL, and it was the same class of gap as the WCAG claim closed at v015 — an NFR asserted in a document and verified by nothing. Code v037: 33 suites / 556 tests at 100% four ways, zero pragmas, zero coverage exclusions.</t>
        </is>
      </c>
      <c r="E34" s="26" t="inlineStr">
        <is>
          <t>Released</t>
        </is>
      </c>
    </row>
    <row r="35" ht="23.25" customHeight="1" s="20">
      <c r="A35" s="26" t="inlineStr">
        <is>
          <t>v032</t>
        </is>
      </c>
      <c r="B35" s="26" t="inlineStr">
        <is>
          <t>2026-09-13 20:36</t>
        </is>
      </c>
      <c r="C35" s="26" t="inlineStr">
        <is>
          <t>Claude for Senthil/KP</t>
        </is>
      </c>
      <c r="D35" s="26" t="inlineStr">
        <is>
          <t>THIS FILE — THE REACHABILITY COLUMN WAS ELEVEN SITTINGS STALE AND IS NOW CURRENT: 75 reachable / 10 partial / 7 pending live / 8 not reachable, against 60/14/7/19 when it was written at 11:32. Nineteen rows moved, each citing the version that moved it. Also code v038: the v037 timing middleware missed abandoned requests, and ST-096 (the trust page served rather than filed). 33 suites / 562 tests at 100% four ways, zero pragmas, zero coverage exclusions.</t>
        </is>
      </c>
      <c r="E35" s="26" t="inlineStr">
        <is>
          <t>Released</t>
        </is>
      </c>
    </row>
    <row r="36" ht="23.25" customHeight="1" s="20">
      <c r="A36" s="26" t="inlineStr">
        <is>
          <t>v033</t>
        </is>
      </c>
      <c r="B36" s="26" t="inlineStr">
        <is>
          <t>2026-09-13 20:46</t>
        </is>
      </c>
      <c r="C36" s="26" t="inlineStr">
        <is>
          <t>Claude for Senthil/KP</t>
        </is>
      </c>
      <c r="D36" s="26" t="inlineStr">
        <is>
          <t>THIS FILE — two findings, both the same failure: claiming more than is true. The /trust page shipped an hour ago asserted encryption at rest unconditionally, and MY OWN register refresh of twenty minutes ago over-graded three rows. Corrected rollup: 72 reachable / 13 partial / 7 pending live / 8 not reachable. Code v039: 33 suites / 563 tests at 100% four ways, zero pragmas, zero coverage exclusions.</t>
        </is>
      </c>
      <c r="E36" s="26" t="inlineStr">
        <is>
          <t>Released</t>
        </is>
      </c>
    </row>
    <row r="37" ht="23.25" customHeight="1" s="20">
      <c r="A37" s="26" t="inlineStr">
        <is>
          <t>v034</t>
        </is>
      </c>
      <c r="B37" s="26" t="inlineStr">
        <is>
          <t>2026-09-13 20:49</t>
        </is>
      </c>
      <c r="C37" s="26" t="inlineStr">
        <is>
          <t>Claude for Senthil/KP</t>
        </is>
      </c>
      <c r="D37" s="26" t="inlineStr">
        <is>
          <t>THIS FILE — ST-072 closed properly, an hour after I regraded it to PARTIAL for exactly the reason this fixes. Rollup 73/12/7/8. Code v040: 34 suites / 572 tests at 100% four ways, zero pragmas, zero coverage exclusions. Also tidied a drift risk from v039: the trust page's encryption claim now derives from the cipher the composition root actually built rather than a literal true sitting next to it.</t>
        </is>
      </c>
      <c r="E37" s="26" t="inlineStr">
        <is>
          <t>Released</t>
        </is>
      </c>
    </row>
    <row r="38" ht="23.25" customHeight="1" s="20">
      <c r="A38" s="26" t="inlineStr">
        <is>
          <t>v035</t>
        </is>
      </c>
      <c r="B38" s="26" t="inlineStr">
        <is>
          <t>2026-09-13 21:53</t>
        </is>
      </c>
      <c r="C38" s="26" t="inlineStr">
        <is>
          <t>Claude for Senthil/KP</t>
        </is>
      </c>
      <c r="D38" s="26" t="inlineStr">
        <is>
          <t>THIS FILE — one finding, in my own justification rather than my own code. The https-only rule added an hour ago was correct; the reason I gave for it was false. Code v041: 34 suites / 574 tests at 100% four ways, zero pragmas, zero coverage exclusions. Rollup unchanged at 73/12/7/8.</t>
        </is>
      </c>
      <c r="E38" s="26" t="inlineStr">
        <is>
          <t>Released</t>
        </is>
      </c>
    </row>
    <row r="39" ht="23.25" customHeight="1" s="20">
      <c r="A39" s="26" t="inlineStr">
        <is>
          <t>v036</t>
        </is>
      </c>
      <c r="B39" s="26" t="inlineStr">
        <is>
          <t>2026-09-13 22:49</t>
        </is>
      </c>
      <c r="C39" s="26" t="inlineStr">
        <is>
          <t>Claude for Senthil/KP</t>
        </is>
      </c>
      <c r="D39" s="26" t="inlineStr">
        <is>
          <t>THIS FILE — ST-075 closed, and the churn alert deleted in v027 earned back on measured data. I had written twice that nothing buildable remained; re-reading the PARTIAL rows found this one. Rollup 74/11/7/8. Code v042: 35 suites / 589 tests at 100% four ways, zero pragmas, zero coverage exclusions.</t>
        </is>
      </c>
      <c r="E39" s="26" t="inlineStr">
        <is>
          <t>Released</t>
        </is>
      </c>
    </row>
    <row r="40" ht="23.25" customHeight="1" s="20">
      <c r="A40" s="26" t="inlineStr">
        <is>
          <t>v037</t>
        </is>
      </c>
      <c r="B40" s="26" t="inlineStr">
        <is>
          <t>2026-09-13 22:56</t>
        </is>
      </c>
      <c r="C40" s="26" t="inlineStr">
        <is>
          <t>Claude for Senthil/KP</t>
        </is>
      </c>
      <c r="D40" s="26" t="inlineStr">
        <is>
          <t>THIS FILE — review of v042 found two defects in it, one of them a repeat of a mistake I made and documented earlier the same day. Code v043: 35 suites / 590 tests at 100% four ways, zero pragmas, zero coverage exclusions. Rollup unchanged at 74/11/7/8.</t>
        </is>
      </c>
      <c r="E40" s="26" t="inlineStr">
        <is>
          <t>Released</t>
        </is>
      </c>
    </row>
    <row r="41" ht="23.25" customHeight="1" s="20">
      <c r="A41" s="26" t="inlineStr">
        <is>
          <t>v038</t>
        </is>
      </c>
      <c r="B41" s="26" t="inlineStr">
        <is>
          <t>2026-09-13 23:05</t>
        </is>
      </c>
      <c r="C41" s="26" t="inlineStr">
        <is>
          <t>Claude for Senthil/KP</t>
        </is>
      </c>
      <c r="D41" s="26" t="inlineStr">
        <is>
          <t>THIS FILE — review of v043 found one defect, in the interaction between two of my own earlier decisions rather than in either alone. Code v044: 35 suites / 591 tests at 100% four ways, zero pragmas, zero coverage exclusions. Rollup unchanged at 74/11/7/8.</t>
        </is>
      </c>
      <c r="E41" s="26" t="inlineStr">
        <is>
          <t>Released</t>
        </is>
      </c>
    </row>
    <row r="42" ht="23.25" customHeight="1" s="20">
      <c r="A42" s="26" t="inlineStr">
        <is>
          <t>v039</t>
        </is>
      </c>
      <c r="B42" s="26" t="inlineStr">
        <is>
          <t>2026-09-13 23:15</t>
        </is>
      </c>
      <c r="C42" s="26" t="inlineStr">
        <is>
          <t>Claude for Senthil/KP</t>
        </is>
      </c>
      <c r="D42" s="26" t="inlineStr">
        <is>
          <t>THIS FILE — the review of v044 came back clean, and reading the handover register found a defect in the register itself: numbers 8-14 each appeared twice, so every 'Handover #8' I wrote today was ambiguous. Renumbered 1-35 uniquely, a Priority column added, and a prioritised 'what to do first' view appended. No code change this sitting — v044 stands.</t>
        </is>
      </c>
      <c r="E42" s="26" t="inlineStr">
        <is>
          <t>Released</t>
        </is>
      </c>
    </row>
    <row r="43" ht="15" customHeight="1" s="20">
      <c r="A43" s="26" t="inlineStr">
        <is>
          <t>v040</t>
        </is>
      </c>
      <c r="B43" s="19" t="inlineStr">
        <is>
          <t>2026-09-20 12:29</t>
        </is>
      </c>
      <c r="C43" s="19" t="inlineStr">
        <is>
          <t>Claude for Senthil/KP</t>
        </is>
      </c>
      <c r="D43" s="26" t="inlineStr">
        <is>
          <t>THIS FILE — first external review absorbed. Perplexity Review V001 (16 Sep) raised PR-01…PR-14 and a S13–S20 plan of 51 stories / 248 pts. Code v045 closes S13 in full (ST-101…108) and S14 in code (ST-109…115) plus ST-141; 712 tests, 100x4, zero pragmas, three standing gates (capability→caller, route→client, document→code). All 51 new stories are in Traceability_Matrix with honest status; PR rows in Review_Findings; PD-01…PD-06 in Decisions; S13_S20_Board added; rollup extended to S20; handover items 36–43 added. Nothing removed from any sheet.</t>
        </is>
      </c>
      <c r="E43" s="26" t="inlineStr">
        <is>
          <t>Released</t>
        </is>
      </c>
    </row>
    <row r="44">
      <c r="A44" s="26" t="inlineStr">
        <is>
          <t>v041</t>
        </is>
      </c>
      <c r="D44" s="26" t="inlineStr">
        <is>
          <t>PLANNED: opens on any of PD-01/PD-02/PD-03 (pricing, intelligence vs rules engine, SMB vs enterprise) — they gate S15–S18 — or on the Zoom dev app (Handover #2), whose hold (PD-05) lifts now that S13 is closed.</t>
        </is>
      </c>
      <c r="E44" s="26" t="inlineStr">
        <is>
          <t>Planned</t>
        </is>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9" min="1" max="1"/>
    <col width="16" customWidth="1" style="19" min="2" max="2"/>
    <col width="7" customWidth="1" style="19" min="3" max="3"/>
    <col width="95" customWidth="1" style="19" min="4" max="4"/>
    <col width="18" customWidth="1" style="19" min="5" max="5"/>
    <col width="26" customWidth="1" style="19" min="6" max="7"/>
    <col width="18" customWidth="1" style="19" min="8" max="8"/>
  </cols>
  <sheetData>
    <row r="1" ht="15.75" customHeight="1" s="20">
      <c r="A1" s="21" t="inlineStr">
        <is>
          <t>SPRINT TRACKER LOG — every execution event, newest last</t>
        </is>
      </c>
    </row>
    <row r="2" ht="15" customHeight="1" s="20">
      <c r="A2" s="22" t="inlineStr">
        <is>
          <t>Pattern: TeleField v001 tracker. Refs = decisions/stories. Append only.</t>
        </is>
      </c>
    </row>
    <row r="3" ht="15" customHeight="1" s="20">
      <c r="A3" s="23" t="inlineStr">
        <is>
          <t>ID</t>
        </is>
      </c>
      <c r="B3" s="23" t="inlineStr">
        <is>
          <t>Date/Time</t>
        </is>
      </c>
      <c r="C3" s="23" t="inlineStr">
        <is>
          <t>Sprint</t>
        </is>
      </c>
      <c r="D3" s="23" t="inlineStr">
        <is>
          <t>What happened</t>
        </is>
      </c>
      <c r="E3" s="23" t="inlineStr">
        <is>
          <t>Refs</t>
        </is>
      </c>
      <c r="F3" s="23" t="inlineStr">
        <is>
          <t>State changes</t>
        </is>
      </c>
      <c r="G3" s="23" t="inlineStr">
        <is>
          <t>Blockers</t>
        </is>
      </c>
      <c r="H3" s="23" t="inlineStr">
        <is>
          <t>Next</t>
        </is>
      </c>
    </row>
    <row r="4" ht="45.75" customHeight="1" s="20">
      <c r="A4" s="27" t="inlineStr">
        <is>
          <t>E001</t>
        </is>
      </c>
      <c r="B4" s="27" t="inlineStr">
        <is>
          <t>2026-09-10 22:58</t>
        </is>
      </c>
      <c r="C4" s="27" t="inlineStr">
        <is>
          <t>—</t>
        </is>
      </c>
      <c r="D4" s="27" t="inlineStr">
        <is>
          <t>MEETSYNC BUILD OPENED — Senthil 22:58 instruction: continue per sprint from v007 workbook, tracker + traceability to TeleField-v001 pattern, complete development with 100% automation testing. D13 (100% coverage; discovery parked, dev proceeds) applied per 20:45 portfolio-wide direction. D15 sequencing (nine concurrent builds incl. this) remains Senthil's open decision; logged per R7.</t>
        </is>
      </c>
      <c r="E4" s="27" t="inlineStr">
        <is>
          <t>D13,D15,R7</t>
        </is>
      </c>
      <c r="F4" s="27" t="inlineStr">
        <is>
          <t>MeetSync S1 opened</t>
        </is>
      </c>
      <c r="G4" s="27" t="inlineStr">
        <is>
          <t>None</t>
        </is>
      </c>
      <c r="H4" s="27" t="inlineStr">
        <is>
          <t>S1–S8 build</t>
        </is>
      </c>
    </row>
    <row r="5" ht="68.25" customHeight="1" s="20">
      <c r="A5" s="27" t="inlineStr">
        <is>
          <t>E002</t>
        </is>
      </c>
      <c r="B5" s="27" t="inlineStr">
        <is>
          <t>2026-09-10 22:58</t>
        </is>
      </c>
      <c r="C5" s="27" t="inlineStr">
        <is>
          <t>S1</t>
        </is>
      </c>
      <c r="D5" s="27" t="inlineStr">
        <is>
          <t>S1 FOUNDATION BUILT (TypeScript/Node/Express per v007 stack): config w/ region us|in|eu + validation; typed Store layer (in-memory, Postgres adapter point — R-M4); zoomAuth (ST-051 exchange, ST-055 rotation-persisting refresh); zoomClient 429/5xx backoff+jitter + circuit breaker w/ half-open (ST-070) + auto-refresh-once on 401 no-loop; webhooks x-zm-signature HMAC + endpoint.url_validation challenge + timestamp replay guard + dedupe ledger; lifecycle install w/ ST-056 attribution, ST-052 uninstall token WIPE + retention-scheduled purge + sweep; express /healthz /oauth/callback /webhooks/zoom /orgs/:id/status; GitHub Actions CI w/ 100%x4 threshold.</t>
        </is>
      </c>
      <c r="E5" s="27" t="inlineStr">
        <is>
          <t>ST-051,ST-052,ST-055,ST-056</t>
        </is>
      </c>
      <c r="F5" s="27" t="inlineStr">
        <is>
          <t>4 S1 stories Done-in-code (13 pts)</t>
        </is>
      </c>
      <c r="G5" s="27" t="inlineStr">
        <is>
          <t>Live Zoom dev app = Senthil (LC-1)</t>
        </is>
      </c>
      <c r="H5" s="27" t="inlineStr">
        <is>
          <t>E003</t>
        </is>
      </c>
    </row>
    <row r="6" ht="45.75" customHeight="1" s="20">
      <c r="A6" s="27" t="inlineStr">
        <is>
          <t>E003</t>
        </is>
      </c>
      <c r="B6" s="27" t="inlineStr">
        <is>
          <t>2026-09-10 22:58</t>
        </is>
      </c>
      <c r="C6" s="27" t="inlineStr">
        <is>
          <t>S2</t>
        </is>
      </c>
      <c r="D6" s="27" t="inlineStr">
        <is>
          <t>S2 DONE-IN-CODE: Live notes panel core (ST-001..004) — sessions, timestamped entries, status chips, close; typed retryable errors w/ backoff hint + error metrics. ST-053 re-install restores archived account within retention (original attribution preserved). ST-054 owner/admin/member RBAC matrix enforced at API via role header; allow+deny audit-logged.</t>
        </is>
      </c>
      <c r="E6" s="27" t="inlineStr">
        <is>
          <t>ST-001..004,ST-053,ST-054</t>
        </is>
      </c>
      <c r="F6" s="27" t="inlineStr">
        <is>
          <t>6 stories (29 pts) Done-in-code</t>
        </is>
      </c>
      <c r="G6" s="27" t="inlineStr">
        <is>
          <t>None</t>
        </is>
      </c>
      <c r="H6" s="27" t="inlineStr">
        <is>
          <t>E004</t>
        </is>
      </c>
    </row>
    <row r="7" ht="68.25" customHeight="1" s="20">
      <c r="A7" s="27" t="inlineStr">
        <is>
          <t>E004</t>
        </is>
      </c>
      <c r="B7" s="27" t="inlineStr">
        <is>
          <t>2026-09-10 22:58</t>
        </is>
      </c>
      <c r="C7" s="27" t="inlineStr">
        <is>
          <t>S3</t>
        </is>
      </c>
      <c r="D7" s="27" t="inlineStr">
        <is>
          <t>S3 DONE-IN-CODE: notes metrics/permissions/pause/import/notifications (ST-006..010) via FeatureEngine — shared F1–F5 engine: one-screen defaults setup, rule customisation, pause WITHOUT data loss (asserted), competitor-CSV import w/ row-level validation, per-type notification mute, day-trend metrics. Action-item extraction started: base+custom rules, speaker-owner + due-day attribution, preview/test mode (ST-011..014). ST-085 coverage gate SUPERSEDED by D13: threshold set to 100x4, not 70. ST-005 (real Zoom panel surface) code-complete pending live.</t>
        </is>
      </c>
      <c r="E7" s="27" t="inlineStr">
        <is>
          <t>ST-005..014,ST-085</t>
        </is>
      </c>
      <c r="F7" s="27" t="inlineStr">
        <is>
          <t>10 Done-in-code, ST-005 pending live</t>
        </is>
      </c>
      <c r="G7" s="27" t="inlineStr">
        <is>
          <t>Zoom panel surface = LC-1</t>
        </is>
      </c>
      <c r="H7" s="27" t="inlineStr">
        <is>
          <t>E005</t>
        </is>
      </c>
    </row>
    <row r="8" ht="45.75" customHeight="1" s="20">
      <c r="A8" s="27" t="inlineStr">
        <is>
          <t>E005</t>
        </is>
      </c>
      <c r="B8" s="27" t="inlineStr">
        <is>
          <t>2026-09-10 22:58</t>
        </is>
      </c>
      <c r="C8" s="27" t="inlineStr">
        <is>
          <t>S4</t>
        </is>
      </c>
      <c r="D8" s="27" t="inlineStr">
        <is>
          <t>S4 DONE-IN-CODE: extraction metrics/permissions/pause/import/notifications (ST-016..020). ST-071 activation funnel (install-&gt;setup-&gt;aha-&gt;habit) + /analytics/funnel dashboard; ST-072 error tracking w/ release tags + windowed spike alert. ST-086 E2E smoke suite (install-&gt;setup-&gt;import-&gt;billing-&gt;onboarding-aha-&gt;deauth-wipe) wired into CI and deploy gate. ST-015 pending live surface. MVP loop usable end-to-end in tests — S4 exit met in-code.</t>
        </is>
      </c>
      <c r="E8" s="27" t="inlineStr">
        <is>
          <t>ST-015..020,ST-071,ST-072,ST-086</t>
        </is>
      </c>
      <c r="F8" s="27" t="inlineStr">
        <is>
          <t>8 Done-in-code, 1 pending live</t>
        </is>
      </c>
      <c r="G8" s="27" t="inlineStr">
        <is>
          <t>None</t>
        </is>
      </c>
      <c r="H8" s="27" t="inlineStr">
        <is>
          <t>E006</t>
        </is>
      </c>
    </row>
    <row r="9" ht="45.75" customHeight="1" s="20">
      <c r="A9" s="27" t="inlineStr">
        <is>
          <t>E006</t>
        </is>
      </c>
      <c r="B9" s="27" t="inlineStr">
        <is>
          <t>2026-09-10 22:58</t>
        </is>
      </c>
      <c r="C9" s="27" t="inlineStr">
        <is>
          <t>S5</t>
        </is>
      </c>
      <c r="D9" s="27" t="inlineStr">
        <is>
          <t>S5 DONE-IN-CODE: CRM field writeback — CrmAdapter interface + HubSpot/Salesforce/Zoho sandbox adapters (LC-6 class), field-level mapping w/ overwrite=false respecting existing CRM values, retrying writeback queue (transient-fail recovery + terminal fail audit + error metric), idempotent re-drain (ST-021..024, 026..030). Onboarding: 4-step first-run checklist to aha &lt;1 day + teaching empty states (ST-078, ST-079). ST-025 pending live.</t>
        </is>
      </c>
      <c r="E9" s="27" t="inlineStr">
        <is>
          <t>ST-021..030,ST-078,ST-079</t>
        </is>
      </c>
      <c r="F9" s="27" t="inlineStr">
        <is>
          <t>11 Done-in-code, 1 pending live</t>
        </is>
      </c>
      <c r="G9" s="27" t="inlineStr">
        <is>
          <t>Live CRM sandboxes for LC-6 = Senthil</t>
        </is>
      </c>
      <c r="H9" s="27" t="inlineStr">
        <is>
          <t>E007</t>
        </is>
      </c>
    </row>
    <row r="10" ht="45.75" customHeight="1" s="20">
      <c r="A10" s="27" t="inlineStr">
        <is>
          <t>E007</t>
        </is>
      </c>
      <c r="B10" s="27" t="inlineStr">
        <is>
          <t>2026-09-10 22:58</t>
        </is>
      </c>
      <c r="C10" s="27" t="inlineStr">
        <is>
          <t>S6</t>
        </is>
      </c>
      <c r="D10" s="27" t="inlineStr">
        <is>
          <t>S6 DONE-IN-CODE: Deal-risk signals — competitor/pricing/sentiment detectors + no-next-step inference, sensitivity-weighted (low/med/high w/ fallback), 0–100 capped score (ST-031..034, 036..040). Billing: 14-day no-card trial w/ countdown banner (ST-057), mid-cycle proration up+down (ST-058), marketplace-vs-Stripe routing (ST-059 — live marketplace verification pending). S6 exit (charge test customer, up/downgrade) met in-code.</t>
        </is>
      </c>
      <c r="E10" s="27" t="inlineStr">
        <is>
          <t>ST-031..040,ST-057..059</t>
        </is>
      </c>
      <c r="F10" s="27" t="inlineStr">
        <is>
          <t>12 Done-in-code, ST-035+059 pending live</t>
        </is>
      </c>
      <c r="G10" s="27" t="inlineStr">
        <is>
          <t>Marketplace billing verification = LC-10</t>
        </is>
      </c>
      <c r="H10" s="27" t="inlineStr">
        <is>
          <t>E008</t>
        </is>
      </c>
    </row>
    <row r="11" ht="45.75" customHeight="1" s="20">
      <c r="A11" s="27" t="inlineStr">
        <is>
          <t>E008</t>
        </is>
      </c>
      <c r="B11" s="27" t="inlineStr">
        <is>
          <t>2026-09-10 22:58</t>
        </is>
      </c>
      <c r="C11" s="27" t="inlineStr">
        <is>
          <t>S7</t>
        </is>
      </c>
      <c r="D11" s="27" t="inlineStr">
        <is>
          <t>S7 CODEABLE SCOPE DONE-IN-CODE: dunning 7-day grace + 3 emails + read-only (ST-060), plan-limit prompts 80/100% (ST-061), GST/VAT invoices (ST-062), cancellation save-offer + exit survey (ST-063), least-privilege scope map doc (ST-064). Sprint exit (3+ design partners weekly, NPS&gt;30) needs humans — S7 sprint stays open on beta evidence.</t>
        </is>
      </c>
      <c r="E11" s="27" t="inlineStr">
        <is>
          <t>ST-060..064</t>
        </is>
      </c>
      <c r="F11" s="27" t="inlineStr">
        <is>
          <t>5 stories Done-in-code</t>
        </is>
      </c>
      <c r="G11" s="27" t="inlineStr">
        <is>
          <t>Design partners = Senthil</t>
        </is>
      </c>
      <c r="H11" s="27" t="inlineStr">
        <is>
          <t>E009</t>
        </is>
      </c>
    </row>
    <row r="12" ht="68.25" customHeight="1" s="20">
      <c r="A12" s="27" t="inlineStr">
        <is>
          <t>E009</t>
        </is>
      </c>
      <c r="B12" s="27" t="inlineStr">
        <is>
          <t>2026-09-10 22:58</t>
        </is>
      </c>
      <c r="C12" s="27" t="inlineStr">
        <is>
          <t>S8</t>
        </is>
      </c>
      <c r="D12" s="27" t="inlineStr">
        <is>
          <t>S8 DONE-IN-CODE: Indic language pack — Devanagari/Tamil script detection, pack-scoped segmentation w/ clear not-enabled errors, Levenshtein WER benchmark harness for LC-7 (ST-041..044, 046..050). Security: data-flow+retention doc ST-065, admin audit ST-067, backoff+breaker ST-070. Analytics suite ST-073..077 (heatmap, weekly email, health score, CSV export, configurable thresholds). ST-087 p95 budgets + k6 thresholds. ST-082 post-aha review ask (S11 story, shipped early). Pending live: ST-045 surface, ST-088 5x load run (harness written), ST-092 blue/green (workflow written). ST-066 vault/encryption = live infra.</t>
        </is>
      </c>
      <c r="E12" s="27" t="inlineStr">
        <is>
          <t>ST-041..050,ST-065..077,ST-082,ST-087..092</t>
        </is>
      </c>
      <c r="F12" s="27" t="inlineStr">
        <is>
          <t>18 Done-in-code, 3 pending live</t>
        </is>
      </c>
      <c r="G12" s="27" t="inlineStr">
        <is>
          <t>Staging infra = Senthil</t>
        </is>
      </c>
      <c r="H12" s="27" t="inlineStr">
        <is>
          <t>E010</t>
        </is>
      </c>
    </row>
    <row r="13" ht="68.25" customHeight="1" s="20">
      <c r="A13" s="27" t="inlineStr">
        <is>
          <t>E010</t>
        </is>
      </c>
      <c r="B13" s="27" t="inlineStr">
        <is>
          <t>2026-09-10 22:58</t>
        </is>
      </c>
      <c r="C13" s="27" t="inlineStr">
        <is>
          <t>—</t>
        </is>
      </c>
      <c r="D13" s="27" t="inlineStr">
        <is>
          <t>D13 TEST GATE MET — 18 Jest suites / 139 automated tests (unit + supertest API integration + E2E smoke; negative paths: bad/short/stale signatures, replay, malformed JSON, OAuth 400/502/500, refresh-loop guard, breaker open/half-open, ragged CSV, seat limits, dunning day-by-day). Coverage 100% statements / 100% branches / 100% functions / 100% lines, ZERO istanbul-ignore pragmas; jest coverageThreshold 100x4 fails any future commit below. Rollup 74/100 stories Done-in-code (292/399 pts). Drafted: listing copy A/B (ST-093), runbook (ST-098). Next sprint S9 (review prep) — mostly live/human items.</t>
        </is>
      </c>
      <c r="E13" s="27" t="inlineStr">
        <is>
          <t>D13</t>
        </is>
      </c>
      <c r="F13" s="27" t="inlineStr">
        <is>
          <t>Evidence in Traceability col K</t>
        </is>
      </c>
      <c r="G13" s="27" t="inlineStr">
        <is>
          <t>S9 items need Senthil (see RAID)</t>
        </is>
      </c>
      <c r="H13" s="27" t="inlineStr">
        <is>
          <t>v009</t>
        </is>
      </c>
    </row>
    <row r="14" ht="57" customHeight="1" s="20">
      <c r="A14" s="27" t="inlineStr">
        <is>
          <t>E011</t>
        </is>
      </c>
      <c r="B14" s="27" t="inlineStr">
        <is>
          <t>2026-09-11 08:42</t>
        </is>
      </c>
      <c r="C14" s="27" t="inlineStr">
        <is>
          <t>—</t>
        </is>
      </c>
      <c r="D14" s="27" t="inlineStr">
        <is>
          <t>TRACKER EXTRACTED TO STANDALONE FILE — Senthil 08:42: create sprint tracker + traceability for MeetSync as a separate document to the TeleField-v001 file pattern (23:48 feedback: v008 embedded the sheets in the product workbook instead of releasing a companion file). This file is now the live tracker; the v008 product workbook remains backlog source of truth; v009 re-baseline of the product workbook stays planned. House style aligned to template (navy title bar, light-blue header rows).</t>
        </is>
      </c>
      <c r="E14" s="27" t="inlineStr">
        <is>
          <t>D15</t>
        </is>
      </c>
      <c r="F14" s="27" t="inlineStr">
        <is>
          <t>Tracker lives here from E012 on</t>
        </is>
      </c>
      <c r="G14" s="27" t="inlineStr">
        <is>
          <t>None</t>
        </is>
      </c>
      <c r="H14" s="27" t="inlineStr">
        <is>
          <t>S9 on "continue"</t>
        </is>
      </c>
    </row>
    <row r="15" ht="79.5" customHeight="1" s="20">
      <c r="A15" s="27" t="inlineStr">
        <is>
          <t>E012</t>
        </is>
      </c>
      <c r="B15" s="27" t="inlineStr">
        <is>
          <t>2026-09-11 08:47</t>
        </is>
      </c>
      <c r="C15" s="27" t="inlineStr">
        <is>
          <t>S9</t>
        </is>
      </c>
      <c r="D15" s="27" t="inlineStr">
        <is>
          <t>S9 OPENED — codeable scope done-in-code: ST-069 delete-my-data self-serve endpoint on the existing retention/purge path (owner-only, typed confirmation, immediate wipe, next-sweep purge; 403/404/422 negative paths + header-default and bodyless-request cases tested; audit rows asserted for allow AND deny). ST-091 graceful-degradation made observable: platformHealth ok/degraded/probing from breaker state on the status endpoint — trips fast-fail without hammering Zoom, UI can badge it; live outage drill remains. Dead ?? fallback removed after proving express.json() floor (branch analysis, not pragma). 19 suites / 149 tests, 100x4, zero pragmas. LC-8 now Done-in-code.</t>
        </is>
      </c>
      <c r="E15" s="27" t="inlineStr">
        <is>
          <t>ST-069,ST-091,ST-067</t>
        </is>
      </c>
      <c r="F15" s="27" t="inlineStr">
        <is>
          <t>ST-069 Done-in-code (+5 pts); ST-091 Code-complete (pending live drill); LC-8 Done-in-code</t>
        </is>
      </c>
      <c r="G15" s="27" t="inlineStr">
        <is>
          <t>Remaining S9 items need Senthil (see S9_Prep_Board)</t>
        </is>
      </c>
      <c r="H15" s="27" t="inlineStr">
        <is>
          <t>v003 on live items / S10</t>
        </is>
      </c>
    </row>
    <row r="16" ht="68.25" customHeight="1" s="20">
      <c r="A16" s="27" t="inlineStr">
        <is>
          <t>E013</t>
        </is>
      </c>
      <c r="B16" s="27" t="inlineStr">
        <is>
          <t>2026-09-11 13:32</t>
        </is>
      </c>
      <c r="C16" s="27" t="inlineStr">
        <is>
          <t>S10</t>
        </is>
      </c>
      <c r="D16" s="27" t="inlineStr">
        <is>
          <t>S10 OPENED — codeable scope done-in-code: ST-080 help center (15 articles, unique ids asserted; ranked search w/ empty/no-hit paths tested), ST-084 status page (operational/degraded from breaker state; HTML variant; uptime; incident template), ST-095 pricing endpoint bound to enforced PLANS (no marketing drift possible), ST-083 demo-data mode seeding notes+actions+writebacks (member 403 / unwired 503 / admin 200 tested). ST-096 trust page drafted w/ subprocessor list. Not attempted, kept honest: ST-081 in-app chat (&lt;4hr response = vendor+humans), ST-083 video, ST-097 dry-run. 20 suites / 160 tests, 100x4, zero pragmas.</t>
        </is>
      </c>
      <c r="E16" s="27" t="inlineStr">
        <is>
          <t>ST-080,ST-083,ST-084,ST-095,ST-096</t>
        </is>
      </c>
      <c r="F16" s="27" t="inlineStr">
        <is>
          <t>ST-080+ST-084 Done-in-code (+7 pts); ST-083/095/096 Code-complete or Drafted</t>
        </is>
      </c>
      <c r="G16" s="27" t="inlineStr">
        <is>
          <t>Chat vendor, video, publish, dry-run = Senthil</t>
        </is>
      </c>
      <c r="H16" s="27" t="inlineStr">
        <is>
          <t>v004 / S11</t>
        </is>
      </c>
    </row>
    <row r="17" ht="79.5" customHeight="1" s="20">
      <c r="A17" s="27" t="inlineStr">
        <is>
          <t>E014</t>
        </is>
      </c>
      <c r="B17" s="27" t="inlineStr">
        <is>
          <t>2026-09-11 15:26</t>
        </is>
      </c>
      <c r="C17" s="27" t="inlineStr">
        <is>
          <t>S11/S12</t>
        </is>
      </c>
      <c r="D17" s="27" t="inlineStr">
        <is>
          <t>CODEABLE RUNWAY CLOSED: ST-098 runbook finalized v1.0 against shipped surfaces (monitoring/rollback/comms/launch sequence; rollback lossless-by-design rationale documented) -&gt; Done-in-code. ST-099: search-term capture pipeline shipped (trackSearch normalize+rank, /analytics/search-terms, help-search wired in; equal-count alphabetical tie-break tested) — story itself stays Backlog because the SEO iteration requires post-launch data; groundwork noted in evidence. One istanbul mapping quirk fixed by rewriting ?? to explicit ternary (compiled ??'s never-null sub-branch is untestable) — code change, not pragma. 20 suites / 162 tests, 100x4. EVERY remaining story is a Senthil-side decision, live-infra, or human item — consolidated in new Senthil_Handover sheet.</t>
        </is>
      </c>
      <c r="E17" s="27" t="inlineStr">
        <is>
          <t>ST-098,ST-099</t>
        </is>
      </c>
      <c r="F17" s="27" t="inlineStr">
        <is>
          <t>ST-098 Done-in-code (+3 pts); ST-099 groundwork in evidence</t>
        </is>
      </c>
      <c r="G17" s="27" t="inlineStr">
        <is>
          <t>ALL remaining items = Senthil_Handover</t>
        </is>
      </c>
      <c r="H17" s="27" t="inlineStr">
        <is>
          <t>v005 on any handover return</t>
        </is>
      </c>
    </row>
    <row r="18" ht="79.5" customHeight="1" s="20">
      <c r="A18" s="27" t="inlineStr">
        <is>
          <t>E015</t>
        </is>
      </c>
      <c r="B18" s="27" t="inlineStr">
        <is>
          <t>2026-09-11 22:09</t>
        </is>
      </c>
      <c r="C18" s="27" t="inlineStr">
        <is>
          <t>S3-S8 surf</t>
        </is>
      </c>
      <c r="D18" s="27" t="inlineStr">
        <is>
          <t>WEB SURFACE EXECUTED — self-correction: E014 declared the runway closed, but the surface stories' own text ('panel + web dashboard') left the entire UI layer codeable with the SDK mocked at a boundary. Built React web/ (5 panels + shell + typed client); UX follows shipped semantics: degraded banner mirrors /status platformHealth (notes keep working locally), CRM view surfaces parked jobs w/ retry, preview labelled test-mode (nothing saved), empty states teach next action per ST-079 pattern. RTL under the same jest gate via multi-project config: 21 suites / 171 tests, 100x4 over src/+web/, zero pragmas. ts-jest ??-mapping quirk hit again in NotesPanel and fixed the same honest way (code restructure). Five surface stories: UI DONE, only live SDK handshake pending (Handover #2).</t>
        </is>
      </c>
      <c r="E18" s="27" t="inlineStr">
        <is>
          <t>ST-005,015,025,035,045</t>
        </is>
      </c>
      <c r="F18" s="27" t="inlineStr">
        <is>
          <t>Surface rows: evidence upgraded, status stays Code-complete (pending live) pending handshake</t>
        </is>
      </c>
      <c r="G18" s="27" t="inlineStr">
        <is>
          <t>Dev app = Handover #2</t>
        </is>
      </c>
      <c r="H18" s="27" t="inlineStr">
        <is>
          <t>v006 on handover</t>
        </is>
      </c>
    </row>
    <row r="19" ht="45.75" customHeight="1" s="20">
      <c r="A19" s="26" t="inlineStr">
        <is>
          <t>E016</t>
        </is>
      </c>
      <c r="B19" s="26" t="inlineStr">
        <is>
          <t>2026-09-11 22:32</t>
        </is>
      </c>
      <c r="C19" s="26" t="inlineStr">
        <is>
          <t>Review</t>
        </is>
      </c>
      <c r="D19" s="26" t="inlineStr">
        <is>
          <t>ADVERSARIAL COLD REVIEW PASS 1 OPENED — Senthil 22:32 'do them all properly'. MeetSync was the last build in the portfolio to reach its codeable ceiling without a cold review; siblings each yielded 4-13 real defects in code already sitting at 100% coverage (portfolio lesson F-V14 / L-V1: coverage proves execution, not correctness). Baseline re-verified before any change: 21 suites / 171 tests / 100%.</t>
        </is>
      </c>
      <c r="E19" s="26" t="inlineStr">
        <is>
          <t>F-V14,L-V1</t>
        </is>
      </c>
      <c r="F19" s="26" t="inlineStr">
        <is>
          <t>No story changes — correctness pass</t>
        </is>
      </c>
      <c r="G19" s="26" t="inlineStr">
        <is>
          <t>None</t>
        </is>
      </c>
      <c r="H19" s="26" t="inlineStr">
        <is>
          <t>E017</t>
        </is>
      </c>
    </row>
    <row r="20" ht="124.5" customHeight="1" s="20">
      <c r="A20" s="26" t="inlineStr">
        <is>
          <t>E017</t>
        </is>
      </c>
      <c r="B20" s="26" t="inlineStr">
        <is>
          <t>2026-09-13 09:52</t>
        </is>
      </c>
      <c r="C20" s="26" t="inlineStr">
        <is>
          <t>Review</t>
        </is>
      </c>
      <c r="D20" s="26" t="inlineStr">
        <is>
          <t>COLD REVIEW PASSES 1+2 COMPLETE across all 20 src modules and the web surface. 21 defects fixed, each pinned by a regression test (see Review_Findings). Four were policy- or security-blocking: M-F11 identity came from the caller's own x-role/x-user headers so any caller could claim owner on any workspace; M-F12 the /admin and /analytics endpoints were fully unauthenticated; M-F04 one process-wide FeatureEngine served every tenant, so imported records, rules and defaults crossed workspaces; M-F03 deletion cleared the account row alone and left notes, imports, CRM queue + audit, analytics, onboarding, RBAC and billing behind, breaching the published policy. Also M-F01/M-F02 (the trial countdown and dunning read-only flag were maintained correctly and enforced nowhere), M-F16 (demo-mode overwrote a live workspace's OAuth tokens with the string "demo"), M-F15 (no OAuth CSRF state; tenant id derived from the code), M-F21 (found while testing — Express 4 ignores rejected promises, so an unexpected failure in an async route hung the request open with no status). New shared modules: auth.ts, tenancy.ts, csv.ts, ledger.ts.</t>
        </is>
      </c>
      <c r="E20" s="26" t="inlineStr">
        <is>
          <t>M-F01..M-F21</t>
        </is>
      </c>
      <c r="F20" s="26" t="inlineStr">
        <is>
          <t>Story position UNCHANGED (78/22) — correctness release</t>
        </is>
      </c>
      <c r="G20" s="26" t="inlineStr">
        <is>
          <t>None</t>
        </is>
      </c>
      <c r="H20" s="26" t="inlineStr">
        <is>
          <t>E018</t>
        </is>
      </c>
    </row>
    <row r="21" ht="79.5" customHeight="1" s="20">
      <c r="A21" s="26" t="inlineStr">
        <is>
          <t>E018</t>
        </is>
      </c>
      <c r="B21" s="26" t="inlineStr">
        <is>
          <t>2026-09-13 09:52</t>
        </is>
      </c>
      <c r="C21" s="26" t="inlineStr">
        <is>
          <t>Review</t>
        </is>
      </c>
      <c r="D21" s="26" t="inlineStr">
        <is>
          <t>CODE v013 RELEASED — claude_v013_meetsync_cold_review_code_20260913_0952.zip. 22 suites / 225 tests at 100% statements/branches/functions/lines, zero istanbul pragmas, tsc --noEmit clean, suite exits without --forceExit. Two unreachable defensive branches were removed rather than covered with a pragma. Docs corrected where the review made them inaccurate: README (env, install flow, module list), docs/DATA_FLOW.md (purge scope), docs/SECURITY_SCOPES.md (new authentication-boundary section). Deployment now requires two new env vars — MEETSYNC_SESSION_SECRET (&gt;=32 chars) and MEETSYNC_OPERATOR_TOKEN — which is a new Senthil_Handover item.</t>
        </is>
      </c>
      <c r="E21" s="26" t="inlineStr">
        <is>
          <t>M-F11,M-F12,D13</t>
        </is>
      </c>
      <c r="F21" s="26" t="inlineStr">
        <is>
          <t>Gate held at 100x4</t>
        </is>
      </c>
      <c r="G21" s="26" t="inlineStr">
        <is>
          <t>Two new env vars needed at deploy (Handover #8)</t>
        </is>
      </c>
      <c r="H21" s="26" t="inlineStr">
        <is>
          <t>v007 on handover or disposition</t>
        </is>
      </c>
    </row>
    <row r="22" ht="102" customHeight="1" s="20">
      <c r="A22" s="26" t="inlineStr">
        <is>
          <t>E019</t>
        </is>
      </c>
      <c r="B22" s="26" t="inlineStr">
        <is>
          <t>2026-09-13 10:01</t>
        </is>
      </c>
      <c r="C22" s="26" t="inlineStr">
        <is>
          <t>Artifact</t>
        </is>
      </c>
      <c r="D22" s="26" t="inlineStr">
        <is>
          <t>PRODUCT WORKBOOK RE-BASELINED to v009 — first as-built pass since 5 Sep. Three things worth naming. (1) The workbook's Full_Backlog still showed all 100 stories as 'Backlog' — eight days of execution had never been written back, so anyone reading the workbook alone would have concluded nothing was built. (2) Sprint_Board's Done formula matched exact 'Done' while every real status is 'Done-in-code', so the board would have read zero even after a sync; corrected to a wildcard and cross-checked against this tracker's rollup (both now read 78 Done / 100 stories / 399 pts). (3) The spec sheets were still the 5 Sep template — generic 'end-to-end happy path' text — and have been replaced with what the code does, including where it does less than the workbook claimed: WCAG AA is asserted but never audited on MeetSync, four of six metric targets are not measurable end to end, and four of nine screens exist only as API endpoints.</t>
        </is>
      </c>
      <c r="E22" s="26" t="inlineStr">
        <is>
          <t>Handover #11, M-F01..M-F21</t>
        </is>
      </c>
      <c r="F22" s="26" t="inlineStr">
        <is>
          <t>No story states changed — artifact sync only</t>
        </is>
      </c>
      <c r="G22" s="26" t="inlineStr">
        <is>
          <t>v008 workbook not in hand; rebuilt from v007 + this tracker</t>
        </is>
      </c>
      <c r="H22" s="26" t="inlineStr">
        <is>
          <t>v008 tracker on handover return</t>
        </is>
      </c>
    </row>
    <row r="23" ht="124.5" customHeight="1" s="20">
      <c r="A23" s="26" t="inlineStr">
        <is>
          <t>E020</t>
        </is>
      </c>
      <c r="B23" s="26" t="inlineStr">
        <is>
          <t>2026-09-13 10:25</t>
        </is>
      </c>
      <c r="C23" s="26" t="inlineStr">
        <is>
          <t>Verify</t>
        </is>
      </c>
      <c r="D23" s="26" t="inlineStr">
        <is>
          <t>EXTERNAL VERIFICATION SWEEP EXECUTED against developers.zoom.us — the check the cold review structurally cannot perform, because it reads our code against itself. Four live-blocking defects found and fixed. Zoom's token endpoint authenticates the client with an HTTP Basic header and requires redirect_uri on the code exchange; we sent the client id and secret in the form body with no redirect_uri, so install AND refresh would both have been rejected by Zoom on the very first live call. The Zoom Apps SDK boundary was built around an API that does not exist — config() was never called (every Zoom Apps API throws until capabilities are declared), getMeetingContext() does not return account/role/user, and whether you are in a meeting is a separate getRunningContext() call — so all five in-meeting surface stories would have rendered a panel stuck on 'Connecting…' with nothing logged. The scope map listed classic scopes that a newly created app cannot even select. Verified correct and pinned: webhook HMAC construction, the url_validation CRC response, and the deauthorization payload shape.</t>
        </is>
      </c>
      <c r="E23" s="26" t="inlineStr">
        <is>
          <t>VER-M01..VER-M07</t>
        </is>
      </c>
      <c r="F23" s="26" t="inlineStr">
        <is>
          <t>No story flips — correctness release</t>
        </is>
      </c>
      <c r="G23" s="26" t="inlineStr">
        <is>
          <t>None</t>
        </is>
      </c>
      <c r="H23" s="26" t="inlineStr">
        <is>
          <t>E021</t>
        </is>
      </c>
    </row>
    <row r="24" ht="68.25" customHeight="1" s="20">
      <c r="A24" s="26" t="inlineStr">
        <is>
          <t>E021</t>
        </is>
      </c>
      <c r="B24" s="26" t="inlineStr">
        <is>
          <t>2026-09-13 10:25</t>
        </is>
      </c>
      <c r="C24" s="26" t="inlineStr">
        <is>
          <t>Verify</t>
        </is>
      </c>
      <c r="D24" s="26" t="inlineStr">
        <is>
          <t>CODE v014 RELEASED — 22 suites / 239 tests at 100% four ways, zero pragmas, tsc clean. New: /analytics/webhook-rejections (operator-gated) counts verification failures by reason, because Zoom revalidates every 72 hours and disables the subscription after six consecutive failures — and our own five-minute replay guard means server clock drift alone is enough to trigger that, silently. docs/RUNBOOK.md gains the monitoring and recovery procedure; docs/SECURITY_SCOPES.md rewritten with granular scopes and the separate in-client SDK capability list.</t>
        </is>
      </c>
      <c r="E24" s="26" t="inlineStr">
        <is>
          <t>VER-M05,VER-M06</t>
        </is>
      </c>
      <c r="F24" s="26" t="inlineStr">
        <is>
          <t>Gate held at 100x4</t>
        </is>
      </c>
      <c r="G24" s="26" t="inlineStr">
        <is>
          <t>None</t>
        </is>
      </c>
      <c r="H24" s="26" t="inlineStr">
        <is>
          <t>v009 on handover return or disposition</t>
        </is>
      </c>
    </row>
    <row r="25" ht="102" customHeight="1" s="20">
      <c r="A25" s="26" t="inlineStr">
        <is>
          <t>E022</t>
        </is>
      </c>
      <c r="B25" s="26" t="inlineStr">
        <is>
          <t>2026-09-13 10:36</t>
        </is>
      </c>
      <c r="C25" s="26" t="inlineStr">
        <is>
          <t>Quality</t>
        </is>
      </c>
      <c r="D25" s="26" t="inlineStr">
        <is>
          <t>WCAG AA AUDIT EXECUTED — MeetSync's first, closing a claim Product_Spec had carried unverified since 5 Sep. Accessibility is checked during Zoom's Marketplace review, so an unaudited assertion was both a correctness gap and a submission risk. The result is worth stating precisely because it cuts against the usual reading of a green audit: axe reported ZERO violations, including on its full ruleset with best-practice rules enabled — and reading the same markup by hand found four genuine failures. The worst, A11Y-01, was a status button whose aria-label REPLACED its visible text, so the note status the button exists to convey was hidden from assistive technology and what was announced instead was 'chip 0'. axe passes any element that has a name; it cannot judge whether the name is the right one. Also fixed: panels opening at h3 with no h1/h2 (A11Y-02), notes arriving with no announcement (A11Y-03), and a tab strip that was plain buttons with aria-pressed and no relationship to the content they switched (A11Y-04).</t>
        </is>
      </c>
      <c r="E25" s="26" t="inlineStr">
        <is>
          <t>A11Y-01..A11Y-04, Launch #2</t>
        </is>
      </c>
      <c r="F25" s="26" t="inlineStr">
        <is>
          <t>No story flips — NFR verification</t>
        </is>
      </c>
      <c r="G25" s="26" t="inlineStr">
        <is>
          <t>Contrast/focus/zoom/live-client checks cannot be automated</t>
        </is>
      </c>
      <c r="H25" s="26" t="inlineStr">
        <is>
          <t>E023</t>
        </is>
      </c>
    </row>
    <row r="26" ht="79.5" customHeight="1" s="20">
      <c r="A26" s="26" t="inlineStr">
        <is>
          <t>E023</t>
        </is>
      </c>
      <c r="B26" s="26" t="inlineStr">
        <is>
          <t>2026-09-13 10:36</t>
        </is>
      </c>
      <c r="C26" s="26" t="inlineStr">
        <is>
          <t>Quality</t>
        </is>
      </c>
      <c r="D26" s="26" t="inlineStr">
        <is>
          <t>METRICS GAP CLOSED — the v009 workbook re-baseline found four of six Metrics_Targets rows had targets set against them and nothing in the code computing them. Trial-to-paid, MRR, ARPU and logo churn now compute from subscription state that already existed (no new bookkeeping, only the arithmetic) and are served by operator-gated /analytics/revenue. Definitions were written down deliberately: MRR is contract value of plan x seats for paying, uncancelled accounts — not cash collected, so an account in dunning still counts — and logo churn is cancellations inside the window over the accounts that were paying at its start. A metric with a vague definition is worse than no metric. Rating stays unmeasurable (marketplace-side).</t>
        </is>
      </c>
      <c r="E26" s="26" t="inlineStr">
        <is>
          <t>Metrics_Targets</t>
        </is>
      </c>
      <c r="F26" s="26" t="inlineStr">
        <is>
          <t>Gate held at 100x4, 253 tests</t>
        </is>
      </c>
      <c r="G26" s="26" t="inlineStr">
        <is>
          <t>None</t>
        </is>
      </c>
      <c r="H26" s="26" t="inlineStr">
        <is>
          <t>v010 on handover return or disposition</t>
        </is>
      </c>
    </row>
    <row r="27" ht="113.25" customHeight="1" s="20">
      <c r="A27" s="26" t="inlineStr">
        <is>
          <t>E024</t>
        </is>
      </c>
      <c r="B27" s="26" t="inlineStr">
        <is>
          <t>2026-09-13 10:43</t>
        </is>
      </c>
      <c r="C27" s="26" t="inlineStr">
        <is>
          <t>Persistence</t>
        </is>
      </c>
      <c r="D27" s="26" t="inlineStr">
        <is>
          <t>DURABLE STORE BUILT — OBS-M3, the largest gap between the artifacts and the code. Approach decision worth recording: PostgreSQL 16 was installed and run inside the session so the adapter is verified against a real database rather than written blind. Shipping an unverified SQL adapter would have been the VER-M01 mistake again — code internally consistent, fully tested, wrong about the outside world — and this project has now hit that class three times across three products. The Store interface went async, rippling through lifecycle, zoomAuth, zoomClient, demo and every route; a write-through cache would have hidden the difference and was rejected for that reason. The centrepiece is the contract suite: every case runs twice, once per implementation, so the two cannot drift, and it does not skip when a database is absent — a silently skipped suite is how an adapter ships unverified. It caught a genuine trap: Postgres returns BIGINT as a string, which would have made every retention comparison wrong in production while passing in memory.</t>
        </is>
      </c>
      <c r="E27" s="26" t="inlineStr">
        <is>
          <t>OBS-M3</t>
        </is>
      </c>
      <c r="F27" s="26" t="inlineStr">
        <is>
          <t>No story flips — architectural</t>
        </is>
      </c>
      <c r="G27" s="26" t="inlineStr">
        <is>
          <t>None</t>
        </is>
      </c>
      <c r="H27" s="26" t="inlineStr">
        <is>
          <t>E025</t>
        </is>
      </c>
    </row>
    <row r="28" ht="90.75" customHeight="1" s="20">
      <c r="A28" s="26" t="inlineStr">
        <is>
          <t>E025</t>
        </is>
      </c>
      <c r="B28" s="26" t="inlineStr">
        <is>
          <t>2026-09-13 10:43</t>
        </is>
      </c>
      <c r="C28" s="26" t="inlineStr">
        <is>
          <t>Persistence</t>
        </is>
      </c>
      <c r="D28" s="26" t="inlineStr">
        <is>
          <t>PERSISTENCE BOUNDARY DOCUMENTED — docs/PERSISTENCE.md, written specifically so this does not get overclaimed. The account row and its OAuth tokens are durable and a purge is a real DELETE, both pinned against a live database. Everything else is still process memory: billing subscriptions and trial clocks (a restart un-gates every paid feature and zeroes the revenue metrics built an hour ago), tenant feature state, the CRM writeback queue and audit trail, and the RBAC audit log INCLUDING the proof-of-erasure rows. Two consequences named explicitly: MeetSync still cannot run more than one instance, and we can prove erasure of the account row but not yet of anything else. Suggested continuation order is billing first — smallest schema, and the only one whose loss also silently falsifies a business number. test/store.test.ts retired, superseded by the contract suite.</t>
        </is>
      </c>
      <c r="E28" s="26" t="inlineStr">
        <is>
          <t>OBS-M3, docs/PERSISTENCE.md</t>
        </is>
      </c>
      <c r="F28" s="26" t="inlineStr">
        <is>
          <t>Gate held at 100x4, 281 tests</t>
        </is>
      </c>
      <c r="G28" s="26" t="inlineStr">
        <is>
          <t>Single-instance constraint now explicit</t>
        </is>
      </c>
      <c r="H28" s="26" t="inlineStr">
        <is>
          <t>v011 on handover or decision</t>
        </is>
      </c>
    </row>
    <row r="29" ht="113.25" customHeight="1" s="20">
      <c r="A29" s="26" t="inlineStr">
        <is>
          <t>E026</t>
        </is>
      </c>
      <c r="B29" s="26" t="inlineStr">
        <is>
          <t>2026-09-13 10:56</t>
        </is>
      </c>
      <c r="C29" s="26" t="inlineStr">
        <is>
          <t>Persistence</t>
        </is>
      </c>
      <c r="D29" s="26" t="inlineStr">
        <is>
          <t>DURABLE SUBSCRIPTIONS BUILT — the slice recommended at the end of E025, taken on the 10:56 continue. Billing went async behind a SubscriptionStore interface with InMemory and Postgres implementations, both held to one contract suite (seven shared cases run twice, plus adapter-specific cases) against a live database. Schema choice worth recording: the cancellation is three nullable columns, not a JSON blob, because cancelled_at is what the churn metric filters on and a blob would have turned that into a scan. The async ripple reached every billing route and the write gate — requireWritable is now awaited, so the feature setup, import, trial, banner, revenue and demo routes all became async routes under the M-F21 safety net. A design consequence is documented rather than hidden: Billing.get() now returns a copy from the store, so an in-place mutation no longer persists; Billing.save() writes it back, and every mutating method does that write itself. Two app tests were relying on in-place mutation and were corrected — in memory it happened to work, which is exactly the trap a durable store exposes.</t>
        </is>
      </c>
      <c r="E29" s="26" t="inlineStr">
        <is>
          <t>OBS-M3</t>
        </is>
      </c>
      <c r="F29" s="26" t="inlineStr">
        <is>
          <t>No story flips — architectural</t>
        </is>
      </c>
      <c r="G29" s="26" t="inlineStr">
        <is>
          <t>None</t>
        </is>
      </c>
      <c r="H29" s="26" t="inlineStr">
        <is>
          <t>E027</t>
        </is>
      </c>
    </row>
    <row r="30" ht="90.75" customHeight="1" s="20">
      <c r="A30" s="26" t="inlineStr">
        <is>
          <t>E027</t>
        </is>
      </c>
      <c r="B30" s="26" t="inlineStr">
        <is>
          <t>2026-09-13 10:56</t>
        </is>
      </c>
      <c r="C30" s="26" t="inlineStr">
        <is>
          <t>Persistence</t>
        </is>
      </c>
      <c r="D30" s="26" t="inlineStr">
        <is>
          <t>PERSISTENCE DOC UPDATED — billing removed from the not-durable table, and the single-instance statement sharpened rather than dropped: entitlement and billing are no longer things two instances would disagree about, which removes the most damaging disagreement but not the constraint. Tenant feature state, the CRM writeback queue and audit trail, the RBAC audit log including proof-of-erasure rows, notes sessions, the webhook dedupe set and telemetry all remain process-local. Recommended next: RBAC audit log, on the argument that it is the remaining piece with a compliance case behind it rather than a convenience one. Tenant feature state is the largest schema and wants a shape discussion first — imported CSV records are unbounded user data, not configuration, and should probably not live in the same table as settings.</t>
        </is>
      </c>
      <c r="E30" s="26" t="inlineStr">
        <is>
          <t>docs/PERSISTENCE.md</t>
        </is>
      </c>
      <c r="F30" s="26" t="inlineStr">
        <is>
          <t>Gate held at 100x4, 301 tests</t>
        </is>
      </c>
      <c r="G30" s="26" t="inlineStr">
        <is>
          <t>Single-instance constraint stands</t>
        </is>
      </c>
      <c r="H30" s="26" t="inlineStr">
        <is>
          <t>v012 on handover or decision</t>
        </is>
      </c>
    </row>
    <row r="31" ht="135.75" customHeight="1" s="20">
      <c r="A31" s="26" t="inlineStr">
        <is>
          <t>E028</t>
        </is>
      </c>
      <c r="B31" s="26" t="inlineStr">
        <is>
          <t>2026-09-13 11:03</t>
        </is>
      </c>
      <c r="C31" s="26" t="inlineStr">
        <is>
          <t>Persistence</t>
        </is>
      </c>
      <c r="D31" s="26" t="inlineStr">
        <is>
          <t>DURABLE AUDIT LOG BUILT — third slice, taken on the 11:03 continue. Chosen over tenant state because it is the only remaining piece with a compliance case: it holds the record that a deletion happened, and an erasure record that evaporates on restart is worse than none, since its absence is indistinguishable from the deletion never having been performed. purge() keeps data.delete rows and drops everything else for the account — pinned in the contract suite against a live database. The row cap is enforced in SQL rather than by loading the table, because the audit log gains a row on every authorisation check, allowed or denied, making it the fastest-growing collection in the product. THE FINDING WORTH CARRYING TO OTHER PRODUCTS: making Rbac.authorize return a Promise while its callers stayed synchronous would have made `if (!this.rbac.authorize(...))` always false, because a Promise is truthy — every permission check in the feature engine would have silently passed, with no TypeScript error and, had the tests not been rewritten alongside, quite possibly no failing test either. The four FeatureEngine methods that authorise were made async explicitly. This is the same shape as M-F21 (Express ignoring rejected promises): async conversions create silent-pass hazards that neither the compiler nor a green suite necessarily catches.</t>
        </is>
      </c>
      <c r="E31" s="26" t="inlineStr">
        <is>
          <t>OBS-M3</t>
        </is>
      </c>
      <c r="F31" s="26" t="inlineStr">
        <is>
          <t>No story flips — architectural</t>
        </is>
      </c>
      <c r="G31" s="26" t="inlineStr">
        <is>
          <t>None</t>
        </is>
      </c>
      <c r="H31" s="26" t="inlineStr">
        <is>
          <t>E029</t>
        </is>
      </c>
    </row>
    <row r="32" ht="90.75" customHeight="1" s="20">
      <c r="A32" s="26" t="inlineStr">
        <is>
          <t>E029</t>
        </is>
      </c>
      <c r="B32" s="26" t="inlineStr">
        <is>
          <t>2026-09-13 11:03</t>
        </is>
      </c>
      <c r="C32" s="26" t="inlineStr">
        <is>
          <t>Persistence</t>
        </is>
      </c>
      <c r="D32" s="26" t="inlineStr">
        <is>
          <t>REMAINING PERSISTENCE WORK REFRAMED AS TWO DECISIONS rather than two more slices. Tenant feature state is not one thing: configured defaults, rules and mute lists are small bounded settings, while imported CSV records are unbounded user-supplied data whose volume the customer sets. Putting them in one table would make every settings read scan something a single import can grow without limit — they should almost certainly be separate, and that is a design call, not a transcription. The CRM writeback queue is a different problem again: it is in-flight work, not state, so making it durable is really the question of whether MeetSync wants a job queue and whether it owns one or borrows one. Worth deciding deliberately rather than arriving at by writing another table. The webhook dedupe set wants a shared cache with a TTL matching the five-minute replay window, not a table at all.</t>
        </is>
      </c>
      <c r="E32" s="26" t="inlineStr">
        <is>
          <t>docs/PERSISTENCE.md</t>
        </is>
      </c>
      <c r="F32" s="26" t="inlineStr">
        <is>
          <t>Gate held at 100x4, 316 tests</t>
        </is>
      </c>
      <c r="G32" s="26" t="inlineStr">
        <is>
          <t>Two shape decisions now block further persistence work</t>
        </is>
      </c>
      <c r="H32" s="26" t="inlineStr">
        <is>
          <t>v013 on handover or decision</t>
        </is>
      </c>
    </row>
    <row r="33" ht="102" customHeight="1" s="20">
      <c r="A33" s="26" t="inlineStr">
        <is>
          <t>E030</t>
        </is>
      </c>
      <c r="B33" s="26" t="inlineStr">
        <is>
          <t>2026-09-13 11:10</t>
        </is>
      </c>
      <c r="C33" s="26" t="inlineStr">
        <is>
          <t>Assembly</t>
        </is>
      </c>
      <c r="D33" s="26" t="inlineStr">
        <is>
          <t>GAP-1 COMPOSITION ROOT BUILT — found by asking a question no module-level review asks: what starts this? Nothing did. createApp was exported and never called, listen() appeared nowhere, no migration ran, and the three durable stores finished minutes earlier were unreachable. Every part was unit-correct and the assembly was absent — the same shape as the OAuth findings one level up. src/server.ts now builds the full graph over Postgres and migrates on every boot (idempotent by design: a deploy that forgets a manual migration step is a deploy that silently loses the durability guarantee). Pool, HTTP post, clock, timer and listener are all injected, so the composition root is exercised by tests against a live database rather than only by production. bin/meetsync.js is the only file touching process globals and is deliberately JavaScript outside src/ — a require.main guard inside src/ would have been an uncoverable line dressed up as code, and the suite still carries zero coverage exclusions.</t>
        </is>
      </c>
      <c r="E33" s="26" t="inlineStr">
        <is>
          <t>GAP-1, OBS-M3</t>
        </is>
      </c>
      <c r="F33" s="26" t="inlineStr">
        <is>
          <t>No story flips — assembly</t>
        </is>
      </c>
      <c r="G33" s="26" t="inlineStr">
        <is>
          <t>None</t>
        </is>
      </c>
      <c r="H33" s="26" t="inlineStr">
        <is>
          <t>E031</t>
        </is>
      </c>
    </row>
    <row r="34" ht="113.25" customHeight="1" s="20">
      <c r="A34" s="26" t="inlineStr">
        <is>
          <t>E031</t>
        </is>
      </c>
      <c r="B34" s="26" t="inlineStr">
        <is>
          <t>2026-09-13 11:10</t>
        </is>
      </c>
      <c r="C34" s="26" t="inlineStr">
        <is>
          <t>Policy</t>
        </is>
      </c>
      <c r="D34" s="26" t="inlineStr">
        <is>
          <t>GAP-2 RETENTION SWEEP WAS NEVER SCHEDULED — the sharper of the two findings. grep for callers of retentionSweep returned exactly one: the delete-my-data route, added in the cold review. So a customer who simply uninstalled had their tokens wiped correctly (ST-052) and their account marked for deletion in 30 days — and nothing ever came back to honour that date. docs/DATA_FLOW.md has told customers since 5 Sep that data is archived and purged after RETENTION_DAYS. It was not. This is the same policy-breach class as M-F03 and it survived BOTH cold-review passes, because every module involved was individually correct: a review that reads code cannot see code that was never written. src/scheduler.ts runs the sweep hourly, skips overlapping runs rather than stacking them, swallows its own errors so one bad night does not kill the loop, and keeps a bounded history; operators can run it on demand and inspect it at /admin/retention-sweep, because a retention job nobody can observe is how a policy quietly stops being honoured. RUNBOOK gains the post-deploy check.</t>
        </is>
      </c>
      <c r="E34" s="26" t="inlineStr">
        <is>
          <t>GAP-2, ST-052, M-F03</t>
        </is>
      </c>
      <c r="F34" s="26" t="inlineStr">
        <is>
          <t>Gate held at 100x4, 333 tests</t>
        </is>
      </c>
      <c r="G34" s="26" t="inlineStr">
        <is>
          <t>None</t>
        </is>
      </c>
      <c r="H34" s="26" t="inlineStr">
        <is>
          <t>v014 on handover or decision</t>
        </is>
      </c>
    </row>
    <row r="35" ht="124.5" customHeight="1" s="20">
      <c r="A35" s="26" t="inlineStr">
        <is>
          <t>E032</t>
        </is>
      </c>
      <c r="B35" s="26" t="inlineStr">
        <is>
          <t>2026-09-13 11:15</t>
        </is>
      </c>
      <c r="C35" s="26" t="inlineStr">
        <is>
          <t>Reachability</t>
        </is>
      </c>
      <c r="D35" s="26" t="inlineStr">
        <is>
          <t>GAP-3 FOUND — the largest finding of the programme. Having just found two defects of absence (GAP-1 no composition root, GAP-2 no retention scheduler), I applied the same question systematically: for every capability, what route reaches it? The answer for most of the product was none. src/dealRisk.ts and src/indic.ts had ZERO references in application code — two complete features, fully tested, that nothing could invoke. Notes, action extraction and CRM writeback were reachable only through /orgs/:id/demo-mode, the demo seeder. FeatureEngine.addRule, setEnabled, mute and unmute had no routes, so rule customisation and pause-without-data-loss — stories ST-x03 and ST-x08 across all five features — were unreachable. Rbac.auditLog had no caller at all: ST-067's audit trail was write-only, and audit.read sat in the role matrix gating nothing. ZoomClient.request, the whole backoff-and-breaker client, is called by nothing. This is not a code-quality failure — every module is correct and tested. It is a failure of the question being asked: a review that reads code cannot see a missing caller, and a module nothing calls is locally perfect.</t>
        </is>
      </c>
      <c r="E35" s="26" t="inlineStr">
        <is>
          <t>GAP-3, ST-067, ST-x03, ST-x08</t>
        </is>
      </c>
      <c r="F35" s="26" t="inlineStr">
        <is>
          <t>Story STATUS MEANING now in question — see E034</t>
        </is>
      </c>
      <c r="G35" s="26" t="inlineStr">
        <is>
          <t>None</t>
        </is>
      </c>
      <c r="H35" s="26" t="inlineStr">
        <is>
          <t>E033</t>
        </is>
      </c>
    </row>
    <row r="36" ht="135.75" customHeight="1" s="20">
      <c r="A36" s="26" t="inlineStr">
        <is>
          <t>E033</t>
        </is>
      </c>
      <c r="B36" s="26" t="inlineStr">
        <is>
          <t>2026-09-13 11:15</t>
        </is>
      </c>
      <c r="C36" s="26" t="inlineStr">
        <is>
          <t>Reachability</t>
        </is>
      </c>
      <c r="D36" s="26" t="inlineStr">
        <is>
          <t>PRODUCT LOOP WIRED — 17 routes: five for live notes (session, add, read, chip, close), two for extraction (extract with a preview mode, custom rules), one for deal risk, two for the Indic pack (segment, WER), five for CRM (connect, mappings, writeback, drain, audit), two for feature rules and pause, and the audit-log read. All share one error mapper so a new route cannot invent its own status code for a failure another route already handles. Two exemptions are deliberate and tested: preview extraction is not write-gated because it persists nothing, and pausing a feature stays available to a lapsed account — a customer who stopped paying must still be able to turn things off. CRM connect registers a SANDBOX adapter and says so in its own response body, because live CRM OAuth still does not exist (LC-6). TWO DEFECTS SURFACED WHILE WIRING: every feature.configure/feature.pause/data.import audit row had been written with the FEATURE KEY as its accountId, because that is what four-argument authorize() defaults to — the rows were not attributable to a workspace and the M-F03 deletion purge could never have matched them. A write-only log hides its own corruption; building the read path is what exposed it. Also: note text was not trimmed on the way in though the panel trimmed on the way out.</t>
        </is>
      </c>
      <c r="E36" s="26" t="inlineStr">
        <is>
          <t>GAP-3, M-F03</t>
        </is>
      </c>
      <c r="F36" s="26" t="inlineStr">
        <is>
          <t>Gate held at 100x4, 356 tests</t>
        </is>
      </c>
      <c r="G36" s="26" t="inlineStr">
        <is>
          <t>Billing lifecycle + telemetry still unreachable by design</t>
        </is>
      </c>
      <c r="H36" s="26" t="inlineStr">
        <is>
          <t>E034</t>
        </is>
      </c>
    </row>
    <row r="37" ht="102" customHeight="1" s="20">
      <c r="A37" s="26" t="inlineStr">
        <is>
          <t>E034</t>
        </is>
      </c>
      <c r="B37" s="26" t="inlineStr">
        <is>
          <t>2026-09-13 11:15</t>
        </is>
      </c>
      <c r="C37" s="26" t="inlineStr">
        <is>
          <t>Governance</t>
        </is>
      </c>
      <c r="D37" s="26" t="inlineStr">
        <is>
          <t>WHAT 'DONE-IN-CODE' MEANS NEEDS A DECISION — raised because GAP-3 makes it unavoidable. The label is an honest description of a module and a misleading description of a feature: nothing in its definition required a caller, so 78 stories could sit at Done-in-code while the product had almost no HTTP surface. I have NOT moved any story status in this tracker, because reclassifying 78 rows is a judgement about what the counts are for, not a clerical correction, and it is yours to make. Two options. (a) Keep the label and add a Reachable column, so the same row can say 'the code is written' and 'a customer can invoke it' separately. (b) Redefine Done-in-code to require a caller, and re-baseline the counts — which would have shown a much lower number for the last several days. My recommendation is (a), because the counts stay comparable with the sibling products and the missing property becomes visible rather than implied.</t>
        </is>
      </c>
      <c r="E37" s="26" t="inlineStr">
        <is>
          <t>GAP-3, D13</t>
        </is>
      </c>
      <c r="F37" s="26" t="inlineStr">
        <is>
          <t>No story states changed — deliberately</t>
        </is>
      </c>
      <c r="G37" s="26" t="inlineStr">
        <is>
          <t>Story counts currently overstate customer-reachable progress</t>
        </is>
      </c>
      <c r="H37" s="26" t="inlineStr">
        <is>
          <t>v015 on decision</t>
        </is>
      </c>
    </row>
    <row r="38" ht="113.25" customHeight="1" s="20">
      <c r="A38" s="26" t="inlineStr">
        <is>
          <t>E035</t>
        </is>
      </c>
      <c r="B38" s="26" t="inlineStr">
        <is>
          <t>2026-09-13 11:24</t>
        </is>
      </c>
      <c r="C38" s="26" t="inlineStr">
        <is>
          <t>Reachability</t>
        </is>
      </c>
      <c r="D38" s="26" t="inlineStr">
        <is>
          <t>REACHABILITY GATE BUILT — GAP-3 took a deliberate audit to notice, which means it gets reintroduced the moment nobody thinks to run that audit. It now runs on every build. A capability referenced by nothing fails; exceptions go in an allowlist where each entry must carry a reason long enough for a reviewer to argue with, and a SECOND test fails when an allowlist entry becomes stale — an allowlist that outlives its reasons is worse than none, because it launders real findings into permanent exemptions. THE LIMITS ARE WRITTEN INTO THE TEST HEADER RATHER THAN LEFT TO BE DISCOVERED: it is a name-based heuristic, not a call graph. It catches a capability called by nothing at all — the state deal-risk and the Indic pack were in — but NOT weak reachability, which is what notes, extraction and CRM were actually in (reachable only from the demo seeder). And because names match across all of src/, two modules with a same-named method cover for each other: six modules have a ledgerStats, and the gate would not notice if five lost their callers. It is a floor, not a ceiling.</t>
        </is>
      </c>
      <c r="E38" s="26" t="inlineStr">
        <is>
          <t>GAP-3</t>
        </is>
      </c>
      <c r="F38" s="26" t="inlineStr">
        <is>
          <t>No story flips</t>
        </is>
      </c>
      <c r="G38" s="26" t="inlineStr">
        <is>
          <t>None</t>
        </is>
      </c>
      <c r="H38" s="26" t="inlineStr">
        <is>
          <t>E036</t>
        </is>
      </c>
    </row>
    <row r="39" ht="113.25" customHeight="1" s="20">
      <c r="A39" s="26" t="inlineStr">
        <is>
          <t>E036</t>
        </is>
      </c>
      <c r="B39" s="26" t="inlineStr">
        <is>
          <t>2026-09-13 11:24</t>
        </is>
      </c>
      <c r="C39" s="26" t="inlineStr">
        <is>
          <t>Reachability</t>
        </is>
      </c>
      <c r="D39" s="26" t="inlineStr">
        <is>
          <t>THREE MORE FOUND ON THE GATE'S FIRST RUN, which is the argument for building it. (1) CappedList.clear had lost its last caller when the RBAC audit log moved behind a store two sittings ago — deleted rather than allowlisted, because code kept for no reason is the raw material of the next audit. (2) FeatureEngine.mute and unmute had no surface anywhere, so ST-x10 per-type notification mute was unreachable across all five features, and the notification list itself was written by notify() and read by nobody. Both now have routes. (3) THE SHARPEST: notify() pushed an 'email' channel row on every notification. This codebase has no mail sender and never had one, so the record asserted deliveries that never happened — a log that lies is worse than no log, and it would have been quoted back as evidence in exactly the situation where it mattered. Email rows are now written only when a sender is configured; withEmailSender exists so the absence is explicit rather than faked. Also wired: the onboarding empty-state copy, which shipped in src and was readable by nothing while the panels carried duplicate strings.</t>
        </is>
      </c>
      <c r="E39" s="26" t="inlineStr">
        <is>
          <t>ST-x10, ST-081, GAP-3</t>
        </is>
      </c>
      <c r="F39" s="26" t="inlineStr">
        <is>
          <t>Gate held at 100x4, 362 tests</t>
        </is>
      </c>
      <c r="G39" s="26" t="inlineStr">
        <is>
          <t>Panel copy still duplicates the API copy — one of the two should go</t>
        </is>
      </c>
      <c r="H39" s="26" t="inlineStr">
        <is>
          <t>v016 on handover or decision</t>
        </is>
      </c>
    </row>
    <row r="40" ht="124.5" customHeight="1" s="20">
      <c r="A40" s="26" t="inlineStr">
        <is>
          <t>E037</t>
        </is>
      </c>
      <c r="B40" s="26" t="inlineStr">
        <is>
          <t>2026-09-13 11:32</t>
        </is>
      </c>
      <c r="C40" s="26" t="inlineStr">
        <is>
          <t>Governance</t>
        </is>
      </c>
      <c r="D40" s="26" t="inlineStr">
        <is>
          <t>REACHABILITY CLASSIFIED FOR ALL 100 STORIES — Handover #20 taken as option (a) on the 11:32 'do all properly'. Column L says whether a customer can invoke the story; column M names the route that reaches it or the specific thing missing, per row, not per epic. The headline: 60 REACHABLE, 14 PARTIAL, 7 PENDING LIVE, 19 NOT REACHABLE — against 78 Done-in-code. The gap is not dishonesty in the earlier counts: the code really was written and tested. It is that Done-in-code never required a caller, so the two numbers were never the same thing and only one was ever reported. Sharpest rows: ST-055 token rotation is implemented and exercised by nothing, because the only caller is ZoomClient.request and nothing calls that; five of seven Billing stories (ST-058, 060, 061, 062, 063) are NOT REACHABLE — upgrade, dunning, seat prompts, invoices and cancellation all exist in code with no route; five of seven Telemetry stories likewise. Every x10 notification story across all five features is PARTIAL because the email half has no sender at all. Story STATUS values were left untouched deliberately — the column adds the missing property rather than relitigating the old one.</t>
        </is>
      </c>
      <c r="E40" s="26" t="inlineStr">
        <is>
          <t>Handover #20, GAP-3</t>
        </is>
      </c>
      <c r="F40" s="26" t="inlineStr">
        <is>
          <t>New column L/M on all 100 rows; no status changes</t>
        </is>
      </c>
      <c r="G40" s="26" t="inlineStr">
        <is>
          <t>None</t>
        </is>
      </c>
      <c r="H40" s="26" t="inlineStr">
        <is>
          <t>E038</t>
        </is>
      </c>
    </row>
    <row r="41" ht="79.5" customHeight="1" s="20">
      <c r="A41" s="26" t="inlineStr">
        <is>
          <t>E038</t>
        </is>
      </c>
      <c r="B41" s="26" t="inlineStr">
        <is>
          <t>2026-09-13 11:32</t>
        </is>
      </c>
      <c r="C41" s="26" t="inlineStr">
        <is>
          <t>Quality</t>
        </is>
      </c>
      <c r="D41" s="26" t="inlineStr">
        <is>
          <t>EMPTY-STATE COPY GIVEN ONE SOURCE (ST-079, code v022) — the PARTIAL flagged in this same pass, closed in the same sitting. There were two bodies of copy for the same moments: coarse screen-level strings in src/onboarding.ts that the API served and nothing read, and finer strings hard-coded in each panel. Not duplicates — worse, two different texts free to drift, with no way to tell which a customer had seen. The panel wording was the better of the two and is now canonical in src/emptyStates.ts; the API and all five panels import it, and the tests assert against the constant rather than a literal so a future edit cannot silently split them again. 27 suites / 362 tests at 100% four ways, zero pragmas.</t>
        </is>
      </c>
      <c r="E41" s="26" t="inlineStr">
        <is>
          <t>ST-079</t>
        </is>
      </c>
      <c r="F41" s="26" t="inlineStr">
        <is>
          <t>ST-079 remains PARTIAL until the panels ship live</t>
        </is>
      </c>
      <c r="G41" s="26" t="inlineStr">
        <is>
          <t>None</t>
        </is>
      </c>
      <c r="H41" s="26" t="inlineStr">
        <is>
          <t>v017 on handover or decision</t>
        </is>
      </c>
    </row>
    <row r="42" ht="90.75" customHeight="1" s="20">
      <c r="A42" s="26" t="inlineStr">
        <is>
          <t>E039</t>
        </is>
      </c>
      <c r="B42" s="26" t="inlineStr">
        <is>
          <t>2026-09-13 11:51</t>
        </is>
      </c>
      <c r="C42" s="26" t="inlineStr">
        <is>
          <t>Persistence</t>
        </is>
      </c>
      <c r="D42" s="26" t="inlineStr">
        <is>
          <t>DURABLE TENANT FEATURE STATE BUILT — the fourth and largest persistence slice, and the one I had refused to start without the shape decided. The split argued for in docs/PERSISTENCE.md is what got built: SETTINGS (enabled, defaults, rules, mutes, usage counters, recent notifications) are small, bounded and read on essentially every request, so one row per account per feature; IMPORTED RECORDS are unbounded user data whose size the customer chooses by uploading a CSV, so their own table, capped in SQL and indexed by (account_id, feature, id). One table would have made the hottest read in the product scan the largest thing in it — which is the whole reason for having the argument before writing the schema rather than discovering it under load. FeatureEngine went async throughout: the ripple reached notes, actions, dealRisk, indic, crm, demo and several routes.</t>
        </is>
      </c>
      <c r="E42" s="26" t="inlineStr">
        <is>
          <t>Handover #18a, OBS-M3</t>
        </is>
      </c>
      <c r="F42" s="26" t="inlineStr">
        <is>
          <t>No story flips — architectural</t>
        </is>
      </c>
      <c r="G42" s="26" t="inlineStr">
        <is>
          <t>None</t>
        </is>
      </c>
      <c r="H42" s="26" t="inlineStr">
        <is>
          <t>E040</t>
        </is>
      </c>
    </row>
    <row r="43" ht="113.25" customHeight="1" s="20">
      <c r="A43" s="26" t="inlineStr">
        <is>
          <t>E040</t>
        </is>
      </c>
      <c r="B43" s="26" t="inlineStr">
        <is>
          <t>2026-09-13 11:51</t>
        </is>
      </c>
      <c r="C43" s="26" t="inlineStr">
        <is>
          <t>Persistence</t>
        </is>
      </c>
      <c r="D43" s="26" t="inlineStr">
        <is>
          <t>THREE THINGS THE CONVERSION FORCED INTO THE OPEN, all now tested. (1) FeatureEngine.get() returns a copy from the store, so an in-place mutation no longer persists — the same trap the billing slice exposed, and the reason both are documented rather than left for the next reader. (2) Deletion had to change: dropping the in-memory tenant graph used to BE the purge, so with durable state a deleted account's configuration and uploaded rows would have survived in the database. TenantRegistry.purge is async now and clears both tables; pinned by a test that installs, configures, imports, uninstalls, sweeps and then asserts both tables are empty. (3) A BUG THE CONVERSION INTRODUCED AND THE SUITE CAUGHT: the engine's cap was silently ignored for imported records, because the default store was constructed with DEFAULT_CAP in the parameter list instead of the engine's own cap. Exactly one test passes a small cap, and that is the only reason it was found rather than shipped — a useful argument for keeping tests that exercise unusual configuration, not just the happy default.</t>
        </is>
      </c>
      <c r="E43" s="26" t="inlineStr">
        <is>
          <t>Handover #18a</t>
        </is>
      </c>
      <c r="F43" s="26" t="inlineStr">
        <is>
          <t>Gate held at 100x4, 390 tests</t>
        </is>
      </c>
      <c r="G43" s="26" t="inlineStr">
        <is>
          <t>CRM queue, webhook dedupe, notes sessions and telemetry remain process-local</t>
        </is>
      </c>
      <c r="H43" s="26" t="inlineStr">
        <is>
          <t>v018 on handover or decision</t>
        </is>
      </c>
    </row>
    <row r="44" ht="102" customHeight="1" s="20">
      <c r="A44" s="26" t="inlineStr">
        <is>
          <t>E041</t>
        </is>
      </c>
      <c r="B44" s="26" t="inlineStr">
        <is>
          <t>2026-09-13 11:57</t>
        </is>
      </c>
      <c r="C44" s="26" t="inlineStr">
        <is>
          <t>Persistence</t>
        </is>
      </c>
      <c r="D44" s="26" t="inlineStr">
        <is>
          <t>DURABLE CRM WRITEBACK QUEUE BUILT — the fifth slice, and the only one where the thing lost is WORK rather than history. Losing the audit trail loses a record of what happened; losing the queue loses writes a customer believes are on their way to their CRM, silently, with the UI still showing them queued. DECISION TAKEN, NOT DEFERRED AGAIN: own a queue in the Postgres we already run. I had declined this twice as yours to make; on the third continue I took my own stated recommendation rather than keep returning an empty sitting — it adds nothing to deploy, and CrmStore is the whole swap surface if you would rather borrow one. Three narrow tables: crm_mappings, crm_jobs (keyed by account and job id, partial index on queued rows) and crm_audit. Job ids are issued PER ACCOUNT so two workspaces cannot collide and an id stays meaningful in that account's trail. Every state change inside a drain is written back INCLUDING the attempt count, so a crash mid-drain resumes rather than losing or repeating work.</t>
        </is>
      </c>
      <c r="E44" s="26" t="inlineStr">
        <is>
          <t>Handover #18b, OBS-M3</t>
        </is>
      </c>
      <c r="F44" s="26" t="inlineStr">
        <is>
          <t>No story flips — architectural</t>
        </is>
      </c>
      <c r="G44" s="26" t="inlineStr">
        <is>
          <t>None</t>
        </is>
      </c>
      <c r="H44" s="26" t="inlineStr">
        <is>
          <t>E042</t>
        </is>
      </c>
    </row>
    <row r="45" ht="90.75" customHeight="1" s="20">
      <c r="A45" s="26" t="inlineStr">
        <is>
          <t>E042</t>
        </is>
      </c>
      <c r="B45" s="26" t="inlineStr">
        <is>
          <t>2026-09-13 11:57</t>
        </is>
      </c>
      <c r="C45" s="26" t="inlineStr">
        <is>
          <t>Persistence</t>
        </is>
      </c>
      <c r="D45" s="26" t="inlineStr">
        <is>
          <t>WHAT DELIBERATELY DID NOT MOVE, and the behaviour change that came with the slice. Adapters stay in memory: an adapter is a live connection, not state, so it is re-registered on each boot. Today that only ever produces a SANDBOX adapter because live CRM OAuth still does not exist (LC-6) — and /crm/connect says so in its own response body rather than letting a caller assume otherwise. Behaviour change: jobs now come back as COPIES from the store, so a reference held before a drain no longer mutates; four unit tests were relying on that and were corrected to read the job back. Same shape as the billing and feature-state conversions — in memory it happened to work, which is exactly the trap a durable store exposes, and the third time this project has hit it. Contract suite now covers five stores across both implementations against a live PostgreSQL 16.</t>
        </is>
      </c>
      <c r="E45" s="26" t="inlineStr">
        <is>
          <t>Handover #18b, LC-6</t>
        </is>
      </c>
      <c r="F45" s="26" t="inlineStr">
        <is>
          <t>Gate held at 100x4, 410 tests</t>
        </is>
      </c>
      <c r="G45" s="26" t="inlineStr">
        <is>
          <t>Webhook dedupe still blocks multi-instance</t>
        </is>
      </c>
      <c r="H45" s="26" t="inlineStr">
        <is>
          <t>v019 on handover or decision</t>
        </is>
      </c>
    </row>
    <row r="46" ht="113.25" customHeight="1" s="20">
      <c r="A46" s="26" t="inlineStr">
        <is>
          <t>E043</t>
        </is>
      </c>
      <c r="B46" s="26" t="inlineStr">
        <is>
          <t>2026-09-13 16:28</t>
        </is>
      </c>
      <c r="C46" s="26" t="inlineStr">
        <is>
          <t>Persistence</t>
        </is>
      </c>
      <c r="D46" s="26" t="inlineStr">
        <is>
          <t>SHARED WEBHOOK DEDUPE BUILT — the sixth slice, and the one that actually unblocks running a second instance. The ledger lived in the verifier's own memory, so two processes each had their own view: a redelivery landing on a different instance than the original was handled twice, and a restart lost the window entirely. Zoom retries 5xx three times, so redelivery is ordinary traffic, not an edge case. THE PROPERTY THAT MATTERS IS NOT STORAGE BUT ATOMICITY: the check and the claim are one statement (INSERT ... ON CONFLICT DO UPDATE ... WHERE expires_at &lt;= now RETURNING key), so of two instances handed the same delivery concurrently exactly one is told it is new. A SELECT followed by an INSERT would have a race between them, and that race is invisible in a single-process test. Claims expire by TTL rather than being evicted by a FIFO cap — a deliberate reversal of part of the v013 M-F14 fix, because a count-based cap can drop a claim still inside Zoom's replay window, which is the single case the ledger exists to cover.</t>
        </is>
      </c>
      <c r="E46" s="26" t="inlineStr">
        <is>
          <t>Handover #24, M-F14, M-F13</t>
        </is>
      </c>
      <c r="F46" s="26" t="inlineStr">
        <is>
          <t>No story flips — architectural</t>
        </is>
      </c>
      <c r="G46" s="26" t="inlineStr">
        <is>
          <t>None</t>
        </is>
      </c>
      <c r="H46" s="26" t="inlineStr">
        <is>
          <t>E044</t>
        </is>
      </c>
    </row>
    <row r="47" ht="124.5" customHeight="1" s="20">
      <c r="A47" s="26" t="inlineStr">
        <is>
          <t>E044</t>
        </is>
      </c>
      <c r="B47" s="26" t="inlineStr">
        <is>
          <t>2026-09-13 16:28</t>
        </is>
      </c>
      <c r="C47" s="26" t="inlineStr">
        <is>
          <t>Persistence</t>
        </is>
      </c>
      <c r="D47" s="26" t="inlineStr">
        <is>
          <t>A SCHEDULING BUG CAUGHT WHILE WIRING IT. I first hung the expired-claim sweep off the PurgeTarget list, which reads naturally and is wrong: PurgeTargets run once per ACCOUNT being deleted, so on any tick with nothing due the claim sweep would never have fired — and the table would have grown for ever while every test still passed. Expired claims are not account-scoped, so the scheduler gained an explicit per-tick task list instead, pinned by a test that asserts the sweep runs on a tick that purges no accounts. PERSISTENCE PROGRAMME NOW COMPLETE for anything that blocks multi-instance: accounts and tokens, subscriptions and entitlement, the RBAC audit log, tenant settings and imported records, the CRM queue, and dedupe are all shared. Notes sessions (live meeting state, arguably correct to lose) and telemetry (analytics history — a chart, not a customer's work) remain process-local by choice. RUNBOOK documents the two things to know before scaling out: the scheduler runs on every instance so sweep history is per process, and CRM adapters are registered per process so an account connected on one instance is not connected on another.</t>
        </is>
      </c>
      <c r="E47" s="26" t="inlineStr">
        <is>
          <t>Handover #24, GAP-2</t>
        </is>
      </c>
      <c r="F47" s="26" t="inlineStr">
        <is>
          <t>Gate held at 100x4, 425 tests</t>
        </is>
      </c>
      <c r="G47" s="26" t="inlineStr">
        <is>
          <t>Scheduler history is per instance, not global</t>
        </is>
      </c>
      <c r="H47" s="26" t="inlineStr">
        <is>
          <t>v020 on handover</t>
        </is>
      </c>
    </row>
    <row r="48" ht="102" customHeight="1" s="20">
      <c r="A48" s="26" t="inlineStr">
        <is>
          <t>E045</t>
        </is>
      </c>
      <c r="B48" s="26" t="inlineStr">
        <is>
          <t>2026-09-13 16:38</t>
        </is>
      </c>
      <c r="C48" s="26" t="inlineStr">
        <is>
          <t>Portfolio</t>
        </is>
      </c>
      <c r="D48" s="26" t="inlineStr">
        <is>
          <t>REACHABILITY GATE MADE PORTABLE — the highest-leverage item left that is not blocked on you, taken as far as this session allows. The audit moved out of MeetSync's test file into tools/reachability/: source directory and allowlist are configuration, so porting is a copy plus an empty JSON file. CRUCIALLY, MEETSYNC NOW RUNS THE EXACT MODULE ANOTHER PRODUCT WOULD DROP IN — writing an export and never exercising it would have been GAP-1 in miniature, and this project has made that mistake once already. MeetSync's 21 exemptions moved to test/reachability-allowlist.json, each with its reason. A FOURTH CHECK WAS ADDED while doing this: an assertion that the audit actually scanned something. Without it a broken path or a regex matching nothing would make the other three checks pass vacuously — which is precisely how a gate stops being a gate, and the earlier version had that hole.</t>
        </is>
      </c>
      <c r="E48" s="26" t="inlineStr">
        <is>
          <t>Handover #21, GAP-3, GAP-1</t>
        </is>
      </c>
      <c r="F48" s="26" t="inlineStr">
        <is>
          <t>No story flips — tooling</t>
        </is>
      </c>
      <c r="G48" s="26" t="inlineStr">
        <is>
          <t>Cannot run it against sibling products from this session</t>
        </is>
      </c>
      <c r="H48" s="26" t="inlineStr">
        <is>
          <t>E046</t>
        </is>
      </c>
    </row>
    <row r="49" ht="90.75" customHeight="1" s="20">
      <c r="A49" s="26" t="inlineStr">
        <is>
          <t>E046</t>
        </is>
      </c>
      <c r="B49" s="26" t="inlineStr">
        <is>
          <t>2026-09-13 16:38</t>
        </is>
      </c>
      <c r="C49" s="26" t="inlineStr">
        <is>
          <t>Portfolio</t>
        </is>
      </c>
      <c r="D49" s="26" t="inlineStr">
        <is>
          <t>WHAT THE PORTED GATE WILL AND WILL NOT TELL YOU, written into its README so nobody reads a green run as more than it is. It finds a capability referenced NOWHERE — the state deal-risk and the Indic pack were in here. It does NOT find weak reachability, which is what notes, extraction and CRM writeback were actually in: reachable, but only from a demo seeder, which is a code path no customer can take. It matches names across the whole tree, so two modules with a same-named method cover for each other — on MeetSync a private 'save' hid a real finding about Billing.save until it was renamed. And dynamic dispatch defeats it entirely. It is a floor, not a ceiling: it removes the easiest hiding place and leaves the judgement. Expect a noisy first run on any product that has never had one — the noise IS the finding.</t>
        </is>
      </c>
      <c r="E49" s="26" t="inlineStr">
        <is>
          <t>Handover #21</t>
        </is>
      </c>
      <c r="F49" s="26" t="inlineStr">
        <is>
          <t>Gate held at 100x4, 426 tests</t>
        </is>
      </c>
      <c r="G49" s="26" t="inlineStr">
        <is>
          <t>None</t>
        </is>
      </c>
      <c r="H49" s="26" t="inlineStr">
        <is>
          <t>v021 on handover or a sibling run</t>
        </is>
      </c>
    </row>
    <row r="50" ht="102" customHeight="1" s="20">
      <c r="A50" s="26" t="inlineStr">
        <is>
          <t>E047</t>
        </is>
      </c>
      <c r="B50" s="26" t="inlineStr">
        <is>
          <t>2026-09-13 16:44</t>
        </is>
      </c>
      <c r="C50" s="26" t="inlineStr">
        <is>
          <t>Reachability</t>
        </is>
      </c>
      <c r="D50" s="26" t="inlineStr">
        <is>
          <t>OBSERVABILITY LAYER WIRED — five of the seven telemetry stories were NOT REACHABLE in the v016 classification, and this closes them. An observability layer that observes nothing is worse than none, because its existence is taken as evidence that someone is watching. ST-072: the terminal error handler is the one place every unexpected failure passes through, so it is where errors are now recorded, tagged with the release. ST-073: every feature route feeds the heatmap, which previously counted nothing because hit() had no caller. ST-074/075/077: an operations digest rides the retention tick — one schedule rather than two, because a digest with its own timer that silently stopped would be invisible — with operator surfaces at /analytics/ops, /analytics/thresholds and /analytics/health-score. The reachability gate's stale check then flagged seven telemetry exemptions as no longer needed and they were removed: the gate maintaining its own allowlist is exactly what it was built for.</t>
        </is>
      </c>
      <c r="E50" s="26" t="inlineStr">
        <is>
          <t>ST-072..077, GAP-3</t>
        </is>
      </c>
      <c r="F50" s="26" t="inlineStr">
        <is>
          <t>Column L should move for 5 stories on your next pass</t>
        </is>
      </c>
      <c r="G50" s="26" t="inlineStr">
        <is>
          <t>None</t>
        </is>
      </c>
      <c r="H50" s="26" t="inlineStr">
        <is>
          <t>E048</t>
        </is>
      </c>
    </row>
    <row r="51" ht="102" customHeight="1" s="20">
      <c r="A51" s="26" t="inlineStr">
        <is>
          <t>E048</t>
        </is>
      </c>
      <c r="B51" s="26" t="inlineStr">
        <is>
          <t>2026-09-13 16:44</t>
        </is>
      </c>
      <c r="C51" s="26" t="inlineStr">
        <is>
          <t>Honesty</t>
        </is>
      </c>
      <c r="D51" s="26" t="inlineStr">
        <is>
          <t>A CHURN ALERT I WROTE AND THEN DELETED, recorded because the near-miss is the useful part. My first digest raised a churn-risk alert from the health score. The health score needs weekly active days, billing state and open ticket count PER ACCOUNT — and MeetSync measures none of those, so I had fabricated them from the tenant count. The tests caught it as a wrong number; the real problem was that the number was invented. That is the same class as the notification row that claimed an email had been sent by a channel with no sender (v021), and the same class as a green audit that scanned nothing (v026). Three times in one day this codebase has offered to tell me something it did not know. The alert was removed; healthScore stays reachable at /analytics/health-score where the CALLER supplies the inputs, which is honest about where the numbers come from. The deletion is documented in src/ops.ts and pinned by a test asserting the digest does not invent it.</t>
        </is>
      </c>
      <c r="E51" s="26" t="inlineStr">
        <is>
          <t>ST-075, v021 email row, v026 vacuous-gate check</t>
        </is>
      </c>
      <c r="F51" s="26" t="inlineStr">
        <is>
          <t>Gate held at 100x4, 441 tests</t>
        </is>
      </c>
      <c r="G51" s="26" t="inlineStr">
        <is>
          <t>No churn alerting until per-account usage is actually measured</t>
        </is>
      </c>
      <c r="H51" s="26" t="inlineStr">
        <is>
          <t>v022 on handover or a sibling gate run</t>
        </is>
      </c>
    </row>
    <row r="52" ht="90.75" customHeight="1" s="20">
      <c r="A52" s="26" t="inlineStr">
        <is>
          <t>E049</t>
        </is>
      </c>
      <c r="B52" s="26" t="inlineStr">
        <is>
          <t>2026-09-13 17:26</t>
        </is>
      </c>
      <c r="C52" s="26" t="inlineStr">
        <is>
          <t>Reachability</t>
        </is>
      </c>
      <c r="D52" s="26" t="inlineStr">
        <is>
          <t>ST-069 FINALLY COMPLETE — export-my-data shipped. Delete-my-data has shipped since v013 and export never did, so the data.export action sat in the role matrix gating nothing a customer could reach. A product that will erase your data on request but not hand it to you has done the easier half of the promise, and the half that costs it nothing. The export returns the account record, subscription, per-feature configuration and imported records, CRM mappings and writeback audit, onboarding progress and the account's own audit-log rows. It requires data.export and is ITSELF audit-logged, mirroring the deletion. OAUTH TOKENS ARE EXCLUDED ON PURPOSE and the response says so: they are credentials, not the customer's data, and exporting them would turn a portability feature into a way to walk off with an access token. A test asserts no token string appears anywhere in the payload.</t>
        </is>
      </c>
      <c r="E52" s="26" t="inlineStr">
        <is>
          <t>ST-069, GAP-3</t>
        </is>
      </c>
      <c r="F52" s="26" t="inlineStr">
        <is>
          <t>Column L: ST-069 moves PARTIAL to REACHABLE</t>
        </is>
      </c>
      <c r="G52" s="26" t="inlineStr">
        <is>
          <t>None</t>
        </is>
      </c>
      <c r="H52" s="26" t="inlineStr">
        <is>
          <t>E050</t>
        </is>
      </c>
    </row>
    <row r="53" ht="124.5" customHeight="1" s="20">
      <c r="A53" s="26" t="inlineStr">
        <is>
          <t>E050</t>
        </is>
      </c>
      <c r="B53" s="26" t="inlineStr">
        <is>
          <t>2026-09-13 17:26</t>
        </is>
      </c>
      <c r="C53" s="26" t="inlineStr">
        <is>
          <t>Correction</t>
        </is>
      </c>
      <c r="D53" s="26" t="inlineStr">
        <is>
          <t>I REVERSED MY OWN JUDGEMENT ON THE BILLING LIFECYCLE, and the reversal is the point of this entry. Twice I wrote that ST-058/060/061/062/063 would be 'theatre' without a payment processor and left all five unreachable. Re-reading it: that reasoning holds for invoices (a document itemising money that never moved) and for dunning (three emails with no sender), and does NOT hold for a plan change, a seat-limit prompt or a cancellation — those are customer state transitions that require no money to move, and a customer who cannot cancel because we have not connected Stripe is being failed by our excuse rather than our architecture. Three routes added: POST /billing/:id/plan with proration and the seat-limit guard, GET /billing/:id/seats for the 80/100% prompts, POST /billing/:id/cancel with the exit-survey reason required and the save-offer that refuses a downgrade the seat count cannot support. ST-060 and ST-062 remain unreachable, now allowlisted WITH the reason rather than left as an unexplained gap — as is markPaid, which must stay unwired because an account that can mark itself paid is a billing bypass.</t>
        </is>
      </c>
      <c r="E53" s="26" t="inlineStr">
        <is>
          <t>ST-058,060,061,062,063</t>
        </is>
      </c>
      <c r="F53" s="26" t="inlineStr">
        <is>
          <t>Column L: three stories move to REACHABLE, two stay NOT REACHABLE by design</t>
        </is>
      </c>
      <c r="G53" s="26" t="inlineStr">
        <is>
          <t>None</t>
        </is>
      </c>
      <c r="H53" s="26" t="inlineStr">
        <is>
          <t>v023 on handover or a sibling gate run</t>
        </is>
      </c>
    </row>
    <row r="54" ht="90.75" customHeight="1" s="20">
      <c r="A54" s="26" t="inlineStr">
        <is>
          <t>E051</t>
        </is>
      </c>
      <c r="B54" s="26" t="inlineStr">
        <is>
          <t>2026-09-13 19:00</t>
        </is>
      </c>
      <c r="C54" s="26" t="inlineStr">
        <is>
          <t>Verify</t>
        </is>
      </c>
      <c r="D54" s="26" t="inlineStr">
        <is>
          <t>TWO WRONG ASSUMPTIONS CAUGHT BEFORE ANY CODE WAS WRITTEN, which is the point of checking first. (1) I was about to handle recording.completed. Zoom fires that when the audio and video files finish processing — BEFORE a transcript exists. The transcript arrives on its own event, recording.transcript_completed, and a handler on the obvious event would have run reliably and found nothing, which is the hardest kind of bug to notice. (2) I assumed the download would use the account's OAuth access token. It does not: Zoom authorises these URLs with a download_token carried on the webhook itself, a sibling of event and payload, and OAuth tokens are not accepted. Zoom also delivers this event more than once, and the webhook dedupe window is only five minutes, so ingestion is idempotent on its own rather than leaning on that window.</t>
        </is>
      </c>
      <c r="E54" s="26" t="inlineStr">
        <is>
          <t>ST-070, VER-M0x class</t>
        </is>
      </c>
      <c r="F54" s="26" t="inlineStr">
        <is>
          <t>No story flips yet — see E052</t>
        </is>
      </c>
      <c r="G54" s="26" t="inlineStr">
        <is>
          <t>None</t>
        </is>
      </c>
      <c r="H54" s="26" t="inlineStr">
        <is>
          <t>E052</t>
        </is>
      </c>
    </row>
    <row r="55" ht="124.5" customHeight="1" s="20">
      <c r="A55" s="26" t="inlineStr">
        <is>
          <t>E052</t>
        </is>
      </c>
      <c r="B55" s="26" t="inlineStr">
        <is>
          <t>2026-09-13 19:00</t>
        </is>
      </c>
      <c r="C55" s="26" t="inlineStr">
        <is>
          <t>Reachability</t>
        </is>
      </c>
      <c r="D55" s="26" t="inlineStr">
        <is>
          <t>TRANSCRIPT INGESTION SHIPPED — recording.transcript_completed now downloads the VTT through ZoomClient, parses it, and derives action items and deal-risk signals, exposed at /meetings/:id/insights. This gives ZoomClient's retry and circuit breaker their FIRST CALLER (ST-070): the download path shares the backoff and breaker but deliberately does not retry a 401 and never refreshes, because a 401 there means the download_token is wrong or spent, not that the grant lapsed — retrying would be pointless and refreshing actively misleading. ST-055 (token rotation) stays unexercised and I am not claiming otherwise: these downloads do not use the OAuth token. Ingestion failures answer Zoom 200 and record the error rather than returning 5xx, because Zoom retries a 5xx three times and no retry fixes a malformed payload. Two parser details worth keeping: unattributed lines are kept with speaker 'unknown' rather than dropped (losing them would quietly lose the commitments of whoever was on a bad connection), and a URL in the text is no longer read as a speaker name — 'see https://example.com/deal' was being attributed to a speaker called 'see https'.</t>
        </is>
      </c>
      <c r="E55" s="26" t="inlineStr">
        <is>
          <t>ST-070, ST-055, GAP-3</t>
        </is>
      </c>
      <c r="F55" s="26" t="inlineStr">
        <is>
          <t>Column L: ST-070 moves to REACHABLE; ST-055 stays NOT REACHABLE</t>
        </is>
      </c>
      <c r="G55" s="26" t="inlineStr">
        <is>
          <t>Derived insights are process-local by choice — re-derivable from Zoom</t>
        </is>
      </c>
      <c r="H55" s="26" t="inlineStr">
        <is>
          <t>v024 on handover or a sibling gate run</t>
        </is>
      </c>
    </row>
    <row r="56" ht="113.25" customHeight="1" s="20">
      <c r="A56" s="26" t="inlineStr">
        <is>
          <t>E053</t>
        </is>
      </c>
      <c r="B56" s="26" t="inlineStr">
        <is>
          <t>2026-09-13 19:12</t>
        </is>
      </c>
      <c r="C56" s="26" t="inlineStr">
        <is>
          <t>Resilience</t>
        </is>
      </c>
      <c r="D56" s="26" t="inlineStr">
        <is>
          <t>RESTORE DRILL BUILT (ST-090) — the endpoint is the drill, not the backup, because taking a snapshot proves nothing. It snapshots every durable store, restores into an EMPTY set, snapshots that and compares checksums, never touching live data. Three decisions worth recording. (1) A failed drill answers 500, not 200 with ok:false: monitoring quietly treats a 200 as success, and a backup check that fails silently is worse than none. (2) The comparison is over a CANONICAL form with keys sorted at every level, so a driver returning columns in a different order cannot fail a restore that was actually perfect — a drill that cries wolf is not trusted twice. (3) The failure message names WHICH section diverged and whether it differs in size or content; 'the drill failed' alone sends someone diffing megabytes of JSON at the worst possible moment. restoreSnapshot refuses a snapshot whose checksum does not match its contents or whose format is newer than the build understands: restoring a corrupt backup over a live database is strictly worse than refusing.</t>
        </is>
      </c>
      <c r="E56" s="26" t="inlineStr">
        <is>
          <t>ST-090, OBS-M3</t>
        </is>
      </c>
      <c r="F56" s="26" t="inlineStr">
        <is>
          <t>Column L: ST-090 moves to REACHABLE</t>
        </is>
      </c>
      <c r="G56" s="26" t="inlineStr">
        <is>
          <t>None</t>
        </is>
      </c>
      <c r="H56" s="26" t="inlineStr">
        <is>
          <t>E054</t>
        </is>
      </c>
    </row>
    <row r="57" ht="79.5" customHeight="1" s="20">
      <c r="A57" s="26" t="inlineStr">
        <is>
          <t>E054</t>
        </is>
      </c>
      <c r="B57" s="26" t="inlineStr">
        <is>
          <t>2026-09-13 19:12</t>
        </is>
      </c>
      <c r="C57" s="26" t="inlineStr">
        <is>
          <t>Honesty</t>
        </is>
      </c>
      <c r="D57" s="26" t="inlineStr">
        <is>
          <t>WHAT THE DRILL DOES NOT PROVE, stated in the RUNBOOK and the module header so a green result cannot be reported as disaster recovery. It is not pg_dump and not point-in-time recovery: it touches no WAL, no roles, no extensions. It proves the APPLICATION's data round-trips — that every durable store can be captured and restored identically. 'The database can be rebuilt' is a different guarantee and neither covers the other; both need running. The webhook dedupe table is excluded on purpose because its rows expire in five minutes, so restoring them would restore rubbish and their absence after a restore is correct — an exclusion that would look like a bug to anyone reading the snapshot without the reason.</t>
        </is>
      </c>
      <c r="E57" s="26" t="inlineStr">
        <is>
          <t>ST-090, docs/RUNBOOK.md</t>
        </is>
      </c>
      <c r="F57" s="26" t="inlineStr">
        <is>
          <t>Gate held at 100x4, 497 tests</t>
        </is>
      </c>
      <c r="G57" s="26" t="inlineStr">
        <is>
          <t>Physical backup remains whoever runs the database</t>
        </is>
      </c>
      <c r="H57" s="26" t="inlineStr">
        <is>
          <t>v025 on handover or a sibling gate run</t>
        </is>
      </c>
    </row>
    <row r="58" ht="113.25" customHeight="1" s="20">
      <c r="A58" s="26" t="inlineStr">
        <is>
          <t>E055</t>
        </is>
      </c>
      <c r="B58" s="26" t="inlineStr">
        <is>
          <t>2026-09-13 19:27</t>
        </is>
      </c>
      <c r="C58" s="26" t="inlineStr">
        <is>
          <t>Security</t>
        </is>
      </c>
      <c r="D58" s="26" t="inlineStr">
        <is>
          <t>TOKENS ENCRYPTED AT REST (ST-066) — AES-256-GCM, key held outside the database in MEETSYNC_TOKEN_KEY. That placement is the entire point: a dump, a backup or a misdirected snapshot stops being a set of working credentials unless the key travelled with it. A refresh token has to stay usable, so it is encrypted rather than digested. GCM is authenticated, so a tampered ciphertext fails rather than yielding plausible rubbish that would then be sent to Zoom as a token. Rotation is supported through MEETSYNC_TOKEN_KEY_PREVIOUS — without it, rotating the key would lock every installed account out of Zoom at once — and rows written before v031 are read as plain text and re-encrypted on their next write, so upgrading needs no migration window. One detail worth keeping: Buffer.from(x,'base64') NEVER THROWS, it silently drops characters it does not recognise, so a typo can decode to exactly 32 bytes of something else and the deployment encrypts happily under a key nobody intended. parseKey re-encodes and compares to catch that; the test pins it.</t>
        </is>
      </c>
      <c r="E58" s="26" t="inlineStr">
        <is>
          <t>ST-066</t>
        </is>
      </c>
      <c r="F58" s="26" t="inlineStr">
        <is>
          <t>Column L: ST-066 moves to REACHABLE</t>
        </is>
      </c>
      <c r="G58" s="26" t="inlineStr">
        <is>
          <t>MEETSYNC_TOKEN_KEY now required at boot</t>
        </is>
      </c>
      <c r="H58" s="26" t="inlineStr">
        <is>
          <t>E056</t>
        </is>
      </c>
    </row>
    <row r="59" ht="102" customHeight="1" s="20">
      <c r="A59" s="26" t="inlineStr">
        <is>
          <t>E056</t>
        </is>
      </c>
      <c r="B59" s="26" t="inlineStr">
        <is>
          <t>2026-09-13 19:27</t>
        </is>
      </c>
      <c r="C59" s="26" t="inlineStr">
        <is>
          <t>Correction</t>
        </is>
      </c>
      <c r="D59" s="26" t="inlineStr">
        <is>
          <t>A DEFECT I INTRODUCED IN v030 AND FOUND BY REVIEWING MY OWN LAST SITTING. The restore-drill work added GET /admin/backup, which returned every account row — tokens included, in plain text — while /orgs/:id/export three routes away excluded exactly those fields, with a comment explaining why. I wrote both. Snapshots now carry no credentials at all. Two things make the exclusion CORRECT rather than merely safer: a refresh token rotates on every use, so one recovered from a day-old backup is dead anyway; and restoring a dead credential looks like a working install until the first API call fails, which is a worse failure than an obvious one. Restored accounts are flagged needsReauthorisation, and that flag sits OUTSIDE the checksummed body — otherwise a restore that correctly drops tokens would fail its own drill for doing the right thing, which took a moment to see and would have been baffling in six months.</t>
        </is>
      </c>
      <c r="E59" s="26" t="inlineStr">
        <is>
          <t>ST-090, ST-069, ST-066</t>
        </is>
      </c>
      <c r="F59" s="26" t="inlineStr">
        <is>
          <t>Gate held at 100x4, 511 tests</t>
        </is>
      </c>
      <c r="G59" s="26" t="inlineStr">
        <is>
          <t>None</t>
        </is>
      </c>
      <c r="H59" s="26" t="inlineStr">
        <is>
          <t>v026 on handover or a sibling gate run</t>
        </is>
      </c>
    </row>
    <row r="60" ht="79.5" customHeight="1" s="20">
      <c r="A60" s="26" t="inlineStr">
        <is>
          <t>E057</t>
        </is>
      </c>
      <c r="B60" s="26" t="inlineStr">
        <is>
          <t>2026-09-13 19:36</t>
        </is>
      </c>
      <c r="C60" s="26" t="inlineStr">
        <is>
          <t>Self-review</t>
        </is>
      </c>
      <c r="D60" s="26" t="inlineStr">
        <is>
          <t>SR-01: THE TENANT REGISTRY WAS AN UNBOUNDED LEDGER — the exact class M-F14 fixed across eight collections in the cold review, reintroduced hours later by the M-F04 fix that created the registry. It held one object graph per account ever seen and evicted nothing. Worth noting WHY it was easy to miss: when the registry was written, the graph WAS the state, so evicting it would have lost data and a cap would have been wrong. By v023 the state moved to Postgres and the graph became a cache — the same code changed meaning without changing a line. It now evicts least-recently-used, with a test proving an evicted tenant is a cache miss rather than data loss. A fix for one finding can create another, and a later change can turn correct code into incorrect code without touching it.</t>
        </is>
      </c>
      <c r="E60" s="26" t="inlineStr">
        <is>
          <t>SR-01, M-F04, M-F14</t>
        </is>
      </c>
      <c r="F60" s="26" t="inlineStr">
        <is>
          <t>No story flips — correctness</t>
        </is>
      </c>
      <c r="G60" s="26" t="inlineStr">
        <is>
          <t>None</t>
        </is>
      </c>
      <c r="H60" s="26" t="inlineStr">
        <is>
          <t>E058</t>
        </is>
      </c>
    </row>
    <row r="61" ht="102" customHeight="1" s="20">
      <c r="A61" s="26" t="inlineStr">
        <is>
          <t>E058</t>
        </is>
      </c>
      <c r="B61" s="26" t="inlineStr">
        <is>
          <t>2026-09-13 19:36</t>
        </is>
      </c>
      <c r="C61" s="26" t="inlineStr">
        <is>
          <t>Correction</t>
        </is>
      </c>
      <c r="D61" s="26" t="inlineStr">
        <is>
          <t>SR-02: CRM JOB IDS COULD COLLIDE, AND THIS CONTRADICTS WHAT I TOLD YOU AT v025. The id came from COUNT(*) + 1 on the jobs table. Two failure modes, both silent: trimming at the cap lowers the count until the next id matches a job already queued, and the upsert replaces it; and two instances enqueueing at the same moment read the same count, produce the same id, and one writeback overwrites the other. At v025 I said every piece of state two instances would disagree about was shared — that was true of the STORES and false of this, inside one of them. The claim holds as of v032; it did not hold when I made it, and docs/PERSISTENCE.md now says so rather than quietly reading as though it always did. The id is allocated by the database in the same statement that stores the row; BIGSERIAL was already on the table and simply was not being used for it. Contract tests on both implementations now assert ids stay distinct across cap trimming.</t>
        </is>
      </c>
      <c r="E61" s="26" t="inlineStr">
        <is>
          <t>SR-02, Handover #24, v025 claim</t>
        </is>
      </c>
      <c r="F61" s="26" t="inlineStr">
        <is>
          <t>Gate held at 100x4, 517 tests</t>
        </is>
      </c>
      <c r="G61" s="26" t="inlineStr">
        <is>
          <t>None</t>
        </is>
      </c>
      <c r="H61" s="26" t="inlineStr">
        <is>
          <t>v027 on handover or a sibling gate run</t>
        </is>
      </c>
    </row>
    <row r="62" ht="102" customHeight="1" s="20">
      <c r="A62" s="26" t="inlineStr">
        <is>
          <t>E059</t>
        </is>
      </c>
      <c r="B62" s="26" t="inlineStr">
        <is>
          <t>2026-09-13 19:41</t>
        </is>
      </c>
      <c r="C62" s="26" t="inlineStr">
        <is>
          <t>Self-review</t>
        </is>
      </c>
      <c r="D62" s="26" t="inlineStr">
        <is>
          <t>SR-03: THE SR-02 FIX REPLACED A RACE WITH A LOUDER ONE. To stop ids colliding I had the store INSERT a row with job_id='pending' and then UPDATE it to its real id. The table's primary key was (account_id, job_id) — so two concurrent enqueues for the same account collided on the placeholder and the SECOND INSERT FAILED OUTRIGHT. Proved against the live database rather than reasoned about. Fixed by removing the thing being allocated: the BIGSERIAL sequence IS the identity now and job_id is derived as wb-&lt;seq&gt; on read, so there is no window and nothing to collide on. This changed the table shape, and migrate() uses CREATE TABLE IF NOT EXISTS so it will NOT alter an existing one — recorded in the RUNBOOK with the observation that nothing is deployed today, and that had it been, the same change would have needed a written migration and a window with no warning from the code.</t>
        </is>
      </c>
      <c r="E62" s="26" t="inlineStr">
        <is>
          <t>SR-03, SR-02</t>
        </is>
      </c>
      <c r="F62" s="26" t="inlineStr">
        <is>
          <t>No story flips — correctness</t>
        </is>
      </c>
      <c r="G62" s="26" t="inlineStr">
        <is>
          <t>crm_jobs must be dropped and recreated if an old shape exists</t>
        </is>
      </c>
      <c r="H62" s="26" t="inlineStr">
        <is>
          <t>E060</t>
        </is>
      </c>
    </row>
    <row r="63" ht="102" customHeight="1" s="20">
      <c r="A63" s="26" t="inlineStr">
        <is>
          <t>E060</t>
        </is>
      </c>
      <c r="B63" s="26" t="inlineStr">
        <is>
          <t>2026-09-13 19:41</t>
        </is>
      </c>
      <c r="C63" s="26" t="inlineStr">
        <is>
          <t>Self-review</t>
        </is>
      </c>
      <c r="D63" s="26" t="inlineStr">
        <is>
          <t>SR-04: THE SR-01 FIX SILENTLY DISCONNECTED CUSTOMERS FROM THEIR CRM. LRU eviction drops the tenant graph, and the CrmSync inside it holds the registered adapters — which are deliberately process-local, because a connection is not state. So a workspace that had connected its CRM kept working until enough OTHER workspaces were active, then started failing writebacks with UnknownTargetError and no event to explain the change. The symptom would have appeared days after the cause and only under load. Adapters are now held at registry level and re-applied when a graph is rebuilt; a test connects a CRM, forces eviction, and asserts the writeback still queues. A follow-on the restore path needed too: restoring a queue inserts ids the allocator never issued, so the sequence is advanced past them — otherwise the next enqueue after a restore would collide with a restored job, which is SR-02 arriving through a different door.</t>
        </is>
      </c>
      <c r="E63" s="26" t="inlineStr">
        <is>
          <t>SR-04, SR-01, ST-090</t>
        </is>
      </c>
      <c r="F63" s="26" t="inlineStr">
        <is>
          <t>Gate held at 100x4, 533 tests</t>
        </is>
      </c>
      <c r="G63" s="26" t="inlineStr">
        <is>
          <t>CRM adapters remain process-local by design</t>
        </is>
      </c>
      <c r="H63" s="26" t="inlineStr">
        <is>
          <t>v028 after reviewing v033</t>
        </is>
      </c>
    </row>
    <row r="64" ht="68.25" customHeight="1" s="20">
      <c r="A64" s="26" t="inlineStr">
        <is>
          <t>E061</t>
        </is>
      </c>
      <c r="B64" s="26" t="inlineStr">
        <is>
          <t>2026-09-13 19:41</t>
        </is>
      </c>
      <c r="C64" s="26" t="inlineStr">
        <is>
          <t>Process</t>
        </is>
      </c>
      <c r="D64" s="26" t="inlineStr">
        <is>
          <t>THE REVIEW STEP EARNED ITS PLACE ON ITS FIRST OUTING. Four self-review findings now, across two sittings, and every one of them was a defect INTRODUCED BY A FIX FOR AN EARLIER FINDING: M-F14's class reappeared in M-F04's registry (SR-01); SR-02's fix created SR-03; SR-01's fix created SR-04. None was caught by the cold review, the verification sweep, the reachability gate or the test suite, because each of those asks whether the code is right — and the question that keeps paying is whether the LAST CHANGE made something else wrong. Worth noting the shape for the other products: the risk is concentrated in fixes, not features.</t>
        </is>
      </c>
      <c r="E64" s="26" t="inlineStr">
        <is>
          <t>Handover #28, SR-01..SR-04</t>
        </is>
      </c>
      <c r="F64" s="26" t="inlineStr">
        <is>
          <t>No story impact — process</t>
        </is>
      </c>
      <c r="G64" s="26" t="inlineStr">
        <is>
          <t>None</t>
        </is>
      </c>
      <c r="H64" s="26" t="inlineStr">
        <is>
          <t>v028</t>
        </is>
      </c>
    </row>
    <row r="65" ht="102" customHeight="1" s="20">
      <c r="A65" s="26" t="inlineStr">
        <is>
          <t>E062</t>
        </is>
      </c>
      <c r="B65" s="26" t="inlineStr">
        <is>
          <t>2026-09-13 20:01</t>
        </is>
      </c>
      <c r="C65" s="26" t="inlineStr">
        <is>
          <t>Self-review</t>
        </is>
      </c>
      <c r="D65" s="26" t="inlineStr">
        <is>
          <t>SR-05: A RESTORE COULD MOVE ONE ACCOUNT'S QUEUED WRITEBACK TO ANOTHER ACCOUNT. restoreJob, which I added in v033 so the restore path could keep ids the CRM audit trail references, resolved an id collision with ON CONFLICT (seq) DO UPDATE SET account_id = EXCLUDED.account_id. So restoring account B's queue onto a store already holding that seq for account A REASSIGNED A's job to B — A silently lost a writeback it believed was in flight, and B gained one it never created. Proved against the live database rather than argued: victim ended with zero jobs, thief with the victim's row. This is the M-F04 tenant-isolation class, the finding this whole review programme started from, arriving through a path built to fix something else two sittings ago. A collision across accounts is now REFUSED rather than resolved; within one account it still updates, which is what a re-run restore needs.</t>
        </is>
      </c>
      <c r="E65" s="26" t="inlineStr">
        <is>
          <t>SR-05, M-F04, ST-090</t>
        </is>
      </c>
      <c r="F65" s="26" t="inlineStr">
        <is>
          <t>No story flips — correctness</t>
        </is>
      </c>
      <c r="G65" s="26" t="inlineStr">
        <is>
          <t>None</t>
        </is>
      </c>
      <c r="H65" s="26" t="inlineStr">
        <is>
          <t>E063</t>
        </is>
      </c>
    </row>
    <row r="66" ht="79.5" customHeight="1" s="20">
      <c r="A66" s="26" t="inlineStr">
        <is>
          <t>E063</t>
        </is>
      </c>
      <c r="B66" s="26" t="inlineStr">
        <is>
          <t>2026-09-13 20:01</t>
        </is>
      </c>
      <c r="C66" s="26" t="inlineStr">
        <is>
          <t>Self-review</t>
        </is>
      </c>
      <c r="D66" s="26" t="inlineStr">
        <is>
          <t>SR-06: THE TWO CrmStore IMPLEMENTATIONS ALLOCATED IDS FROM DIFFERENT SPACES — per-account counters in memory, one global sequence in Postgres. The contract suite exists precisely so the two cannot drift, and it had been passing throughout, because it compared behaviour on everything EXCEPT the identifiers. That is exactly where SR-05 turned out to matter: in memory two accounts can both hold wb-1 legitimately, in Postgres they cannot, so the cross-account collision the durable store could hit was invisible to the in-memory one. Unified to a single id space, and the contract now asserts it. The lesson is narrower than 'test more': a contract suite guarantees only what it compares, and the thing it quietly excluded was the thing that broke.</t>
        </is>
      </c>
      <c r="E66" s="26" t="inlineStr">
        <is>
          <t>SR-06, SR-05</t>
        </is>
      </c>
      <c r="F66" s="26" t="inlineStr">
        <is>
          <t>Gate held at 100x4, 540 tests</t>
        </is>
      </c>
      <c r="G66" s="26" t="inlineStr">
        <is>
          <t>None</t>
        </is>
      </c>
      <c r="H66" s="26" t="inlineStr">
        <is>
          <t>E064</t>
        </is>
      </c>
    </row>
    <row r="67" ht="79.5" customHeight="1" s="20">
      <c r="A67" s="26" t="inlineStr">
        <is>
          <t>E064</t>
        </is>
      </c>
      <c r="B67" s="26" t="inlineStr">
        <is>
          <t>2026-09-13 20:01</t>
        </is>
      </c>
      <c r="C67" s="26" t="inlineStr">
        <is>
          <t>Process</t>
        </is>
      </c>
      <c r="D67" s="26" t="inlineStr">
        <is>
          <t>SIX SELF-REVIEW FINDINGS, EVERY ONE INTRODUCED BY A FIX. SR-01 from M-F04's fix; SR-03 from SR-02's fix; SR-04 from SR-01's fix; SR-05 from the SR-03/ST-090 restore path; SR-06 latent alongside it. Three of the six were introduced the same day they were found. Two observations worth carrying to the other eleven products. FIRST: the danger is concentrated in fixes, not features — a fix is written under the belief that the surrounding code is understood, which is exactly when it is not. SECOND: each fix in this chain was individually reasonable and reviewed, and the defects came from the INTERACTION with code changed hours earlier. No single-pass review catches that, which is why the review has to run on the PREVIOUS sitting rather than the current one.</t>
        </is>
      </c>
      <c r="E67" s="26" t="inlineStr">
        <is>
          <t>SR-01..SR-06, Handover #28</t>
        </is>
      </c>
      <c r="F67" s="26" t="inlineStr">
        <is>
          <t>No story impact — process</t>
        </is>
      </c>
      <c r="G67" s="26" t="inlineStr">
        <is>
          <t>None</t>
        </is>
      </c>
      <c r="H67" s="26" t="inlineStr">
        <is>
          <t>v029: review v034 first</t>
        </is>
      </c>
    </row>
    <row r="68" ht="113.25" customHeight="1" s="20">
      <c r="A68" s="26" t="inlineStr">
        <is>
          <t>E065</t>
        </is>
      </c>
      <c r="B68" s="26" t="inlineStr">
        <is>
          <t>2026-09-13 20:09</t>
        </is>
      </c>
      <c r="C68" s="26" t="inlineStr">
        <is>
          <t>Self-review</t>
        </is>
      </c>
      <c r="D68" s="26" t="inlineStr">
        <is>
          <t>SR-07: THE RESTORE IS NOT ATOMIC, AND NOTHING SAID SO. restoreSnapshot writes accounts, then subscriptions, then the audit log, then feature state, then the CRM queue — with no transaction around any of it, because the stores are interfaces over whatever a deployment configured and none of them exposes one. A failure part-way through therefore leaves the target holding part of the snapshot and part of whatever it had, with nothing recording which. On an empty target that is recoverable: empty it and run again. On a live one it is a silent merge of two different points in time, which is a worse state than either the backup or the original — and precisely the state someone reaches for a backup to escape. Restoring onto live data is now REFUSED rather than supported badly, and the RUNBOOK gives the real procedure: provision an empty database, restore into it, verify, cut over. This was not a defect in the code so much as a missing boundary on what the tool was for; the guard also makes SR-05 unreachable in practice, which is a useful second line rather than a substitute for the fix.</t>
        </is>
      </c>
      <c r="E68" s="26" t="inlineStr">
        <is>
          <t>SR-07, SR-05, ST-090</t>
        </is>
      </c>
      <c r="F68" s="26" t="inlineStr">
        <is>
          <t>No story flips — scope and safety</t>
        </is>
      </c>
      <c r="G68" s="26" t="inlineStr">
        <is>
          <t>Live-target restore unsupported by design</t>
        </is>
      </c>
      <c r="H68" s="26" t="inlineStr">
        <is>
          <t>E066</t>
        </is>
      </c>
    </row>
    <row r="69" ht="79.5" customHeight="1" s="20">
      <c r="A69" s="26" t="inlineStr">
        <is>
          <t>E066</t>
        </is>
      </c>
      <c r="B69" s="26" t="inlineStr">
        <is>
          <t>2026-09-13 20:09</t>
        </is>
      </c>
      <c r="C69" s="26" t="inlineStr">
        <is>
          <t>Process</t>
        </is>
      </c>
      <c r="D69" s="26" t="inlineStr">
        <is>
          <t>THE REVIEW CHAIN IS CONVERGING, and saying so matters as much as the findings. Two findings from reviewing v032, two from v033, one from v034 — and this one is a missing boundary rather than a defect that could lose data. The earlier rounds found cross-tenant data movement and silent queue corruption; this round found an undocumented limitation. That is what running out of defects looks like, and it is the point at which continuing to review the review starts costing more than it returns. Recommendation: keep the review as a habit at the START of any sitting that follows a change, but stop releasing a version per review round. If the review of v035 finds nothing, treat the chain as closed.</t>
        </is>
      </c>
      <c r="E69" s="26" t="inlineStr">
        <is>
          <t>SR-01..SR-07, Handover #28</t>
        </is>
      </c>
      <c r="F69" s="26" t="inlineStr">
        <is>
          <t>No story impact — process</t>
        </is>
      </c>
      <c r="G69" s="26" t="inlineStr">
        <is>
          <t>None</t>
        </is>
      </c>
      <c r="H69" s="26" t="inlineStr">
        <is>
          <t>v030: review v035, then stop if clean</t>
        </is>
      </c>
    </row>
    <row r="70" ht="90.75" customHeight="1" s="20">
      <c r="A70" s="26" t="inlineStr">
        <is>
          <t>E067</t>
        </is>
      </c>
      <c r="B70" s="26" t="inlineStr">
        <is>
          <t>2026-09-13 20:14</t>
        </is>
      </c>
      <c r="C70" s="26" t="inlineStr">
        <is>
          <t>Self-review</t>
        </is>
      </c>
      <c r="D70" s="26" t="inlineStr">
        <is>
          <t>SR-08: THE EMPTINESS GUARD CHECKED ONE STORE OUT OF FIVE. The v035 guard refused a restore into a target that already held accounts — and looked no further, so a target carrying subscriptions or audit rows from a previous failed attempt passed it and merged, which is the exact scenario the guard was written to prevent. It now checks every store that can be enumerated globally. Feature state and CRM rows cannot be: both are addressed BY ACCOUNT, so with no accounts present there is no key to look them up by. That limit is written into the code with the reason it is survivable — takeSnapshot also walks the account list, so rows orphaned from every account are invisible to the snapshot and to the comparison alike, making them a database-cleanup problem rather than a restore-correctness one.</t>
        </is>
      </c>
      <c r="E70" s="26" t="inlineStr">
        <is>
          <t>SR-08, SR-07</t>
        </is>
      </c>
      <c r="F70" s="26" t="inlineStr">
        <is>
          <t>No story flips — correctness of a guard</t>
        </is>
      </c>
      <c r="G70" s="26" t="inlineStr">
        <is>
          <t>Orphaned feature/CRM rows are not detectable from the application</t>
        </is>
      </c>
      <c r="H70" s="26" t="inlineStr">
        <is>
          <t>E068</t>
        </is>
      </c>
    </row>
    <row r="71" ht="90.75" customHeight="1" s="20">
      <c r="A71" s="26" t="inlineStr">
        <is>
          <t>E068</t>
        </is>
      </c>
      <c r="B71" s="26" t="inlineStr">
        <is>
          <t>2026-09-13 20:14</t>
        </is>
      </c>
      <c r="C71" s="26" t="inlineStr">
        <is>
          <t>Process</t>
        </is>
      </c>
      <c r="D71" s="26" t="inlineStr">
        <is>
          <t>SELF-REVIEW CHAIN CLOSED, on the convergence criterion set in E066 rather than on running out of patience. Eight findings, severity falling the whole way: SR-05 could move a queued writeback between tenants; SR-03 and SR-04 could corrupt or silently disconnect; SR-07 was a missing boundary; SR-08 was an incomplete precondition in a guard the previous round had just written. Nothing in this round touched the product — it touched the review's own output, which is the signal to stop. The step stays as a HABIT at the start of any sitting that follows a change; it no longer earns its own release. For the portfolio the transferable claim is narrow and, I think, well-evidenced by now: after a run of fixes, review the fixes before building anything else, because that is where the defects were — six of eight were introduced by a fix, and three the same day.</t>
        </is>
      </c>
      <c r="E71" s="26" t="inlineStr">
        <is>
          <t>SR-01..SR-08, Handover #28</t>
        </is>
      </c>
      <c r="F71" s="26" t="inlineStr">
        <is>
          <t>No story impact — process</t>
        </is>
      </c>
      <c r="G71" s="26" t="inlineStr">
        <is>
          <t>None</t>
        </is>
      </c>
      <c r="H71" s="26" t="inlineStr">
        <is>
          <t>Nothing buildable left that is not blocked on Senthil</t>
        </is>
      </c>
    </row>
    <row r="72" ht="90.75" customHeight="1" s="20">
      <c r="A72" s="26" t="inlineStr">
        <is>
          <t>E069</t>
        </is>
      </c>
      <c r="B72" s="26" t="inlineStr">
        <is>
          <t>2026-09-13 20:24</t>
        </is>
      </c>
      <c r="C72" s="26" t="inlineStr">
        <is>
          <t>Honesty</t>
        </is>
      </c>
      <c r="D72" s="26" t="inlineStr">
        <is>
          <t>THE BUDGET DOCUMENT NAMED TWO ENFORCERS AND HAD NEITHER. docs/PERF_BUDGETS.md has carried p95 budgets since 5 Sep with an 'Enforced by' column reading 'k6 threshold' and a footer claiming monitoring 'via PostHog + Sentry release tags'. PostHog and Sentry appear NOWHERE in this codebase and never have; the k6 harness is real but has never been run against a deployment; Lighthouse CI does not exist. Every budget in that table was enforced by nothing while the document asserted otherwise — the same shape as the notification row recording an email that was never sent (v021) and the ops alert built from invented inputs (v027). Third occurrence of a document or a record claiming knowledge the system does not have. The table now names what is actually there, including the entries that are NOT SET UP.</t>
        </is>
      </c>
      <c r="E72" s="26" t="inlineStr">
        <is>
          <t>ST-087</t>
        </is>
      </c>
      <c r="F72" s="26" t="inlineStr">
        <is>
          <t>Column L: ST-087 moves PARTIAL to REACHABLE</t>
        </is>
      </c>
      <c r="G72" s="26" t="inlineStr">
        <is>
          <t>None</t>
        </is>
      </c>
      <c r="H72" s="26" t="inlineStr">
        <is>
          <t>E070</t>
        </is>
      </c>
    </row>
    <row r="73" ht="113.25" customHeight="1" s="20">
      <c r="A73" s="26" t="inlineStr">
        <is>
          <t>E070</t>
        </is>
      </c>
      <c r="B73" s="26" t="inlineStr">
        <is>
          <t>2026-09-13 20:24</t>
        </is>
      </c>
      <c r="C73" s="26" t="inlineStr">
        <is>
          <t>Reachability</t>
        </is>
      </c>
      <c r="D73" s="26" t="inlineStr">
        <is>
          <t>LATENCY MEASURED AGAINST THE PUBLISHED BUDGETS. Middleware times each request and labels it by ROUTE PATTERN rather than path, or the label set would grow with the customer list and every p95 would be computed over a single request. p95 is nearest-rank over the most recent 500 samples per route: bounded because a p95 since boot mostly describes last week, nearest-rank because interpolation invents precision nine requests do not contain. A route over budget raises a latency_breach in the operations digest naming the route and both numbers — 'latency is high' is not actionable at 3am. Only routes with a declared budget can breach: an unbudgeted route is unmeasured, not failing, and listing it would train operators to ignore the list. WRITTEN INTO THE DOC RATHER THAN LEFT TO BE ASSUMED: this is server handling time only, excluding DNS, TLS, network and rendering, so a green p95 and a product that feels slow are entirely compatible. The 2s UI budget remains unmeasured and needs a client-side agent, which is a vendor decision.</t>
        </is>
      </c>
      <c r="E73" s="26" t="inlineStr">
        <is>
          <t>ST-087, ST-088</t>
        </is>
      </c>
      <c r="F73" s="26" t="inlineStr">
        <is>
          <t>Gate held at 100x4, 556 tests</t>
        </is>
      </c>
      <c r="G73" s="26" t="inlineStr">
        <is>
          <t>UI latency still unmeasured; needs a RUM vendor decision</t>
        </is>
      </c>
      <c r="H73" s="26" t="inlineStr">
        <is>
          <t>v032 on handover</t>
        </is>
      </c>
    </row>
    <row r="74" ht="57" customHeight="1" s="20">
      <c r="A74" s="26" t="inlineStr">
        <is>
          <t>E071</t>
        </is>
      </c>
      <c r="B74" s="26" t="inlineStr">
        <is>
          <t>2026-09-13 20:24</t>
        </is>
      </c>
      <c r="C74" s="26" t="inlineStr">
        <is>
          <t>Correction</t>
        </is>
      </c>
      <c r="D74" s="26" t="inlineStr">
        <is>
          <t>I TOLD YOU LAST SITTING THAT NOTHING BUILDABLE REMAINED. That was wrong, and the error is worth recording because it is the kind I should be slowest to make: ST-087 was sitting in my own v016 classification as PARTIAL with the note 'budgets are defined; nothing measures or monitors them at runtime'. I wrote that note and then declared the list empty without re-reading it. The remaining list is now genuinely down to items needing you or a vendor — but the lesson is to re-read the register before declaring it exhausted, not to trust my recollection of it.</t>
        </is>
      </c>
      <c r="E74" s="26" t="inlineStr">
        <is>
          <t>ST-087, Reachability sheet</t>
        </is>
      </c>
      <c r="F74" s="26" t="inlineStr">
        <is>
          <t>No story impact — process</t>
        </is>
      </c>
      <c r="G74" s="26" t="inlineStr">
        <is>
          <t>None</t>
        </is>
      </c>
      <c r="H74" s="26" t="inlineStr">
        <is>
          <t>v032</t>
        </is>
      </c>
    </row>
    <row r="75" ht="102" customHeight="1" s="20">
      <c r="A75" s="26" t="inlineStr">
        <is>
          <t>E072</t>
        </is>
      </c>
      <c r="B75" s="26" t="inlineStr">
        <is>
          <t>2026-09-13 20:36</t>
        </is>
      </c>
      <c r="C75" s="26" t="inlineStr">
        <is>
          <t>Correction</t>
        </is>
      </c>
      <c r="D75" s="26" t="inlineStr">
        <is>
          <t>THE REGISTER I TOLD YOU TO TRUST WAS THE STALEST ARTEFACT IN THE PROJECT. I ended eleven consecutive sittings with some version of 'column L moves for X on your next pass' — and never once made the pass. So the Customer-reachable column described the product as it stood at 11:32 while the code moved from v020 to v038, and anyone reading it would have concluded that billing lifecycle, encryption at rest, data export, the observability layer, the restore drill and the latency budgets were all still unreachable. Every one of them shipped today. This is the same failure as the Full_Backlog that still read all-Backlog after eight days of execution (E037) — I diagnosed that one and then recreated it in the column I added to fix it. Now current: 75 reachable / 10 partial / 7 pending live / 8 not reachable, each moved row citing the version that moved it. NOT a reclassification — a day of work finally written down.</t>
        </is>
      </c>
      <c r="E75" s="26" t="inlineStr">
        <is>
          <t>Handover #20, E037</t>
        </is>
      </c>
      <c r="F75" s="26" t="inlineStr">
        <is>
          <t>19 rows moved in column L; no story STATUS values touched</t>
        </is>
      </c>
      <c r="G75" s="26" t="inlineStr">
        <is>
          <t>None</t>
        </is>
      </c>
      <c r="H75" s="26" t="inlineStr">
        <is>
          <t>E073</t>
        </is>
      </c>
    </row>
    <row r="76" ht="113.25" customHeight="1" s="20">
      <c r="A76" s="26" t="inlineStr">
        <is>
          <t>E073</t>
        </is>
      </c>
      <c r="B76" s="26" t="inlineStr">
        <is>
          <t>2026-09-13 20:36</t>
        </is>
      </c>
      <c r="C76" s="26" t="inlineStr">
        <is>
          <t>Self-review</t>
        </is>
      </c>
      <c r="D76" s="26" t="inlineStr">
        <is>
          <t>THE LATENCY MIDDLEWARE COUNTED ONLY REQUESTS THAT FINISHED. v037 listened for 'finish' alone, so a request the client abandoned was never recorded — and a request slow enough to be abandoned is exactly the one a latency budget exists to catch. The p95 was biased optimistic on precisely the pathological cases, which is the worst possible direction for a measurement whose job is to notice trouble. Now listens for 'close' as well, with a flag so each request counts once, and an abandoned one gets its own label rather than flattering the healthy route. The timing logic moved out of the inline closure into an exported seam because an abandoned connection cannot be provoked on demand through a real request, and a branch only production can reach is a branch nobody has checked. ALSO ST-096: the trust page existed solely as a file in docs/ — a trust page nobody can open is a document about trust. Served at /trust from the same config the product enforces, so what it states about residency and retention cannot drift from what the code does.</t>
        </is>
      </c>
      <c r="E76" s="26" t="inlineStr">
        <is>
          <t>ST-087, ST-096</t>
        </is>
      </c>
      <c r="F76" s="26" t="inlineStr">
        <is>
          <t>Column L: ST-096 moves to REACHABLE</t>
        </is>
      </c>
      <c r="G76" s="26" t="inlineStr">
        <is>
          <t>UI latency still unmeasured — needs a RUM vendor</t>
        </is>
      </c>
      <c r="H76" s="26" t="inlineStr">
        <is>
          <t>v033 on handover</t>
        </is>
      </c>
    </row>
    <row r="77" ht="79.5" customHeight="1" s="20">
      <c r="A77" s="26" t="inlineStr">
        <is>
          <t>E074</t>
        </is>
      </c>
      <c r="B77" s="26" t="inlineStr">
        <is>
          <t>2026-09-13 20:46</t>
        </is>
      </c>
      <c r="C77" s="26" t="inlineStr">
        <is>
          <t>Honesty</t>
        </is>
      </c>
      <c r="D77" s="26" t="inlineStr">
        <is>
          <t>THE TRUST PAGE ASSERTED A SECURITY PROPERTY IT COULD NOT KNOW. /trust, added an hour earlier, returned tokensEncryptedAtRest: true as a literal. Encryption at rest depends on the account store having been handed a cipher — the in-memory store never is, and a deployment that skipped MEETSYNC_TOKEN_KEY would not boot but a differently-wired one could. So the single page a customer reads to decide whether to trust us was publishing a claim the running system might not meet. It now reports what the composition root actually configured, defaulting to false, and a test covers both states. Of everywhere in this codebase that could overstate, this was the worst place for it.</t>
        </is>
      </c>
      <c r="E77" s="26" t="inlineStr">
        <is>
          <t>ST-096, ST-066</t>
        </is>
      </c>
      <c r="F77" s="26" t="inlineStr">
        <is>
          <t>No story flips</t>
        </is>
      </c>
      <c r="G77" s="26" t="inlineStr">
        <is>
          <t>None</t>
        </is>
      </c>
      <c r="H77" s="26" t="inlineStr">
        <is>
          <t>E075</t>
        </is>
      </c>
    </row>
    <row r="78" ht="102" customHeight="1" s="20">
      <c r="A78" s="26" t="inlineStr">
        <is>
          <t>E075</t>
        </is>
      </c>
      <c r="B78" s="26" t="inlineStr">
        <is>
          <t>2026-09-13 20:46</t>
        </is>
      </c>
      <c r="C78" s="26" t="inlineStr">
        <is>
          <t>Correction</t>
        </is>
      </c>
      <c r="D78" s="26" t="inlineStr">
        <is>
          <t>I OVER-GRADED THREE ROWS IN THE REFRESH I MADE TWENTY MINUTES AGO — while the entry justifying that refresh was about not overstating. ST-074 reads 'Weekly automated metrics EMAIL to team'; the digest is computed and readable at an endpoint and no mail sender exists, so the automated part is not done: PARTIAL. ST-072 asks for an ALERT on error-rate spike; the alert is raised into a sink whose default retains it in memory for an operator to find, and an alert nobody is notified of is a dashboard entry: PARTIAL. ST-075 asks for a health score computed PER ACCOUNT from usage, billing and support; the route computes it from inputs the CALLER supplies, because the product measures none of those per account — it is a calculator, not a measurement: PARTIAL. Corrected rollup 72/13/7/8. The pattern worth naming: correcting a stale artefact is itself an opportunity to overstate, because the corrector is pleased with the correction.</t>
        </is>
      </c>
      <c r="E78" s="26" t="inlineStr">
        <is>
          <t>ST-072, ST-074, ST-075, E072</t>
        </is>
      </c>
      <c r="F78" s="26" t="inlineStr">
        <is>
          <t>Three rows regraded REACHABLE to PARTIAL</t>
        </is>
      </c>
      <c r="G78" s="26" t="inlineStr">
        <is>
          <t>None</t>
        </is>
      </c>
      <c r="H78" s="26" t="inlineStr">
        <is>
          <t>v034 on handover</t>
        </is>
      </c>
    </row>
    <row r="79" ht="124.5" customHeight="1" s="20">
      <c r="A79" s="26" t="inlineStr">
        <is>
          <t>E076</t>
        </is>
      </c>
      <c r="B79" s="26" t="inlineStr">
        <is>
          <t>2026-09-13 20:49</t>
        </is>
      </c>
      <c r="C79" s="26" t="inlineStr">
        <is>
          <t>Reachability</t>
        </is>
      </c>
      <c r="D79" s="26" t="inlineStr">
        <is>
          <t>ALERTS NOW REACH SOMEONE (ST-072). An hour ago I regraded this row from REACHABLE to PARTIAL on the grounds that an alert nobody is notified of is a dashboard entry; this closes it on those terms rather than by softening them. A WEBHOOK, not an integration: the operator supplies an https URL and points it at whatever they already run, because choosing Slack or PagerDuty on your behalf is not my decision and is one more thing to deploy. https only — an alert body names the account in trouble, and posting that in the clear would leak it to anyone on the path. THE LIMITS ARE WRITTEN WHERE THE SINK IS READ, because they matter more than the feature: at most once with no retry and no queue, so a down endpoint loses that alert and /analytics/ops holds the only copy; fire-and-forget, because the digest rides the retention tick and an alerting path that could fail that tick would trade a missed notification for a missed data purge; and not a paging system — no escalation, no acknowledgement. A delivery failure is recorded in the error log the digest itself reads, so a webhook that has quietly stopped working surfaces as a rising error count rather than as silence.</t>
        </is>
      </c>
      <c r="E79" s="26" t="inlineStr">
        <is>
          <t>ST-072</t>
        </is>
      </c>
      <c r="F79" s="26" t="inlineStr">
        <is>
          <t>Column L: ST-072 back to REACHABLE, on the stricter reading</t>
        </is>
      </c>
      <c r="G79" s="26" t="inlineStr">
        <is>
          <t>ST-074 stays PARTIAL: a webhook is not the email the story asks for</t>
        </is>
      </c>
      <c r="H79" s="26" t="inlineStr">
        <is>
          <t>v035 on handover</t>
        </is>
      </c>
    </row>
    <row r="80" ht="113.25" customHeight="1" s="20">
      <c r="A80" s="26" t="inlineStr">
        <is>
          <t>E077</t>
        </is>
      </c>
      <c r="B80" s="26" t="inlineStr">
        <is>
          <t>2026-09-13 21:53</t>
        </is>
      </c>
      <c r="C80" s="26" t="inlineStr">
        <is>
          <t>Honesty</t>
        </is>
      </c>
      <c r="D80" s="26" t="inlineStr">
        <is>
          <t>A CORRECT RULE WITH A FALSE JUSTIFICATION. v040 required the alert webhook to be https and explained why in three places — the config validation, the sink module and the RUNBOOK — with the same sentence: an alert body names the account in trouble. It does not, and never has. Every alert detail describes the DEPLOYMENT: an error rate, an activation percentage, a route and its budget. No alert has ever contained an account id. The rule stands on its own merits and is unchanged; the reason is corrected in all three places. WHAT MADE THIS WORTH A RELEASE rather than a comment edit: the false claim described a property the system genuinely has and should keep — alerts go to a webhook the operator points wherever they like, commonly a shared chat channel, so tenant identity does not belong in them. That is now an INVARIANT on OpsAlert with a test that fires every alert kind with three named accounts present and asserts none appears in any body, rather than a sentence someone could quietly outgrow. A future alert that genuinely needs an account needs a different delivery path, not a widening of this one.</t>
        </is>
      </c>
      <c r="E80" s="26" t="inlineStr">
        <is>
          <t>ST-072</t>
        </is>
      </c>
      <c r="F80" s="26" t="inlineStr">
        <is>
          <t>No story flips — the row already reads REACHABLE on the stricter terms</t>
        </is>
      </c>
      <c r="G80" s="26" t="inlineStr">
        <is>
          <t>None</t>
        </is>
      </c>
      <c r="H80" s="26" t="inlineStr">
        <is>
          <t>v036 on handover</t>
        </is>
      </c>
    </row>
    <row r="81" ht="68.25" customHeight="1" s="20">
      <c r="A81" s="26" t="inlineStr">
        <is>
          <t>E078</t>
        </is>
      </c>
      <c r="B81" s="26" t="inlineStr">
        <is>
          <t>2026-09-13 21:53</t>
        </is>
      </c>
      <c r="C81" s="26" t="inlineStr">
        <is>
          <t>Process</t>
        </is>
      </c>
      <c r="D81" s="26" t="inlineStr">
        <is>
          <t>THE REVIEW IS NOW FINDING PROSE, NOT CODE. Three consecutive sittings of self-review have moved from cross-tenant data movement (SR-05), to an optimistically-biased measurement (v038), to an over-graded register (v039), to a true statement supporting a false one (this). The severity gradient has been monotonic and has reached its floor: this round changed three comments and added a test. Recommendation unchanged from E068 and now firmer — keep the review as a habit, stop giving it its own release. The next sitting should not be another review unless something was built to review.</t>
        </is>
      </c>
      <c r="E81" s="26" t="inlineStr">
        <is>
          <t>E068, E075, SR-01..SR-08</t>
        </is>
      </c>
      <c r="F81" s="26" t="inlineStr">
        <is>
          <t>No story impact — process</t>
        </is>
      </c>
      <c r="G81" s="26" t="inlineStr">
        <is>
          <t>None</t>
        </is>
      </c>
      <c r="H81" s="26" t="inlineStr">
        <is>
          <t>Nothing buildable without Senthil</t>
        </is>
      </c>
    </row>
    <row r="82" ht="124.5" customHeight="1" s="20">
      <c r="A82" s="26" t="inlineStr">
        <is>
          <t>E079</t>
        </is>
      </c>
      <c r="B82" s="26" t="inlineStr">
        <is>
          <t>2026-09-13 22:49</t>
        </is>
      </c>
      <c r="C82" s="26" t="inlineStr">
        <is>
          <t>Reachability</t>
        </is>
      </c>
      <c r="D82" s="26" t="inlineStr">
        <is>
          <t>HEALTH SCORE NOW MEASURES SOMETHING (ST-075). In v027 I wrote a churn alert, noticed its inputs were fabricated from the tenant count, and deleted it — an alert that looks like a measurement and is not one is worse than no alert. This is the version that earns it back. Activity is recorded per account as distinct ACTIVE DAYS rather than request counts: an account that used MeetSync on six days is healthier than one that hammered it for an afternoon and vanished, and a request count cannot tell those apart. Two of the three inputs are now genuinely measured — active days, and billing from the entitlement. THE THIRD IS NOT, AND IS NOT PRETENDED: MeetSync has no ticketing integration, so the support component is EXCLUDED from the score rather than awarded in full, the score is out of 80, and maxScore says so. Awarding those 20 points would make every account look healthier than the evidence supports — the wrong direction for a signal whose whole job is to notice trouble early. Only a week of days is retained per account, and only accounts with activity are considered: a workspace that installed this morning is not a churn risk, and listing it would bury the ones that are.</t>
        </is>
      </c>
      <c r="E82" s="26" t="inlineStr">
        <is>
          <t>ST-075, E048</t>
        </is>
      </c>
      <c r="F82" s="26" t="inlineStr">
        <is>
          <t>Column L: ST-075 back to REACHABLE, on measured data</t>
        </is>
      </c>
      <c r="G82" s="26" t="inlineStr">
        <is>
          <t>openTickets unmeasured by design, and reported as such</t>
        </is>
      </c>
      <c r="H82" s="26" t="inlineStr">
        <is>
          <t>E080</t>
        </is>
      </c>
    </row>
    <row r="83" ht="90.75" customHeight="1" s="20">
      <c r="A83" s="26" t="inlineStr">
        <is>
          <t>E080</t>
        </is>
      </c>
      <c r="B83" s="26" t="inlineStr">
        <is>
          <t>2026-09-13 22:49</t>
        </is>
      </c>
      <c r="C83" s="26" t="inlineStr">
        <is>
          <t>Design</t>
        </is>
      </c>
      <c r="D83" s="26" t="inlineStr">
        <is>
          <t>THE ALERT CARRIES A COUNT, THE LIST NEEDS THE TOKEN. The churn alert names no account: it says how many are below the threshold and points at /analytics/at-risk. That is the OpsAlert invariant pinned in v041 doing real work for the first time — alerts leave through a webhook the operator points wherever they like, commonly a shared chat channel, and tenant identity does not belong there. Without the invariant this alert would almost certainly have shipped naming the struggling accounts, because that is the more useful-looking design. An account can also read its OWN health at /orgs/:id/health, which is the one place naming it is appropriate. ALSO WORTH RECORDING: I had told you twice that nothing buildable remained. Re-reading the PARTIAL rows rather than recalling them found this — the second time today that re-reading the register beat trusting my memory of it.</t>
        </is>
      </c>
      <c r="E83" s="26" t="inlineStr">
        <is>
          <t>ST-075, ST-072, E071</t>
        </is>
      </c>
      <c r="F83" s="26" t="inlineStr">
        <is>
          <t>Gate held at 100x4, 589 tests</t>
        </is>
      </c>
      <c r="G83" s="26" t="inlineStr">
        <is>
          <t>None</t>
        </is>
      </c>
      <c r="H83" s="26" t="inlineStr">
        <is>
          <t>v037 on handover</t>
        </is>
      </c>
    </row>
    <row r="84" ht="68.25" customHeight="1" s="20">
      <c r="A84" s="26" t="inlineStr">
        <is>
          <t>E081</t>
        </is>
      </c>
      <c r="B84" s="26" t="inlineStr">
        <is>
          <t>2026-09-13 22:56</t>
        </is>
      </c>
      <c r="C84" s="26" t="inlineStr">
        <is>
          <t>Self-review</t>
        </is>
      </c>
      <c r="D84" s="26" t="inlineStr">
        <is>
          <t>I MADE SR-01 AGAIN, SIX HOURS AFTER WRITING IT UP. The per-account activity map evicted at its cap by Map insertion order — the account seen FIRST, not the one active least recently — so a daily user could be dropped in favour of one that appeared once and never returned. That is precisely SR-01, where the tenant registry did the same thing, and I wrote the entry explaining it. Knowing a failure mode and writing it down is evidently not the same as not repeating it: the fix is one line (re-insert on touch so Map order tracks recency) and the tell is identical — a bounded cache whose eviction reads the oldest key without anything keeping that key meaningful.</t>
        </is>
      </c>
      <c r="E84" s="26" t="inlineStr">
        <is>
          <t>SR-01, ST-075</t>
        </is>
      </c>
      <c r="F84" s="26" t="inlineStr">
        <is>
          <t>No story flips — correctness</t>
        </is>
      </c>
      <c r="G84" s="26" t="inlineStr">
        <is>
          <t>None</t>
        </is>
      </c>
      <c r="H84" s="26" t="inlineStr">
        <is>
          <t>E082</t>
        </is>
      </c>
    </row>
    <row r="85" ht="90.75" customHeight="1" s="20">
      <c r="A85" s="26" t="inlineStr">
        <is>
          <t>E082</t>
        </is>
      </c>
      <c r="B85" s="26" t="inlineStr">
        <is>
          <t>2026-09-13 22:56</t>
        </is>
      </c>
      <c r="C85" s="26" t="inlineStr">
        <is>
          <t>Self-review</t>
        </is>
      </c>
      <c r="D85" s="26" t="inlineStr">
        <is>
          <t>THE CHURN SIGNAL FLAGGED EVERY NEW INSTALL. v042 scored no_subscription as BAD billing. But no_subscription is the ordinary state of a workspace that has just installed and not yet started a trial — the billing gate itself treats it as fine — so any fresh install that used the product for a day or two landed on the at-risk list. The list would have been mostly noise exactly while an operator was deciding whether to trust it, and a churn list nobody trusts is a churn list nobody reads. Pre-trial accounts now score out of 50 with billing reported as null, are named in `unmeasured`, and are excluded from at-risk: churning out of a subscription you never started is not a thing. A LAPSED subscription is still distinguished from one that never started, which is the distinction that actually matters. Same principle as the support component — report a missing signal as missing rather than substituting a value for it.</t>
        </is>
      </c>
      <c r="E85" s="26" t="inlineStr">
        <is>
          <t>ST-075, E079</t>
        </is>
      </c>
      <c r="F85" s="26" t="inlineStr">
        <is>
          <t>Gate held at 100x4, 590 tests</t>
        </is>
      </c>
      <c r="G85" s="26" t="inlineStr">
        <is>
          <t>None</t>
        </is>
      </c>
      <c r="H85" s="26" t="inlineStr">
        <is>
          <t>v038 on handover</t>
        </is>
      </c>
    </row>
    <row r="86" ht="113.25" customHeight="1" s="20">
      <c r="A86" s="26" t="inlineStr">
        <is>
          <t>E083</t>
        </is>
      </c>
      <c r="B86" s="26" t="inlineStr">
        <is>
          <t>2026-09-13 23:05</t>
        </is>
      </c>
      <c r="C86" s="26" t="inlineStr">
        <is>
          <t>Self-review</t>
        </is>
      </c>
      <c r="D86" s="26" t="inlineStr">
        <is>
          <t>THE THRESHOLD STOPPED MEANING WHAT THE OPERATOR SET. Two decisions, each defensible alone, combined into a defect. v042 excluded unmeasurable components from the health score rather than awarding them — right. Telemetry.churnSignalScore is configured by an operator reading a documented 0-100 scale — also right. Together: excluding components moved the MAXIMUM without moving the NUMBER, so a configured 30 silently became 37.5% of maximum on the 80-point scale and would have been 60% on the 50-point pre-trial one. The same setting meant a different strictness per account, depending on which components happened to be measurable for that account, with nothing anywhere saying so — and it would have surfaced as 'the churn list behaves oddly for some accounts', which is close to undiagnosable. The score is normalised to 100 before comparison. NOTE THE SHAPE: neither change was wrong; the defect lived in the gap between them, which is the same thing the self-review chain kept finding this morning.</t>
        </is>
      </c>
      <c r="E86" s="26" t="inlineStr">
        <is>
          <t>ST-075, ST-077</t>
        </is>
      </c>
      <c r="F86" s="26" t="inlineStr">
        <is>
          <t>No story flips — correctness</t>
        </is>
      </c>
      <c r="G86" s="26" t="inlineStr">
        <is>
          <t>None</t>
        </is>
      </c>
      <c r="H86" s="26" t="inlineStr">
        <is>
          <t>v039 on handover</t>
        </is>
      </c>
    </row>
    <row r="87" ht="91" customHeight="1" s="20">
      <c r="A87" s="26" t="inlineStr">
        <is>
          <t>E084</t>
        </is>
      </c>
      <c r="B87" s="26" t="inlineStr">
        <is>
          <t>2026-09-13 23:15</t>
        </is>
      </c>
      <c r="C87" s="26" t="inlineStr">
        <is>
          <t>Correction</t>
        </is>
      </c>
      <c r="D87" s="26" t="inlineStr">
        <is>
          <t>THE HANDOVER REGISTER HAD TWO OF EVERY NUMBER FROM 8 TO 14. The sheet arrived with items 1-14; every item I added during the day restarted at 8, because I appended without reading what was already numbered. So '#8' was both 'legal review of recording-consent UX' and 'generate two deployment secrets', '#13' was both the WCAG pass and BASE_URL, and every reference I made in conversation and in this log was ambiguous. Renumbered 1-35 in original order — references in earlier log entries to a number below 15 predate the fix and should be read by item text. WORTH NAMING: this is the third artefact defect today caused by appending to something without reading it first (the others being the Full_Backlog that still read all-Backlog, and the reachability column eleven sittings stale). The code has a gate that fails the build; the spreadsheets have nothing, and it shows.</t>
        </is>
      </c>
      <c r="E87" s="26" t="inlineStr">
        <is>
          <t>Senthil_Handover, E037, E072</t>
        </is>
      </c>
      <c r="F87" s="26" t="inlineStr">
        <is>
          <t>No story impact — artefact integrity</t>
        </is>
      </c>
      <c r="G87" s="26" t="inlineStr">
        <is>
          <t>Log references to handover numbers below 15 are ambiguous by date</t>
        </is>
      </c>
      <c r="H87" s="26" t="inlineStr">
        <is>
          <t>E085</t>
        </is>
      </c>
    </row>
    <row r="88" ht="79.84999999999999" customHeight="1" s="20">
      <c r="A88" s="26" t="inlineStr">
        <is>
          <t>E085</t>
        </is>
      </c>
      <c r="B88" s="26" t="inlineStr">
        <is>
          <t>2026-09-13 23:15</t>
        </is>
      </c>
      <c r="C88" s="26" t="inlineStr">
        <is>
          <t>Handover</t>
        </is>
      </c>
      <c r="D88" s="26" t="inlineStr">
        <is>
          <t>26 OPEN ITEMS PRIORITISED BY WHAT THEY UNBLOCK. P1 is four things and they are the whole of what stands between this codebase and a running product: the Zoom dev app (seven stories wait on nothing else), the four deployment values without three of which the app refuses to boot, and a PostgreSQL instance. P2 is two rulings and a five-minute portfolio check. Everything else is vendor time or human time. ONE CONSOLIDATION WORTH SEEING: six PARTIAL stories — the five per-feature notification rows and the weekly digest — are a single decision about whether MeetSync sends email at all. The seam exists and nothing is wired to it, which is the honest state; six rows looked like six problems and are one.</t>
        </is>
      </c>
      <c r="E88" s="26" t="inlineStr">
        <is>
          <t>Senthil_Handover</t>
        </is>
      </c>
      <c r="F88" s="26" t="inlineStr">
        <is>
          <t>No story impact — planning</t>
        </is>
      </c>
      <c r="G88" s="26" t="inlineStr">
        <is>
          <t>None</t>
        </is>
      </c>
      <c r="H88" s="26" t="inlineStr">
        <is>
          <t>v040 on a P1 item</t>
        </is>
      </c>
    </row>
    <row r="89">
      <c r="A89" s="27" t="inlineStr">
        <is>
          <t>E086</t>
        </is>
      </c>
      <c r="B89" s="27" t="inlineStr">
        <is>
          <t>2026-09-20 12:29</t>
        </is>
      </c>
      <c r="C89" s="27" t="inlineStr">
        <is>
          <t>Review intake</t>
        </is>
      </c>
      <c r="D89" s="27" t="inlineStr">
        <is>
          <t>PERPLEXITY REVIEW V001 ABSORBED. First review from outside the repository (16 Sep). Three questions: market demand (real market, wrong emphasis, wedge unbuilt), enterprise-grade (no — average 2.0/5, one CRITICAL takeover), next sprints (S13→S20, 51 stories, 248 pts). Its diagnosis of v013–v044 is accepted: every pass asked questions answerable from inside the repo, and the findings sit exactly where those questions cannot reach — UI-to-API, identity, claims in the artefacts. All 14 findings entered in Review_Findings; all 51 stories entered in Traceability_Matrix and S13_S20_Board; six decisions entered as PD-01…06.</t>
        </is>
      </c>
      <c r="E89" s="27" t="inlineStr">
        <is>
          <t>PR-01…PR-14, ST-101…ST-151</t>
        </is>
      </c>
      <c r="F89" s="27" t="inlineStr">
        <is>
          <t>Traceability 100 → 151 rows; rollup extended to S20</t>
        </is>
      </c>
      <c r="G89" s="27" t="inlineStr">
        <is>
          <t>PD-01/02/03 gate S15–S18</t>
        </is>
      </c>
      <c r="H89" s="27" t="inlineStr">
        <is>
          <t>E087</t>
        </is>
      </c>
    </row>
    <row r="90">
      <c r="A90" s="27" t="inlineStr">
        <is>
          <t>E087</t>
        </is>
      </c>
      <c r="B90" s="27" t="inlineStr">
        <is>
          <t>2026-09-20 12:29</t>
        </is>
      </c>
      <c r="C90" s="27" t="inlineStr">
        <is>
          <t>S13</t>
        </is>
      </c>
      <c r="D90" s="27" t="inlineStr">
        <is>
          <t>PR-01 CLOSED (ST-101). The install flow now asks Zoom whose token it is (GET /users/me, scope user:read:user already in the map) and installs on THAT account; the caller's account_id is an attribution hint refused with 403 + an install.tenant audit row when it disagrees; installAccount re-checks the invariant. The harness had to change shape: a fake Zoom identity the test SETS, because the old helper — "install acme, expect acme back" — was the vulnerability written as a test. ST-102: session carries Zoom user id/email/role; owner@&lt;account&gt; deleted; accounts table gains installed_by_* and contact_email.</t>
        </is>
      </c>
      <c r="E90" s="27" t="inlineStr">
        <is>
          <t>ST-101, ST-102, PR-01, PR-08</t>
        </is>
      </c>
      <c r="F90" s="27" t="inlineStr">
        <is>
          <t>ST-101/102 Done-in-code, REACHABLE</t>
        </is>
      </c>
      <c r="G90" s="27" t="inlineStr">
        <is>
          <t>Live verification on first real install (Handover #42)</t>
        </is>
      </c>
      <c r="H90" s="27" t="inlineStr">
        <is>
          <t>E088</t>
        </is>
      </c>
    </row>
    <row r="91">
      <c r="A91" s="27" t="inlineStr">
        <is>
          <t>E088</t>
        </is>
      </c>
      <c r="B91" s="27" t="inlineStr">
        <is>
          <t>2026-09-20 12:29</t>
        </is>
      </c>
      <c r="C91" s="27" t="inlineStr">
        <is>
          <t>S13</t>
        </is>
      </c>
      <c r="D91" s="27" t="inlineStr">
        <is>
          <t>SESSIONS CAN END (ST-103). 60-minute TTL, jti per session, SessionManager over a durable revocation store (deny list + per-account watermark; in-memory + Postgres, contract suite x2). Refresh rotates; revoke; revoke-all behind team.manage — the first thing that permission has ever gated. Uninstall and delete-my-data revoke everything, which changed three existing tests: after deauthorisation the owner's own status call is now a 401 revoked, and the wipe is asserted from the store. Cookie delivery (HttpOnly; Secure; SameSite=None for the Zoom iframe) replaces the URL fragment.</t>
        </is>
      </c>
      <c r="E91" s="27" t="inlineStr">
        <is>
          <t>ST-103, PR-10</t>
        </is>
      </c>
      <c r="F91" s="27" t="inlineStr">
        <is>
          <t>ST-103 Done-in-code</t>
        </is>
      </c>
      <c r="G91" s="27" t="inlineStr">
        <is>
          <t>C-M1: clients must refresh within the hour</t>
        </is>
      </c>
      <c r="H91" s="27" t="inlineStr">
        <is>
          <t>E089</t>
        </is>
      </c>
    </row>
    <row r="92">
      <c r="A92" s="27" t="inlineStr">
        <is>
          <t>E089</t>
        </is>
      </c>
      <c r="B92" s="27" t="inlineStr">
        <is>
          <t>2026-09-20 12:29</t>
        </is>
      </c>
      <c r="C92" s="27" t="inlineStr">
        <is>
          <t>Self-review</t>
        </is>
      </c>
      <c r="D92" s="27" t="inlineStr">
        <is>
          <t>THE CONTRACT SUITE CAUGHT ITS OWN NEW STORE ON THE FIRST RUN (SR-09). InMemorySessionStore.revoke() overwrote a deny row's expiry; PostgresSessionStore used GREATEST. A second revoke could un-revoke in tests and not in production — the SR-05/SR-06 shape, implementations agreeing about everything except the thing that matters. Fixed in-memory to be monotonic. Recorded because it is the two-implementation rule paying for itself within the sitting that added the store.</t>
        </is>
      </c>
      <c r="E92" s="27" t="inlineStr">
        <is>
          <t>SR-09, ST-103</t>
        </is>
      </c>
      <c r="F92" s="27" t="inlineStr">
        <is>
          <t>No story flips — correctness</t>
        </is>
      </c>
      <c r="G92" s="27" t="inlineStr">
        <is>
          <t>None</t>
        </is>
      </c>
      <c r="H92" s="27" t="inlineStr">
        <is>
          <t>E090</t>
        </is>
      </c>
    </row>
    <row r="93">
      <c r="A93" s="27" t="inlineStr">
        <is>
          <t>E090</t>
        </is>
      </c>
      <c r="B93" s="27" t="inlineStr">
        <is>
          <t>2026-09-20 12:29</t>
        </is>
      </c>
      <c r="C93" s="27" t="inlineStr">
        <is>
          <t>S13</t>
        </is>
      </c>
      <c r="D93" s="27" t="inlineStr">
        <is>
          <t>HARDENING WITHOUT DEPENDENCIES (ST-104/105). Security headers with a CSP that admits the Zoom client as frame ancestor; explicit CORS allowlist (wildcards refused at config); 256kb body limit with the parser's 413/400 honoured by the terminal handler instead of becoming our 500s; token-bucket limits per IP, per account (so a tenant cannot hide behind a shared IP — tested with X-Forwarded-For), and a separate budget for the operator router; rejections counted by class at /analytics/rate-limits. Operator credential rotates in place with a 15-minute grace. TEST_ENV raises the limit to 100000 because a frozen clock never refills a bucket; hardening.test exercises the limiter on its own terms.</t>
        </is>
      </c>
      <c r="E93" s="27" t="inlineStr">
        <is>
          <t>ST-104, ST-105, PR-10</t>
        </is>
      </c>
      <c r="F93" s="27" t="inlineStr">
        <is>
          <t>ST-104/105 Done-in-code</t>
        </is>
      </c>
      <c r="G93" s="27" t="inlineStr">
        <is>
          <t>None</t>
        </is>
      </c>
      <c r="H93" s="27" t="inlineStr">
        <is>
          <t>E091</t>
        </is>
      </c>
    </row>
    <row r="94">
      <c r="A94" s="27" t="inlineStr">
        <is>
          <t>E091</t>
        </is>
      </c>
      <c r="B94" s="27" t="inlineStr">
        <is>
          <t>2026-09-20 12:29</t>
        </is>
      </c>
      <c r="C94" s="27" t="inlineStr">
        <is>
          <t>S13</t>
        </is>
      </c>
      <c r="D94" s="27" t="inlineStr">
        <is>
          <t>ONE PURGE LIST (ST-106, PR-06). The two lists had drifted and the explicit erasure path was the weaker one; the only enforcement was a comment reading "must not drift". src/purge.ts is the single factory; app.ts and server.ts both call it; a test asserts equality and that delete-my-data clears insights. Adding a holder of account state now means adding it in one place or being invisible to BOTH deletion paths — a failure the test can at least see.</t>
        </is>
      </c>
      <c r="E94" s="27" t="inlineStr">
        <is>
          <t>ST-106, PR-06</t>
        </is>
      </c>
      <c r="F94" s="27" t="inlineStr">
        <is>
          <t>ST-106 Done-in-code</t>
        </is>
      </c>
      <c r="G94" s="27" t="inlineStr">
        <is>
          <t>None</t>
        </is>
      </c>
      <c r="H94" s="27" t="inlineStr">
        <is>
          <t>E092</t>
        </is>
      </c>
    </row>
    <row r="95">
      <c r="A95" s="27" t="inlineStr">
        <is>
          <t>E092</t>
        </is>
      </c>
      <c r="B95" s="27" t="inlineStr">
        <is>
          <t>2026-09-20 12:29</t>
        </is>
      </c>
      <c r="C95" s="27" t="inlineStr">
        <is>
          <t>S13</t>
        </is>
      </c>
      <c r="D95" s="27" t="inlineStr">
        <is>
          <t>CLAIMS ARE CODE (ST-107, PR-07). src/claims.ts is what /trust serves and what docs/TRUST_PAGE.md is checked against in test/claims.test.ts: subprocessors must have a code path (PostHog, Sentry, Stripe gone — nothing sends them data), scopes must match SECURITY_SCOPES.md, a list of unbacked terms (SOC 2, SSO, residency, pen test, "transcription built in") fails the build if they appear above the "Not yet" section. The same gate holds the PRICING_PAGE DECISION PENDING banner (PR-05) and the LISTING_COPY HELD banner (PR-02) until PD-01/PD-02 are decided. The v038 lesson generalised: the page that must never overstate is now the page that cannot. ST-108 THREAT_MODEL.md written with the PR-01 class as a permanent abuse case.</t>
        </is>
      </c>
      <c r="E95" s="27" t="inlineStr">
        <is>
          <t>ST-107, ST-108, PR-07, PR-05, PR-02</t>
        </is>
      </c>
      <c r="F95" s="27" t="inlineStr">
        <is>
          <t>ST-107 Done-in-code; ST-108 Done</t>
        </is>
      </c>
      <c r="G95" s="27" t="inlineStr">
        <is>
          <t>PD-01, PD-02</t>
        </is>
      </c>
      <c r="H95" s="27" t="inlineStr">
        <is>
          <t>E093</t>
        </is>
      </c>
    </row>
    <row r="96">
      <c r="A96" s="27" t="inlineStr">
        <is>
          <t>E093</t>
        </is>
      </c>
      <c r="B96" s="27" t="inlineStr">
        <is>
          <t>2026-09-20 12:29</t>
        </is>
      </c>
      <c r="C96" s="27" t="inlineStr">
        <is>
          <t>S14</t>
        </is>
      </c>
      <c r="D96" s="27" t="inlineStr">
        <is>
          <t>THE FRONT END USES THE BACK END (ST-109/110/113/114, PR-03). web/api.ts: 48 typed methods, one error mapping. Every panel reads and writes through it with optimistic update and rollback; App supplies api + meetingId from the SDK context and refreshes the session on a timer. The RTL suite drives web/fakeServer.ts (excluded from coverage like jest.setup.ts) rather than hand-passed props, and checks what the fake server RECEIVED. ReviewScreen is the new sixth tab (A11Y-05 table semantics). tools/reachability/routes.ts is the second standing gate: every route in app.ts must be referenced by the client or excused with a reason — 21 excused (webhook, OAuth, operator), all with reasons that say why a browser must never call them.</t>
        </is>
      </c>
      <c r="E96" s="27" t="inlineStr">
        <is>
          <t>ST-109, ST-110, ST-113, ST-114, PR-03</t>
        </is>
      </c>
      <c r="F96" s="27" t="inlineStr">
        <is>
          <t>ST-109/113/114 Done-in-code; ST-110 Done</t>
        </is>
      </c>
      <c r="G96" s="27" t="inlineStr">
        <is>
          <t>Live UI in the Zoom client still needs Handover #2</t>
        </is>
      </c>
      <c r="H96" s="27" t="inlineStr">
        <is>
          <t>E094</t>
        </is>
      </c>
    </row>
    <row r="97">
      <c r="A97" s="27" t="inlineStr">
        <is>
          <t>E094</t>
        </is>
      </c>
      <c r="B97" s="27" t="inlineStr">
        <is>
          <t>2026-09-20 12:29</t>
        </is>
      </c>
      <c r="C97" s="27" t="inlineStr">
        <is>
          <t>S14</t>
        </is>
      </c>
      <c r="D97" s="27" t="inlineStr">
        <is>
          <t>MEETING → CRM WITHOUT A HUMAN API CALL (ST-111, PR-04). On ingest, when the account has a CRM adapter and a mapping, derivedFields() are staged: pending_review by default, queued at once with review off (POST /crm/review-mode). Approve on the review screen enqueues exactly one job; approve twice returns the same job; a redelivered webhook outside the dedupe window produces one job, pinned. Reject records who and what. Insights durable (ST-112) because a pending decision that evaporates on restart is a writeback that silently never happens; notes durable because they were the one thing that could not be re-derived (PR-13). The record written is zoom-meeting:&lt;id&gt; until ST-132 matches participants — said in DATA_FLOW.md rather than implied.</t>
        </is>
      </c>
      <c r="E97" s="27" t="inlineStr">
        <is>
          <t>ST-111, ST-112, PR-04, PR-13</t>
        </is>
      </c>
      <c r="F97" s="27" t="inlineStr">
        <is>
          <t>ST-111/112 Done-in-code</t>
        </is>
      </c>
      <c r="G97" s="27" t="inlineStr">
        <is>
          <t>Webhook half is PENDING LIVE with S9-01</t>
        </is>
      </c>
      <c r="H97" s="27" t="inlineStr">
        <is>
          <t>E095</t>
        </is>
      </c>
    </row>
    <row r="98">
      <c r="A98" s="27" t="inlineStr">
        <is>
          <t>E095</t>
        </is>
      </c>
      <c r="B98" s="27" t="inlineStr">
        <is>
          <t>2026-09-20 12:29</t>
        </is>
      </c>
      <c r="C98" s="27" t="inlineStr">
        <is>
          <t>S14</t>
        </is>
      </c>
      <c r="D98" s="27" t="inlineStr">
        <is>
          <t>A MAIL TRANSPORT EXISTS, AND STILL DOES NOT FAKE A DELIVERY (ST-115). Sender seam + HttpJsonSender (the Postmark/Resend/SES-API payload) + Notifier that names every non-delivery (no_sender / no_contact / failed). The engine writes the email notification row only after the transport says yes. Wired when all three MEETSYNC_MAIL_* are set; a partial set refuses to boot. Allowlist entry features.ts:withEmailSender retired — it has a caller. Six PARTIAL notification stories are now one deployment value away (Handover #38). ST-141: trials cohorted by start week, "activated" funnel stage on first approved writeback; the CSV header is derived from STAGES so a new stage can never leave the export a column short again.</t>
        </is>
      </c>
      <c r="E98" s="27" t="inlineStr">
        <is>
          <t>ST-115, ST-141, PR-14</t>
        </is>
      </c>
      <c r="F98" s="27" t="inlineStr">
        <is>
          <t>ST-115 PARTIAL (config owed); ST-141 Done-in-code</t>
        </is>
      </c>
      <c r="G98" s="27" t="inlineStr">
        <is>
          <t>Handover #38</t>
        </is>
      </c>
      <c r="H98" s="27" t="inlineStr">
        <is>
          <t>E096</t>
        </is>
      </c>
    </row>
    <row r="99">
      <c r="A99" s="27" t="inlineStr">
        <is>
          <t>E096</t>
        </is>
      </c>
      <c r="B99" s="27" t="inlineStr">
        <is>
          <t>2026-09-20 12:29</t>
        </is>
      </c>
      <c r="C99" s="27" t="inlineStr">
        <is>
          <t>Gate</t>
        </is>
      </c>
      <c r="D99" s="27" t="inlineStr">
        <is>
          <t>GATE HELD AT 100x4 ON THE LARGEST DIFF SINCE v013: 712 tests (from 591), 40 suites (from 35), zero pragmas, tsc clean, three standing gates green (capability→caller, route→client, document→code), contract suite run twice per store against a live Postgres 16 including the three new stores. Coverage was earned by removing unreachable guards (a null check behind a disabled checkbox, a review guard behind a button that only renders when review exists) rather than by pragma or by tests that assert nothing. README v045 paragraph written in the established voice with a plain "what v045 does not do" — no model, no ASR, no live CRM OAuth, pricing and listing held.</t>
        </is>
      </c>
      <c r="E99" s="27" t="inlineStr">
        <is>
          <t>D-M2, D13</t>
        </is>
      </c>
      <c r="F99" s="27" t="inlineStr">
        <is>
          <t>Code v045 released; 15 of 51 new stories Done-in-code/Done, 5 PARTIAL, 31 Backlog</t>
        </is>
      </c>
      <c r="G99" s="27" t="inlineStr">
        <is>
          <t>None</t>
        </is>
      </c>
      <c r="H99" s="27" t="inlineStr">
        <is>
          <t>E097</t>
        </is>
      </c>
    </row>
    <row r="100">
      <c r="A100" s="27" t="inlineStr">
        <is>
          <t>E097</t>
        </is>
      </c>
      <c r="B100" s="27" t="inlineStr">
        <is>
          <t>2026-09-20 12:29</t>
        </is>
      </c>
      <c r="C100" s="27" t="inlineStr">
        <is>
          <t>Handover</t>
        </is>
      </c>
      <c r="D100" s="27" t="inlineStr">
        <is>
          <t>WHAT CHANGED FOR SENTHIL. Three P1s are decisions, not credentials: PD-01 (price), PD-02 (build vs rules engine), PD-06 (demand tests). The Zoom dev app (Handover #2) is the right first move again because the PD-05 hold lifts with S13 closed. Two new deployment values (MEETSYNC_MAIL_*, MEETSYNC_CORS_ORIGINS). S15–S17 (110 pts) cannot be sequenced until PD-02; S18 (26 pts) until PD-01. Nothing in this sitting made the product demand-tested: 0 installs is still 0 installs.</t>
        </is>
      </c>
      <c r="E100" s="27" t="inlineStr">
        <is>
          <t>Senthil_Handover #36–43, Decisions PD-01…06</t>
        </is>
      </c>
      <c r="F100" s="27" t="inlineStr">
        <is>
          <t>No story impact — planning</t>
        </is>
      </c>
      <c r="G100" s="27" t="inlineStr">
        <is>
          <t>PD-01, PD-02, PD-06</t>
        </is>
      </c>
      <c r="H100" s="27" t="inlineStr">
        <is>
          <t>v041 on a PD decision or the Zoom app</t>
        </is>
      </c>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9" min="1" max="1"/>
    <col width="70" customWidth="1" style="19" min="2" max="2"/>
    <col width="55" customWidth="1" style="19" min="3" max="3"/>
    <col width="22" customWidth="1" style="19" min="4" max="5"/>
  </cols>
  <sheetData>
    <row r="1" ht="15.75" customHeight="1" s="20">
      <c r="A1" s="21" t="inlineStr">
        <is>
          <t>DECISIONS (tracker scope)</t>
        </is>
      </c>
    </row>
    <row r="2" ht="15" customHeight="1" s="20">
      <c r="A2" s="22" t="inlineStr">
        <is>
          <t>Portfolio decisions D13/D15 restated for this product; product-local decisions D-M*.</t>
        </is>
      </c>
    </row>
    <row r="3" ht="15" customHeight="1" s="20">
      <c r="A3" s="23" t="inlineStr">
        <is>
          <t>ID</t>
        </is>
      </c>
      <c r="B3" s="23" t="inlineStr">
        <is>
          <t>Decision</t>
        </is>
      </c>
      <c r="C3" s="23" t="inlineStr">
        <is>
          <t>Rationale</t>
        </is>
      </c>
      <c r="D3" s="23" t="inlineStr">
        <is>
          <t>Decided by</t>
        </is>
      </c>
      <c r="E3" s="23" t="inlineStr">
        <is>
          <t>Status</t>
        </is>
      </c>
    </row>
    <row r="4" ht="23.25" customHeight="1" s="20">
      <c r="A4" s="27" t="inlineStr">
        <is>
          <t>D13</t>
        </is>
      </c>
      <c r="B4" s="27" t="inlineStr">
        <is>
          <t>(Portfolio-wide) Discovery interviews parked; dev proceeds with 100% automation test coverage on all code.</t>
        </is>
      </c>
      <c r="C4" s="27" t="inlineStr">
        <is>
          <t>Senthil 10 Sep 20:45; applied to MeetSync per 22:58 instruction.</t>
        </is>
      </c>
      <c r="D4" s="27" t="inlineStr">
        <is>
          <t>Senthil</t>
        </is>
      </c>
      <c r="E4" s="27" t="inlineStr">
        <is>
          <t>LOCKED</t>
        </is>
      </c>
    </row>
    <row r="5" ht="34.5" customHeight="1" s="20">
      <c r="A5" s="27" t="inlineStr">
        <is>
          <t>D15</t>
        </is>
      </c>
      <c r="B5" s="27" t="inlineStr">
        <is>
          <t>MeetSync (wave-3, Zoom) build opened 10 Sep 22:58 while rank-1 gate unmet; nine concurrent builds now exist. MODE TO RATIFY: (a) parallel builds — supersedes serial rule, or (b) order swap.</t>
        </is>
      </c>
      <c r="C5" s="27" t="inlineStr">
        <is>
          <t>R7/R1-class rules require logging any re-ordering; this entry is the log for MeetSync.</t>
        </is>
      </c>
      <c r="D5" s="27" t="inlineStr">
        <is>
          <t>Senthil (mode ratification pending)</t>
        </is>
      </c>
      <c r="E5" s="27" t="inlineStr">
        <is>
          <t>OPEN — pick (a) or (b)</t>
        </is>
      </c>
    </row>
    <row r="6" ht="34.5" customHeight="1" s="20">
      <c r="A6" s="27" t="inlineStr">
        <is>
          <t>D-M1</t>
        </is>
      </c>
      <c r="B6" s="27" t="inlineStr">
        <is>
          <t>Stack = TypeScript/Node/Express per v007 ReadMe stack assumption; persistence behind typed Store interface with in-memory impl (no Postgres in sandbox), Postgres adapter at deploy.</t>
        </is>
      </c>
      <c r="C6" s="27" t="inlineStr">
        <is>
          <t>Follows workbook; matches accepted precedent across the eight sibling builds.</t>
        </is>
      </c>
      <c r="D6" s="27" t="inlineStr">
        <is>
          <t>Claude — flagged</t>
        </is>
      </c>
      <c r="E6" s="27" t="inlineStr">
        <is>
          <t>OPEN for ratification</t>
        </is>
      </c>
    </row>
    <row r="7" ht="23.25" customHeight="1" s="20">
      <c r="A7" s="27" t="inlineStr">
        <is>
          <t>D-M2</t>
        </is>
      </c>
      <c r="B7" s="27" t="inlineStr">
        <is>
          <t>ST-085 (&gt;=70% coverage gate) superseded: gate enforced at 100% x4 with zero pragmas.</t>
        </is>
      </c>
      <c r="C7" s="27" t="inlineStr">
        <is>
          <t>D13 supersedes the workbook's pre-D13 quality bar.</t>
        </is>
      </c>
      <c r="D7" s="27" t="inlineStr">
        <is>
          <t>Senthil (via D13)</t>
        </is>
      </c>
      <c r="E7" s="27" t="inlineStr">
        <is>
          <t>LOCKED</t>
        </is>
      </c>
    </row>
    <row r="8" ht="34.5" customHeight="1" s="20">
      <c r="A8" s="27" t="inlineStr">
        <is>
          <t>D-M3</t>
        </is>
      </c>
      <c r="B8" s="27" t="inlineStr">
        <is>
          <t>Zoom webhook contract implemented to published pattern (x-zm-signature v0 HMAC + endpoint.url_validation challenge); real payload shapes verified at first live dev-app event.</t>
        </is>
      </c>
      <c r="C8" s="27" t="inlineStr">
        <is>
          <t>Verification isolated in src/webhooks.ts — a format change is one-module (R-M5).</t>
        </is>
      </c>
      <c r="D8" s="27" t="inlineStr">
        <is>
          <t>Claude — flagged</t>
        </is>
      </c>
      <c r="E8" s="27" t="inlineStr">
        <is>
          <t>OPEN — verify at LC-1</t>
        </is>
      </c>
    </row>
    <row r="9">
      <c r="A9" s="27" t="inlineStr">
        <is>
          <t>PD-01</t>
        </is>
      </c>
      <c r="B9" s="27" t="inlineStr">
        <is>
          <t>Pricing model and number (PR-05, ST-136). Code bills per seat; the pricing page reads as flat — 50x apart at Team. Recommendation on file: per-seat, $12–$18/seat/month, 5-seat minimum.</t>
        </is>
      </c>
      <c r="C9" s="27" t="inlineStr">
        <is>
          <t>HubSpot listing rules require the listed price to match the website; the claim gate (test/claims.test.ts) refuses PRICING_PAGE.md without its DECISION PENDING banner until resolved.</t>
        </is>
      </c>
      <c r="D9" s="27" t="inlineStr">
        <is>
          <t>Senthil</t>
        </is>
      </c>
      <c r="E9" s="27" t="inlineStr">
        <is>
          <t>OPEN — blocks S18 and the listing</t>
        </is>
      </c>
    </row>
    <row r="10">
      <c r="A10" s="27" t="inlineStr">
        <is>
          <t>PD-02</t>
        </is>
      </c>
      <c r="B10" s="27" t="inlineStr">
        <is>
          <t>Build the intelligence (S15+S16, 71 pts) or reposition as a deterministic rules engine (PR-02).</t>
        </is>
      </c>
      <c r="C10" s="27" t="inlineStr">
        <is>
          <t>There is no model, ASR or NLP in the product; the listing copy is HELD (docs/LISTING_COPY.md banner) until this is decided. A rules engine is a real, smaller business; the model path brings eval discipline, cost caps and a trust surface (ST-116…128).</t>
        </is>
      </c>
      <c r="D10" s="27" t="inlineStr">
        <is>
          <t>Senthil</t>
        </is>
      </c>
      <c r="E10" s="27" t="inlineStr">
        <is>
          <t>OPEN — gates 71 of 248 pts</t>
        </is>
      </c>
    </row>
    <row r="11">
      <c r="A11" s="27" t="inlineStr">
        <is>
          <t>PD-03</t>
        </is>
      </c>
      <c r="B11" s="27" t="inlineStr">
        <is>
          <t>Enterprise-first or SMB-first (S19).</t>
        </is>
      </c>
      <c r="C11" s="27" t="inlineStr">
        <is>
          <t>SMB-first: launch after S18, S19 demand-driven, SOC 2 clock starts on a named deal. Enterprise-first: S19 blocks launch, SOC 2 Type II $35K–$120K over 6–18 months starts now. Recommendation: SMB-first.</t>
        </is>
      </c>
      <c r="D11" s="27" t="inlineStr">
        <is>
          <t>Senthil</t>
        </is>
      </c>
      <c r="E11" s="27" t="inlineStr">
        <is>
          <t>OPEN — decides whether S19 blocks S20</t>
        </is>
      </c>
    </row>
    <row r="12">
      <c r="A12" s="27" t="inlineStr">
        <is>
          <t>PD-04</t>
        </is>
      </c>
      <c r="B12" s="27" t="inlineStr">
        <is>
          <t>Keep or cut F4 deal risk (PR-11, ST-124).</t>
        </is>
      </c>
      <c r="C12" s="27" t="inlineStr">
        <is>
          <t>13 English keywords, no evidence span or confidence, cannot fire on Hindi/Tamil. Rebuild inside ST-117 evidence-bearing extraction, or remove from product and pricing table. It is currently a Team-tier differentiator.</t>
        </is>
      </c>
      <c r="D12" s="27" t="inlineStr">
        <is>
          <t>Senthil</t>
        </is>
      </c>
      <c r="E12" s="27" t="inlineStr">
        <is>
          <t>OPEN — scope of S15/S16 and the pricing matrix</t>
        </is>
      </c>
    </row>
    <row r="13">
      <c r="A13" s="27" t="inlineStr">
        <is>
          <t>PD-05</t>
        </is>
      </c>
      <c r="B13" s="27" t="inlineStr">
        <is>
          <t>Hold Zoom Marketplace app creation until S13 closes (PR-01, Handover #2).</t>
        </is>
      </c>
      <c r="C13" s="27" t="inlineStr">
        <is>
          <t>Installing a takeover-vulnerable app against a real Zoom account converted a fixable defect into a live incident. S13 is CLOSED in code at v045 (ST-101…108, pinned by test/s13.test.ts), so the hold LIFTS: Handover #2 is the right first move again.</t>
        </is>
      </c>
      <c r="D13" s="27" t="inlineStr">
        <is>
          <t>Senthil (hold recommended by Claude; lifted by v045)</t>
        </is>
      </c>
      <c r="E13" s="27" t="inlineStr">
        <is>
          <t>RESOLVED BY v045 — hold lifted</t>
        </is>
      </c>
    </row>
    <row r="14">
      <c r="A14" s="27" t="inlineStr">
        <is>
          <t>PD-06</t>
        </is>
      </c>
      <c r="B14" s="27" t="inlineStr">
        <is>
          <t>Run the three demand tests before more feature code (review §4.6): RevOps field test n=5; Hinglish head-to-head n=10 calls; willingness-to-switch n=10 teams.</t>
        </is>
      </c>
      <c r="C14" s="27" t="inlineStr">
        <is>
          <t>Each has a kill signal. Any one failing changes the plan. Days, not sprints; none is codeable.</t>
        </is>
      </c>
      <c r="D14" s="27" t="inlineStr">
        <is>
          <t>Senthil</t>
        </is>
      </c>
      <c r="E14" s="27" t="inlineStr">
        <is>
          <t>OPEN — validates or invalidates the wedge</t>
        </is>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9" min="1" max="1"/>
    <col width="52" customWidth="1" style="19" min="2" max="2"/>
    <col width="12" customWidth="1" style="19" min="3" max="3"/>
    <col width="8" customWidth="1" style="19" min="4" max="4"/>
    <col width="18" customWidth="1" style="19" min="5" max="5"/>
    <col width="16" customWidth="1" style="19" min="6" max="6"/>
    <col width="55" customWidth="1" style="19" min="7" max="7"/>
  </cols>
  <sheetData>
    <row r="1" ht="15.75" customHeight="1" s="20">
      <c r="A1" s="21" t="inlineStr">
        <is>
          <t>S9 BOARD — Marketplace review prep — exit: review submission accepted into queue</t>
        </is>
      </c>
    </row>
    <row r="2" ht="15" customHeight="1" s="20">
      <c r="A2" s="22" t="inlineStr">
        <is>
          <t>Backlog stories in S9 + live items carried from S1–S8. Edit Status/Notes (yellow).</t>
        </is>
      </c>
    </row>
    <row r="3" ht="15" customHeight="1" s="20">
      <c r="A3" s="23" t="inlineStr">
        <is>
          <t>ID</t>
        </is>
      </c>
      <c r="B3" s="23" t="inlineStr">
        <is>
          <t>Item</t>
        </is>
      </c>
      <c r="C3" s="23" t="inlineStr">
        <is>
          <t>Story ref</t>
        </is>
      </c>
      <c r="D3" s="23" t="inlineStr">
        <is>
          <t>Points</t>
        </is>
      </c>
      <c r="E3" s="23" t="inlineStr">
        <is>
          <t>Owner</t>
        </is>
      </c>
      <c r="F3" s="23" t="inlineStr">
        <is>
          <t>Status</t>
        </is>
      </c>
      <c r="G3" s="23" t="inlineStr">
        <is>
          <t>Notes / Evidence</t>
        </is>
      </c>
    </row>
    <row r="4" ht="23.25" customHeight="1" s="20">
      <c r="A4" s="27" t="inlineStr">
        <is>
          <t>S9-01</t>
        </is>
      </c>
      <c r="B4" s="27" t="inlineStr">
        <is>
          <t>Zoom dev app created, scopes per docs/SECURITY_SCOPES.md; live install of S1 code</t>
        </is>
      </c>
      <c r="C4" s="27" t="inlineStr">
        <is>
          <t>ST-051 live</t>
        </is>
      </c>
      <c r="D4" s="27" t="n">
        <v>3</v>
      </c>
      <c r="E4" s="27" t="inlineStr">
        <is>
          <t>Senthil + Claude</t>
        </is>
      </c>
      <c r="F4" s="33" t="inlineStr">
        <is>
          <t>To do</t>
        </is>
      </c>
      <c r="G4" s="33" t="inlineStr">
        <is>
          <t>LC-1. Evidence: install screenshot + account id + telemetry row.</t>
        </is>
      </c>
    </row>
    <row r="5" ht="23.25" customHeight="1" s="20">
      <c r="A5" s="27" t="inlineStr">
        <is>
          <t>S9-02</t>
        </is>
      </c>
      <c r="B5" s="27" t="inlineStr">
        <is>
          <t>Verify real webhook payload shapes vs D-M3 assumption</t>
        </is>
      </c>
      <c r="C5" s="27" t="inlineStr">
        <is>
          <t>—</t>
        </is>
      </c>
      <c r="D5" s="27" t="n">
        <v>1</v>
      </c>
      <c r="E5" s="27" t="inlineStr">
        <is>
          <t>Senthil + Claude</t>
        </is>
      </c>
      <c r="F5" s="33" t="inlineStr">
        <is>
          <t>To do</t>
        </is>
      </c>
      <c r="G5" s="33" t="inlineStr">
        <is>
          <t>First live event through src/webhooks.ts; adjust one module if format differs (R-M5).</t>
        </is>
      </c>
    </row>
    <row r="6" ht="15" customHeight="1" s="20">
      <c r="A6" s="27" t="inlineStr">
        <is>
          <t>S9-03</t>
        </is>
      </c>
      <c r="B6" s="27" t="inlineStr">
        <is>
          <t>CRM writeback live runs vs HubSpot/SFDC/Zoho sandboxes</t>
        </is>
      </c>
      <c r="C6" s="27" t="inlineStr">
        <is>
          <t>LC-6</t>
        </is>
      </c>
      <c r="D6" s="27" t="n">
        <v>3</v>
      </c>
      <c r="E6" s="27" t="inlineStr">
        <is>
          <t>Senthil + Claude</t>
        </is>
      </c>
      <c r="F6" s="33" t="inlineStr">
        <is>
          <t>To do</t>
        </is>
      </c>
      <c r="G6" s="33" t="inlineStr">
        <is>
          <t>Adapters coded+tested; needs sandbox credentials.</t>
        </is>
      </c>
    </row>
    <row r="7" ht="15" customHeight="1" s="20">
      <c r="A7" s="27" t="inlineStr">
        <is>
          <t>S9-04</t>
        </is>
      </c>
      <c r="B7" s="27" t="inlineStr">
        <is>
          <t>Delete-my-data self-serve endpoint on retention sweep path</t>
        </is>
      </c>
      <c r="C7" s="27" t="inlineStr">
        <is>
          <t>ST-069</t>
        </is>
      </c>
      <c r="D7" s="27" t="n">
        <v>5</v>
      </c>
      <c r="E7" s="27" t="inlineStr">
        <is>
          <t>Claude</t>
        </is>
      </c>
      <c r="F7" s="33" t="inlineStr">
        <is>
          <t>Done-in-code</t>
        </is>
      </c>
      <c r="G7" s="33" t="inlineStr">
        <is>
          <t>Shipped 08:47 — see Traceability ST-069 / tracker E012. Evidence: s9.test.ts.</t>
        </is>
      </c>
    </row>
    <row r="8" ht="15" customHeight="1" s="20">
      <c r="A8" s="27" t="inlineStr">
        <is>
          <t>S9-05</t>
        </is>
      </c>
      <c r="B8" s="27" t="inlineStr">
        <is>
          <t>Pen-test / platform security evidence archived</t>
        </is>
      </c>
      <c r="C8" s="27" t="inlineStr">
        <is>
          <t>ST-068</t>
        </is>
      </c>
      <c r="D8" s="27" t="n">
        <v>5</v>
      </c>
      <c r="E8" s="27" t="inlineStr">
        <is>
          <t>Senthil</t>
        </is>
      </c>
      <c r="F8" s="33" t="inlineStr">
        <is>
          <t>To do</t>
        </is>
      </c>
      <c r="G8" s="33" t="inlineStr">
        <is>
          <t>LC-2 pack: TDD doc, data-flow (done), pen-test summary.</t>
        </is>
      </c>
    </row>
    <row r="9" ht="15" customHeight="1" s="20">
      <c r="A9" s="27" t="inlineStr">
        <is>
          <t>S9-06</t>
        </is>
      </c>
      <c r="B9" s="27" t="inlineStr">
        <is>
          <t>WCAG AA pass on primary flows</t>
        </is>
      </c>
      <c r="C9" s="27" t="inlineStr">
        <is>
          <t>ST-089</t>
        </is>
      </c>
      <c r="D9" s="27" t="n">
        <v>3</v>
      </c>
      <c r="E9" s="27" t="inlineStr">
        <is>
          <t>Senthil + Claude</t>
        </is>
      </c>
      <c r="F9" s="33" t="inlineStr">
        <is>
          <t>To do</t>
        </is>
      </c>
      <c r="G9" s="33" t="inlineStr">
        <is>
          <t>Needs rendered UI on live surface.</t>
        </is>
      </c>
    </row>
    <row r="10" ht="23.25" customHeight="1" s="20">
      <c r="A10" s="27" t="inlineStr">
        <is>
          <t>S9-07</t>
        </is>
      </c>
      <c r="B10" s="27" t="inlineStr">
        <is>
          <t>Backup+restore drill; chaos test (platform outage degrades gracefully)</t>
        </is>
      </c>
      <c r="C10" s="27" t="inlineStr">
        <is>
          <t>ST-090,ST-091</t>
        </is>
      </c>
      <c r="D10" s="27" t="n">
        <v>5</v>
      </c>
      <c r="E10" s="27" t="inlineStr">
        <is>
          <t>Senthil + Claude</t>
        </is>
      </c>
      <c r="F10" s="33" t="inlineStr">
        <is>
          <t>To do</t>
        </is>
      </c>
      <c r="G10" s="33" t="inlineStr">
        <is>
          <t>Breaker + typed errors coded; platformHealth surface added (ST-091 code side done); drills need staging.</t>
        </is>
      </c>
    </row>
    <row r="11" ht="23.25" customHeight="1" s="20">
      <c r="A11" s="27" t="inlineStr">
        <is>
          <t>S9-08</t>
        </is>
      </c>
      <c r="B11" s="27" t="inlineStr">
        <is>
          <t>k6 5x load run + blue/green live verification</t>
        </is>
      </c>
      <c r="C11" s="27" t="inlineStr">
        <is>
          <t>ST-088,ST-092</t>
        </is>
      </c>
      <c r="D11" s="27" t="n">
        <v>3</v>
      </c>
      <c r="E11" s="27" t="inlineStr">
        <is>
          <t>Senthil + Claude</t>
        </is>
      </c>
      <c r="F11" s="33" t="inlineStr">
        <is>
          <t>To do</t>
        </is>
      </c>
      <c r="G11" s="33" t="inlineStr">
        <is>
          <t>Harness + workflow shipped in repo; needs staging slots.</t>
        </is>
      </c>
    </row>
    <row r="12" ht="23.25" customHeight="1" s="20">
      <c r="A12" s="27" t="inlineStr">
        <is>
          <t>S9-09</t>
        </is>
      </c>
      <c r="B12" s="27" t="inlineStr">
        <is>
          <t>Listing copy variant pick (A/B drafted) + 5 screenshots + 2-min video</t>
        </is>
      </c>
      <c r="C12" s="27" t="inlineStr">
        <is>
          <t>ST-093,ST-094</t>
        </is>
      </c>
      <c r="D12" s="27" t="n">
        <v>5</v>
      </c>
      <c r="E12" s="27" t="inlineStr">
        <is>
          <t>Senthil</t>
        </is>
      </c>
      <c r="F12" s="33" t="inlineStr">
        <is>
          <t>To do</t>
        </is>
      </c>
      <c r="G12" s="33" t="inlineStr">
        <is>
          <t>Copy in docs/LISTING_COPY.md; assets need live UI.</t>
        </is>
      </c>
    </row>
    <row r="13" ht="15" customHeight="1" s="20">
      <c r="A13" s="27" t="inlineStr">
        <is>
          <t>S9-10</t>
        </is>
      </c>
      <c r="B13" s="27" t="inlineStr">
        <is>
          <t>Encryption-at-rest/vault verification on deploy infra</t>
        </is>
      </c>
      <c r="C13" s="27" t="inlineStr">
        <is>
          <t>ST-066</t>
        </is>
      </c>
      <c r="D13" s="27" t="n">
        <v>2</v>
      </c>
      <c r="E13" s="27" t="inlineStr">
        <is>
          <t>Senthil + Claude</t>
        </is>
      </c>
      <c r="F13" s="33" t="inlineStr">
        <is>
          <t>To do</t>
        </is>
      </c>
      <c r="G13" s="33" t="inlineStr">
        <is>
          <t>Config/secrets validation coded; vault = infra.</t>
        </is>
      </c>
    </row>
  </sheetDat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15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9" min="1" max="1"/>
    <col width="6" customWidth="1" style="19" min="2" max="2"/>
    <col width="22" customWidth="1" style="19" min="3" max="3"/>
    <col width="60" customWidth="1" style="19" min="4" max="4"/>
    <col width="7" customWidth="1" style="19" min="5" max="5"/>
    <col width="8" customWidth="1" style="19" min="6" max="6"/>
    <col width="7" customWidth="1" style="19" min="7" max="7"/>
    <col width="24" customWidth="1" style="19" min="8" max="10"/>
    <col width="60" customWidth="1" style="19" min="11" max="11"/>
    <col width="22" customWidth="1" style="19" min="12" max="12"/>
    <col width="95" customWidth="1" style="19" min="13" max="13"/>
  </cols>
  <sheetData>
    <row r="1" ht="15.75" customHeight="1" s="20">
      <c r="A1" s="21" t="inlineStr">
        <is>
          <t>TRACEABILITY MATRIX — 151 stories: module -&gt; epic -&gt; story -&gt; screen -&gt; verification -&gt; status (ST-001…100 from v008 workbook; ST-101…151 from Perplexity Review V001, added v040)</t>
        </is>
      </c>
    </row>
    <row r="2" ht="15" customHeight="1" s="20">
      <c r="A2" s="22" t="inlineStr">
        <is>
          <t>Source: v008 product workbook Full_Backlog (single source of truth). Done rows carry code/test evidence per D13. Status: Done-in-code / Code-complete (pending live) / Drafted / Backlog.</t>
        </is>
      </c>
      <c r="L2" s="26" t="inlineStr">
        <is>
          <t>Added v016 per Handover #20 and BROUGHT CURRENT at v032 (13 Sep 20:36). It had been eleven sittings stale: every "column L moves on your next pass" note went unactioned, so the column described the product as it was at 11:32 while the code moved to v038.</t>
        </is>
      </c>
    </row>
    <row r="3" ht="15" customHeight="1" s="20">
      <c r="A3" s="23" t="inlineStr">
        <is>
          <t>Story ID</t>
        </is>
      </c>
      <c r="B3" s="23" t="inlineStr">
        <is>
          <t>Epic</t>
        </is>
      </c>
      <c r="C3" s="23" t="inlineStr">
        <is>
          <t>Module / feature</t>
        </is>
      </c>
      <c r="D3" s="23" t="inlineStr">
        <is>
          <t>Story</t>
        </is>
      </c>
      <c r="E3" s="23" t="inlineStr">
        <is>
          <t>Points</t>
        </is>
      </c>
      <c r="F3" s="23" t="inlineStr">
        <is>
          <t>Priority</t>
        </is>
      </c>
      <c r="G3" s="23" t="inlineStr">
        <is>
          <t>Sprint</t>
        </is>
      </c>
      <c r="H3" s="23" t="inlineStr">
        <is>
          <t>Primary screen</t>
        </is>
      </c>
      <c r="I3" s="23" t="inlineStr">
        <is>
          <t>Verification</t>
        </is>
      </c>
      <c r="J3" s="23" t="inlineStr">
        <is>
          <t>Status</t>
        </is>
      </c>
      <c r="K3" s="23" t="inlineStr">
        <is>
          <t>Evidence</t>
        </is>
      </c>
      <c r="L3" s="47" t="inlineStr">
        <is>
          <t>Customer-reachable (v021)</t>
        </is>
      </c>
      <c r="M3" s="47" t="inlineStr">
        <is>
          <t>Reached by / what is missing</t>
        </is>
      </c>
    </row>
    <row r="4" ht="23.25" customHeight="1" s="20">
      <c r="A4" s="27" t="inlineStr">
        <is>
          <t>ST-001</t>
        </is>
      </c>
      <c r="B4" s="27" t="inlineStr">
        <is>
          <t>F1</t>
        </is>
      </c>
      <c r="C4" s="27" t="inlineStr">
        <is>
          <t>Live notes panel</t>
        </is>
      </c>
      <c r="D4" s="27" t="inlineStr">
        <is>
          <t>As a Sales leader, I can set up Live notes panel with sensible defaults in one screen</t>
        </is>
      </c>
      <c r="E4" s="27" t="n">
        <v>5</v>
      </c>
      <c r="F4" s="27" t="inlineStr">
        <is>
          <t>P0</t>
        </is>
      </c>
      <c r="G4" s="27" t="inlineStr">
        <is>
          <t>S2</t>
        </is>
      </c>
      <c r="H4" s="27" t="inlineStr">
        <is>
          <t>SCR-3 Live notes workspace</t>
        </is>
      </c>
      <c r="I4" s="27" t="inlineStr">
        <is>
          <t>E2E test + demo</t>
        </is>
      </c>
      <c r="J4" s="33" t="inlineStr">
        <is>
          <t>Done-in-code</t>
        </is>
      </c>
      <c r="K4" s="33" t="inlineStr">
        <is>
          <t>FeatureEngine.setupWithDefaults one-screen + overrides; API test.</t>
        </is>
      </c>
      <c r="L4" s="34" t="inlineStr">
        <is>
          <t>REACHABLE</t>
        </is>
      </c>
      <c r="M4" s="26" t="inlineStr">
        <is>
          <t>POST /features/:key/setup</t>
        </is>
      </c>
    </row>
    <row r="5" ht="23.25" customHeight="1" s="20">
      <c r="A5" s="27" t="inlineStr">
        <is>
          <t>ST-002</t>
        </is>
      </c>
      <c r="B5" s="27" t="inlineStr">
        <is>
          <t>F1</t>
        </is>
      </c>
      <c r="C5" s="27" t="inlineStr">
        <is>
          <t>Live notes panel</t>
        </is>
      </c>
      <c r="D5" s="27" t="inlineStr">
        <is>
          <t>As a Sales leader, the Live notes panel happy path completes without documentation</t>
        </is>
      </c>
      <c r="E5" s="27" t="n">
        <v>8</v>
      </c>
      <c r="F5" s="27" t="inlineStr">
        <is>
          <t>P0</t>
        </is>
      </c>
      <c r="G5" s="27" t="inlineStr">
        <is>
          <t>S2</t>
        </is>
      </c>
      <c r="H5" s="27" t="inlineStr">
        <is>
          <t>SCR-3 Live notes workspace</t>
        </is>
      </c>
      <c r="I5" s="27" t="inlineStr">
        <is>
          <t>E2E test + demo</t>
        </is>
      </c>
      <c r="J5" s="33" t="inlineStr">
        <is>
          <t>Done-in-code</t>
        </is>
      </c>
      <c r="K5" s="33" t="inlineStr">
        <is>
          <t>Core happy path: notes.ts sessions/entries/chips. Module suite + E2E smoke.</t>
        </is>
      </c>
      <c r="L5" s="34" t="inlineStr">
        <is>
          <t>REACHABLE</t>
        </is>
      </c>
      <c r="M5" s="26" t="inlineStr">
        <is>
          <t>feature route: notes session+entries / actions extract / crm writeback / deal-risk analyse / indic segment</t>
        </is>
      </c>
    </row>
    <row r="6" ht="23.25" customHeight="1" s="20">
      <c r="A6" s="27" t="inlineStr">
        <is>
          <t>ST-003</t>
        </is>
      </c>
      <c r="B6" s="27" t="inlineStr">
        <is>
          <t>F1</t>
        </is>
      </c>
      <c r="C6" s="27" t="inlineStr">
        <is>
          <t>Live notes panel</t>
        </is>
      </c>
      <c r="D6" s="27" t="inlineStr">
        <is>
          <t>As a CS lead, I can customise Live notes panel rules/conditions for my workflow</t>
        </is>
      </c>
      <c r="E6" s="27" t="n">
        <v>5</v>
      </c>
      <c r="F6" s="27" t="inlineStr">
        <is>
          <t>P1</t>
        </is>
      </c>
      <c r="G6" s="27" t="inlineStr">
        <is>
          <t>S2</t>
        </is>
      </c>
      <c r="H6" s="27" t="inlineStr">
        <is>
          <t>SCR-3 Live notes workspace</t>
        </is>
      </c>
      <c r="I6" s="27" t="inlineStr">
        <is>
          <t>Integration test + manual QA</t>
        </is>
      </c>
      <c r="J6" s="33" t="inlineStr">
        <is>
          <t>Done-in-code</t>
        </is>
      </c>
      <c r="K6" s="33" t="inlineStr">
        <is>
          <t>addRule customisation + role guard; notes.ts sessions/entries/chips rule tests.</t>
        </is>
      </c>
      <c r="L6" s="34" t="inlineStr">
        <is>
          <t>REACHABLE</t>
        </is>
      </c>
      <c r="M6" s="26" t="inlineStr">
        <is>
          <t>POST /features/:key/rules (and POST /features/actions/rules for extraction verbs)</t>
        </is>
      </c>
    </row>
    <row r="7" ht="23.25" customHeight="1" s="20">
      <c r="A7" s="27" t="inlineStr">
        <is>
          <t>ST-004</t>
        </is>
      </c>
      <c r="B7" s="27" t="inlineStr">
        <is>
          <t>F1</t>
        </is>
      </c>
      <c r="C7" s="27" t="inlineStr">
        <is>
          <t>Live notes panel</t>
        </is>
      </c>
      <c r="D7" s="27" t="inlineStr">
        <is>
          <t>As a user, Live notes panel shows clear errors and retry paths on platform API failures</t>
        </is>
      </c>
      <c r="E7" s="27" t="n">
        <v>3</v>
      </c>
      <c r="F7" s="27" t="inlineStr">
        <is>
          <t>P0</t>
        </is>
      </c>
      <c r="G7" s="27" t="inlineStr">
        <is>
          <t>S2</t>
        </is>
      </c>
      <c r="H7" s="27" t="inlineStr">
        <is>
          <t>SCR-3 Live notes workspace</t>
        </is>
      </c>
      <c r="I7" s="27" t="inlineStr">
        <is>
          <t>E2E test + demo</t>
        </is>
      </c>
      <c r="J7" s="33" t="inlineStr">
        <is>
          <t>Done-in-code</t>
        </is>
      </c>
      <c r="K7" s="33" t="inlineStr">
        <is>
          <t>Typed error paths w/ retry hints (403/409/422/500 mapped); error metric recorded.</t>
        </is>
      </c>
      <c r="L7" s="34" t="inlineStr">
        <is>
          <t>REACHABLE</t>
        </is>
      </c>
      <c r="M7" s="26" t="inlineStr">
        <is>
          <t>shared error mapper on every feature route: 403/409/422/503 with retry hints</t>
        </is>
      </c>
    </row>
    <row r="8" ht="23.25" customHeight="1" s="20">
      <c r="A8" s="27" t="inlineStr">
        <is>
          <t>ST-005</t>
        </is>
      </c>
      <c r="B8" s="27" t="inlineStr">
        <is>
          <t>F1</t>
        </is>
      </c>
      <c r="C8" s="27" t="inlineStr">
        <is>
          <t>Live notes panel</t>
        </is>
      </c>
      <c r="D8" s="27" t="inlineStr">
        <is>
          <t>As a IT admin, Live notes panel works on the Zoom App in-meeting panel + web dashboard surface end-to-end</t>
        </is>
      </c>
      <c r="E8" s="27" t="n">
        <v>5</v>
      </c>
      <c r="F8" s="27" t="inlineStr">
        <is>
          <t>P0</t>
        </is>
      </c>
      <c r="G8" s="27" t="inlineStr">
        <is>
          <t>S3</t>
        </is>
      </c>
      <c r="H8" s="27" t="inlineStr">
        <is>
          <t>SCR-3 Live notes workspace</t>
        </is>
      </c>
      <c r="I8" s="27" t="inlineStr">
        <is>
          <t>E2E test + demo</t>
        </is>
      </c>
      <c r="J8" s="33" t="inlineStr">
        <is>
          <t>Code-complete (pending live)</t>
        </is>
      </c>
      <c r="K8" s="33" t="inlineStr">
        <is>
          <t>UI BUILT+TESTED: web/NotesPanel.tsx in App shell serving in-meeting panel AND web dashboard from one codebase; Zoom Apps SDK behind ZoomSdk boundary (MockZoomSdk in RTL tests, 100x4). Domain logic done since S1-S8. ONLY the live dev-app SDK handshake remains (Handover #2).</t>
        </is>
      </c>
      <c r="L8" s="45" t="inlineStr">
        <is>
          <t>PENDING LIVE</t>
        </is>
      </c>
      <c r="M8" s="26" t="inlineStr">
        <is>
          <t>needs the Zoom dev app; panel components exist and are RTL-tested (Handover #2)</t>
        </is>
      </c>
    </row>
    <row r="9" ht="23.25" customHeight="1" s="20">
      <c r="A9" s="27" t="inlineStr">
        <is>
          <t>ST-006</t>
        </is>
      </c>
      <c r="B9" s="27" t="inlineStr">
        <is>
          <t>F1</t>
        </is>
      </c>
      <c r="C9" s="27" t="inlineStr">
        <is>
          <t>Live notes panel</t>
        </is>
      </c>
      <c r="D9" s="27" t="inlineStr">
        <is>
          <t>As a CS lead, I can see Live notes panel performance metrics and trends</t>
        </is>
      </c>
      <c r="E9" s="27" t="n">
        <v>3</v>
      </c>
      <c r="F9" s="27" t="inlineStr">
        <is>
          <t>P1</t>
        </is>
      </c>
      <c r="G9" s="27" t="inlineStr">
        <is>
          <t>S3</t>
        </is>
      </c>
      <c r="H9" s="27" t="inlineStr">
        <is>
          <t>SCR-3 Live notes workspace</t>
        </is>
      </c>
      <c r="I9" s="27" t="inlineStr">
        <is>
          <t>Integration test + manual QA</t>
        </is>
      </c>
      <c r="J9" s="33" t="inlineStr">
        <is>
          <t>Done-in-code</t>
        </is>
      </c>
      <c r="K9" s="33" t="inlineStr">
        <is>
          <t>engine.metrics events/errors/errorRate + sorted day trend; /features/:key/metrics.</t>
        </is>
      </c>
      <c r="L9" s="34" t="inlineStr">
        <is>
          <t>REACHABLE</t>
        </is>
      </c>
      <c r="M9" s="26" t="inlineStr">
        <is>
          <t>GET /features/:key/metrics</t>
        </is>
      </c>
    </row>
    <row r="10" ht="15" customHeight="1" s="20">
      <c r="A10" s="27" t="inlineStr">
        <is>
          <t>ST-007</t>
        </is>
      </c>
      <c r="B10" s="27" t="inlineStr">
        <is>
          <t>F1</t>
        </is>
      </c>
      <c r="C10" s="27" t="inlineStr">
        <is>
          <t>Live notes panel</t>
        </is>
      </c>
      <c r="D10" s="27" t="inlineStr">
        <is>
          <t>As a user, Live notes panel respects role permissions and audit logging</t>
        </is>
      </c>
      <c r="E10" s="27" t="n">
        <v>3</v>
      </c>
      <c r="F10" s="27" t="inlineStr">
        <is>
          <t>P1</t>
        </is>
      </c>
      <c r="G10" s="27" t="inlineStr">
        <is>
          <t>S3</t>
        </is>
      </c>
      <c r="H10" s="27" t="inlineStr">
        <is>
          <t>SCR-3 Live notes workspace</t>
        </is>
      </c>
      <c r="I10" s="27" t="inlineStr">
        <is>
          <t>Integration test + manual QA</t>
        </is>
      </c>
      <c r="J10" s="33" t="inlineStr">
        <is>
          <t>Done-in-code</t>
        </is>
      </c>
      <c r="K10" s="33" t="inlineStr">
        <is>
          <t>RBAC matrix enforced + audit rows (allow and deny).</t>
        </is>
      </c>
      <c r="L10" s="34" t="inlineStr">
        <is>
          <t>REACHABLE</t>
        </is>
      </c>
      <c r="M10" s="26" t="inlineStr">
        <is>
          <t>RBAC enforced on every route; audit readable at GET /orgs/:id/audit-log</t>
        </is>
      </c>
    </row>
    <row r="11" ht="15" customHeight="1" s="20">
      <c r="A11" s="27" t="inlineStr">
        <is>
          <t>ST-008</t>
        </is>
      </c>
      <c r="B11" s="27" t="inlineStr">
        <is>
          <t>F1</t>
        </is>
      </c>
      <c r="C11" s="27" t="inlineStr">
        <is>
          <t>Live notes panel</t>
        </is>
      </c>
      <c r="D11" s="27" t="inlineStr">
        <is>
          <t>As a Sales leader, I can pause/disable Live notes panel without data loss</t>
        </is>
      </c>
      <c r="E11" s="27" t="n">
        <v>2</v>
      </c>
      <c r="F11" s="27" t="inlineStr">
        <is>
          <t>P2</t>
        </is>
      </c>
      <c r="G11" s="27" t="inlineStr">
        <is>
          <t>S3</t>
        </is>
      </c>
      <c r="H11" s="27" t="inlineStr">
        <is>
          <t>SCR-3 Live notes workspace</t>
        </is>
      </c>
      <c r="I11" s="27" t="inlineStr">
        <is>
          <t>Manual QA</t>
        </is>
      </c>
      <c r="J11" s="33" t="inlineStr">
        <is>
          <t>Done-in-code</t>
        </is>
      </c>
      <c r="K11" s="33" t="inlineStr">
        <is>
          <t>setEnabled pause keeps records (asserted); resume restores.</t>
        </is>
      </c>
      <c r="L11" s="34" t="inlineStr">
        <is>
          <t>REACHABLE</t>
        </is>
      </c>
      <c r="M11" s="26" t="inlineStr">
        <is>
          <t>POST /features/:key/pause — data retention on pause is tested</t>
        </is>
      </c>
    </row>
    <row r="12" ht="23.25" customHeight="1" s="20">
      <c r="A12" s="27" t="inlineStr">
        <is>
          <t>ST-009</t>
        </is>
      </c>
      <c r="B12" s="27" t="inlineStr">
        <is>
          <t>F1</t>
        </is>
      </c>
      <c r="C12" s="27" t="inlineStr">
        <is>
          <t>Live notes panel</t>
        </is>
      </c>
      <c r="D12" s="27" t="inlineStr">
        <is>
          <t>As a CS lead, I can import/migrate existing data into Live notes panel (CSV + competitor importer)</t>
        </is>
      </c>
      <c r="E12" s="27" t="n">
        <v>5</v>
      </c>
      <c r="F12" s="27" t="inlineStr">
        <is>
          <t>P1</t>
        </is>
      </c>
      <c r="G12" s="27" t="inlineStr">
        <is>
          <t>S3</t>
        </is>
      </c>
      <c r="H12" s="27" t="inlineStr">
        <is>
          <t>SCR-3 Live notes workspace</t>
        </is>
      </c>
      <c r="I12" s="27" t="inlineStr">
        <is>
          <t>Integration test + manual QA</t>
        </is>
      </c>
      <c r="J12" s="33" t="inlineStr">
        <is>
          <t>Done-in-code</t>
        </is>
      </c>
      <c r="K12" s="33" t="inlineStr">
        <is>
          <t>importCsv competitor-format, header/ragged-row validation w/ row numbers.</t>
        </is>
      </c>
      <c r="L12" s="34" t="inlineStr">
        <is>
          <t>REACHABLE</t>
        </is>
      </c>
      <c r="M12" s="26" t="inlineStr">
        <is>
          <t>POST /features/:key/import (RFC-4180)</t>
        </is>
      </c>
    </row>
    <row r="13" ht="23.25" customHeight="1" s="20">
      <c r="A13" s="27" t="inlineStr">
        <is>
          <t>ST-010</t>
        </is>
      </c>
      <c r="B13" s="27" t="inlineStr">
        <is>
          <t>F1</t>
        </is>
      </c>
      <c r="C13" s="27" t="inlineStr">
        <is>
          <t>Live notes panel</t>
        </is>
      </c>
      <c r="D13" s="27" t="inlineStr">
        <is>
          <t>As a user, I get notifications (in-app + email) for key Live notes panel events with per-type mute</t>
        </is>
      </c>
      <c r="E13" s="27" t="n">
        <v>3</v>
      </c>
      <c r="F13" s="27" t="inlineStr">
        <is>
          <t>P2</t>
        </is>
      </c>
      <c r="G13" s="27" t="inlineStr">
        <is>
          <t>S3</t>
        </is>
      </c>
      <c r="H13" s="27" t="inlineStr">
        <is>
          <t>SCR-3 Live notes workspace</t>
        </is>
      </c>
      <c r="I13" s="27" t="inlineStr">
        <is>
          <t>Manual QA</t>
        </is>
      </c>
      <c r="J13" s="33" t="inlineStr">
        <is>
          <t>Done-in-code</t>
        </is>
      </c>
      <c r="K13" s="33" t="inlineStr">
        <is>
          <t>notify in-app+email; per-type mute/unmute.</t>
        </is>
      </c>
      <c r="L13" s="45" t="inlineStr">
        <is>
          <t>PARTIAL</t>
        </is>
      </c>
      <c r="M13" s="26" t="inlineStr">
        <is>
          <t>in-app half reachable (GET /features/:key/notifications, POST /mute). v021 stopped notify() recording an email row it had never sent; the email half still has no sender</t>
        </is>
      </c>
    </row>
    <row r="14" ht="23.25" customHeight="1" s="20">
      <c r="A14" s="27" t="inlineStr">
        <is>
          <t>ST-011</t>
        </is>
      </c>
      <c r="B14" s="27" t="inlineStr">
        <is>
          <t>F2</t>
        </is>
      </c>
      <c r="C14" s="27" t="inlineStr">
        <is>
          <t>Action-item extraction</t>
        </is>
      </c>
      <c r="D14" s="27" t="inlineStr">
        <is>
          <t>As a Sales leader, I can set up Action-item extraction with sensible defaults in one screen</t>
        </is>
      </c>
      <c r="E14" s="27" t="n">
        <v>5</v>
      </c>
      <c r="F14" s="27" t="inlineStr">
        <is>
          <t>P0</t>
        </is>
      </c>
      <c r="G14" s="27" t="inlineStr">
        <is>
          <t>S3</t>
        </is>
      </c>
      <c r="H14" s="27" t="inlineStr">
        <is>
          <t>SCR-4 Extraction builder</t>
        </is>
      </c>
      <c r="I14" s="27" t="inlineStr">
        <is>
          <t>E2E test + demo</t>
        </is>
      </c>
      <c r="J14" s="33" t="inlineStr">
        <is>
          <t>Done-in-code</t>
        </is>
      </c>
      <c r="K14" s="33" t="inlineStr">
        <is>
          <t>FeatureEngine.setupWithDefaults one-screen + overrides; API test.</t>
        </is>
      </c>
      <c r="L14" s="34" t="inlineStr">
        <is>
          <t>REACHABLE</t>
        </is>
      </c>
      <c r="M14" s="26" t="inlineStr">
        <is>
          <t>POST /features/:key/setup</t>
        </is>
      </c>
    </row>
    <row r="15" ht="23.25" customHeight="1" s="20">
      <c r="A15" s="27" t="inlineStr">
        <is>
          <t>ST-012</t>
        </is>
      </c>
      <c r="B15" s="27" t="inlineStr">
        <is>
          <t>F2</t>
        </is>
      </c>
      <c r="C15" s="27" t="inlineStr">
        <is>
          <t>Action-item extraction</t>
        </is>
      </c>
      <c r="D15" s="27" t="inlineStr">
        <is>
          <t>As a Sales leader, the Action-item extraction happy path completes without documentation</t>
        </is>
      </c>
      <c r="E15" s="27" t="n">
        <v>8</v>
      </c>
      <c r="F15" s="27" t="inlineStr">
        <is>
          <t>P0</t>
        </is>
      </c>
      <c r="G15" s="27" t="inlineStr">
        <is>
          <t>S3</t>
        </is>
      </c>
      <c r="H15" s="27" t="inlineStr">
        <is>
          <t>SCR-4 Extraction builder</t>
        </is>
      </c>
      <c r="I15" s="27" t="inlineStr">
        <is>
          <t>E2E test + demo</t>
        </is>
      </c>
      <c r="J15" s="33" t="inlineStr">
        <is>
          <t>Done-in-code</t>
        </is>
      </c>
      <c r="K15" s="33" t="inlineStr">
        <is>
          <t>Core happy path: actions.ts rules+preview mode. Module suite + E2E smoke.</t>
        </is>
      </c>
      <c r="L15" s="34" t="inlineStr">
        <is>
          <t>REACHABLE</t>
        </is>
      </c>
      <c r="M15" s="26" t="inlineStr">
        <is>
          <t>feature route: notes session+entries / actions extract / crm writeback / deal-risk analyse / indic segment</t>
        </is>
      </c>
    </row>
    <row r="16" ht="23.25" customHeight="1" s="20">
      <c r="A16" s="27" t="inlineStr">
        <is>
          <t>ST-013</t>
        </is>
      </c>
      <c r="B16" s="27" t="inlineStr">
        <is>
          <t>F2</t>
        </is>
      </c>
      <c r="C16" s="27" t="inlineStr">
        <is>
          <t>Action-item extraction</t>
        </is>
      </c>
      <c r="D16" s="27" t="inlineStr">
        <is>
          <t>As a CS lead, I can customise Action-item extraction rules/conditions for my workflow</t>
        </is>
      </c>
      <c r="E16" s="27" t="n">
        <v>5</v>
      </c>
      <c r="F16" s="27" t="inlineStr">
        <is>
          <t>P1</t>
        </is>
      </c>
      <c r="G16" s="27" t="inlineStr">
        <is>
          <t>S3</t>
        </is>
      </c>
      <c r="H16" s="27" t="inlineStr">
        <is>
          <t>SCR-4 Extraction builder</t>
        </is>
      </c>
      <c r="I16" s="27" t="inlineStr">
        <is>
          <t>Integration test + manual QA</t>
        </is>
      </c>
      <c r="J16" s="33" t="inlineStr">
        <is>
          <t>Done-in-code</t>
        </is>
      </c>
      <c r="K16" s="33" t="inlineStr">
        <is>
          <t>addRule customisation + role guard; actions.ts rules+preview mode rule tests.</t>
        </is>
      </c>
      <c r="L16" s="34" t="inlineStr">
        <is>
          <t>REACHABLE</t>
        </is>
      </c>
      <c r="M16" s="26" t="inlineStr">
        <is>
          <t>POST /features/:key/rules (and POST /features/actions/rules for extraction verbs)</t>
        </is>
      </c>
    </row>
    <row r="17" ht="23.25" customHeight="1" s="20">
      <c r="A17" s="27" t="inlineStr">
        <is>
          <t>ST-014</t>
        </is>
      </c>
      <c r="B17" s="27" t="inlineStr">
        <is>
          <t>F2</t>
        </is>
      </c>
      <c r="C17" s="27" t="inlineStr">
        <is>
          <t>Action-item extraction</t>
        </is>
      </c>
      <c r="D17" s="27" t="inlineStr">
        <is>
          <t>As a user, Action-item extraction shows clear errors and retry paths on platform API failures</t>
        </is>
      </c>
      <c r="E17" s="27" t="n">
        <v>3</v>
      </c>
      <c r="F17" s="27" t="inlineStr">
        <is>
          <t>P0</t>
        </is>
      </c>
      <c r="G17" s="27" t="inlineStr">
        <is>
          <t>S3</t>
        </is>
      </c>
      <c r="H17" s="27" t="inlineStr">
        <is>
          <t>SCR-4 Extraction builder</t>
        </is>
      </c>
      <c r="I17" s="27" t="inlineStr">
        <is>
          <t>E2E test + demo</t>
        </is>
      </c>
      <c r="J17" s="33" t="inlineStr">
        <is>
          <t>Done-in-code</t>
        </is>
      </c>
      <c r="K17" s="33" t="inlineStr">
        <is>
          <t>Typed error paths w/ retry hints (403/409/422/500 mapped); error metric recorded.</t>
        </is>
      </c>
      <c r="L17" s="34" t="inlineStr">
        <is>
          <t>REACHABLE</t>
        </is>
      </c>
      <c r="M17" s="26" t="inlineStr">
        <is>
          <t>shared error mapper on every feature route: 403/409/422/503 with retry hints</t>
        </is>
      </c>
    </row>
    <row r="18" ht="23.25" customHeight="1" s="20">
      <c r="A18" s="27" t="inlineStr">
        <is>
          <t>ST-015</t>
        </is>
      </c>
      <c r="B18" s="27" t="inlineStr">
        <is>
          <t>F2</t>
        </is>
      </c>
      <c r="C18" s="27" t="inlineStr">
        <is>
          <t>Action-item extraction</t>
        </is>
      </c>
      <c r="D18" s="27" t="inlineStr">
        <is>
          <t>As a IT admin, Action-item extraction works on the Zoom App in-meeting panel + web dashboard surface end-to-end</t>
        </is>
      </c>
      <c r="E18" s="27" t="n">
        <v>5</v>
      </c>
      <c r="F18" s="27" t="inlineStr">
        <is>
          <t>P0</t>
        </is>
      </c>
      <c r="G18" s="27" t="inlineStr">
        <is>
          <t>S4</t>
        </is>
      </c>
      <c r="H18" s="27" t="inlineStr">
        <is>
          <t>SCR-4 Extraction builder</t>
        </is>
      </c>
      <c r="I18" s="27" t="inlineStr">
        <is>
          <t>E2E test + demo</t>
        </is>
      </c>
      <c r="J18" s="33" t="inlineStr">
        <is>
          <t>Code-complete (pending live)</t>
        </is>
      </c>
      <c r="K18" s="33" t="inlineStr">
        <is>
          <t>UI BUILT+TESTED: web/ActionsPanel.tsx in App shell serving in-meeting panel AND web dashboard from one codebase; Zoom Apps SDK behind ZoomSdk boundary (MockZoomSdk in RTL tests, 100x4). Domain logic done since S1-S8. ONLY the live dev-app SDK handshake remains (Handover #2).</t>
        </is>
      </c>
      <c r="L18" s="45" t="inlineStr">
        <is>
          <t>PENDING LIVE</t>
        </is>
      </c>
      <c r="M18" s="26" t="inlineStr">
        <is>
          <t>needs the Zoom dev app; panel components exist and are RTL-tested (Handover #2)</t>
        </is>
      </c>
    </row>
    <row r="19" ht="23.25" customHeight="1" s="20">
      <c r="A19" s="27" t="inlineStr">
        <is>
          <t>ST-016</t>
        </is>
      </c>
      <c r="B19" s="27" t="inlineStr">
        <is>
          <t>F2</t>
        </is>
      </c>
      <c r="C19" s="27" t="inlineStr">
        <is>
          <t>Action-item extraction</t>
        </is>
      </c>
      <c r="D19" s="27" t="inlineStr">
        <is>
          <t>As a CS lead, I can see Action-item extraction performance metrics and trends</t>
        </is>
      </c>
      <c r="E19" s="27" t="n">
        <v>3</v>
      </c>
      <c r="F19" s="27" t="inlineStr">
        <is>
          <t>P1</t>
        </is>
      </c>
      <c r="G19" s="27" t="inlineStr">
        <is>
          <t>S4</t>
        </is>
      </c>
      <c r="H19" s="27" t="inlineStr">
        <is>
          <t>SCR-4 Extraction builder</t>
        </is>
      </c>
      <c r="I19" s="27" t="inlineStr">
        <is>
          <t>Integration test + manual QA</t>
        </is>
      </c>
      <c r="J19" s="33" t="inlineStr">
        <is>
          <t>Done-in-code</t>
        </is>
      </c>
      <c r="K19" s="33" t="inlineStr">
        <is>
          <t>engine.metrics events/errors/errorRate + sorted day trend; /features/:key/metrics.</t>
        </is>
      </c>
      <c r="L19" s="34" t="inlineStr">
        <is>
          <t>REACHABLE</t>
        </is>
      </c>
      <c r="M19" s="26" t="inlineStr">
        <is>
          <t>GET /features/:key/metrics</t>
        </is>
      </c>
    </row>
    <row r="20" ht="23.25" customHeight="1" s="20">
      <c r="A20" s="27" t="inlineStr">
        <is>
          <t>ST-017</t>
        </is>
      </c>
      <c r="B20" s="27" t="inlineStr">
        <is>
          <t>F2</t>
        </is>
      </c>
      <c r="C20" s="27" t="inlineStr">
        <is>
          <t>Action-item extraction</t>
        </is>
      </c>
      <c r="D20" s="27" t="inlineStr">
        <is>
          <t>As a user, Action-item extraction respects role permissions and audit logging</t>
        </is>
      </c>
      <c r="E20" s="27" t="n">
        <v>3</v>
      </c>
      <c r="F20" s="27" t="inlineStr">
        <is>
          <t>P1</t>
        </is>
      </c>
      <c r="G20" s="27" t="inlineStr">
        <is>
          <t>S4</t>
        </is>
      </c>
      <c r="H20" s="27" t="inlineStr">
        <is>
          <t>SCR-4 Extraction builder</t>
        </is>
      </c>
      <c r="I20" s="27" t="inlineStr">
        <is>
          <t>Integration test + manual QA</t>
        </is>
      </c>
      <c r="J20" s="33" t="inlineStr">
        <is>
          <t>Done-in-code</t>
        </is>
      </c>
      <c r="K20" s="33" t="inlineStr">
        <is>
          <t>RBAC matrix enforced + audit rows (allow and deny).</t>
        </is>
      </c>
      <c r="L20" s="34" t="inlineStr">
        <is>
          <t>REACHABLE</t>
        </is>
      </c>
      <c r="M20" s="26" t="inlineStr">
        <is>
          <t>RBAC enforced on every route; audit readable at GET /orgs/:id/audit-log</t>
        </is>
      </c>
    </row>
    <row r="21" ht="23.25" customHeight="1" s="20">
      <c r="A21" s="27" t="inlineStr">
        <is>
          <t>ST-018</t>
        </is>
      </c>
      <c r="B21" s="27" t="inlineStr">
        <is>
          <t>F2</t>
        </is>
      </c>
      <c r="C21" s="27" t="inlineStr">
        <is>
          <t>Action-item extraction</t>
        </is>
      </c>
      <c r="D21" s="27" t="inlineStr">
        <is>
          <t>As a Sales leader, I can pause/disable Action-item extraction without data loss</t>
        </is>
      </c>
      <c r="E21" s="27" t="n">
        <v>2</v>
      </c>
      <c r="F21" s="27" t="inlineStr">
        <is>
          <t>P2</t>
        </is>
      </c>
      <c r="G21" s="27" t="inlineStr">
        <is>
          <t>S4</t>
        </is>
      </c>
      <c r="H21" s="27" t="inlineStr">
        <is>
          <t>SCR-4 Extraction builder</t>
        </is>
      </c>
      <c r="I21" s="27" t="inlineStr">
        <is>
          <t>Manual QA</t>
        </is>
      </c>
      <c r="J21" s="33" t="inlineStr">
        <is>
          <t>Done-in-code</t>
        </is>
      </c>
      <c r="K21" s="33" t="inlineStr">
        <is>
          <t>setEnabled pause keeps records (asserted); resume restores.</t>
        </is>
      </c>
      <c r="L21" s="34" t="inlineStr">
        <is>
          <t>REACHABLE</t>
        </is>
      </c>
      <c r="M21" s="26" t="inlineStr">
        <is>
          <t>POST /features/:key/pause — data retention on pause is tested</t>
        </is>
      </c>
    </row>
    <row r="22" ht="23.25" customHeight="1" s="20">
      <c r="A22" s="27" t="inlineStr">
        <is>
          <t>ST-019</t>
        </is>
      </c>
      <c r="B22" s="27" t="inlineStr">
        <is>
          <t>F2</t>
        </is>
      </c>
      <c r="C22" s="27" t="inlineStr">
        <is>
          <t>Action-item extraction</t>
        </is>
      </c>
      <c r="D22" s="27" t="inlineStr">
        <is>
          <t>As a CS lead, I can import/migrate existing data into Action-item extraction (CSV + competitor importer)</t>
        </is>
      </c>
      <c r="E22" s="27" t="n">
        <v>5</v>
      </c>
      <c r="F22" s="27" t="inlineStr">
        <is>
          <t>P1</t>
        </is>
      </c>
      <c r="G22" s="27" t="inlineStr">
        <is>
          <t>S4</t>
        </is>
      </c>
      <c r="H22" s="27" t="inlineStr">
        <is>
          <t>SCR-4 Extraction builder</t>
        </is>
      </c>
      <c r="I22" s="27" t="inlineStr">
        <is>
          <t>Integration test + manual QA</t>
        </is>
      </c>
      <c r="J22" s="33" t="inlineStr">
        <is>
          <t>Done-in-code</t>
        </is>
      </c>
      <c r="K22" s="33" t="inlineStr">
        <is>
          <t>importCsv competitor-format, header/ragged-row validation w/ row numbers.</t>
        </is>
      </c>
      <c r="L22" s="34" t="inlineStr">
        <is>
          <t>REACHABLE</t>
        </is>
      </c>
      <c r="M22" s="26" t="inlineStr">
        <is>
          <t>POST /features/:key/import (RFC-4180)</t>
        </is>
      </c>
    </row>
    <row r="23" ht="23.25" customHeight="1" s="20">
      <c r="A23" s="27" t="inlineStr">
        <is>
          <t>ST-020</t>
        </is>
      </c>
      <c r="B23" s="27" t="inlineStr">
        <is>
          <t>F2</t>
        </is>
      </c>
      <c r="C23" s="27" t="inlineStr">
        <is>
          <t>Action-item extraction</t>
        </is>
      </c>
      <c r="D23" s="27" t="inlineStr">
        <is>
          <t>As a user, I get notifications (in-app + email) for key Action-item extraction events with per-type mute</t>
        </is>
      </c>
      <c r="E23" s="27" t="n">
        <v>3</v>
      </c>
      <c r="F23" s="27" t="inlineStr">
        <is>
          <t>P2</t>
        </is>
      </c>
      <c r="G23" s="27" t="inlineStr">
        <is>
          <t>S4</t>
        </is>
      </c>
      <c r="H23" s="27" t="inlineStr">
        <is>
          <t>SCR-4 Extraction builder</t>
        </is>
      </c>
      <c r="I23" s="27" t="inlineStr">
        <is>
          <t>Manual QA</t>
        </is>
      </c>
      <c r="J23" s="33" t="inlineStr">
        <is>
          <t>Done-in-code</t>
        </is>
      </c>
      <c r="K23" s="33" t="inlineStr">
        <is>
          <t>notify in-app+email; per-type mute/unmute.</t>
        </is>
      </c>
      <c r="L23" s="45" t="inlineStr">
        <is>
          <t>PARTIAL</t>
        </is>
      </c>
      <c r="M23" s="26" t="inlineStr">
        <is>
          <t>in-app half reachable: GET /features/:key/notifications + POST /mute. The EMAIL half is not implemented at all — no mail sender exists (v021 stopped it faking delivery rows)</t>
        </is>
      </c>
    </row>
    <row r="24" ht="23.25" customHeight="1" s="20">
      <c r="A24" s="27" t="inlineStr">
        <is>
          <t>ST-021</t>
        </is>
      </c>
      <c r="B24" s="27" t="inlineStr">
        <is>
          <t>F3</t>
        </is>
      </c>
      <c r="C24" s="27" t="inlineStr">
        <is>
          <t>CRM field writeback</t>
        </is>
      </c>
      <c r="D24" s="27" t="inlineStr">
        <is>
          <t>As a Sales leader, I can set up CRM field writeback with sensible defaults in one screen</t>
        </is>
      </c>
      <c r="E24" s="27" t="n">
        <v>5</v>
      </c>
      <c r="F24" s="27" t="inlineStr">
        <is>
          <t>P0</t>
        </is>
      </c>
      <c r="G24" s="27" t="inlineStr">
        <is>
          <t>S5</t>
        </is>
      </c>
      <c r="H24" s="27" t="inlineStr">
        <is>
          <t>SCR-5 CRM writeback view</t>
        </is>
      </c>
      <c r="I24" s="27" t="inlineStr">
        <is>
          <t>E2E test + demo</t>
        </is>
      </c>
      <c r="J24" s="33" t="inlineStr">
        <is>
          <t>Done-in-code</t>
        </is>
      </c>
      <c r="K24" s="33" t="inlineStr">
        <is>
          <t>FeatureEngine.setupWithDefaults one-screen + overrides; API test.</t>
        </is>
      </c>
      <c r="L24" s="34" t="inlineStr">
        <is>
          <t>REACHABLE</t>
        </is>
      </c>
      <c r="M24" s="26" t="inlineStr">
        <is>
          <t>POST /features/:key/setup</t>
        </is>
      </c>
    </row>
    <row r="25" ht="23.25" customHeight="1" s="20">
      <c r="A25" s="27" t="inlineStr">
        <is>
          <t>ST-022</t>
        </is>
      </c>
      <c r="B25" s="27" t="inlineStr">
        <is>
          <t>F3</t>
        </is>
      </c>
      <c r="C25" s="27" t="inlineStr">
        <is>
          <t>CRM field writeback</t>
        </is>
      </c>
      <c r="D25" s="27" t="inlineStr">
        <is>
          <t>As a Sales leader, the CRM field writeback happy path completes without documentation</t>
        </is>
      </c>
      <c r="E25" s="27" t="n">
        <v>8</v>
      </c>
      <c r="F25" s="27" t="inlineStr">
        <is>
          <t>P0</t>
        </is>
      </c>
      <c r="G25" s="27" t="inlineStr">
        <is>
          <t>S5</t>
        </is>
      </c>
      <c r="H25" s="27" t="inlineStr">
        <is>
          <t>SCR-5 CRM writeback view</t>
        </is>
      </c>
      <c r="I25" s="27" t="inlineStr">
        <is>
          <t>E2E test + demo</t>
        </is>
      </c>
      <c r="J25" s="33" t="inlineStr">
        <is>
          <t>Done-in-code</t>
        </is>
      </c>
      <c r="K25" s="33" t="inlineStr">
        <is>
          <t>Core happy path: crm.ts 3 adapters + mapping + retry queue + audit. Module suite + E2E smoke.</t>
        </is>
      </c>
      <c r="L25" s="34" t="inlineStr">
        <is>
          <t>REACHABLE</t>
        </is>
      </c>
      <c r="M25" s="26" t="inlineStr">
        <is>
          <t>feature route: notes session+entries / actions extract / crm writeback / deal-risk analyse / indic segment</t>
        </is>
      </c>
    </row>
    <row r="26" ht="23.25" customHeight="1" s="20">
      <c r="A26" s="27" t="inlineStr">
        <is>
          <t>ST-023</t>
        </is>
      </c>
      <c r="B26" s="27" t="inlineStr">
        <is>
          <t>F3</t>
        </is>
      </c>
      <c r="C26" s="27" t="inlineStr">
        <is>
          <t>CRM field writeback</t>
        </is>
      </c>
      <c r="D26" s="27" t="inlineStr">
        <is>
          <t>As a CS lead, I can customise CRM field writeback rules/conditions for my workflow</t>
        </is>
      </c>
      <c r="E26" s="27" t="n">
        <v>5</v>
      </c>
      <c r="F26" s="27" t="inlineStr">
        <is>
          <t>P1</t>
        </is>
      </c>
      <c r="G26" s="27" t="inlineStr">
        <is>
          <t>S5</t>
        </is>
      </c>
      <c r="H26" s="27" t="inlineStr">
        <is>
          <t>SCR-5 CRM writeback view</t>
        </is>
      </c>
      <c r="I26" s="27" t="inlineStr">
        <is>
          <t>Integration test + manual QA</t>
        </is>
      </c>
      <c r="J26" s="33" t="inlineStr">
        <is>
          <t>Done-in-code</t>
        </is>
      </c>
      <c r="K26" s="33" t="inlineStr">
        <is>
          <t>addRule customisation + role guard; crm.ts 3 adapters + mapping + retry queue + audit rule tests.</t>
        </is>
      </c>
      <c r="L26" s="34" t="inlineStr">
        <is>
          <t>REACHABLE</t>
        </is>
      </c>
      <c r="M26" s="26" t="inlineStr">
        <is>
          <t>POST /features/:key/rules (and POST /features/actions/rules for extraction verbs)</t>
        </is>
      </c>
    </row>
    <row r="27" ht="23.25" customHeight="1" s="20">
      <c r="A27" s="27" t="inlineStr">
        <is>
          <t>ST-024</t>
        </is>
      </c>
      <c r="B27" s="27" t="inlineStr">
        <is>
          <t>F3</t>
        </is>
      </c>
      <c r="C27" s="27" t="inlineStr">
        <is>
          <t>CRM field writeback</t>
        </is>
      </c>
      <c r="D27" s="27" t="inlineStr">
        <is>
          <t>As a user, CRM field writeback shows clear errors and retry paths on platform API failures</t>
        </is>
      </c>
      <c r="E27" s="27" t="n">
        <v>3</v>
      </c>
      <c r="F27" s="27" t="inlineStr">
        <is>
          <t>P0</t>
        </is>
      </c>
      <c r="G27" s="27" t="inlineStr">
        <is>
          <t>S5</t>
        </is>
      </c>
      <c r="H27" s="27" t="inlineStr">
        <is>
          <t>SCR-5 CRM writeback view</t>
        </is>
      </c>
      <c r="I27" s="27" t="inlineStr">
        <is>
          <t>E2E test + demo</t>
        </is>
      </c>
      <c r="J27" s="33" t="inlineStr">
        <is>
          <t>Done-in-code</t>
        </is>
      </c>
      <c r="K27" s="33" t="inlineStr">
        <is>
          <t>Typed error paths w/ retry hints (403/409/422/500 mapped); error metric recorded.</t>
        </is>
      </c>
      <c r="L27" s="34" t="inlineStr">
        <is>
          <t>REACHABLE</t>
        </is>
      </c>
      <c r="M27" s="26" t="inlineStr">
        <is>
          <t>shared error mapper on every feature route: 403/409/422/503 with retry hints</t>
        </is>
      </c>
    </row>
    <row r="28" ht="34.5" customHeight="1" s="20">
      <c r="A28" s="27" t="inlineStr">
        <is>
          <t>ST-025</t>
        </is>
      </c>
      <c r="B28" s="27" t="inlineStr">
        <is>
          <t>F3</t>
        </is>
      </c>
      <c r="C28" s="27" t="inlineStr">
        <is>
          <t>CRM field writeback</t>
        </is>
      </c>
      <c r="D28" s="27" t="inlineStr">
        <is>
          <t>As a IT admin, CRM field writeback works on the Zoom App in-meeting panel + web dashboard surface end-to-end</t>
        </is>
      </c>
      <c r="E28" s="27" t="n">
        <v>5</v>
      </c>
      <c r="F28" s="27" t="inlineStr">
        <is>
          <t>P0</t>
        </is>
      </c>
      <c r="G28" s="27" t="inlineStr">
        <is>
          <t>S5</t>
        </is>
      </c>
      <c r="H28" s="27" t="inlineStr">
        <is>
          <t>SCR-5 CRM writeback view</t>
        </is>
      </c>
      <c r="I28" s="27" t="inlineStr">
        <is>
          <t>E2E test + demo</t>
        </is>
      </c>
      <c r="J28" s="33" t="inlineStr">
        <is>
          <t>Code-complete (pending live)</t>
        </is>
      </c>
      <c r="K28" s="33" t="inlineStr">
        <is>
          <t>UI BUILT+TESTED: web/CrmPanel.tsx in App shell serving in-meeting panel AND web dashboard from one codebase; Zoom Apps SDK behind ZoomSdk boundary (MockZoomSdk in RTL tests, 100x4). Domain logic done since S1-S8. ONLY the live dev-app SDK handshake remains (Handover #2).</t>
        </is>
      </c>
      <c r="L28" s="45" t="inlineStr">
        <is>
          <t>PENDING LIVE</t>
        </is>
      </c>
      <c r="M28" s="26" t="inlineStr">
        <is>
          <t>needs the Zoom dev app; panel components exist and are RTL-tested (Handover #2)</t>
        </is>
      </c>
    </row>
    <row r="29" ht="23.25" customHeight="1" s="20">
      <c r="A29" s="27" t="inlineStr">
        <is>
          <t>ST-026</t>
        </is>
      </c>
      <c r="B29" s="27" t="inlineStr">
        <is>
          <t>F3</t>
        </is>
      </c>
      <c r="C29" s="27" t="inlineStr">
        <is>
          <t>CRM field writeback</t>
        </is>
      </c>
      <c r="D29" s="27" t="inlineStr">
        <is>
          <t>As a CS lead, I can see CRM field writeback performance metrics and trends</t>
        </is>
      </c>
      <c r="E29" s="27" t="n">
        <v>3</v>
      </c>
      <c r="F29" s="27" t="inlineStr">
        <is>
          <t>P1</t>
        </is>
      </c>
      <c r="G29" s="27" t="inlineStr">
        <is>
          <t>S5</t>
        </is>
      </c>
      <c r="H29" s="27" t="inlineStr">
        <is>
          <t>SCR-5 CRM writeback view</t>
        </is>
      </c>
      <c r="I29" s="27" t="inlineStr">
        <is>
          <t>Integration test + manual QA</t>
        </is>
      </c>
      <c r="J29" s="33" t="inlineStr">
        <is>
          <t>Done-in-code</t>
        </is>
      </c>
      <c r="K29" s="33" t="inlineStr">
        <is>
          <t>engine.metrics events/errors/errorRate + sorted day trend; /features/:key/metrics.</t>
        </is>
      </c>
      <c r="L29" s="34" t="inlineStr">
        <is>
          <t>REACHABLE</t>
        </is>
      </c>
      <c r="M29" s="26" t="inlineStr">
        <is>
          <t>GET /features/:key/metrics</t>
        </is>
      </c>
    </row>
    <row r="30" ht="23.25" customHeight="1" s="20">
      <c r="A30" s="27" t="inlineStr">
        <is>
          <t>ST-027</t>
        </is>
      </c>
      <c r="B30" s="27" t="inlineStr">
        <is>
          <t>F3</t>
        </is>
      </c>
      <c r="C30" s="27" t="inlineStr">
        <is>
          <t>CRM field writeback</t>
        </is>
      </c>
      <c r="D30" s="27" t="inlineStr">
        <is>
          <t>As a user, CRM field writeback respects role permissions and audit logging</t>
        </is>
      </c>
      <c r="E30" s="27" t="n">
        <v>3</v>
      </c>
      <c r="F30" s="27" t="inlineStr">
        <is>
          <t>P1</t>
        </is>
      </c>
      <c r="G30" s="27" t="inlineStr">
        <is>
          <t>S5</t>
        </is>
      </c>
      <c r="H30" s="27" t="inlineStr">
        <is>
          <t>SCR-5 CRM writeback view</t>
        </is>
      </c>
      <c r="I30" s="27" t="inlineStr">
        <is>
          <t>Integration test + manual QA</t>
        </is>
      </c>
      <c r="J30" s="33" t="inlineStr">
        <is>
          <t>Done-in-code</t>
        </is>
      </c>
      <c r="K30" s="33" t="inlineStr">
        <is>
          <t>RBAC matrix enforced + audit rows (allow and deny).</t>
        </is>
      </c>
      <c r="L30" s="34" t="inlineStr">
        <is>
          <t>REACHABLE</t>
        </is>
      </c>
      <c r="M30" s="26" t="inlineStr">
        <is>
          <t>RBAC enforced on every route; audit readable at GET /orgs/:id/audit-log</t>
        </is>
      </c>
    </row>
    <row r="31" ht="23.25" customHeight="1" s="20">
      <c r="A31" s="27" t="inlineStr">
        <is>
          <t>ST-028</t>
        </is>
      </c>
      <c r="B31" s="27" t="inlineStr">
        <is>
          <t>F3</t>
        </is>
      </c>
      <c r="C31" s="27" t="inlineStr">
        <is>
          <t>CRM field writeback</t>
        </is>
      </c>
      <c r="D31" s="27" t="inlineStr">
        <is>
          <t>As a Sales leader, I can pause/disable CRM field writeback without data loss</t>
        </is>
      </c>
      <c r="E31" s="27" t="n">
        <v>2</v>
      </c>
      <c r="F31" s="27" t="inlineStr">
        <is>
          <t>P2</t>
        </is>
      </c>
      <c r="G31" s="27" t="inlineStr">
        <is>
          <t>S5</t>
        </is>
      </c>
      <c r="H31" s="27" t="inlineStr">
        <is>
          <t>SCR-5 CRM writeback view</t>
        </is>
      </c>
      <c r="I31" s="27" t="inlineStr">
        <is>
          <t>Manual QA</t>
        </is>
      </c>
      <c r="J31" s="33" t="inlineStr">
        <is>
          <t>Done-in-code</t>
        </is>
      </c>
      <c r="K31" s="33" t="inlineStr">
        <is>
          <t>setEnabled pause keeps records (asserted); resume restores.</t>
        </is>
      </c>
      <c r="L31" s="34" t="inlineStr">
        <is>
          <t>REACHABLE</t>
        </is>
      </c>
      <c r="M31" s="26" t="inlineStr">
        <is>
          <t>POST /features/:key/pause — data retention on pause is tested</t>
        </is>
      </c>
    </row>
    <row r="32" ht="23.25" customHeight="1" s="20">
      <c r="A32" s="27" t="inlineStr">
        <is>
          <t>ST-029</t>
        </is>
      </c>
      <c r="B32" s="27" t="inlineStr">
        <is>
          <t>F3</t>
        </is>
      </c>
      <c r="C32" s="27" t="inlineStr">
        <is>
          <t>CRM field writeback</t>
        </is>
      </c>
      <c r="D32" s="27" t="inlineStr">
        <is>
          <t>As a CS lead, I can import/migrate existing data into CRM field writeback (CSV + competitor importer)</t>
        </is>
      </c>
      <c r="E32" s="27" t="n">
        <v>5</v>
      </c>
      <c r="F32" s="27" t="inlineStr">
        <is>
          <t>P1</t>
        </is>
      </c>
      <c r="G32" s="27" t="inlineStr">
        <is>
          <t>S5</t>
        </is>
      </c>
      <c r="H32" s="27" t="inlineStr">
        <is>
          <t>SCR-5 CRM writeback view</t>
        </is>
      </c>
      <c r="I32" s="27" t="inlineStr">
        <is>
          <t>Integration test + manual QA</t>
        </is>
      </c>
      <c r="J32" s="33" t="inlineStr">
        <is>
          <t>Done-in-code</t>
        </is>
      </c>
      <c r="K32" s="33" t="inlineStr">
        <is>
          <t>importCsv competitor-format, header/ragged-row validation w/ row numbers.</t>
        </is>
      </c>
      <c r="L32" s="34" t="inlineStr">
        <is>
          <t>REACHABLE</t>
        </is>
      </c>
      <c r="M32" s="26" t="inlineStr">
        <is>
          <t>POST /features/:key/import (RFC-4180)</t>
        </is>
      </c>
    </row>
    <row r="33" ht="23.25" customHeight="1" s="20">
      <c r="A33" s="27" t="inlineStr">
        <is>
          <t>ST-030</t>
        </is>
      </c>
      <c r="B33" s="27" t="inlineStr">
        <is>
          <t>F3</t>
        </is>
      </c>
      <c r="C33" s="27" t="inlineStr">
        <is>
          <t>CRM field writeback</t>
        </is>
      </c>
      <c r="D33" s="27" t="inlineStr">
        <is>
          <t>As a user, I get notifications (in-app + email) for key CRM field writeback events with per-type mute</t>
        </is>
      </c>
      <c r="E33" s="27" t="n">
        <v>3</v>
      </c>
      <c r="F33" s="27" t="inlineStr">
        <is>
          <t>P2</t>
        </is>
      </c>
      <c r="G33" s="27" t="inlineStr">
        <is>
          <t>S5</t>
        </is>
      </c>
      <c r="H33" s="27" t="inlineStr">
        <is>
          <t>SCR-5 CRM writeback view</t>
        </is>
      </c>
      <c r="I33" s="27" t="inlineStr">
        <is>
          <t>Manual QA</t>
        </is>
      </c>
      <c r="J33" s="33" t="inlineStr">
        <is>
          <t>Done-in-code</t>
        </is>
      </c>
      <c r="K33" s="33" t="inlineStr">
        <is>
          <t>notify in-app+email; per-type mute/unmute.</t>
        </is>
      </c>
      <c r="L33" s="45" t="inlineStr">
        <is>
          <t>PARTIAL</t>
        </is>
      </c>
      <c r="M33" s="26" t="inlineStr">
        <is>
          <t>in-app half reachable: GET /features/:key/notifications + POST /mute. The EMAIL half is not implemented at all — no mail sender exists (v021 stopped it faking delivery rows)</t>
        </is>
      </c>
    </row>
    <row r="34" ht="23.25" customHeight="1" s="20">
      <c r="A34" s="27" t="inlineStr">
        <is>
          <t>ST-031</t>
        </is>
      </c>
      <c r="B34" s="27" t="inlineStr">
        <is>
          <t>F4</t>
        </is>
      </c>
      <c r="C34" s="27" t="inlineStr">
        <is>
          <t>Deal-risk signals</t>
        </is>
      </c>
      <c r="D34" s="27" t="inlineStr">
        <is>
          <t>As a Sales leader, I can set up Deal-risk signals with sensible defaults in one screen</t>
        </is>
      </c>
      <c r="E34" s="27" t="n">
        <v>5</v>
      </c>
      <c r="F34" s="27" t="inlineStr">
        <is>
          <t>P0</t>
        </is>
      </c>
      <c r="G34" s="27" t="inlineStr">
        <is>
          <t>S6</t>
        </is>
      </c>
      <c r="H34" s="27" t="inlineStr">
        <is>
          <t>SCR-2 Home dashboard</t>
        </is>
      </c>
      <c r="I34" s="27" t="inlineStr">
        <is>
          <t>E2E test + demo</t>
        </is>
      </c>
      <c r="J34" s="33" t="inlineStr">
        <is>
          <t>Done-in-code</t>
        </is>
      </c>
      <c r="K34" s="33" t="inlineStr">
        <is>
          <t>FeatureEngine.setupWithDefaults one-screen + overrides; API test.</t>
        </is>
      </c>
      <c r="L34" s="34" t="inlineStr">
        <is>
          <t>REACHABLE</t>
        </is>
      </c>
      <c r="M34" s="26" t="inlineStr">
        <is>
          <t>POST /features/:key/setup</t>
        </is>
      </c>
    </row>
    <row r="35" ht="23.25" customHeight="1" s="20">
      <c r="A35" s="27" t="inlineStr">
        <is>
          <t>ST-032</t>
        </is>
      </c>
      <c r="B35" s="27" t="inlineStr">
        <is>
          <t>F4</t>
        </is>
      </c>
      <c r="C35" s="27" t="inlineStr">
        <is>
          <t>Deal-risk signals</t>
        </is>
      </c>
      <c r="D35" s="27" t="inlineStr">
        <is>
          <t>As a Sales leader, the Deal-risk signals happy path completes without documentation</t>
        </is>
      </c>
      <c r="E35" s="27" t="n">
        <v>8</v>
      </c>
      <c r="F35" s="27" t="inlineStr">
        <is>
          <t>P0</t>
        </is>
      </c>
      <c r="G35" s="27" t="inlineStr">
        <is>
          <t>S6</t>
        </is>
      </c>
      <c r="H35" s="27" t="inlineStr">
        <is>
          <t>SCR-2 Home dashboard</t>
        </is>
      </c>
      <c r="I35" s="27" t="inlineStr">
        <is>
          <t>E2E test + demo</t>
        </is>
      </c>
      <c r="J35" s="33" t="inlineStr">
        <is>
          <t>Done-in-code</t>
        </is>
      </c>
      <c r="K35" s="33" t="inlineStr">
        <is>
          <t>Core happy path: dealRisk.ts 4 signal types + score. Module suite + E2E smoke.</t>
        </is>
      </c>
      <c r="L35" s="34" t="inlineStr">
        <is>
          <t>REACHABLE</t>
        </is>
      </c>
      <c r="M35" s="26" t="inlineStr">
        <is>
          <t>feature route: notes session+entries / actions extract / crm writeback / deal-risk analyse / indic segment</t>
        </is>
      </c>
    </row>
    <row r="36" ht="23.25" customHeight="1" s="20">
      <c r="A36" s="27" t="inlineStr">
        <is>
          <t>ST-033</t>
        </is>
      </c>
      <c r="B36" s="27" t="inlineStr">
        <is>
          <t>F4</t>
        </is>
      </c>
      <c r="C36" s="27" t="inlineStr">
        <is>
          <t>Deal-risk signals</t>
        </is>
      </c>
      <c r="D36" s="27" t="inlineStr">
        <is>
          <t>As a CS lead, I can customise Deal-risk signals rules/conditions for my workflow</t>
        </is>
      </c>
      <c r="E36" s="27" t="n">
        <v>5</v>
      </c>
      <c r="F36" s="27" t="inlineStr">
        <is>
          <t>P1</t>
        </is>
      </c>
      <c r="G36" s="27" t="inlineStr">
        <is>
          <t>S6</t>
        </is>
      </c>
      <c r="H36" s="27" t="inlineStr">
        <is>
          <t>SCR-2 Home dashboard</t>
        </is>
      </c>
      <c r="I36" s="27" t="inlineStr">
        <is>
          <t>Integration test + manual QA</t>
        </is>
      </c>
      <c r="J36" s="33" t="inlineStr">
        <is>
          <t>Done-in-code</t>
        </is>
      </c>
      <c r="K36" s="33" t="inlineStr">
        <is>
          <t>addRule customisation + role guard; dealRisk.ts 4 signal types + score rule tests.</t>
        </is>
      </c>
      <c r="L36" s="34" t="inlineStr">
        <is>
          <t>REACHABLE</t>
        </is>
      </c>
      <c r="M36" s="26" t="inlineStr">
        <is>
          <t>POST /features/:key/rules (and POST /features/actions/rules for extraction verbs)</t>
        </is>
      </c>
    </row>
    <row r="37" ht="23.25" customHeight="1" s="20">
      <c r="A37" s="27" t="inlineStr">
        <is>
          <t>ST-034</t>
        </is>
      </c>
      <c r="B37" s="27" t="inlineStr">
        <is>
          <t>F4</t>
        </is>
      </c>
      <c r="C37" s="27" t="inlineStr">
        <is>
          <t>Deal-risk signals</t>
        </is>
      </c>
      <c r="D37" s="27" t="inlineStr">
        <is>
          <t>As a user, Deal-risk signals shows clear errors and retry paths on platform API failures</t>
        </is>
      </c>
      <c r="E37" s="27" t="n">
        <v>3</v>
      </c>
      <c r="F37" s="27" t="inlineStr">
        <is>
          <t>P0</t>
        </is>
      </c>
      <c r="G37" s="27" t="inlineStr">
        <is>
          <t>S6</t>
        </is>
      </c>
      <c r="H37" s="27" t="inlineStr">
        <is>
          <t>SCR-2 Home dashboard</t>
        </is>
      </c>
      <c r="I37" s="27" t="inlineStr">
        <is>
          <t>E2E test + demo</t>
        </is>
      </c>
      <c r="J37" s="33" t="inlineStr">
        <is>
          <t>Done-in-code</t>
        </is>
      </c>
      <c r="K37" s="33" t="inlineStr">
        <is>
          <t>Typed error paths w/ retry hints (403/409/422/500 mapped); error metric recorded.</t>
        </is>
      </c>
      <c r="L37" s="34" t="inlineStr">
        <is>
          <t>REACHABLE</t>
        </is>
      </c>
      <c r="M37" s="26" t="inlineStr">
        <is>
          <t>shared error mapper on every feature route: 403/409/422/503 with retry hints</t>
        </is>
      </c>
    </row>
    <row r="38" ht="23.25" customHeight="1" s="20">
      <c r="A38" s="27" t="inlineStr">
        <is>
          <t>ST-035</t>
        </is>
      </c>
      <c r="B38" s="27" t="inlineStr">
        <is>
          <t>F4</t>
        </is>
      </c>
      <c r="C38" s="27" t="inlineStr">
        <is>
          <t>Deal-risk signals</t>
        </is>
      </c>
      <c r="D38" s="27" t="inlineStr">
        <is>
          <t>As a IT admin, Deal-risk signals works on the Zoom App in-meeting panel + web dashboard surface end-to-end</t>
        </is>
      </c>
      <c r="E38" s="27" t="n">
        <v>5</v>
      </c>
      <c r="F38" s="27" t="inlineStr">
        <is>
          <t>P0</t>
        </is>
      </c>
      <c r="G38" s="27" t="inlineStr">
        <is>
          <t>S6</t>
        </is>
      </c>
      <c r="H38" s="27" t="inlineStr">
        <is>
          <t>SCR-2 Home dashboard</t>
        </is>
      </c>
      <c r="I38" s="27" t="inlineStr">
        <is>
          <t>E2E test + demo</t>
        </is>
      </c>
      <c r="J38" s="33" t="inlineStr">
        <is>
          <t>Code-complete (pending live)</t>
        </is>
      </c>
      <c r="K38" s="33" t="inlineStr">
        <is>
          <t>UI BUILT+TESTED: web/DealRiskPanel.tsx in App shell serving in-meeting panel AND web dashboard from one codebase; Zoom Apps SDK behind ZoomSdk boundary (MockZoomSdk in RTL tests, 100x4). Domain logic done since S1-S8. ONLY the live dev-app SDK handshake remains (Handover #2).</t>
        </is>
      </c>
      <c r="L38" s="45" t="inlineStr">
        <is>
          <t>PENDING LIVE</t>
        </is>
      </c>
      <c r="M38" s="26" t="inlineStr">
        <is>
          <t>needs the Zoom dev app; panel components exist and are RTL-tested (Handover #2)</t>
        </is>
      </c>
    </row>
    <row r="39" ht="23.25" customHeight="1" s="20">
      <c r="A39" s="27" t="inlineStr">
        <is>
          <t>ST-036</t>
        </is>
      </c>
      <c r="B39" s="27" t="inlineStr">
        <is>
          <t>F4</t>
        </is>
      </c>
      <c r="C39" s="27" t="inlineStr">
        <is>
          <t>Deal-risk signals</t>
        </is>
      </c>
      <c r="D39" s="27" t="inlineStr">
        <is>
          <t>As a CS lead, I can see Deal-risk signals performance metrics and trends</t>
        </is>
      </c>
      <c r="E39" s="27" t="n">
        <v>3</v>
      </c>
      <c r="F39" s="27" t="inlineStr">
        <is>
          <t>P1</t>
        </is>
      </c>
      <c r="G39" s="27" t="inlineStr">
        <is>
          <t>S6</t>
        </is>
      </c>
      <c r="H39" s="27" t="inlineStr">
        <is>
          <t>SCR-2 Home dashboard</t>
        </is>
      </c>
      <c r="I39" s="27" t="inlineStr">
        <is>
          <t>Integration test + manual QA</t>
        </is>
      </c>
      <c r="J39" s="33" t="inlineStr">
        <is>
          <t>Done-in-code</t>
        </is>
      </c>
      <c r="K39" s="33" t="inlineStr">
        <is>
          <t>engine.metrics events/errors/errorRate + sorted day trend; /features/:key/metrics.</t>
        </is>
      </c>
      <c r="L39" s="34" t="inlineStr">
        <is>
          <t>REACHABLE</t>
        </is>
      </c>
      <c r="M39" s="26" t="inlineStr">
        <is>
          <t>GET /features/:key/metrics</t>
        </is>
      </c>
    </row>
    <row r="40" ht="15" customHeight="1" s="20">
      <c r="A40" s="27" t="inlineStr">
        <is>
          <t>ST-037</t>
        </is>
      </c>
      <c r="B40" s="27" t="inlineStr">
        <is>
          <t>F4</t>
        </is>
      </c>
      <c r="C40" s="27" t="inlineStr">
        <is>
          <t>Deal-risk signals</t>
        </is>
      </c>
      <c r="D40" s="27" t="inlineStr">
        <is>
          <t>As a user, Deal-risk signals respects role permissions and audit logging</t>
        </is>
      </c>
      <c r="E40" s="27" t="n">
        <v>3</v>
      </c>
      <c r="F40" s="27" t="inlineStr">
        <is>
          <t>P1</t>
        </is>
      </c>
      <c r="G40" s="27" t="inlineStr">
        <is>
          <t>S6</t>
        </is>
      </c>
      <c r="H40" s="27" t="inlineStr">
        <is>
          <t>SCR-2 Home dashboard</t>
        </is>
      </c>
      <c r="I40" s="27" t="inlineStr">
        <is>
          <t>Integration test + manual QA</t>
        </is>
      </c>
      <c r="J40" s="33" t="inlineStr">
        <is>
          <t>Done-in-code</t>
        </is>
      </c>
      <c r="K40" s="33" t="inlineStr">
        <is>
          <t>RBAC matrix enforced + audit rows (allow and deny).</t>
        </is>
      </c>
      <c r="L40" s="34" t="inlineStr">
        <is>
          <t>REACHABLE</t>
        </is>
      </c>
      <c r="M40" s="26" t="inlineStr">
        <is>
          <t>RBAC enforced on every route; audit readable at GET /orgs/:id/audit-log</t>
        </is>
      </c>
    </row>
    <row r="41" ht="15" customHeight="1" s="20">
      <c r="A41" s="27" t="inlineStr">
        <is>
          <t>ST-038</t>
        </is>
      </c>
      <c r="B41" s="27" t="inlineStr">
        <is>
          <t>F4</t>
        </is>
      </c>
      <c r="C41" s="27" t="inlineStr">
        <is>
          <t>Deal-risk signals</t>
        </is>
      </c>
      <c r="D41" s="27" t="inlineStr">
        <is>
          <t>As a Sales leader, I can pause/disable Deal-risk signals without data loss</t>
        </is>
      </c>
      <c r="E41" s="27" t="n">
        <v>2</v>
      </c>
      <c r="F41" s="27" t="inlineStr">
        <is>
          <t>P2</t>
        </is>
      </c>
      <c r="G41" s="27" t="inlineStr">
        <is>
          <t>S6</t>
        </is>
      </c>
      <c r="H41" s="27" t="inlineStr">
        <is>
          <t>SCR-2 Home dashboard</t>
        </is>
      </c>
      <c r="I41" s="27" t="inlineStr">
        <is>
          <t>Manual QA</t>
        </is>
      </c>
      <c r="J41" s="33" t="inlineStr">
        <is>
          <t>Done-in-code</t>
        </is>
      </c>
      <c r="K41" s="33" t="inlineStr">
        <is>
          <t>setEnabled pause keeps records (asserted); resume restores.</t>
        </is>
      </c>
      <c r="L41" s="34" t="inlineStr">
        <is>
          <t>REACHABLE</t>
        </is>
      </c>
      <c r="M41" s="26" t="inlineStr">
        <is>
          <t>POST /features/:key/pause — data retention on pause is tested</t>
        </is>
      </c>
    </row>
    <row r="42" ht="23.25" customHeight="1" s="20">
      <c r="A42" s="27" t="inlineStr">
        <is>
          <t>ST-039</t>
        </is>
      </c>
      <c r="B42" s="27" t="inlineStr">
        <is>
          <t>F4</t>
        </is>
      </c>
      <c r="C42" s="27" t="inlineStr">
        <is>
          <t>Deal-risk signals</t>
        </is>
      </c>
      <c r="D42" s="27" t="inlineStr">
        <is>
          <t>As a CS lead, I can import/migrate existing data into Deal-risk signals (CSV + competitor importer)</t>
        </is>
      </c>
      <c r="E42" s="27" t="n">
        <v>5</v>
      </c>
      <c r="F42" s="27" t="inlineStr">
        <is>
          <t>P1</t>
        </is>
      </c>
      <c r="G42" s="27" t="inlineStr">
        <is>
          <t>S6</t>
        </is>
      </c>
      <c r="H42" s="27" t="inlineStr">
        <is>
          <t>SCR-2 Home dashboard</t>
        </is>
      </c>
      <c r="I42" s="27" t="inlineStr">
        <is>
          <t>Integration test + manual QA</t>
        </is>
      </c>
      <c r="J42" s="33" t="inlineStr">
        <is>
          <t>Done-in-code</t>
        </is>
      </c>
      <c r="K42" s="33" t="inlineStr">
        <is>
          <t>importCsv competitor-format, header/ragged-row validation w/ row numbers.</t>
        </is>
      </c>
      <c r="L42" s="34" t="inlineStr">
        <is>
          <t>REACHABLE</t>
        </is>
      </c>
      <c r="M42" s="26" t="inlineStr">
        <is>
          <t>POST /features/:key/import (RFC-4180)</t>
        </is>
      </c>
    </row>
    <row r="43" ht="23.25" customHeight="1" s="20">
      <c r="A43" s="27" t="inlineStr">
        <is>
          <t>ST-040</t>
        </is>
      </c>
      <c r="B43" s="27" t="inlineStr">
        <is>
          <t>F4</t>
        </is>
      </c>
      <c r="C43" s="27" t="inlineStr">
        <is>
          <t>Deal-risk signals</t>
        </is>
      </c>
      <c r="D43" s="27" t="inlineStr">
        <is>
          <t>As a user, I get notifications (in-app + email) for key Deal-risk signals events with per-type mute</t>
        </is>
      </c>
      <c r="E43" s="27" t="n">
        <v>3</v>
      </c>
      <c r="F43" s="27" t="inlineStr">
        <is>
          <t>P2</t>
        </is>
      </c>
      <c r="G43" s="27" t="inlineStr">
        <is>
          <t>S6</t>
        </is>
      </c>
      <c r="H43" s="27" t="inlineStr">
        <is>
          <t>SCR-2 Home dashboard</t>
        </is>
      </c>
      <c r="I43" s="27" t="inlineStr">
        <is>
          <t>Manual QA</t>
        </is>
      </c>
      <c r="J43" s="33" t="inlineStr">
        <is>
          <t>Done-in-code</t>
        </is>
      </c>
      <c r="K43" s="33" t="inlineStr">
        <is>
          <t>notify in-app+email; per-type mute/unmute.</t>
        </is>
      </c>
      <c r="L43" s="45" t="inlineStr">
        <is>
          <t>PARTIAL</t>
        </is>
      </c>
      <c r="M43" s="26" t="inlineStr">
        <is>
          <t>in-app half reachable: GET /features/:key/notifications + POST /mute. The EMAIL half is not implemented at all — no mail sender exists (v021 stopped it faking delivery rows)</t>
        </is>
      </c>
    </row>
    <row r="44" ht="23.25" customHeight="1" s="20">
      <c r="A44" s="27" t="inlineStr">
        <is>
          <t>ST-041</t>
        </is>
      </c>
      <c r="B44" s="27" t="inlineStr">
        <is>
          <t>F5</t>
        </is>
      </c>
      <c r="C44" s="27" t="inlineStr">
        <is>
          <t>Indic language pack</t>
        </is>
      </c>
      <c r="D44" s="27" t="inlineStr">
        <is>
          <t>As a Sales leader, I can set up Indic language pack with sensible defaults in one screen</t>
        </is>
      </c>
      <c r="E44" s="27" t="n">
        <v>5</v>
      </c>
      <c r="F44" s="27" t="inlineStr">
        <is>
          <t>P0</t>
        </is>
      </c>
      <c r="G44" s="27" t="inlineStr">
        <is>
          <t>S8</t>
        </is>
      </c>
      <c r="H44" s="27" t="inlineStr">
        <is>
          <t>SCR-6 Settings &amp; team</t>
        </is>
      </c>
      <c r="I44" s="27" t="inlineStr">
        <is>
          <t>E2E test + demo</t>
        </is>
      </c>
      <c r="J44" s="33" t="inlineStr">
        <is>
          <t>Done-in-code</t>
        </is>
      </c>
      <c r="K44" s="33" t="inlineStr">
        <is>
          <t>FeatureEngine.setupWithDefaults one-screen + overrides; API test.</t>
        </is>
      </c>
      <c r="L44" s="34" t="inlineStr">
        <is>
          <t>REACHABLE</t>
        </is>
      </c>
      <c r="M44" s="26" t="inlineStr">
        <is>
          <t>POST /features/:key/setup</t>
        </is>
      </c>
    </row>
    <row r="45" ht="23.25" customHeight="1" s="20">
      <c r="A45" s="27" t="inlineStr">
        <is>
          <t>ST-042</t>
        </is>
      </c>
      <c r="B45" s="27" t="inlineStr">
        <is>
          <t>F5</t>
        </is>
      </c>
      <c r="C45" s="27" t="inlineStr">
        <is>
          <t>Indic language pack</t>
        </is>
      </c>
      <c r="D45" s="27" t="inlineStr">
        <is>
          <t>As a Sales leader, the Indic language pack happy path completes without documentation</t>
        </is>
      </c>
      <c r="E45" s="27" t="n">
        <v>8</v>
      </c>
      <c r="F45" s="27" t="inlineStr">
        <is>
          <t>P0</t>
        </is>
      </c>
      <c r="G45" s="27" t="inlineStr">
        <is>
          <t>S8</t>
        </is>
      </c>
      <c r="H45" s="27" t="inlineStr">
        <is>
          <t>SCR-6 Settings &amp; team</t>
        </is>
      </c>
      <c r="I45" s="27" t="inlineStr">
        <is>
          <t>E2E test + demo</t>
        </is>
      </c>
      <c r="J45" s="33" t="inlineStr">
        <is>
          <t>Done-in-code</t>
        </is>
      </c>
      <c r="K45" s="33" t="inlineStr">
        <is>
          <t>Core happy path: indic.ts detect/segment + WER harness. Module suite + E2E smoke.</t>
        </is>
      </c>
      <c r="L45" s="34" t="inlineStr">
        <is>
          <t>REACHABLE</t>
        </is>
      </c>
      <c r="M45" s="26" t="inlineStr">
        <is>
          <t>feature route: notes session+entries / actions extract / crm writeback / deal-risk analyse / indic segment</t>
        </is>
      </c>
    </row>
    <row r="46" ht="23.25" customHeight="1" s="20">
      <c r="A46" s="27" t="inlineStr">
        <is>
          <t>ST-043</t>
        </is>
      </c>
      <c r="B46" s="27" t="inlineStr">
        <is>
          <t>F5</t>
        </is>
      </c>
      <c r="C46" s="27" t="inlineStr">
        <is>
          <t>Indic language pack</t>
        </is>
      </c>
      <c r="D46" s="27" t="inlineStr">
        <is>
          <t>As a CS lead, I can customise Indic language pack rules/conditions for my workflow</t>
        </is>
      </c>
      <c r="E46" s="27" t="n">
        <v>5</v>
      </c>
      <c r="F46" s="27" t="inlineStr">
        <is>
          <t>P1</t>
        </is>
      </c>
      <c r="G46" s="27" t="inlineStr">
        <is>
          <t>S8</t>
        </is>
      </c>
      <c r="H46" s="27" t="inlineStr">
        <is>
          <t>SCR-6 Settings &amp; team</t>
        </is>
      </c>
      <c r="I46" s="27" t="inlineStr">
        <is>
          <t>Integration test + manual QA</t>
        </is>
      </c>
      <c r="J46" s="33" t="inlineStr">
        <is>
          <t>Done-in-code</t>
        </is>
      </c>
      <c r="K46" s="33" t="inlineStr">
        <is>
          <t>addRule customisation + role guard; indic.ts detect/segment + WER harness rule tests.</t>
        </is>
      </c>
      <c r="L46" s="34" t="inlineStr">
        <is>
          <t>REACHABLE</t>
        </is>
      </c>
      <c r="M46" s="26" t="inlineStr">
        <is>
          <t>POST /features/:key/rules (and POST /features/actions/rules for extraction verbs)</t>
        </is>
      </c>
    </row>
    <row r="47" ht="23.25" customHeight="1" s="20">
      <c r="A47" s="27" t="inlineStr">
        <is>
          <t>ST-044</t>
        </is>
      </c>
      <c r="B47" s="27" t="inlineStr">
        <is>
          <t>F5</t>
        </is>
      </c>
      <c r="C47" s="27" t="inlineStr">
        <is>
          <t>Indic language pack</t>
        </is>
      </c>
      <c r="D47" s="27" t="inlineStr">
        <is>
          <t>As a user, Indic language pack shows clear errors and retry paths on platform API failures</t>
        </is>
      </c>
      <c r="E47" s="27" t="n">
        <v>3</v>
      </c>
      <c r="F47" s="27" t="inlineStr">
        <is>
          <t>P0</t>
        </is>
      </c>
      <c r="G47" s="27" t="inlineStr">
        <is>
          <t>S8</t>
        </is>
      </c>
      <c r="H47" s="27" t="inlineStr">
        <is>
          <t>SCR-6 Settings &amp; team</t>
        </is>
      </c>
      <c r="I47" s="27" t="inlineStr">
        <is>
          <t>E2E test + demo</t>
        </is>
      </c>
      <c r="J47" s="33" t="inlineStr">
        <is>
          <t>Done-in-code</t>
        </is>
      </c>
      <c r="K47" s="33" t="inlineStr">
        <is>
          <t>Typed error paths w/ retry hints (403/409/422/500 mapped); error metric recorded.</t>
        </is>
      </c>
      <c r="L47" s="34" t="inlineStr">
        <is>
          <t>REACHABLE</t>
        </is>
      </c>
      <c r="M47" s="26" t="inlineStr">
        <is>
          <t>shared error mapper on every feature route: 403/409/422/503 with retry hints</t>
        </is>
      </c>
    </row>
    <row r="48" ht="34.5" customHeight="1" s="20">
      <c r="A48" s="27" t="inlineStr">
        <is>
          <t>ST-045</t>
        </is>
      </c>
      <c r="B48" s="27" t="inlineStr">
        <is>
          <t>F5</t>
        </is>
      </c>
      <c r="C48" s="27" t="inlineStr">
        <is>
          <t>Indic language pack</t>
        </is>
      </c>
      <c r="D48" s="27" t="inlineStr">
        <is>
          <t>As a IT admin, Indic language pack works on the Zoom App in-meeting panel + web dashboard surface end-to-end</t>
        </is>
      </c>
      <c r="E48" s="27" t="n">
        <v>5</v>
      </c>
      <c r="F48" s="27" t="inlineStr">
        <is>
          <t>P0</t>
        </is>
      </c>
      <c r="G48" s="27" t="inlineStr">
        <is>
          <t>S8</t>
        </is>
      </c>
      <c r="H48" s="27" t="inlineStr">
        <is>
          <t>SCR-6 Settings &amp; team</t>
        </is>
      </c>
      <c r="I48" s="27" t="inlineStr">
        <is>
          <t>E2E test + demo</t>
        </is>
      </c>
      <c r="J48" s="33" t="inlineStr">
        <is>
          <t>Code-complete (pending live)</t>
        </is>
      </c>
      <c r="K48" s="33" t="inlineStr">
        <is>
          <t>UI BUILT+TESTED: web/IndicSettings.tsx in App shell serving in-meeting panel AND web dashboard from one codebase; Zoom Apps SDK behind ZoomSdk boundary (MockZoomSdk in RTL tests, 100x4). Domain logic done since S1-S8. ONLY the live dev-app SDK handshake remains (Handover #2).</t>
        </is>
      </c>
      <c r="L48" s="45" t="inlineStr">
        <is>
          <t>PENDING LIVE</t>
        </is>
      </c>
      <c r="M48" s="26" t="inlineStr">
        <is>
          <t>needs the Zoom dev app; panel components exist and are RTL-tested (Handover #2)</t>
        </is>
      </c>
    </row>
    <row r="49" ht="23.25" customHeight="1" s="20">
      <c r="A49" s="27" t="inlineStr">
        <is>
          <t>ST-046</t>
        </is>
      </c>
      <c r="B49" s="27" t="inlineStr">
        <is>
          <t>F5</t>
        </is>
      </c>
      <c r="C49" s="27" t="inlineStr">
        <is>
          <t>Indic language pack</t>
        </is>
      </c>
      <c r="D49" s="27" t="inlineStr">
        <is>
          <t>As a CS lead, I can see Indic language pack performance metrics and trends</t>
        </is>
      </c>
      <c r="E49" s="27" t="n">
        <v>3</v>
      </c>
      <c r="F49" s="27" t="inlineStr">
        <is>
          <t>P1</t>
        </is>
      </c>
      <c r="G49" s="27" t="inlineStr">
        <is>
          <t>S8</t>
        </is>
      </c>
      <c r="H49" s="27" t="inlineStr">
        <is>
          <t>SCR-6 Settings &amp; team</t>
        </is>
      </c>
      <c r="I49" s="27" t="inlineStr">
        <is>
          <t>Integration test + manual QA</t>
        </is>
      </c>
      <c r="J49" s="33" t="inlineStr">
        <is>
          <t>Done-in-code</t>
        </is>
      </c>
      <c r="K49" s="33" t="inlineStr">
        <is>
          <t>engine.metrics events/errors/errorRate + sorted day trend; /features/:key/metrics.</t>
        </is>
      </c>
      <c r="L49" s="34" t="inlineStr">
        <is>
          <t>REACHABLE</t>
        </is>
      </c>
      <c r="M49" s="26" t="inlineStr">
        <is>
          <t>GET /features/:key/metrics</t>
        </is>
      </c>
    </row>
    <row r="50" ht="23.25" customHeight="1" s="20">
      <c r="A50" s="27" t="inlineStr">
        <is>
          <t>ST-047</t>
        </is>
      </c>
      <c r="B50" s="27" t="inlineStr">
        <is>
          <t>F5</t>
        </is>
      </c>
      <c r="C50" s="27" t="inlineStr">
        <is>
          <t>Indic language pack</t>
        </is>
      </c>
      <c r="D50" s="27" t="inlineStr">
        <is>
          <t>As a user, Indic language pack respects role permissions and audit logging</t>
        </is>
      </c>
      <c r="E50" s="27" t="n">
        <v>3</v>
      </c>
      <c r="F50" s="27" t="inlineStr">
        <is>
          <t>P1</t>
        </is>
      </c>
      <c r="G50" s="27" t="inlineStr">
        <is>
          <t>S8</t>
        </is>
      </c>
      <c r="H50" s="27" t="inlineStr">
        <is>
          <t>SCR-6 Settings &amp; team</t>
        </is>
      </c>
      <c r="I50" s="27" t="inlineStr">
        <is>
          <t>Integration test + manual QA</t>
        </is>
      </c>
      <c r="J50" s="33" t="inlineStr">
        <is>
          <t>Done-in-code</t>
        </is>
      </c>
      <c r="K50" s="33" t="inlineStr">
        <is>
          <t>RBAC matrix enforced + audit rows (allow and deny).</t>
        </is>
      </c>
      <c r="L50" s="34" t="inlineStr">
        <is>
          <t>REACHABLE</t>
        </is>
      </c>
      <c r="M50" s="26" t="inlineStr">
        <is>
          <t>RBAC enforced on every route; audit readable at GET /orgs/:id/audit-log</t>
        </is>
      </c>
    </row>
    <row r="51" ht="23.25" customHeight="1" s="20">
      <c r="A51" s="27" t="inlineStr">
        <is>
          <t>ST-048</t>
        </is>
      </c>
      <c r="B51" s="27" t="inlineStr">
        <is>
          <t>F5</t>
        </is>
      </c>
      <c r="C51" s="27" t="inlineStr">
        <is>
          <t>Indic language pack</t>
        </is>
      </c>
      <c r="D51" s="27" t="inlineStr">
        <is>
          <t>As a Sales leader, I can pause/disable Indic language pack without data loss</t>
        </is>
      </c>
      <c r="E51" s="27" t="n">
        <v>2</v>
      </c>
      <c r="F51" s="27" t="inlineStr">
        <is>
          <t>P2</t>
        </is>
      </c>
      <c r="G51" s="27" t="inlineStr">
        <is>
          <t>S8</t>
        </is>
      </c>
      <c r="H51" s="27" t="inlineStr">
        <is>
          <t>SCR-6 Settings &amp; team</t>
        </is>
      </c>
      <c r="I51" s="27" t="inlineStr">
        <is>
          <t>Manual QA</t>
        </is>
      </c>
      <c r="J51" s="33" t="inlineStr">
        <is>
          <t>Done-in-code</t>
        </is>
      </c>
      <c r="K51" s="33" t="inlineStr">
        <is>
          <t>setEnabled pause keeps records (asserted); resume restores.</t>
        </is>
      </c>
      <c r="L51" s="34" t="inlineStr">
        <is>
          <t>REACHABLE</t>
        </is>
      </c>
      <c r="M51" s="26" t="inlineStr">
        <is>
          <t>POST /features/:key/pause — data retention on pause is tested</t>
        </is>
      </c>
    </row>
    <row r="52" ht="23.25" customHeight="1" s="20">
      <c r="A52" s="27" t="inlineStr">
        <is>
          <t>ST-049</t>
        </is>
      </c>
      <c r="B52" s="27" t="inlineStr">
        <is>
          <t>F5</t>
        </is>
      </c>
      <c r="C52" s="27" t="inlineStr">
        <is>
          <t>Indic language pack</t>
        </is>
      </c>
      <c r="D52" s="27" t="inlineStr">
        <is>
          <t>As a CS lead, I can import/migrate existing data into Indic language pack (CSV + competitor importer)</t>
        </is>
      </c>
      <c r="E52" s="27" t="n">
        <v>5</v>
      </c>
      <c r="F52" s="27" t="inlineStr">
        <is>
          <t>P1</t>
        </is>
      </c>
      <c r="G52" s="27" t="inlineStr">
        <is>
          <t>S8</t>
        </is>
      </c>
      <c r="H52" s="27" t="inlineStr">
        <is>
          <t>SCR-6 Settings &amp; team</t>
        </is>
      </c>
      <c r="I52" s="27" t="inlineStr">
        <is>
          <t>Integration test + manual QA</t>
        </is>
      </c>
      <c r="J52" s="33" t="inlineStr">
        <is>
          <t>Done-in-code</t>
        </is>
      </c>
      <c r="K52" s="33" t="inlineStr">
        <is>
          <t>importCsv competitor-format, header/ragged-row validation w/ row numbers.</t>
        </is>
      </c>
      <c r="L52" s="34" t="inlineStr">
        <is>
          <t>REACHABLE</t>
        </is>
      </c>
      <c r="M52" s="26" t="inlineStr">
        <is>
          <t>POST /features/:key/import (RFC-4180)</t>
        </is>
      </c>
    </row>
    <row r="53" ht="23.25" customHeight="1" s="20">
      <c r="A53" s="27" t="inlineStr">
        <is>
          <t>ST-050</t>
        </is>
      </c>
      <c r="B53" s="27" t="inlineStr">
        <is>
          <t>F5</t>
        </is>
      </c>
      <c r="C53" s="27" t="inlineStr">
        <is>
          <t>Indic language pack</t>
        </is>
      </c>
      <c r="D53" s="27" t="inlineStr">
        <is>
          <t>As a user, I get notifications (in-app + email) for key Indic language pack events with per-type mute</t>
        </is>
      </c>
      <c r="E53" s="27" t="n">
        <v>3</v>
      </c>
      <c r="F53" s="27" t="inlineStr">
        <is>
          <t>P2</t>
        </is>
      </c>
      <c r="G53" s="27" t="inlineStr">
        <is>
          <t>S8</t>
        </is>
      </c>
      <c r="H53" s="27" t="inlineStr">
        <is>
          <t>SCR-6 Settings &amp; team</t>
        </is>
      </c>
      <c r="I53" s="27" t="inlineStr">
        <is>
          <t>Manual QA</t>
        </is>
      </c>
      <c r="J53" s="33" t="inlineStr">
        <is>
          <t>Done-in-code</t>
        </is>
      </c>
      <c r="K53" s="33" t="inlineStr">
        <is>
          <t>notify in-app+email; per-type mute/unmute.</t>
        </is>
      </c>
      <c r="L53" s="45" t="inlineStr">
        <is>
          <t>PARTIAL</t>
        </is>
      </c>
      <c r="M53" s="26" t="inlineStr">
        <is>
          <t>in-app half reachable: GET /features/:key/notifications + POST /mute. The EMAIL half is not implemented at all — no mail sender exists (v021 stopped it faking delivery rows)</t>
        </is>
      </c>
    </row>
    <row r="54" ht="23.25" customHeight="1" s="20">
      <c r="A54" s="27" t="inlineStr">
        <is>
          <t>ST-051</t>
        </is>
      </c>
      <c r="B54" s="27" t="inlineStr">
        <is>
          <t>E1</t>
        </is>
      </c>
      <c r="C54" s="27" t="inlineStr">
        <is>
          <t>Install lifecycle</t>
        </is>
      </c>
      <c r="D54" s="27" t="inlineStr">
        <is>
          <t>Marketplace OAuth install completes and lands on welcome state in &lt;2 min</t>
        </is>
      </c>
      <c r="E54" s="27" t="n">
        <v>5</v>
      </c>
      <c r="F54" s="27" t="inlineStr">
        <is>
          <t>P0</t>
        </is>
      </c>
      <c r="G54" s="27" t="inlineStr">
        <is>
          <t>S1</t>
        </is>
      </c>
      <c r="H54" s="27" t="inlineStr">
        <is>
          <t>SCR-1 Onboarding/first-run</t>
        </is>
      </c>
      <c r="I54" s="27" t="inlineStr">
        <is>
          <t>E2E test + demo</t>
        </is>
      </c>
      <c r="J54" s="33" t="inlineStr">
        <is>
          <t>Done-in-code</t>
        </is>
      </c>
      <c r="K54" s="33" t="inlineStr">
        <is>
          <t>src/zoomAuth.ts exchangeCode + /oauth/callback -&gt; welcome redirect; app.test "ST-051 full install". Live install at LC-1 (Senthil).</t>
        </is>
      </c>
      <c r="L54" s="34" t="inlineStr">
        <is>
          <t>REACHABLE</t>
        </is>
      </c>
      <c r="M54" s="26" t="inlineStr">
        <is>
          <t>GET /oauth/start then /oauth/callback with signed state</t>
        </is>
      </c>
    </row>
    <row r="55" ht="23.25" customHeight="1" s="20">
      <c r="A55" s="27" t="inlineStr">
        <is>
          <t>ST-052</t>
        </is>
      </c>
      <c r="B55" s="27" t="inlineStr">
        <is>
          <t>E1</t>
        </is>
      </c>
      <c r="C55" s="27" t="inlineStr">
        <is>
          <t>Install lifecycle</t>
        </is>
      </c>
      <c r="D55" s="27" t="inlineStr">
        <is>
          <t>Uninstall webhook removes tokens, schedules data deletion per policy</t>
        </is>
      </c>
      <c r="E55" s="27" t="n">
        <v>3</v>
      </c>
      <c r="F55" s="27" t="inlineStr">
        <is>
          <t>P0</t>
        </is>
      </c>
      <c r="G55" s="27" t="inlineStr">
        <is>
          <t>S1</t>
        </is>
      </c>
      <c r="H55" s="27" t="inlineStr">
        <is>
          <t>SCR-1 Onboarding/first-run</t>
        </is>
      </c>
      <c r="I55" s="27" t="inlineStr">
        <is>
          <t>E2E test + demo</t>
        </is>
      </c>
      <c r="J55" s="33" t="inlineStr">
        <is>
          <t>Done-in-code</t>
        </is>
      </c>
      <c r="K55" s="33" t="inlineStr">
        <is>
          <t>src/lifecycle.ts handleUninstall: tokens WIPED (asserted null) + deletion scheduled; duplicate-delivery no-op tested.</t>
        </is>
      </c>
      <c r="L55" s="34" t="inlineStr">
        <is>
          <t>REACHABLE</t>
        </is>
      </c>
      <c r="M55" s="26" t="inlineStr">
        <is>
          <t>app_deauthorized webhook wipes tokens; the v019 scheduler actually performs the purge</t>
        </is>
      </c>
    </row>
    <row r="56" ht="23.25" customHeight="1" s="20">
      <c r="A56" s="27" t="inlineStr">
        <is>
          <t>ST-053</t>
        </is>
      </c>
      <c r="B56" s="27" t="inlineStr">
        <is>
          <t>E1</t>
        </is>
      </c>
      <c r="C56" s="27" t="inlineStr">
        <is>
          <t>Install lifecycle</t>
        </is>
      </c>
      <c r="D56" s="27" t="inlineStr">
        <is>
          <t>Re-install restores account within retention window</t>
        </is>
      </c>
      <c r="E56" s="27" t="n">
        <v>3</v>
      </c>
      <c r="F56" s="27" t="inlineStr">
        <is>
          <t>P1</t>
        </is>
      </c>
      <c r="G56" s="27" t="inlineStr">
        <is>
          <t>S2</t>
        </is>
      </c>
      <c r="H56" s="27" t="inlineStr">
        <is>
          <t>SCR-1 Onboarding/first-run</t>
        </is>
      </c>
      <c r="I56" s="27" t="inlineStr">
        <is>
          <t>Integration test + manual QA</t>
        </is>
      </c>
      <c r="J56" s="33" t="inlineStr">
        <is>
          <t>Done-in-code</t>
        </is>
      </c>
      <c r="K56" s="33" t="inlineStr">
        <is>
          <t>installAccount restore path: archived account restored within retention, original attribution preserved; tested.</t>
        </is>
      </c>
      <c r="L56" s="34" t="inlineStr">
        <is>
          <t>REACHABLE</t>
        </is>
      </c>
      <c r="M56" s="26" t="inlineStr">
        <is>
          <t>re-install path in installAccount; exercised through the OAuth callback</t>
        </is>
      </c>
    </row>
    <row r="57" ht="23.25" customHeight="1" s="20">
      <c r="A57" s="27" t="inlineStr">
        <is>
          <t>ST-054</t>
        </is>
      </c>
      <c r="B57" s="27" t="inlineStr">
        <is>
          <t>E1</t>
        </is>
      </c>
      <c r="C57" s="27" t="inlineStr">
        <is>
          <t>Install lifecycle</t>
        </is>
      </c>
      <c r="D57" s="27" t="inlineStr">
        <is>
          <t>Multi-user roles: owner/admin/member permission matrix enforced</t>
        </is>
      </c>
      <c r="E57" s="27" t="n">
        <v>5</v>
      </c>
      <c r="F57" s="27" t="inlineStr">
        <is>
          <t>P0</t>
        </is>
      </c>
      <c r="G57" s="27" t="inlineStr">
        <is>
          <t>S2</t>
        </is>
      </c>
      <c r="H57" s="27" t="inlineStr">
        <is>
          <t>SCR-1 Onboarding/first-run</t>
        </is>
      </c>
      <c r="I57" s="27" t="inlineStr">
        <is>
          <t>E2E test + demo</t>
        </is>
      </c>
      <c r="J57" s="33" t="inlineStr">
        <is>
          <t>Done-in-code</t>
        </is>
      </c>
      <c r="K57" s="33" t="inlineStr">
        <is>
          <t>src/rbac.ts owner/admin/member matrix; allow+deny both audit-logged; API role-header tests.</t>
        </is>
      </c>
      <c r="L57" s="34" t="inlineStr">
        <is>
          <t>REACHABLE</t>
        </is>
      </c>
      <c r="M57" s="26" t="inlineStr">
        <is>
          <t>role matrix enforced on every route from the signed session</t>
        </is>
      </c>
    </row>
    <row r="58" ht="23.25" customHeight="1" s="20">
      <c r="A58" s="27" t="inlineStr">
        <is>
          <t>ST-055</t>
        </is>
      </c>
      <c r="B58" s="27" t="inlineStr">
        <is>
          <t>E1</t>
        </is>
      </c>
      <c r="C58" s="27" t="inlineStr">
        <is>
          <t>Install lifecycle</t>
        </is>
      </c>
      <c r="D58" s="27" t="inlineStr">
        <is>
          <t>Session/token refresh survives platform token rotation</t>
        </is>
      </c>
      <c r="E58" s="27" t="n">
        <v>3</v>
      </c>
      <c r="F58" s="27" t="inlineStr">
        <is>
          <t>P0</t>
        </is>
      </c>
      <c r="G58" s="27" t="inlineStr">
        <is>
          <t>S1</t>
        </is>
      </c>
      <c r="H58" s="27" t="inlineStr">
        <is>
          <t>SCR-1 Onboarding/first-run</t>
        </is>
      </c>
      <c r="I58" s="27" t="inlineStr">
        <is>
          <t>E2E test + demo</t>
        </is>
      </c>
      <c r="J58" s="33" t="inlineStr">
        <is>
          <t>Done-in-code</t>
        </is>
      </c>
      <c r="K58" s="33" t="inlineStr">
        <is>
          <t>refreshTokens persists rotated refresh_token BEFORE return; denial leaves store untouched; 4 tests.</t>
        </is>
      </c>
      <c r="L58" s="32" t="inlineStr">
        <is>
          <t>NOT REACHABLE</t>
        </is>
      </c>
      <c r="M58" s="26" t="inlineStr">
        <is>
          <t>v029 gave ZoomClient a caller, but the transcript download uses the webhook download_token — Zoom does not accept OAuth tokens for it. Rotation is implemented and still exercised by nothing</t>
        </is>
      </c>
    </row>
    <row r="59" ht="23.25" customHeight="1" s="20">
      <c r="A59" s="27" t="inlineStr">
        <is>
          <t>ST-056</t>
        </is>
      </c>
      <c r="B59" s="27" t="inlineStr">
        <is>
          <t>E1</t>
        </is>
      </c>
      <c r="C59" s="27" t="inlineStr">
        <is>
          <t>Install lifecycle</t>
        </is>
      </c>
      <c r="D59" s="27" t="inlineStr">
        <is>
          <t>Install telemetry: source attribution (listing/search/referral) captured</t>
        </is>
      </c>
      <c r="E59" s="27" t="n">
        <v>2</v>
      </c>
      <c r="F59" s="27" t="inlineStr">
        <is>
          <t>P1</t>
        </is>
      </c>
      <c r="G59" s="27" t="inlineStr">
        <is>
          <t>S1</t>
        </is>
      </c>
      <c r="H59" s="27" t="inlineStr">
        <is>
          <t>SCR-1 Onboarding/first-run</t>
        </is>
      </c>
      <c r="I59" s="27" t="inlineStr">
        <is>
          <t>Integration test + manual QA</t>
        </is>
      </c>
      <c r="J59" s="33" t="inlineStr">
        <is>
          <t>Done-in-code</t>
        </is>
      </c>
      <c r="K59" s="33" t="inlineStr">
        <is>
          <t>attributeSource listing/search/referral, unknown-&gt;direct without failing install; /admin/install-sources.</t>
        </is>
      </c>
      <c r="L59" s="34" t="inlineStr">
        <is>
          <t>REACHABLE</t>
        </is>
      </c>
      <c r="M59" s="26" t="inlineStr">
        <is>
          <t>GET /admin/install-sources (operator token)</t>
        </is>
      </c>
    </row>
    <row r="60" ht="15" customHeight="1" s="20">
      <c r="A60" s="27" t="inlineStr">
        <is>
          <t>ST-057</t>
        </is>
      </c>
      <c r="B60" s="27" t="inlineStr">
        <is>
          <t>E5</t>
        </is>
      </c>
      <c r="C60" s="27" t="inlineStr">
        <is>
          <t>Billing</t>
        </is>
      </c>
      <c r="D60" s="27" t="inlineStr">
        <is>
          <t>14-day trial without card; banner shows days remaining</t>
        </is>
      </c>
      <c r="E60" s="27" t="n">
        <v>5</v>
      </c>
      <c r="F60" s="27" t="inlineStr">
        <is>
          <t>P0</t>
        </is>
      </c>
      <c r="G60" s="27" t="inlineStr">
        <is>
          <t>S6</t>
        </is>
      </c>
      <c r="H60" s="27" t="inlineStr">
        <is>
          <t>SCR-7 Billing</t>
        </is>
      </c>
      <c r="I60" s="27" t="inlineStr">
        <is>
          <t>E2E test + demo</t>
        </is>
      </c>
      <c r="J60" s="33" t="inlineStr">
        <is>
          <t>Done-in-code</t>
        </is>
      </c>
      <c r="K60" s="33" t="inlineStr">
        <is>
          <t>Billing.startTrial no card; banner endpoint counts down, floors at 0.</t>
        </is>
      </c>
      <c r="L60" s="34" t="inlineStr">
        <is>
          <t>REACHABLE</t>
        </is>
      </c>
      <c r="M60" s="26" t="inlineStr">
        <is>
          <t>POST /billing/:id/trial, GET /billing/:id/banner</t>
        </is>
      </c>
    </row>
    <row r="61" ht="23.25" customHeight="1" s="20">
      <c r="A61" s="27" t="inlineStr">
        <is>
          <t>ST-058</t>
        </is>
      </c>
      <c r="B61" s="27" t="inlineStr">
        <is>
          <t>E5</t>
        </is>
      </c>
      <c r="C61" s="27" t="inlineStr">
        <is>
          <t>Billing</t>
        </is>
      </c>
      <c r="D61" s="27" t="inlineStr">
        <is>
          <t>Upgrade/downgrade mid-cycle prorates correctly</t>
        </is>
      </c>
      <c r="E61" s="27" t="n">
        <v>5</v>
      </c>
      <c r="F61" s="27" t="inlineStr">
        <is>
          <t>P0</t>
        </is>
      </c>
      <c r="G61" s="27" t="inlineStr">
        <is>
          <t>S6</t>
        </is>
      </c>
      <c r="H61" s="27" t="inlineStr">
        <is>
          <t>SCR-7 Billing</t>
        </is>
      </c>
      <c r="I61" s="27" t="inlineStr">
        <is>
          <t>E2E test + demo</t>
        </is>
      </c>
      <c r="J61" s="33" t="inlineStr">
        <is>
          <t>Done-in-code</t>
        </is>
      </c>
      <c r="K61" s="33" t="inlineStr">
        <is>
          <t>changePlan prorates vs days remaining; upgrade charge + downgrade credit asserted; seat-limit guard.</t>
        </is>
      </c>
      <c r="L61" s="34" t="inlineStr">
        <is>
          <t>REACHABLE</t>
        </is>
      </c>
      <c r="M61" s="26" t="inlineStr">
        <is>
          <t>POST /billing/:id/plan (v028) with proration and the seat-limit guard</t>
        </is>
      </c>
    </row>
    <row r="62" ht="23.25" customHeight="1" s="20">
      <c r="A62" s="27" t="inlineStr">
        <is>
          <t>ST-059</t>
        </is>
      </c>
      <c r="B62" s="27" t="inlineStr">
        <is>
          <t>E5</t>
        </is>
      </c>
      <c r="C62" s="27" t="inlineStr">
        <is>
          <t>Billing</t>
        </is>
      </c>
      <c r="D62" s="27" t="inlineStr">
        <is>
          <t>Marketplace billing API used where mandated; external Stripe fallback elsewhere</t>
        </is>
      </c>
      <c r="E62" s="27" t="n">
        <v>8</v>
      </c>
      <c r="F62" s="27" t="inlineStr">
        <is>
          <t>P0</t>
        </is>
      </c>
      <c r="G62" s="27" t="inlineStr">
        <is>
          <t>S6</t>
        </is>
      </c>
      <c r="H62" s="27" t="inlineStr">
        <is>
          <t>SCR-7 Billing</t>
        </is>
      </c>
      <c r="I62" s="27" t="inlineStr">
        <is>
          <t>E2E test + demo</t>
        </is>
      </c>
      <c r="J62" s="33" t="inlineStr">
        <is>
          <t>Code-complete (pending live)</t>
        </is>
      </c>
      <c r="K62" s="33" t="inlineStr">
        <is>
          <t>billingRoute zoom_marketplace when mandated, Stripe fallback else — live marketplace-billing verification at LC-10.</t>
        </is>
      </c>
      <c r="L62" s="45" t="inlineStr">
        <is>
          <t>PARTIAL</t>
        </is>
      </c>
      <c r="M62" s="26" t="inlineStr">
        <is>
          <t>the route is chosen and returned at trial start; neither Marketplace billing nor Stripe is connected</t>
        </is>
      </c>
    </row>
    <row r="63" ht="23.25" customHeight="1" s="20">
      <c r="A63" s="27" t="inlineStr">
        <is>
          <t>ST-060</t>
        </is>
      </c>
      <c r="B63" s="27" t="inlineStr">
        <is>
          <t>E5</t>
        </is>
      </c>
      <c r="C63" s="27" t="inlineStr">
        <is>
          <t>Billing</t>
        </is>
      </c>
      <c r="D63" s="27" t="inlineStr">
        <is>
          <t>Failed payment: 7-day grace, 3 dunning emails, then read-only mode</t>
        </is>
      </c>
      <c r="E63" s="27" t="n">
        <v>3</v>
      </c>
      <c r="F63" s="27" t="inlineStr">
        <is>
          <t>P1</t>
        </is>
      </c>
      <c r="G63" s="27" t="inlineStr">
        <is>
          <t>S7</t>
        </is>
      </c>
      <c r="H63" s="27" t="inlineStr">
        <is>
          <t>SCR-7 Billing</t>
        </is>
      </c>
      <c r="I63" s="27" t="inlineStr">
        <is>
          <t>Integration test + manual QA</t>
        </is>
      </c>
      <c r="J63" s="33" t="inlineStr">
        <is>
          <t>Done-in-code</t>
        </is>
      </c>
      <c r="K63" s="33" t="inlineStr">
        <is>
          <t>paymentFailedTick: 3 dunning emails across days, read-only at day 7; day-by-day test.</t>
        </is>
      </c>
      <c r="L63" s="32" t="inlineStr">
        <is>
          <t>NOT REACHABLE</t>
        </is>
      </c>
      <c r="M63" s="26" t="inlineStr">
        <is>
          <t>deliberate: dunning has no sender and no processor to report a failure. Allowlisted with the reason</t>
        </is>
      </c>
    </row>
    <row r="64" ht="15" customHeight="1" s="20">
      <c r="A64" s="27" t="inlineStr">
        <is>
          <t>ST-061</t>
        </is>
      </c>
      <c r="B64" s="27" t="inlineStr">
        <is>
          <t>E5</t>
        </is>
      </c>
      <c r="C64" s="27" t="inlineStr">
        <is>
          <t>Billing</t>
        </is>
      </c>
      <c r="D64" s="27" t="inlineStr">
        <is>
          <t>Plan limits enforced with upgrade prompts at 80%/100%</t>
        </is>
      </c>
      <c r="E64" s="27" t="n">
        <v>3</v>
      </c>
      <c r="F64" s="27" t="inlineStr">
        <is>
          <t>P1</t>
        </is>
      </c>
      <c r="G64" s="27" t="inlineStr">
        <is>
          <t>S7</t>
        </is>
      </c>
      <c r="H64" s="27" t="inlineStr">
        <is>
          <t>SCR-7 Billing</t>
        </is>
      </c>
      <c r="I64" s="27" t="inlineStr">
        <is>
          <t>Integration test + manual QA</t>
        </is>
      </c>
      <c r="J64" s="33" t="inlineStr">
        <is>
          <t>Done-in-code</t>
        </is>
      </c>
      <c r="K64" s="33" t="inlineStr">
        <is>
          <t>seatUsagePrompt none/warn80/limit100 at 80%/100% of plan seats.</t>
        </is>
      </c>
      <c r="L64" s="34" t="inlineStr">
        <is>
          <t>REACHABLE</t>
        </is>
      </c>
      <c r="M64" s="26" t="inlineStr">
        <is>
          <t>GET /billing/:id/seats (v028), prompts at 80% and 100%</t>
        </is>
      </c>
    </row>
    <row r="65" ht="15" customHeight="1" s="20">
      <c r="A65" s="27" t="inlineStr">
        <is>
          <t>ST-062</t>
        </is>
      </c>
      <c r="B65" s="27" t="inlineStr">
        <is>
          <t>E5</t>
        </is>
      </c>
      <c r="C65" s="27" t="inlineStr">
        <is>
          <t>Billing</t>
        </is>
      </c>
      <c r="D65" s="27" t="inlineStr">
        <is>
          <t>Invoices/receipts downloadable; GST/VAT fields supported</t>
        </is>
      </c>
      <c r="E65" s="27" t="n">
        <v>3</v>
      </c>
      <c r="F65" s="27" t="inlineStr">
        <is>
          <t>P2</t>
        </is>
      </c>
      <c r="G65" s="27" t="inlineStr">
        <is>
          <t>S7</t>
        </is>
      </c>
      <c r="H65" s="27" t="inlineStr">
        <is>
          <t>SCR-7 Billing</t>
        </is>
      </c>
      <c r="I65" s="27" t="inlineStr">
        <is>
          <t>Manual QA</t>
        </is>
      </c>
      <c r="J65" s="33" t="inlineStr">
        <is>
          <t>Done-in-code</t>
        </is>
      </c>
      <c r="K65" s="33" t="inlineStr">
        <is>
          <t>invoice(): subtotal+tax+total with GST/VAT taxId field + billing route.</t>
        </is>
      </c>
      <c r="L65" s="32" t="inlineStr">
        <is>
          <t>NOT REACHABLE</t>
        </is>
      </c>
      <c r="M65" s="26" t="inlineStr">
        <is>
          <t>deliberate: an invoice for money that never moved is a document about nothing. Allowlisted with the reason</t>
        </is>
      </c>
    </row>
    <row r="66" ht="23.25" customHeight="1" s="20">
      <c r="A66" s="27" t="inlineStr">
        <is>
          <t>ST-063</t>
        </is>
      </c>
      <c r="B66" s="27" t="inlineStr">
        <is>
          <t>E5</t>
        </is>
      </c>
      <c r="C66" s="27" t="inlineStr">
        <is>
          <t>Billing</t>
        </is>
      </c>
      <c r="D66" s="27" t="inlineStr">
        <is>
          <t>Cancellation flow with save-offer and exit survey</t>
        </is>
      </c>
      <c r="E66" s="27" t="n">
        <v>3</v>
      </c>
      <c r="F66" s="27" t="inlineStr">
        <is>
          <t>P1</t>
        </is>
      </c>
      <c r="G66" s="27" t="inlineStr">
        <is>
          <t>S7</t>
        </is>
      </c>
      <c r="H66" s="27" t="inlineStr">
        <is>
          <t>SCR-7 Billing</t>
        </is>
      </c>
      <c r="I66" s="27" t="inlineStr">
        <is>
          <t>Integration test + manual QA</t>
        </is>
      </c>
      <c r="J66" s="33" t="inlineStr">
        <is>
          <t>Done-in-code</t>
        </is>
      </c>
      <c r="K66" s="33" t="inlineStr">
        <is>
          <t>cancel(): survey reason recorded; save-offer downgrades to starter instead of churn.</t>
        </is>
      </c>
      <c r="L66" s="34" t="inlineStr">
        <is>
          <t>REACHABLE</t>
        </is>
      </c>
      <c r="M66" s="26" t="inlineStr">
        <is>
          <t>POST /billing/:id/cancel (v028) with the exit-survey reason required and the save-offer seat guard</t>
        </is>
      </c>
    </row>
    <row r="67" ht="23.25" customHeight="1" s="20">
      <c r="A67" s="27" t="inlineStr">
        <is>
          <t>ST-064</t>
        </is>
      </c>
      <c r="B67" s="27" t="inlineStr">
        <is>
          <t>E6</t>
        </is>
      </c>
      <c r="C67" s="27" t="inlineStr">
        <is>
          <t>Security &amp; compliance</t>
        </is>
      </c>
      <c r="D67" s="27" t="inlineStr">
        <is>
          <t>Scopes requested map 1:1 to shipped features (least privilege doc)</t>
        </is>
      </c>
      <c r="E67" s="27" t="n">
        <v>3</v>
      </c>
      <c r="F67" s="27" t="inlineStr">
        <is>
          <t>P0</t>
        </is>
      </c>
      <c r="G67" s="27" t="inlineStr">
        <is>
          <t>S7</t>
        </is>
      </c>
      <c r="H67" s="27" t="inlineStr">
        <is>
          <t>SCR-6 Settings &amp; team</t>
        </is>
      </c>
      <c r="I67" s="27" t="inlineStr">
        <is>
          <t>E2E test + demo</t>
        </is>
      </c>
      <c r="J67" s="33" t="inlineStr">
        <is>
          <t>Done-in-code</t>
        </is>
      </c>
      <c r="K67" s="33" t="inlineStr">
        <is>
          <t>docs/SECURITY_SCOPES.md — 1:1 scope-&gt;feature-&gt;code map; nothing extra requested.</t>
        </is>
      </c>
      <c r="L67" s="34" t="inlineStr">
        <is>
          <t>REACHABLE</t>
        </is>
      </c>
      <c r="M67" s="26" t="inlineStr">
        <is>
          <t>docs/SECURITY_SCOPES.md — corrected to granular scopes by VER-M05</t>
        </is>
      </c>
    </row>
    <row r="68" ht="15" customHeight="1" s="20">
      <c r="A68" s="27" t="inlineStr">
        <is>
          <t>ST-065</t>
        </is>
      </c>
      <c r="B68" s="27" t="inlineStr">
        <is>
          <t>E6</t>
        </is>
      </c>
      <c r="C68" s="27" t="inlineStr">
        <is>
          <t>Security &amp; compliance</t>
        </is>
      </c>
      <c r="D68" s="27" t="inlineStr">
        <is>
          <t>Data-flow diagram + retention policy published</t>
        </is>
      </c>
      <c r="E68" s="27" t="n">
        <v>3</v>
      </c>
      <c r="F68" s="27" t="inlineStr">
        <is>
          <t>P0</t>
        </is>
      </c>
      <c r="G68" s="27" t="inlineStr">
        <is>
          <t>S8</t>
        </is>
      </c>
      <c r="H68" s="27" t="inlineStr">
        <is>
          <t>SCR-6 Settings &amp; team</t>
        </is>
      </c>
      <c r="I68" s="27" t="inlineStr">
        <is>
          <t>E2E test + demo</t>
        </is>
      </c>
      <c r="J68" s="33" t="inlineStr">
        <is>
          <t>Done-in-code</t>
        </is>
      </c>
      <c r="K68" s="33" t="inlineStr">
        <is>
          <t>docs/DATA_FLOW.md — flow + retention/purge/restore, region config.</t>
        </is>
      </c>
      <c r="L68" s="34" t="inlineStr">
        <is>
          <t>REACHABLE</t>
        </is>
      </c>
      <c r="M68" s="26" t="inlineStr">
        <is>
          <t>docs/DATA_FLOW.md — purge scope and scheduling both corrected (M-F03, GAP-2)</t>
        </is>
      </c>
    </row>
    <row r="69" ht="15" customHeight="1" s="20">
      <c r="A69" s="27" t="inlineStr">
        <is>
          <t>ST-066</t>
        </is>
      </c>
      <c r="B69" s="27" t="inlineStr">
        <is>
          <t>E6</t>
        </is>
      </c>
      <c r="C69" s="27" t="inlineStr">
        <is>
          <t>Security &amp; compliance</t>
        </is>
      </c>
      <c r="D69" s="27" t="inlineStr">
        <is>
          <t>Encryption at rest + in transit verified; secrets in vault</t>
        </is>
      </c>
      <c r="E69" s="27" t="n">
        <v>5</v>
      </c>
      <c r="F69" s="27" t="inlineStr">
        <is>
          <t>P0</t>
        </is>
      </c>
      <c r="G69" s="27" t="inlineStr">
        <is>
          <t>S8</t>
        </is>
      </c>
      <c r="H69" s="27" t="inlineStr">
        <is>
          <t>SCR-6 Settings &amp; team</t>
        </is>
      </c>
      <c r="I69" s="27" t="inlineStr">
        <is>
          <t>E2E test + demo</t>
        </is>
      </c>
      <c r="J69" s="33" t="inlineStr">
        <is>
          <t>Backlog</t>
        </is>
      </c>
      <c r="K69" s="33" t="n"/>
      <c r="L69" s="34" t="inlineStr">
        <is>
          <t>REACHABLE</t>
        </is>
      </c>
      <c r="M69" s="26" t="inlineStr">
        <is>
          <t>v031: AES-256-GCM at rest, key outside the database, rotation via MEETSYNC_TOKEN_KEY_PREVIOUS</t>
        </is>
      </c>
    </row>
    <row r="70" ht="15" customHeight="1" s="20">
      <c r="A70" s="27" t="inlineStr">
        <is>
          <t>ST-067</t>
        </is>
      </c>
      <c r="B70" s="27" t="inlineStr">
        <is>
          <t>E6</t>
        </is>
      </c>
      <c r="C70" s="27" t="inlineStr">
        <is>
          <t>Security &amp; compliance</t>
        </is>
      </c>
      <c r="D70" s="27" t="inlineStr">
        <is>
          <t>Audit log for admin-sensitive actions</t>
        </is>
      </c>
      <c r="E70" s="27" t="n">
        <v>5</v>
      </c>
      <c r="F70" s="27" t="inlineStr">
        <is>
          <t>P1</t>
        </is>
      </c>
      <c r="G70" s="27" t="inlineStr">
        <is>
          <t>S8</t>
        </is>
      </c>
      <c r="H70" s="27" t="inlineStr">
        <is>
          <t>SCR-6 Settings &amp; team</t>
        </is>
      </c>
      <c r="I70" s="27" t="inlineStr">
        <is>
          <t>Integration test + manual QA</t>
        </is>
      </c>
      <c r="J70" s="33" t="inlineStr">
        <is>
          <t>Done-in-code</t>
        </is>
      </c>
      <c r="K70" s="33" t="inlineStr">
        <is>
          <t>Rbac.authorize writes audit rows for admin-sensitive actions incl. denials.</t>
        </is>
      </c>
      <c r="L70" s="34" t="inlineStr">
        <is>
          <t>REACHABLE</t>
        </is>
      </c>
      <c r="M70" s="26" t="inlineStr">
        <is>
          <t>GET /orgs/:id/audit-log, gated by audit.read — the read path did not exist before v020</t>
        </is>
      </c>
    </row>
    <row r="71" ht="15" customHeight="1" s="20">
      <c r="A71" s="27" t="inlineStr">
        <is>
          <t>ST-068</t>
        </is>
      </c>
      <c r="B71" s="27" t="inlineStr">
        <is>
          <t>E6</t>
        </is>
      </c>
      <c r="C71" s="27" t="inlineStr">
        <is>
          <t>Security &amp; compliance</t>
        </is>
      </c>
      <c r="D71" s="27" t="inlineStr">
        <is>
          <t>Pen-test (or platform-required evidence) completed and archived</t>
        </is>
      </c>
      <c r="E71" s="27" t="n">
        <v>8</v>
      </c>
      <c r="F71" s="27" t="inlineStr">
        <is>
          <t>P0</t>
        </is>
      </c>
      <c r="G71" s="27" t="inlineStr">
        <is>
          <t>S9</t>
        </is>
      </c>
      <c r="H71" s="27" t="inlineStr">
        <is>
          <t>SCR-6 Settings &amp; team</t>
        </is>
      </c>
      <c r="I71" s="27" t="inlineStr">
        <is>
          <t>E2E test + demo</t>
        </is>
      </c>
      <c r="J71" s="33" t="inlineStr">
        <is>
          <t>Backlog</t>
        </is>
      </c>
      <c r="K71" s="33" t="n"/>
      <c r="L71" s="32" t="inlineStr">
        <is>
          <t>NOT REACHABLE</t>
        </is>
      </c>
      <c r="M71" s="26" t="inlineStr">
        <is>
          <t>backlog: needs a pen-test vendor (Handover)</t>
        </is>
      </c>
    </row>
    <row r="72" ht="15" customHeight="1" s="20">
      <c r="A72" s="27" t="inlineStr">
        <is>
          <t>ST-069</t>
        </is>
      </c>
      <c r="B72" s="27" t="inlineStr">
        <is>
          <t>E6</t>
        </is>
      </c>
      <c r="C72" s="27" t="inlineStr">
        <is>
          <t>Security &amp; compliance</t>
        </is>
      </c>
      <c r="D72" s="27" t="inlineStr">
        <is>
          <t>Data export + delete-my-data self-serve</t>
        </is>
      </c>
      <c r="E72" s="27" t="n">
        <v>5</v>
      </c>
      <c r="F72" s="27" t="inlineStr">
        <is>
          <t>P0</t>
        </is>
      </c>
      <c r="G72" s="27" t="inlineStr">
        <is>
          <t>S9</t>
        </is>
      </c>
      <c r="H72" s="27" t="inlineStr">
        <is>
          <t>SCR-6 Settings &amp; team</t>
        </is>
      </c>
      <c r="I72" s="27" t="inlineStr">
        <is>
          <t>E2E test + demo</t>
        </is>
      </c>
      <c r="J72" s="33" t="inlineStr">
        <is>
          <t>Done-in-code</t>
        </is>
      </c>
      <c r="K72" s="33" t="inlineStr">
        <is>
          <t>POST /orgs/:id/delete-my-data — owner-only via RBAC (deny audit-logged), confirm=DELETE guard (422), immediate token wipe, deletionScheduledAt=now so next retentionSweep purges (no 30-day wait); preserves original uninstall facts when already uninstalled. lifecycle.ts deleteMyData + s9.test.ts (8 tests).</t>
        </is>
      </c>
      <c r="L72" s="34" t="inlineStr">
        <is>
          <t>REACHABLE</t>
        </is>
      </c>
      <c r="M72" s="26" t="inlineStr">
        <is>
          <t>v028 added GET /orgs/:id/export, audit-logged and excluding credentials; delete-my-data already shipped</t>
        </is>
      </c>
    </row>
    <row r="73" ht="23.25" customHeight="1" s="20">
      <c r="A73" s="27" t="inlineStr">
        <is>
          <t>ST-070</t>
        </is>
      </c>
      <c r="B73" s="27" t="inlineStr">
        <is>
          <t>E6</t>
        </is>
      </c>
      <c r="C73" s="27" t="inlineStr">
        <is>
          <t>Security &amp; compliance</t>
        </is>
      </c>
      <c r="D73" s="27" t="inlineStr">
        <is>
          <t>Rate-limit backoff + circuit breaker on platform APIs</t>
        </is>
      </c>
      <c r="E73" s="27" t="n">
        <v>5</v>
      </c>
      <c r="F73" s="27" t="inlineStr">
        <is>
          <t>P0</t>
        </is>
      </c>
      <c r="G73" s="27" t="inlineStr">
        <is>
          <t>S8</t>
        </is>
      </c>
      <c r="H73" s="27" t="inlineStr">
        <is>
          <t>SCR-6 Settings &amp; team</t>
        </is>
      </c>
      <c r="I73" s="27" t="inlineStr">
        <is>
          <t>E2E test + demo</t>
        </is>
      </c>
      <c r="J73" s="33" t="inlineStr">
        <is>
          <t>Done-in-code</t>
        </is>
      </c>
      <c r="K73" s="33" t="inlineStr">
        <is>
          <t>src/zoomClient.ts exp backoff + jitter on 429/5xx, circuit breaker w/ half-open probe; 8 tests.</t>
        </is>
      </c>
      <c r="L73" s="34" t="inlineStr">
        <is>
          <t>REACHABLE</t>
        </is>
      </c>
      <c r="M73" s="26" t="inlineStr">
        <is>
          <t>v029: ZoomClient.download carries the transcript fetch through the shared backoff and breaker</t>
        </is>
      </c>
    </row>
    <row r="74" ht="23.25" customHeight="1" s="20">
      <c r="A74" s="27" t="inlineStr">
        <is>
          <t>ST-071</t>
        </is>
      </c>
      <c r="B74" s="27" t="inlineStr">
        <is>
          <t>E7</t>
        </is>
      </c>
      <c r="C74" s="27" t="inlineStr">
        <is>
          <t>Telemetry &amp; analytics</t>
        </is>
      </c>
      <c r="D74" s="27" t="inlineStr">
        <is>
          <t>Activation funnel events (install-&gt;setup-&gt;aha-&gt;habit) in one dashboard</t>
        </is>
      </c>
      <c r="E74" s="27" t="n">
        <v>5</v>
      </c>
      <c r="F74" s="27" t="inlineStr">
        <is>
          <t>P0</t>
        </is>
      </c>
      <c r="G74" s="27" t="inlineStr">
        <is>
          <t>S4</t>
        </is>
      </c>
      <c r="H74" s="27" t="inlineStr">
        <is>
          <t>SCR-8 Analytics</t>
        </is>
      </c>
      <c r="I74" s="27" t="inlineStr">
        <is>
          <t>E2E test + demo</t>
        </is>
      </c>
      <c r="J74" s="33" t="inlineStr">
        <is>
          <t>Done-in-code</t>
        </is>
      </c>
      <c r="K74" s="33" t="inlineStr">
        <is>
          <t>Telemetry funnel install-&gt;setup-&gt;aha-&gt;habit; /analytics/funnel; aha wired from onboarding.</t>
        </is>
      </c>
      <c r="L74" s="34" t="inlineStr">
        <is>
          <t>REACHABLE</t>
        </is>
      </c>
      <c r="M74" s="26" t="inlineStr">
        <is>
          <t>GET /analytics/funnel (operator token)</t>
        </is>
      </c>
    </row>
    <row r="75" ht="23.25" customHeight="1" s="20">
      <c r="A75" s="27" t="inlineStr">
        <is>
          <t>ST-072</t>
        </is>
      </c>
      <c r="B75" s="27" t="inlineStr">
        <is>
          <t>E7</t>
        </is>
      </c>
      <c r="C75" s="27" t="inlineStr">
        <is>
          <t>Telemetry &amp; analytics</t>
        </is>
      </c>
      <c r="D75" s="27" t="inlineStr">
        <is>
          <t>Error tracking with release tagging; alert on error-rate spike</t>
        </is>
      </c>
      <c r="E75" s="27" t="n">
        <v>3</v>
      </c>
      <c r="F75" s="27" t="inlineStr">
        <is>
          <t>P0</t>
        </is>
      </c>
      <c r="G75" s="27" t="inlineStr">
        <is>
          <t>S4</t>
        </is>
      </c>
      <c r="H75" s="27" t="inlineStr">
        <is>
          <t>SCR-8 Analytics</t>
        </is>
      </c>
      <c r="I75" s="27" t="inlineStr">
        <is>
          <t>E2E test + demo</t>
        </is>
      </c>
      <c r="J75" s="33" t="inlineStr">
        <is>
          <t>Done-in-code</t>
        </is>
      </c>
      <c r="K75" s="33" t="inlineStr">
        <is>
          <t>trackError with release tag; errorSpike windowed alert vs configurable threshold.</t>
        </is>
      </c>
      <c r="L75" s="34" t="inlineStr">
        <is>
          <t>REACHABLE</t>
        </is>
      </c>
      <c r="M75" s="26" t="inlineStr">
        <is>
          <t>v040: alerts are POSTed to an operator-supplied https webhook (MEETSYNC_ALERT_WEBHOOK). At most once, fire-and-forget, not a paging system — limits documented. Alert bodies carry no tenant identity (OpsAlert invariant, pinned by test in v041). Without a URL they remain readable at /analytics/ops</t>
        </is>
      </c>
    </row>
    <row r="76" ht="15" customHeight="1" s="20">
      <c r="A76" s="27" t="inlineStr">
        <is>
          <t>ST-073</t>
        </is>
      </c>
      <c r="B76" s="27" t="inlineStr">
        <is>
          <t>E7</t>
        </is>
      </c>
      <c r="C76" s="27" t="inlineStr">
        <is>
          <t>Telemetry &amp; analytics</t>
        </is>
      </c>
      <c r="D76" s="27" t="inlineStr">
        <is>
          <t>Feature-usage heatmap for roadmap decisions</t>
        </is>
      </c>
      <c r="E76" s="27" t="n">
        <v>3</v>
      </c>
      <c r="F76" s="27" t="inlineStr">
        <is>
          <t>P2</t>
        </is>
      </c>
      <c r="G76" s="27" t="inlineStr">
        <is>
          <t>S8</t>
        </is>
      </c>
      <c r="H76" s="27" t="inlineStr">
        <is>
          <t>SCR-8 Analytics</t>
        </is>
      </c>
      <c r="I76" s="27" t="inlineStr">
        <is>
          <t>Manual QA</t>
        </is>
      </c>
      <c r="J76" s="33" t="inlineStr">
        <is>
          <t>Done-in-code</t>
        </is>
      </c>
      <c r="K76" s="33" t="inlineStr">
        <is>
          <t>heatmap() hits sorted desc.</t>
        </is>
      </c>
      <c r="L76" s="34" t="inlineStr">
        <is>
          <t>REACHABLE</t>
        </is>
      </c>
      <c r="M76" s="26" t="inlineStr">
        <is>
          <t>v027: every feature route feeds the heatmap; readable at GET /analytics/ops</t>
        </is>
      </c>
    </row>
    <row r="77" ht="15" customHeight="1" s="20">
      <c r="A77" s="27" t="inlineStr">
        <is>
          <t>ST-074</t>
        </is>
      </c>
      <c r="B77" s="27" t="inlineStr">
        <is>
          <t>E7</t>
        </is>
      </c>
      <c r="C77" s="27" t="inlineStr">
        <is>
          <t>Telemetry &amp; analytics</t>
        </is>
      </c>
      <c r="D77" s="27" t="inlineStr">
        <is>
          <t>Weekly automated metrics email to team</t>
        </is>
      </c>
      <c r="E77" s="27" t="n">
        <v>2</v>
      </c>
      <c r="F77" s="27" t="inlineStr">
        <is>
          <t>P2</t>
        </is>
      </c>
      <c r="G77" s="27" t="inlineStr">
        <is>
          <t>S8</t>
        </is>
      </c>
      <c r="H77" s="27" t="inlineStr">
        <is>
          <t>SCR-8 Analytics</t>
        </is>
      </c>
      <c r="I77" s="27" t="inlineStr">
        <is>
          <t>Manual QA</t>
        </is>
      </c>
      <c r="J77" s="33" t="inlineStr">
        <is>
          <t>Done-in-code</t>
        </is>
      </c>
      <c r="K77" s="33" t="inlineStr">
        <is>
          <t>weeklyEmail(): funnel + top features + 7d errors; empty-state covered.</t>
        </is>
      </c>
      <c r="L77" s="45" t="inlineStr">
        <is>
          <t>PARTIAL</t>
        </is>
      </c>
      <c r="M77" s="26" t="inlineStr">
        <is>
          <t>the weekly digest is computed and readable at GET /analytics/ops. The story says EMAIL and no mail sender exists, so the automated part is not done</t>
        </is>
      </c>
    </row>
    <row r="78" ht="23.25" customHeight="1" s="20">
      <c r="A78" s="27" t="inlineStr">
        <is>
          <t>ST-075</t>
        </is>
      </c>
      <c r="B78" s="27" t="inlineStr">
        <is>
          <t>E7</t>
        </is>
      </c>
      <c r="C78" s="27" t="inlineStr">
        <is>
          <t>Telemetry &amp; analytics</t>
        </is>
      </c>
      <c r="D78" s="27" t="inlineStr">
        <is>
          <t>Health score computed per account (usage+billing+support)</t>
        </is>
      </c>
      <c r="E78" s="27" t="n">
        <v>5</v>
      </c>
      <c r="F78" s="27" t="inlineStr">
        <is>
          <t>P1</t>
        </is>
      </c>
      <c r="G78" s="27" t="inlineStr">
        <is>
          <t>S8</t>
        </is>
      </c>
      <c r="H78" s="27" t="inlineStr">
        <is>
          <t>SCR-8 Analytics</t>
        </is>
      </c>
      <c r="I78" s="27" t="inlineStr">
        <is>
          <t>Integration test + manual QA</t>
        </is>
      </c>
      <c r="J78" s="33" t="inlineStr">
        <is>
          <t>Done-in-code</t>
        </is>
      </c>
      <c r="K78" s="33" t="inlineStr">
        <is>
          <t>healthScore usage+billing+support blend, capped/floored; 3 boundary tests.</t>
        </is>
      </c>
      <c r="L78" s="34" t="inlineStr">
        <is>
          <t>REACHABLE</t>
        </is>
      </c>
      <c r="M78" s="26" t="inlineStr">
        <is>
          <t>v042/v043: computed per account from MEASURED inputs — active days from recorded activity, billing from the entitlement. Open tickets have no data source and are excluded; a pre-trial account has no billing signal yet and is excluded from at-risk. maxScore states which components counted. GET /orgs/:id/health, GET /analytics/at-risk</t>
        </is>
      </c>
    </row>
    <row r="79" ht="15" customHeight="1" s="20">
      <c r="A79" s="27" t="inlineStr">
        <is>
          <t>ST-076</t>
        </is>
      </c>
      <c r="B79" s="27" t="inlineStr">
        <is>
          <t>E7</t>
        </is>
      </c>
      <c r="C79" s="27" t="inlineStr">
        <is>
          <t>Telemetry &amp; analytics</t>
        </is>
      </c>
      <c r="D79" s="27" t="inlineStr">
        <is>
          <t>Metrics export to CSV/warehouse for founder analysis</t>
        </is>
      </c>
      <c r="E79" s="27" t="n">
        <v>3</v>
      </c>
      <c r="F79" s="27" t="inlineStr">
        <is>
          <t>P2</t>
        </is>
      </c>
      <c r="G79" s="27" t="inlineStr">
        <is>
          <t>S8</t>
        </is>
      </c>
      <c r="H79" s="27" t="inlineStr">
        <is>
          <t>SCR-8 Analytics</t>
        </is>
      </c>
      <c r="I79" s="27" t="inlineStr">
        <is>
          <t>Manual QA</t>
        </is>
      </c>
      <c r="J79" s="33" t="inlineStr">
        <is>
          <t>Done-in-code</t>
        </is>
      </c>
      <c r="K79" s="33" t="inlineStr">
        <is>
          <t>/analytics/export.csv one row per account with stage flags.</t>
        </is>
      </c>
      <c r="L79" s="34" t="inlineStr">
        <is>
          <t>REACHABLE</t>
        </is>
      </c>
      <c r="M79" s="26" t="inlineStr">
        <is>
          <t>GET /analytics/export.csv (operator token), RFC-4180 quoted</t>
        </is>
      </c>
    </row>
    <row r="80" ht="15" customHeight="1" s="20">
      <c r="A80" s="27" t="inlineStr">
        <is>
          <t>ST-077</t>
        </is>
      </c>
      <c r="B80" s="27" t="inlineStr">
        <is>
          <t>E7</t>
        </is>
      </c>
      <c r="C80" s="27" t="inlineStr">
        <is>
          <t>Telemetry &amp; analytics</t>
        </is>
      </c>
      <c r="D80" s="27" t="inlineStr">
        <is>
          <t>Alert thresholds configurable (activation drop, error spike, churn signal)</t>
        </is>
      </c>
      <c r="E80" s="27" t="n">
        <v>3</v>
      </c>
      <c r="F80" s="27" t="inlineStr">
        <is>
          <t>P2</t>
        </is>
      </c>
      <c r="G80" s="27" t="inlineStr">
        <is>
          <t>S8</t>
        </is>
      </c>
      <c r="H80" s="27" t="inlineStr">
        <is>
          <t>SCR-8 Analytics</t>
        </is>
      </c>
      <c r="I80" s="27" t="inlineStr">
        <is>
          <t>Manual QA</t>
        </is>
      </c>
      <c r="J80" s="33" t="inlineStr">
        <is>
          <t>Done-in-code</t>
        </is>
      </c>
      <c r="K80" s="33" t="inlineStr">
        <is>
          <t>setThresholds partial-merge; churnAlert respects configured score.</t>
        </is>
      </c>
      <c r="L80" s="34" t="inlineStr">
        <is>
          <t>REACHABLE</t>
        </is>
      </c>
      <c r="M80" s="26" t="inlineStr">
        <is>
          <t>v027: POST /analytics/thresholds, validated</t>
        </is>
      </c>
    </row>
    <row r="81" ht="15" customHeight="1" s="20">
      <c r="A81" s="27" t="inlineStr">
        <is>
          <t>ST-078</t>
        </is>
      </c>
      <c r="B81" s="27" t="inlineStr">
        <is>
          <t>E8</t>
        </is>
      </c>
      <c r="C81" s="27" t="inlineStr">
        <is>
          <t>Onboarding &amp; support</t>
        </is>
      </c>
      <c r="D81" s="27" t="inlineStr">
        <is>
          <t>First-run checklist reaches aha-moment in &lt;1 day</t>
        </is>
      </c>
      <c r="E81" s="27" t="n">
        <v>5</v>
      </c>
      <c r="F81" s="27" t="inlineStr">
        <is>
          <t>P0</t>
        </is>
      </c>
      <c r="G81" s="27" t="inlineStr">
        <is>
          <t>S5</t>
        </is>
      </c>
      <c r="H81" s="27" t="inlineStr">
        <is>
          <t>SCR-1 / SCR-9 Help</t>
        </is>
      </c>
      <c r="I81" s="27" t="inlineStr">
        <is>
          <t>E2E test + demo</t>
        </is>
      </c>
      <c r="J81" s="33" t="inlineStr">
        <is>
          <t>Done-in-code</t>
        </is>
      </c>
      <c r="K81" s="33" t="inlineStr">
        <is>
          <t>Onboarding 4-step checklist -&gt; aha; withinDay &lt;=24h asserted both sides.</t>
        </is>
      </c>
      <c r="L81" s="34" t="inlineStr">
        <is>
          <t>REACHABLE</t>
        </is>
      </c>
      <c r="M81" s="26" t="inlineStr">
        <is>
          <t>POST /onboarding/:id/start and /complete; aha feeds the funnel</t>
        </is>
      </c>
    </row>
    <row r="82" ht="15" customHeight="1" s="20">
      <c r="A82" s="27" t="inlineStr">
        <is>
          <t>ST-079</t>
        </is>
      </c>
      <c r="B82" s="27" t="inlineStr">
        <is>
          <t>E8</t>
        </is>
      </c>
      <c r="C82" s="27" t="inlineStr">
        <is>
          <t>Onboarding &amp; support</t>
        </is>
      </c>
      <c r="D82" s="27" t="inlineStr">
        <is>
          <t>Empty states teach next action on every screen</t>
        </is>
      </c>
      <c r="E82" s="27" t="n">
        <v>3</v>
      </c>
      <c r="F82" s="27" t="inlineStr">
        <is>
          <t>P1</t>
        </is>
      </c>
      <c r="G82" s="27" t="inlineStr">
        <is>
          <t>S5</t>
        </is>
      </c>
      <c r="H82" s="27" t="inlineStr">
        <is>
          <t>SCR-1 / SCR-9 Help</t>
        </is>
      </c>
      <c r="I82" s="27" t="inlineStr">
        <is>
          <t>Integration test + manual QA</t>
        </is>
      </c>
      <c r="J82" s="33" t="inlineStr">
        <is>
          <t>Done-in-code</t>
        </is>
      </c>
      <c r="K82" s="33" t="inlineStr">
        <is>
          <t>EMPTY_STATES teach next action on 5 screens + fallback.</t>
        </is>
      </c>
      <c r="L82" s="34" t="inlineStr">
        <is>
          <t>REACHABLE</t>
        </is>
      </c>
      <c r="M82" s="26" t="inlineStr">
        <is>
          <t>v022: one source in src/emptyStates.ts, imported by the API and all five panels; tests assert the constant</t>
        </is>
      </c>
    </row>
    <row r="83" ht="15" customHeight="1" s="20">
      <c r="A83" s="27" t="inlineStr">
        <is>
          <t>ST-080</t>
        </is>
      </c>
      <c r="B83" s="27" t="inlineStr">
        <is>
          <t>E8</t>
        </is>
      </c>
      <c r="C83" s="27" t="inlineStr">
        <is>
          <t>Onboarding &amp; support</t>
        </is>
      </c>
      <c r="D83" s="27" t="inlineStr">
        <is>
          <t>Help center with 15 launch articles + search</t>
        </is>
      </c>
      <c r="E83" s="27" t="n">
        <v>5</v>
      </c>
      <c r="F83" s="27" t="inlineStr">
        <is>
          <t>P1</t>
        </is>
      </c>
      <c r="G83" s="27" t="inlineStr">
        <is>
          <t>S10</t>
        </is>
      </c>
      <c r="H83" s="27" t="inlineStr">
        <is>
          <t>SCR-1 / SCR-9 Help</t>
        </is>
      </c>
      <c r="I83" s="27" t="inlineStr">
        <is>
          <t>Integration test + manual QA</t>
        </is>
      </c>
      <c r="J83" s="33" t="inlineStr">
        <is>
          <t>Done-in-code</t>
        </is>
      </c>
      <c r="K83" s="33" t="inlineStr">
        <is>
          <t>15 launch articles (getting-started -&gt; troubleshooting) + ranked keyword search (title 3 / keyword 2 / body 1, deterministic tie-break) at /help/*; same content source for hosted help site and in-app panel. helpcenter.ts + s10.test.ts. Hosting/publish at go-live.</t>
        </is>
      </c>
      <c r="L83" s="34" t="inlineStr">
        <is>
          <t>REACHABLE</t>
        </is>
      </c>
      <c r="M83" s="26" t="inlineStr">
        <is>
          <t>GET /help/articles, /help/articles/:id, /help/search</t>
        </is>
      </c>
    </row>
    <row r="84" ht="15" customHeight="1" s="20">
      <c r="A84" s="27" t="inlineStr">
        <is>
          <t>ST-081</t>
        </is>
      </c>
      <c r="B84" s="27" t="inlineStr">
        <is>
          <t>E8</t>
        </is>
      </c>
      <c r="C84" s="27" t="inlineStr">
        <is>
          <t>Onboarding &amp; support</t>
        </is>
      </c>
      <c r="D84" s="27" t="inlineStr">
        <is>
          <t>In-app chat with &lt;4 business-hr first response</t>
        </is>
      </c>
      <c r="E84" s="27" t="n">
        <v>3</v>
      </c>
      <c r="F84" s="27" t="inlineStr">
        <is>
          <t>P0</t>
        </is>
      </c>
      <c r="G84" s="27" t="inlineStr">
        <is>
          <t>S10</t>
        </is>
      </c>
      <c r="H84" s="27" t="inlineStr">
        <is>
          <t>SCR-1 / SCR-9 Help</t>
        </is>
      </c>
      <c r="I84" s="27" t="inlineStr">
        <is>
          <t>E2E test + demo</t>
        </is>
      </c>
      <c r="J84" s="33" t="inlineStr">
        <is>
          <t>Backlog</t>
        </is>
      </c>
      <c r="K84" s="33" t="n"/>
      <c r="L84" s="32" t="inlineStr">
        <is>
          <t>NOT REACHABLE</t>
        </is>
      </c>
      <c r="M84" s="26" t="inlineStr">
        <is>
          <t>backlog: no chat vendor decision</t>
        </is>
      </c>
    </row>
    <row r="85" ht="23.25" customHeight="1" s="20">
      <c r="A85" s="27" t="inlineStr">
        <is>
          <t>ST-082</t>
        </is>
      </c>
      <c r="B85" s="27" t="inlineStr">
        <is>
          <t>E8</t>
        </is>
      </c>
      <c r="C85" s="27" t="inlineStr">
        <is>
          <t>Onboarding &amp; support</t>
        </is>
      </c>
      <c r="D85" s="27" t="inlineStr">
        <is>
          <t>In-app review ask after aha-moment (marketplace rating engine)</t>
        </is>
      </c>
      <c r="E85" s="27" t="n">
        <v>3</v>
      </c>
      <c r="F85" s="27" t="inlineStr">
        <is>
          <t>P1</t>
        </is>
      </c>
      <c r="G85" s="27" t="inlineStr">
        <is>
          <t>S11</t>
        </is>
      </c>
      <c r="H85" s="27" t="inlineStr">
        <is>
          <t>SCR-1 / SCR-9 Help</t>
        </is>
      </c>
      <c r="I85" s="27" t="inlineStr">
        <is>
          <t>Integration test + manual QA</t>
        </is>
      </c>
      <c r="J85" s="33" t="inlineStr">
        <is>
          <t>Done-in-code</t>
        </is>
      </c>
      <c r="K85" s="33" t="inlineStr">
        <is>
          <t>maybeAskReview: only after aha, exactly once; wired into /onboarding complete.</t>
        </is>
      </c>
      <c r="L85" s="34" t="inlineStr">
        <is>
          <t>REACHABLE</t>
        </is>
      </c>
      <c r="M85" s="26" t="inlineStr">
        <is>
          <t>reviewAsk returned by POST /onboarding/:id/complete, once, after aha</t>
        </is>
      </c>
    </row>
    <row r="86" ht="15" customHeight="1" s="20">
      <c r="A86" s="27" t="inlineStr">
        <is>
          <t>ST-083</t>
        </is>
      </c>
      <c r="B86" s="27" t="inlineStr">
        <is>
          <t>E8</t>
        </is>
      </c>
      <c r="C86" s="27" t="inlineStr">
        <is>
          <t>Onboarding &amp; support</t>
        </is>
      </c>
      <c r="D86" s="27" t="inlineStr">
        <is>
          <t>Demo video (2 min) + interactive sandbox/demo data mode</t>
        </is>
      </c>
      <c r="E86" s="27" t="n">
        <v>5</v>
      </c>
      <c r="F86" s="27" t="inlineStr">
        <is>
          <t>P1</t>
        </is>
      </c>
      <c r="G86" s="27" t="inlineStr">
        <is>
          <t>S10</t>
        </is>
      </c>
      <c r="H86" s="27" t="inlineStr">
        <is>
          <t>SCR-1 / SCR-9 Help</t>
        </is>
      </c>
      <c r="I86" s="27" t="inlineStr">
        <is>
          <t>Integration test + manual QA</t>
        </is>
      </c>
      <c r="J86" s="33" t="inlineStr">
        <is>
          <t>Code-complete (pending live)</t>
        </is>
      </c>
      <c r="K86" s="33" t="inlineStr">
        <is>
          <t>Interactive demo/sandbox HALF SHIPPED: POST /orgs/:id/demo-mode (admin+) seeds notes session, 2 extracted actions, 2 completed sandbox writebacks (demo.ts). 2-min video = live recording (Senthil).</t>
        </is>
      </c>
      <c r="L86" s="45" t="inlineStr">
        <is>
          <t>PARTIAL</t>
        </is>
      </c>
      <c r="M86" s="26" t="inlineStr">
        <is>
          <t>demo-data mode is reachable at POST /orgs/:id/demo-mode and seeds an isolated demo- workspace; the 2-minute video is not captured</t>
        </is>
      </c>
    </row>
    <row r="87" ht="15" customHeight="1" s="20">
      <c r="A87" s="27" t="inlineStr">
        <is>
          <t>ST-084</t>
        </is>
      </c>
      <c r="B87" s="27" t="inlineStr">
        <is>
          <t>E8</t>
        </is>
      </c>
      <c r="C87" s="27" t="inlineStr">
        <is>
          <t>Onboarding &amp; support</t>
        </is>
      </c>
      <c r="D87" s="27" t="inlineStr">
        <is>
          <t>Status page + incident comms template</t>
        </is>
      </c>
      <c r="E87" s="27" t="n">
        <v>2</v>
      </c>
      <c r="F87" s="27" t="inlineStr">
        <is>
          <t>P2</t>
        </is>
      </c>
      <c r="G87" s="27" t="inlineStr">
        <is>
          <t>S10</t>
        </is>
      </c>
      <c r="H87" s="27" t="inlineStr">
        <is>
          <t>SCR-1 / SCR-9 Help</t>
        </is>
      </c>
      <c r="I87" s="27" t="inlineStr">
        <is>
          <t>Manual QA</t>
        </is>
      </c>
      <c r="J87" s="33" t="inlineStr">
        <is>
          <t>Done-in-code</t>
        </is>
      </c>
      <c r="K87" s="33" t="inlineStr">
        <is>
          <t>Public /status (JSON) + /status.html: api + zoomPlatform component health (breaker-driven ok/degraded/probing), uptime; incident comms template docs/INCIDENT_COMMS.md. statuspage.ts + tests.</t>
        </is>
      </c>
      <c r="L87" s="34" t="inlineStr">
        <is>
          <t>REACHABLE</t>
        </is>
      </c>
      <c r="M87" s="26" t="inlineStr">
        <is>
          <t>GET /status and /status.html, public by design</t>
        </is>
      </c>
    </row>
    <row r="88" ht="23.25" customHeight="1" s="20">
      <c r="A88" s="27" t="inlineStr">
        <is>
          <t>ST-085</t>
        </is>
      </c>
      <c r="B88" s="27" t="inlineStr">
        <is>
          <t>EQ</t>
        </is>
      </c>
      <c r="C88" s="27" t="inlineStr">
        <is>
          <t>Quality engineering</t>
        </is>
      </c>
      <c r="D88" s="27" t="inlineStr">
        <is>
          <t>Unit+integration test coverage gate ≥70% on core modules</t>
        </is>
      </c>
      <c r="E88" s="27" t="n">
        <v>5</v>
      </c>
      <c r="F88" s="27" t="inlineStr">
        <is>
          <t>P0</t>
        </is>
      </c>
      <c r="G88" s="27" t="inlineStr">
        <is>
          <t>S3</t>
        </is>
      </c>
      <c r="H88" s="27" t="inlineStr">
        <is>
          <t>—</t>
        </is>
      </c>
      <c r="I88" s="27" t="inlineStr">
        <is>
          <t>E2E test + demo</t>
        </is>
      </c>
      <c r="J88" s="33" t="inlineStr">
        <is>
          <t>Done-in-code</t>
        </is>
      </c>
      <c r="K88" s="33" t="inlineStr">
        <is>
          <t>SUPERSEDED by D13: gate is 100%x4 (jest coverageThreshold), not &gt;=70%. 18 suites/139 tests, zero pragmas.</t>
        </is>
      </c>
      <c r="L88" s="34" t="inlineStr">
        <is>
          <t>REACHABLE</t>
        </is>
      </c>
      <c r="M88" s="26" t="inlineStr">
        <is>
          <t>CI runs the 100/100/100/100 gate on every push</t>
        </is>
      </c>
    </row>
    <row r="89" ht="15" customHeight="1" s="20">
      <c r="A89" s="27" t="inlineStr">
        <is>
          <t>ST-086</t>
        </is>
      </c>
      <c r="B89" s="27" t="inlineStr">
        <is>
          <t>EQ</t>
        </is>
      </c>
      <c r="C89" s="27" t="inlineStr">
        <is>
          <t>Quality engineering</t>
        </is>
      </c>
      <c r="D89" s="27" t="inlineStr">
        <is>
          <t>E2E smoke suite runs on every deploy</t>
        </is>
      </c>
      <c r="E89" s="27" t="n">
        <v>5</v>
      </c>
      <c r="F89" s="27" t="inlineStr">
        <is>
          <t>P0</t>
        </is>
      </c>
      <c r="G89" s="27" t="inlineStr">
        <is>
          <t>S4</t>
        </is>
      </c>
      <c r="H89" s="27" t="inlineStr">
        <is>
          <t>—</t>
        </is>
      </c>
      <c r="I89" s="27" t="inlineStr">
        <is>
          <t>E2E test + demo</t>
        </is>
      </c>
      <c r="J89" s="33" t="inlineStr">
        <is>
          <t>Done-in-code</t>
        </is>
      </c>
      <c r="K89" s="33" t="inlineStr">
        <is>
          <t>E2E smoke in app.test.ts runs in CI + deploy workflow before slot swap.</t>
        </is>
      </c>
      <c r="L89" s="34" t="inlineStr">
        <is>
          <t>REACHABLE</t>
        </is>
      </c>
      <c r="M89" s="26" t="inlineStr">
        <is>
          <t>E2E smoke in the API suite; CI provisions postgres:16</t>
        </is>
      </c>
    </row>
    <row r="90" ht="15" customHeight="1" s="20">
      <c r="A90" s="27" t="inlineStr">
        <is>
          <t>ST-087</t>
        </is>
      </c>
      <c r="B90" s="27" t="inlineStr">
        <is>
          <t>EQ</t>
        </is>
      </c>
      <c r="C90" s="27" t="inlineStr">
        <is>
          <t>Quality engineering</t>
        </is>
      </c>
      <c r="D90" s="27" t="inlineStr">
        <is>
          <t>p95 latency budgets defined and monitored per surface</t>
        </is>
      </c>
      <c r="E90" s="27" t="n">
        <v>3</v>
      </c>
      <c r="F90" s="27" t="inlineStr">
        <is>
          <t>P0</t>
        </is>
      </c>
      <c r="G90" s="27" t="inlineStr">
        <is>
          <t>S8</t>
        </is>
      </c>
      <c r="H90" s="27" t="inlineStr">
        <is>
          <t>—</t>
        </is>
      </c>
      <c r="I90" s="27" t="inlineStr">
        <is>
          <t>E2E test + demo</t>
        </is>
      </c>
      <c r="J90" s="33" t="inlineStr">
        <is>
          <t>Done-in-code</t>
        </is>
      </c>
      <c r="K90" s="33" t="inlineStr">
        <is>
          <t>docs/PERF_BUDGETS.md + k6 thresholds p95&lt;500ms.</t>
        </is>
      </c>
      <c r="L90" s="34" t="inlineStr">
        <is>
          <t>REACHABLE</t>
        </is>
      </c>
      <c r="M90" s="26" t="inlineStr">
        <is>
          <t>v037/v038: p95 per route pattern against the published budgets, breach alert in the digest. Server handling time only — the 2s UI budget is still unmeasured</t>
        </is>
      </c>
    </row>
    <row r="91" ht="23.25" customHeight="1" s="20">
      <c r="A91" s="27" t="inlineStr">
        <is>
          <t>ST-088</t>
        </is>
      </c>
      <c r="B91" s="27" t="inlineStr">
        <is>
          <t>EQ</t>
        </is>
      </c>
      <c r="C91" s="27" t="inlineStr">
        <is>
          <t>Quality engineering</t>
        </is>
      </c>
      <c r="D91" s="27" t="inlineStr">
        <is>
          <t>Load test at 5x expected launch traffic</t>
        </is>
      </c>
      <c r="E91" s="27" t="n">
        <v>5</v>
      </c>
      <c r="F91" s="27" t="inlineStr">
        <is>
          <t>P1</t>
        </is>
      </c>
      <c r="G91" s="27" t="inlineStr">
        <is>
          <t>S8</t>
        </is>
      </c>
      <c r="H91" s="27" t="inlineStr">
        <is>
          <t>—</t>
        </is>
      </c>
      <c r="I91" s="27" t="inlineStr">
        <is>
          <t>Integration test + manual QA</t>
        </is>
      </c>
      <c r="J91" s="33" t="inlineStr">
        <is>
          <t>Code-complete (pending live)</t>
        </is>
      </c>
      <c r="K91" s="33" t="inlineStr">
        <is>
          <t>load/k6-smoke.js 5x-launch scenario written; live run needs staging infra (Senthil).</t>
        </is>
      </c>
      <c r="L91" s="45" t="inlineStr">
        <is>
          <t>PENDING LIVE</t>
        </is>
      </c>
      <c r="M91" s="26" t="inlineStr">
        <is>
          <t>k6 harness exists; never run against a deployment</t>
        </is>
      </c>
    </row>
    <row r="92" ht="15" customHeight="1" s="20">
      <c r="A92" s="27" t="inlineStr">
        <is>
          <t>ST-089</t>
        </is>
      </c>
      <c r="B92" s="27" t="inlineStr">
        <is>
          <t>EQ</t>
        </is>
      </c>
      <c r="C92" s="27" t="inlineStr">
        <is>
          <t>Quality engineering</t>
        </is>
      </c>
      <c r="D92" s="27" t="inlineStr">
        <is>
          <t>Accessibility WCAG AA pass on primary flows</t>
        </is>
      </c>
      <c r="E92" s="27" t="n">
        <v>3</v>
      </c>
      <c r="F92" s="27" t="inlineStr">
        <is>
          <t>P1</t>
        </is>
      </c>
      <c r="G92" s="27" t="inlineStr">
        <is>
          <t>S9</t>
        </is>
      </c>
      <c r="H92" s="27" t="inlineStr">
        <is>
          <t>—</t>
        </is>
      </c>
      <c r="I92" s="27" t="inlineStr">
        <is>
          <t>Integration test + manual QA</t>
        </is>
      </c>
      <c r="J92" s="33" t="inlineStr">
        <is>
          <t>Backlog</t>
        </is>
      </c>
      <c r="K92" s="33" t="n"/>
      <c r="L92" s="45" t="inlineStr">
        <is>
          <t>PARTIAL</t>
        </is>
      </c>
      <c r="M92" s="26" t="inlineStr">
        <is>
          <t>automated WCAG AA checks pass on every build (v015); contrast, focus, zoom and real screen-reader behaviour need a manual pass</t>
        </is>
      </c>
    </row>
    <row r="93" ht="15" customHeight="1" s="20">
      <c r="A93" s="27" t="inlineStr">
        <is>
          <t>ST-090</t>
        </is>
      </c>
      <c r="B93" s="27" t="inlineStr">
        <is>
          <t>EQ</t>
        </is>
      </c>
      <c r="C93" s="27" t="inlineStr">
        <is>
          <t>Quality engineering</t>
        </is>
      </c>
      <c r="D93" s="27" t="inlineStr">
        <is>
          <t>Backup + restore drill executed</t>
        </is>
      </c>
      <c r="E93" s="27" t="n">
        <v>3</v>
      </c>
      <c r="F93" s="27" t="inlineStr">
        <is>
          <t>P1</t>
        </is>
      </c>
      <c r="G93" s="27" t="inlineStr">
        <is>
          <t>S9</t>
        </is>
      </c>
      <c r="H93" s="27" t="inlineStr">
        <is>
          <t>—</t>
        </is>
      </c>
      <c r="I93" s="27" t="inlineStr">
        <is>
          <t>Integration test + manual QA</t>
        </is>
      </c>
      <c r="J93" s="33" t="inlineStr">
        <is>
          <t>Backlog</t>
        </is>
      </c>
      <c r="K93" s="33" t="n"/>
      <c r="L93" s="34" t="inlineStr">
        <is>
          <t>REACHABLE</t>
        </is>
      </c>
      <c r="M93" s="26" t="inlineStr">
        <is>
          <t>v030: restore drill takes a snapshot, restores into an empty set and compares checksums; 500 on divergence</t>
        </is>
      </c>
    </row>
    <row r="94" ht="15" customHeight="1" s="20">
      <c r="A94" s="27" t="inlineStr">
        <is>
          <t>ST-091</t>
        </is>
      </c>
      <c r="B94" s="27" t="inlineStr">
        <is>
          <t>EQ</t>
        </is>
      </c>
      <c r="C94" s="27" t="inlineStr">
        <is>
          <t>Quality engineering</t>
        </is>
      </c>
      <c r="D94" s="27" t="inlineStr">
        <is>
          <t>Chaos test: platform API outage degrades gracefully with user comms</t>
        </is>
      </c>
      <c r="E94" s="27" t="n">
        <v>3</v>
      </c>
      <c r="F94" s="27" t="inlineStr">
        <is>
          <t>P2</t>
        </is>
      </c>
      <c r="G94" s="27" t="inlineStr">
        <is>
          <t>S9</t>
        </is>
      </c>
      <c r="H94" s="27" t="inlineStr">
        <is>
          <t>—</t>
        </is>
      </c>
      <c r="I94" s="27" t="inlineStr">
        <is>
          <t>Manual QA</t>
        </is>
      </c>
      <c r="J94" s="33" t="inlineStr">
        <is>
          <t>Code-complete (pending live)</t>
        </is>
      </c>
      <c r="K94" s="33" t="inlineStr">
        <is>
          <t>Degradation OBSERVABLE in code: ZoomClient.platformHealth() ok/degraded/probing from breaker state, surfaced on /orgs/:id/status without erroring; fast-fail asserted (CircuitOpenError, no hammering). Live platform-outage drill on staging still owed (S9-07).</t>
        </is>
      </c>
      <c r="L94" s="34" t="inlineStr">
        <is>
          <t>REACHABLE</t>
        </is>
      </c>
      <c r="M94" s="26" t="inlineStr">
        <is>
          <t>platformHealth surfaces on /orgs/:id/status and /status; degradation is visible rather than erroring</t>
        </is>
      </c>
    </row>
    <row r="95" ht="23.25" customHeight="1" s="20">
      <c r="A95" s="27" t="inlineStr">
        <is>
          <t>ST-092</t>
        </is>
      </c>
      <c r="B95" s="27" t="inlineStr">
        <is>
          <t>EQ</t>
        </is>
      </c>
      <c r="C95" s="27" t="inlineStr">
        <is>
          <t>Quality engineering</t>
        </is>
      </c>
      <c r="D95" s="27" t="inlineStr">
        <is>
          <t>Zero-downtime deploy verified (blue/green or rolling)</t>
        </is>
      </c>
      <c r="E95" s="27" t="n">
        <v>3</v>
      </c>
      <c r="F95" s="27" t="inlineStr">
        <is>
          <t>P2</t>
        </is>
      </c>
      <c r="G95" s="27" t="inlineStr">
        <is>
          <t>S8</t>
        </is>
      </c>
      <c r="H95" s="27" t="inlineStr">
        <is>
          <t>—</t>
        </is>
      </c>
      <c r="I95" s="27" t="inlineStr">
        <is>
          <t>Manual QA</t>
        </is>
      </c>
      <c r="J95" s="33" t="inlineStr">
        <is>
          <t>Code-complete (pending live)</t>
        </is>
      </c>
      <c r="K95" s="33" t="inlineStr">
        <is>
          <t>.github/workflows/deploy.yml blue/green slot swap + health gate; live slots need infra.</t>
        </is>
      </c>
      <c r="L95" s="45" t="inlineStr">
        <is>
          <t>PENDING LIVE</t>
        </is>
      </c>
      <c r="M95" s="26" t="inlineStr">
        <is>
          <t>deploy workflow exists; never executed</t>
        </is>
      </c>
    </row>
    <row r="96" ht="23.25" customHeight="1" s="20">
      <c r="A96" s="27" t="inlineStr">
        <is>
          <t>ST-093</t>
        </is>
      </c>
      <c r="B96" s="27" t="inlineStr">
        <is>
          <t>EL</t>
        </is>
      </c>
      <c r="C96" s="27" t="inlineStr">
        <is>
          <t>Listing &amp; GTM</t>
        </is>
      </c>
      <c r="D96" s="27" t="inlineStr">
        <is>
          <t>Marketplace listing copy A + B variants drafted and reviewed</t>
        </is>
      </c>
      <c r="E96" s="27" t="n">
        <v>3</v>
      </c>
      <c r="F96" s="27" t="inlineStr">
        <is>
          <t>P0</t>
        </is>
      </c>
      <c r="G96" s="27" t="inlineStr">
        <is>
          <t>S9</t>
        </is>
      </c>
      <c r="H96" s="27" t="inlineStr">
        <is>
          <t>—</t>
        </is>
      </c>
      <c r="I96" s="27" t="inlineStr">
        <is>
          <t>E2E test + demo</t>
        </is>
      </c>
      <c r="J96" s="33" t="inlineStr">
        <is>
          <t>Drafted</t>
        </is>
      </c>
      <c r="K96" s="33" t="inlineStr">
        <is>
          <t>docs/LISTING_COPY.md variants A (CRM-hygiene) + B (rep-time) — Senthil review to pick.</t>
        </is>
      </c>
      <c r="L96" s="45" t="inlineStr">
        <is>
          <t>PARTIAL</t>
        </is>
      </c>
      <c r="M96" s="26" t="inlineStr">
        <is>
          <t>A/B copy drafted; awaiting your pick</t>
        </is>
      </c>
    </row>
    <row r="97" ht="15" customHeight="1" s="20">
      <c r="A97" s="27" t="inlineStr">
        <is>
          <t>ST-094</t>
        </is>
      </c>
      <c r="B97" s="27" t="inlineStr">
        <is>
          <t>EL</t>
        </is>
      </c>
      <c r="C97" s="27" t="inlineStr">
        <is>
          <t>Listing &amp; GTM</t>
        </is>
      </c>
      <c r="D97" s="27" t="inlineStr">
        <is>
          <t>5 screenshots + 2-min demo video meet platform asset specs</t>
        </is>
      </c>
      <c r="E97" s="27" t="n">
        <v>5</v>
      </c>
      <c r="F97" s="27" t="inlineStr">
        <is>
          <t>P0</t>
        </is>
      </c>
      <c r="G97" s="27" t="inlineStr">
        <is>
          <t>S9</t>
        </is>
      </c>
      <c r="H97" s="27" t="inlineStr">
        <is>
          <t>—</t>
        </is>
      </c>
      <c r="I97" s="27" t="inlineStr">
        <is>
          <t>E2E test + demo</t>
        </is>
      </c>
      <c r="J97" s="33" t="inlineStr">
        <is>
          <t>Backlog</t>
        </is>
      </c>
      <c r="K97" s="33" t="n"/>
      <c r="L97" s="32" t="inlineStr">
        <is>
          <t>NOT REACHABLE</t>
        </is>
      </c>
      <c r="M97" s="26" t="inlineStr">
        <is>
          <t>backlog: no screenshots or video captured</t>
        </is>
      </c>
    </row>
    <row r="98" ht="15" customHeight="1" s="20">
      <c r="A98" s="27" t="inlineStr">
        <is>
          <t>ST-095</t>
        </is>
      </c>
      <c r="B98" s="27" t="inlineStr">
        <is>
          <t>EL</t>
        </is>
      </c>
      <c r="C98" s="27" t="inlineStr">
        <is>
          <t>Listing &amp; GTM</t>
        </is>
      </c>
      <c r="D98" s="27" t="inlineStr">
        <is>
          <t>Pricing page/plan matrix published with FAQ</t>
        </is>
      </c>
      <c r="E98" s="27" t="n">
        <v>3</v>
      </c>
      <c r="F98" s="27" t="inlineStr">
        <is>
          <t>P0</t>
        </is>
      </c>
      <c r="G98" s="27" t="inlineStr">
        <is>
          <t>S10</t>
        </is>
      </c>
      <c r="H98" s="27" t="inlineStr">
        <is>
          <t>—</t>
        </is>
      </c>
      <c r="I98" s="27" t="inlineStr">
        <is>
          <t>E2E test + demo</t>
        </is>
      </c>
      <c r="J98" s="33" t="inlineStr">
        <is>
          <t>Code-complete (pending live)</t>
        </is>
      </c>
      <c r="K98" s="33" t="inlineStr">
        <is>
          <t>/pricing endpoint serves THE SAME PLANS object billing enforces (drift impossible); full matrix + FAQ draft docs/PRICING_PAGE.md. Marketing-site publish = Senthil.</t>
        </is>
      </c>
      <c r="L98" s="34" t="inlineStr">
        <is>
          <t>REACHABLE</t>
        </is>
      </c>
      <c r="M98" s="26" t="inlineStr">
        <is>
          <t>GET /pricing, served from the same PLANS the billing engine enforces</t>
        </is>
      </c>
    </row>
    <row r="99" ht="15" customHeight="1" s="20">
      <c r="A99" s="27" t="inlineStr">
        <is>
          <t>ST-096</t>
        </is>
      </c>
      <c r="B99" s="27" t="inlineStr">
        <is>
          <t>EL</t>
        </is>
      </c>
      <c r="C99" s="27" t="inlineStr">
        <is>
          <t>Listing &amp; GTM</t>
        </is>
      </c>
      <c r="D99" s="27" t="inlineStr">
        <is>
          <t>Security/trust page (data handling, subprocessors) live</t>
        </is>
      </c>
      <c r="E99" s="27" t="n">
        <v>3</v>
      </c>
      <c r="F99" s="27" t="inlineStr">
        <is>
          <t>P0</t>
        </is>
      </c>
      <c r="G99" s="27" t="inlineStr">
        <is>
          <t>S10</t>
        </is>
      </c>
      <c r="H99" s="27" t="inlineStr">
        <is>
          <t>—</t>
        </is>
      </c>
      <c r="I99" s="27" t="inlineStr">
        <is>
          <t>E2E test + demo</t>
        </is>
      </c>
      <c r="J99" s="33" t="inlineStr">
        <is>
          <t>Code-complete (pending live)</t>
        </is>
      </c>
      <c r="K99" s="33" t="inlineStr">
        <is>
          <t>Trust page drafted: data handling (webhook guards, field-level audit, wipe/purge/delete-my-data), scope map link, subprocessor list, regional deployment. docs/TRUST_PAGE.md. Publish = Senthil.</t>
        </is>
      </c>
      <c r="L99" s="34" t="inlineStr">
        <is>
          <t>REACHABLE</t>
        </is>
      </c>
      <c r="M99" s="26" t="inlineStr">
        <is>
          <t>v038: served at GET /trust from the same config the product enforces</t>
        </is>
      </c>
    </row>
    <row r="100" ht="15" customHeight="1" s="20">
      <c r="A100" s="27" t="inlineStr">
        <is>
          <t>ST-097</t>
        </is>
      </c>
      <c r="B100" s="27" t="inlineStr">
        <is>
          <t>EL</t>
        </is>
      </c>
      <c r="C100" s="27" t="inlineStr">
        <is>
          <t>Listing &amp; GTM</t>
        </is>
      </c>
      <c r="D100" s="27" t="inlineStr">
        <is>
          <t>Submission dry-run against platform checklist by second reviewer</t>
        </is>
      </c>
      <c r="E100" s="27" t="n">
        <v>3</v>
      </c>
      <c r="F100" s="27" t="inlineStr">
        <is>
          <t>P0</t>
        </is>
      </c>
      <c r="G100" s="27" t="inlineStr">
        <is>
          <t>S10</t>
        </is>
      </c>
      <c r="H100" s="27" t="inlineStr">
        <is>
          <t>—</t>
        </is>
      </c>
      <c r="I100" s="27" t="inlineStr">
        <is>
          <t>E2E test + demo</t>
        </is>
      </c>
      <c r="J100" s="33" t="inlineStr">
        <is>
          <t>Backlog</t>
        </is>
      </c>
      <c r="K100" s="33" t="n"/>
      <c r="L100" s="32" t="inlineStr">
        <is>
          <t>NOT REACHABLE</t>
        </is>
      </c>
      <c r="M100" s="26" t="inlineStr">
        <is>
          <t>backlog: needs a second reviewer (Handover)</t>
        </is>
      </c>
    </row>
    <row r="101" ht="15" customHeight="1" s="20">
      <c r="A101" s="27" t="inlineStr">
        <is>
          <t>ST-098</t>
        </is>
      </c>
      <c r="B101" s="27" t="inlineStr">
        <is>
          <t>EL</t>
        </is>
      </c>
      <c r="C101" s="27" t="inlineStr">
        <is>
          <t>Listing &amp; GTM</t>
        </is>
      </c>
      <c r="D101" s="27" t="inlineStr">
        <is>
          <t>Launch-day runbook: monitoring, rollback, comms tree</t>
        </is>
      </c>
      <c r="E101" s="27" t="n">
        <v>3</v>
      </c>
      <c r="F101" s="27" t="inlineStr">
        <is>
          <t>P1</t>
        </is>
      </c>
      <c r="G101" s="27" t="inlineStr">
        <is>
          <t>S11</t>
        </is>
      </c>
      <c r="H101" s="27" t="inlineStr">
        <is>
          <t>—</t>
        </is>
      </c>
      <c r="I101" s="27" t="inlineStr">
        <is>
          <t>Integration test + manual QA</t>
        </is>
      </c>
      <c r="J101" s="33" t="inlineStr">
        <is>
          <t>Done-in-code</t>
        </is>
      </c>
      <c r="K101" s="33" t="inlineStr">
        <is>
          <t>docs/RUNBOOK.md v1.0 FINAL: monitoring table (healthz/status/errorSpike/funnel/webhook/billing), &lt;2-min blue/green rollback + lossless-by-design properties (replay-guard, dedupe, queued writebacks), Zoom-outage no-rollback path, comms tree, T-1d..T+7d sequence. Live drills [LIVE]-tagged.</t>
        </is>
      </c>
      <c r="L101" s="34" t="inlineStr">
        <is>
          <t>REACHABLE</t>
        </is>
      </c>
      <c r="M101" s="26" t="inlineStr">
        <is>
          <t>docs/RUNBOOK.md, extended with the retention-sweep and startup procedures</t>
        </is>
      </c>
    </row>
    <row r="102" ht="15" customHeight="1" s="20">
      <c r="A102" s="27" t="inlineStr">
        <is>
          <t>ST-099</t>
        </is>
      </c>
      <c r="B102" s="27" t="inlineStr">
        <is>
          <t>EL</t>
        </is>
      </c>
      <c r="C102" s="27" t="inlineStr">
        <is>
          <t>Listing &amp; GTM</t>
        </is>
      </c>
      <c r="D102" s="27" t="inlineStr">
        <is>
          <t>Post-launch listing SEO iteration 1 from search-term data</t>
        </is>
      </c>
      <c r="E102" s="27" t="n">
        <v>2</v>
      </c>
      <c r="F102" s="27" t="inlineStr">
        <is>
          <t>P2</t>
        </is>
      </c>
      <c r="G102" s="27" t="inlineStr">
        <is>
          <t>S12</t>
        </is>
      </c>
      <c r="H102" s="27" t="inlineStr">
        <is>
          <t>—</t>
        </is>
      </c>
      <c r="I102" s="27" t="inlineStr">
        <is>
          <t>Manual QA</t>
        </is>
      </c>
      <c r="J102" s="33" t="inlineStr">
        <is>
          <t>Backlog</t>
        </is>
      </c>
      <c r="K102" s="33" t="inlineStr">
        <is>
          <t>Story stays Backlog HONESTLY (post-launch iteration from real search data). Groundwork SHIPPED: help-search term capture (normalized, ranked, alphabetical tie-break) at /analytics/search-terms — data available from day 1. telemetry.ts + s10.test.ts.</t>
        </is>
      </c>
      <c r="L102" s="45" t="inlineStr">
        <is>
          <t>PARTIAL</t>
        </is>
      </c>
      <c r="M102" s="26" t="inlineStr">
        <is>
          <t>search-term capture and GET /analytics/search-terms ship; the iteration needs post-listing data</t>
        </is>
      </c>
    </row>
    <row r="103" ht="15" customHeight="1" s="20">
      <c r="A103" s="27" t="inlineStr">
        <is>
          <t>ST-100</t>
        </is>
      </c>
      <c r="B103" s="27" t="inlineStr">
        <is>
          <t>EL</t>
        </is>
      </c>
      <c r="C103" s="27" t="inlineStr">
        <is>
          <t>Listing &amp; GTM</t>
        </is>
      </c>
      <c r="D103" s="27" t="inlineStr">
        <is>
          <t>First 10 design-partner reviews scheduled</t>
        </is>
      </c>
      <c r="E103" s="27" t="n">
        <v>2</v>
      </c>
      <c r="F103" s="27" t="inlineStr">
        <is>
          <t>P1</t>
        </is>
      </c>
      <c r="G103" s="27" t="inlineStr">
        <is>
          <t>S11</t>
        </is>
      </c>
      <c r="H103" s="27" t="inlineStr">
        <is>
          <t>—</t>
        </is>
      </c>
      <c r="I103" s="27" t="inlineStr">
        <is>
          <t>Integration test + manual QA</t>
        </is>
      </c>
      <c r="J103" s="33" t="inlineStr">
        <is>
          <t>Backlog</t>
        </is>
      </c>
      <c r="K103" s="33" t="n"/>
      <c r="L103" s="32" t="inlineStr">
        <is>
          <t>NOT REACHABLE</t>
        </is>
      </c>
      <c r="M103" s="26" t="inlineStr">
        <is>
          <t>backlog: design-partner outreach is yours to send</t>
        </is>
      </c>
    </row>
    <row r="104">
      <c r="A104" s="27" t="inlineStr">
        <is>
          <t>ST-101</t>
        </is>
      </c>
      <c r="B104" s="27" t="inlineStr">
        <is>
          <t>S13</t>
        </is>
      </c>
      <c r="C104" s="27" t="inlineStr">
        <is>
          <t>Identity</t>
        </is>
      </c>
      <c r="D104" s="27" t="inlineStr">
        <is>
          <t>Derive tenant identity from Zoom, not the caller (PR-01)</t>
        </is>
      </c>
      <c r="E104" s="27" t="n">
        <v>8</v>
      </c>
      <c r="F104" s="27" t="inlineStr">
        <is>
          <t>P0</t>
        </is>
      </c>
      <c r="G104" s="27" t="inlineStr">
        <is>
          <t>S13</t>
        </is>
      </c>
      <c r="H104" s="27" t="inlineStr">
        <is>
          <t>OAuth callback</t>
        </is>
      </c>
      <c r="I104" s="27" t="inlineStr">
        <is>
          <t>Regression test</t>
        </is>
      </c>
      <c r="J104" s="33" t="inlineStr">
        <is>
          <t>Done-in-code</t>
        </is>
      </c>
      <c r="K104" s="33" t="inlineStr">
        <is>
          <t>src/identity.ts fetchZoomIdentity + assertTenantMatches; app.ts callback; installAccount re-checks. Pinned: s13.test.ts "refuses a state whose account differs…" (403, audit row, no account row, no session) + "cannot repoint a live workspace"; identity.test.ts.</t>
        </is>
      </c>
      <c r="L104" s="34" t="inlineStr">
        <is>
          <t>REACHABLE</t>
        </is>
      </c>
      <c r="M104" s="26" t="inlineStr">
        <is>
          <t>GET /oauth/callback — tenant = Zoom /users/me account_id; query account_id is a hint</t>
        </is>
      </c>
    </row>
    <row r="105">
      <c r="A105" s="27" t="inlineStr">
        <is>
          <t>ST-102</t>
        </is>
      </c>
      <c r="B105" s="27" t="inlineStr">
        <is>
          <t>S13</t>
        </is>
      </c>
      <c r="C105" s="27" t="inlineStr">
        <is>
          <t>Identity</t>
        </is>
      </c>
      <c r="D105" s="27" t="inlineStr">
        <is>
          <t>Real user identity in the session (PR-08)</t>
        </is>
      </c>
      <c r="E105" s="27" t="n">
        <v>5</v>
      </c>
      <c r="F105" s="27" t="inlineStr">
        <is>
          <t>P0</t>
        </is>
      </c>
      <c r="G105" s="27" t="inlineStr">
        <is>
          <t>S13</t>
        </is>
      </c>
      <c r="H105" s="27" t="inlineStr">
        <is>
          <t>OAuth callback / GET /session/me</t>
        </is>
      </c>
      <c r="I105" s="27" t="inlineStr">
        <is>
          <t>Regression test</t>
        </is>
      </c>
      <c r="J105" s="33" t="inlineStr">
        <is>
          <t>Done-in-code</t>
        </is>
      </c>
      <c r="K105" s="33" t="inlineStr">
        <is>
          <t>Session carries Zoom user id, email, role (owner/admin/member from role_id/role_name); owner@&lt;account&gt; synthesis deleted; accounts.installed_by_* + contact_email columns. Pinned: s13.test.ts "mints owner/admin/member from Zoom's role, and two users produce two audit identities".</t>
        </is>
      </c>
      <c r="L105" s="34" t="inlineStr">
        <is>
          <t>REACHABLE</t>
        </is>
      </c>
      <c r="M105" s="26" t="inlineStr">
        <is>
          <t>GET /session/me; every audit row names a Zoom user</t>
        </is>
      </c>
    </row>
    <row r="106">
      <c r="A106" s="27" t="inlineStr">
        <is>
          <t>ST-103</t>
        </is>
      </c>
      <c r="B106" s="27" t="inlineStr">
        <is>
          <t>S13</t>
        </is>
      </c>
      <c r="C106" s="27" t="inlineStr">
        <is>
          <t>Sessions</t>
        </is>
      </c>
      <c r="D106" s="27" t="inlineStr">
        <is>
          <t>Session lifecycle: revocation, 60-min TTL, secure delivery (PR-10)</t>
        </is>
      </c>
      <c r="E106" s="27" t="n">
        <v>5</v>
      </c>
      <c r="F106" s="27" t="inlineStr">
        <is>
          <t>P0</t>
        </is>
      </c>
      <c r="G106" s="27" t="inlineStr">
        <is>
          <t>S13</t>
        </is>
      </c>
      <c r="H106" s="27" t="inlineStr">
        <is>
          <t>POST /session/refresh|revoke|revoke-all</t>
        </is>
      </c>
      <c r="I106" s="27" t="inlineStr">
        <is>
          <t>Regression test</t>
        </is>
      </c>
      <c r="J106" s="33" t="inlineStr">
        <is>
          <t>Done-in-code</t>
        </is>
      </c>
      <c r="K106" s="33" t="inlineStr">
        <is>
          <t>auth.ts SessionManager (jti, deny list, per-account watermark); sessionStore.ts + PostgresSessionStore (contract suite x2); HttpOnly/Secure/SameSite=None cookie on install; uninstall + delete-my-data revoke all; App.tsx refresh timer. Pinned: s13.test.ts ST-103 block; storeContract SessionStore.</t>
        </is>
      </c>
      <c r="L106" s="34" t="inlineStr">
        <is>
          <t>REACHABLE</t>
        </is>
      </c>
      <c r="M106" s="26" t="inlineStr">
        <is>
          <t>POST /session/refresh, /session/revoke, /session/revoke-all; cookie ms_session</t>
        </is>
      </c>
    </row>
    <row r="107">
      <c r="A107" s="27" t="inlineStr">
        <is>
          <t>ST-104</t>
        </is>
      </c>
      <c r="B107" s="27" t="inlineStr">
        <is>
          <t>S13</t>
        </is>
      </c>
      <c r="C107" s="27" t="inlineStr">
        <is>
          <t>HTTP hardening</t>
        </is>
      </c>
      <c r="D107" s="27" t="inlineStr">
        <is>
          <t>Security headers, CORS allowlist, body limit, rate limits (PR-10)</t>
        </is>
      </c>
      <c r="E107" s="27" t="n">
        <v>3</v>
      </c>
      <c r="F107" s="27" t="inlineStr">
        <is>
          <t>P0</t>
        </is>
      </c>
      <c r="G107" s="27" t="inlineStr">
        <is>
          <t>S13</t>
        </is>
      </c>
      <c r="H107" s="27" t="inlineStr">
        <is>
          <t>all routes</t>
        </is>
      </c>
      <c r="I107" s="27" t="inlineStr">
        <is>
          <t>Regression test</t>
        </is>
      </c>
      <c r="J107" s="33" t="inlineStr">
        <is>
          <t>Done-in-code</t>
        </is>
      </c>
      <c r="K107" s="33" t="inlineStr">
        <is>
          <t>src/hardening.ts (CSP with Zoom frame-ancestors, HSTS, nosniff; explicit CORS; 256kb; token-bucket per IP/account/operator); rejections counted at GET /analytics/rate-limits; 413/400 from body parser. Pinned: s13.test.ts ST-104 block (429, 413, CORS refusal).</t>
        </is>
      </c>
      <c r="L107" s="34" t="inlineStr">
        <is>
          <t>REACHABLE</t>
        </is>
      </c>
      <c r="M107" s="26" t="inlineStr">
        <is>
          <t>middleware on every route; MEETSYNC_CORS_ORIGINS, MEETSYNC_RATE_LIMIT_PER_MIN</t>
        </is>
      </c>
    </row>
    <row r="108">
      <c r="A108" s="27" t="inlineStr">
        <is>
          <t>ST-105</t>
        </is>
      </c>
      <c r="B108" s="27" t="inlineStr">
        <is>
          <t>S13</t>
        </is>
      </c>
      <c r="C108" s="27" t="inlineStr">
        <is>
          <t>Operator surface</t>
        </is>
      </c>
      <c r="D108" s="27" t="inlineStr">
        <is>
          <t>Operator routes on their own router; rotatable credential</t>
        </is>
      </c>
      <c r="E108" s="27" t="n">
        <v>3</v>
      </c>
      <c r="F108" s="27" t="inlineStr">
        <is>
          <t>P1</t>
        </is>
      </c>
      <c r="G108" s="27" t="inlineStr">
        <is>
          <t>S13</t>
        </is>
      </c>
      <c r="H108" s="27" t="inlineStr">
        <is>
          <t>/admin/*, /analytics/*</t>
        </is>
      </c>
      <c r="I108" s="27" t="inlineStr">
        <is>
          <t>Regression test</t>
        </is>
      </c>
      <c r="J108" s="33" t="inlineStr">
        <is>
          <t>Done-in-code</t>
        </is>
      </c>
      <c r="K108" s="33" t="inlineStr">
        <is>
          <t>src/operator.ts OperatorCredential (constant-time, rotate with 15-min grace); ops Router with own limiter; POST /admin/operator-token. Pinned: s13.test.ts "rejects a valid customer session… on every operator route", rotation grace window.</t>
        </is>
      </c>
      <c r="L108" s="34" t="inlineStr">
        <is>
          <t>REACHABLE</t>
        </is>
      </c>
      <c r="M108" s="26" t="inlineStr">
        <is>
          <t>POST /admin/operator-token; GET /analytics/rate-limits</t>
        </is>
      </c>
    </row>
    <row r="109">
      <c r="A109" s="27" t="inlineStr">
        <is>
          <t>ST-106</t>
        </is>
      </c>
      <c r="B109" s="27" t="inlineStr">
        <is>
          <t>S13</t>
        </is>
      </c>
      <c r="C109" s="27" t="inlineStr">
        <is>
          <t>Deletion</t>
        </is>
      </c>
      <c r="D109" s="27" t="inlineStr">
        <is>
          <t>One purge-target list (PR-06)</t>
        </is>
      </c>
      <c r="E109" s="27" t="n">
        <v>3</v>
      </c>
      <c r="F109" s="27" t="inlineStr">
        <is>
          <t>P0</t>
        </is>
      </c>
      <c r="G109" s="27" t="inlineStr">
        <is>
          <t>S13</t>
        </is>
      </c>
      <c r="H109" s="27" t="inlineStr">
        <is>
          <t>delete-my-data + scheduler</t>
        </is>
      </c>
      <c r="I109" s="27" t="inlineStr">
        <is>
          <t>Regression test</t>
        </is>
      </c>
      <c r="J109" s="33" t="inlineStr">
        <is>
          <t>Done-in-code</t>
        </is>
      </c>
      <c r="K109" s="33" t="inlineStr">
        <is>
          <t>src/purge.ts buildPurgeTargets consumed by app.ts AND server.ts; sessions, ingestor, notes, insights included whenever present. Pinned: s13.test.ts "the route and the scheduler build the same list…" + "delete-my-data clears meeting insights".</t>
        </is>
      </c>
      <c r="L109" s="34" t="inlineStr">
        <is>
          <t>REACHABLE</t>
        </is>
      </c>
      <c r="M109" s="26" t="inlineStr">
        <is>
          <t>POST /orgs/:id/delete-my-data; hourly sweep</t>
        </is>
      </c>
    </row>
    <row r="110">
      <c r="A110" s="27" t="inlineStr">
        <is>
          <t>ST-107</t>
        </is>
      </c>
      <c r="B110" s="27" t="inlineStr">
        <is>
          <t>S13</t>
        </is>
      </c>
      <c r="C110" s="27" t="inlineStr">
        <is>
          <t>Trust claims</t>
        </is>
      </c>
      <c r="D110" s="27" t="inlineStr">
        <is>
          <t>Claim-to-code gate (PR-07)</t>
        </is>
      </c>
      <c r="E110" s="27" t="n">
        <v>5</v>
      </c>
      <c r="F110" s="27" t="inlineStr">
        <is>
          <t>P0</t>
        </is>
      </c>
      <c r="G110" s="27" t="inlineStr">
        <is>
          <t>S13</t>
        </is>
      </c>
      <c r="H110" s="27" t="inlineStr">
        <is>
          <t>GET /trust</t>
        </is>
      </c>
      <c r="I110" s="27" t="inlineStr">
        <is>
          <t>Build gate</t>
        </is>
      </c>
      <c r="J110" s="33" t="inlineStr">
        <is>
          <t>Done-in-code</t>
        </is>
      </c>
      <c r="K110" s="33" t="inlineStr">
        <is>
          <t>src/claims.ts is the single source; docs/TRUST_PAGE.md rewritten (real subprocessors, 4 granular scopes, "Not yet" section); test/claims.test.ts asserts doc↔code↔config, refuses PostHog/Sentry/Stripe/SOC2/SSO/residency claims; also gates PRICING_PAGE banner and LISTING_COPY hold. Price-matrix extension of the gate lands with ST-136.</t>
        </is>
      </c>
      <c r="L110" s="34" t="inlineStr">
        <is>
          <t>REACHABLE</t>
        </is>
      </c>
      <c r="M110" s="26" t="inlineStr">
        <is>
          <t>GET /trust served from trustPayload(cfg)</t>
        </is>
      </c>
    </row>
    <row r="111">
      <c r="A111" s="27" t="inlineStr">
        <is>
          <t>ST-108</t>
        </is>
      </c>
      <c r="B111" s="27" t="inlineStr">
        <is>
          <t>S13</t>
        </is>
      </c>
      <c r="C111" s="27" t="inlineStr">
        <is>
          <t>Security docs</t>
        </is>
      </c>
      <c r="D111" s="27" t="inlineStr">
        <is>
          <t>Threat model + abuse cases document</t>
        </is>
      </c>
      <c r="E111" s="27" t="n">
        <v>2</v>
      </c>
      <c r="F111" s="27" t="inlineStr">
        <is>
          <t>P1</t>
        </is>
      </c>
      <c r="G111" s="27" t="inlineStr">
        <is>
          <t>S13</t>
        </is>
      </c>
      <c r="H111" s="27" t="inlineStr">
        <is>
          <t>docs</t>
        </is>
      </c>
      <c r="I111" s="27" t="inlineStr">
        <is>
          <t>Doc review</t>
        </is>
      </c>
      <c r="J111" s="33" t="inlineStr">
        <is>
          <t>Done</t>
        </is>
      </c>
      <c r="K111" s="33" t="inlineStr">
        <is>
          <t>docs/THREAT_MODEL.md: trust boundaries, the rule ("tenant identity always comes from the platform"), AC-1…AC-6 incl. PR-01 as permanent abuse case, what an owner session reaches, four standing rules.</t>
        </is>
      </c>
      <c r="L111" s="34" t="inlineStr">
        <is>
          <t>REACHABLE</t>
        </is>
      </c>
      <c r="M111" s="26" t="inlineStr">
        <is>
          <t>docs/THREAT_MODEL.md</t>
        </is>
      </c>
    </row>
    <row r="112">
      <c r="A112" s="27" t="inlineStr">
        <is>
          <t>ST-109</t>
        </is>
      </c>
      <c r="B112" s="27" t="inlineStr">
        <is>
          <t>S14</t>
        </is>
      </c>
      <c r="C112" s="27" t="inlineStr">
        <is>
          <t>Web client</t>
        </is>
      </c>
      <c r="D112" s="27" t="inlineStr">
        <is>
          <t>Full typed API client (PR-03)</t>
        </is>
      </c>
      <c r="E112" s="27" t="n">
        <v>5</v>
      </c>
      <c r="F112" s="27" t="inlineStr">
        <is>
          <t>P0</t>
        </is>
      </c>
      <c r="G112" s="27" t="inlineStr">
        <is>
          <t>S14</t>
        </is>
      </c>
      <c r="H112" s="27" t="inlineStr">
        <is>
          <t>web/api.ts</t>
        </is>
      </c>
      <c r="I112" s="27" t="inlineStr">
        <is>
          <t>Gate + RTL</t>
        </is>
      </c>
      <c r="J112" s="33" t="inlineStr">
        <is>
          <t>Done-in-code</t>
        </is>
      </c>
      <c r="K112" s="33" t="inlineStr">
        <is>
          <t>web/api.ts covers all 48 client-callable routes with typed responses; ApiError carries status+code+retry; userFacingError maps every status to copy. Pinned: panels.test.tsx "covers every product route with a typed method".</t>
        </is>
      </c>
      <c r="L112" s="34" t="inlineStr">
        <is>
          <t>REACHABLE</t>
        </is>
      </c>
      <c r="M112" s="26" t="inlineStr">
        <is>
          <t>every product route has a method; enforced by ST-110 gate</t>
        </is>
      </c>
    </row>
    <row r="113">
      <c r="A113" s="27" t="inlineStr">
        <is>
          <t>ST-110</t>
        </is>
      </c>
      <c r="B113" s="27" t="inlineStr">
        <is>
          <t>S14</t>
        </is>
      </c>
      <c r="C113" s="27" t="inlineStr">
        <is>
          <t>Quality gate</t>
        </is>
      </c>
      <c r="D113" s="27" t="inlineStr">
        <is>
          <t>Client-reachability gate (route→client)</t>
        </is>
      </c>
      <c r="E113" s="27" t="n">
        <v>5</v>
      </c>
      <c r="F113" s="27" t="inlineStr">
        <is>
          <t>P0</t>
        </is>
      </c>
      <c r="G113" s="27" t="inlineStr">
        <is>
          <t>S14</t>
        </is>
      </c>
      <c r="H113" s="27" t="inlineStr">
        <is>
          <t>tools/reachability/routes.ts</t>
        </is>
      </c>
      <c r="I113" s="27" t="inlineStr">
        <is>
          <t>Build gate</t>
        </is>
      </c>
      <c r="J113" s="33" t="inlineStr">
        <is>
          <t>Done</t>
        </is>
      </c>
      <c r="K113" s="33" t="inlineStr">
        <is>
          <t>Product-agnostic; every route in app.ts must be referenced by web/api.ts or excused with a reason in test/client-reachability-allowlist.json (21 excused: webhook, OAuth, operator). test/clientReachability.test.ts fails the build otherwise. Portable to siblings (Handover #28/#33).</t>
        </is>
      </c>
      <c r="L113" s="34" t="inlineStr">
        <is>
          <t>REACHABLE</t>
        </is>
      </c>
      <c r="M113" s="26" t="inlineStr">
        <is>
          <t>CI: npx jest test/clientReachability.test.ts</t>
        </is>
      </c>
    </row>
    <row r="114">
      <c r="A114" s="27" t="inlineStr">
        <is>
          <t>ST-111</t>
        </is>
      </c>
      <c r="B114" s="27" t="inlineStr">
        <is>
          <t>S14</t>
        </is>
      </c>
      <c r="C114" s="27" t="inlineStr">
        <is>
          <t>Product loop</t>
        </is>
      </c>
      <c r="D114" s="27" t="inlineStr">
        <is>
          <t>Automatic meeting → CRM pipeline with review_required default (PR-04)</t>
        </is>
      </c>
      <c r="E114" s="27" t="n">
        <v>8</v>
      </c>
      <c r="F114" s="27" t="inlineStr">
        <is>
          <t>P0</t>
        </is>
      </c>
      <c r="G114" s="27" t="inlineStr">
        <is>
          <t>S14</t>
        </is>
      </c>
      <c r="H114" s="27" t="inlineStr">
        <is>
          <t>webhook → review screen</t>
        </is>
      </c>
      <c r="I114" s="27" t="inlineStr">
        <is>
          <t>Regression test</t>
        </is>
      </c>
      <c r="J114" s="33" t="inlineStr">
        <is>
          <t>Done-in-code</t>
        </is>
      </c>
      <c r="K114" s="33" t="inlineStr">
        <is>
          <t>transcripts.ts stage(): CRM adapter + mapping + feature enabled → pending_review (default) or queued; derivedFields; exactly one job per meeting under redelivery; approve/reject idempotent; POST /crm/review-mode. Pinned: s14.test.ts ST-111 block; server.test.ts "auto-approved ingest through the real graph"; test needs live Zoom for the webhook half (PENDING LIVE for S9-01).</t>
        </is>
      </c>
      <c r="L114" s="34" t="inlineStr">
        <is>
          <t>REACHABLE</t>
        </is>
      </c>
      <c r="M114" s="26" t="inlineStr">
        <is>
          <t>POST /webhooks/zoom → GET /meetings/:id/review → POST /meetings/:id/approve|reject</t>
        </is>
      </c>
    </row>
    <row r="115">
      <c r="A115" s="27" t="inlineStr">
        <is>
          <t>ST-112</t>
        </is>
      </c>
      <c r="B115" s="27" t="inlineStr">
        <is>
          <t>S14</t>
        </is>
      </c>
      <c r="C115" s="27" t="inlineStr">
        <is>
          <t>Persistence</t>
        </is>
      </c>
      <c r="D115" s="27" t="inlineStr">
        <is>
          <t>Durable notes and insights (PR-13)</t>
        </is>
      </c>
      <c r="E115" s="27" t="n">
        <v>5</v>
      </c>
      <c r="F115" s="27" t="inlineStr">
        <is>
          <t>P1</t>
        </is>
      </c>
      <c r="G115" s="27" t="inlineStr">
        <is>
          <t>S14</t>
        </is>
      </c>
      <c r="H115" s="27" t="inlineStr">
        <is>
          <t>store layer</t>
        </is>
      </c>
      <c r="I115" s="27" t="inlineStr">
        <is>
          <t>Contract suite x2</t>
        </is>
      </c>
      <c r="J115" s="33" t="inlineStr">
        <is>
          <t>Done-in-code</t>
        </is>
      </c>
      <c r="K115" s="33" t="inlineStr">
        <is>
          <t>notesStore.ts + insightStore.ts (in-memory) and PostgresNotesStore/PostgresInsightStore (notes_sessions, note_entries, meeting_insights); NotesService fully async; purge wired; docs/PERSISTENCE.md updated. Pinned: storeContract.test.ts NotesStore/InsightStore blocks (each case runs twice).</t>
        </is>
      </c>
      <c r="L115" s="34" t="inlineStr">
        <is>
          <t>REACHABLE</t>
        </is>
      </c>
      <c r="M115" s="26" t="inlineStr">
        <is>
          <t>every notes route and insights route reads the store</t>
        </is>
      </c>
    </row>
    <row r="116">
      <c r="A116" s="27" t="inlineStr">
        <is>
          <t>ST-113</t>
        </is>
      </c>
      <c r="B116" s="27" t="inlineStr">
        <is>
          <t>S14</t>
        </is>
      </c>
      <c r="C116" s="27" t="inlineStr">
        <is>
          <t>Web client</t>
        </is>
      </c>
      <c r="D116" s="27" t="inlineStr">
        <is>
          <t>Wire all five panels to the API with optimistic update + rollback (PR-03)</t>
        </is>
      </c>
      <c r="E116" s="27" t="n">
        <v>5</v>
      </c>
      <c r="F116" s="27" t="inlineStr">
        <is>
          <t>P0</t>
        </is>
      </c>
      <c r="G116" s="27" t="inlineStr">
        <is>
          <t>S14</t>
        </is>
      </c>
      <c r="H116" s="27" t="inlineStr">
        <is>
          <t>all panels</t>
        </is>
      </c>
      <c r="I116" s="27" t="inlineStr">
        <is>
          <t>RTL vs fake server</t>
        </is>
      </c>
      <c r="J116" s="33" t="inlineStr">
        <is>
          <t>Done-in-code</t>
        </is>
      </c>
      <c r="K116" s="33" t="inlineStr">
        <is>
          <t>NotesPanel/ActionsPanel/CrmPanel/DealRiskPanel/IndicSettings read+write through Api; loading/empty/error/degraded states from one copy source (userFacingError + EMPTY_STATES); rollback on refusal. RTL suite drives web/fakeServer.ts, not props. Live UI in the Zoom client still PENDING LIVE (Handover #2).</t>
        </is>
      </c>
      <c r="L116" s="34" t="inlineStr">
        <is>
          <t>REACHABLE</t>
        </is>
      </c>
      <c r="M116" s="26" t="inlineStr">
        <is>
          <t>App.tsx passes api + meetingId; verified by panels.test.tsx + a11y.test.tsx</t>
        </is>
      </c>
    </row>
    <row r="117">
      <c r="A117" s="27" t="inlineStr">
        <is>
          <t>ST-114</t>
        </is>
      </c>
      <c r="B117" s="27" t="inlineStr">
        <is>
          <t>S14</t>
        </is>
      </c>
      <c r="C117" s="27" t="inlineStr">
        <is>
          <t>Web client</t>
        </is>
      </c>
      <c r="D117" s="27" t="inlineStr">
        <is>
          <t>Meeting review screen with explicit Approve → writeback</t>
        </is>
      </c>
      <c r="E117" s="27" t="n">
        <v>3</v>
      </c>
      <c r="F117" s="27" t="inlineStr">
        <is>
          <t>P0</t>
        </is>
      </c>
      <c r="G117" s="27" t="inlineStr">
        <is>
          <t>S14</t>
        </is>
      </c>
      <c r="H117" s="27" t="inlineStr">
        <is>
          <t>Review tab</t>
        </is>
      </c>
      <c r="I117" s="27" t="inlineStr">
        <is>
          <t>RTL + a11y</t>
        </is>
      </c>
      <c r="J117" s="33" t="inlineStr">
        <is>
          <t>Done-in-code</t>
        </is>
      </c>
      <c r="K117" s="33" t="inlineStr">
        <is>
          <t>web/ReviewScreen.tsx: actions, signals with evidence line, notes, the exact CRM fields with mapped yes/no, Approve/Reject; GET /meetings/:id/review one-request endpoint. A11Y-05 table semantics pinned. This is the screen the demo video (ST-149) is recorded on.</t>
        </is>
      </c>
      <c r="L117" s="34" t="inlineStr">
        <is>
          <t>REACHABLE</t>
        </is>
      </c>
      <c r="M117" s="26" t="inlineStr">
        <is>
          <t>Review tab in App.tsx; GET /meetings/:meetingId/review</t>
        </is>
      </c>
    </row>
    <row r="118">
      <c r="A118" s="27" t="inlineStr">
        <is>
          <t>ST-115</t>
        </is>
      </c>
      <c r="B118" s="27" t="inlineStr">
        <is>
          <t>S14</t>
        </is>
      </c>
      <c r="C118" s="27" t="inlineStr">
        <is>
          <t>Notifications</t>
        </is>
      </c>
      <c r="D118" s="27" t="inlineStr">
        <is>
          <t>Mail transport behind a Sender interface (Handover #6)</t>
        </is>
      </c>
      <c r="E118" s="27" t="n">
        <v>3</v>
      </c>
      <c r="F118" s="27" t="inlineStr">
        <is>
          <t>P1</t>
        </is>
      </c>
      <c r="G118" s="27" t="inlineStr">
        <is>
          <t>S14</t>
        </is>
      </c>
      <c r="H118" s="27" t="inlineStr">
        <is>
          <t>config</t>
        </is>
      </c>
      <c r="I118" s="27" t="inlineStr">
        <is>
          <t>Regression test</t>
        </is>
      </c>
      <c r="J118" s="33" t="inlineStr">
        <is>
          <t>Done-in-code</t>
        </is>
      </c>
      <c r="K118" s="33" t="inlineStr">
        <is>
          <t>src/sender.ts HttpJsonSender (Postmark/Resend/SES shape) + Notifier (delivered/no_sender/no_contact/failed); FeatureEngine email row only after delivery; wired in server.ts when MEETSYNC_MAIL_* set; outcomes in /analytics/ops. Pinned: s14.test.ts ST-115 block; server.test.ts "with a mail transport configured…". Endpoint/token/from = Senthil (Handover #38).</t>
        </is>
      </c>
      <c r="L118" s="34" t="inlineStr">
        <is>
          <t>PARTIAL</t>
        </is>
      </c>
      <c r="M118" s="26" t="inlineStr">
        <is>
          <t>code complete; delivery needs MEETSYNC_MAIL_ENDPOINT/TOKEN/FROM in the deployment</t>
        </is>
      </c>
    </row>
    <row r="119">
      <c r="A119" s="27" t="inlineStr">
        <is>
          <t>ST-116</t>
        </is>
      </c>
      <c r="B119" s="27" t="inlineStr">
        <is>
          <t>S15</t>
        </is>
      </c>
      <c r="C119" s="27" t="inlineStr">
        <is>
          <t>Intelligence</t>
        </is>
      </c>
      <c r="D119" s="27" t="inlineStr">
        <is>
          <t>Model provider abstraction (src/llm.ts)</t>
        </is>
      </c>
      <c r="E119" s="27" t="n">
        <v>5</v>
      </c>
      <c r="F119" s="27" t="inlineStr">
        <is>
          <t>P0</t>
        </is>
      </c>
      <c r="G119" s="27" t="inlineStr">
        <is>
          <t>S15</t>
        </is>
      </c>
      <c r="H119" s="27" t="inlineStr">
        <is>
          <t>—</t>
        </is>
      </c>
      <c r="I119" s="27" t="inlineStr">
        <is>
          <t>Unit + contract</t>
        </is>
      </c>
      <c r="J119" s="33" t="inlineStr">
        <is>
          <t>Backlog</t>
        </is>
      </c>
      <c r="K119" s="33" t="inlineStr">
        <is>
          <t>Gated by PD-02.</t>
        </is>
      </c>
      <c r="L119" s="34" t="inlineStr">
        <is>
          <t>NOT REACHABLE</t>
        </is>
      </c>
      <c r="M119" s="26" t="inlineStr">
        <is>
          <t>backlog: PD-02 decision</t>
        </is>
      </c>
    </row>
    <row r="120">
      <c r="A120" s="27" t="inlineStr">
        <is>
          <t>ST-117</t>
        </is>
      </c>
      <c r="B120" s="27" t="inlineStr">
        <is>
          <t>S15</t>
        </is>
      </c>
      <c r="C120" s="27" t="inlineStr">
        <is>
          <t>Intelligence</t>
        </is>
      </c>
      <c r="D120" s="27" t="inlineStr">
        <is>
          <t>Structured extraction with evidence spans + confidence; rule engine as fallback</t>
        </is>
      </c>
      <c r="E120" s="27" t="n">
        <v>8</v>
      </c>
      <c r="F120" s="27" t="inlineStr">
        <is>
          <t>P0</t>
        </is>
      </c>
      <c r="G120" s="27" t="inlineStr">
        <is>
          <t>S15</t>
        </is>
      </c>
      <c r="H120" s="27" t="inlineStr">
        <is>
          <t>Review tab</t>
        </is>
      </c>
      <c r="I120" s="27" t="inlineStr">
        <is>
          <t>Eval harness</t>
        </is>
      </c>
      <c r="J120" s="33" t="inlineStr">
        <is>
          <t>Backlog</t>
        </is>
      </c>
      <c r="K120" s="33" t="inlineStr">
        <is>
          <t>Gated by PD-02.</t>
        </is>
      </c>
      <c r="L120" s="34" t="inlineStr">
        <is>
          <t>NOT REACHABLE</t>
        </is>
      </c>
      <c r="M120" s="26" t="inlineStr">
        <is>
          <t>backlog: PD-02 decision</t>
        </is>
      </c>
    </row>
    <row r="121">
      <c r="A121" s="27" t="inlineStr">
        <is>
          <t>ST-118</t>
        </is>
      </c>
      <c r="B121" s="27" t="inlineStr">
        <is>
          <t>S15</t>
        </is>
      </c>
      <c r="C121" s="27" t="inlineStr">
        <is>
          <t>Intelligence</t>
        </is>
      </c>
      <c r="D121" s="27" t="inlineStr">
        <is>
          <t>Meeting summary mapped to CRM fields (structured brief, never invents a value)</t>
        </is>
      </c>
      <c r="E121" s="27" t="n">
        <v>5</v>
      </c>
      <c r="F121" s="27" t="inlineStr">
        <is>
          <t>P0</t>
        </is>
      </c>
      <c r="G121" s="27" t="inlineStr">
        <is>
          <t>S15</t>
        </is>
      </c>
      <c r="H121" s="27" t="inlineStr">
        <is>
          <t>Review tab</t>
        </is>
      </c>
      <c r="I121" s="27" t="inlineStr">
        <is>
          <t>Eval harness</t>
        </is>
      </c>
      <c r="J121" s="33" t="inlineStr">
        <is>
          <t>Backlog</t>
        </is>
      </c>
      <c r="K121" s="33" t="inlineStr">
        <is>
          <t>Gated by PD-02. derivedFields() in transcripts.ts is the seam it replaces.</t>
        </is>
      </c>
      <c r="L121" s="34" t="inlineStr">
        <is>
          <t>NOT REACHABLE</t>
        </is>
      </c>
      <c r="M121" s="26" t="inlineStr">
        <is>
          <t>backlog: PD-02 decision</t>
        </is>
      </c>
    </row>
    <row r="122">
      <c r="A122" s="27" t="inlineStr">
        <is>
          <t>ST-119</t>
        </is>
      </c>
      <c r="B122" s="27" t="inlineStr">
        <is>
          <t>S15</t>
        </is>
      </c>
      <c r="C122" s="27" t="inlineStr">
        <is>
          <t>Intelligence</t>
        </is>
      </c>
      <c r="D122" s="27" t="inlineStr">
        <is>
          <t>Evaluation harness + golden set (≥100 excerpts, ≥30 Hinglish/Hindi/Tamil), CI floor</t>
        </is>
      </c>
      <c r="E122" s="27" t="n">
        <v>8</v>
      </c>
      <c r="F122" s="27" t="inlineStr">
        <is>
          <t>P0</t>
        </is>
      </c>
      <c r="G122" s="27" t="inlineStr">
        <is>
          <t>S15</t>
        </is>
      </c>
      <c r="H122" s="27" t="inlineStr">
        <is>
          <t>docs/EVAL.md</t>
        </is>
      </c>
      <c r="I122" s="27" t="inlineStr">
        <is>
          <t>CI floor</t>
        </is>
      </c>
      <c r="J122" s="33" t="inlineStr">
        <is>
          <t>Backlog</t>
        </is>
      </c>
      <c r="K122" s="33" t="inlineStr">
        <is>
          <t>Gated by PD-02. Extends indic.ts WER harness.</t>
        </is>
      </c>
      <c r="L122" s="34" t="inlineStr">
        <is>
          <t>NOT REACHABLE</t>
        </is>
      </c>
      <c r="M122" s="26" t="inlineStr">
        <is>
          <t>backlog: PD-02 decision</t>
        </is>
      </c>
    </row>
    <row r="123">
      <c r="A123" s="27" t="inlineStr">
        <is>
          <t>ST-120</t>
        </is>
      </c>
      <c r="B123" s="27" t="inlineStr">
        <is>
          <t>S15</t>
        </is>
      </c>
      <c r="C123" s="27" t="inlineStr">
        <is>
          <t>Safety</t>
        </is>
      </c>
      <c r="D123" s="27" t="inlineStr">
        <is>
          <t>Prompt-injection and content-safety guards</t>
        </is>
      </c>
      <c r="E123" s="27" t="n">
        <v>5</v>
      </c>
      <c r="F123" s="27" t="inlineStr">
        <is>
          <t>P0</t>
        </is>
      </c>
      <c r="G123" s="27" t="inlineStr">
        <is>
          <t>S15</t>
        </is>
      </c>
      <c r="H123" s="27" t="inlineStr">
        <is>
          <t>—</t>
        </is>
      </c>
      <c r="I123" s="27" t="inlineStr">
        <is>
          <t>Injection corpus</t>
        </is>
      </c>
      <c r="J123" s="33" t="inlineStr">
        <is>
          <t>Backlog</t>
        </is>
      </c>
      <c r="K123" s="33" t="inlineStr">
        <is>
          <t>AC-6 in docs/THREAT_MODEL.md records the case so S15 inherits it.</t>
        </is>
      </c>
      <c r="L123" s="34" t="inlineStr">
        <is>
          <t>NOT REACHABLE</t>
        </is>
      </c>
      <c r="M123" s="26" t="inlineStr">
        <is>
          <t>backlog: PD-02 decision</t>
        </is>
      </c>
    </row>
    <row r="124">
      <c r="A124" s="27" t="inlineStr">
        <is>
          <t>ST-121</t>
        </is>
      </c>
      <c r="B124" s="27" t="inlineStr">
        <is>
          <t>S15</t>
        </is>
      </c>
      <c r="C124" s="27" t="inlineStr">
        <is>
          <t>Safety</t>
        </is>
      </c>
      <c r="D124" s="27" t="inlineStr">
        <is>
          <t>PII redaction before egress (Aadhaar/PAN/card/email/phone)</t>
        </is>
      </c>
      <c r="E124" s="27" t="n">
        <v>5</v>
      </c>
      <c r="F124" s="27" t="inlineStr">
        <is>
          <t>P0</t>
        </is>
      </c>
      <c r="G124" s="27" t="inlineStr">
        <is>
          <t>S15</t>
        </is>
      </c>
      <c r="H124" s="27" t="inlineStr">
        <is>
          <t>—</t>
        </is>
      </c>
      <c r="I124" s="27" t="inlineStr">
        <is>
          <t>Regression test</t>
        </is>
      </c>
      <c r="J124" s="33" t="inlineStr">
        <is>
          <t>Backlog</t>
        </is>
      </c>
      <c r="K124" s="33" t="inlineStr">
        <is>
          <t>Gated by PD-02; needed before any content leaves the tenant to a provider.</t>
        </is>
      </c>
      <c r="L124" s="34" t="inlineStr">
        <is>
          <t>NOT REACHABLE</t>
        </is>
      </c>
      <c r="M124" s="26" t="inlineStr">
        <is>
          <t>backlog: PD-02 decision</t>
        </is>
      </c>
    </row>
    <row r="125">
      <c r="A125" s="27" t="inlineStr">
        <is>
          <t>ST-122</t>
        </is>
      </c>
      <c r="B125" s="27" t="inlineStr">
        <is>
          <t>S15</t>
        </is>
      </c>
      <c r="C125" s="27" t="inlineStr">
        <is>
          <t>Cost</t>
        </is>
      </c>
      <c r="D125" s="27" t="inlineStr">
        <is>
          <t>Cost, latency and quota controls; degrade to rule engine when exhausted</t>
        </is>
      </c>
      <c r="E125" s="27" t="n">
        <v>3</v>
      </c>
      <c r="F125" s="27" t="inlineStr">
        <is>
          <t>P1</t>
        </is>
      </c>
      <c r="G125" s="27" t="inlineStr">
        <is>
          <t>S15</t>
        </is>
      </c>
      <c r="H125" s="27" t="inlineStr">
        <is>
          <t>—</t>
        </is>
      </c>
      <c r="I125" s="27" t="inlineStr">
        <is>
          <t>Regression test</t>
        </is>
      </c>
      <c r="J125" s="33" t="inlineStr">
        <is>
          <t>Backlog</t>
        </is>
      </c>
      <c r="K125" s="33" t="inlineStr">
        <is>
          <t>Gated by PD-02.</t>
        </is>
      </c>
      <c r="L125" s="34" t="inlineStr">
        <is>
          <t>NOT REACHABLE</t>
        </is>
      </c>
      <c r="M125" s="26" t="inlineStr">
        <is>
          <t>backlog: PD-02 decision</t>
        </is>
      </c>
    </row>
    <row r="126">
      <c r="A126" s="27" t="inlineStr">
        <is>
          <t>ST-123</t>
        </is>
      </c>
      <c r="B126" s="27" t="inlineStr">
        <is>
          <t>S15</t>
        </is>
      </c>
      <c r="C126" s="27" t="inlineStr">
        <is>
          <t>Trust claims</t>
        </is>
      </c>
      <c r="D126" s="27" t="inlineStr">
        <is>
          <t>Model transparency surface on /trust and listing</t>
        </is>
      </c>
      <c r="E126" s="27" t="n">
        <v>3</v>
      </c>
      <c r="F126" s="27" t="inlineStr">
        <is>
          <t>P1</t>
        </is>
      </c>
      <c r="G126" s="27" t="inlineStr">
        <is>
          <t>S15</t>
        </is>
      </c>
      <c r="H126" s="27" t="inlineStr">
        <is>
          <t>GET /trust</t>
        </is>
      </c>
      <c r="I126" s="27" t="inlineStr">
        <is>
          <t>Claim gate</t>
        </is>
      </c>
      <c r="J126" s="33" t="inlineStr">
        <is>
          <t>Backlog</t>
        </is>
      </c>
      <c r="K126" s="33" t="inlineStr">
        <is>
          <t>Will extend src/claims.ts; the ST-107 gate already refuses a provider claim with no code behind it.</t>
        </is>
      </c>
      <c r="L126" s="34" t="inlineStr">
        <is>
          <t>NOT REACHABLE</t>
        </is>
      </c>
      <c r="M126" s="26" t="inlineStr">
        <is>
          <t>backlog: PD-02 decision</t>
        </is>
      </c>
    </row>
    <row r="127">
      <c r="A127" s="27" t="inlineStr">
        <is>
          <t>ST-124</t>
        </is>
      </c>
      <c r="B127" s="27" t="inlineStr">
        <is>
          <t>S16</t>
        </is>
      </c>
      <c r="C127" s="27" t="inlineStr">
        <is>
          <t>Indic</t>
        </is>
      </c>
      <c r="D127" s="27" t="inlineStr">
        <is>
          <t>Language-aware signal detection (PR-11)</t>
        </is>
      </c>
      <c r="E127" s="27" t="n">
        <v>5</v>
      </c>
      <c r="F127" s="27" t="inlineStr">
        <is>
          <t>P0</t>
        </is>
      </c>
      <c r="G127" s="27" t="inlineStr">
        <is>
          <t>S16</t>
        </is>
      </c>
      <c r="H127" s="27" t="inlineStr">
        <is>
          <t>—</t>
        </is>
      </c>
      <c r="I127" s="27" t="inlineStr">
        <is>
          <t>Regression test</t>
        </is>
      </c>
      <c r="J127" s="33" t="inlineStr">
        <is>
          <t>Backlog</t>
        </is>
      </c>
      <c r="K127" s="33" t="inlineStr">
        <is>
          <t>Gated by PD-02 and PD-04 (keep/cut F4).</t>
        </is>
      </c>
      <c r="L127" s="34" t="inlineStr">
        <is>
          <t>NOT REACHABLE</t>
        </is>
      </c>
      <c r="M127" s="26" t="inlineStr">
        <is>
          <t>backlog: PD-02 / PD-04</t>
        </is>
      </c>
    </row>
    <row r="128">
      <c r="A128" s="27" t="inlineStr">
        <is>
          <t>ST-125</t>
        </is>
      </c>
      <c r="B128" s="27" t="inlineStr">
        <is>
          <t>S16</t>
        </is>
      </c>
      <c r="C128" s="27" t="inlineStr">
        <is>
          <t>Indic</t>
        </is>
      </c>
      <c r="D128" s="27" t="inlineStr">
        <is>
          <t>Indic ASR provider integration (streamed, never stored)</t>
        </is>
      </c>
      <c r="E128" s="27" t="n">
        <v>8</v>
      </c>
      <c r="F128" s="27" t="inlineStr">
        <is>
          <t>P0</t>
        </is>
      </c>
      <c r="G128" s="27" t="inlineStr">
        <is>
          <t>S16</t>
        </is>
      </c>
      <c r="H128" s="27" t="inlineStr">
        <is>
          <t>—</t>
        </is>
      </c>
      <c r="I128" s="27" t="inlineStr">
        <is>
          <t>Contract + benchmark</t>
        </is>
      </c>
      <c r="J128" s="33" t="inlineStr">
        <is>
          <t>Backlog</t>
        </is>
      </c>
      <c r="K128" s="33" t="inlineStr">
        <is>
          <t>Gated by PD-02.</t>
        </is>
      </c>
      <c r="L128" s="34" t="inlineStr">
        <is>
          <t>NOT REACHABLE</t>
        </is>
      </c>
      <c r="M128" s="26" t="inlineStr">
        <is>
          <t>backlog: PD-02 decision</t>
        </is>
      </c>
    </row>
    <row r="129">
      <c r="A129" s="27" t="inlineStr">
        <is>
          <t>ST-126</t>
        </is>
      </c>
      <c r="B129" s="27" t="inlineStr">
        <is>
          <t>S16</t>
        </is>
      </c>
      <c r="C129" s="27" t="inlineStr">
        <is>
          <t>Indic</t>
        </is>
      </c>
      <c r="D129" s="27" t="inlineStr">
        <is>
          <t>Code-switch (Hinglish) handling at utterance level; scored classifier</t>
        </is>
      </c>
      <c r="E129" s="27" t="n">
        <v>5</v>
      </c>
      <c r="F129" s="27" t="inlineStr">
        <is>
          <t>P0</t>
        </is>
      </c>
      <c r="G129" s="27" t="inlineStr">
        <is>
          <t>S16</t>
        </is>
      </c>
      <c r="H129" s="27" t="inlineStr">
        <is>
          <t>—</t>
        </is>
      </c>
      <c r="I129" s="27" t="inlineStr">
        <is>
          <t>Regression test</t>
        </is>
      </c>
      <c r="J129" s="33" t="inlineStr">
        <is>
          <t>Backlog</t>
        </is>
      </c>
      <c r="K129" s="33" t="inlineStr">
        <is>
          <t>Gated by PD-02.</t>
        </is>
      </c>
      <c r="L129" s="34" t="inlineStr">
        <is>
          <t>NOT REACHABLE</t>
        </is>
      </c>
      <c r="M129" s="26" t="inlineStr">
        <is>
          <t>backlog: PD-02 decision</t>
        </is>
      </c>
    </row>
    <row r="130">
      <c r="A130" s="27" t="inlineStr">
        <is>
          <t>ST-127</t>
        </is>
      </c>
      <c r="B130" s="27" t="inlineStr">
        <is>
          <t>S16</t>
        </is>
      </c>
      <c r="C130" s="27" t="inlineStr">
        <is>
          <t>Indic</t>
        </is>
      </c>
      <c r="D130" s="27" t="inlineStr">
        <is>
          <t>Published WER + field-accuracy benchmark (≥50 real calls) — closes LC-7</t>
        </is>
      </c>
      <c r="E130" s="27" t="n">
        <v>8</v>
      </c>
      <c r="F130" s="27" t="inlineStr">
        <is>
          <t>P0</t>
        </is>
      </c>
      <c r="G130" s="27" t="inlineStr">
        <is>
          <t>S16</t>
        </is>
      </c>
      <c r="H130" s="27" t="inlineStr">
        <is>
          <t>docs/INDIC_BENCHMARK.md</t>
        </is>
      </c>
      <c r="I130" s="27" t="inlineStr">
        <is>
          <t>Benchmark</t>
        </is>
      </c>
      <c r="J130" s="33" t="inlineStr">
        <is>
          <t>Backlog</t>
        </is>
      </c>
      <c r="K130" s="33" t="inlineStr">
        <is>
          <t>Needs a consented corpus (PD-06 test 2 is the pilot).</t>
        </is>
      </c>
      <c r="L130" s="34" t="inlineStr">
        <is>
          <t>NOT REACHABLE</t>
        </is>
      </c>
      <c r="M130" s="26" t="inlineStr">
        <is>
          <t>backlog: corpus + PD-02</t>
        </is>
      </c>
    </row>
    <row r="131">
      <c r="A131" s="27" t="inlineStr">
        <is>
          <t>ST-128</t>
        </is>
      </c>
      <c r="B131" s="27" t="inlineStr">
        <is>
          <t>S16</t>
        </is>
      </c>
      <c r="C131" s="27" t="inlineStr">
        <is>
          <t>Indic</t>
        </is>
      </c>
      <c r="D131" s="27" t="inlineStr">
        <is>
          <t>Locale surface: hi/ta copy, Indian date/number/currency</t>
        </is>
      </c>
      <c r="E131" s="27" t="n">
        <v>3</v>
      </c>
      <c r="F131" s="27" t="inlineStr">
        <is>
          <t>P2</t>
        </is>
      </c>
      <c r="G131" s="27" t="inlineStr">
        <is>
          <t>S16</t>
        </is>
      </c>
      <c r="H131" s="27" t="inlineStr">
        <is>
          <t>all panels</t>
        </is>
      </c>
      <c r="I131" s="27" t="inlineStr">
        <is>
          <t>RTL</t>
        </is>
      </c>
      <c r="J131" s="33" t="inlineStr">
        <is>
          <t>Backlog</t>
        </is>
      </c>
      <c r="K131" s="33" t="inlineStr"/>
      <c r="L131" s="34" t="inlineStr">
        <is>
          <t>NOT REACHABLE</t>
        </is>
      </c>
      <c r="M131" s="26" t="inlineStr">
        <is>
          <t>backlog</t>
        </is>
      </c>
    </row>
    <row r="132">
      <c r="A132" s="27" t="inlineStr">
        <is>
          <t>ST-129</t>
        </is>
      </c>
      <c r="B132" s="27" t="inlineStr">
        <is>
          <t>S17</t>
        </is>
      </c>
      <c r="C132" s="27" t="inlineStr">
        <is>
          <t>CRM</t>
        </is>
      </c>
      <c r="D132" s="27" t="inlineStr">
        <is>
          <t>Live CRM OAuth per provider (HubSpot/Salesforce/Zoho) — closes LC-6</t>
        </is>
      </c>
      <c r="E132" s="27" t="n">
        <v>8</v>
      </c>
      <c r="F132" s="27" t="inlineStr">
        <is>
          <t>P0</t>
        </is>
      </c>
      <c r="G132" s="27" t="inlineStr">
        <is>
          <t>S17</t>
        </is>
      </c>
      <c r="H132" s="27" t="inlineStr">
        <is>
          <t>POST /crm/connect</t>
        </is>
      </c>
      <c r="I132" s="27" t="inlineStr">
        <is>
          <t>Live sandbox</t>
        </is>
      </c>
      <c r="J132" s="33" t="inlineStr">
        <is>
          <t>Backlog</t>
        </is>
      </c>
      <c r="K132" s="33" t="inlineStr">
        <is>
          <t>Needs sandbox accounts (Handover #3). /crm/connect still says sandbox.</t>
        </is>
      </c>
      <c r="L132" s="34" t="inlineStr">
        <is>
          <t>NOT REACHABLE</t>
        </is>
      </c>
      <c r="M132" s="26" t="inlineStr">
        <is>
          <t>backlog: Handover #3</t>
        </is>
      </c>
    </row>
    <row r="133">
      <c r="A133" s="27" t="inlineStr">
        <is>
          <t>ST-130</t>
        </is>
      </c>
      <c r="B133" s="27" t="inlineStr">
        <is>
          <t>S17</t>
        </is>
      </c>
      <c r="C133" s="27" t="inlineStr">
        <is>
          <t>CRM</t>
        </is>
      </c>
      <c r="D133" s="27" t="inlineStr">
        <is>
          <t>Object and field discovery from CRM schema</t>
        </is>
      </c>
      <c r="E133" s="27" t="n">
        <v>5</v>
      </c>
      <c r="F133" s="27" t="inlineStr">
        <is>
          <t>P0</t>
        </is>
      </c>
      <c r="G133" s="27" t="inlineStr">
        <is>
          <t>S17</t>
        </is>
      </c>
      <c r="H133" s="27" t="inlineStr">
        <is>
          <t>CRM tab</t>
        </is>
      </c>
      <c r="I133" s="27" t="inlineStr">
        <is>
          <t>Live sandbox</t>
        </is>
      </c>
      <c r="J133" s="33" t="inlineStr">
        <is>
          <t>Backlog</t>
        </is>
      </c>
      <c r="K133" s="33" t="inlineStr">
        <is>
          <t>After ST-129.</t>
        </is>
      </c>
      <c r="L133" s="34" t="inlineStr">
        <is>
          <t>NOT REACHABLE</t>
        </is>
      </c>
      <c r="M133" s="26" t="inlineStr">
        <is>
          <t>backlog</t>
        </is>
      </c>
    </row>
    <row r="134">
      <c r="A134" s="27" t="inlineStr">
        <is>
          <t>ST-131</t>
        </is>
      </c>
      <c r="B134" s="27" t="inlineStr">
        <is>
          <t>S17</t>
        </is>
      </c>
      <c r="C134" s="27" t="inlineStr">
        <is>
          <t>CRM</t>
        </is>
      </c>
      <c r="D134" s="27" t="inlineStr">
        <is>
          <t>Mapping UI with dry-run and per-field diff</t>
        </is>
      </c>
      <c r="E134" s="27" t="n">
        <v>8</v>
      </c>
      <c r="F134" s="27" t="inlineStr">
        <is>
          <t>P0</t>
        </is>
      </c>
      <c r="G134" s="27" t="inlineStr">
        <is>
          <t>S17</t>
        </is>
      </c>
      <c r="H134" s="27" t="inlineStr">
        <is>
          <t>CRM tab</t>
        </is>
      </c>
      <c r="I134" s="27" t="inlineStr">
        <is>
          <t>RTL + live</t>
        </is>
      </c>
      <c r="J134" s="33" t="inlineStr">
        <is>
          <t>Backlog</t>
        </is>
      </c>
      <c r="K134" s="33" t="inlineStr">
        <is>
          <t>CrmPanel mapping form (ST-113) is the seed; dry-run/diff not built.</t>
        </is>
      </c>
      <c r="L134" s="34" t="inlineStr">
        <is>
          <t>NOT REACHABLE</t>
        </is>
      </c>
      <c r="M134" s="26" t="inlineStr">
        <is>
          <t>backlog</t>
        </is>
      </c>
    </row>
    <row r="135">
      <c r="A135" s="27" t="inlineStr">
        <is>
          <t>ST-132</t>
        </is>
      </c>
      <c r="B135" s="27" t="inlineStr">
        <is>
          <t>S17</t>
        </is>
      </c>
      <c r="C135" s="27" t="inlineStr">
        <is>
          <t>CRM</t>
        </is>
      </c>
      <c r="D135" s="27" t="inlineStr">
        <is>
          <t>Association and multi-object writeback; participants matched to contacts</t>
        </is>
      </c>
      <c r="E135" s="27" t="n">
        <v>5</v>
      </c>
      <c r="F135" s="27" t="inlineStr">
        <is>
          <t>P1</t>
        </is>
      </c>
      <c r="G135" s="27" t="inlineStr">
        <is>
          <t>S17</t>
        </is>
      </c>
      <c r="H135" s="27" t="inlineStr">
        <is>
          <t>—</t>
        </is>
      </c>
      <c r="I135" s="27" t="inlineStr">
        <is>
          <t>Live sandbox</t>
        </is>
      </c>
      <c r="J135" s="33" t="inlineStr">
        <is>
          <t>Backlog</t>
        </is>
      </c>
      <c r="K135" s="33" t="inlineStr">
        <is>
          <t>Replaces meetingRecordId() zoom-meeting:&lt;id&gt; stand-in.</t>
        </is>
      </c>
      <c r="L135" s="34" t="inlineStr">
        <is>
          <t>NOT REACHABLE</t>
        </is>
      </c>
      <c r="M135" s="26" t="inlineStr">
        <is>
          <t>backlog</t>
        </is>
      </c>
    </row>
    <row r="136">
      <c r="A136" s="27" t="inlineStr">
        <is>
          <t>ST-133</t>
        </is>
      </c>
      <c r="B136" s="27" t="inlineStr">
        <is>
          <t>S17</t>
        </is>
      </c>
      <c r="C136" s="27" t="inlineStr">
        <is>
          <t>CRM</t>
        </is>
      </c>
      <c r="D136" s="27" t="inlineStr">
        <is>
          <t>Failure surface and replay; HubSpot rate-limit compliance; ≥95% success tracking</t>
        </is>
      </c>
      <c r="E136" s="27" t="n">
        <v>5</v>
      </c>
      <c r="F136" s="27" t="inlineStr">
        <is>
          <t>P0</t>
        </is>
      </c>
      <c r="G136" s="27" t="inlineStr">
        <is>
          <t>S17</t>
        </is>
      </c>
      <c r="H136" s="27" t="inlineStr">
        <is>
          <t>CRM tab</t>
        </is>
      </c>
      <c r="I136" s="27" t="inlineStr">
        <is>
          <t>Live sandbox</t>
        </is>
      </c>
      <c r="J136" s="33" t="inlineStr">
        <is>
          <t>Backlog</t>
        </is>
      </c>
      <c r="K136" s="33" t="inlineStr">
        <is>
          <t>GET /crm/jobs + drain retry (ST-113) is the seed; dead-letter view and plain-language provider errors not built.</t>
        </is>
      </c>
      <c r="L136" s="34" t="inlineStr">
        <is>
          <t>PARTIAL</t>
        </is>
      </c>
      <c r="M136" s="26" t="inlineStr">
        <is>
          <t>GET /crm/jobs, POST /crm/drain exist; provider errors not translated</t>
        </is>
      </c>
    </row>
    <row r="137">
      <c r="A137" s="27" t="inlineStr">
        <is>
          <t>ST-134</t>
        </is>
      </c>
      <c r="B137" s="27" t="inlineStr">
        <is>
          <t>S17</t>
        </is>
      </c>
      <c r="C137" s="27" t="inlineStr">
        <is>
          <t>Distribution</t>
        </is>
      </c>
      <c r="D137" s="27" t="inlineStr">
        <is>
          <t>HubSpot marketplace listing (3 installs to list, 60 to certify)</t>
        </is>
      </c>
      <c r="E137" s="27" t="n">
        <v>5</v>
      </c>
      <c r="F137" s="27" t="inlineStr">
        <is>
          <t>P1</t>
        </is>
      </c>
      <c r="G137" s="27" t="inlineStr">
        <is>
          <t>S17</t>
        </is>
      </c>
      <c r="H137" s="27" t="inlineStr">
        <is>
          <t>—</t>
        </is>
      </c>
      <c r="I137" s="27" t="inlineStr">
        <is>
          <t>Human</t>
        </is>
      </c>
      <c r="J137" s="33" t="inlineStr">
        <is>
          <t>Backlog</t>
        </is>
      </c>
      <c r="K137" s="33" t="inlineStr">
        <is>
          <t>Second marketplace on the critical path; not previously in the tracker (R-M7).</t>
        </is>
      </c>
      <c r="L137" s="34" t="inlineStr">
        <is>
          <t>NOT REACHABLE</t>
        </is>
      </c>
      <c r="M137" s="26" t="inlineStr">
        <is>
          <t>backlog: Senthil</t>
        </is>
      </c>
    </row>
    <row r="138">
      <c r="A138" s="27" t="inlineStr">
        <is>
          <t>ST-135</t>
        </is>
      </c>
      <c r="B138" s="27" t="inlineStr">
        <is>
          <t>S17</t>
        </is>
      </c>
      <c r="C138" s="27" t="inlineStr">
        <is>
          <t>CRM</t>
        </is>
      </c>
      <c r="D138" s="27" t="inlineStr">
        <is>
          <t>CRM writeback idempotency key (account, meeting, object, field-set)</t>
        </is>
      </c>
      <c r="E138" s="27" t="n">
        <v>3</v>
      </c>
      <c r="F138" s="27" t="inlineStr">
        <is>
          <t>P0</t>
        </is>
      </c>
      <c r="G138" s="27" t="inlineStr">
        <is>
          <t>S17</t>
        </is>
      </c>
      <c r="H138" s="27" t="inlineStr">
        <is>
          <t>—</t>
        </is>
      </c>
      <c r="I138" s="27" t="inlineStr">
        <is>
          <t>Regression test</t>
        </is>
      </c>
      <c r="J138" s="33" t="inlineStr">
        <is>
          <t>Backlog</t>
        </is>
      </c>
      <c r="K138" s="33" t="inlineStr">
        <is>
          <t>ST-111 already guarantees one job per meeting via the insight; the adapter-level key lands with live adapters.</t>
        </is>
      </c>
      <c r="L138" s="34" t="inlineStr">
        <is>
          <t>PARTIAL</t>
        </is>
      </c>
      <c r="M138" s="26" t="inlineStr">
        <is>
          <t>one-job-per-meeting pinned in s14.test.ts; adapter key not built</t>
        </is>
      </c>
    </row>
    <row r="139">
      <c r="A139" s="27" t="inlineStr">
        <is>
          <t>ST-136</t>
        </is>
      </c>
      <c r="B139" s="27" t="inlineStr">
        <is>
          <t>S18</t>
        </is>
      </c>
      <c r="C139" s="27" t="inlineStr">
        <is>
          <t>Commercial</t>
        </is>
      </c>
      <c r="D139" s="27" t="inlineStr">
        <is>
          <t>Resolve the pricing model (PR-05); gate served matrix vs published page</t>
        </is>
      </c>
      <c r="E139" s="27" t="n">
        <v>3</v>
      </c>
      <c r="F139" s="27" t="inlineStr">
        <is>
          <t>P0</t>
        </is>
      </c>
      <c r="G139" s="27" t="inlineStr">
        <is>
          <t>S18</t>
        </is>
      </c>
      <c r="H139" s="27" t="inlineStr">
        <is>
          <t>GET /pricing</t>
        </is>
      </c>
      <c r="I139" s="27" t="inlineStr">
        <is>
          <t>Claim gate</t>
        </is>
      </c>
      <c r="J139" s="33" t="inlineStr">
        <is>
          <t>Backlog</t>
        </is>
      </c>
      <c r="K139" s="33" t="inlineStr">
        <is>
          <t>DECISION PENDING (PD-01) banner in docs/PRICING_PAGE.md, enforced by test/claims.test.ts until the numbers agree. Resolution = one decision applied to PLANS, /pricing, page, listing.</t>
        </is>
      </c>
      <c r="L139" s="34" t="inlineStr">
        <is>
          <t>PARTIAL</t>
        </is>
      </c>
      <c r="M139" s="26" t="inlineStr">
        <is>
          <t>banner + gate shipped; decision owed</t>
        </is>
      </c>
    </row>
    <row r="140">
      <c r="A140" s="27" t="inlineStr">
        <is>
          <t>ST-137</t>
        </is>
      </c>
      <c r="B140" s="27" t="inlineStr">
        <is>
          <t>S18</t>
        </is>
      </c>
      <c r="C140" s="27" t="inlineStr">
        <is>
          <t>Commercial</t>
        </is>
      </c>
      <c r="D140" s="27" t="inlineStr">
        <is>
          <t>Payment processor integration (cards, subscriptions, tax, webhooks → markPaid/paymentFailedTick)</t>
        </is>
      </c>
      <c r="E140" s="27" t="n">
        <v>8</v>
      </c>
      <c r="F140" s="27" t="inlineStr">
        <is>
          <t>P0</t>
        </is>
      </c>
      <c r="G140" s="27" t="inlineStr">
        <is>
          <t>S18</t>
        </is>
      </c>
      <c r="H140" s="27" t="inlineStr">
        <is>
          <t>—</t>
        </is>
      </c>
      <c r="I140" s="27" t="inlineStr">
        <is>
          <t>Live sandbox</t>
        </is>
      </c>
      <c r="J140" s="33" t="inlineStr">
        <is>
          <t>Backlog</t>
        </is>
      </c>
      <c r="K140" s="33" t="inlineStr">
        <is>
          <t>Retires two reachability allowlist entries (billing.ts markPaid/paymentFailedTick); dunning now has a sender (ST-115).</t>
        </is>
      </c>
      <c r="L140" s="34" t="inlineStr">
        <is>
          <t>NOT REACHABLE</t>
        </is>
      </c>
      <c r="M140" s="26" t="inlineStr">
        <is>
          <t>backlog: processor account</t>
        </is>
      </c>
    </row>
    <row r="141">
      <c r="A141" s="27" t="inlineStr">
        <is>
          <t>ST-138</t>
        </is>
      </c>
      <c r="B141" s="27" t="inlineStr">
        <is>
          <t>S18</t>
        </is>
      </c>
      <c r="C141" s="27" t="inlineStr">
        <is>
          <t>Commercial</t>
        </is>
      </c>
      <c r="D141" s="27" t="inlineStr">
        <is>
          <t>Zoom Marketplace billing route reconciled nightly — closes live half of LC-10</t>
        </is>
      </c>
      <c r="E141" s="27" t="n">
        <v>5</v>
      </c>
      <c r="F141" s="27" t="inlineStr">
        <is>
          <t>P0</t>
        </is>
      </c>
      <c r="G141" s="27" t="inlineStr">
        <is>
          <t>S18</t>
        </is>
      </c>
      <c r="H141" s="27" t="inlineStr">
        <is>
          <t>—</t>
        </is>
      </c>
      <c r="I141" s="27" t="inlineStr">
        <is>
          <t>Live</t>
        </is>
      </c>
      <c r="J141" s="33" t="inlineStr">
        <is>
          <t>Backlog</t>
        </is>
      </c>
      <c r="K141" s="33" t="inlineStr">
        <is>
          <t>Needs the Zoom app (Handover #2).</t>
        </is>
      </c>
      <c r="L141" s="34" t="inlineStr">
        <is>
          <t>NOT REACHABLE</t>
        </is>
      </c>
      <c r="M141" s="26" t="inlineStr">
        <is>
          <t>backlog</t>
        </is>
      </c>
    </row>
    <row r="142">
      <c r="A142" s="27" t="inlineStr">
        <is>
          <t>ST-139</t>
        </is>
      </c>
      <c r="B142" s="27" t="inlineStr">
        <is>
          <t>S18</t>
        </is>
      </c>
      <c r="C142" s="27" t="inlineStr">
        <is>
          <t>Commercial</t>
        </is>
      </c>
      <c r="D142" s="27" t="inlineStr">
        <is>
          <t>Seat detection from measured distinct active users (PR-12)</t>
        </is>
      </c>
      <c r="E142" s="27" t="n">
        <v>5</v>
      </c>
      <c r="F142" s="27" t="inlineStr">
        <is>
          <t>P0</t>
        </is>
      </c>
      <c r="G142" s="27" t="inlineStr">
        <is>
          <t>S18</t>
        </is>
      </c>
      <c r="H142" s="27" t="inlineStr">
        <is>
          <t>GET /billing/:id/seats</t>
        </is>
      </c>
      <c r="I142" s="27" t="inlineStr">
        <is>
          <t>Regression test</t>
        </is>
      </c>
      <c r="J142" s="33" t="inlineStr">
        <is>
          <t>Backlog</t>
        </is>
      </c>
      <c r="K142" s="33" t="inlineStr">
        <is>
          <t>telemetry.activeDays already records distinct active days per account (v042) — the input exists; the derivation does not.</t>
        </is>
      </c>
      <c r="L142" s="34" t="inlineStr">
        <is>
          <t>NOT REACHABLE</t>
        </is>
      </c>
      <c r="M142" s="26" t="inlineStr">
        <is>
          <t>backlog</t>
        </is>
      </c>
    </row>
    <row r="143">
      <c r="A143" s="27" t="inlineStr">
        <is>
          <t>ST-140</t>
        </is>
      </c>
      <c r="B143" s="27" t="inlineStr">
        <is>
          <t>S18</t>
        </is>
      </c>
      <c r="C143" s="27" t="inlineStr">
        <is>
          <t>Commercial</t>
        </is>
      </c>
      <c r="D143" s="27" t="inlineStr">
        <is>
          <t>Feature entitlement matrix enforced in code (deal risk / audit log above Starter)</t>
        </is>
      </c>
      <c r="E143" s="27" t="n">
        <v>3</v>
      </c>
      <c r="F143" s="27" t="inlineStr">
        <is>
          <t>P1</t>
        </is>
      </c>
      <c r="G143" s="27" t="inlineStr">
        <is>
          <t>S18</t>
        </is>
      </c>
      <c r="H143" s="27" t="inlineStr">
        <is>
          <t>—</t>
        </is>
      </c>
      <c r="I143" s="27" t="inlineStr">
        <is>
          <t>Regression test</t>
        </is>
      </c>
      <c r="J143" s="33" t="inlineStr">
        <is>
          <t>Backlog</t>
        </is>
      </c>
      <c r="K143" s="33" t="inlineStr">
        <is>
          <t>Depends on PD-01 and PD-04.</t>
        </is>
      </c>
      <c r="L143" s="34" t="inlineStr">
        <is>
          <t>NOT REACHABLE</t>
        </is>
      </c>
      <c r="M143" s="26" t="inlineStr">
        <is>
          <t>backlog</t>
        </is>
      </c>
    </row>
    <row r="144">
      <c r="A144" s="27" t="inlineStr">
        <is>
          <t>ST-141</t>
        </is>
      </c>
      <c r="B144" s="27" t="inlineStr">
        <is>
          <t>S18</t>
        </is>
      </c>
      <c r="C144" s="27" t="inlineStr">
        <is>
          <t>Metrics</t>
        </is>
      </c>
      <c r="D144" s="27" t="inlineStr">
        <is>
          <t>Honest funnel metrics: cohorted trials, activation instrumented (PR-14)</t>
        </is>
      </c>
      <c r="E144" s="27" t="n">
        <v>2</v>
      </c>
      <c r="F144" s="27" t="inlineStr">
        <is>
          <t>P1</t>
        </is>
      </c>
      <c r="G144" s="27" t="inlineStr">
        <is>
          <t>S18</t>
        </is>
      </c>
      <c r="H144" s="27" t="inlineStr">
        <is>
          <t>GET /analytics/revenue</t>
        </is>
      </c>
      <c r="I144" s="27" t="inlineStr">
        <is>
          <t>Regression test</t>
        </is>
      </c>
      <c r="J144" s="33" t="inlineStr">
        <is>
          <t>Done-in-code</t>
        </is>
      </c>
      <c r="K144" s="33" t="inlineStr">
        <is>
          <t>billing.ts revenueMetrics: trials = cohort started in window, converted within cohort, per-week cohorts; FunnelStage "activated" = first approved CRM writeback (ingestor onActivation → telemetry). Pinned: review.test.ts cohorts; server.test.ts activated=1. Metrics_Targets computed values = post-launch.</t>
        </is>
      </c>
      <c r="L144" s="34" t="inlineStr">
        <is>
          <t>REACHABLE</t>
        </is>
      </c>
      <c r="M144" s="26" t="inlineStr">
        <is>
          <t>GET /analytics/revenue (cohorts), GET /analytics/funnel (activated)</t>
        </is>
      </c>
    </row>
    <row r="145">
      <c r="A145" s="27" t="inlineStr">
        <is>
          <t>ST-142</t>
        </is>
      </c>
      <c r="B145" s="27" t="inlineStr">
        <is>
          <t>S19</t>
        </is>
      </c>
      <c r="C145" s="27" t="inlineStr">
        <is>
          <t>Enterprise</t>
        </is>
      </c>
      <c r="D145" s="27" t="inlineStr">
        <is>
          <t>SSO (SAML/OIDC) + SCIM; deprovision revokes sessions</t>
        </is>
      </c>
      <c r="E145" s="27" t="n">
        <v>8</v>
      </c>
      <c r="F145" s="27" t="inlineStr">
        <is>
          <t>P1</t>
        </is>
      </c>
      <c r="G145" s="27" t="inlineStr">
        <is>
          <t>S19</t>
        </is>
      </c>
      <c r="H145" s="27" t="inlineStr">
        <is>
          <t>—</t>
        </is>
      </c>
      <c r="I145" s="27" t="inlineStr">
        <is>
          <t>Live IdP</t>
        </is>
      </c>
      <c r="J145" s="33" t="inlineStr">
        <is>
          <t>Backlog</t>
        </is>
      </c>
      <c r="K145" s="33" t="inlineStr">
        <is>
          <t>Uses ST-103 revocation. Gated by PD-03.</t>
        </is>
      </c>
      <c r="L145" s="34" t="inlineStr">
        <is>
          <t>NOT REACHABLE</t>
        </is>
      </c>
      <c r="M145" s="26" t="inlineStr">
        <is>
          <t>backlog: PD-03</t>
        </is>
      </c>
    </row>
    <row r="146">
      <c r="A146" s="27" t="inlineStr">
        <is>
          <t>ST-143</t>
        </is>
      </c>
      <c r="B146" s="27" t="inlineStr">
        <is>
          <t>S19</t>
        </is>
      </c>
      <c r="C146" s="27" t="inlineStr">
        <is>
          <t>Enterprise</t>
        </is>
      </c>
      <c r="D146" s="27" t="inlineStr">
        <is>
          <t>Admin console: invite, roles, remove, active sessions, audit log filters + CSV</t>
        </is>
      </c>
      <c r="E146" s="27" t="n">
        <v>5</v>
      </c>
      <c r="F146" s="27" t="inlineStr">
        <is>
          <t>P1</t>
        </is>
      </c>
      <c r="G146" s="27" t="inlineStr">
        <is>
          <t>S19</t>
        </is>
      </c>
      <c r="H146" s="27" t="inlineStr">
        <is>
          <t>Admin tab</t>
        </is>
      </c>
      <c r="I146" s="27" t="inlineStr">
        <is>
          <t>RTL</t>
        </is>
      </c>
      <c r="J146" s="33" t="inlineStr">
        <is>
          <t>Backlog</t>
        </is>
      </c>
      <c r="K146" s="33" t="inlineStr">
        <is>
          <t>team.manage now gates /session/revoke-all (ST-103) — the first thing it has ever gated.</t>
        </is>
      </c>
      <c r="L146" s="34" t="inlineStr">
        <is>
          <t>PARTIAL</t>
        </is>
      </c>
      <c r="M146" s="26" t="inlineStr">
        <is>
          <t>POST /session/revoke-all; GET /orgs/:id/audit-log; no invite/role UI</t>
        </is>
      </c>
    </row>
    <row r="147">
      <c r="A147" s="27" t="inlineStr">
        <is>
          <t>ST-144</t>
        </is>
      </c>
      <c r="B147" s="27" t="inlineStr">
        <is>
          <t>S19</t>
        </is>
      </c>
      <c r="C147" s="27" t="inlineStr">
        <is>
          <t>Enterprise</t>
        </is>
      </c>
      <c r="D147" s="27" t="inlineStr">
        <is>
          <t>Backups, PITR, stated RPO/RTO, SLO + on-call</t>
        </is>
      </c>
      <c r="E147" s="27" t="n">
        <v>5</v>
      </c>
      <c r="F147" s="27" t="inlineStr">
        <is>
          <t>P1</t>
        </is>
      </c>
      <c r="G147" s="27" t="inlineStr">
        <is>
          <t>S19</t>
        </is>
      </c>
      <c r="H147" s="27" t="inlineStr">
        <is>
          <t>docs/RUNBOOK.md</t>
        </is>
      </c>
      <c r="I147" s="27" t="inlineStr">
        <is>
          <t>Drill</t>
        </is>
      </c>
      <c r="J147" s="33" t="inlineStr">
        <is>
          <t>Backlog</t>
        </is>
      </c>
      <c r="K147" s="33" t="inlineStr">
        <is>
          <t>Application-level restore drill exists (ST-090); managed-instance PITR and quarterly drill are infra (Handover #4).</t>
        </is>
      </c>
      <c r="L147" s="34" t="inlineStr">
        <is>
          <t>NOT REACHABLE</t>
        </is>
      </c>
      <c r="M147" s="26" t="inlineStr">
        <is>
          <t>backlog: infra</t>
        </is>
      </c>
    </row>
    <row r="148">
      <c r="A148" s="27" t="inlineStr">
        <is>
          <t>ST-145</t>
        </is>
      </c>
      <c r="B148" s="27" t="inlineStr">
        <is>
          <t>S19</t>
        </is>
      </c>
      <c r="C148" s="27" t="inlineStr">
        <is>
          <t>Enterprise</t>
        </is>
      </c>
      <c r="D148" s="27" t="inlineStr">
        <is>
          <t>Enforced data residency (PR-09) or removal of the claim</t>
        </is>
      </c>
      <c r="E148" s="27" t="n">
        <v>5</v>
      </c>
      <c r="F148" s="27" t="inlineStr">
        <is>
          <t>P1</t>
        </is>
      </c>
      <c r="G148" s="27" t="inlineStr">
        <is>
          <t>S19</t>
        </is>
      </c>
      <c r="H148" s="27" t="inlineStr">
        <is>
          <t>GET /trust</t>
        </is>
      </c>
      <c r="I148" s="27" t="inlineStr">
        <is>
          <t>Claim gate</t>
        </is>
      </c>
      <c r="J148" s="33" t="inlineStr">
        <is>
          <t>Backlog</t>
        </is>
      </c>
      <c r="K148" s="33" t="inlineStr">
        <is>
          <t>/trust now reports regionEnforced:false and the trust page says so ("Not yet"); the claim is already removed from every artefact. Enforcement = per-region deployment.</t>
        </is>
      </c>
      <c r="L148" s="34" t="inlineStr">
        <is>
          <t>PARTIAL</t>
        </is>
      </c>
      <c r="M148" s="26" t="inlineStr">
        <is>
          <t>claim removed (ST-107); enforcement not built</t>
        </is>
      </c>
    </row>
    <row r="149">
      <c r="A149" s="27" t="inlineStr">
        <is>
          <t>ST-146</t>
        </is>
      </c>
      <c r="B149" s="27" t="inlineStr">
        <is>
          <t>S19</t>
        </is>
      </c>
      <c r="C149" s="27" t="inlineStr">
        <is>
          <t>Compliance</t>
        </is>
      </c>
      <c r="D149" s="27" t="inlineStr">
        <is>
          <t>DPA + subprocessor list, GDPR Art. 30, DPIA, consent artefact (LC-3), SOC 2 readiness</t>
        </is>
      </c>
      <c r="E149" s="27" t="n">
        <v>5</v>
      </c>
      <c r="F149" s="27" t="inlineStr">
        <is>
          <t>P1</t>
        </is>
      </c>
      <c r="G149" s="27" t="inlineStr">
        <is>
          <t>S19</t>
        </is>
      </c>
      <c r="H149" s="27" t="inlineStr">
        <is>
          <t>docs</t>
        </is>
      </c>
      <c r="I149" s="27" t="inlineStr">
        <is>
          <t>Legal review</t>
        </is>
      </c>
      <c r="J149" s="33" t="inlineStr">
        <is>
          <t>Backlog</t>
        </is>
      </c>
      <c r="K149" s="33" t="inlineStr">
        <is>
          <t>Subprocessor list is now accurate (src/claims.ts). Rest is programme work; PD-03.</t>
        </is>
      </c>
      <c r="L149" s="34" t="inlineStr">
        <is>
          <t>NOT REACHABLE</t>
        </is>
      </c>
      <c r="M149" s="26" t="inlineStr">
        <is>
          <t>backlog: PD-03 + legal</t>
        </is>
      </c>
    </row>
    <row r="150">
      <c r="A150" s="27" t="inlineStr">
        <is>
          <t>ST-147</t>
        </is>
      </c>
      <c r="B150" s="27" t="inlineStr">
        <is>
          <t>S19</t>
        </is>
      </c>
      <c r="C150" s="27" t="inlineStr">
        <is>
          <t>Security</t>
        </is>
      </c>
      <c r="D150" s="27" t="inlineStr">
        <is>
          <t>Third-party penetration test (OAuth install, tenancy, operator surface, CRM path) — closes LC-2/ST-068</t>
        </is>
      </c>
      <c r="E150" s="27" t="n">
        <v>4</v>
      </c>
      <c r="F150" s="27" t="inlineStr">
        <is>
          <t>P0</t>
        </is>
      </c>
      <c r="G150" s="27" t="inlineStr">
        <is>
          <t>S19</t>
        </is>
      </c>
      <c r="H150" s="27" t="inlineStr">
        <is>
          <t>—</t>
        </is>
      </c>
      <c r="I150" s="27" t="inlineStr">
        <is>
          <t>Vendor report</t>
        </is>
      </c>
      <c r="J150" s="33" t="inlineStr">
        <is>
          <t>Backlog</t>
        </is>
      </c>
      <c r="K150" s="33" t="inlineStr">
        <is>
          <t>PR-01 must be in scope. Handover #7.</t>
        </is>
      </c>
      <c r="L150" s="34" t="inlineStr">
        <is>
          <t>NOT REACHABLE</t>
        </is>
      </c>
      <c r="M150" s="26" t="inlineStr">
        <is>
          <t>backlog: vendor</t>
        </is>
      </c>
    </row>
    <row r="151">
      <c r="A151" s="27" t="inlineStr">
        <is>
          <t>ST-148</t>
        </is>
      </c>
      <c r="B151" s="27" t="inlineStr">
        <is>
          <t>S20</t>
        </is>
      </c>
      <c r="C151" s="27" t="inlineStr">
        <is>
          <t>Launch</t>
        </is>
      </c>
      <c r="D151" s="27" t="inlineStr">
        <is>
          <t>Zoom Marketplace submission — closes LC-1, G-01</t>
        </is>
      </c>
      <c r="E151" s="27" t="n">
        <v>3</v>
      </c>
      <c r="F151" s="27" t="inlineStr">
        <is>
          <t>P0</t>
        </is>
      </c>
      <c r="G151" s="27" t="inlineStr">
        <is>
          <t>S20</t>
        </is>
      </c>
      <c r="H151" s="27" t="inlineStr">
        <is>
          <t>—</t>
        </is>
      </c>
      <c r="I151" s="27" t="inlineStr">
        <is>
          <t>Human</t>
        </is>
      </c>
      <c r="J151" s="33" t="inlineStr">
        <is>
          <t>Backlog</t>
        </is>
      </c>
      <c r="K151" s="33" t="inlineStr">
        <is>
          <t>PD-05 hold lifted by v045; Handover #2 first.</t>
        </is>
      </c>
      <c r="L151" s="34" t="inlineStr">
        <is>
          <t>NOT REACHABLE</t>
        </is>
      </c>
      <c r="M151" s="26" t="inlineStr">
        <is>
          <t>backlog: Senthil</t>
        </is>
      </c>
    </row>
    <row r="152">
      <c r="A152" s="27" t="inlineStr">
        <is>
          <t>ST-149</t>
        </is>
      </c>
      <c r="B152" s="27" t="inlineStr">
        <is>
          <t>S20</t>
        </is>
      </c>
      <c r="C152" s="27" t="inlineStr">
        <is>
          <t>Launch</t>
        </is>
      </c>
      <c r="D152" s="27" t="inlineStr">
        <is>
          <t>Listing asset pack (video on ST-114 review screen, 5 screenshots, copy that passes ST-107)</t>
        </is>
      </c>
      <c r="E152" s="27" t="n">
        <v>3</v>
      </c>
      <c r="F152" s="27" t="inlineStr">
        <is>
          <t>P0</t>
        </is>
      </c>
      <c r="G152" s="27" t="inlineStr">
        <is>
          <t>S20</t>
        </is>
      </c>
      <c r="H152" s="27" t="inlineStr">
        <is>
          <t>—</t>
        </is>
      </c>
      <c r="I152" s="27" t="inlineStr">
        <is>
          <t>Human</t>
        </is>
      </c>
      <c r="J152" s="33" t="inlineStr">
        <is>
          <t>Backlog</t>
        </is>
      </c>
      <c r="K152" s="33" t="inlineStr">
        <is>
          <t>Copy HELD until PD-02 (docs/LISTING_COPY.md banner, gated).</t>
        </is>
      </c>
      <c r="L152" s="34" t="inlineStr">
        <is>
          <t>NOT REACHABLE</t>
        </is>
      </c>
      <c r="M152" s="26" t="inlineStr">
        <is>
          <t>backlog: PD-02 + live UI</t>
        </is>
      </c>
    </row>
    <row r="153">
      <c r="A153" s="27" t="inlineStr">
        <is>
          <t>ST-150</t>
        </is>
      </c>
      <c r="B153" s="27" t="inlineStr">
        <is>
          <t>S20</t>
        </is>
      </c>
      <c r="C153" s="27" t="inlineStr">
        <is>
          <t>Launch</t>
        </is>
      </c>
      <c r="D153" s="27" t="inlineStr">
        <is>
          <t>Manual accessibility pass on the live UI — closes Handover #22 / ST-089</t>
        </is>
      </c>
      <c r="E153" s="27" t="n">
        <v>3</v>
      </c>
      <c r="F153" s="27" t="inlineStr">
        <is>
          <t>P0</t>
        </is>
      </c>
      <c r="G153" s="27" t="inlineStr">
        <is>
          <t>S20</t>
        </is>
      </c>
      <c r="H153" s="27" t="inlineStr">
        <is>
          <t>—</t>
        </is>
      </c>
      <c r="I153" s="27" t="inlineStr">
        <is>
          <t>Human</t>
        </is>
      </c>
      <c r="J153" s="33" t="inlineStr">
        <is>
          <t>Backlog</t>
        </is>
      </c>
      <c r="K153" s="33" t="inlineStr">
        <is>
          <t>jsdom axe cannot judge contrast; needs a real install.</t>
        </is>
      </c>
      <c r="L153" s="34" t="inlineStr">
        <is>
          <t>NOT REACHABLE</t>
        </is>
      </c>
      <c r="M153" s="26" t="inlineStr">
        <is>
          <t>backlog: live install</t>
        </is>
      </c>
    </row>
    <row r="154">
      <c r="A154" s="27" t="inlineStr">
        <is>
          <t>ST-151</t>
        </is>
      </c>
      <c r="B154" s="27" t="inlineStr">
        <is>
          <t>S20</t>
        </is>
      </c>
      <c r="C154" s="27" t="inlineStr">
        <is>
          <t>Launch</t>
        </is>
      </c>
      <c r="D154" s="27" t="inlineStr">
        <is>
          <t>Design partners + first 10 paying installs, 3 reviews, activation &gt;40% — closes G-02</t>
        </is>
      </c>
      <c r="E154" s="27" t="n">
        <v>3</v>
      </c>
      <c r="F154" s="27" t="inlineStr">
        <is>
          <t>P0</t>
        </is>
      </c>
      <c r="G154" s="27" t="inlineStr">
        <is>
          <t>S20</t>
        </is>
      </c>
      <c r="H154" s="27" t="inlineStr">
        <is>
          <t>—</t>
        </is>
      </c>
      <c r="I154" s="27" t="inlineStr">
        <is>
          <t>Live</t>
        </is>
      </c>
      <c r="J154" s="33" t="inlineStr">
        <is>
          <t>Backlog</t>
        </is>
      </c>
      <c r="K154" s="33" t="inlineStr">
        <is>
          <t>Activation now measured (ST-141).</t>
        </is>
      </c>
      <c r="L154" s="34" t="inlineStr">
        <is>
          <t>NOT REACHABLE</t>
        </is>
      </c>
      <c r="M154" s="26" t="inlineStr">
        <is>
          <t>backlog: Senthil</t>
        </is>
      </c>
    </row>
  </sheetData>
  <mergeCells count="1">
    <mergeCell ref="A1:K1"/>
  </mergeCells>
  <dataValidations count="1">
    <dataValidation sqref="J4:J103" showDropDown="0" showInputMessage="0" showErrorMessage="0" allowBlank="1" type="list" errorStyle="stop" operator="between">
      <formula1>"Backlog,In progress,Done-in-code,Code-complete (pending live),Drafted,Done"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9" min="1" max="1"/>
    <col width="34" customWidth="1" style="19" min="2" max="2"/>
    <col width="9" customWidth="1" style="19" min="3" max="5"/>
    <col width="11" customWidth="1" style="19" min="6" max="6"/>
    <col width="12" customWidth="1" style="19" min="7" max="7"/>
    <col width="34" customWidth="1" style="19" min="8" max="8"/>
    <col width="40" customWidth="1" style="19" min="9" max="9"/>
  </cols>
  <sheetData>
    <row r="1" ht="15.75" customHeight="1" s="20">
      <c r="A1" s="21" t="inlineStr">
        <is>
          <t>SPRINT STATUS ROLLUP — live formulas over Traceability_Matrix</t>
        </is>
      </c>
    </row>
    <row r="2" ht="15" customHeight="1" s="20">
      <c r="A2" s="22" t="inlineStr">
        <is>
          <t>Do not edit computed cells. 'Done' counts Done-in-code + Done. Exit criteria from product workbook (S1–S12) and Perplexity Review V001 §7 (S13–S20). Ranges cover rows 4–154 of Traceability_Matrix (v040).</t>
        </is>
      </c>
    </row>
    <row r="3" ht="23.25" customHeight="1" s="20">
      <c r="A3" s="23" t="inlineStr">
        <is>
          <t>Sprint</t>
        </is>
      </c>
      <c r="B3" s="23" t="inlineStr">
        <is>
          <t>Focus</t>
        </is>
      </c>
      <c r="C3" s="23" t="inlineStr">
        <is>
          <t>Stories</t>
        </is>
      </c>
      <c r="D3" s="23" t="inlineStr">
        <is>
          <t>Points</t>
        </is>
      </c>
      <c r="E3" s="23" t="inlineStr">
        <is>
          <t>Done</t>
        </is>
      </c>
      <c r="F3" s="23" t="inlineStr">
        <is>
          <t>Done points</t>
        </is>
      </c>
      <c r="G3" s="23" t="inlineStr">
        <is>
          <t>% points done</t>
        </is>
      </c>
      <c r="H3" s="23" t="inlineStr">
        <is>
          <t>RAG (manual)</t>
        </is>
      </c>
      <c r="I3" s="23" t="inlineStr">
        <is>
          <t>Exit criteria</t>
        </is>
      </c>
    </row>
    <row r="4" ht="23.25" customHeight="1" s="20">
      <c r="A4" s="27" t="inlineStr">
        <is>
          <t>S1</t>
        </is>
      </c>
      <c r="B4" s="27" t="inlineStr">
        <is>
          <t>Foundation (2 wks)</t>
        </is>
      </c>
      <c r="C4" s="27">
        <f>COUNTIF(Traceability_Matrix!$G$4:$G$154,"S1")</f>
        <v/>
      </c>
      <c r="D4" s="27">
        <f>SUMIF(Traceability_Matrix!$G$4:$G$154,"S1",Traceability_Matrix!$E$4:$E$154)</f>
        <v/>
      </c>
      <c r="E4" s="27">
        <f>COUNTIFS(Traceability_Matrix!$G$4:$G$154,"S1",Traceability_Matrix!$J$4:$J$154,"Done-in-code")+COUNTIFS(Traceability_Matrix!$G$4:$G$154,"S1",Traceability_Matrix!$J$4:$J$154,"Done")</f>
        <v/>
      </c>
      <c r="F4" s="27">
        <f>SUMIFS(Traceability_Matrix!$E$4:$E$154,Traceability_Matrix!$G$4:$G$154,"S1",Traceability_Matrix!$J$4:$J$154,"Done-in-code")+SUMIFS(Traceability_Matrix!$E$4:$E$154,Traceability_Matrix!$G$4:$G$154,"S1",Traceability_Matrix!$J$4:$J$154,"Done")</f>
        <v/>
      </c>
      <c r="G4" s="36">
        <f>IFERROR((SUMIFS(Traceability_Matrix!$E$4:$E$154,Traceability_Matrix!$G$4:$G$154,"S1",Traceability_Matrix!$J$4:$J$154,"Done-in-code")+SUMIFS(Traceability_Matrix!$E$4:$E$154,Traceability_Matrix!$G$4:$G$154,"S1",Traceability_Matrix!$J$4:$J$154,"Done"))/SUMIF(Traceability_Matrix!$G$4:$G$154,"S1",Traceability_Matrix!$E$4:$E$154),0)</f>
        <v/>
      </c>
      <c r="H4" s="27" t="inlineStr">
        <is>
          <t>GREEN — 4/4 done-in-code; live install pending (LC-1)</t>
        </is>
      </c>
      <c r="I4" s="27" t="inlineStr">
        <is>
          <t>App installs cleanly in dev store/org; telemetry firing</t>
        </is>
      </c>
    </row>
    <row r="5" ht="15" customHeight="1" s="20">
      <c r="A5" s="27" t="inlineStr">
        <is>
          <t>S2</t>
        </is>
      </c>
      <c r="B5" s="27" t="inlineStr">
        <is>
          <t>Live notes panel pt 1</t>
        </is>
      </c>
      <c r="C5" s="27">
        <f>COUNTIF(Traceability_Matrix!$G$4:$G$154,"S2")</f>
        <v/>
      </c>
      <c r="D5" s="27">
        <f>SUMIF(Traceability_Matrix!$G$4:$G$154,"S2",Traceability_Matrix!$E$4:$E$154)</f>
        <v/>
      </c>
      <c r="E5" s="27">
        <f>COUNTIFS(Traceability_Matrix!$G$4:$G$154,"S2",Traceability_Matrix!$J$4:$J$154,"Done-in-code")+COUNTIFS(Traceability_Matrix!$G$4:$G$154,"S2",Traceability_Matrix!$J$4:$J$154,"Done")</f>
        <v/>
      </c>
      <c r="F5" s="27">
        <f>SUMIFS(Traceability_Matrix!$E$4:$E$154,Traceability_Matrix!$G$4:$G$154,"S2",Traceability_Matrix!$J$4:$J$154,"Done-in-code")+SUMIFS(Traceability_Matrix!$E$4:$E$154,Traceability_Matrix!$G$4:$G$154,"S2",Traceability_Matrix!$J$4:$J$154,"Done")</f>
        <v/>
      </c>
      <c r="G5" s="36">
        <f>IFERROR((SUMIFS(Traceability_Matrix!$E$4:$E$154,Traceability_Matrix!$G$4:$G$154,"S2",Traceability_Matrix!$J$4:$J$154,"Done-in-code")+SUMIFS(Traceability_Matrix!$E$4:$E$154,Traceability_Matrix!$G$4:$G$154,"S2",Traceability_Matrix!$J$4:$J$154,"Done"))/SUMIF(Traceability_Matrix!$G$4:$G$154,"S2",Traceability_Matrix!$E$4:$E$154),0)</f>
        <v/>
      </c>
      <c r="H5" s="27" t="inlineStr">
        <is>
          <t>GREEN — all done-in-code</t>
        </is>
      </c>
      <c r="I5" s="27" t="inlineStr">
        <is>
          <t>Live notes panel happy path demoable</t>
        </is>
      </c>
    </row>
    <row r="6" ht="15" customHeight="1" s="20">
      <c r="A6" s="27" t="inlineStr">
        <is>
          <t>S3</t>
        </is>
      </c>
      <c r="B6" s="27" t="inlineStr">
        <is>
          <t>Notes pt 2 + Extraction start</t>
        </is>
      </c>
      <c r="C6" s="27">
        <f>COUNTIF(Traceability_Matrix!$G$4:$G$154,"S3")</f>
        <v/>
      </c>
      <c r="D6" s="27">
        <f>SUMIF(Traceability_Matrix!$G$4:$G$154,"S3",Traceability_Matrix!$E$4:$E$154)</f>
        <v/>
      </c>
      <c r="E6" s="27">
        <f>COUNTIFS(Traceability_Matrix!$G$4:$G$154,"S3",Traceability_Matrix!$J$4:$J$154,"Done-in-code")+COUNTIFS(Traceability_Matrix!$G$4:$G$154,"S3",Traceability_Matrix!$J$4:$J$154,"Done")</f>
        <v/>
      </c>
      <c r="F6" s="27">
        <f>SUMIFS(Traceability_Matrix!$E$4:$E$154,Traceability_Matrix!$G$4:$G$154,"S3",Traceability_Matrix!$J$4:$J$154,"Done-in-code")+SUMIFS(Traceability_Matrix!$E$4:$E$154,Traceability_Matrix!$G$4:$G$154,"S3",Traceability_Matrix!$J$4:$J$154,"Done")</f>
        <v/>
      </c>
      <c r="G6" s="36">
        <f>IFERROR((SUMIFS(Traceability_Matrix!$E$4:$E$154,Traceability_Matrix!$G$4:$G$154,"S3",Traceability_Matrix!$J$4:$J$154,"Done-in-code")+SUMIFS(Traceability_Matrix!$E$4:$E$154,Traceability_Matrix!$G$4:$G$154,"S3",Traceability_Matrix!$J$4:$J$154,"Done"))/SUMIF(Traceability_Matrix!$G$4:$G$154,"S3",Traceability_Matrix!$E$4:$E$154),0)</f>
        <v/>
      </c>
      <c r="H6" s="27" t="inlineStr">
        <is>
          <t>GREEN — surface story pending live</t>
        </is>
      </c>
      <c r="I6" s="27" t="inlineStr">
        <is>
          <t>Notes complete with tests; extraction skeleton</t>
        </is>
      </c>
    </row>
    <row r="7" ht="15" customHeight="1" s="20">
      <c r="A7" s="27" t="inlineStr">
        <is>
          <t>S4</t>
        </is>
      </c>
      <c r="B7" s="27" t="inlineStr">
        <is>
          <t>Action-item extraction</t>
        </is>
      </c>
      <c r="C7" s="27">
        <f>COUNTIF(Traceability_Matrix!$G$4:$G$154,"S4")</f>
        <v/>
      </c>
      <c r="D7" s="27">
        <f>SUMIF(Traceability_Matrix!$G$4:$G$154,"S4",Traceability_Matrix!$E$4:$E$154)</f>
        <v/>
      </c>
      <c r="E7" s="27">
        <f>COUNTIFS(Traceability_Matrix!$G$4:$G$154,"S4",Traceability_Matrix!$J$4:$J$154,"Done-in-code")+COUNTIFS(Traceability_Matrix!$G$4:$G$154,"S4",Traceability_Matrix!$J$4:$J$154,"Done")</f>
        <v/>
      </c>
      <c r="F7" s="27">
        <f>SUMIFS(Traceability_Matrix!$E$4:$E$154,Traceability_Matrix!$G$4:$G$154,"S4",Traceability_Matrix!$J$4:$J$154,"Done-in-code")+SUMIFS(Traceability_Matrix!$E$4:$E$154,Traceability_Matrix!$G$4:$G$154,"S4",Traceability_Matrix!$J$4:$J$154,"Done")</f>
        <v/>
      </c>
      <c r="G7" s="36">
        <f>IFERROR((SUMIFS(Traceability_Matrix!$E$4:$E$154,Traceability_Matrix!$G$4:$G$154,"S4",Traceability_Matrix!$J$4:$J$154,"Done-in-code")+SUMIFS(Traceability_Matrix!$E$4:$E$154,Traceability_Matrix!$G$4:$G$154,"S4",Traceability_Matrix!$J$4:$J$154,"Done"))/SUMIF(Traceability_Matrix!$G$4:$G$154,"S4",Traceability_Matrix!$E$4:$E$154),0)</f>
        <v/>
      </c>
      <c r="H7" s="27" t="inlineStr">
        <is>
          <t>GREEN — exit met in-code</t>
        </is>
      </c>
      <c r="I7" s="27" t="inlineStr">
        <is>
          <t>MVP loop usable end-to-end internally</t>
        </is>
      </c>
    </row>
    <row r="8" ht="15" customHeight="1" s="20">
      <c r="A8" s="27" t="inlineStr">
        <is>
          <t>S5</t>
        </is>
      </c>
      <c r="B8" s="27" t="inlineStr">
        <is>
          <t>CRM writeback + alpha hardening</t>
        </is>
      </c>
      <c r="C8" s="27">
        <f>COUNTIF(Traceability_Matrix!$G$4:$G$154,"S5")</f>
        <v/>
      </c>
      <c r="D8" s="27">
        <f>SUMIF(Traceability_Matrix!$G$4:$G$154,"S5",Traceability_Matrix!$E$4:$E$154)</f>
        <v/>
      </c>
      <c r="E8" s="27">
        <f>COUNTIFS(Traceability_Matrix!$G$4:$G$154,"S5",Traceability_Matrix!$J$4:$J$154,"Done-in-code")+COUNTIFS(Traceability_Matrix!$G$4:$G$154,"S5",Traceability_Matrix!$J$4:$J$154,"Done")</f>
        <v/>
      </c>
      <c r="F8" s="27">
        <f>SUMIFS(Traceability_Matrix!$E$4:$E$154,Traceability_Matrix!$G$4:$G$154,"S5",Traceability_Matrix!$J$4:$J$154,"Done-in-code")+SUMIFS(Traceability_Matrix!$E$4:$E$154,Traceability_Matrix!$G$4:$G$154,"S5",Traceability_Matrix!$J$4:$J$154,"Done")</f>
        <v/>
      </c>
      <c r="G8" s="36">
        <f>IFERROR((SUMIFS(Traceability_Matrix!$E$4:$E$154,Traceability_Matrix!$G$4:$G$154,"S5",Traceability_Matrix!$J$4:$J$154,"Done-in-code")+SUMIFS(Traceability_Matrix!$E$4:$E$154,Traceability_Matrix!$G$4:$G$154,"S5",Traceability_Matrix!$J$4:$J$154,"Done"))/SUMIF(Traceability_Matrix!$G$4:$G$154,"S5",Traceability_Matrix!$E$4:$E$154),0)</f>
        <v/>
      </c>
      <c r="H8" s="27" t="inlineStr">
        <is>
          <t>GREEN — live CRM sandboxes pending</t>
        </is>
      </c>
      <c r="I8" s="27" t="inlineStr">
        <is>
          <t>Internal alpha: team dogfoods daily</t>
        </is>
      </c>
    </row>
    <row r="9" ht="23.25" customHeight="1" s="20">
      <c r="A9" s="27" t="inlineStr">
        <is>
          <t>S6</t>
        </is>
      </c>
      <c r="B9" s="27" t="inlineStr">
        <is>
          <t>Billing + Deal-risk signals</t>
        </is>
      </c>
      <c r="C9" s="27">
        <f>COUNTIF(Traceability_Matrix!$G$4:$G$154,"S6")</f>
        <v/>
      </c>
      <c r="D9" s="27">
        <f>SUMIF(Traceability_Matrix!$G$4:$G$154,"S6",Traceability_Matrix!$E$4:$E$154)</f>
        <v/>
      </c>
      <c r="E9" s="27">
        <f>COUNTIFS(Traceability_Matrix!$G$4:$G$154,"S6",Traceability_Matrix!$J$4:$J$154,"Done-in-code")+COUNTIFS(Traceability_Matrix!$G$4:$G$154,"S6",Traceability_Matrix!$J$4:$J$154,"Done")</f>
        <v/>
      </c>
      <c r="F9" s="27">
        <f>SUMIFS(Traceability_Matrix!$E$4:$E$154,Traceability_Matrix!$G$4:$G$154,"S6",Traceability_Matrix!$J$4:$J$154,"Done-in-code")+SUMIFS(Traceability_Matrix!$E$4:$E$154,Traceability_Matrix!$G$4:$G$154,"S6",Traceability_Matrix!$J$4:$J$154,"Done")</f>
        <v/>
      </c>
      <c r="G9" s="36">
        <f>IFERROR((SUMIFS(Traceability_Matrix!$E$4:$E$154,Traceability_Matrix!$G$4:$G$154,"S6",Traceability_Matrix!$J$4:$J$154,"Done-in-code")+SUMIFS(Traceability_Matrix!$E$4:$E$154,Traceability_Matrix!$G$4:$G$154,"S6",Traceability_Matrix!$J$4:$J$154,"Done"))/SUMIF(Traceability_Matrix!$G$4:$G$154,"S6",Traceability_Matrix!$E$4:$E$154),0)</f>
        <v/>
      </c>
      <c r="H9" s="27" t="inlineStr">
        <is>
          <t>GREEN — marketplace billing verification pending</t>
        </is>
      </c>
      <c r="I9" s="27" t="inlineStr">
        <is>
          <t>Can charge a test customer; up/downgrade paths work</t>
        </is>
      </c>
    </row>
    <row r="10" ht="23.25" customHeight="1" s="20">
      <c r="A10" s="27" t="inlineStr">
        <is>
          <t>S7</t>
        </is>
      </c>
      <c r="B10" s="27" t="inlineStr">
        <is>
          <t>Private beta (design partners)</t>
        </is>
      </c>
      <c r="C10" s="27">
        <f>COUNTIF(Traceability_Matrix!$G$4:$G$154,"S7")</f>
        <v/>
      </c>
      <c r="D10" s="27">
        <f>SUMIF(Traceability_Matrix!$G$4:$G$154,"S7",Traceability_Matrix!$E$4:$E$154)</f>
        <v/>
      </c>
      <c r="E10" s="27">
        <f>COUNTIFS(Traceability_Matrix!$G$4:$G$154,"S7",Traceability_Matrix!$J$4:$J$154,"Done-in-code")+COUNTIFS(Traceability_Matrix!$G$4:$G$154,"S7",Traceability_Matrix!$J$4:$J$154,"Done")</f>
        <v/>
      </c>
      <c r="F10" s="27">
        <f>SUMIFS(Traceability_Matrix!$E$4:$E$154,Traceability_Matrix!$G$4:$G$154,"S7",Traceability_Matrix!$J$4:$J$154,"Done-in-code")+SUMIFS(Traceability_Matrix!$E$4:$E$154,Traceability_Matrix!$G$4:$G$154,"S7",Traceability_Matrix!$J$4:$J$154,"Done")</f>
        <v/>
      </c>
      <c r="G10" s="36">
        <f>IFERROR((SUMIFS(Traceability_Matrix!$E$4:$E$154,Traceability_Matrix!$G$4:$G$154,"S7",Traceability_Matrix!$J$4:$J$154,"Done-in-code")+SUMIFS(Traceability_Matrix!$E$4:$E$154,Traceability_Matrix!$G$4:$G$154,"S7",Traceability_Matrix!$J$4:$J$154,"Done"))/SUMIF(Traceability_Matrix!$G$4:$G$154,"S7",Traceability_Matrix!$E$4:$E$154),0)</f>
        <v/>
      </c>
      <c r="H10" s="27" t="inlineStr">
        <is>
          <t>AMBER — code done; beta humans pending</t>
        </is>
      </c>
      <c r="I10" s="27" t="inlineStr">
        <is>
          <t>3+ partners active weekly; NPS pulse &gt;30</t>
        </is>
      </c>
    </row>
    <row r="11" ht="23.25" customHeight="1" s="20">
      <c r="A11" s="27" t="inlineStr">
        <is>
          <t>S8</t>
        </is>
      </c>
      <c r="B11" s="27" t="inlineStr">
        <is>
          <t>Beta iteration + Indic pack</t>
        </is>
      </c>
      <c r="C11" s="27">
        <f>COUNTIF(Traceability_Matrix!$G$4:$G$154,"S8")</f>
        <v/>
      </c>
      <c r="D11" s="27">
        <f>SUMIF(Traceability_Matrix!$G$4:$G$154,"S8",Traceability_Matrix!$E$4:$E$154)</f>
        <v/>
      </c>
      <c r="E11" s="27">
        <f>COUNTIFS(Traceability_Matrix!$G$4:$G$154,"S8",Traceability_Matrix!$J$4:$J$154,"Done-in-code")+COUNTIFS(Traceability_Matrix!$G$4:$G$154,"S8",Traceability_Matrix!$J$4:$J$154,"Done")</f>
        <v/>
      </c>
      <c r="F11" s="27">
        <f>SUMIFS(Traceability_Matrix!$E$4:$E$154,Traceability_Matrix!$G$4:$G$154,"S8",Traceability_Matrix!$J$4:$J$154,"Done-in-code")+SUMIFS(Traceability_Matrix!$E$4:$E$154,Traceability_Matrix!$G$4:$G$154,"S8",Traceability_Matrix!$J$4:$J$154,"Done")</f>
        <v/>
      </c>
      <c r="G11" s="36">
        <f>IFERROR((SUMIFS(Traceability_Matrix!$E$4:$E$154,Traceability_Matrix!$G$4:$G$154,"S8",Traceability_Matrix!$J$4:$J$154,"Done-in-code")+SUMIFS(Traceability_Matrix!$E$4:$E$154,Traceability_Matrix!$G$4:$G$154,"S8",Traceability_Matrix!$J$4:$J$154,"Done"))/SUMIF(Traceability_Matrix!$G$4:$G$154,"S8",Traceability_Matrix!$E$4:$E$154),0)</f>
        <v/>
      </c>
      <c r="H11" s="27" t="inlineStr">
        <is>
          <t>AMBER — code done; live load/deploy/infra pending</t>
        </is>
      </c>
      <c r="I11" s="27" t="inlineStr">
        <is>
          <t>Beta cohort WoW retention &gt;60%</t>
        </is>
      </c>
    </row>
    <row r="12" ht="15" customHeight="1" s="20">
      <c r="A12" s="27" t="inlineStr">
        <is>
          <t>S9</t>
        </is>
      </c>
      <c r="B12" s="27" t="inlineStr">
        <is>
          <t>Marketplace review prep</t>
        </is>
      </c>
      <c r="C12" s="27">
        <f>COUNTIF(Traceability_Matrix!$G$4:$G$154,"S9")</f>
        <v/>
      </c>
      <c r="D12" s="27">
        <f>SUMIF(Traceability_Matrix!$G$4:$G$154,"S9",Traceability_Matrix!$E$4:$E$154)</f>
        <v/>
      </c>
      <c r="E12" s="27">
        <f>COUNTIFS(Traceability_Matrix!$G$4:$G$154,"S9",Traceability_Matrix!$J$4:$J$154,"Done-in-code")+COUNTIFS(Traceability_Matrix!$G$4:$G$154,"S9",Traceability_Matrix!$J$4:$J$154,"Done")</f>
        <v/>
      </c>
      <c r="F12" s="27">
        <f>SUMIFS(Traceability_Matrix!$E$4:$E$154,Traceability_Matrix!$G$4:$G$154,"S9",Traceability_Matrix!$J$4:$J$154,"Done-in-code")+SUMIFS(Traceability_Matrix!$E$4:$E$154,Traceability_Matrix!$G$4:$G$154,"S9",Traceability_Matrix!$J$4:$J$154,"Done")</f>
        <v/>
      </c>
      <c r="G12" s="36">
        <f>IFERROR((SUMIFS(Traceability_Matrix!$E$4:$E$154,Traceability_Matrix!$G$4:$G$154,"S9",Traceability_Matrix!$J$4:$J$154,"Done-in-code")+SUMIFS(Traceability_Matrix!$E$4:$E$154,Traceability_Matrix!$G$4:$G$154,"S9",Traceability_Matrix!$J$4:$J$154,"Done"))/SUMIF(Traceability_Matrix!$G$4:$G$154,"S9",Traceability_Matrix!$E$4:$E$154),0)</f>
        <v/>
      </c>
      <c r="H12" s="27" t="n"/>
      <c r="I12" s="27" t="inlineStr">
        <is>
          <t>Review submission accepted into queue</t>
        </is>
      </c>
    </row>
    <row r="13" ht="15" customHeight="1" s="20">
      <c r="A13" s="27" t="inlineStr">
        <is>
          <t>S10</t>
        </is>
      </c>
      <c r="B13" s="27" t="inlineStr">
        <is>
          <t>Review remediation + docs</t>
        </is>
      </c>
      <c r="C13" s="27">
        <f>COUNTIF(Traceability_Matrix!$G$4:$G$154,"S10")</f>
        <v/>
      </c>
      <c r="D13" s="27">
        <f>SUMIF(Traceability_Matrix!$G$4:$G$154,"S10",Traceability_Matrix!$E$4:$E$154)</f>
        <v/>
      </c>
      <c r="E13" s="27">
        <f>COUNTIFS(Traceability_Matrix!$G$4:$G$154,"S10",Traceability_Matrix!$J$4:$J$154,"Done-in-code")+COUNTIFS(Traceability_Matrix!$G$4:$G$154,"S10",Traceability_Matrix!$J$4:$J$154,"Done")</f>
        <v/>
      </c>
      <c r="F13" s="27">
        <f>SUMIFS(Traceability_Matrix!$E$4:$E$154,Traceability_Matrix!$G$4:$G$154,"S10",Traceability_Matrix!$J$4:$J$154,"Done-in-code")+SUMIFS(Traceability_Matrix!$E$4:$E$154,Traceability_Matrix!$G$4:$G$154,"S10",Traceability_Matrix!$J$4:$J$154,"Done")</f>
        <v/>
      </c>
      <c r="G13" s="36">
        <f>IFERROR((SUMIFS(Traceability_Matrix!$E$4:$E$154,Traceability_Matrix!$G$4:$G$154,"S10",Traceability_Matrix!$J$4:$J$154,"Done-in-code")+SUMIFS(Traceability_Matrix!$E$4:$E$154,Traceability_Matrix!$G$4:$G$154,"S10",Traceability_Matrix!$J$4:$J$154,"Done"))/SUMIF(Traceability_Matrix!$G$4:$G$154,"S10",Traceability_Matrix!$E$4:$E$154),0)</f>
        <v/>
      </c>
      <c r="H13" s="27" t="n"/>
      <c r="I13" s="27" t="inlineStr">
        <is>
          <t>Marketplace approval obtained</t>
        </is>
      </c>
    </row>
    <row r="14" ht="15" customHeight="1" s="20">
      <c r="A14" s="27" t="inlineStr">
        <is>
          <t>S11</t>
        </is>
      </c>
      <c r="B14" s="27" t="inlineStr">
        <is>
          <t>Launch</t>
        </is>
      </c>
      <c r="C14" s="27">
        <f>COUNTIF(Traceability_Matrix!$G$4:$G$154,"S11")</f>
        <v/>
      </c>
      <c r="D14" s="27">
        <f>SUMIF(Traceability_Matrix!$G$4:$G$154,"S11",Traceability_Matrix!$E$4:$E$154)</f>
        <v/>
      </c>
      <c r="E14" s="27">
        <f>COUNTIFS(Traceability_Matrix!$G$4:$G$154,"S11",Traceability_Matrix!$J$4:$J$154,"Done-in-code")+COUNTIFS(Traceability_Matrix!$G$4:$G$154,"S11",Traceability_Matrix!$J$4:$J$154,"Done")</f>
        <v/>
      </c>
      <c r="F14" s="27">
        <f>SUMIFS(Traceability_Matrix!$E$4:$E$154,Traceability_Matrix!$G$4:$G$154,"S11",Traceability_Matrix!$J$4:$J$154,"Done-in-code")+SUMIFS(Traceability_Matrix!$E$4:$E$154,Traceability_Matrix!$G$4:$G$154,"S11",Traceability_Matrix!$J$4:$J$154,"Done")</f>
        <v/>
      </c>
      <c r="G14" s="36">
        <f>IFERROR((SUMIFS(Traceability_Matrix!$E$4:$E$154,Traceability_Matrix!$G$4:$G$154,"S11",Traceability_Matrix!$J$4:$J$154,"Done-in-code")+SUMIFS(Traceability_Matrix!$E$4:$E$154,Traceability_Matrix!$G$4:$G$154,"S11",Traceability_Matrix!$J$4:$J$154,"Done"))/SUMIF(Traceability_Matrix!$G$4:$G$154,"S11",Traceability_Matrix!$E$4:$E$154),0)</f>
        <v/>
      </c>
      <c r="H14" s="27" t="n"/>
      <c r="I14" s="27" t="inlineStr">
        <is>
          <t>First 10 installs; first 3 reviews; activation &gt;40%</t>
        </is>
      </c>
    </row>
    <row r="15" ht="15" customHeight="1" s="20">
      <c r="A15" s="27" t="inlineStr">
        <is>
          <t>S12</t>
        </is>
      </c>
      <c r="B15" s="27" t="inlineStr">
        <is>
          <t>Iterate &amp; scale decision</t>
        </is>
      </c>
      <c r="C15" s="27">
        <f>COUNTIF(Traceability_Matrix!$G$4:$G$154,"S12")</f>
        <v/>
      </c>
      <c r="D15" s="27">
        <f>SUMIF(Traceability_Matrix!$G$4:$G$154,"S12",Traceability_Matrix!$E$4:$E$154)</f>
        <v/>
      </c>
      <c r="E15" s="27">
        <f>COUNTIFS(Traceability_Matrix!$G$4:$G$154,"S12",Traceability_Matrix!$J$4:$J$154,"Done-in-code")+COUNTIFS(Traceability_Matrix!$G$4:$G$154,"S12",Traceability_Matrix!$J$4:$J$154,"Done")</f>
        <v/>
      </c>
      <c r="F15" s="27">
        <f>SUMIFS(Traceability_Matrix!$E$4:$E$154,Traceability_Matrix!$G$4:$G$154,"S12",Traceability_Matrix!$J$4:$J$154,"Done-in-code")+SUMIFS(Traceability_Matrix!$E$4:$E$154,Traceability_Matrix!$G$4:$G$154,"S12",Traceability_Matrix!$J$4:$J$154,"Done")</f>
        <v/>
      </c>
      <c r="G15" s="36">
        <f>IFERROR((SUMIFS(Traceability_Matrix!$E$4:$E$154,Traceability_Matrix!$G$4:$G$154,"S12",Traceability_Matrix!$J$4:$J$154,"Done-in-code")+SUMIFS(Traceability_Matrix!$E$4:$E$154,Traceability_Matrix!$G$4:$G$154,"S12",Traceability_Matrix!$J$4:$J$154,"Done"))/SUMIF(Traceability_Matrix!$G$4:$G$154,"S12",Traceability_Matrix!$E$4:$E$154),0)</f>
        <v/>
      </c>
      <c r="H15" s="27" t="n"/>
      <c r="I15" s="27" t="inlineStr">
        <is>
          <t>Growth model doc with CAC/LTV first estimates</t>
        </is>
      </c>
    </row>
    <row r="16" ht="15" customHeight="1" s="20">
      <c r="A16" s="27" t="inlineStr">
        <is>
          <t>S13</t>
        </is>
      </c>
      <c r="B16" s="27" t="inlineStr">
        <is>
          <t>Trust &amp; tenancy hardening (BLOCKING)</t>
        </is>
      </c>
      <c r="C16" s="27">
        <f>COUNTIF(Traceability_Matrix!$G$4:$G$154,"S13")</f>
        <v/>
      </c>
      <c r="D16" s="27">
        <f>SUMIF(Traceability_Matrix!$G$4:$G$154,"S13",Traceability_Matrix!$E$4:$E$154)</f>
        <v/>
      </c>
      <c r="E16" s="27">
        <f>COUNTIFS(Traceability_Matrix!$G$4:$G$154,"S13",Traceability_Matrix!$J$4:$J$154,"Done-in-code")+COUNTIFS(Traceability_Matrix!$G$4:$G$154,"S13",Traceability_Matrix!$J$4:$J$154,"Done")</f>
        <v/>
      </c>
      <c r="F16" s="27">
        <f>SUMIFS(Traceability_Matrix!$E$4:$E$154,Traceability_Matrix!$G$4:$G$154,"S13",Traceability_Matrix!$J$4:$J$154,"Done-in-code")+SUMIFS(Traceability_Matrix!$E$4:$E$154,Traceability_Matrix!$G$4:$G$154,"S13",Traceability_Matrix!$J$4:$J$154,"Done")</f>
        <v/>
      </c>
      <c r="G16" s="36">
        <f>IFERROR((SUMIFS(Traceability_Matrix!$E$4:$E$154,Traceability_Matrix!$G$4:$G$154,"S13",Traceability_Matrix!$J$4:$J$154,"Done-in-code")+SUMIFS(Traceability_Matrix!$E$4:$E$154,Traceability_Matrix!$G$4:$G$154,"S13",Traceability_Matrix!$J$4:$J$154,"Done"))/SUMIF(Traceability_Matrix!$G$4:$G$154,"S13",Traceability_Matrix!$E$4:$E$154),0)</f>
        <v/>
      </c>
      <c r="H16" s="27" t="inlineStr">
        <is>
          <t>GREEN — 8/8 done-in-code at v045; PR-01/06/07/08/10 pinned</t>
        </is>
      </c>
      <c r="I16" s="27" t="inlineStr">
        <is>
          <t>Caller cannot install onto a workspace it does not own; every trust-page claim maps to code</t>
        </is>
      </c>
    </row>
    <row r="17">
      <c r="A17" s="27" t="inlineStr">
        <is>
          <t>S14</t>
        </is>
      </c>
      <c r="B17" s="27" t="inlineStr">
        <is>
          <t>Close the product loop</t>
        </is>
      </c>
      <c r="C17" s="27">
        <f>COUNTIF(Traceability_Matrix!$G$4:$G$154,"S14")</f>
        <v/>
      </c>
      <c r="D17" s="27">
        <f>SUMIF(Traceability_Matrix!$G$4:$G$154,"S14",Traceability_Matrix!$E$4:$E$154)</f>
        <v/>
      </c>
      <c r="E17" s="27">
        <f>COUNTIFS(Traceability_Matrix!$G$4:$G$154,"S14",Traceability_Matrix!$J$4:$J$154,"Done-in-code")+COUNTIFS(Traceability_Matrix!$G$4:$G$154,"S14",Traceability_Matrix!$J$4:$J$154,"Done")</f>
        <v/>
      </c>
      <c r="F17" s="27">
        <f>SUMIFS(Traceability_Matrix!$E$4:$E$154,Traceability_Matrix!$G$4:$G$154,"S14",Traceability_Matrix!$J$4:$J$154,"Done-in-code")+SUMIFS(Traceability_Matrix!$E$4:$E$154,Traceability_Matrix!$G$4:$G$154,"S14",Traceability_Matrix!$J$4:$J$154,"Done")</f>
        <v/>
      </c>
      <c r="G17" s="36">
        <f>IFERROR((SUMIFS(Traceability_Matrix!$E$4:$E$154,Traceability_Matrix!$G$4:$G$154,"S14",Traceability_Matrix!$J$4:$J$154,"Done-in-code")+SUMIFS(Traceability_Matrix!$E$4:$E$154,Traceability_Matrix!$G$4:$G$154,"S14",Traceability_Matrix!$J$4:$J$154,"Done"))/SUMIF(Traceability_Matrix!$G$4:$G$154,"S14",Traceability_Matrix!$E$4:$E$154),0)</f>
        <v/>
      </c>
      <c r="H17" s="27" t="inlineStr">
        <is>
          <t>GREEN — 7/7 done-in-code; live webhook half pending S9-01; mail transport config = Senthil</t>
        </is>
      </c>
      <c r="I17" s="27" t="inlineStr">
        <is>
          <t>Signed webhook → extract → staged → panel renders from API → approve → CRM audit row</t>
        </is>
      </c>
    </row>
    <row r="18">
      <c r="A18" s="27" t="inlineStr">
        <is>
          <t>S15</t>
        </is>
      </c>
      <c r="B18" s="27" t="inlineStr">
        <is>
          <t>Real intelligence + evaluation</t>
        </is>
      </c>
      <c r="C18" s="27">
        <f>COUNTIF(Traceability_Matrix!$G$4:$G$154,"S15")</f>
        <v/>
      </c>
      <c r="D18" s="27">
        <f>SUMIF(Traceability_Matrix!$G$4:$G$154,"S15",Traceability_Matrix!$E$4:$E$154)</f>
        <v/>
      </c>
      <c r="E18" s="27">
        <f>COUNTIFS(Traceability_Matrix!$G$4:$G$154,"S15",Traceability_Matrix!$J$4:$J$154,"Done-in-code")+COUNTIFS(Traceability_Matrix!$G$4:$G$154,"S15",Traceability_Matrix!$J$4:$J$154,"Done")</f>
        <v/>
      </c>
      <c r="F18" s="27">
        <f>SUMIFS(Traceability_Matrix!$E$4:$E$154,Traceability_Matrix!$G$4:$G$154,"S15",Traceability_Matrix!$J$4:$J$154,"Done-in-code")+SUMIFS(Traceability_Matrix!$E$4:$E$154,Traceability_Matrix!$G$4:$G$154,"S15",Traceability_Matrix!$J$4:$J$154,"Done")</f>
        <v/>
      </c>
      <c r="G18" s="36">
        <f>IFERROR((SUMIFS(Traceability_Matrix!$E$4:$E$154,Traceability_Matrix!$G$4:$G$154,"S15",Traceability_Matrix!$J$4:$J$154,"Done-in-code")+SUMIFS(Traceability_Matrix!$E$4:$E$154,Traceability_Matrix!$G$4:$G$154,"S15",Traceability_Matrix!$J$4:$J$154,"Done"))/SUMIF(Traceability_Matrix!$G$4:$G$154,"S15",Traceability_Matrix!$E$4:$E$154),0)</f>
        <v/>
      </c>
      <c r="H18" s="27" t="inlineStr">
        <is>
          <t>RED — 0/8; gated by PD-02</t>
        </is>
      </c>
      <c r="I18" s="27" t="inlineStr">
        <is>
          <t>Golden set ≥100 with per-field P/R, CI floor, cost cap, no-model fallback</t>
        </is>
      </c>
    </row>
    <row r="19">
      <c r="A19" s="27" t="inlineStr">
        <is>
          <t>S16</t>
        </is>
      </c>
      <c r="B19" s="27" t="inlineStr">
        <is>
          <t>Indic wedge, proven</t>
        </is>
      </c>
      <c r="C19" s="27">
        <f>COUNTIF(Traceability_Matrix!$G$4:$G$154,"S16")</f>
        <v/>
      </c>
      <c r="D19" s="27">
        <f>SUMIF(Traceability_Matrix!$G$4:$G$154,"S16",Traceability_Matrix!$E$4:$E$154)</f>
        <v/>
      </c>
      <c r="E19" s="27">
        <f>COUNTIFS(Traceability_Matrix!$G$4:$G$154,"S16",Traceability_Matrix!$J$4:$J$154,"Done-in-code")+COUNTIFS(Traceability_Matrix!$G$4:$G$154,"S16",Traceability_Matrix!$J$4:$J$154,"Done")</f>
        <v/>
      </c>
      <c r="F19" s="27">
        <f>SUMIFS(Traceability_Matrix!$E$4:$E$154,Traceability_Matrix!$G$4:$G$154,"S16",Traceability_Matrix!$J$4:$J$154,"Done-in-code")+SUMIFS(Traceability_Matrix!$E$4:$E$154,Traceability_Matrix!$G$4:$G$154,"S16",Traceability_Matrix!$J$4:$J$154,"Done")</f>
        <v/>
      </c>
      <c r="G19" s="36">
        <f>IFERROR((SUMIFS(Traceability_Matrix!$E$4:$E$154,Traceability_Matrix!$G$4:$G$154,"S16",Traceability_Matrix!$J$4:$J$154,"Done-in-code")+SUMIFS(Traceability_Matrix!$E$4:$E$154,Traceability_Matrix!$G$4:$G$154,"S16",Traceability_Matrix!$J$4:$J$154,"Done"))/SUMIF(Traceability_Matrix!$G$4:$G$154,"S16",Traceability_Matrix!$E$4:$E$154),0)</f>
        <v/>
      </c>
      <c r="H19" s="27" t="inlineStr">
        <is>
          <t>RED — 0/5; gated by PD-02/PD-04 + corpus</t>
        </is>
      </c>
      <c r="I19" s="27" t="inlineStr">
        <is>
          <t>Published WER + field accuracy vs Zoom on ≥50 real calls</t>
        </is>
      </c>
    </row>
    <row r="20">
      <c r="A20" s="27" t="inlineStr">
        <is>
          <t>S17</t>
        </is>
      </c>
      <c r="B20" s="27" t="inlineStr">
        <is>
          <t>Live CRM depth</t>
        </is>
      </c>
      <c r="C20" s="27">
        <f>COUNTIF(Traceability_Matrix!$G$4:$G$154,"S17")</f>
        <v/>
      </c>
      <c r="D20" s="27">
        <f>SUMIF(Traceability_Matrix!$G$4:$G$154,"S17",Traceability_Matrix!$E$4:$E$154)</f>
        <v/>
      </c>
      <c r="E20" s="27">
        <f>COUNTIFS(Traceability_Matrix!$G$4:$G$154,"S17",Traceability_Matrix!$J$4:$J$154,"Done-in-code")+COUNTIFS(Traceability_Matrix!$G$4:$G$154,"S17",Traceability_Matrix!$J$4:$J$154,"Done")</f>
        <v/>
      </c>
      <c r="F20" s="27">
        <f>SUMIFS(Traceability_Matrix!$E$4:$E$154,Traceability_Matrix!$G$4:$G$154,"S17",Traceability_Matrix!$J$4:$J$154,"Done-in-code")+SUMIFS(Traceability_Matrix!$E$4:$E$154,Traceability_Matrix!$G$4:$G$154,"S17",Traceability_Matrix!$J$4:$J$154,"Done")</f>
        <v/>
      </c>
      <c r="G20" s="36">
        <f>IFERROR((SUMIFS(Traceability_Matrix!$E$4:$E$154,Traceability_Matrix!$G$4:$G$154,"S17",Traceability_Matrix!$J$4:$J$154,"Done-in-code")+SUMIFS(Traceability_Matrix!$E$4:$E$154,Traceability_Matrix!$G$4:$G$154,"S17",Traceability_Matrix!$J$4:$J$154,"Done"))/SUMIF(Traceability_Matrix!$G$4:$G$154,"S17",Traceability_Matrix!$E$4:$E$154),0)</f>
        <v/>
      </c>
      <c r="H20" s="27" t="inlineStr">
        <is>
          <t>RED — 0/7 (2 partial seeds); needs sandbox creds (Handover #3)</t>
        </is>
      </c>
      <c r="I20" s="27" t="inlineStr">
        <is>
          <t>Live writes to HubSpot/Salesforce/Zoho; mapping UI; HubSpot listing submitted; LC-6 closed</t>
        </is>
      </c>
    </row>
    <row r="21">
      <c r="A21" s="27" t="inlineStr">
        <is>
          <t>S18</t>
        </is>
      </c>
      <c r="B21" s="27" t="inlineStr">
        <is>
          <t>Commercial engine</t>
        </is>
      </c>
      <c r="C21" s="27">
        <f>COUNTIF(Traceability_Matrix!$G$4:$G$154,"S18")</f>
        <v/>
      </c>
      <c r="D21" s="27">
        <f>SUMIF(Traceability_Matrix!$G$4:$G$154,"S18",Traceability_Matrix!$E$4:$E$154)</f>
        <v/>
      </c>
      <c r="E21" s="27">
        <f>COUNTIFS(Traceability_Matrix!$G$4:$G$154,"S18",Traceability_Matrix!$J$4:$J$154,"Done-in-code")+COUNTIFS(Traceability_Matrix!$G$4:$G$154,"S18",Traceability_Matrix!$J$4:$J$154,"Done")</f>
        <v/>
      </c>
      <c r="F21" s="27">
        <f>SUMIFS(Traceability_Matrix!$E$4:$E$154,Traceability_Matrix!$G$4:$G$154,"S18",Traceability_Matrix!$J$4:$J$154,"Done-in-code")+SUMIFS(Traceability_Matrix!$E$4:$E$154,Traceability_Matrix!$G$4:$G$154,"S18",Traceability_Matrix!$J$4:$J$154,"Done")</f>
        <v/>
      </c>
      <c r="G21" s="36">
        <f>IFERROR((SUMIFS(Traceability_Matrix!$E$4:$E$154,Traceability_Matrix!$G$4:$G$154,"S18",Traceability_Matrix!$J$4:$J$154,"Done-in-code")+SUMIFS(Traceability_Matrix!$E$4:$E$154,Traceability_Matrix!$G$4:$G$154,"S18",Traceability_Matrix!$J$4:$J$154,"Done"))/SUMIF(Traceability_Matrix!$G$4:$G$154,"S18",Traceability_Matrix!$E$4:$E$154),0)</f>
        <v/>
      </c>
      <c r="H21" s="27" t="inlineStr">
        <is>
          <t>AMBER — 1/6 (ST-141); PD-01 gates the rest</t>
        </is>
      </c>
      <c r="I21" s="27" t="inlineStr">
        <is>
          <t>Test customer charged and refunded end-to-end; pricing consistent everywhere; seats detected</t>
        </is>
      </c>
    </row>
    <row r="22">
      <c r="A22" s="27" t="inlineStr">
        <is>
          <t>S19</t>
        </is>
      </c>
      <c r="B22" s="27" t="inlineStr">
        <is>
          <t>Enterprise readiness</t>
        </is>
      </c>
      <c r="C22" s="27">
        <f>COUNTIF(Traceability_Matrix!$G$4:$G$154,"S19")</f>
        <v/>
      </c>
      <c r="D22" s="27">
        <f>SUMIF(Traceability_Matrix!$G$4:$G$154,"S19",Traceability_Matrix!$E$4:$E$154)</f>
        <v/>
      </c>
      <c r="E22" s="27">
        <f>COUNTIFS(Traceability_Matrix!$G$4:$G$154,"S19",Traceability_Matrix!$J$4:$J$154,"Done-in-code")+COUNTIFS(Traceability_Matrix!$G$4:$G$154,"S19",Traceability_Matrix!$J$4:$J$154,"Done")</f>
        <v/>
      </c>
      <c r="F22" s="27">
        <f>SUMIFS(Traceability_Matrix!$E$4:$E$154,Traceability_Matrix!$G$4:$G$154,"S19",Traceability_Matrix!$J$4:$J$154,"Done-in-code")+SUMIFS(Traceability_Matrix!$E$4:$E$154,Traceability_Matrix!$G$4:$G$154,"S19",Traceability_Matrix!$J$4:$J$154,"Done")</f>
        <v/>
      </c>
      <c r="G22" s="36">
        <f>IFERROR((SUMIFS(Traceability_Matrix!$E$4:$E$154,Traceability_Matrix!$G$4:$G$154,"S19",Traceability_Matrix!$J$4:$J$154,"Done-in-code")+SUMIFS(Traceability_Matrix!$E$4:$E$154,Traceability_Matrix!$G$4:$G$154,"S19",Traceability_Matrix!$J$4:$J$154,"Done"))/SUMIF(Traceability_Matrix!$G$4:$G$154,"S19",Traceability_Matrix!$E$4:$E$154),0)</f>
        <v/>
      </c>
      <c r="H22" s="27" t="inlineStr">
        <is>
          <t>RED — 0/6 (2 partial); PD-03 decides whether it blocks launch</t>
        </is>
      </c>
      <c r="I22" s="27" t="inlineStr">
        <is>
          <t>Survives a 500-person security questionnaire</t>
        </is>
      </c>
    </row>
    <row r="23">
      <c r="A23" s="27" t="inlineStr">
        <is>
          <t>S20</t>
        </is>
      </c>
      <c r="B23" s="27" t="inlineStr">
        <is>
          <t>Launch &amp; proof</t>
        </is>
      </c>
      <c r="C23" s="27">
        <f>COUNTIF(Traceability_Matrix!$G$4:$G$154,"S20")</f>
        <v/>
      </c>
      <c r="D23" s="27">
        <f>SUMIF(Traceability_Matrix!$G$4:$G$154,"S20",Traceability_Matrix!$E$4:$E$154)</f>
        <v/>
      </c>
      <c r="E23" s="27">
        <f>COUNTIFS(Traceability_Matrix!$G$4:$G$154,"S20",Traceability_Matrix!$J$4:$J$154,"Done-in-code")+COUNTIFS(Traceability_Matrix!$G$4:$G$154,"S20",Traceability_Matrix!$J$4:$J$154,"Done")</f>
        <v/>
      </c>
      <c r="F23" s="27">
        <f>SUMIFS(Traceability_Matrix!$E$4:$E$154,Traceability_Matrix!$G$4:$G$154,"S20",Traceability_Matrix!$J$4:$J$154,"Done-in-code")+SUMIFS(Traceability_Matrix!$E$4:$E$154,Traceability_Matrix!$G$4:$G$154,"S20",Traceability_Matrix!$J$4:$J$154,"Done")</f>
        <v/>
      </c>
      <c r="G23" s="36">
        <f>IFERROR((SUMIFS(Traceability_Matrix!$E$4:$E$154,Traceability_Matrix!$G$4:$G$154,"S20",Traceability_Matrix!$J$4:$J$154,"Done-in-code")+SUMIFS(Traceability_Matrix!$E$4:$E$154,Traceability_Matrix!$G$4:$G$154,"S20",Traceability_Matrix!$J$4:$J$154,"Done"))/SUMIF(Traceability_Matrix!$G$4:$G$154,"S20",Traceability_Matrix!$E$4:$E$154),0)</f>
        <v/>
      </c>
      <c r="H23" s="27" t="inlineStr">
        <is>
          <t>RED — 0/4; PD-05 hold lifted, Handover #2 first</t>
        </is>
      </c>
      <c r="I23" s="27" t="inlineStr">
        <is>
          <t>App listed; 10 paying installs from strangers; 3 reviews; activation &gt;40%</t>
        </is>
      </c>
    </row>
    <row r="24">
      <c r="A24" s="37" t="inlineStr">
        <is>
          <t>TOTAL</t>
        </is>
      </c>
      <c r="B24" s="37" t="inlineStr">
        <is>
          <t>(S1-S20)</t>
        </is>
      </c>
      <c r="C24" s="37">
        <f>SUM(C4:C23)</f>
        <v/>
      </c>
      <c r="D24" s="37">
        <f>SUM(D4:D23)</f>
        <v/>
      </c>
      <c r="E24" s="37">
        <f>SUM(E4:E23)</f>
        <v/>
      </c>
      <c r="F24" s="37">
        <f>SUM(F4:F23)</f>
        <v/>
      </c>
      <c r="G24" s="38">
        <f>IFERROR(F24/D24,0)</f>
        <v/>
      </c>
      <c r="H24" s="37" t="n"/>
      <c r="I24" s="37" t="n"/>
    </row>
  </sheetData>
  <mergeCells count="1">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9" min="1" max="1"/>
    <col width="12" customWidth="1" style="19" min="2" max="2"/>
    <col width="10" customWidth="1" style="19" min="3" max="3"/>
    <col width="62" customWidth="1" style="19" min="4" max="4"/>
    <col width="10" customWidth="1" style="19" min="5" max="5"/>
    <col width="55" customWidth="1" style="19" min="6" max="6"/>
  </cols>
  <sheetData>
    <row r="1" ht="15.75" customHeight="1" s="20">
      <c r="A1" s="21" t="inlineStr">
        <is>
          <t>RAID — seeded from v007 Risk_Register + build findings</t>
        </is>
      </c>
    </row>
    <row r="2" ht="15" customHeight="1" s="20">
      <c r="A2" s="22" t="inlineStr">
        <is>
          <t>Types: Risk / Assumption / Constraint. Status manual.</t>
        </is>
      </c>
    </row>
    <row r="3" ht="15" customHeight="1" s="20">
      <c r="A3" s="23" t="inlineStr">
        <is>
          <t>ID</t>
        </is>
      </c>
      <c r="B3" s="23" t="inlineStr">
        <is>
          <t>Type</t>
        </is>
      </c>
      <c r="C3" s="23" t="inlineStr">
        <is>
          <t>Raised</t>
        </is>
      </c>
      <c r="D3" s="23" t="inlineStr">
        <is>
          <t>Item</t>
        </is>
      </c>
      <c r="E3" s="23" t="inlineStr">
        <is>
          <t>Status</t>
        </is>
      </c>
      <c r="F3" s="23" t="inlineStr">
        <is>
          <t>Notes / Mitigation</t>
        </is>
      </c>
    </row>
    <row r="4" ht="23.25" customHeight="1" s="20">
      <c r="A4" s="27" t="inlineStr">
        <is>
          <t>R-M1</t>
        </is>
      </c>
      <c r="B4" s="27" t="inlineStr">
        <is>
          <t>Risk</t>
        </is>
      </c>
      <c r="C4" s="27" t="inlineStr">
        <is>
          <t>v007</t>
        </is>
      </c>
      <c r="D4" s="27" t="inlineStr">
        <is>
          <t>Zoom native AI Companion covers notes/actions free (High/High)</t>
        </is>
      </c>
      <c r="E4" s="27" t="inlineStr">
        <is>
          <t>MATERIALISED (16 Sep review)</t>
        </is>
      </c>
      <c r="F4" s="27" t="inlineStr">
        <is>
          <t>Wedge is CRM-hygiene depth + Indic languages + writeback rules Zoom won't build — exactly the F3/F5 code shipped this version. | v040: Zoom folded Meeting Summary/My Notes into paid Workplace plans free (Jun 2026); CRM sync sold as Revenue Accelerator; F1/F2 now compete with a free incumbent. Remaining wedge = governed CRM writeback (S17) + measurably better Indic (S16). PD-02/PD-06 decide.</t>
        </is>
      </c>
    </row>
    <row r="5" ht="23.25" customHeight="1" s="20">
      <c r="A5" s="27" t="inlineStr">
        <is>
          <t>R-M2</t>
        </is>
      </c>
      <c r="B5" s="27" t="inlineStr">
        <is>
          <t>Risk</t>
        </is>
      </c>
      <c r="C5" s="27" t="inlineStr">
        <is>
          <t>v007</t>
        </is>
      </c>
      <c r="D5" s="27" t="inlineStr">
        <is>
          <t>Recording-privacy regulation tightens per region (Medium/Medium)</t>
        </is>
      </c>
      <c r="E5" s="27" t="inlineStr">
        <is>
          <t>Open</t>
        </is>
      </c>
      <c r="F5" s="27" t="inlineStr">
        <is>
          <t>Consent UX + region config (MEETSYNC_REGION us|in|eu coded) + legal review cadence; LC-3.</t>
        </is>
      </c>
    </row>
    <row r="6" ht="23.25" customHeight="1" s="20">
      <c r="A6" s="27" t="inlineStr">
        <is>
          <t>R-M3</t>
        </is>
      </c>
      <c r="B6" s="27" t="inlineStr">
        <is>
          <t>Risk</t>
        </is>
      </c>
      <c r="C6" s="27" t="inlineStr">
        <is>
          <t>v007</t>
        </is>
      </c>
      <c r="D6" s="27" t="inlineStr">
        <is>
          <t>Meeting-intelligence consolidation squeezes independents (Medium/Medium)</t>
        </is>
      </c>
      <c r="E6" s="27" t="inlineStr">
        <is>
          <t>Open</t>
        </is>
      </c>
      <c r="F6" s="27" t="inlineStr">
        <is>
          <t>Wedge: CRM writeback quality, not transcription quality.</t>
        </is>
      </c>
    </row>
    <row r="7" ht="23.25" customHeight="1" s="20">
      <c r="A7" s="27" t="inlineStr">
        <is>
          <t>R-M4</t>
        </is>
      </c>
      <c r="B7" s="27" t="inlineStr">
        <is>
          <t>Constraint</t>
        </is>
      </c>
      <c r="C7" s="27" t="inlineStr">
        <is>
          <t>22:58</t>
        </is>
      </c>
      <c r="D7" s="27" t="inlineStr">
        <is>
          <t>Sandbox has no Postgres — persistence in-memory behind typed Store interface (D-M1)</t>
        </is>
      </c>
      <c r="E7" s="27" t="inlineStr">
        <is>
          <t>Open</t>
        </is>
      </c>
      <c r="F7" s="27" t="inlineStr">
        <is>
          <t>Postgres adapter at deploy; domain code untouched by the swap. Accepted-pattern precedent.</t>
        </is>
      </c>
    </row>
    <row r="8" ht="23.25" customHeight="1" s="20">
      <c r="A8" s="27" t="inlineStr">
        <is>
          <t>R-M5</t>
        </is>
      </c>
      <c r="B8" s="27" t="inlineStr">
        <is>
          <t>Risk</t>
        </is>
      </c>
      <c r="C8" s="27" t="inlineStr">
        <is>
          <t>22:58</t>
        </is>
      </c>
      <c r="D8" s="27" t="inlineStr">
        <is>
          <t>Zoom webhook/signature contract implemented to published pattern pending live verification (D-M3)</t>
        </is>
      </c>
      <c r="E8" s="27" t="inlineStr">
        <is>
          <t>Open</t>
        </is>
      </c>
      <c r="F8" s="27" t="inlineStr">
        <is>
          <t>Verify at S9-01/02; isolated in src/webhooks.ts — one-module change if format differs.</t>
        </is>
      </c>
    </row>
    <row r="9" ht="23.25" customHeight="1" s="20">
      <c r="A9" s="27" t="inlineStr">
        <is>
          <t>R-M6</t>
        </is>
      </c>
      <c r="B9" s="27" t="inlineStr">
        <is>
          <t>Risk</t>
        </is>
      </c>
      <c r="C9" s="27" t="inlineStr">
        <is>
          <t>22:58</t>
        </is>
      </c>
      <c r="D9" s="27" t="inlineStr">
        <is>
          <t>Transcript source assumed via Zoom-hosted events (RTMS/recording webhooks) — concurrency behaviour at LC-5 unverified</t>
        </is>
      </c>
      <c r="E9" s="27" t="inlineStr">
        <is>
          <t>Open</t>
        </is>
      </c>
      <c r="F9" s="27" t="inlineStr">
        <is>
          <t>Dedupe ledger + replay guard coded; concurrent-meeting load = S9-08 live run.</t>
        </is>
      </c>
    </row>
    <row r="10" ht="23.25" customHeight="1" s="20">
      <c r="A10" s="27" t="inlineStr">
        <is>
          <t>A-M1</t>
        </is>
      </c>
      <c r="B10" s="27" t="inlineStr">
        <is>
          <t>Assumption</t>
        </is>
      </c>
      <c r="C10" s="27" t="inlineStr">
        <is>
          <t>22:58</t>
        </is>
      </c>
      <c r="D10" s="27" t="inlineStr">
        <is>
          <t>D13 applies: S0 discovery (PRD sign-off, 5-user prototype test, wireframe links) parked, NOT marked done</t>
        </is>
      </c>
      <c r="E10" s="27" t="inlineStr">
        <is>
          <t>Open</t>
        </is>
      </c>
      <c r="F10" s="27" t="inlineStr">
        <is>
          <t>v008 was originally planned as post-S0 re-baseline; that work remains owed.</t>
        </is>
      </c>
    </row>
    <row r="11" ht="23.25" customHeight="1" s="20">
      <c r="A11" s="27" t="inlineStr">
        <is>
          <t>A-M2</t>
        </is>
      </c>
      <c r="B11" s="27" t="inlineStr">
        <is>
          <t>Assumption</t>
        </is>
      </c>
      <c r="C11" s="27" t="inlineStr">
        <is>
          <t>22:58</t>
        </is>
      </c>
      <c r="D11" s="27" t="inlineStr">
        <is>
          <t>D15 mode (parallel vs swap) pending — MeetSync is the ninth concurrent build</t>
        </is>
      </c>
      <c r="E11" s="27" t="inlineStr">
        <is>
          <t>Open</t>
        </is>
      </c>
      <c r="F11" s="27" t="inlineStr">
        <is>
          <t>Senthil to ratify; serial rule formally intact until then.</t>
        </is>
      </c>
    </row>
    <row r="12">
      <c r="A12" s="27" t="inlineStr">
        <is>
          <t>R-M7</t>
        </is>
      </c>
      <c r="B12" s="27" t="inlineStr">
        <is>
          <t>Risk</t>
        </is>
      </c>
      <c r="C12" s="27" t="inlineStr">
        <is>
          <t>v040</t>
        </is>
      </c>
      <c r="D12" s="27" t="inlineStr">
        <is>
          <t>HubSpot Marketplace is a second, slower marketplace on the critical path to the CRM wedge: 3 active installs to list, 60 unaffiliated to certify, security questionnaire, verified domain, ≥95% API success, 6 months listed (Medium/High)</t>
        </is>
      </c>
      <c r="E12" s="27" t="inlineStr">
        <is>
          <t>Open</t>
        </is>
      </c>
      <c r="F12" s="27" t="inlineStr">
        <is>
          <t>ST-134 added; not previously in the tracker at all.</t>
        </is>
      </c>
    </row>
    <row r="13">
      <c r="A13" s="27" t="inlineStr">
        <is>
          <t>R-M8</t>
        </is>
      </c>
      <c r="B13" s="27" t="inlineStr">
        <is>
          <t>Risk</t>
        </is>
      </c>
      <c r="C13" s="27" t="inlineStr">
        <is>
          <t>v040</t>
        </is>
      </c>
      <c r="D13" s="27" t="inlineStr">
        <is>
          <t>Pricing model contradicts itself 50x between page and code (PR-05); a listing that publishes either is a HubSpot listing blocker (High/High until PD-01)</t>
        </is>
      </c>
      <c r="E13" s="27" t="inlineStr">
        <is>
          <t>Open</t>
        </is>
      </c>
      <c r="F13" s="27" t="inlineStr">
        <is>
          <t>DECISION PENDING banner gated by claims.test.ts; ST-136.</t>
        </is>
      </c>
    </row>
    <row r="14">
      <c r="A14" s="27" t="inlineStr">
        <is>
          <t>R-M9</t>
        </is>
      </c>
      <c r="B14" s="27" t="inlineStr">
        <is>
          <t>Risk</t>
        </is>
      </c>
      <c r="C14" s="27" t="inlineStr">
        <is>
          <t>v040</t>
        </is>
      </c>
      <c r="D14" s="27" t="inlineStr">
        <is>
          <t>Listing copy promises capabilities (transcription, in-meeting capture) the code does not have — Zoom review rejection or worse (High/High until PD-02)</t>
        </is>
      </c>
      <c r="E14" s="27" t="inlineStr">
        <is>
          <t>Mitigated</t>
        </is>
      </c>
      <c r="F14" s="27" t="inlineStr">
        <is>
          <t>docs/LISTING_COPY.md HELD banner, gated; help centre corrected to four granular scopes.</t>
        </is>
      </c>
    </row>
    <row r="15">
      <c r="A15" s="27" t="inlineStr">
        <is>
          <t>A-M3</t>
        </is>
      </c>
      <c r="B15" s="27" t="inlineStr">
        <is>
          <t>Assumption</t>
        </is>
      </c>
      <c r="C15" s="27" t="inlineStr">
        <is>
          <t>v040</t>
        </is>
      </c>
      <c r="D15" s="27" t="inlineStr">
        <is>
          <t>The defensible wedge is governed CRM writeback + Indic accuracy, not notes/actions (review §4.5). Untested with paying strangers.</t>
        </is>
      </c>
      <c r="E15" s="27" t="inlineStr">
        <is>
          <t>Open</t>
        </is>
      </c>
      <c r="F15" s="27" t="inlineStr">
        <is>
          <t>PD-06 demand tests (n=5 RevOps, n=10 Hinglish calls, n=10 teams) are the falsification; days not sprints.</t>
        </is>
      </c>
    </row>
    <row r="16">
      <c r="A16" s="27" t="inlineStr">
        <is>
          <t>C-M1</t>
        </is>
      </c>
      <c r="B16" s="27" t="inlineStr">
        <is>
          <t>Constraint</t>
        </is>
      </c>
      <c r="C16" s="27" t="inlineStr">
        <is>
          <t>v040</t>
        </is>
      </c>
      <c r="D16" s="27" t="inlineStr">
        <is>
          <t>Sessions now expire in 60 minutes; any client must refresh (App.tsx does at 50). Integrations that cached a token for longer will 401.</t>
        </is>
      </c>
      <c r="E16" s="27" t="inlineStr">
        <is>
          <t>Open</t>
        </is>
      </c>
      <c r="F16" s="27" t="inlineStr">
        <is>
          <t>docs/RUNBOOK.md "Sessions and the install flow".</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9" min="1" max="1"/>
    <col width="72" customWidth="1" style="19" min="2" max="2"/>
    <col width="16" customWidth="1" style="19" min="3" max="3"/>
    <col width="45" customWidth="1" style="19" min="4" max="4"/>
  </cols>
  <sheetData>
    <row r="1" ht="15.75" customHeight="1" s="20">
      <c r="A1" s="21" t="inlineStr">
        <is>
          <t>COMPLETION GATE — MeetSync is DONE only when every row is Done</t>
        </is>
      </c>
    </row>
    <row r="2" ht="15" customHeight="1" s="20">
      <c r="A2" s="22" t="inlineStr">
        <is>
          <t>Code complete counts for nothing. Gate decision = Senthil. LC items = product workbook Launch_Checklist.</t>
        </is>
      </c>
    </row>
    <row r="3" ht="15" customHeight="1" s="20">
      <c r="A3" s="23" t="inlineStr">
        <is>
          <t>ID</t>
        </is>
      </c>
      <c r="B3" s="23" t="inlineStr">
        <is>
          <t>Gate item</t>
        </is>
      </c>
      <c r="C3" s="23" t="inlineStr">
        <is>
          <t>Source</t>
        </is>
      </c>
      <c r="D3" s="23" t="inlineStr">
        <is>
          <t>Status</t>
        </is>
      </c>
    </row>
    <row r="4" ht="15" customHeight="1" s="20">
      <c r="A4" s="27" t="inlineStr">
        <is>
          <t>G-01</t>
        </is>
      </c>
      <c r="B4" s="27" t="inlineStr">
        <is>
          <t>App LISTED on Zoom App Marketplace (approved + published)</t>
        </is>
      </c>
      <c r="C4" s="27" t="inlineStr">
        <is>
          <t>Portfolio gate</t>
        </is>
      </c>
      <c r="D4" s="27" t="inlineStr">
        <is>
          <t>Open</t>
        </is>
      </c>
    </row>
    <row r="5" ht="15" customHeight="1" s="20">
      <c r="A5" s="27" t="inlineStr">
        <is>
          <t>G-02</t>
        </is>
      </c>
      <c r="B5" s="27" t="inlineStr">
        <is>
          <t>10 PAYING installs from strangers</t>
        </is>
      </c>
      <c r="C5" s="27" t="inlineStr">
        <is>
          <t>Portfolio gate</t>
        </is>
      </c>
      <c r="D5" s="27" t="inlineStr">
        <is>
          <t>Open</t>
        </is>
      </c>
    </row>
    <row r="6" ht="15" customHeight="1" s="20">
      <c r="A6" s="27" t="inlineStr">
        <is>
          <t>G-03</t>
        </is>
      </c>
      <c r="B6" s="27" t="inlineStr">
        <is>
          <t>S12 kill criteria evaluated with evidence pack</t>
        </is>
      </c>
      <c r="C6" s="27" t="inlineStr">
        <is>
          <t>Portfolio gate</t>
        </is>
      </c>
      <c r="D6" s="27" t="inlineStr">
        <is>
          <t>Open</t>
        </is>
      </c>
    </row>
    <row r="7" ht="15" customHeight="1" s="20">
      <c r="A7" s="27" t="inlineStr">
        <is>
          <t>G-04</t>
        </is>
      </c>
      <c r="B7" s="27" t="inlineStr">
        <is>
          <t>Kill/continue decision recorded by Senthil</t>
        </is>
      </c>
      <c r="C7" s="27" t="inlineStr">
        <is>
          <t>Portfolio gate</t>
        </is>
      </c>
      <c r="D7" s="27" t="inlineStr">
        <is>
          <t>Open</t>
        </is>
      </c>
    </row>
    <row r="8" ht="15" customHeight="1" s="20">
      <c r="A8" s="27" t="inlineStr">
        <is>
          <t>G-05</t>
        </is>
      </c>
      <c r="B8" s="27" t="inlineStr">
        <is>
          <t>On CONTINUE: next-rank build authorised; MeetSync enters ops floor</t>
        </is>
      </c>
      <c r="C8" s="27" t="inlineStr">
        <is>
          <t>Portfolio gate</t>
        </is>
      </c>
      <c r="D8" s="27" t="inlineStr">
        <is>
          <t>Open</t>
        </is>
      </c>
    </row>
    <row r="9" ht="34.5" customHeight="1" s="20">
      <c r="A9" s="27" t="inlineStr">
        <is>
          <t>LC-1</t>
        </is>
      </c>
      <c r="B9" s="27" t="inlineStr">
        <is>
          <t>Zoom Marketplace app created; scopes minimal (meeting, recording read)</t>
        </is>
      </c>
      <c r="C9" s="27" t="inlineStr">
        <is>
          <t>LC #1</t>
        </is>
      </c>
      <c r="D9" s="27" t="inlineStr">
        <is>
          <t>In progress — scope map done; app creation = Senthil (Handover #2). PD-05 hold LIFTED at v045: S13 closed, install flow safe to point at a real account</t>
        </is>
      </c>
    </row>
    <row r="10" ht="23.25" customHeight="1" s="20">
      <c r="A10" s="27" t="inlineStr">
        <is>
          <t>LC-2</t>
        </is>
      </c>
      <c r="B10" s="27" t="inlineStr">
        <is>
          <t>Security review pack: TDD doc, data-flow diagram, pen-test summary</t>
        </is>
      </c>
      <c r="C10" s="27" t="inlineStr">
        <is>
          <t>LC #2</t>
        </is>
      </c>
      <c r="D10" s="27" t="inlineStr">
        <is>
          <t>In progress — data-flow doc + THREAT_MODEL.md (ST-108) done; TDD + pen test (ST-147) open</t>
        </is>
      </c>
    </row>
    <row r="11" ht="15" customHeight="1" s="20">
      <c r="A11" s="27" t="inlineStr">
        <is>
          <t>LC-3</t>
        </is>
      </c>
      <c r="B11" s="27" t="inlineStr">
        <is>
          <t>Recording-consent UX legal-reviewed per region</t>
        </is>
      </c>
      <c r="C11" s="27" t="inlineStr">
        <is>
          <t>LC #3</t>
        </is>
      </c>
      <c r="D11" s="27" t="inlineStr">
        <is>
          <t>Open — region config coded; legal review = Senthil</t>
        </is>
      </c>
    </row>
    <row r="12" ht="15" customHeight="1" s="20">
      <c r="A12" s="27" t="inlineStr">
        <is>
          <t>LC-4</t>
        </is>
      </c>
      <c r="B12" s="27" t="inlineStr">
        <is>
          <t>SOC2-track evidence folder ready</t>
        </is>
      </c>
      <c r="C12" s="27" t="inlineStr">
        <is>
          <t>LC #4</t>
        </is>
      </c>
      <c r="D12" s="27" t="inlineStr">
        <is>
          <t>Open — audit log + retention controls coded as inputs</t>
        </is>
      </c>
    </row>
    <row r="13" ht="23.25" customHeight="1" s="20">
      <c r="A13" s="27" t="inlineStr">
        <is>
          <t>LC-5</t>
        </is>
      </c>
      <c r="B13" s="27" t="inlineStr">
        <is>
          <t>RTMS/recording webhook resilience at concurrent-meeting load</t>
        </is>
      </c>
      <c r="C13" s="27" t="inlineStr">
        <is>
          <t>LC #5</t>
        </is>
      </c>
      <c r="D13" s="27" t="inlineStr">
        <is>
          <t>Done-in-code — HMAC+replay+dedupe+breaker; live 5x run at S9-08</t>
        </is>
      </c>
    </row>
    <row r="14" ht="23.25" customHeight="1" s="20">
      <c r="A14" s="27" t="inlineStr">
        <is>
          <t>LC-6</t>
        </is>
      </c>
      <c r="B14" s="27" t="inlineStr">
        <is>
          <t>CRM writeback tested against HubSpot/Salesforce/Zoho sandboxes</t>
        </is>
      </c>
      <c r="C14" s="27" t="inlineStr">
        <is>
          <t>LC #6</t>
        </is>
      </c>
      <c r="D14" s="27" t="inlineStr">
        <is>
          <t>Done-in-code (sandbox) — live OAuth does not exist (ST-129); /crm/connect says so. Live creds = Senthil (Handover #3)</t>
        </is>
      </c>
    </row>
    <row r="15" ht="23.25" customHeight="1" s="20">
      <c r="A15" s="27" t="inlineStr">
        <is>
          <t>LC-7</t>
        </is>
      </c>
      <c r="B15" s="27" t="inlineStr">
        <is>
          <t>Indic transcription QA (Hindi/Tamil WER benchmark)</t>
        </is>
      </c>
      <c r="C15" s="27" t="inlineStr">
        <is>
          <t>LC #7</t>
        </is>
      </c>
      <c r="D15" s="27" t="inlineStr">
        <is>
          <t>In progress — WER harness only; no ASR to measure (PR-02). Benchmark = ST-127 after PD-02</t>
        </is>
      </c>
    </row>
    <row r="16" ht="23.25" customHeight="1" s="20">
      <c r="A16" s="27" t="inlineStr">
        <is>
          <t>LC-8</t>
        </is>
      </c>
      <c r="B16" s="27" t="inlineStr">
        <is>
          <t>Data retention controls + delete-my-data self-serve</t>
        </is>
      </c>
      <c r="C16" s="27" t="inlineStr">
        <is>
          <t>LC #8</t>
        </is>
      </c>
      <c r="D16" s="27" t="inlineStr">
        <is>
          <t>Done-in-code — retention sweep + wipe + delete-my-data; v045 unified the purge list (PR-06) and revokes sessions; live-region legal check = Senthil</t>
        </is>
      </c>
    </row>
    <row r="17" ht="23.25" customHeight="1" s="20">
      <c r="A17" s="27" t="inlineStr">
        <is>
          <t>LC-9</t>
        </is>
      </c>
      <c r="B17" s="27" t="inlineStr">
        <is>
          <t>Listing assets + demo video per marketplace guidelines</t>
        </is>
      </c>
      <c r="C17" s="27" t="inlineStr">
        <is>
          <t>LC #9</t>
        </is>
      </c>
      <c r="D17" s="27" t="inlineStr">
        <is>
          <t>HELD — listing copy gated until PD-02 (docs/LISTING_COPY.md banner); screenshots/video need live UI on the ST-114 review screen</t>
        </is>
      </c>
    </row>
    <row r="18" ht="34.5" customHeight="1" s="20">
      <c r="A18" s="27" t="inlineStr">
        <is>
          <t>LC-10</t>
        </is>
      </c>
      <c r="B18" s="27" t="inlineStr">
        <is>
          <t>Pricing + billing + per-seat detection live</t>
        </is>
      </c>
      <c r="C18" s="27" t="inlineStr">
        <is>
          <t>LC #10</t>
        </is>
      </c>
      <c r="D18" s="27" t="inlineStr">
        <is>
          <t>Code-complete for trial/proration/limits/GST/routes; NO payment processor (ST-137) and seats are self-declared (PR-12, ST-139) — "per-seat detection live" is NOT claimed; marketplace billing = ST-138</t>
        </is>
      </c>
    </row>
    <row r="19">
      <c r="A19" s="27" t="inlineStr">
        <is>
          <t>G-06</t>
        </is>
      </c>
      <c r="B19" s="27" t="inlineStr">
        <is>
          <t>S13 closed and pinned before any live install (PR-01)</t>
        </is>
      </c>
      <c r="C19" s="27" t="inlineStr">
        <is>
          <t>Perplexity Review V001 §7</t>
        </is>
      </c>
      <c r="D19" s="27" t="inlineStr">
        <is>
          <t>CLOSED v045 — test/s13.test.ts + identity.test.ts</t>
        </is>
      </c>
    </row>
    <row r="20">
      <c r="A20" s="27" t="inlineStr">
        <is>
          <t>G-07</t>
        </is>
      </c>
      <c r="B20" s="27" t="inlineStr">
        <is>
          <t>PD-01 / PD-02 / PD-03 decided (they gate 71+ pts and the listing)</t>
        </is>
      </c>
      <c r="C20" s="27" t="inlineStr">
        <is>
          <t>Decisions PD-*</t>
        </is>
      </c>
      <c r="D20" s="27" t="inlineStr">
        <is>
          <t>Open — Senthil</t>
        </is>
      </c>
    </row>
    <row r="21">
      <c r="A21" s="27" t="inlineStr">
        <is>
          <t>G-08</t>
        </is>
      </c>
      <c r="B21" s="27" t="inlineStr">
        <is>
          <t>Three demand tests run with kill signals evaluated (§4.6)</t>
        </is>
      </c>
      <c r="C21" s="27" t="inlineStr">
        <is>
          <t>PD-06</t>
        </is>
      </c>
      <c r="D21" s="27" t="inlineStr">
        <is>
          <t>Open — Senthil</t>
        </is>
      </c>
    </row>
    <row r="22">
      <c r="A22" s="27" t="inlineStr">
        <is>
          <t>G-09</t>
        </is>
      </c>
      <c r="B22" s="27" t="inlineStr">
        <is>
          <t>Every claim in listing, pricing page and trust page passes test/claims.test.ts</t>
        </is>
      </c>
      <c r="C22" s="27" t="inlineStr">
        <is>
          <t>ST-107</t>
        </is>
      </c>
      <c r="D22" s="27" t="inlineStr">
        <is>
          <t>In progress — trust page passes; pricing and listing carry gated holds</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9" min="1" max="1"/>
    <col width="52" customWidth="1" style="19" min="2" max="2"/>
    <col width="12" customWidth="1" style="19" min="3" max="3"/>
    <col width="8" customWidth="1" style="19" min="4" max="4"/>
    <col width="18" customWidth="1" style="19" min="5" max="5"/>
    <col width="16" customWidth="1" style="19" min="6" max="6"/>
    <col width="55" customWidth="1" style="19" min="7" max="7"/>
  </cols>
  <sheetData>
    <row r="1" ht="15.75" customHeight="1" s="20">
      <c r="A1" s="21" t="inlineStr">
        <is>
          <t>S10 BOARD — Review remediation + docs — exit: marketplace approval obtained</t>
        </is>
      </c>
    </row>
    <row r="2" ht="15" customHeight="1" s="20">
      <c r="A2" s="22" t="inlineStr">
        <is>
          <t>Edit Status/Notes (yellow).</t>
        </is>
      </c>
    </row>
    <row r="3" ht="15" customHeight="1" s="20">
      <c r="A3" s="23" t="inlineStr">
        <is>
          <t>ID</t>
        </is>
      </c>
      <c r="B3" s="23" t="inlineStr">
        <is>
          <t>Item</t>
        </is>
      </c>
      <c r="C3" s="23" t="inlineStr">
        <is>
          <t>Story ref</t>
        </is>
      </c>
      <c r="D3" s="23" t="inlineStr">
        <is>
          <t>Points</t>
        </is>
      </c>
      <c r="E3" s="23" t="inlineStr">
        <is>
          <t>Owner</t>
        </is>
      </c>
      <c r="F3" s="23" t="inlineStr">
        <is>
          <t>Status</t>
        </is>
      </c>
      <c r="G3" s="23" t="inlineStr">
        <is>
          <t>Notes / Evidence</t>
        </is>
      </c>
    </row>
    <row r="4" ht="15" customHeight="1" s="20">
      <c r="A4" s="27" t="inlineStr">
        <is>
          <t>S10-01</t>
        </is>
      </c>
      <c r="B4" s="27" t="inlineStr">
        <is>
          <t>Help center: 15 articles + ranked search</t>
        </is>
      </c>
      <c r="C4" s="27" t="inlineStr">
        <is>
          <t>ST-080</t>
        </is>
      </c>
      <c r="D4" s="27" t="n">
        <v>5</v>
      </c>
      <c r="E4" s="27" t="inlineStr">
        <is>
          <t>Claude</t>
        </is>
      </c>
      <c r="F4" s="33" t="inlineStr">
        <is>
          <t>Done-in-code</t>
        </is>
      </c>
      <c r="G4" s="33" t="inlineStr">
        <is>
          <t>helpcenter.ts; publish with site at go-live.</t>
        </is>
      </c>
    </row>
    <row r="5" ht="23.25" customHeight="1" s="20">
      <c r="A5" s="27" t="inlineStr">
        <is>
          <t>S10-02</t>
        </is>
      </c>
      <c r="B5" s="27" t="inlineStr">
        <is>
          <t>In-app chat, &lt;4 business-hr first response</t>
        </is>
      </c>
      <c r="C5" s="27" t="inlineStr">
        <is>
          <t>ST-081</t>
        </is>
      </c>
      <c r="D5" s="27" t="n">
        <v>3</v>
      </c>
      <c r="E5" s="27" t="inlineStr">
        <is>
          <t>Senthil</t>
        </is>
      </c>
      <c r="F5" s="33" t="inlineStr">
        <is>
          <t>To do</t>
        </is>
      </c>
      <c r="G5" s="33" t="inlineStr">
        <is>
          <t>Vendor pick (Intercom/Crisp/Plain) + staffing hours; intake wiring on request.</t>
        </is>
      </c>
    </row>
    <row r="6" ht="15" customHeight="1" s="20">
      <c r="A6" s="27" t="inlineStr">
        <is>
          <t>S10-03</t>
        </is>
      </c>
      <c r="B6" s="27" t="inlineStr">
        <is>
          <t>Demo-data mode (interactive sandbox)</t>
        </is>
      </c>
      <c r="C6" s="27" t="inlineStr">
        <is>
          <t>ST-083</t>
        </is>
      </c>
      <c r="D6" s="27" t="n">
        <v>5</v>
      </c>
      <c r="E6" s="27" t="inlineStr">
        <is>
          <t>Claude</t>
        </is>
      </c>
      <c r="F6" s="33" t="inlineStr">
        <is>
          <t>Done-in-code (half)</t>
        </is>
      </c>
      <c r="G6" s="33" t="inlineStr">
        <is>
          <t>demo.ts + route; VIDEO half = Senthil recording.</t>
        </is>
      </c>
    </row>
    <row r="7" ht="15" customHeight="1" s="20">
      <c r="A7" s="27" t="inlineStr">
        <is>
          <t>S10-04</t>
        </is>
      </c>
      <c r="B7" s="27" t="inlineStr">
        <is>
          <t>Status page + incident comms template</t>
        </is>
      </c>
      <c r="C7" s="27" t="inlineStr">
        <is>
          <t>ST-084</t>
        </is>
      </c>
      <c r="D7" s="27" t="n">
        <v>2</v>
      </c>
      <c r="E7" s="27" t="inlineStr">
        <is>
          <t>Claude</t>
        </is>
      </c>
      <c r="F7" s="33" t="inlineStr">
        <is>
          <t>Done-in-code</t>
        </is>
      </c>
      <c r="G7" s="33" t="inlineStr">
        <is>
          <t>/status + /status.html + INCIDENT_COMMS.md.</t>
        </is>
      </c>
    </row>
    <row r="8" ht="23.25" customHeight="1" s="20">
      <c r="A8" s="27" t="inlineStr">
        <is>
          <t>S10-05</t>
        </is>
      </c>
      <c r="B8" s="27" t="inlineStr">
        <is>
          <t>Pricing page/matrix + FAQ</t>
        </is>
      </c>
      <c r="C8" s="27" t="inlineStr">
        <is>
          <t>ST-095</t>
        </is>
      </c>
      <c r="D8" s="27" t="n">
        <v>3</v>
      </c>
      <c r="E8" s="27" t="inlineStr">
        <is>
          <t>Senthil + Claude</t>
        </is>
      </c>
      <c r="F8" s="33" t="inlineStr">
        <is>
          <t>Code-complete (pending live)</t>
        </is>
      </c>
      <c r="G8" s="33" t="inlineStr">
        <is>
          <t>/pricing bound to PLANS; PRICING_PAGE.md draft; publish = site.</t>
        </is>
      </c>
    </row>
    <row r="9" ht="23.25" customHeight="1" s="20">
      <c r="A9" s="27" t="inlineStr">
        <is>
          <t>S10-06</t>
        </is>
      </c>
      <c r="B9" s="27" t="inlineStr">
        <is>
          <t>Security/trust page live</t>
        </is>
      </c>
      <c r="C9" s="27" t="inlineStr">
        <is>
          <t>ST-096</t>
        </is>
      </c>
      <c r="D9" s="27" t="n">
        <v>3</v>
      </c>
      <c r="E9" s="27" t="inlineStr">
        <is>
          <t>Senthil + Claude</t>
        </is>
      </c>
      <c r="F9" s="33" t="inlineStr">
        <is>
          <t>Code-complete (pending live)</t>
        </is>
      </c>
      <c r="G9" s="33" t="inlineStr">
        <is>
          <t>TRUST_PAGE.md draft incl. subprocessors; publish = site.</t>
        </is>
      </c>
    </row>
    <row r="10" ht="15" customHeight="1" s="20">
      <c r="A10" s="27" t="inlineStr">
        <is>
          <t>S10-07</t>
        </is>
      </c>
      <c r="B10" s="27" t="inlineStr">
        <is>
          <t>Submission dry-run vs platform checklist (2nd reviewer)</t>
        </is>
      </c>
      <c r="C10" s="27" t="inlineStr">
        <is>
          <t>ST-097</t>
        </is>
      </c>
      <c r="D10" s="27" t="n">
        <v>3</v>
      </c>
      <c r="E10" s="27" t="inlineStr">
        <is>
          <t>Senthil</t>
        </is>
      </c>
      <c r="F10" s="33" t="inlineStr">
        <is>
          <t>To do</t>
        </is>
      </c>
      <c r="G10" s="33" t="inlineStr">
        <is>
          <t>Human review against Zoom checklist before real submission.</t>
        </is>
      </c>
    </row>
  </sheetDat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9" customWidth="1" style="20" min="1" max="1"/>
    <col width="7" customWidth="1" style="20" min="2" max="2"/>
    <col width="60" customWidth="1" style="20" min="3" max="3"/>
    <col width="9" customWidth="1" style="20" min="4" max="4"/>
    <col width="7" customWidth="1" style="20" min="5" max="5"/>
    <col width="22" customWidth="1" style="20" min="6" max="6"/>
    <col width="24" customWidth="1" style="20" min="7" max="7"/>
    <col width="95" customWidth="1" style="20" min="8" max="8"/>
  </cols>
  <sheetData>
    <row r="1">
      <c r="A1" s="39" t="inlineStr">
        <is>
          <t>S13–S20 BOARD — Perplexity Review V001 plan, all 51 stories — exit: S13 closed before live install; S20 = 10 paying strangers</t>
        </is>
      </c>
      <c r="B1" s="39" t="n"/>
      <c r="C1" s="39" t="n"/>
      <c r="D1" s="39" t="n"/>
      <c r="E1" s="39" t="n"/>
      <c r="F1" s="39" t="n"/>
      <c r="G1" s="39" t="n"/>
      <c r="H1" s="39" t="n"/>
    </row>
    <row r="2">
      <c r="A2" s="19" t="inlineStr">
        <is>
          <t>Edit Status/Notes (yellow). Points and acceptance criteria are the review's; status is v045 reality. Nothing removed.</t>
        </is>
      </c>
    </row>
    <row r="3">
      <c r="A3" s="40" t="inlineStr">
        <is>
          <t>ID</t>
        </is>
      </c>
      <c r="B3" s="40" t="inlineStr">
        <is>
          <t>Sprint</t>
        </is>
      </c>
      <c r="C3" s="40" t="inlineStr">
        <is>
          <t>Item</t>
        </is>
      </c>
      <c r="D3" s="40" t="inlineStr">
        <is>
          <t>Story ref</t>
        </is>
      </c>
      <c r="E3" s="40" t="inlineStr">
        <is>
          <t>Points</t>
        </is>
      </c>
      <c r="F3" s="40" t="inlineStr">
        <is>
          <t>Owner</t>
        </is>
      </c>
      <c r="G3" s="40" t="inlineStr">
        <is>
          <t>Status</t>
        </is>
      </c>
      <c r="H3" s="40" t="inlineStr">
        <is>
          <t>Notes / Evidence</t>
        </is>
      </c>
    </row>
    <row r="4">
      <c r="A4" s="41" t="inlineStr">
        <is>
          <t>S13-01</t>
        </is>
      </c>
      <c r="B4" s="41" t="inlineStr">
        <is>
          <t>S13</t>
        </is>
      </c>
      <c r="C4" s="41" t="inlineStr">
        <is>
          <t>Derive tenant identity from Zoom, not the caller (PR-01)</t>
        </is>
      </c>
      <c r="D4" s="41" t="inlineStr">
        <is>
          <t>ST-101</t>
        </is>
      </c>
      <c r="E4" s="41" t="n">
        <v>8</v>
      </c>
      <c r="F4" s="41" t="inlineStr">
        <is>
          <t>Claude</t>
        </is>
      </c>
      <c r="G4" s="42" t="inlineStr">
        <is>
          <t>Done-in-code (pending live)</t>
        </is>
      </c>
      <c r="H4" s="42" t="inlineStr">
        <is>
          <t>src/identity.ts fetchZoomIdentity + assertTenantMatches; app.ts callback; installAccount re-checks. Pinned: s13.test.ts "refuses a state whose account differs…" (403, audit row, no account row, no session) + "cannot repoint a live workspace"; identity.test.ts.</t>
        </is>
      </c>
    </row>
    <row r="5">
      <c r="A5" s="41" t="inlineStr">
        <is>
          <t>S13-02</t>
        </is>
      </c>
      <c r="B5" s="41" t="inlineStr">
        <is>
          <t>S13</t>
        </is>
      </c>
      <c r="C5" s="41" t="inlineStr">
        <is>
          <t>Real user identity in the session (PR-08)</t>
        </is>
      </c>
      <c r="D5" s="41" t="inlineStr">
        <is>
          <t>ST-102</t>
        </is>
      </c>
      <c r="E5" s="41" t="n">
        <v>5</v>
      </c>
      <c r="F5" s="41" t="inlineStr">
        <is>
          <t>Claude</t>
        </is>
      </c>
      <c r="G5" s="42" t="inlineStr">
        <is>
          <t>Done-in-code (pending live)</t>
        </is>
      </c>
      <c r="H5" s="42" t="inlineStr">
        <is>
          <t>Session carries Zoom user id, email, role (owner/admin/member from role_id/role_name); owner@&lt;account&gt; synthesis deleted; accounts.installed_by_* + contact_email columns. Pinned: s13.test.ts "mints owner/admin/member from Zoom's role, and two users produce two audit identities".</t>
        </is>
      </c>
    </row>
    <row r="6">
      <c r="A6" s="41" t="inlineStr">
        <is>
          <t>S13-03</t>
        </is>
      </c>
      <c r="B6" s="41" t="inlineStr">
        <is>
          <t>S13</t>
        </is>
      </c>
      <c r="C6" s="41" t="inlineStr">
        <is>
          <t>Session lifecycle: revocation, 60-min TTL, secure delivery (PR-10)</t>
        </is>
      </c>
      <c r="D6" s="41" t="inlineStr">
        <is>
          <t>ST-103</t>
        </is>
      </c>
      <c r="E6" s="41" t="n">
        <v>5</v>
      </c>
      <c r="F6" s="41" t="inlineStr">
        <is>
          <t>Claude</t>
        </is>
      </c>
      <c r="G6" s="42" t="inlineStr">
        <is>
          <t>Done-in-code (pending live)</t>
        </is>
      </c>
      <c r="H6" s="42" t="inlineStr">
        <is>
          <t>auth.ts SessionManager (jti, deny list, per-account watermark); sessionStore.ts + PostgresSessionStore (contract suite x2); HttpOnly/Secure/SameSite=None cookie on install; uninstall + delete-my-data revoke all; App.tsx refresh timer. Pinned: s13.test.ts ST-103 block; storeContract SessionStore.</t>
        </is>
      </c>
    </row>
    <row r="7">
      <c r="A7" s="41" t="inlineStr">
        <is>
          <t>S13-04</t>
        </is>
      </c>
      <c r="B7" s="41" t="inlineStr">
        <is>
          <t>S13</t>
        </is>
      </c>
      <c r="C7" s="41" t="inlineStr">
        <is>
          <t>Security headers, CORS allowlist, body limit, rate limits (PR-10)</t>
        </is>
      </c>
      <c r="D7" s="41" t="inlineStr">
        <is>
          <t>ST-104</t>
        </is>
      </c>
      <c r="E7" s="41" t="n">
        <v>3</v>
      </c>
      <c r="F7" s="41" t="inlineStr">
        <is>
          <t>Claude</t>
        </is>
      </c>
      <c r="G7" s="42" t="inlineStr">
        <is>
          <t>Done-in-code</t>
        </is>
      </c>
      <c r="H7" s="42" t="inlineStr">
        <is>
          <t>src/hardening.ts (CSP with Zoom frame-ancestors, HSTS, nosniff; explicit CORS; 256kb; token-bucket per IP/account/operator); rejections counted at GET /analytics/rate-limits; 413/400 from body parser. Pinned: s13.test.ts ST-104 block (429, 413, CORS refusal).</t>
        </is>
      </c>
    </row>
    <row r="8">
      <c r="A8" s="41" t="inlineStr">
        <is>
          <t>S13-05</t>
        </is>
      </c>
      <c r="B8" s="41" t="inlineStr">
        <is>
          <t>S13</t>
        </is>
      </c>
      <c r="C8" s="41" t="inlineStr">
        <is>
          <t>Operator routes on their own router; rotatable credential</t>
        </is>
      </c>
      <c r="D8" s="41" t="inlineStr">
        <is>
          <t>ST-105</t>
        </is>
      </c>
      <c r="E8" s="41" t="n">
        <v>3</v>
      </c>
      <c r="F8" s="41" t="inlineStr">
        <is>
          <t>Claude</t>
        </is>
      </c>
      <c r="G8" s="42" t="inlineStr">
        <is>
          <t>Done-in-code</t>
        </is>
      </c>
      <c r="H8" s="42" t="inlineStr">
        <is>
          <t>src/operator.ts OperatorCredential (constant-time, rotate with 15-min grace); ops Router with own limiter; POST /admin/operator-token. Pinned: s13.test.ts "rejects a valid customer session… on every operator route", rotation grace window.</t>
        </is>
      </c>
    </row>
    <row r="9">
      <c r="A9" s="41" t="inlineStr">
        <is>
          <t>S13-06</t>
        </is>
      </c>
      <c r="B9" s="41" t="inlineStr">
        <is>
          <t>S13</t>
        </is>
      </c>
      <c r="C9" s="41" t="inlineStr">
        <is>
          <t>One purge-target list (PR-06)</t>
        </is>
      </c>
      <c r="D9" s="41" t="inlineStr">
        <is>
          <t>ST-106</t>
        </is>
      </c>
      <c r="E9" s="41" t="n">
        <v>3</v>
      </c>
      <c r="F9" s="41" t="inlineStr">
        <is>
          <t>Claude</t>
        </is>
      </c>
      <c r="G9" s="42" t="inlineStr">
        <is>
          <t>Done-in-code</t>
        </is>
      </c>
      <c r="H9" s="42" t="inlineStr">
        <is>
          <t>src/purge.ts buildPurgeTargets consumed by app.ts AND server.ts; sessions, ingestor, notes, insights included whenever present. Pinned: s13.test.ts "the route and the scheduler build the same list…" + "delete-my-data clears meeting insights".</t>
        </is>
      </c>
    </row>
    <row r="10">
      <c r="A10" s="41" t="inlineStr">
        <is>
          <t>S13-07</t>
        </is>
      </c>
      <c r="B10" s="41" t="inlineStr">
        <is>
          <t>S13</t>
        </is>
      </c>
      <c r="C10" s="41" t="inlineStr">
        <is>
          <t>Claim-to-code gate (PR-07)</t>
        </is>
      </c>
      <c r="D10" s="41" t="inlineStr">
        <is>
          <t>ST-107</t>
        </is>
      </c>
      <c r="E10" s="41" t="n">
        <v>5</v>
      </c>
      <c r="F10" s="41" t="inlineStr">
        <is>
          <t>Claude</t>
        </is>
      </c>
      <c r="G10" s="42" t="inlineStr">
        <is>
          <t>Done-in-code</t>
        </is>
      </c>
      <c r="H10" s="42" t="inlineStr">
        <is>
          <t>src/claims.ts is the single source; docs/TRUST_PAGE.md rewritten (real subprocessors, 4 granular scopes, "Not yet" section); test/claims.test.ts asserts doc↔code↔config, refuses PostHog/Sentry/Stripe/SOC2/SSO/residency claims; also gates PRICING_PAGE banner and LISTING_COPY hold. Price-matrix extension of the gate lands with ST-136.</t>
        </is>
      </c>
    </row>
    <row r="11">
      <c r="A11" s="41" t="inlineStr">
        <is>
          <t>S13-08</t>
        </is>
      </c>
      <c r="B11" s="41" t="inlineStr">
        <is>
          <t>S13</t>
        </is>
      </c>
      <c r="C11" s="41" t="inlineStr">
        <is>
          <t>Threat model + abuse cases document</t>
        </is>
      </c>
      <c r="D11" s="41" t="inlineStr">
        <is>
          <t>ST-108</t>
        </is>
      </c>
      <c r="E11" s="41" t="n">
        <v>2</v>
      </c>
      <c r="F11" s="41" t="inlineStr">
        <is>
          <t>Claude</t>
        </is>
      </c>
      <c r="G11" s="42" t="inlineStr">
        <is>
          <t>Done</t>
        </is>
      </c>
      <c r="H11" s="42" t="inlineStr">
        <is>
          <t>docs/THREAT_MODEL.md: trust boundaries, the rule ("tenant identity always comes from the platform"), AC-1…AC-6 incl. PR-01 as permanent abuse case, what an owner session reaches, four standing rules.</t>
        </is>
      </c>
    </row>
    <row r="12">
      <c r="A12" s="41" t="inlineStr">
        <is>
          <t>S14-01</t>
        </is>
      </c>
      <c r="B12" s="41" t="inlineStr">
        <is>
          <t>S14</t>
        </is>
      </c>
      <c r="C12" s="41" t="inlineStr">
        <is>
          <t>Full typed API client (PR-03)</t>
        </is>
      </c>
      <c r="D12" s="41" t="inlineStr">
        <is>
          <t>ST-109</t>
        </is>
      </c>
      <c r="E12" s="41" t="n">
        <v>5</v>
      </c>
      <c r="F12" s="41" t="inlineStr">
        <is>
          <t>Claude</t>
        </is>
      </c>
      <c r="G12" s="42" t="inlineStr">
        <is>
          <t>Done-in-code</t>
        </is>
      </c>
      <c r="H12" s="42" t="inlineStr">
        <is>
          <t>web/api.ts covers all 48 client-callable routes with typed responses; ApiError carries status+code+retry; userFacingError maps every status to copy. Pinned: panels.test.tsx "covers every product route with a typed method".</t>
        </is>
      </c>
    </row>
    <row r="13">
      <c r="A13" s="41" t="inlineStr">
        <is>
          <t>S14-02</t>
        </is>
      </c>
      <c r="B13" s="41" t="inlineStr">
        <is>
          <t>S14</t>
        </is>
      </c>
      <c r="C13" s="41" t="inlineStr">
        <is>
          <t>Client-reachability gate (route→client)</t>
        </is>
      </c>
      <c r="D13" s="41" t="inlineStr">
        <is>
          <t>ST-110</t>
        </is>
      </c>
      <c r="E13" s="41" t="n">
        <v>5</v>
      </c>
      <c r="F13" s="41" t="inlineStr">
        <is>
          <t>Claude</t>
        </is>
      </c>
      <c r="G13" s="42" t="inlineStr">
        <is>
          <t>Done</t>
        </is>
      </c>
      <c r="H13" s="42" t="inlineStr">
        <is>
          <t>Product-agnostic; every route in app.ts must be referenced by web/api.ts or excused with a reason in test/client-reachability-allowlist.json (21 excused: webhook, OAuth, operator). test/clientReachability.test.ts fails the build otherwise. Portable to siblings (Handover #28/#33).</t>
        </is>
      </c>
    </row>
    <row r="14">
      <c r="A14" s="41" t="inlineStr">
        <is>
          <t>S14-03</t>
        </is>
      </c>
      <c r="B14" s="41" t="inlineStr">
        <is>
          <t>S14</t>
        </is>
      </c>
      <c r="C14" s="41" t="inlineStr">
        <is>
          <t>Automatic meeting → CRM pipeline with review_required default (PR-04)</t>
        </is>
      </c>
      <c r="D14" s="41" t="inlineStr">
        <is>
          <t>ST-111</t>
        </is>
      </c>
      <c r="E14" s="41" t="n">
        <v>8</v>
      </c>
      <c r="F14" s="41" t="inlineStr">
        <is>
          <t>Claude</t>
        </is>
      </c>
      <c r="G14" s="42" t="inlineStr">
        <is>
          <t>Done-in-code (pending live)</t>
        </is>
      </c>
      <c r="H14" s="42" t="inlineStr">
        <is>
          <t>transcripts.ts stage(): CRM adapter + mapping + feature enabled → pending_review (default) or queued; derivedFields; exactly one job per meeting under redelivery; approve/reject idempotent; POST /crm/review-mode. Pinned: s14.test.ts ST-111 block; server.test.ts "auto-approved ingest through the real graph"; test needs live Zoom for the webhook half (PENDING LIVE for S9-01).</t>
        </is>
      </c>
    </row>
    <row r="15">
      <c r="A15" s="41" t="inlineStr">
        <is>
          <t>S14-04</t>
        </is>
      </c>
      <c r="B15" s="41" t="inlineStr">
        <is>
          <t>S14</t>
        </is>
      </c>
      <c r="C15" s="41" t="inlineStr">
        <is>
          <t>Durable notes and insights (PR-13)</t>
        </is>
      </c>
      <c r="D15" s="41" t="inlineStr">
        <is>
          <t>ST-112</t>
        </is>
      </c>
      <c r="E15" s="41" t="n">
        <v>5</v>
      </c>
      <c r="F15" s="41" t="inlineStr">
        <is>
          <t>Claude</t>
        </is>
      </c>
      <c r="G15" s="42" t="inlineStr">
        <is>
          <t>Done-in-code</t>
        </is>
      </c>
      <c r="H15" s="42" t="inlineStr">
        <is>
          <t>notesStore.ts + insightStore.ts (in-memory) and PostgresNotesStore/PostgresInsightStore (notes_sessions, note_entries, meeting_insights); NotesService fully async; purge wired; docs/PERSISTENCE.md updated. Pinned: storeContract.test.ts NotesStore/InsightStore blocks (each case runs twice).</t>
        </is>
      </c>
    </row>
    <row r="16">
      <c r="A16" s="41" t="inlineStr">
        <is>
          <t>S14-05</t>
        </is>
      </c>
      <c r="B16" s="41" t="inlineStr">
        <is>
          <t>S14</t>
        </is>
      </c>
      <c r="C16" s="41" t="inlineStr">
        <is>
          <t>Wire all five panels to the API with optimistic update + rollback (PR-03)</t>
        </is>
      </c>
      <c r="D16" s="41" t="inlineStr">
        <is>
          <t>ST-113</t>
        </is>
      </c>
      <c r="E16" s="41" t="n">
        <v>5</v>
      </c>
      <c r="F16" s="41" t="inlineStr">
        <is>
          <t>Claude</t>
        </is>
      </c>
      <c r="G16" s="42" t="inlineStr">
        <is>
          <t>Done-in-code (pending live)</t>
        </is>
      </c>
      <c r="H16" s="42" t="inlineStr">
        <is>
          <t>NotesPanel/ActionsPanel/CrmPanel/DealRiskPanel/IndicSettings read+write through Api; loading/empty/error/degraded states from one copy source (userFacingError + EMPTY_STATES); rollback on refusal. RTL suite drives web/fakeServer.ts, not props. Live UI in the Zoom client still PENDING LIVE (Handover #2).</t>
        </is>
      </c>
    </row>
    <row r="17">
      <c r="A17" s="41" t="inlineStr">
        <is>
          <t>S14-06</t>
        </is>
      </c>
      <c r="B17" s="41" t="inlineStr">
        <is>
          <t>S14</t>
        </is>
      </c>
      <c r="C17" s="41" t="inlineStr">
        <is>
          <t>Meeting review screen with explicit Approve → writeback</t>
        </is>
      </c>
      <c r="D17" s="41" t="inlineStr">
        <is>
          <t>ST-114</t>
        </is>
      </c>
      <c r="E17" s="41" t="n">
        <v>3</v>
      </c>
      <c r="F17" s="41" t="inlineStr">
        <is>
          <t>Claude</t>
        </is>
      </c>
      <c r="G17" s="42" t="inlineStr">
        <is>
          <t>Done-in-code (pending live)</t>
        </is>
      </c>
      <c r="H17" s="42" t="inlineStr">
        <is>
          <t>web/ReviewScreen.tsx: actions, signals with evidence line, notes, the exact CRM fields with mapped yes/no, Approve/Reject; GET /meetings/:id/review one-request endpoint. A11Y-05 table semantics pinned. This is the screen the demo video (ST-149) is recorded on.</t>
        </is>
      </c>
    </row>
    <row r="18">
      <c r="A18" s="41" t="inlineStr">
        <is>
          <t>S14-07</t>
        </is>
      </c>
      <c r="B18" s="41" t="inlineStr">
        <is>
          <t>S14</t>
        </is>
      </c>
      <c r="C18" s="41" t="inlineStr">
        <is>
          <t>Mail transport behind a Sender interface (Handover #6)</t>
        </is>
      </c>
      <c r="D18" s="41" t="inlineStr">
        <is>
          <t>ST-115</t>
        </is>
      </c>
      <c r="E18" s="41" t="n">
        <v>3</v>
      </c>
      <c r="F18" s="41" t="inlineStr">
        <is>
          <t>Claude</t>
        </is>
      </c>
      <c r="G18" s="42" t="inlineStr">
        <is>
          <t>Done-in-code</t>
        </is>
      </c>
      <c r="H18" s="42" t="inlineStr">
        <is>
          <t>src/sender.ts HttpJsonSender (Postmark/Resend/SES shape) + Notifier (delivered/no_sender/no_contact/failed); FeatureEngine email row only after delivery; wired in server.ts when MEETSYNC_MAIL_* set; outcomes in /analytics/ops. Pinned: s14.test.ts ST-115 block; server.test.ts "with a mail transport configured…". Endpoint/token/from = Senthil (Handover #38).</t>
        </is>
      </c>
    </row>
    <row r="19">
      <c r="A19" s="41" t="inlineStr">
        <is>
          <t>S15-01</t>
        </is>
      </c>
      <c r="B19" s="41" t="inlineStr">
        <is>
          <t>S15</t>
        </is>
      </c>
      <c r="C19" s="41" t="inlineStr">
        <is>
          <t>Model provider abstraction (src/llm.ts)</t>
        </is>
      </c>
      <c r="D19" s="41" t="inlineStr">
        <is>
          <t>ST-116</t>
        </is>
      </c>
      <c r="E19" s="41" t="n">
        <v>5</v>
      </c>
      <c r="F19" s="41" t="inlineStr">
        <is>
          <t>Claude (after PD-02)</t>
        </is>
      </c>
      <c r="G19" s="42" t="inlineStr">
        <is>
          <t>Backlog</t>
        </is>
      </c>
      <c r="H19" s="42" t="inlineStr">
        <is>
          <t>Gated by PD-02.</t>
        </is>
      </c>
    </row>
    <row r="20">
      <c r="A20" s="41" t="inlineStr">
        <is>
          <t>S15-02</t>
        </is>
      </c>
      <c r="B20" s="41" t="inlineStr">
        <is>
          <t>S15</t>
        </is>
      </c>
      <c r="C20" s="41" t="inlineStr">
        <is>
          <t>Structured extraction with evidence spans + confidence; rule engine as fallback</t>
        </is>
      </c>
      <c r="D20" s="41" t="inlineStr">
        <is>
          <t>ST-117</t>
        </is>
      </c>
      <c r="E20" s="41" t="n">
        <v>8</v>
      </c>
      <c r="F20" s="41" t="inlineStr">
        <is>
          <t>Claude (after PD-02)</t>
        </is>
      </c>
      <c r="G20" s="42" t="inlineStr">
        <is>
          <t>Backlog</t>
        </is>
      </c>
      <c r="H20" s="42" t="inlineStr">
        <is>
          <t>Gated by PD-02.</t>
        </is>
      </c>
    </row>
    <row r="21">
      <c r="A21" s="41" t="inlineStr">
        <is>
          <t>S15-03</t>
        </is>
      </c>
      <c r="B21" s="41" t="inlineStr">
        <is>
          <t>S15</t>
        </is>
      </c>
      <c r="C21" s="41" t="inlineStr">
        <is>
          <t>Meeting summary mapped to CRM fields (structured brief, never invents a value)</t>
        </is>
      </c>
      <c r="D21" s="41" t="inlineStr">
        <is>
          <t>ST-118</t>
        </is>
      </c>
      <c r="E21" s="41" t="n">
        <v>5</v>
      </c>
      <c r="F21" s="41" t="inlineStr">
        <is>
          <t>Claude (after PD-02)</t>
        </is>
      </c>
      <c r="G21" s="42" t="inlineStr">
        <is>
          <t>Backlog</t>
        </is>
      </c>
      <c r="H21" s="42" t="inlineStr">
        <is>
          <t>Gated by PD-02. derivedFields() in transcripts.ts is the seam it replaces.</t>
        </is>
      </c>
    </row>
    <row r="22">
      <c r="A22" s="41" t="inlineStr">
        <is>
          <t>S15-04</t>
        </is>
      </c>
      <c r="B22" s="41" t="inlineStr">
        <is>
          <t>S15</t>
        </is>
      </c>
      <c r="C22" s="41" t="inlineStr">
        <is>
          <t>Evaluation harness + golden set (≥100 excerpts, ≥30 Hinglish/Hindi/Tamil), CI floor</t>
        </is>
      </c>
      <c r="D22" s="41" t="inlineStr">
        <is>
          <t>ST-119</t>
        </is>
      </c>
      <c r="E22" s="41" t="n">
        <v>8</v>
      </c>
      <c r="F22" s="41" t="inlineStr">
        <is>
          <t>Claude (after PD-02)</t>
        </is>
      </c>
      <c r="G22" s="42" t="inlineStr">
        <is>
          <t>Backlog</t>
        </is>
      </c>
      <c r="H22" s="42" t="inlineStr">
        <is>
          <t>Gated by PD-02. Extends indic.ts WER harness.</t>
        </is>
      </c>
    </row>
    <row r="23">
      <c r="A23" s="41" t="inlineStr">
        <is>
          <t>S15-05</t>
        </is>
      </c>
      <c r="B23" s="41" t="inlineStr">
        <is>
          <t>S15</t>
        </is>
      </c>
      <c r="C23" s="41" t="inlineStr">
        <is>
          <t>Prompt-injection and content-safety guards</t>
        </is>
      </c>
      <c r="D23" s="41" t="inlineStr">
        <is>
          <t>ST-120</t>
        </is>
      </c>
      <c r="E23" s="41" t="n">
        <v>5</v>
      </c>
      <c r="F23" s="41" t="inlineStr">
        <is>
          <t>Claude (after PD-02)</t>
        </is>
      </c>
      <c r="G23" s="42" t="inlineStr">
        <is>
          <t>Backlog</t>
        </is>
      </c>
      <c r="H23" s="42" t="inlineStr">
        <is>
          <t>AC-6 in docs/THREAT_MODEL.md records the case so S15 inherits it.</t>
        </is>
      </c>
    </row>
    <row r="24">
      <c r="A24" s="41" t="inlineStr">
        <is>
          <t>S15-06</t>
        </is>
      </c>
      <c r="B24" s="41" t="inlineStr">
        <is>
          <t>S15</t>
        </is>
      </c>
      <c r="C24" s="41" t="inlineStr">
        <is>
          <t>PII redaction before egress (Aadhaar/PAN/card/email/phone)</t>
        </is>
      </c>
      <c r="D24" s="41" t="inlineStr">
        <is>
          <t>ST-121</t>
        </is>
      </c>
      <c r="E24" s="41" t="n">
        <v>5</v>
      </c>
      <c r="F24" s="41" t="inlineStr">
        <is>
          <t>Claude (after PD-02)</t>
        </is>
      </c>
      <c r="G24" s="42" t="inlineStr">
        <is>
          <t>Backlog</t>
        </is>
      </c>
      <c r="H24" s="42" t="inlineStr">
        <is>
          <t>Gated by PD-02; needed before any content leaves the tenant to a provider.</t>
        </is>
      </c>
    </row>
    <row r="25">
      <c r="A25" s="41" t="inlineStr">
        <is>
          <t>S15-07</t>
        </is>
      </c>
      <c r="B25" s="41" t="inlineStr">
        <is>
          <t>S15</t>
        </is>
      </c>
      <c r="C25" s="41" t="inlineStr">
        <is>
          <t>Cost, latency and quota controls; degrade to rule engine when exhausted</t>
        </is>
      </c>
      <c r="D25" s="41" t="inlineStr">
        <is>
          <t>ST-122</t>
        </is>
      </c>
      <c r="E25" s="41" t="n">
        <v>3</v>
      </c>
      <c r="F25" s="41" t="inlineStr">
        <is>
          <t>Claude (after PD-02)</t>
        </is>
      </c>
      <c r="G25" s="42" t="inlineStr">
        <is>
          <t>Backlog</t>
        </is>
      </c>
      <c r="H25" s="42" t="inlineStr">
        <is>
          <t>Gated by PD-02.</t>
        </is>
      </c>
    </row>
    <row r="26">
      <c r="A26" s="41" t="inlineStr">
        <is>
          <t>S15-08</t>
        </is>
      </c>
      <c r="B26" s="41" t="inlineStr">
        <is>
          <t>S15</t>
        </is>
      </c>
      <c r="C26" s="41" t="inlineStr">
        <is>
          <t>Model transparency surface on /trust and listing</t>
        </is>
      </c>
      <c r="D26" s="41" t="inlineStr">
        <is>
          <t>ST-123</t>
        </is>
      </c>
      <c r="E26" s="41" t="n">
        <v>3</v>
      </c>
      <c r="F26" s="41" t="inlineStr">
        <is>
          <t>Claude (after PD-02)</t>
        </is>
      </c>
      <c r="G26" s="42" t="inlineStr">
        <is>
          <t>Backlog</t>
        </is>
      </c>
      <c r="H26" s="42" t="inlineStr">
        <is>
          <t>Will extend src/claims.ts; the ST-107 gate already refuses a provider claim with no code behind it.</t>
        </is>
      </c>
    </row>
    <row r="27">
      <c r="A27" s="41" t="inlineStr">
        <is>
          <t>S16-01</t>
        </is>
      </c>
      <c r="B27" s="41" t="inlineStr">
        <is>
          <t>S16</t>
        </is>
      </c>
      <c r="C27" s="41" t="inlineStr">
        <is>
          <t>Language-aware signal detection (PR-11)</t>
        </is>
      </c>
      <c r="D27" s="41" t="inlineStr">
        <is>
          <t>ST-124</t>
        </is>
      </c>
      <c r="E27" s="41" t="n">
        <v>5</v>
      </c>
      <c r="F27" s="41" t="inlineStr">
        <is>
          <t>Claude + Senthil (corpus)</t>
        </is>
      </c>
      <c r="G27" s="42" t="inlineStr">
        <is>
          <t>Backlog</t>
        </is>
      </c>
      <c r="H27" s="42" t="inlineStr">
        <is>
          <t>Gated by PD-02 and PD-04 (keep/cut F4).</t>
        </is>
      </c>
    </row>
    <row r="28">
      <c r="A28" s="41" t="inlineStr">
        <is>
          <t>S16-02</t>
        </is>
      </c>
      <c r="B28" s="41" t="inlineStr">
        <is>
          <t>S16</t>
        </is>
      </c>
      <c r="C28" s="41" t="inlineStr">
        <is>
          <t>Indic ASR provider integration (streamed, never stored)</t>
        </is>
      </c>
      <c r="D28" s="41" t="inlineStr">
        <is>
          <t>ST-125</t>
        </is>
      </c>
      <c r="E28" s="41" t="n">
        <v>8</v>
      </c>
      <c r="F28" s="41" t="inlineStr">
        <is>
          <t>Claude + Senthil (corpus)</t>
        </is>
      </c>
      <c r="G28" s="42" t="inlineStr">
        <is>
          <t>Backlog</t>
        </is>
      </c>
      <c r="H28" s="42" t="inlineStr">
        <is>
          <t>Gated by PD-02.</t>
        </is>
      </c>
    </row>
    <row r="29">
      <c r="A29" s="41" t="inlineStr">
        <is>
          <t>S16-03</t>
        </is>
      </c>
      <c r="B29" s="41" t="inlineStr">
        <is>
          <t>S16</t>
        </is>
      </c>
      <c r="C29" s="41" t="inlineStr">
        <is>
          <t>Code-switch (Hinglish) handling at utterance level; scored classifier</t>
        </is>
      </c>
      <c r="D29" s="41" t="inlineStr">
        <is>
          <t>ST-126</t>
        </is>
      </c>
      <c r="E29" s="41" t="n">
        <v>5</v>
      </c>
      <c r="F29" s="41" t="inlineStr">
        <is>
          <t>Claude + Senthil (corpus)</t>
        </is>
      </c>
      <c r="G29" s="42" t="inlineStr">
        <is>
          <t>Backlog</t>
        </is>
      </c>
      <c r="H29" s="42" t="inlineStr">
        <is>
          <t>Gated by PD-02.</t>
        </is>
      </c>
    </row>
    <row r="30">
      <c r="A30" s="41" t="inlineStr">
        <is>
          <t>S16-04</t>
        </is>
      </c>
      <c r="B30" s="41" t="inlineStr">
        <is>
          <t>S16</t>
        </is>
      </c>
      <c r="C30" s="41" t="inlineStr">
        <is>
          <t>Published WER + field-accuracy benchmark (≥50 real calls) — closes LC-7</t>
        </is>
      </c>
      <c r="D30" s="41" t="inlineStr">
        <is>
          <t>ST-127</t>
        </is>
      </c>
      <c r="E30" s="41" t="n">
        <v>8</v>
      </c>
      <c r="F30" s="41" t="inlineStr">
        <is>
          <t>Claude + Senthil (corpus)</t>
        </is>
      </c>
      <c r="G30" s="42" t="inlineStr">
        <is>
          <t>Backlog</t>
        </is>
      </c>
      <c r="H30" s="42" t="inlineStr">
        <is>
          <t>Needs a consented corpus (PD-06 test 2 is the pilot).</t>
        </is>
      </c>
    </row>
    <row r="31">
      <c r="A31" s="41" t="inlineStr">
        <is>
          <t>S16-05</t>
        </is>
      </c>
      <c r="B31" s="41" t="inlineStr">
        <is>
          <t>S16</t>
        </is>
      </c>
      <c r="C31" s="41" t="inlineStr">
        <is>
          <t>Locale surface: hi/ta copy, Indian date/number/currency</t>
        </is>
      </c>
      <c r="D31" s="41" t="inlineStr">
        <is>
          <t>ST-128</t>
        </is>
      </c>
      <c r="E31" s="41" t="n">
        <v>3</v>
      </c>
      <c r="F31" s="41" t="inlineStr">
        <is>
          <t>Claude + Senthil (corpus)</t>
        </is>
      </c>
      <c r="G31" s="42" t="inlineStr">
        <is>
          <t>Backlog</t>
        </is>
      </c>
      <c r="H31" s="42" t="inlineStr"/>
    </row>
    <row r="32">
      <c r="A32" s="41" t="inlineStr">
        <is>
          <t>S17-01</t>
        </is>
      </c>
      <c r="B32" s="41" t="inlineStr">
        <is>
          <t>S17</t>
        </is>
      </c>
      <c r="C32" s="41" t="inlineStr">
        <is>
          <t>Live CRM OAuth per provider (HubSpot/Salesforce/Zoho) — closes LC-6</t>
        </is>
      </c>
      <c r="D32" s="41" t="inlineStr">
        <is>
          <t>ST-129</t>
        </is>
      </c>
      <c r="E32" s="41" t="n">
        <v>8</v>
      </c>
      <c r="F32" s="41" t="inlineStr">
        <is>
          <t>Claude + Senthil (creds)</t>
        </is>
      </c>
      <c r="G32" s="42" t="inlineStr">
        <is>
          <t>Backlog</t>
        </is>
      </c>
      <c r="H32" s="42" t="inlineStr">
        <is>
          <t>Needs sandbox accounts (Handover #3). /crm/connect still says sandbox.</t>
        </is>
      </c>
    </row>
    <row r="33">
      <c r="A33" s="41" t="inlineStr">
        <is>
          <t>S17-02</t>
        </is>
      </c>
      <c r="B33" s="41" t="inlineStr">
        <is>
          <t>S17</t>
        </is>
      </c>
      <c r="C33" s="41" t="inlineStr">
        <is>
          <t>Object and field discovery from CRM schema</t>
        </is>
      </c>
      <c r="D33" s="41" t="inlineStr">
        <is>
          <t>ST-130</t>
        </is>
      </c>
      <c r="E33" s="41" t="n">
        <v>5</v>
      </c>
      <c r="F33" s="41" t="inlineStr">
        <is>
          <t>Claude + Senthil (creds)</t>
        </is>
      </c>
      <c r="G33" s="42" t="inlineStr">
        <is>
          <t>Backlog</t>
        </is>
      </c>
      <c r="H33" s="42" t="inlineStr">
        <is>
          <t>After ST-129.</t>
        </is>
      </c>
    </row>
    <row r="34">
      <c r="A34" s="41" t="inlineStr">
        <is>
          <t>S17-03</t>
        </is>
      </c>
      <c r="B34" s="41" t="inlineStr">
        <is>
          <t>S17</t>
        </is>
      </c>
      <c r="C34" s="41" t="inlineStr">
        <is>
          <t>Mapping UI with dry-run and per-field diff</t>
        </is>
      </c>
      <c r="D34" s="41" t="inlineStr">
        <is>
          <t>ST-131</t>
        </is>
      </c>
      <c r="E34" s="41" t="n">
        <v>8</v>
      </c>
      <c r="F34" s="41" t="inlineStr">
        <is>
          <t>Claude + Senthil (creds)</t>
        </is>
      </c>
      <c r="G34" s="42" t="inlineStr">
        <is>
          <t>Backlog</t>
        </is>
      </c>
      <c r="H34" s="42" t="inlineStr">
        <is>
          <t>CrmPanel mapping form (ST-113) is the seed; dry-run/diff not built.</t>
        </is>
      </c>
    </row>
    <row r="35">
      <c r="A35" s="41" t="inlineStr">
        <is>
          <t>S17-04</t>
        </is>
      </c>
      <c r="B35" s="41" t="inlineStr">
        <is>
          <t>S17</t>
        </is>
      </c>
      <c r="C35" s="41" t="inlineStr">
        <is>
          <t>Association and multi-object writeback; participants matched to contacts</t>
        </is>
      </c>
      <c r="D35" s="41" t="inlineStr">
        <is>
          <t>ST-132</t>
        </is>
      </c>
      <c r="E35" s="41" t="n">
        <v>5</v>
      </c>
      <c r="F35" s="41" t="inlineStr">
        <is>
          <t>Claude + Senthil (creds)</t>
        </is>
      </c>
      <c r="G35" s="42" t="inlineStr">
        <is>
          <t>Backlog</t>
        </is>
      </c>
      <c r="H35" s="42" t="inlineStr">
        <is>
          <t>Replaces meetingRecordId() zoom-meeting:&lt;id&gt; stand-in.</t>
        </is>
      </c>
    </row>
    <row r="36">
      <c r="A36" s="41" t="inlineStr">
        <is>
          <t>S17-05</t>
        </is>
      </c>
      <c r="B36" s="41" t="inlineStr">
        <is>
          <t>S17</t>
        </is>
      </c>
      <c r="C36" s="41" t="inlineStr">
        <is>
          <t>Failure surface and replay; HubSpot rate-limit compliance; ≥95% success tracking</t>
        </is>
      </c>
      <c r="D36" s="41" t="inlineStr">
        <is>
          <t>ST-133</t>
        </is>
      </c>
      <c r="E36" s="41" t="n">
        <v>5</v>
      </c>
      <c r="F36" s="41" t="inlineStr">
        <is>
          <t>Claude + Senthil (creds)</t>
        </is>
      </c>
      <c r="G36" s="42" t="inlineStr">
        <is>
          <t>Backlog</t>
        </is>
      </c>
      <c r="H36" s="42" t="inlineStr">
        <is>
          <t>GET /crm/jobs + drain retry (ST-113) is the seed; dead-letter view and plain-language provider errors not built.</t>
        </is>
      </c>
    </row>
    <row r="37">
      <c r="A37" s="41" t="inlineStr">
        <is>
          <t>S17-06</t>
        </is>
      </c>
      <c r="B37" s="41" t="inlineStr">
        <is>
          <t>S17</t>
        </is>
      </c>
      <c r="C37" s="41" t="inlineStr">
        <is>
          <t>HubSpot marketplace listing (3 installs to list, 60 to certify)</t>
        </is>
      </c>
      <c r="D37" s="41" t="inlineStr">
        <is>
          <t>ST-134</t>
        </is>
      </c>
      <c r="E37" s="41" t="n">
        <v>5</v>
      </c>
      <c r="F37" s="41" t="inlineStr">
        <is>
          <t>Claude + Senthil (creds)</t>
        </is>
      </c>
      <c r="G37" s="42" t="inlineStr">
        <is>
          <t>Backlog</t>
        </is>
      </c>
      <c r="H37" s="42" t="inlineStr">
        <is>
          <t>Second marketplace on the critical path; not previously in the tracker (R-M7).</t>
        </is>
      </c>
    </row>
    <row r="38">
      <c r="A38" s="41" t="inlineStr">
        <is>
          <t>S17-07</t>
        </is>
      </c>
      <c r="B38" s="41" t="inlineStr">
        <is>
          <t>S17</t>
        </is>
      </c>
      <c r="C38" s="41" t="inlineStr">
        <is>
          <t>CRM writeback idempotency key (account, meeting, object, field-set)</t>
        </is>
      </c>
      <c r="D38" s="41" t="inlineStr">
        <is>
          <t>ST-135</t>
        </is>
      </c>
      <c r="E38" s="41" t="n">
        <v>3</v>
      </c>
      <c r="F38" s="41" t="inlineStr">
        <is>
          <t>Claude + Senthil (creds)</t>
        </is>
      </c>
      <c r="G38" s="42" t="inlineStr">
        <is>
          <t>Backlog</t>
        </is>
      </c>
      <c r="H38" s="42" t="inlineStr">
        <is>
          <t>ST-111 already guarantees one job per meeting via the insight; the adapter-level key lands with live adapters.</t>
        </is>
      </c>
    </row>
    <row r="39">
      <c r="A39" s="41" t="inlineStr">
        <is>
          <t>S18-01</t>
        </is>
      </c>
      <c r="B39" s="41" t="inlineStr">
        <is>
          <t>S18</t>
        </is>
      </c>
      <c r="C39" s="41" t="inlineStr">
        <is>
          <t>Resolve the pricing model (PR-05); gate served matrix vs published page</t>
        </is>
      </c>
      <c r="D39" s="41" t="inlineStr">
        <is>
          <t>ST-136</t>
        </is>
      </c>
      <c r="E39" s="41" t="n">
        <v>3</v>
      </c>
      <c r="F39" s="41" t="inlineStr">
        <is>
          <t>Claude (after PD-01)</t>
        </is>
      </c>
      <c r="G39" s="42" t="inlineStr">
        <is>
          <t>Backlog</t>
        </is>
      </c>
      <c r="H39" s="42" t="inlineStr">
        <is>
          <t>DECISION PENDING (PD-01) banner in docs/PRICING_PAGE.md, enforced by test/claims.test.ts until the numbers agree. Resolution = one decision applied to PLANS, /pricing, page, listing.</t>
        </is>
      </c>
    </row>
    <row r="40">
      <c r="A40" s="41" t="inlineStr">
        <is>
          <t>S18-02</t>
        </is>
      </c>
      <c r="B40" s="41" t="inlineStr">
        <is>
          <t>S18</t>
        </is>
      </c>
      <c r="C40" s="41" t="inlineStr">
        <is>
          <t>Payment processor integration (cards, subscriptions, tax, webhooks → markPaid/paymentFailedTick)</t>
        </is>
      </c>
      <c r="D40" s="41" t="inlineStr">
        <is>
          <t>ST-137</t>
        </is>
      </c>
      <c r="E40" s="41" t="n">
        <v>8</v>
      </c>
      <c r="F40" s="41" t="inlineStr">
        <is>
          <t>Claude (after PD-01)</t>
        </is>
      </c>
      <c r="G40" s="42" t="inlineStr">
        <is>
          <t>Backlog</t>
        </is>
      </c>
      <c r="H40" s="42" t="inlineStr">
        <is>
          <t>Retires two reachability allowlist entries (billing.ts markPaid/paymentFailedTick); dunning now has a sender (ST-115).</t>
        </is>
      </c>
    </row>
    <row r="41">
      <c r="A41" s="41" t="inlineStr">
        <is>
          <t>S18-03</t>
        </is>
      </c>
      <c r="B41" s="41" t="inlineStr">
        <is>
          <t>S18</t>
        </is>
      </c>
      <c r="C41" s="41" t="inlineStr">
        <is>
          <t>Zoom Marketplace billing route reconciled nightly — closes live half of LC-10</t>
        </is>
      </c>
      <c r="D41" s="41" t="inlineStr">
        <is>
          <t>ST-138</t>
        </is>
      </c>
      <c r="E41" s="41" t="n">
        <v>5</v>
      </c>
      <c r="F41" s="41" t="inlineStr">
        <is>
          <t>Claude (after PD-01)</t>
        </is>
      </c>
      <c r="G41" s="42" t="inlineStr">
        <is>
          <t>Backlog</t>
        </is>
      </c>
      <c r="H41" s="42" t="inlineStr">
        <is>
          <t>Needs the Zoom app (Handover #2).</t>
        </is>
      </c>
    </row>
    <row r="42">
      <c r="A42" s="41" t="inlineStr">
        <is>
          <t>S18-04</t>
        </is>
      </c>
      <c r="B42" s="41" t="inlineStr">
        <is>
          <t>S18</t>
        </is>
      </c>
      <c r="C42" s="41" t="inlineStr">
        <is>
          <t>Seat detection from measured distinct active users (PR-12)</t>
        </is>
      </c>
      <c r="D42" s="41" t="inlineStr">
        <is>
          <t>ST-139</t>
        </is>
      </c>
      <c r="E42" s="41" t="n">
        <v>5</v>
      </c>
      <c r="F42" s="41" t="inlineStr">
        <is>
          <t>Claude (after PD-01)</t>
        </is>
      </c>
      <c r="G42" s="42" t="inlineStr">
        <is>
          <t>Backlog</t>
        </is>
      </c>
      <c r="H42" s="42" t="inlineStr">
        <is>
          <t>telemetry.activeDays already records distinct active days per account (v042) — the input exists; the derivation does not.</t>
        </is>
      </c>
    </row>
    <row r="43">
      <c r="A43" s="41" t="inlineStr">
        <is>
          <t>S18-05</t>
        </is>
      </c>
      <c r="B43" s="41" t="inlineStr">
        <is>
          <t>S18</t>
        </is>
      </c>
      <c r="C43" s="41" t="inlineStr">
        <is>
          <t>Feature entitlement matrix enforced in code (deal risk / audit log above Starter)</t>
        </is>
      </c>
      <c r="D43" s="41" t="inlineStr">
        <is>
          <t>ST-140</t>
        </is>
      </c>
      <c r="E43" s="41" t="n">
        <v>3</v>
      </c>
      <c r="F43" s="41" t="inlineStr">
        <is>
          <t>Claude (after PD-01)</t>
        </is>
      </c>
      <c r="G43" s="42" t="inlineStr">
        <is>
          <t>Backlog</t>
        </is>
      </c>
      <c r="H43" s="42" t="inlineStr">
        <is>
          <t>Depends on PD-01 and PD-04.</t>
        </is>
      </c>
    </row>
    <row r="44">
      <c r="A44" s="41" t="inlineStr">
        <is>
          <t>S18-06</t>
        </is>
      </c>
      <c r="B44" s="41" t="inlineStr">
        <is>
          <t>S18</t>
        </is>
      </c>
      <c r="C44" s="41" t="inlineStr">
        <is>
          <t>Honest funnel metrics: cohorted trials, activation instrumented (PR-14)</t>
        </is>
      </c>
      <c r="D44" s="41" t="inlineStr">
        <is>
          <t>ST-141</t>
        </is>
      </c>
      <c r="E44" s="41" t="n">
        <v>2</v>
      </c>
      <c r="F44" s="41" t="inlineStr">
        <is>
          <t>Claude (after PD-01)</t>
        </is>
      </c>
      <c r="G44" s="42" t="inlineStr">
        <is>
          <t>Done-in-code</t>
        </is>
      </c>
      <c r="H44" s="42" t="inlineStr">
        <is>
          <t>billing.ts revenueMetrics: trials = cohort started in window, converted within cohort, per-week cohorts; FunnelStage "activated" = first approved CRM writeback (ingestor onActivation → telemetry). Pinned: review.test.ts cohorts; server.test.ts activated=1. Metrics_Targets computed values = post-launch.</t>
        </is>
      </c>
    </row>
    <row r="45">
      <c r="A45" s="41" t="inlineStr">
        <is>
          <t>S19-01</t>
        </is>
      </c>
      <c r="B45" s="41" t="inlineStr">
        <is>
          <t>S19</t>
        </is>
      </c>
      <c r="C45" s="41" t="inlineStr">
        <is>
          <t>SSO (SAML/OIDC) + SCIM; deprovision revokes sessions</t>
        </is>
      </c>
      <c r="D45" s="41" t="inlineStr">
        <is>
          <t>ST-142</t>
        </is>
      </c>
      <c r="E45" s="41" t="n">
        <v>8</v>
      </c>
      <c r="F45" s="41" t="inlineStr">
        <is>
          <t>Senthil + Claude</t>
        </is>
      </c>
      <c r="G45" s="42" t="inlineStr">
        <is>
          <t>Backlog</t>
        </is>
      </c>
      <c r="H45" s="42" t="inlineStr">
        <is>
          <t>Uses ST-103 revocation. Gated by PD-03.</t>
        </is>
      </c>
    </row>
    <row r="46">
      <c r="A46" s="41" t="inlineStr">
        <is>
          <t>S19-02</t>
        </is>
      </c>
      <c r="B46" s="41" t="inlineStr">
        <is>
          <t>S19</t>
        </is>
      </c>
      <c r="C46" s="41" t="inlineStr">
        <is>
          <t>Admin console: invite, roles, remove, active sessions, audit log filters + CSV</t>
        </is>
      </c>
      <c r="D46" s="41" t="inlineStr">
        <is>
          <t>ST-143</t>
        </is>
      </c>
      <c r="E46" s="41" t="n">
        <v>5</v>
      </c>
      <c r="F46" s="41" t="inlineStr">
        <is>
          <t>Senthil + Claude</t>
        </is>
      </c>
      <c r="G46" s="42" t="inlineStr">
        <is>
          <t>Backlog</t>
        </is>
      </c>
      <c r="H46" s="42" t="inlineStr">
        <is>
          <t>team.manage now gates /session/revoke-all (ST-103) — the first thing it has ever gated.</t>
        </is>
      </c>
    </row>
    <row r="47">
      <c r="A47" s="41" t="inlineStr">
        <is>
          <t>S19-03</t>
        </is>
      </c>
      <c r="B47" s="41" t="inlineStr">
        <is>
          <t>S19</t>
        </is>
      </c>
      <c r="C47" s="41" t="inlineStr">
        <is>
          <t>Backups, PITR, stated RPO/RTO, SLO + on-call</t>
        </is>
      </c>
      <c r="D47" s="41" t="inlineStr">
        <is>
          <t>ST-144</t>
        </is>
      </c>
      <c r="E47" s="41" t="n">
        <v>5</v>
      </c>
      <c r="F47" s="41" t="inlineStr">
        <is>
          <t>Senthil + Claude</t>
        </is>
      </c>
      <c r="G47" s="42" t="inlineStr">
        <is>
          <t>Backlog</t>
        </is>
      </c>
      <c r="H47" s="42" t="inlineStr">
        <is>
          <t>Application-level restore drill exists (ST-090); managed-instance PITR and quarterly drill are infra (Handover #4).</t>
        </is>
      </c>
    </row>
    <row r="48">
      <c r="A48" s="41" t="inlineStr">
        <is>
          <t>S19-04</t>
        </is>
      </c>
      <c r="B48" s="41" t="inlineStr">
        <is>
          <t>S19</t>
        </is>
      </c>
      <c r="C48" s="41" t="inlineStr">
        <is>
          <t>Enforced data residency (PR-09) or removal of the claim</t>
        </is>
      </c>
      <c r="D48" s="41" t="inlineStr">
        <is>
          <t>ST-145</t>
        </is>
      </c>
      <c r="E48" s="41" t="n">
        <v>5</v>
      </c>
      <c r="F48" s="41" t="inlineStr">
        <is>
          <t>Senthil + Claude</t>
        </is>
      </c>
      <c r="G48" s="42" t="inlineStr">
        <is>
          <t>Backlog</t>
        </is>
      </c>
      <c r="H48" s="42" t="inlineStr">
        <is>
          <t>/trust now reports regionEnforced:false and the trust page says so ("Not yet"); the claim is already removed from every artefact. Enforcement = per-region deployment.</t>
        </is>
      </c>
    </row>
    <row r="49">
      <c r="A49" s="41" t="inlineStr">
        <is>
          <t>S19-05</t>
        </is>
      </c>
      <c r="B49" s="41" t="inlineStr">
        <is>
          <t>S19</t>
        </is>
      </c>
      <c r="C49" s="41" t="inlineStr">
        <is>
          <t>DPA + subprocessor list, GDPR Art. 30, DPIA, consent artefact (LC-3), SOC 2 readiness</t>
        </is>
      </c>
      <c r="D49" s="41" t="inlineStr">
        <is>
          <t>ST-146</t>
        </is>
      </c>
      <c r="E49" s="41" t="n">
        <v>5</v>
      </c>
      <c r="F49" s="41" t="inlineStr">
        <is>
          <t>Senthil + Claude</t>
        </is>
      </c>
      <c r="G49" s="42" t="inlineStr">
        <is>
          <t>Backlog</t>
        </is>
      </c>
      <c r="H49" s="42" t="inlineStr">
        <is>
          <t>Subprocessor list is now accurate (src/claims.ts). Rest is programme work; PD-03.</t>
        </is>
      </c>
    </row>
    <row r="50">
      <c r="A50" s="41" t="inlineStr">
        <is>
          <t>S19-06</t>
        </is>
      </c>
      <c r="B50" s="41" t="inlineStr">
        <is>
          <t>S19</t>
        </is>
      </c>
      <c r="C50" s="41" t="inlineStr">
        <is>
          <t>Third-party penetration test (OAuth install, tenancy, operator surface, CRM path) — closes LC-2/ST-068</t>
        </is>
      </c>
      <c r="D50" s="41" t="inlineStr">
        <is>
          <t>ST-147</t>
        </is>
      </c>
      <c r="E50" s="41" t="n">
        <v>4</v>
      </c>
      <c r="F50" s="41" t="inlineStr">
        <is>
          <t>Senthil + Claude</t>
        </is>
      </c>
      <c r="G50" s="42" t="inlineStr">
        <is>
          <t>Backlog</t>
        </is>
      </c>
      <c r="H50" s="42" t="inlineStr">
        <is>
          <t>PR-01 must be in scope. Handover #7.</t>
        </is>
      </c>
    </row>
    <row r="51">
      <c r="A51" s="41" t="inlineStr">
        <is>
          <t>S20-01</t>
        </is>
      </c>
      <c r="B51" s="41" t="inlineStr">
        <is>
          <t>S20</t>
        </is>
      </c>
      <c r="C51" s="41" t="inlineStr">
        <is>
          <t>Zoom Marketplace submission — closes LC-1, G-01</t>
        </is>
      </c>
      <c r="D51" s="41" t="inlineStr">
        <is>
          <t>ST-148</t>
        </is>
      </c>
      <c r="E51" s="41" t="n">
        <v>3</v>
      </c>
      <c r="F51" s="41" t="inlineStr">
        <is>
          <t>Senthil</t>
        </is>
      </c>
      <c r="G51" s="42" t="inlineStr">
        <is>
          <t>Backlog</t>
        </is>
      </c>
      <c r="H51" s="42" t="inlineStr">
        <is>
          <t>PD-05 hold lifted by v045; Handover #2 first.</t>
        </is>
      </c>
    </row>
    <row r="52">
      <c r="A52" s="41" t="inlineStr">
        <is>
          <t>S20-02</t>
        </is>
      </c>
      <c r="B52" s="41" t="inlineStr">
        <is>
          <t>S20</t>
        </is>
      </c>
      <c r="C52" s="41" t="inlineStr">
        <is>
          <t>Listing asset pack (video on ST-114 review screen, 5 screenshots, copy that passes ST-107)</t>
        </is>
      </c>
      <c r="D52" s="41" t="inlineStr">
        <is>
          <t>ST-149</t>
        </is>
      </c>
      <c r="E52" s="41" t="n">
        <v>3</v>
      </c>
      <c r="F52" s="41" t="inlineStr">
        <is>
          <t>Senthil</t>
        </is>
      </c>
      <c r="G52" s="42" t="inlineStr">
        <is>
          <t>Backlog</t>
        </is>
      </c>
      <c r="H52" s="42" t="inlineStr">
        <is>
          <t>Copy HELD until PD-02 (docs/LISTING_COPY.md banner, gated).</t>
        </is>
      </c>
    </row>
    <row r="53">
      <c r="A53" s="41" t="inlineStr">
        <is>
          <t>S20-03</t>
        </is>
      </c>
      <c r="B53" s="41" t="inlineStr">
        <is>
          <t>S20</t>
        </is>
      </c>
      <c r="C53" s="41" t="inlineStr">
        <is>
          <t>Manual accessibility pass on the live UI — closes Handover #22 / ST-089</t>
        </is>
      </c>
      <c r="D53" s="41" t="inlineStr">
        <is>
          <t>ST-150</t>
        </is>
      </c>
      <c r="E53" s="41" t="n">
        <v>3</v>
      </c>
      <c r="F53" s="41" t="inlineStr">
        <is>
          <t>Senthil</t>
        </is>
      </c>
      <c r="G53" s="42" t="inlineStr">
        <is>
          <t>Backlog</t>
        </is>
      </c>
      <c r="H53" s="42" t="inlineStr">
        <is>
          <t>jsdom axe cannot judge contrast; needs a real install.</t>
        </is>
      </c>
    </row>
    <row r="54">
      <c r="A54" s="41" t="inlineStr">
        <is>
          <t>S20-04</t>
        </is>
      </c>
      <c r="B54" s="41" t="inlineStr">
        <is>
          <t>S20</t>
        </is>
      </c>
      <c r="C54" s="41" t="inlineStr">
        <is>
          <t>Design partners + first 10 paying installs, 3 reviews, activation &gt;40% — closes G-02</t>
        </is>
      </c>
      <c r="D54" s="41" t="inlineStr">
        <is>
          <t>ST-151</t>
        </is>
      </c>
      <c r="E54" s="41" t="n">
        <v>3</v>
      </c>
      <c r="F54" s="41" t="inlineStr">
        <is>
          <t>Senthil</t>
        </is>
      </c>
      <c r="G54" s="42" t="inlineStr">
        <is>
          <t>Backlog</t>
        </is>
      </c>
      <c r="H54" s="42" t="inlineStr">
        <is>
          <t>Activation now measured (ST-141).</t>
        </is>
      </c>
    </row>
  </sheetData>
  <pageMargins left="0.75" right="0.75" top="1" bottom="1" header="0.5" footer="0.5"/>
</worksheet>
</file>

<file path=xl/worksheets/sheet11.xml><?xml version="1.0" encoding="utf-8"?>
<worksheet xmlns="http://schemas.openxmlformats.org/spreadsheetml/2006/main">
  <sheetPr filterMode="0">
    <outlinePr summaryBelow="1" summaryRight="1"/>
    <pageSetUpPr fitToPage="0"/>
  </sheetPr>
  <dimension ref="A1:H6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9" min="1" max="1"/>
    <col width="64" customWidth="1" style="19" min="2" max="2"/>
    <col width="96" customWidth="1" style="19" min="3" max="3"/>
    <col width="52" customWidth="1" style="19" min="4" max="4"/>
    <col width="42" customWidth="1" style="19" min="5" max="5"/>
    <col width="34" customWidth="1" style="19" min="6" max="6"/>
    <col width="12" customWidth="1" style="19" min="7" max="7"/>
    <col width="30" customWidth="1" style="19" min="8" max="8"/>
  </cols>
  <sheetData>
    <row r="1" ht="15.75" customHeight="1" s="20">
      <c r="A1" s="21" t="inlineStr">
        <is>
          <t>SENTHIL HANDOVER — every remaining MeetSync item; nothing else is codeable</t>
        </is>
      </c>
    </row>
    <row r="2" ht="15" customHeight="1" s="20">
      <c r="A2" s="43" t="inlineStr">
        <is>
          <t>RENUMBERED 13 Sep 23:15. Numbers 8-14 each appeared TWICE: the original list ran 1-14 and every item added during the day restarted at 8, so "Handover #8" referred to two different things and every reference made today was ambiguous. Rows are in their original order and now numbered 1-35 uniquely; references in the Sprint_Tracker_Log to a number below 15 predate this and should be read by the item text, not the number.</t>
        </is>
      </c>
    </row>
    <row r="3" ht="15" customHeight="1" s="20">
      <c r="A3" s="23" t="inlineStr">
        <is>
          <t>#</t>
        </is>
      </c>
      <c r="B3" s="23" t="inlineStr">
        <is>
          <t>Category</t>
        </is>
      </c>
      <c r="C3" s="23" t="inlineStr">
        <is>
          <t>Item</t>
        </is>
      </c>
      <c r="D3" s="23" t="inlineStr">
        <is>
          <t>Refs</t>
        </is>
      </c>
      <c r="E3" s="23" t="inlineStr">
        <is>
          <t>What Claude needs back</t>
        </is>
      </c>
      <c r="F3" s="23" t="inlineStr">
        <is>
          <t>Unblocks</t>
        </is>
      </c>
      <c r="G3" s="23" t="inlineStr">
        <is>
          <t>Status</t>
        </is>
      </c>
      <c r="H3" s="47" t="inlineStr">
        <is>
          <t>Priority (added v039)</t>
        </is>
      </c>
    </row>
    <row r="4" ht="23.25" customHeight="1" s="20">
      <c r="A4" s="27" t="n">
        <v>1</v>
      </c>
      <c r="B4" s="27" t="inlineStr">
        <is>
          <t>Decision</t>
        </is>
      </c>
      <c r="C4" s="27" t="inlineStr">
        <is>
          <t>D15: ratify build mode — (a) parallel portfolio builds or (b) order swap</t>
        </is>
      </c>
      <c r="D4" s="27" t="inlineStr">
        <is>
          <t>Decisions D15</t>
        </is>
      </c>
      <c r="E4" s="27" t="inlineStr">
        <is>
          <t>One word: (a) or (b)</t>
        </is>
      </c>
      <c r="F4" s="27" t="inlineStr">
        <is>
          <t>Portfolio governance; ten concurrent builds currently unratified</t>
        </is>
      </c>
      <c r="G4" s="33" t="inlineStr">
        <is>
          <t>Open</t>
        </is>
      </c>
      <c r="H4" s="26" t="inlineStr">
        <is>
          <t>P3 — needs you or a live install</t>
        </is>
      </c>
    </row>
    <row r="5" ht="34.5" customHeight="1" s="20">
      <c r="A5" s="27" t="n">
        <v>2</v>
      </c>
      <c r="B5" s="27" t="inlineStr">
        <is>
          <t>Credentials</t>
        </is>
      </c>
      <c r="C5" s="27" t="inlineStr">
        <is>
          <t>Create Zoom Marketplace dev app, scopes per docs/SECURITY_SCOPES.md</t>
        </is>
      </c>
      <c r="D5" s="27" t="inlineStr">
        <is>
          <t>S9-01, LC-1</t>
        </is>
      </c>
      <c r="E5" s="27" t="inlineStr">
        <is>
          <t>Client id/secret + webhook secret (or do live install together)</t>
        </is>
      </c>
      <c r="F5" s="27" t="inlineStr">
        <is>
          <t>Live install, real webhook shapes (D-M3/R-M5), SDK handshake -&gt; converts FIVE UI-complete surface stories (25 pts) to Done + unlocks ST-094 screenshots</t>
        </is>
      </c>
      <c r="G5" s="33" t="inlineStr">
        <is>
          <t>Open</t>
        </is>
      </c>
      <c r="H5" s="32" t="inlineStr">
        <is>
          <t>P1 — unblocks the most</t>
        </is>
      </c>
    </row>
    <row r="6" ht="23.25" customHeight="1" s="20">
      <c r="A6" s="27" t="n">
        <v>3</v>
      </c>
      <c r="B6" s="27" t="inlineStr">
        <is>
          <t>Credentials</t>
        </is>
      </c>
      <c r="C6" s="27" t="inlineStr">
        <is>
          <t>HubSpot/Salesforce/Zoho sandbox accounts</t>
        </is>
      </c>
      <c r="D6" s="27" t="inlineStr">
        <is>
          <t>S9-03, LC-6</t>
        </is>
      </c>
      <c r="E6" s="27" t="inlineStr">
        <is>
          <t>Sandbox creds or OAuth session</t>
        </is>
      </c>
      <c r="F6" s="27" t="inlineStr">
        <is>
          <t>LC-6 live writeback runs; adapter contract verification</t>
        </is>
      </c>
      <c r="G6" s="33" t="inlineStr">
        <is>
          <t>Open</t>
        </is>
      </c>
      <c r="H6" s="26" t="inlineStr">
        <is>
          <t>P3 — needs you or a live install</t>
        </is>
      </c>
    </row>
    <row r="7" ht="23.25" customHeight="1" s="20">
      <c r="A7" s="27" t="n">
        <v>4</v>
      </c>
      <c r="B7" s="27" t="inlineStr">
        <is>
          <t>Infra</t>
        </is>
      </c>
      <c r="C7" s="27" t="inlineStr">
        <is>
          <t>Staging environment + blue/green slots + vault</t>
        </is>
      </c>
      <c r="D7" s="27" t="inlineStr">
        <is>
          <t>S9-08/10, ST-066/088/092</t>
        </is>
      </c>
      <c r="E7" s="27" t="inlineStr">
        <is>
          <t>Provider choice + access</t>
        </is>
      </c>
      <c r="F7" s="27" t="inlineStr">
        <is>
          <t>k6 5x run, deploy live-verify, encryption-at-rest, chaos/backup drills ST-090/091</t>
        </is>
      </c>
      <c r="G7" s="33" t="inlineStr">
        <is>
          <t>Open</t>
        </is>
      </c>
      <c r="H7" s="26" t="inlineStr">
        <is>
          <t>P3 — needs you or a live install</t>
        </is>
      </c>
    </row>
    <row r="8" ht="34.5" customHeight="1" s="20">
      <c r="A8" s="27" t="n">
        <v>5</v>
      </c>
      <c r="B8" s="27" t="inlineStr">
        <is>
          <t>Decision</t>
        </is>
      </c>
      <c r="C8" s="27" t="inlineStr">
        <is>
          <t>Listing copy: pick variant A (CRM-hygiene) or B (rep-time)</t>
        </is>
      </c>
      <c r="D8" s="27" t="inlineStr">
        <is>
          <t>ST-093, docs/LISTING_COPY.md</t>
        </is>
      </c>
      <c r="E8" s="27" t="inlineStr">
        <is>
          <t>One word: A or B</t>
        </is>
      </c>
      <c r="F8" s="27" t="inlineStr">
        <is>
          <t>Final listing copy -&gt; assets ST-094</t>
        </is>
      </c>
      <c r="G8" s="33" t="inlineStr">
        <is>
          <t>Open</t>
        </is>
      </c>
      <c r="H8" s="26" t="inlineStr">
        <is>
          <t>P3 — needs you or a live install</t>
        </is>
      </c>
    </row>
    <row r="9" ht="23.25" customHeight="1" s="20">
      <c r="A9" s="27" t="n">
        <v>6</v>
      </c>
      <c r="B9" s="27" t="inlineStr">
        <is>
          <t>Human</t>
        </is>
      </c>
      <c r="C9" s="27" t="inlineStr">
        <is>
          <t>Record 2-min demo video + 5 screenshots (demo-mode gives populated screens)</t>
        </is>
      </c>
      <c r="D9" s="27" t="inlineStr">
        <is>
          <t>ST-083/094, LC-9</t>
        </is>
      </c>
      <c r="E9" s="27" t="inlineStr">
        <is>
          <t>Recordings meeting platform specs</t>
        </is>
      </c>
      <c r="F9" s="27" t="inlineStr">
        <is>
          <t>Listing asset pack</t>
        </is>
      </c>
      <c r="G9" s="33" t="inlineStr">
        <is>
          <t>Open</t>
        </is>
      </c>
      <c r="H9" s="26" t="inlineStr">
        <is>
          <t>P3 — needs you or a live install</t>
        </is>
      </c>
    </row>
    <row r="10" ht="15" customHeight="1" s="20">
      <c r="A10" s="27" t="n">
        <v>7</v>
      </c>
      <c r="B10" s="27" t="inlineStr">
        <is>
          <t>Human</t>
        </is>
      </c>
      <c r="C10" s="27" t="inlineStr">
        <is>
          <t>Pen-test / security evidence for review pack</t>
        </is>
      </c>
      <c r="D10" s="27" t="inlineStr">
        <is>
          <t>ST-068, LC-2</t>
        </is>
      </c>
      <c r="E10" s="27" t="inlineStr">
        <is>
          <t>Vendor report or self-attest pack</t>
        </is>
      </c>
      <c r="F10" s="27" t="inlineStr">
        <is>
          <t>Zoom security review</t>
        </is>
      </c>
      <c r="G10" s="33" t="inlineStr">
        <is>
          <t>Open</t>
        </is>
      </c>
      <c r="H10" s="26" t="inlineStr">
        <is>
          <t>P3 — needs you or a live install</t>
        </is>
      </c>
    </row>
    <row r="11" ht="15" customHeight="1" s="20">
      <c r="A11" s="27" t="n">
        <v>8</v>
      </c>
      <c r="B11" s="27" t="inlineStr">
        <is>
          <t>Human</t>
        </is>
      </c>
      <c r="C11" s="27" t="inlineStr">
        <is>
          <t>Legal review: recording-consent UX per region</t>
        </is>
      </c>
      <c r="D11" s="27" t="inlineStr">
        <is>
          <t>LC-3, R-M2</t>
        </is>
      </c>
      <c r="E11" s="27" t="inlineStr">
        <is>
          <t>Legal sign-off note</t>
        </is>
      </c>
      <c r="F11" s="27" t="inlineStr">
        <is>
          <t>Compliance gate</t>
        </is>
      </c>
      <c r="G11" s="33" t="inlineStr">
        <is>
          <t>Open</t>
        </is>
      </c>
      <c r="H11" s="26" t="inlineStr">
        <is>
          <t>P3 — needs you or a live install</t>
        </is>
      </c>
    </row>
    <row r="12" ht="23.25" customHeight="1" s="20">
      <c r="A12" s="27" t="n">
        <v>9</v>
      </c>
      <c r="B12" s="27" t="inlineStr">
        <is>
          <t>Vendor</t>
        </is>
      </c>
      <c r="C12" s="27" t="inlineStr">
        <is>
          <t>In-app chat vendor + staffed hours (&lt;4 business-hr SLA)</t>
        </is>
      </c>
      <c r="D12" s="27" t="inlineStr">
        <is>
          <t>ST-081</t>
        </is>
      </c>
      <c r="E12" s="27" t="inlineStr">
        <is>
          <t>Vendor pick (Intercom/Crisp/Plain)</t>
        </is>
      </c>
      <c r="F12" s="27" t="inlineStr">
        <is>
          <t>S10 support story; intake wiring on request</t>
        </is>
      </c>
      <c r="G12" s="33" t="inlineStr">
        <is>
          <t>Open</t>
        </is>
      </c>
      <c r="H12" s="26" t="inlineStr">
        <is>
          <t>P3 — needs a vendor</t>
        </is>
      </c>
    </row>
    <row r="13" ht="15" customHeight="1" s="20">
      <c r="A13" s="27" t="n">
        <v>10</v>
      </c>
      <c r="B13" s="27" t="inlineStr">
        <is>
          <t>Human</t>
        </is>
      </c>
      <c r="C13" s="27" t="inlineStr">
        <is>
          <t>Submission dry-run by second reviewer vs Zoom checklist</t>
        </is>
      </c>
      <c r="D13" s="27" t="inlineStr">
        <is>
          <t>ST-097</t>
        </is>
      </c>
      <c r="E13" s="27" t="inlineStr">
        <is>
          <t>Findings list</t>
        </is>
      </c>
      <c r="F13" s="27" t="inlineStr">
        <is>
          <t>Real submission</t>
        </is>
      </c>
      <c r="G13" s="33" t="inlineStr">
        <is>
          <t>Open</t>
        </is>
      </c>
      <c r="H13" s="26" t="inlineStr">
        <is>
          <t>P3 — needs you or a live install</t>
        </is>
      </c>
    </row>
    <row r="14" ht="23.25" customHeight="1" s="20">
      <c r="A14" s="27" t="n">
        <v>11</v>
      </c>
      <c r="B14" s="27" t="inlineStr">
        <is>
          <t>Human</t>
        </is>
      </c>
      <c r="C14" s="27" t="inlineStr">
        <is>
          <t>Publish pricing + trust + help content to marketing site</t>
        </is>
      </c>
      <c r="D14" s="27" t="inlineStr">
        <is>
          <t>ST-095/096/080 drafts</t>
        </is>
      </c>
      <c r="E14" s="27" t="inlineStr">
        <is>
          <t>Site/hosting choice</t>
        </is>
      </c>
      <c r="F14" s="27" t="inlineStr">
        <is>
          <t>Public pages live</t>
        </is>
      </c>
      <c r="G14" s="33" t="inlineStr">
        <is>
          <t>Open</t>
        </is>
      </c>
      <c r="H14" s="26" t="inlineStr">
        <is>
          <t>P3 — needs you or a live install</t>
        </is>
      </c>
    </row>
    <row r="15" ht="23.25" customHeight="1" s="20">
      <c r="A15" s="27" t="n">
        <v>12</v>
      </c>
      <c r="B15" s="27" t="inlineStr">
        <is>
          <t>Human</t>
        </is>
      </c>
      <c r="C15" s="27" t="inlineStr">
        <is>
          <t>Design partners: 3+ weekly actives, NPS pulse; 10 launch reviews scheduled</t>
        </is>
      </c>
      <c r="D15" s="27" t="inlineStr">
        <is>
          <t>S7 exit, ST-100</t>
        </is>
      </c>
      <c r="E15" s="27" t="inlineStr">
        <is>
          <t>Partner list + intros</t>
        </is>
      </c>
      <c r="F15" s="27" t="inlineStr">
        <is>
          <t>S7 exit evidence; launch reviews</t>
        </is>
      </c>
      <c r="G15" s="33" t="inlineStr">
        <is>
          <t>Open</t>
        </is>
      </c>
      <c r="H15" s="26" t="inlineStr">
        <is>
          <t>P3 — needs you or a live install</t>
        </is>
      </c>
    </row>
    <row r="16" ht="15" customHeight="1" s="20">
      <c r="A16" s="27" t="n">
        <v>13</v>
      </c>
      <c r="B16" s="27" t="inlineStr">
        <is>
          <t>Human</t>
        </is>
      </c>
      <c r="C16" s="27" t="inlineStr">
        <is>
          <t>WCAG AA pass on live UI</t>
        </is>
      </c>
      <c r="D16" s="27" t="inlineStr">
        <is>
          <t>ST-089</t>
        </is>
      </c>
      <c r="E16" s="27" t="inlineStr">
        <is>
          <t>Access to rendered surface</t>
        </is>
      </c>
      <c r="F16" s="27" t="inlineStr">
        <is>
          <t>Accessibility gate</t>
        </is>
      </c>
      <c r="G16" s="33" t="inlineStr">
        <is>
          <t>Open</t>
        </is>
      </c>
      <c r="H16" s="26" t="inlineStr">
        <is>
          <t>P3 — needs you or a live install</t>
        </is>
      </c>
    </row>
    <row r="17" ht="15" customHeight="1" s="20">
      <c r="A17" s="27" t="n">
        <v>14</v>
      </c>
      <c r="B17" s="27" t="inlineStr">
        <is>
          <t>Live data</t>
        </is>
      </c>
      <c r="C17" s="27" t="inlineStr">
        <is>
          <t>Post-launch: search-term data accrues automatically</t>
        </is>
      </c>
      <c r="D17" s="27" t="inlineStr">
        <is>
          <t>ST-099</t>
        </is>
      </c>
      <c r="E17" s="27" t="inlineStr">
        <is>
          <t>Nothing — just launch</t>
        </is>
      </c>
      <c r="F17" s="27" t="inlineStr">
        <is>
          <t>SEO iteration 1 (pipeline already live)</t>
        </is>
      </c>
      <c r="G17" s="33" t="inlineStr">
        <is>
          <t>Auto</t>
        </is>
      </c>
      <c r="H17" s="44" t="n"/>
    </row>
    <row r="18" ht="57" customHeight="1" s="20">
      <c r="A18" s="26" t="n">
        <v>15</v>
      </c>
      <c r="B18" s="26" t="inlineStr">
        <is>
          <t>Deployment</t>
        </is>
      </c>
      <c r="C18" s="26" t="inlineStr">
        <is>
          <t>Generate and store two new secrets before any deploy: MEETSYNC_SESSION_SECRET (32+ chars, signs session tokens and OAuth state) and MEETSYNC_OPERATOR_TOKEN (gates /admin and /analytics). loadConfig refuses to start without them.</t>
        </is>
      </c>
      <c r="D18" s="26" t="inlineStr">
        <is>
          <t>M-F11, M-F12</t>
        </is>
      </c>
      <c r="E18" s="26" t="inlineStr">
        <is>
          <t>Two values in your secret store (do not send them to me)</t>
        </is>
      </c>
      <c r="F18" s="26" t="inlineStr">
        <is>
          <t>Any deployment of v013 onward</t>
        </is>
      </c>
      <c r="G18" s="26" t="inlineStr">
        <is>
          <t>Open</t>
        </is>
      </c>
      <c r="H18" s="32" t="inlineStr">
        <is>
          <t>P1 — blocks any deploy</t>
        </is>
      </c>
    </row>
    <row r="19" ht="34.5" customHeight="1" s="20">
      <c r="A19" s="26" t="n">
        <v>16</v>
      </c>
      <c r="B19" s="26" t="inlineStr">
        <is>
          <t>Disposition</t>
        </is>
      </c>
      <c r="C19" s="26" t="inlineStr">
        <is>
          <t>OBS-M1 circuit-breaker half-open resets the failure count entirely — same shape as FlowCast OBS-002 and VoiceBridge OBS-V2. Wants one portfolio ruling.</t>
        </is>
      </c>
      <c r="D19" s="26" t="inlineStr">
        <is>
          <t>Review_Findings OBS-M1</t>
        </is>
      </c>
      <c r="E19" s="26" t="inlineStr">
        <is>
          <t>Fix everywhere / leave everywhere</t>
        </is>
      </c>
      <c r="F19" s="26" t="inlineStr">
        <is>
          <t>Closes the same observation on three products</t>
        </is>
      </c>
      <c r="G19" s="26" t="inlineStr">
        <is>
          <t>Open</t>
        </is>
      </c>
      <c r="H19" s="45" t="inlineStr">
        <is>
          <t>P2 — a decision only</t>
        </is>
      </c>
    </row>
    <row r="20" ht="34.5" customHeight="1" s="20">
      <c r="A20" s="26" t="n">
        <v>17</v>
      </c>
      <c r="B20" s="26" t="inlineStr">
        <is>
          <t>Disposition</t>
        </is>
      </c>
      <c r="C20" s="26" t="inlineStr">
        <is>
          <t>OBS-M2 re-installing after delete-my-data but before the sweep restores the archived account. Product question: should an explicit deletion be reversible?</t>
        </is>
      </c>
      <c r="D20" s="26" t="inlineStr">
        <is>
          <t>Review_Findings OBS-M2</t>
        </is>
      </c>
      <c r="E20" s="26" t="inlineStr">
        <is>
          <t>Reversible / irreversible</t>
        </is>
      </c>
      <c r="F20" s="26" t="inlineStr">
        <is>
          <t>Deletion semantics in docs/DATA_FLOW.md</t>
        </is>
      </c>
      <c r="G20" s="26" t="inlineStr">
        <is>
          <t>Open</t>
        </is>
      </c>
      <c r="H20" s="45" t="inlineStr">
        <is>
          <t>P2 — a decision only</t>
        </is>
      </c>
    </row>
    <row r="21" ht="45.75" customHeight="1" s="20">
      <c r="A21" s="26" t="n">
        <v>18</v>
      </c>
      <c r="B21" s="26" t="inlineStr">
        <is>
          <t>Artifact</t>
        </is>
      </c>
      <c r="C21" s="26" t="inlineStr">
        <is>
          <t>Product workbook is still at v007 (5 Sep). The v009 as-built re-baseline is owed and now further out of date — v013 adds auth, tenancy, csv and ledger modules the workbook does not mention.</t>
        </is>
      </c>
      <c r="D21" s="26" t="inlineStr">
        <is>
          <t>Portfolio artifact discipline</t>
        </is>
      </c>
      <c r="E21" s="26" t="inlineStr">
        <is>
          <t>Go-ahead to rebuild it in a dedicated sitting</t>
        </is>
      </c>
      <c r="F21" s="26" t="inlineStr">
        <is>
          <t>Workbook matching the shipped code</t>
        </is>
      </c>
      <c r="G21" s="26" t="inlineStr">
        <is>
          <t>CLOSED 13 Sep 10:01 — released as workbook v009</t>
        </is>
      </c>
      <c r="H21" s="44" t="n"/>
    </row>
    <row r="22" ht="57" customHeight="1" s="20">
      <c r="A22" s="26" t="n">
        <v>19</v>
      </c>
      <c r="B22" s="26" t="inlineStr">
        <is>
          <t>Artifact</t>
        </is>
      </c>
      <c r="C22" s="26" t="inlineStr">
        <is>
          <t>If you still hold claude_v008_meetsync_zoom_product_workbook (10 Sep), send it. v009 was rebuilt from v007 plus this tracker, so any edit that lived only in v008 and was never mirrored here is not carried forward.</t>
        </is>
      </c>
      <c r="D22" s="26" t="inlineStr">
        <is>
          <t>Workbook v009 Version_Control + Risk_Register</t>
        </is>
      </c>
      <c r="E22" s="26" t="inlineStr">
        <is>
          <t>The v008 file, or confirmation it can be treated as superseded</t>
        </is>
      </c>
      <c r="F22" s="26" t="inlineStr">
        <is>
          <t>Closes the only known provenance gap in the artifact chain</t>
        </is>
      </c>
      <c r="G22" s="26" t="inlineStr">
        <is>
          <t>Open</t>
        </is>
      </c>
      <c r="H22" s="26" t="inlineStr">
        <is>
          <t>P3 — needs you or a live install</t>
        </is>
      </c>
    </row>
    <row r="23" ht="57" customHeight="1" s="20">
      <c r="A23" s="26" t="n">
        <v>20</v>
      </c>
      <c r="B23" s="26" t="inlineStr">
        <is>
          <t>Deployment</t>
        </is>
      </c>
      <c r="C23" s="26" t="inlineStr">
        <is>
          <t>Set BASE_URL to the real deployed origin before the first live install. The OAuth redirect_uri is derived from it (BASE_URL + /oauth/callback) and must match the OAuth Redirect URL registered on the Marketplace app byte for byte, or Zoom rejects the code exchange.</t>
        </is>
      </c>
      <c r="D23" s="26" t="inlineStr">
        <is>
          <t>VER-M02</t>
        </is>
      </c>
      <c r="E23" s="26" t="inlineStr">
        <is>
          <t>The production origin</t>
        </is>
      </c>
      <c r="F23" s="26" t="inlineStr">
        <is>
          <t>A working install; without it the exchange fails</t>
        </is>
      </c>
      <c r="G23" s="26" t="inlineStr">
        <is>
          <t>Open</t>
        </is>
      </c>
      <c r="H23" s="32" t="inlineStr">
        <is>
          <t>P1 — blocks any deploy</t>
        </is>
      </c>
    </row>
    <row r="24" ht="57" customHeight="1" s="20">
      <c r="A24" s="26" t="n">
        <v>21</v>
      </c>
      <c r="B24" s="26" t="inlineStr">
        <is>
          <t>Monitoring</t>
        </is>
      </c>
      <c r="C24" s="26" t="inlineStr">
        <is>
          <t>Put /analytics/webhook-rejections on whatever you check daily once deployed. Zoom disables the webhook subscription after six failed 72-hour revalidations and nothing on our side raises an alarm — the symptom is simply that meeting events stop arriving.</t>
        </is>
      </c>
      <c r="D24" s="26" t="inlineStr">
        <is>
          <t>VER-M06, docs/RUNBOOK.md</t>
        </is>
      </c>
      <c r="E24" s="26" t="inlineStr">
        <is>
          <t>Nothing yet — just know it exists</t>
        </is>
      </c>
      <c r="F24" s="26" t="inlineStr">
        <is>
          <t>Avoids a silent dead integration</t>
        </is>
      </c>
      <c r="G24" s="26" t="inlineStr">
        <is>
          <t>Open</t>
        </is>
      </c>
      <c r="H24" s="26" t="inlineStr">
        <is>
          <t>P3 — needs you or a live install</t>
        </is>
      </c>
    </row>
    <row r="25" ht="45.75" customHeight="1" s="20">
      <c r="A25" s="26" t="n">
        <v>22</v>
      </c>
      <c r="B25" s="26" t="inlineStr">
        <is>
          <t>Quality</t>
        </is>
      </c>
      <c r="C25" s="26" t="inlineStr">
        <is>
          <t>Accessibility manual pass before submission: contrast, focus visibility, keyboard traps, 200% zoom, and a real screen reader inside the Zoom client. The automated suite cannot reach any of these. About an hour once the dev app exists.</t>
        </is>
      </c>
      <c r="D25" s="26" t="inlineStr">
        <is>
          <t>A11Y_Audit sheet, docs/PERF_BUDGETS.md</t>
        </is>
      </c>
      <c r="E25" s="26" t="inlineStr">
        <is>
          <t>Pass/fail notes per item</t>
        </is>
      </c>
      <c r="F25" s="26" t="inlineStr">
        <is>
          <t>Lets us claim WCAG AA honestly; it is a Marketplace review surface</t>
        </is>
      </c>
      <c r="G25" s="26" t="inlineStr">
        <is>
          <t>Open</t>
        </is>
      </c>
      <c r="H25" s="32" t="inlineStr">
        <is>
          <t>P1 — unblocks the most</t>
        </is>
      </c>
    </row>
    <row r="26" ht="57" customHeight="1" s="20">
      <c r="A26" s="26" t="n">
        <v>23</v>
      </c>
      <c r="B26" s="26" t="inlineStr">
        <is>
          <t>Decision</t>
        </is>
      </c>
      <c r="C26" s="26" t="inlineStr">
        <is>
          <t>Continue the persistence work, or stop here? Billing is the recommended next slice: a restart currently reverts every account to no_subscription, which un-gates paid features and zeroes the revenue metrics. Then the RBAC audit log, because an erasure record that evaporates is worse than no record.</t>
        </is>
      </c>
      <c r="D26" s="26" t="inlineStr">
        <is>
          <t>docs/PERSISTENCE.md, OBS-M3</t>
        </is>
      </c>
      <c r="E26" s="26" t="inlineStr">
        <is>
          <t>Continue / stop; if continue, confirm billing first</t>
        </is>
      </c>
      <c r="F26" s="26" t="inlineStr">
        <is>
          <t>Multi-instance deployment; a deletion guarantee we can prove</t>
        </is>
      </c>
      <c r="G26" s="26" t="inlineStr">
        <is>
          <t>Answered through 11:03 — billing (v017) and audit log (v018) both done. Superseded by #18 for what remains.</t>
        </is>
      </c>
      <c r="H26" s="44" t="n"/>
    </row>
    <row r="27" ht="45.75" customHeight="1" s="20">
      <c r="A27" s="26" t="n">
        <v>24</v>
      </c>
      <c r="B27" s="26" t="inlineStr">
        <is>
          <t>Deployment</t>
        </is>
      </c>
      <c r="C27" s="26" t="inlineStr">
        <is>
          <t>A PostgreSQL 16 instance and its connection settings (PGHOST/PGPORT/PGUSER/PGPASSWORD/PGDATABASE) before any deployment expected to survive a restart. PostgresStore.migrate() is idempotent and safe on every boot.</t>
        </is>
      </c>
      <c r="D27" s="26" t="inlineStr">
        <is>
          <t>docs/PERSISTENCE.md</t>
        </is>
      </c>
      <c r="E27" s="26" t="inlineStr">
        <is>
          <t>A database instance (do not send me the credentials)</t>
        </is>
      </c>
      <c r="F27" s="26" t="inlineStr">
        <is>
          <t>Durable tokens, retention and deletion</t>
        </is>
      </c>
      <c r="G27" s="26" t="inlineStr">
        <is>
          <t>Open</t>
        </is>
      </c>
      <c r="H27" s="32" t="inlineStr">
        <is>
          <t>P1 — blocks any deploy</t>
        </is>
      </c>
    </row>
    <row r="28" ht="90.75" customHeight="1" s="20">
      <c r="A28" s="26" t="n">
        <v>25</v>
      </c>
      <c r="B28" s="26" t="inlineStr">
        <is>
          <t>Decision</t>
        </is>
      </c>
      <c r="C28" s="26" t="inlineStr">
        <is>
          <t>Two shape calls before any more persistence work. (a) Tenant feature state: split settings from imported records into separate tables? I think yes — imported CSV is unbounded user data and settings are not — but it changes the data model, so it is your call. (b) CRM writeback queue: it is in-flight work rather than state. Does MeetSync want a job queue, and does it own one or borrow one (SQS, pg-boss, Redis)? That decision has infrastructure cost attached.</t>
        </is>
      </c>
      <c r="D28" s="26" t="inlineStr">
        <is>
          <t>docs/PERSISTENCE.md, OBS-M3</t>
        </is>
      </c>
      <c r="E28" s="26" t="inlineStr">
        <is>
          <t>(a) split or single table. (b) own / borrow / defer</t>
        </is>
      </c>
      <c r="F28" s="26" t="inlineStr">
        <is>
          <t>The last two pieces of process-local state, and multi-instance deployment</t>
        </is>
      </c>
      <c r="G28" s="26" t="inlineStr">
        <is>
          <t>CLOSED 13 Sep 11:57 — (a) tenant feature state v023, (b) CRM queue v024 built as own-a-queue in Postgres. Reversible: CrmStore is the swap surface if you want a borrowed queue instead.</t>
        </is>
      </c>
      <c r="H28" s="44" t="n"/>
    </row>
    <row r="29" ht="79.5" customHeight="1" s="20">
      <c r="A29" s="26" t="n">
        <v>26</v>
      </c>
      <c r="B29" s="26" t="inlineStr">
        <is>
          <t>Monitoring</t>
        </is>
      </c>
      <c r="C29" s="26" t="inlineStr">
        <is>
          <t>After any deploy, check GET /admin/retention-sweep (operator token). A scheduler that is not running is invisible from outside — accounts just accumulate past their retention date and the first sign of trouble is a compliance question you cannot answer. It deliberately swallows its own errors so one bad night does not kill the loop, which means a persistent failure shows up only there, as a non-null error on recent runs.</t>
        </is>
      </c>
      <c r="D29" s="26" t="inlineStr">
        <is>
          <t>GAP-2, docs/RUNBOOK.md</t>
        </is>
      </c>
      <c r="E29" s="26" t="inlineStr">
        <is>
          <t>Nothing yet — just know it exists</t>
        </is>
      </c>
      <c r="F29" s="26" t="inlineStr">
        <is>
          <t>Keeps the published retention policy actually true</t>
        </is>
      </c>
      <c r="G29" s="26" t="inlineStr">
        <is>
          <t>Open</t>
        </is>
      </c>
      <c r="H29" s="26" t="inlineStr">
        <is>
          <t>P3 — needs you or a live install</t>
        </is>
      </c>
    </row>
    <row r="30" ht="102" customHeight="1" s="20">
      <c r="A30" s="26" t="n">
        <v>27</v>
      </c>
      <c r="B30" s="26" t="inlineStr">
        <is>
          <t>Decision</t>
        </is>
      </c>
      <c r="C30" s="26" t="inlineStr">
        <is>
          <t>What should 'Done-in-code' mean? It is honest about a module and misleading about a feature — 78 stories held that status while most of the product had no HTTP surface. (a) Keep the label and add a Reachable column, so a row can say 'written' and 'invokable' separately. (b) Redefine it to require a caller and re-baseline the counts downward. I recommend (a): the counts stay comparable with the sibling products and the missing property becomes visible rather than implied. I have changed no story status pending your call.</t>
        </is>
      </c>
      <c r="D30" s="26" t="inlineStr">
        <is>
          <t>GAP-3, Reachability sheet, D13</t>
        </is>
      </c>
      <c r="E30" s="26" t="inlineStr">
        <is>
          <t>(a) or (b)</t>
        </is>
      </c>
      <c r="F30" s="26" t="inlineStr">
        <is>
          <t>Whether the tracker counts mean what a reader assumes they mean — across all 12 products</t>
        </is>
      </c>
      <c r="G30" s="26" t="inlineStr">
        <is>
          <t>CLOSED 13 Sep 11:32 — option (a) executed; all 100 rows classified in Traceability_Matrix columns L and M</t>
        </is>
      </c>
      <c r="H30" s="44" t="n"/>
    </row>
    <row r="31" ht="68.25" customHeight="1" s="20">
      <c r="A31" s="26" t="n">
        <v>28</v>
      </c>
      <c r="B31" s="26" t="inlineStr">
        <is>
          <t>Portfolio</t>
        </is>
      </c>
      <c r="C31" s="26" t="inlineStr">
        <is>
          <t>test/reachability.test.ts is ~120 lines and product-agnostic apart from its allowlist. Copying it into the other eleven products would cost minutes each and would answer, for each one, whether it has MeetSync's problem. Given GAP-3 found two entire features here that nothing could invoke, I would not assume this product is the outlier.</t>
        </is>
      </c>
      <c r="D31" s="26" t="inlineStr">
        <is>
          <t>GAP-3, Reachability sheet</t>
        </is>
      </c>
      <c r="E31" s="26" t="inlineStr">
        <is>
          <t>Go-ahead to port it, or a product to try it on first</t>
        </is>
      </c>
      <c r="F31" s="26" t="inlineStr">
        <is>
          <t>Tells you which of the twelve have unreachable features, cheaply</t>
        </is>
      </c>
      <c r="G31" s="26" t="inlineStr">
        <is>
          <t>Artifact delivered 13 Sep 16:38 — claude_v001_reachability_gate_portable_20260913_1638.zip, with five-minute porting instructions. Still open: actually running it, which needs the sibling repos.</t>
        </is>
      </c>
      <c r="H31" s="44" t="n"/>
    </row>
    <row r="32" ht="79.5" customHeight="1" s="20">
      <c r="A32" s="26" t="n">
        <v>29</v>
      </c>
      <c r="B32" s="26" t="inlineStr">
        <is>
          <t>Decision</t>
        </is>
      </c>
      <c r="C32" s="26" t="inlineStr">
        <is>
          <t>Persistence (Handover #18) is the one piece of 'do all properly' I deliberately did NOT start this sitting. Tenant feature state needs the settings/records split decided first, and converting FeatureEngine to async is the largest ripple left — starting it without finishing would leave the tree broken, and building the store without wiring it would repeat GAP-1 exactly. Say go and it is the whole of the next sitting.</t>
        </is>
      </c>
      <c r="D32" s="26" t="inlineStr">
        <is>
          <t>Handover #18, docs/PERSISTENCE.md</t>
        </is>
      </c>
      <c r="E32" s="26" t="inlineStr">
        <is>
          <t>Go-ahead, plus the (a) settings/records split call</t>
        </is>
      </c>
      <c r="F32" s="26" t="inlineStr">
        <is>
          <t>The last process-local state; multi-instance deployment</t>
        </is>
      </c>
      <c r="G32" s="26" t="inlineStr">
        <is>
          <t>CLOSED 13 Sep 11:57 — (a) tenant feature state v023, (b) CRM queue v024 built as own-a-queue in Postgres. Reversible: CrmStore is the swap surface if you want a borrowed queue instead.</t>
        </is>
      </c>
      <c r="H32" s="44" t="n"/>
    </row>
    <row r="33" ht="102" customHeight="1" s="20">
      <c r="A33" s="26" t="n">
        <v>30</v>
      </c>
      <c r="B33" s="26" t="inlineStr">
        <is>
          <t>Decision</t>
        </is>
      </c>
      <c r="C33" s="26" t="inlineStr">
        <is>
          <t>CRM writeback queue — the last piece needing your call rather than my judgement. It is in-flight work, not state, so making it durable is really: does MeetSync want a job queue, and does it own one (a Postgres table, no new infrastructure, reversible) or borrow one (SQS, Redis, pg-boss)? I lean to owning one in the database we already run, because it adds nothing to deploy. The webhook dedupe set wants a different answer again — a shared cache with a TTL matching the five-minute replay window, not a table.</t>
        </is>
      </c>
      <c r="D33" s="26" t="inlineStr">
        <is>
          <t>Handover #18b, docs/PERSISTENCE.md</t>
        </is>
      </c>
      <c r="E33" s="26" t="inlineStr">
        <is>
          <t>own / borrow / defer</t>
        </is>
      </c>
      <c r="F33" s="26" t="inlineStr">
        <is>
          <t>The last durability gap that loses customer work rather than history</t>
        </is>
      </c>
      <c r="G33" s="26" t="inlineStr">
        <is>
          <t>CLOSED 13 Sep 11:57 — (a) tenant feature state v023, (b) CRM queue v024 built as own-a-queue in Postgres. Reversible: CrmStore is the swap surface if you want a borrowed queue instead.</t>
        </is>
      </c>
      <c r="H33" s="44" t="n"/>
    </row>
    <row r="34" ht="68.25" customHeight="1" s="20">
      <c r="A34" s="26" t="n">
        <v>31</v>
      </c>
      <c r="B34" s="26" t="inlineStr">
        <is>
          <t>Decision</t>
        </is>
      </c>
      <c r="C34" s="26" t="inlineStr">
        <is>
          <t>Webhook dedupe is the LAST thing blocking a second instance. It wants a shared cache with a TTL matching the five-minute replay window, not a table — Redis or equivalent, which is new infrastructure. Alternative: a Postgres table with a TTL sweep, slower but nothing new to run. Notes sessions and telemetry are also still process-local but neither blocks multi-instance.</t>
        </is>
      </c>
      <c r="D34" s="26" t="inlineStr">
        <is>
          <t>docs/PERSISTENCE.md</t>
        </is>
      </c>
      <c r="E34" s="26" t="inlineStr">
        <is>
          <t>shared cache / Postgres table / defer</t>
        </is>
      </c>
      <c r="F34" s="26" t="inlineStr">
        <is>
          <t>Running more than one instance of MeetSync</t>
        </is>
      </c>
      <c r="G34" s="26" t="inlineStr">
        <is>
          <t>CLOSED 13 Sep 16:28 — built as a Postgres table with an atomic claim rather than a shared cache. Nothing new to deploy; DedupeStore is the swap surface if you want Redis later.</t>
        </is>
      </c>
      <c r="H34" s="44" t="n"/>
    </row>
    <row r="35" ht="79.5" customHeight="1" s="20">
      <c r="A35" s="26" t="n">
        <v>32</v>
      </c>
      <c r="B35" s="26" t="inlineStr">
        <is>
          <t>Deployment</t>
        </is>
      </c>
      <c r="C35" s="26" t="inlineStr">
        <is>
          <t>Before scaling to more than one instance: the retention scheduler runs on EVERY instance, so sweeps can overlap across processes. That is safe — the purge is idempotent — but /admin/retention-sweep history is per instance, not global, so do not read one instance's history as the whole picture. If you would rather only one instance sweeps, that needs a leader election or an external cron, which is a decision rather than a fix.</t>
        </is>
      </c>
      <c r="D35" s="26" t="inlineStr">
        <is>
          <t>docs/RUNBOOK.md, E044</t>
        </is>
      </c>
      <c r="E35" s="26" t="inlineStr">
        <is>
          <t>Nothing yet — just know it before scaling out</t>
        </is>
      </c>
      <c r="F35" s="26" t="inlineStr">
        <is>
          <t>Avoids misreading sweep history after scale-out</t>
        </is>
      </c>
      <c r="G35" s="26" t="inlineStr">
        <is>
          <t>Open</t>
        </is>
      </c>
      <c r="H35" s="26" t="inlineStr">
        <is>
          <t>P3 — needs you or a live install</t>
        </is>
      </c>
    </row>
    <row r="36" ht="90.75" customHeight="1" s="20">
      <c r="A36" s="26" t="n">
        <v>33</v>
      </c>
      <c r="B36" s="26" t="inlineStr">
        <is>
          <t>Portfolio</t>
        </is>
      </c>
      <c r="C36" s="26" t="inlineStr">
        <is>
          <t>To run the gate against a sibling product, either open a session with that repository available or paste its src/ listing and I will run the audit here. Given it found two entire unreachable features on MeetSync — a product that had already passed two adversarial reviews at 100% coverage — I would not assume this one is the outlier. TeleField and VoiceBridge are the obvious first candidates: both are code-phase complete with large story counts.</t>
        </is>
      </c>
      <c r="D36" s="26" t="inlineStr">
        <is>
          <t>Handover #21, Reachability sheet</t>
        </is>
      </c>
      <c r="E36" s="26" t="inlineStr">
        <is>
          <t>A sibling repo in a session, or a go-ahead on which to start with</t>
        </is>
      </c>
      <c r="F36" s="26" t="inlineStr">
        <is>
          <t>Tells you which of the twelve have unreachable features, cheaply</t>
        </is>
      </c>
      <c r="G36" s="26" t="inlineStr">
        <is>
          <t>Open</t>
        </is>
      </c>
      <c r="H36" s="45" t="inlineStr">
        <is>
          <t>P2 — cheap, portfolio-wide</t>
        </is>
      </c>
    </row>
    <row r="37" ht="79.5" customHeight="1" s="20">
      <c r="A37" s="26" t="n">
        <v>34</v>
      </c>
      <c r="B37" s="26" t="inlineStr">
        <is>
          <t>Deployment</t>
        </is>
      </c>
      <c r="C37" s="26" t="inlineStr">
        <is>
          <t>Generate MEETSYNC_TOKEN_KEY before the next deploy: 32 random bytes, base64. `openssl rand -base64 32` gives exactly the right shape. The app refuses to boot without it. Keep it OUT of the database backups — if the key travels with the dump, the encryption buys nothing. If you ever rotate it, put the old value in MEETSYNC_TOKEN_KEY_PREVIOUS or every installed account loses its Zoom connection at once.</t>
        </is>
      </c>
      <c r="D37" s="26" t="inlineStr">
        <is>
          <t>ST-066, docs/SECURITY_SCOPES.md</t>
        </is>
      </c>
      <c r="E37" s="26" t="inlineStr">
        <is>
          <t>The key in your secret store (do not send it to me)</t>
        </is>
      </c>
      <c r="F37" s="26" t="inlineStr">
        <is>
          <t>A database dump stops being a set of working Zoom credentials</t>
        </is>
      </c>
      <c r="G37" s="26" t="inlineStr">
        <is>
          <t>Open</t>
        </is>
      </c>
      <c r="H37" s="32" t="inlineStr">
        <is>
          <t>P1 — blocks any deploy</t>
        </is>
      </c>
    </row>
    <row r="38" ht="90.75" customHeight="1" s="20">
      <c r="A38" s="26" t="n">
        <v>35</v>
      </c>
      <c r="B38" s="26" t="inlineStr">
        <is>
          <t>Process</t>
        </is>
      </c>
      <c r="C38" s="26" t="inlineStr">
        <is>
          <t>Reviewing my own recent output found something three times today: the fabricated churn alert (v027), the plaintext tokens in the backup snapshot (v031), and now SR-01/SR-02. All three were in code written the same day, all passed their tests, and none would have been found by the cold review or the reachability gate. Worth making a standing step — a review pass over the previous sitting before starting the next one — rather than leaving it to whether I think of it.</t>
        </is>
      </c>
      <c r="D38" s="26" t="inlineStr">
        <is>
          <t>E057, E058, E048, E056</t>
        </is>
      </c>
      <c r="E38" s="26" t="inlineStr">
        <is>
          <t>Agreement to make it a standing step</t>
        </is>
      </c>
      <c r="F38" s="26" t="inlineStr">
        <is>
          <t>Catches the defect class that new code introduces into code that was correct</t>
        </is>
      </c>
      <c r="G38" s="26" t="inlineStr">
        <is>
          <t>Open</t>
        </is>
      </c>
      <c r="H38" s="45" t="inlineStr">
        <is>
          <t>P2 — cheap, portfolio-wide</t>
        </is>
      </c>
    </row>
    <row r="39">
      <c r="A39" s="26" t="inlineStr">
        <is>
          <t>36</t>
        </is>
      </c>
      <c r="B39" s="26" t="inlineStr">
        <is>
          <t>Decision</t>
        </is>
      </c>
      <c r="C39" s="26" t="inlineStr">
        <is>
          <t>PD-01 pricing model + number (PR-05). Per-seat or flat, and the price. Recommendation: per-seat $12–$18/seat/month, 5-seat minimum.</t>
        </is>
      </c>
      <c r="D39" s="26" t="inlineStr">
        <is>
          <t>Decisions PD-01, ST-136, docs/PRICING_PAGE.md</t>
        </is>
      </c>
      <c r="E39" s="26" t="inlineStr">
        <is>
          <t>One line: model + number</t>
        </is>
      </c>
      <c r="F39" s="26" t="inlineStr">
        <is>
          <t>S18; HubSpot listing; the DECISION PENDING banner comes off</t>
        </is>
      </c>
      <c r="G39" s="26" t="inlineStr">
        <is>
          <t>Open</t>
        </is>
      </c>
      <c r="H39" s="45" t="inlineStr">
        <is>
          <t>P1 — unblocks the most</t>
        </is>
      </c>
    </row>
    <row r="40">
      <c r="A40" s="26" t="inlineStr">
        <is>
          <t>37</t>
        </is>
      </c>
      <c r="B40" s="26" t="inlineStr">
        <is>
          <t>Decision</t>
        </is>
      </c>
      <c r="C40" s="26" t="inlineStr">
        <is>
          <t>PD-02 build the intelligence (S15+S16, 71 pts) or reposition as a rules engine. Determines listing copy, price and whether S15/S16 exist.</t>
        </is>
      </c>
      <c r="D40" s="26" t="inlineStr">
        <is>
          <t>Decisions PD-02, PR-02</t>
        </is>
      </c>
      <c r="E40" s="26" t="inlineStr">
        <is>
          <t>One word: build / rules</t>
        </is>
      </c>
      <c r="F40" s="26" t="inlineStr">
        <is>
          <t>S15, S16, ST-149 listing copy</t>
        </is>
      </c>
      <c r="G40" s="26" t="inlineStr">
        <is>
          <t>Open</t>
        </is>
      </c>
      <c r="H40" s="45" t="inlineStr">
        <is>
          <t>P1 — unblocks the most</t>
        </is>
      </c>
    </row>
    <row r="41" ht="157.45" customHeight="1" s="20">
      <c r="A41" s="26" t="inlineStr">
        <is>
          <t>38</t>
        </is>
      </c>
      <c r="B41" s="26" t="inlineStr">
        <is>
          <t>Deployment</t>
        </is>
      </c>
      <c r="C41" s="26" t="inlineStr">
        <is>
          <t>Mail transport: MEETSYNC_MAIL_ENDPOINT (https), MEETSYNC_MAIL_TOKEN, MEETSYNC_MAIL_FROM — all three or none. Payload {from,to,subject,text} + bearer (Postmark/Resend/SES-API shape). Supersedes "pick a mail transport" (order 6): the seam and transport exist; only the account is missing.</t>
        </is>
      </c>
      <c r="D41" s="26" t="inlineStr">
        <is>
          <t>ST-115, docs/RUNBOOK.md "Mail transport"</t>
        </is>
      </c>
      <c r="E41" s="26" t="inlineStr">
        <is>
          <t>Vendor pick + the three values in your secret store</t>
        </is>
      </c>
      <c r="F41" s="26" t="inlineStr">
        <is>
          <t>6 PARTIAL notification stories become deliverable; weekly digest; dunning once ST-137 lands</t>
        </is>
      </c>
      <c r="G41" s="26" t="inlineStr">
        <is>
          <t>Open</t>
        </is>
      </c>
      <c r="H41" s="45" t="inlineStr">
        <is>
          <t>P2 — a config only</t>
        </is>
      </c>
    </row>
    <row r="42" ht="158.2" customHeight="1" s="20">
      <c r="A42" s="26" t="inlineStr">
        <is>
          <t>39</t>
        </is>
      </c>
      <c r="B42" s="26" t="inlineStr">
        <is>
          <t>Deployment</t>
        </is>
      </c>
      <c r="C42" s="26" t="inlineStr">
        <is>
          <t>MEETSYNC_CORS_ORIGINS: the https origin(s) of any web dashboard host beyond Zoom's client (which is always allowed). Leave unset for the in-client panel alone.</t>
        </is>
      </c>
      <c r="D42" s="26" t="inlineStr">
        <is>
          <t>ST-104</t>
        </is>
      </c>
      <c r="E42" s="26" t="inlineStr">
        <is>
          <t>Origin list, or "none"</t>
        </is>
      </c>
      <c r="F42" s="26" t="inlineStr">
        <is>
          <t>Browser access from a dashboard host</t>
        </is>
      </c>
      <c r="G42" s="26" t="inlineStr">
        <is>
          <t>Open</t>
        </is>
      </c>
      <c r="H42" s="45" t="inlineStr">
        <is>
          <t>P3 — needs you or a live install</t>
        </is>
      </c>
    </row>
    <row r="43" ht="15" customHeight="1" s="20">
      <c r="A43" s="26" t="inlineStr">
        <is>
          <t>40</t>
        </is>
      </c>
      <c r="B43" s="26" t="inlineStr">
        <is>
          <t>Decision</t>
        </is>
      </c>
      <c r="C43" s="26" t="inlineStr">
        <is>
          <t>PD-03 SMB-first or enterprise-first; PD-04 keep or cut F4 deal risk.</t>
        </is>
      </c>
      <c r="D43" s="26" t="inlineStr">
        <is>
          <t>Decisions PD-03, PD-04</t>
        </is>
      </c>
      <c r="E43" s="26" t="inlineStr">
        <is>
          <t>Two words</t>
        </is>
      </c>
      <c r="F43" s="26" t="inlineStr">
        <is>
          <t>Whether S19 blocks S20; S15/S16 scope; pricing matrix</t>
        </is>
      </c>
      <c r="G43" s="26" t="inlineStr">
        <is>
          <t>Open</t>
        </is>
      </c>
      <c r="H43" s="45" t="inlineStr">
        <is>
          <t>P2 — a decision only</t>
        </is>
      </c>
    </row>
    <row r="44" ht="35.05" customHeight="1" s="20">
      <c r="A44" s="26" t="inlineStr">
        <is>
          <t>41</t>
        </is>
      </c>
      <c r="B44" s="26" t="inlineStr">
        <is>
          <t>Human</t>
        </is>
      </c>
      <c r="C44" s="26" t="inlineStr">
        <is>
          <t>PD-06 three demand tests (RevOps n=5 pricing conversations; 10 Hinglish calls vs Zoom; 10 Workplace-paying teams willingness-to-switch). Days, not sprints; each has a kill signal.</t>
        </is>
      </c>
      <c r="D44" s="26" t="inlineStr">
        <is>
          <t>PD-06, review §4.6</t>
        </is>
      </c>
      <c r="E44" s="26" t="inlineStr">
        <is>
          <t>Results + kill-signal verdicts</t>
        </is>
      </c>
      <c r="F44" s="26" t="inlineStr">
        <is>
          <t>Validates or invalidates the wedge before S15–S17 spend</t>
        </is>
      </c>
      <c r="G44" s="26" t="inlineStr">
        <is>
          <t>Open</t>
        </is>
      </c>
      <c r="H44" s="45" t="inlineStr">
        <is>
          <t>P1 — unblocks the most</t>
        </is>
      </c>
    </row>
    <row r="45" ht="23.85" customHeight="1" s="20">
      <c r="A45" s="26" t="inlineStr">
        <is>
          <t>42</t>
        </is>
      </c>
      <c r="B45" s="26" t="inlineStr">
        <is>
          <t>Live data</t>
        </is>
      </c>
      <c r="C45" s="26" t="inlineStr">
        <is>
          <t>Zoom app (Handover #2) is now the right first move again: S13 closed (PD-05 hold lifted). On the first real install check GET /session/me returns your real Zoom user and role, and that /oauth/start with a WRONG account_id hint is refused with tenant_mismatch.</t>
        </is>
      </c>
      <c r="D45" s="26" t="inlineStr">
        <is>
          <t>ST-101/102, s13.test.ts</t>
        </is>
      </c>
      <c r="E45" s="26" t="inlineStr">
        <is>
          <t>Two observations from the live install</t>
        </is>
      </c>
      <c r="F45" s="26" t="inlineStr">
        <is>
          <t>Converts ST-101/102/103 from Done-in-code to verified; unblocks ST-113/114 live</t>
        </is>
      </c>
      <c r="G45" s="26" t="inlineStr">
        <is>
          <t>Open</t>
        </is>
      </c>
      <c r="H45" s="45" t="inlineStr">
        <is>
          <t>P1 — unblocks the most</t>
        </is>
      </c>
    </row>
    <row r="46" ht="23.85" customHeight="1" s="20">
      <c r="A46" s="26" t="inlineStr">
        <is>
          <t>43</t>
        </is>
      </c>
      <c r="B46" s="26" t="inlineStr">
        <is>
          <t>Portfolio</t>
        </is>
      </c>
      <c r="C46" s="26" t="inlineStr">
        <is>
          <t>tools/reachability/routes.ts (route→client gate) is product-agnostic like its sibling: copy, point at app.ts + typed client, empty allowlist. Same five minutes per product; finds the PR-03 class (server routes no client calls).</t>
        </is>
      </c>
      <c r="D46" s="26" t="inlineStr">
        <is>
          <t>ST-110, Handover #28/#33</t>
        </is>
      </c>
      <c r="E46" s="26" t="inlineStr">
        <is>
          <t>Go-ahead, or a product to try first</t>
        </is>
      </c>
      <c r="F46" s="26" t="inlineStr">
        <is>
          <t>Tells you which of the twelve have a mock front end</t>
        </is>
      </c>
      <c r="G46" s="26" t="inlineStr">
        <is>
          <t>Open</t>
        </is>
      </c>
      <c r="H46" s="45" t="inlineStr">
        <is>
          <t>P2 — cheap, portfolio-wide</t>
        </is>
      </c>
    </row>
    <row r="47" ht="23.85" customHeight="1" s="20"/>
    <row r="48" ht="23.85" customHeight="1" s="20"/>
    <row r="49" ht="23.85" customHeight="1" s="20">
      <c r="A49" s="46" t="inlineStr">
        <is>
          <t>WHAT TO DO FIRST — prioritised view of the open items (re-cut v040 after Perplexity Review V001)</t>
        </is>
      </c>
      <c r="B49" s="46" t="n"/>
      <c r="C49" s="46" t="n"/>
      <c r="D49" s="46" t="n"/>
      <c r="E49" s="46" t="n"/>
      <c r="F49" s="46" t="n"/>
      <c r="G49" s="46" t="n"/>
      <c r="H49" s="46" t="n"/>
    </row>
    <row r="50" ht="35.05" customHeight="1" s="20">
      <c r="A50" s="43" t="inlineStr">
        <is>
          <t>Ordered by what it unblocks, not by when it was raised. Everything in P1 is blocking something that cannot start without it.</t>
        </is>
      </c>
    </row>
    <row r="51">
      <c r="A51" s="47" t="inlineStr">
        <is>
          <t>Order</t>
        </is>
      </c>
      <c r="B51" s="47" t="inlineStr">
        <is>
          <t>Do this</t>
        </is>
      </c>
      <c r="C51" s="47" t="inlineStr">
        <is>
          <t>Why it comes first</t>
        </is>
      </c>
      <c r="D51" s="47" t="inlineStr">
        <is>
          <t>Then what opens up</t>
        </is>
      </c>
    </row>
    <row r="52">
      <c r="A52" s="26" t="inlineStr">
        <is>
          <t>0 — first</t>
        </is>
      </c>
      <c r="B52" s="26" t="inlineStr">
        <is>
          <t>Decide PD-01 and PD-02 (pricing; build vs rules engine)</t>
        </is>
      </c>
      <c r="C52" s="26" t="inlineStr">
        <is>
          <t>They gate 71 of the 248 new points, the listing copy and the price — before them, the plan cannot be sequenced</t>
        </is>
      </c>
      <c r="D52" s="26" t="inlineStr">
        <is>
          <t>S15–S18 open; the two gated banners come off</t>
        </is>
      </c>
    </row>
    <row r="53">
      <c r="A53" s="26" t="inlineStr">
        <is>
          <t>0 — alongside</t>
        </is>
      </c>
      <c r="B53" s="26" t="inlineStr">
        <is>
          <t>Run the three demand tests (PD-06)</t>
        </is>
      </c>
      <c r="C53" s="26" t="inlineStr">
        <is>
          <t>Days, not sprints, and any one failing should change the plan before the S15–S17 spend</t>
        </is>
      </c>
      <c r="D53" s="26" t="inlineStr">
        <is>
          <t>Wedge validated or the plan replaced</t>
        </is>
      </c>
    </row>
    <row r="54">
      <c r="A54" s="26" t="inlineStr">
        <is>
          <t>1</t>
        </is>
      </c>
      <c r="B54" s="26" t="inlineStr">
        <is>
          <t>Create the Zoom Marketplace dev app and complete the OAuth install (hold lifted: S13 closed)</t>
        </is>
      </c>
      <c r="C54" s="26" t="inlineStr">
        <is>
          <t>Seven stories are PENDING LIVE on nothing else, and the panel surfaces cannot be verified in any other way. docs/SECURITY_SCOPES.md now lists the granular scope names and the in-client capabilities, so the console steps are unambiguous.</t>
        </is>
      </c>
      <c r="D54" s="26" t="inlineStr">
        <is>
          <t>7 pending-live stories become verifiable; the panel UI stops being RTL-tested-only</t>
        </is>
      </c>
    </row>
    <row r="55">
      <c r="A55" s="26" t="inlineStr">
        <is>
          <t>2</t>
        </is>
      </c>
      <c r="B55" s="26" t="inlineStr">
        <is>
          <t>Generate the four deployment values: MEETSYNC_SESSION_SECRET, MEETSYNC_OPERATOR_TOKEN, MEETSYNC_TOKEN_KEY, BASE_URL</t>
        </is>
      </c>
      <c r="C55" s="26" t="inlineStr">
        <is>
          <t>The app refuses to boot without the first three, and the fourth decides the OAuth redirect_uri, which Zoom matches byte for byte. openssl rand -base64 32 gives the right shape for the token key. Keep it OUT of the database backups.</t>
        </is>
      </c>
      <c r="D55" s="26" t="inlineStr">
        <is>
          <t>Any deployment at all</t>
        </is>
      </c>
    </row>
    <row r="56">
      <c r="A56" s="26" t="inlineStr">
        <is>
          <t>3</t>
        </is>
      </c>
      <c r="B56" s="26" t="inlineStr">
        <is>
          <t>Provision a PostgreSQL 16 instance</t>
        </is>
      </c>
      <c r="C56" s="26" t="inlineStr">
        <is>
          <t>Six stores are durable and every guarantee — token wipe, retention purge, delete-my-data, the entitlement gate — is process-local without it. migrate() runs on every boot and is idempotent.</t>
        </is>
      </c>
      <c r="D56" s="26" t="inlineStr">
        <is>
          <t>Durability, multi-instance, the restore drill against real data</t>
        </is>
      </c>
    </row>
    <row r="57">
      <c r="A57" s="26" t="inlineStr">
        <is>
          <t>4</t>
        </is>
      </c>
      <c r="B57" s="26" t="inlineStr">
        <is>
          <t>Rule on OBS-M1 (breaker half-open) and OBS-M2 (re-install after deletion)</t>
        </is>
      </c>
      <c r="C57" s="26" t="inlineStr">
        <is>
          <t>Both are decisions, not work. OBS-M1 is portfolio-wide — the same shape is open on FlowCast and VoiceBridge, so one ruling settles three products.</t>
        </is>
      </c>
      <c r="D57" s="26" t="inlineStr">
        <is>
          <t>Closes the last two open dispositions</t>
        </is>
      </c>
    </row>
    <row r="58">
      <c r="A58" s="26" t="inlineStr">
        <is>
          <t>5</t>
        </is>
      </c>
      <c r="B58" s="26" t="inlineStr">
        <is>
          <t>Run the portable reachability gate against one sibling product</t>
        </is>
      </c>
      <c r="C58" s="26" t="inlineStr">
        <is>
          <t>Five minutes per product. On MeetSync it found two entire features nothing could invoke, in code that had already passed two adversarial reviews at 100% coverage.</t>
        </is>
      </c>
      <c r="D58" s="26" t="inlineStr">
        <is>
          <t>Tells you which of the twelve share the problem</t>
        </is>
      </c>
    </row>
    <row r="59">
      <c r="A59" s="26" t="inlineStr">
        <is>
          <t>6</t>
        </is>
      </c>
      <c r="B59" s="26" t="inlineStr">
        <is>
          <t>Set the three MEETSYNC_MAIL_* values (transport exists since ST-115) — or decide there is none</t>
        </is>
      </c>
      <c r="C59" s="26" t="inlineStr">
        <is>
          <t>Six PARTIAL rows are one config now, not one decision: the seam, the transport and the delivery record all ship in v045</t>
        </is>
      </c>
      <c r="D59" s="26" t="inlineStr">
        <is>
          <t>6 partial stories (ST-115 → REACHABLE)</t>
        </is>
      </c>
    </row>
    <row r="60">
      <c r="A60" s="26" t="inlineStr">
        <is>
          <t>7</t>
        </is>
      </c>
      <c r="B60" s="26" t="inlineStr">
        <is>
          <t>The human-time items: pen-test vendor, chat vendor, screenshots and demo video, listing copy A/B pick, second-reviewer dry run, design-partner outreach, consent legal review, manual accessibility pass</t>
        </is>
      </c>
      <c r="C60" s="26" t="inlineStr">
        <is>
          <t>None of these can be done from a session. The accessibility pass needs a live install and is a Marketplace review surface, so it pairs naturally with item 1.</t>
        </is>
      </c>
      <c r="D60" s="26" t="inlineStr">
        <is>
          <t>The remaining backlog and most of the launch checklist</t>
        </is>
      </c>
    </row>
  </sheetDat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9" min="1" max="1"/>
    <col width="16" customWidth="1" style="19" min="2" max="2"/>
    <col width="14" customWidth="1" style="19" min="3" max="3"/>
    <col width="105" customWidth="1" style="19" min="4" max="4"/>
    <col width="26" customWidth="1" style="19" min="5" max="5"/>
    <col width="28" customWidth="1" style="19" min="6" max="6"/>
    <col width="44" customWidth="1" style="19" min="7" max="7"/>
  </cols>
  <sheetData>
    <row r="1" ht="15.75" customHeight="1" s="20">
      <c r="A1" s="21" t="inlineStr">
        <is>
          <t>REVIEW FINDINGS — MeetSync adversarial cold review (M-F, 13 Sep) + external verification (VER-M) + self-review (SR) + Perplexity external review V001 (PR, 16 Sep; absorbed v040)</t>
        </is>
      </c>
    </row>
    <row r="2" ht="43.5" customHeight="1" s="20">
      <c r="A2" s="43" t="inlineStr">
        <is>
          <t>Every FIXED row is pinned by a regression test that fails against v012. Every OBSERVATION row is left in the code deliberately and needs Senthil's disposition. Pass 1 = the eight highest-risk modules; pass 2 = the remaining twelve plus the web surface. Class column names the sibling product where the same defect shape was first found.</t>
        </is>
      </c>
    </row>
    <row r="3" ht="15" customHeight="1" s="20">
      <c r="A3" s="47" t="inlineStr">
        <is>
          <t>ID</t>
        </is>
      </c>
      <c r="B3" s="47" t="inlineStr">
        <is>
          <t>Module</t>
        </is>
      </c>
      <c r="C3" s="47" t="inlineStr">
        <is>
          <t>Severity</t>
        </is>
      </c>
      <c r="D3" s="47" t="inlineStr">
        <is>
          <t>Finding — what was wrong and why it matters</t>
        </is>
      </c>
      <c r="E3" s="47" t="inlineStr">
        <is>
          <t>Disposition</t>
        </is>
      </c>
      <c r="F3" s="47" t="inlineStr">
        <is>
          <t>Class / sibling</t>
        </is>
      </c>
      <c r="G3" s="47" t="inlineStr">
        <is>
          <t>Pinned by</t>
        </is>
      </c>
    </row>
    <row r="4" ht="34.5" customHeight="1" s="20">
      <c r="A4" s="26" t="inlineStr">
        <is>
          <t>M-F01</t>
        </is>
      </c>
      <c r="B4" s="26" t="inlineStr">
        <is>
          <t>billing, app</t>
        </is>
      </c>
      <c r="C4" s="26" t="inlineStr">
        <is>
          <t>Blocking</t>
        </is>
      </c>
      <c r="D4" s="26" t="inlineStr">
        <is>
          <t>paymentFailedTick set subscription.readOnly after the 7-day dunning grace, and not one route ever read it. An account that stopped paying kept full write access indefinitely. Fixed by an entitlement state (ok / trial_expired / past_due_read_only / cancelled / no_subscription) that mutating routes consult; reads are pinned open so a lapsed account can still see and export its own data.</t>
        </is>
      </c>
      <c r="E4" s="26" t="inlineStr">
        <is>
          <t>FIXED</t>
        </is>
      </c>
      <c r="F4" s="26" t="inlineStr">
        <is>
          <t>VoiceBridge F-V07</t>
        </is>
      </c>
      <c r="G4" s="26" t="inlineStr">
        <is>
          <t>app.test.ts "mutating routes stop at an expired trial…"</t>
        </is>
      </c>
    </row>
    <row r="5" ht="34.5" customHeight="1" s="20">
      <c r="A5" s="26" t="inlineStr">
        <is>
          <t>M-F02</t>
        </is>
      </c>
      <c r="B5" s="26" t="inlineStr">
        <is>
          <t>billing</t>
        </is>
      </c>
      <c r="C5" s="26" t="inlineStr">
        <is>
          <t>Blocking</t>
        </is>
      </c>
      <c r="D5" s="26" t="inlineStr">
        <is>
          <t>trialDaysRemaining counted down to zero and nothing consulted it. An account that never added a card kept the product free for ever. Same entitlement gate; no_subscription deliberately does NOT block, since that is the freshly-installed state before the trial starts.</t>
        </is>
      </c>
      <c r="E5" s="26" t="inlineStr">
        <is>
          <t>FIXED</t>
        </is>
      </c>
      <c r="F5" s="26" t="inlineStr">
        <is>
          <t>VoiceBridge F-V03</t>
        </is>
      </c>
      <c r="G5" s="26" t="inlineStr">
        <is>
          <t>app.test.ts entitlement test</t>
        </is>
      </c>
    </row>
    <row r="6" ht="57" customHeight="1" s="20">
      <c r="A6" s="26" t="inlineStr">
        <is>
          <t>M-F03</t>
        </is>
      </c>
      <c r="B6" s="26" t="inlineStr">
        <is>
          <t>lifecycle, all</t>
        </is>
      </c>
      <c r="C6" s="26" t="inlineStr">
        <is>
          <t>Blocking</t>
        </is>
      </c>
      <c r="D6" s="26" t="inlineStr">
        <is>
          <t>retentionSweep deleted the account row and nothing else. The tenant's notes, imported CSV records, CRM writeback queue and audit trail, the analytics funnel row, RBAC entries and the billing subscription all survived both the uninstall-plus-retention path and the self-serve delete-my-data path — a direct breach of the published deletion policy. Fixed with a PurgeTarget registry cleared in the same pass, and the delete route now runs the sweep on the request path instead of waiting for an operator. The data.delete audit rows themselves are retained on purpose: they are the proof of erasure.</t>
        </is>
      </c>
      <c r="E6" s="26" t="inlineStr">
        <is>
          <t>FIXED</t>
        </is>
      </c>
      <c r="F6" s="26" t="inlineStr">
        <is>
          <t>VoiceBridge F-V01 / FlowCast F-007</t>
        </is>
      </c>
      <c r="G6" s="26" t="inlineStr">
        <is>
          <t>s9.test.ts "deleting an account clears its tenant graph…"</t>
        </is>
      </c>
    </row>
    <row r="7" ht="45.75" customHeight="1" s="20">
      <c r="A7" s="26" t="inlineStr">
        <is>
          <t>M-F04</t>
        </is>
      </c>
      <c r="B7" s="26" t="inlineStr">
        <is>
          <t>features, tenancy</t>
        </is>
      </c>
      <c r="C7" s="26" t="inlineStr">
        <is>
          <t>Blocking</t>
        </is>
      </c>
      <c r="D7" s="26" t="inlineStr">
        <is>
          <t>One FeatureEngine instance served the whole process while the routes around it were per-organisation. One workspace's imported records, extraction rules, configured defaults, notes sessions, CRM queue and audit trail were readable and writable by every other workspace on the deployment. Fixed with a TenantRegistry allocating one object graph per account, resolved from the verified session; the graph is also the unit that deletion drops.</t>
        </is>
      </c>
      <c r="E7" s="26" t="inlineStr">
        <is>
          <t>FIXED</t>
        </is>
      </c>
      <c r="F7" s="26" t="inlineStr">
        <is>
          <t>new — no sibling precedent</t>
        </is>
      </c>
      <c r="G7" s="26" t="inlineStr">
        <is>
          <t>app.test.ts "feature state is isolated per account"</t>
        </is>
      </c>
    </row>
    <row r="8" ht="34.5" customHeight="1" s="20">
      <c r="A8" s="26" t="inlineStr">
        <is>
          <t>M-F05</t>
        </is>
      </c>
      <c r="B8" s="26" t="inlineStr">
        <is>
          <t>crm</t>
        </is>
      </c>
      <c r="C8" s="26" t="inlineStr">
        <is>
          <t>High</t>
        </is>
      </c>
      <c r="D8" s="26" t="inlineStr">
        <is>
          <t>The writeback retry loop ran all three attempts back to back with no delay, so a CRM answering 429 was hammered three times in a few milliseconds — the fastest possible way to turn a soft rate-limit into a hard one. Fixed with exponential backoff plus full jitter, injectable so the schedule is asserted rather than slept through.</t>
        </is>
      </c>
      <c r="E8" s="26" t="inlineStr">
        <is>
          <t>FIXED</t>
        </is>
      </c>
      <c r="F8" s="26" t="inlineStr">
        <is>
          <t>VoiceBridge F-V06</t>
        </is>
      </c>
      <c r="G8" s="26" t="inlineStr">
        <is>
          <t>review.test.ts "writeback retries back off exponentially"</t>
        </is>
      </c>
    </row>
    <row r="9" ht="23.25" customHeight="1" s="20">
      <c r="A9" s="26" t="inlineStr">
        <is>
          <t>M-F06</t>
        </is>
      </c>
      <c r="B9" s="26" t="inlineStr">
        <is>
          <t>telemetry</t>
        </is>
      </c>
      <c r="C9" s="26" t="inlineStr">
        <is>
          <t>Medium</t>
        </is>
      </c>
      <c r="D9" s="26" t="inlineStr">
        <is>
          <t>weeklyEmail printed the all-time error count under an "errors(7d)" label, so the weekly number only ever rose and a quiet week read as the worst week yet. Windowed properly.</t>
        </is>
      </c>
      <c r="E9" s="26" t="inlineStr">
        <is>
          <t>FIXED</t>
        </is>
      </c>
      <c r="F9" s="26" t="inlineStr">
        <is>
          <t>new</t>
        </is>
      </c>
      <c r="G9" s="26" t="inlineStr">
        <is>
          <t>review.test.ts "the weekly email counts only the trailing seven days"</t>
        </is>
      </c>
    </row>
    <row r="10" ht="34.5" customHeight="1" s="20">
      <c r="A10" s="26" t="inlineStr">
        <is>
          <t>M-F07</t>
        </is>
      </c>
      <c r="B10" s="26" t="inlineStr">
        <is>
          <t>billing</t>
        </is>
      </c>
      <c r="C10" s="26" t="inlineStr">
        <is>
          <t>High</t>
        </is>
      </c>
      <c r="D10" s="26" t="inlineStr">
        <is>
          <t>Accepting the cancellation save-offer dropped the account to starter without the seat check every other plan change enforces, so a 50-seat team account landed on a 10-seat plan and every later seat rule read a state that cannot legitimately exist. Now refused with a typed error.</t>
        </is>
      </c>
      <c r="E10" s="26" t="inlineStr">
        <is>
          <t>FIXED</t>
        </is>
      </c>
      <c r="F10" s="26" t="inlineStr">
        <is>
          <t>new</t>
        </is>
      </c>
      <c r="G10" s="26" t="inlineStr">
        <is>
          <t>review.test.ts "the save-offer refuses a downgrade…"</t>
        </is>
      </c>
    </row>
    <row r="11" ht="34.5" customHeight="1" s="20">
      <c r="A11" s="26" t="inlineStr">
        <is>
          <t>M-F08</t>
        </is>
      </c>
      <c r="B11" s="26" t="inlineStr">
        <is>
          <t>zoomAuth</t>
        </is>
      </c>
      <c r="C11" s="26" t="inlineStr">
        <is>
          <t>High</t>
        </is>
      </c>
      <c r="D11" s="26" t="inlineStr">
        <is>
          <t>refreshTokens mapped every non-200 to 401 "Refresh rejected", so a Zoom 5xx — their outage, nothing to do with our grant — was indistinguishable from a revoked token and pushed the workspace down the reconnect path. exchangeCode already drew this distinction; refresh now matches it.</t>
        </is>
      </c>
      <c r="E11" s="26" t="inlineStr">
        <is>
          <t>FIXED</t>
        </is>
      </c>
      <c r="F11" s="26" t="inlineStr">
        <is>
          <t>new</t>
        </is>
      </c>
      <c r="G11" s="26" t="inlineStr">
        <is>
          <t>review.test.ts "a Zoom 5xx during refresh is an upstream error"</t>
        </is>
      </c>
    </row>
    <row r="12" ht="23.25" customHeight="1" s="20">
      <c r="A12" s="26" t="inlineStr">
        <is>
          <t>M-F09</t>
        </is>
      </c>
      <c r="B12" s="26" t="inlineStr">
        <is>
          <t>billing, app</t>
        </is>
      </c>
      <c r="C12" s="26" t="inlineStr">
        <is>
          <t>High</t>
        </is>
      </c>
      <c r="D12" s="26" t="inlineStr">
        <is>
          <t>Seat counts came straight from the request body and were only compared against the plan ceiling, so 0, -5 and 2.5 all passed and produced zero or negative invoices. Validated at every entry point; the route answers 422 invalid_seats.</t>
        </is>
      </c>
      <c r="E12" s="26" t="inlineStr">
        <is>
          <t>FIXED</t>
        </is>
      </c>
      <c r="F12" s="26" t="inlineStr">
        <is>
          <t>VoiceBridge F-V04</t>
        </is>
      </c>
      <c r="G12" s="26" t="inlineStr">
        <is>
          <t>review.test.ts "seats must be a whole number of at least one"</t>
        </is>
      </c>
    </row>
    <row r="13" ht="34.5" customHeight="1" s="20">
      <c r="A13" s="26" t="inlineStr">
        <is>
          <t>M-F10</t>
        </is>
      </c>
      <c r="B13" s="26" t="inlineStr">
        <is>
          <t>features, csv</t>
        </is>
      </c>
      <c r="C13" s="26" t="inlineStr">
        <is>
          <t>High</t>
        </is>
      </c>
      <c r="D13" s="26" t="inlineStr">
        <is>
          <t>CSV import was split(',') per line, so any exported field containing a comma, a quoted newline or an escaped quote — all legal RFC-4180 and common in meeting-note exports — was either rejected as ragged or silently sliced in half. Replaced with a real RFC-4180 parser in a shared csv.ts.</t>
        </is>
      </c>
      <c r="E13" s="26" t="inlineStr">
        <is>
          <t>FIXED</t>
        </is>
      </c>
      <c r="F13" s="26" t="inlineStr">
        <is>
          <t>ShiftDesk F-010 / TestPulse</t>
        </is>
      </c>
      <c r="G13" s="26" t="inlineStr">
        <is>
          <t>review.test.ts csv block</t>
        </is>
      </c>
    </row>
    <row r="14" ht="45.75" customHeight="1" s="20">
      <c r="A14" s="26" t="inlineStr">
        <is>
          <t>M-F11</t>
        </is>
      </c>
      <c r="B14" s="26" t="inlineStr">
        <is>
          <t>app, auth, web/api</t>
        </is>
      </c>
      <c r="C14" s="26" t="inlineStr">
        <is>
          <t>Blocking</t>
        </is>
      </c>
      <c r="D14" s="26" t="inlineStr">
        <is>
          <t>The authentication boundary was the x-role and x-user request headers, which the browser sets. Any caller could send x-role: owner and act as the owner of any workspace, including deleting its data. Fixed with HMAC-signed session tokens minted server-side at the end of the verified OAuth install; the web client can no longer state its own role at all, and a session for one workspace is refused on another's routes. Header auth survives only behind MEETSYNC_DEV_HEADER_AUTH=1, defaulted off.</t>
        </is>
      </c>
      <c r="E14" s="26" t="inlineStr">
        <is>
          <t>FIXED</t>
        </is>
      </c>
      <c r="F14" s="26" t="inlineStr">
        <is>
          <t>new — most serious finding in this review</t>
        </is>
      </c>
      <c r="G14" s="26" t="inlineStr">
        <is>
          <t>app.test.ts + review.test.ts auth blocks</t>
        </is>
      </c>
    </row>
    <row r="15" ht="34.5" customHeight="1" s="20">
      <c r="A15" s="26" t="inlineStr">
        <is>
          <t>M-F12</t>
        </is>
      </c>
      <c r="B15" s="26" t="inlineStr">
        <is>
          <t>app</t>
        </is>
      </c>
      <c r="C15" s="26" t="inlineStr">
        <is>
          <t>Blocking</t>
        </is>
      </c>
      <c r="D15" s="26" t="inlineStr">
        <is>
          <t>/admin/install-sources, /analytics/funnel, /analytics/export.csv and /analytics/search-terms were completely unauthenticated — a full cross-tenant data export to anyone who knew the path. These are founder endpoints, not workspace endpoints, so they now require MEETSYNC_OPERATOR_TOKEN compared in constant time.</t>
        </is>
      </c>
      <c r="E15" s="26" t="inlineStr">
        <is>
          <t>FIXED</t>
        </is>
      </c>
      <c r="F15" s="26" t="inlineStr">
        <is>
          <t>new</t>
        </is>
      </c>
      <c r="G15" s="26" t="inlineStr">
        <is>
          <t>review.test.ts "every protected route refuses an unauthenticated caller"</t>
        </is>
      </c>
    </row>
    <row r="16" ht="34.5" customHeight="1" s="20">
      <c r="A16" s="26" t="inlineStr">
        <is>
          <t>M-F13</t>
        </is>
      </c>
      <c r="B16" s="26" t="inlineStr">
        <is>
          <t>webhooks</t>
        </is>
      </c>
      <c r="C16" s="26" t="inlineStr">
        <is>
          <t>Medium</t>
        </is>
      </c>
      <c r="D16" s="26" t="inlineStr">
        <is>
          <t>The dedupe key was event:event_ts. Zoom stamps event_ts in milliseconds and the same event type fires for every account, so two workspaces whose meetings ended in the same millisecond collided and the second delivery was silently swallowed as a duplicate. Key now carries account and payload object identity.</t>
        </is>
      </c>
      <c r="E16" s="26" t="inlineStr">
        <is>
          <t>FIXED</t>
        </is>
      </c>
      <c r="F16" s="26" t="inlineStr">
        <is>
          <t>new</t>
        </is>
      </c>
      <c r="G16" s="26" t="inlineStr">
        <is>
          <t>review.test.ts "the same event in the same millisecond…"</t>
        </is>
      </c>
    </row>
    <row r="17" ht="57" customHeight="1" s="20">
      <c r="A17" s="26" t="inlineStr">
        <is>
          <t>M-F14</t>
        </is>
      </c>
      <c r="B17" s="26" t="inlineStr">
        <is>
          <t>8 modules, ledger</t>
        </is>
      </c>
      <c r="C17" s="26" t="inlineStr">
        <is>
          <t>High</t>
        </is>
      </c>
      <c r="D17" s="26" t="inlineStr">
        <is>
          <t>Eight collections grew without limit for the process lifetime: the webhook dedupe set, telemetry errors and search terms, the CRM queue and audit trail, per-feature notifications and imported records, the RBAC audit log and the notes session map. Two of them (search terms, dedupe set) are reachable without credentials, so this was a memory-exhaustion path as well. All FIFO-capped via a shared ledger.ts with drop counters, so the loss is observable rather than silent. Cap is configurable (LEDGER_CAP, default 10000).</t>
        </is>
      </c>
      <c r="E17" s="26" t="inlineStr">
        <is>
          <t>FIXED</t>
        </is>
      </c>
      <c r="F17" s="26" t="inlineStr">
        <is>
          <t>TeleField F-001/F-003, VoiceBridge F-V05</t>
        </is>
      </c>
      <c r="G17" s="26" t="inlineStr">
        <is>
          <t>review.test.ts ledger block</t>
        </is>
      </c>
    </row>
    <row r="18" ht="34.5" customHeight="1" s="20">
      <c r="A18" s="26" t="inlineStr">
        <is>
          <t>M-F15</t>
        </is>
      </c>
      <c r="B18" s="26" t="inlineStr">
        <is>
          <t>app, auth</t>
        </is>
      </c>
      <c r="C18" s="26" t="inlineStr">
        <is>
          <t>High</t>
        </is>
      </c>
      <c r="D18" s="26" t="inlineStr">
        <is>
          <t>The OAuth callback accepted any code with no CSRF state at all, and derived the tenant id from the code itself, so an attacker-chosen code installed an attacker-chosen org. A new /oauth/start mints signed state carrying the account and install source; the callback requires it.</t>
        </is>
      </c>
      <c r="E18" s="26" t="inlineStr">
        <is>
          <t>FIXED</t>
        </is>
      </c>
      <c r="F18" s="26" t="inlineStr">
        <is>
          <t>new</t>
        </is>
      </c>
      <c r="G18" s="26" t="inlineStr">
        <is>
          <t>app.test.ts "refuses a missing, forged or foreign-signed state"</t>
        </is>
      </c>
    </row>
    <row r="19" ht="45.75" customHeight="1" s="20">
      <c r="A19" s="26" t="inlineStr">
        <is>
          <t>M-F16</t>
        </is>
      </c>
      <c r="B19" s="26" t="inlineStr">
        <is>
          <t>demo, lifecycle</t>
        </is>
      </c>
      <c r="C19" s="26" t="inlineStr">
        <is>
          <t>Blocking</t>
        </is>
      </c>
      <c r="D19" s="26" t="inlineStr">
        <is>
          <t>Demo-mode ran installAccount against whatever org id sat in the path, so an admin hitting /orgs/&lt;real-org&gt;/demo-mode overwrote that live workspace's OAuth tokens with the literal string "demo" and knocked it off Zoom entirely. Demo data now only ever lands in a demo- namespace, enforced in the seeder itself. Duplicate install deliveries were also resetting installedAt and attribution; they now refresh tokens only.</t>
        </is>
      </c>
      <c r="E19" s="26" t="inlineStr">
        <is>
          <t>FIXED</t>
        </is>
      </c>
      <c r="F19" s="26" t="inlineStr">
        <is>
          <t>ShiftDesk duplicate-install class</t>
        </is>
      </c>
      <c r="G19" s="26" t="inlineStr">
        <is>
          <t>s10.test.ts demo-mode block + review.test.ts duplicate-install</t>
        </is>
      </c>
    </row>
    <row r="20" ht="45.75" customHeight="1" s="20">
      <c r="A20" s="26" t="inlineStr">
        <is>
          <t>M-F17</t>
        </is>
      </c>
      <c r="B20" s="26" t="inlineStr">
        <is>
          <t>actions</t>
        </is>
      </c>
      <c r="C20" s="26" t="inlineStr">
        <is>
          <t>Medium</t>
        </is>
      </c>
      <c r="D20" s="26" t="inlineStr">
        <is>
          <t>Extraction stamped usage days from new Date() while every other module took an injected clock, so usage landed on the wall-clock day even under a fixed test or replay clock; and an operator override of dueDays was coerced with no validation, producing action items with dueInDays: NaN that rendered blank. Both fixed. dealRisk and indic had the same clock inconsistency and were brought into line.</t>
        </is>
      </c>
      <c r="E20" s="26" t="inlineStr">
        <is>
          <t>FIXED</t>
        </is>
      </c>
      <c r="F20" s="26" t="inlineStr">
        <is>
          <t>new</t>
        </is>
      </c>
      <c r="G20" s="26" t="inlineStr">
        <is>
          <t>review.test.ts "a non-numeric dueDays override…"</t>
        </is>
      </c>
    </row>
    <row r="21" ht="23.25" customHeight="1" s="20">
      <c r="A21" s="26" t="inlineStr">
        <is>
          <t>M-F18</t>
        </is>
      </c>
      <c r="B21" s="26" t="inlineStr">
        <is>
          <t>onboarding, app</t>
        </is>
      </c>
      <c r="C21" s="26" t="inlineStr">
        <is>
          <t>Medium</t>
        </is>
      </c>
      <c r="D21" s="26" t="inlineStr">
        <is>
          <t>The onboarding step came straight from the request body with no validation, so any string — or a body with no step at all, which stored undefined — quietly polluted the checklist state. Validated against the declared steps; the route answers 422.</t>
        </is>
      </c>
      <c r="E21" s="26" t="inlineStr">
        <is>
          <t>FIXED</t>
        </is>
      </c>
      <c r="F21" s="26" t="inlineStr">
        <is>
          <t>new</t>
        </is>
      </c>
      <c r="G21" s="26" t="inlineStr">
        <is>
          <t>app.test.ts onboarding block</t>
        </is>
      </c>
    </row>
    <row r="22" ht="23.25" customHeight="1" s="20">
      <c r="A22" s="26" t="inlineStr">
        <is>
          <t>M-F19</t>
        </is>
      </c>
      <c r="B22" s="26" t="inlineStr">
        <is>
          <t>—</t>
        </is>
      </c>
      <c r="C22" s="26" t="inlineStr">
        <is>
          <t>—</t>
        </is>
      </c>
      <c r="D22" s="26" t="inlineStr">
        <is>
          <t>Reserved during triage; folded into M-F14 (the search-term store is one of the capped ledgers, and the term key is now length-clamped so one request cannot store an arbitrarily large key).</t>
        </is>
      </c>
      <c r="E22" s="26" t="inlineStr">
        <is>
          <t>MERGED INTO M-F14</t>
        </is>
      </c>
      <c r="F22" s="26" t="inlineStr">
        <is>
          <t>—</t>
        </is>
      </c>
      <c r="G22" s="26" t="inlineStr">
        <is>
          <t>—</t>
        </is>
      </c>
    </row>
    <row r="23" ht="23.25" customHeight="1" s="20">
      <c r="A23" s="26" t="inlineStr">
        <is>
          <t>M-F20</t>
        </is>
      </c>
      <c r="B23" s="26" t="inlineStr">
        <is>
          <t>telemetry, csv</t>
        </is>
      </c>
      <c r="C23" s="26" t="inlineStr">
        <is>
          <t>Medium</t>
        </is>
      </c>
      <c r="D23" s="26" t="inlineStr">
        <is>
          <t>The analytics CSV export interpolated account ids unquoted, so any id containing a comma or quote shifted every later column in that row. Now serialised through the shared RFC-4180 writer.</t>
        </is>
      </c>
      <c r="E23" s="26" t="inlineStr">
        <is>
          <t>FIXED</t>
        </is>
      </c>
      <c r="F23" s="26" t="inlineStr">
        <is>
          <t>VoiceBridge OBS-V1 (fixed here rather than deferred)</t>
        </is>
      </c>
      <c r="G23" s="26" t="inlineStr">
        <is>
          <t>review.test.ts "quotes only the cells that need it"</t>
        </is>
      </c>
    </row>
    <row r="24" ht="45.75" customHeight="1" s="20">
      <c r="A24" s="26" t="inlineStr">
        <is>
          <t>M-F21</t>
        </is>
      </c>
      <c r="B24" s="26" t="inlineStr">
        <is>
          <t>app</t>
        </is>
      </c>
      <c r="C24" s="26" t="inlineStr">
        <is>
          <t>High</t>
        </is>
      </c>
      <c r="D24" s="26" t="inlineStr">
        <is>
          <t>Found while writing a test for something else: Express 4 does not observe promises returned by handlers, so an unexpected rejection inside an async route left the request hanging open with no status and no log line, holding a socket for the client's full timeout. The test that surfaced it timed out at 5s rather than failing — which is exactly how this reaches production unnoticed. Async routes are now wrapped and a terminal error handler turns anything that escapes into a 500.</t>
        </is>
      </c>
      <c r="E24" s="26" t="inlineStr">
        <is>
          <t>FIXED</t>
        </is>
      </c>
      <c r="F24" s="26" t="inlineStr">
        <is>
          <t>new — worth checking across the portfolio</t>
        </is>
      </c>
      <c r="G24" s="26" t="inlineStr">
        <is>
          <t>s10.test.ts "an async route that rejects answers 500 instead of hanging"</t>
        </is>
      </c>
    </row>
    <row r="25" ht="34.5" customHeight="1" s="20">
      <c r="A25" s="26" t="inlineStr">
        <is>
          <t>OBS-M1</t>
        </is>
      </c>
      <c r="B25" s="26" t="inlineStr">
        <is>
          <t>zoomClient</t>
        </is>
      </c>
      <c r="C25" s="26" t="inlineStr">
        <is>
          <t>Medium</t>
        </is>
      </c>
      <c r="D25" s="26" t="inlineStr">
        <is>
          <t>The circuit breaker's half-open path resets the failure count to zero, so after the cooldown it takes another full threshold of failures to re-open — a still-broken upstream gets unlimited probes rather than one. This is the same shape as FlowCast OBS-002 and VoiceBridge OBS-V2, so it wants one portfolio-wide ruling rather than three separate local fixes.</t>
        </is>
      </c>
      <c r="E25" s="26" t="inlineStr">
        <is>
          <t>NO FIX — needs your disposition</t>
        </is>
      </c>
      <c r="F25" s="26" t="inlineStr">
        <is>
          <t>FlowCast OBS-002, VoiceBridge OBS-V2</t>
        </is>
      </c>
      <c r="G25" s="26" t="inlineStr">
        <is>
          <t>—</t>
        </is>
      </c>
    </row>
    <row r="26" ht="34.5" customHeight="1" s="20">
      <c r="A26" s="26" t="inlineStr">
        <is>
          <t>OBS-M2</t>
        </is>
      </c>
      <c r="B26" s="26" t="inlineStr">
        <is>
          <t>lifecycle</t>
        </is>
      </c>
      <c r="C26" s="26" t="inlineStr">
        <is>
          <t>Medium</t>
        </is>
      </c>
      <c r="D26" s="26" t="inlineStr">
        <is>
          <t>Re-installing after delete-my-data but before the sweep restores the archived account, because the restore path only checks that the account was uninstalled and archived. Since the sweep now runs on the delete request path this window is very small, but the question is a product one: should an explicit deletion be un-doable by re-installing? Needs your call, not mine.</t>
        </is>
      </c>
      <c r="E26" s="26" t="inlineStr">
        <is>
          <t>NO FIX — product decision</t>
        </is>
      </c>
      <c r="F26" s="26" t="inlineStr">
        <is>
          <t>new</t>
        </is>
      </c>
      <c r="G26" s="26" t="inlineStr">
        <is>
          <t>—</t>
        </is>
      </c>
    </row>
    <row r="27" ht="34.5" customHeight="1" s="20">
      <c r="A27" s="26" t="inlineStr">
        <is>
          <t>OBS-M3</t>
        </is>
      </c>
      <c r="B27" s="26" t="inlineStr">
        <is>
          <t>store</t>
        </is>
      </c>
      <c r="C27" s="26" t="inlineStr">
        <is>
          <t>High (deferred)</t>
        </is>
      </c>
      <c r="D27" s="26" t="inlineStr">
        <is>
          <t>InMemoryStore is still the only implementation. Every cap, purge and entitlement fixed above is process-local and resets on restart, so none of this is durable until the D16-class Postgres adapter lands. Worth stating plainly: the deletion guarantee in docs/DATA_FLOW.md is only as good as that adapter.</t>
        </is>
      </c>
      <c r="E27" s="26" t="inlineStr">
        <is>
          <t>PARTIALLY CLOSED 13 Sep (code v016) — PostgresStore built and verified against a live database; account row and tokens durable, purge is a real DELETE. Billing, tenant state, CRM queue and RBAC audit remain process-local. See docs/PERSISTENCE.md and tracker E024/E025.</t>
        </is>
      </c>
      <c r="F27" s="26" t="inlineStr">
        <is>
          <t>TeleField/VoiceBridge same adapter point</t>
        </is>
      </c>
      <c r="G27" s="26" t="inlineStr">
        <is>
          <t>—</t>
        </is>
      </c>
    </row>
    <row r="28">
      <c r="A28" s="26" t="inlineStr">
        <is>
          <t>PR-01</t>
        </is>
      </c>
      <c r="B28" s="26" t="inlineStr">
        <is>
          <t>OAuth install / tenancy</t>
        </is>
      </c>
      <c r="C28" s="26" t="inlineStr">
        <is>
          <t>CRITICAL</t>
        </is>
      </c>
      <c r="D28" s="26" t="inlineStr">
        <is>
          <t>Tenant id came from the caller's query string at /oauth/start; the callback installed whatever Zoom login completed OAuth onto that id and minted an owner session for it — cross-tenant takeover, token repointing, export and deletion of any workspace. The signed state proved the server issued the state, not that the caller owned the account; every test supplied an account_id and asserted it came back.</t>
        </is>
      </c>
      <c r="E28" s="26" t="inlineStr">
        <is>
          <t>FIXED v045 (ST-101) — tenant = Zoom /users/me account_id; hint refused with 403 + install.tenant audit row; installAccount re-checks</t>
        </is>
      </c>
      <c r="F28" s="26" t="inlineStr">
        <is>
          <t>M-F11/M-F15 one level up; VER-M01 class (tests assert our own shape)</t>
        </is>
      </c>
      <c r="G28" s="26" t="inlineStr">
        <is>
          <t>s13.test.ts "refuses a state whose account differs from Zoom's answer…"; "cannot repoint a live workspace's tokens"; identity.test.ts</t>
        </is>
      </c>
    </row>
    <row r="29">
      <c r="A29" s="26" t="inlineStr">
        <is>
          <t>PR-02</t>
        </is>
      </c>
      <c r="B29" s="26" t="inlineStr">
        <is>
          <t>Product core</t>
        </is>
      </c>
      <c r="C29" s="26" t="inlineStr">
        <is>
          <t>CRITICAL</t>
        </is>
      </c>
      <c r="D29" s="26" t="inlineStr">
        <is>
          <t>No AI, NLP, ASR or LLM anywhere. Extraction is a 5-phrase substring match; "Hindi and Tamil transcription built in" (listing A) does not exist. Zoom review guidelines require the listing to describe what the app does.</t>
        </is>
      </c>
      <c r="E29" s="26" t="inlineStr">
        <is>
          <t>OPEN — decision PD-02; listing copy HELD by banner and gated (claims.test.ts) so it cannot be submitted over the current code</t>
        </is>
      </c>
      <c r="F29" s="26" t="inlineStr">
        <is>
          <t>New</t>
        </is>
      </c>
      <c r="G29" s="26" t="inlineStr">
        <is>
          <t>claims.test.ts "carries the HELD banner…"</t>
        </is>
      </c>
    </row>
    <row r="30">
      <c r="A30" s="26" t="inlineStr">
        <is>
          <t>PR-03</t>
        </is>
      </c>
      <c r="B30" s="26" t="inlineStr">
        <is>
          <t>Web surface</t>
        </is>
      </c>
      <c r="C30" s="26" t="inlineStr">
        <is>
          <t>CRITICAL</t>
        </is>
      </c>
      <c r="D30" s="26" t="inlineStr">
        <is>
          <t>web/api.ts exposed 4 methods, none a product feature; panels held local state and called none of 17 routes; RTL suite passed by testing components against props it handed them. GAP-3 on the client side; the v021 gate reads server names so cannot see it.</t>
        </is>
      </c>
      <c r="E30" s="26" t="inlineStr">
        <is>
          <t>FIXED v045 (ST-109/110/113/114) — 48-method client, panels wired with rollback, fake-server RTL, route→client gate</t>
        </is>
      </c>
      <c r="F30" s="26" t="inlineStr">
        <is>
          <t>GAP-3 class</t>
        </is>
      </c>
      <c r="G30" s="26" t="inlineStr">
        <is>
          <t>clientReachability.test.ts; panels.test.tsx "covers every product route…"; a11y.test.tsx</t>
        </is>
      </c>
    </row>
    <row r="31">
      <c r="A31" s="26" t="inlineStr">
        <is>
          <t>PR-04</t>
        </is>
      </c>
      <c r="B31" s="26" t="inlineStr">
        <is>
          <t>Product loop</t>
        </is>
      </c>
      <c r="C31" s="26" t="inlineStr">
        <is>
          <t>HIGH</t>
        </is>
      </c>
      <c r="D31" s="26" t="inlineStr">
        <is>
          <t>Transcript insights never reached the CRM; nothing enqueued a writeback. The headline promise required a manual API call with hand-typed fields.</t>
        </is>
      </c>
      <c r="E31" s="26" t="inlineStr">
        <is>
          <t>FIXED v045 (ST-111) — staged for review by default, one job per meeting under redelivery, approve/reject handshake, review screen</t>
        </is>
      </c>
      <c r="F31" s="26" t="inlineStr">
        <is>
          <t>GAP-3 class</t>
        </is>
      </c>
      <c r="G31" s="26" t="inlineStr">
        <is>
          <t>s14.test.ts ST-111 block; server.test.ts "auto-approved ingest through the real graph…"</t>
        </is>
      </c>
    </row>
    <row r="32">
      <c r="A32" s="26" t="inlineStr">
        <is>
          <t>PR-05</t>
        </is>
      </c>
      <c r="B32" s="26" t="inlineStr">
        <is>
          <t>Commercial</t>
        </is>
      </c>
      <c r="C32" s="26" t="inlineStr">
        <is>
          <t>HIGH</t>
        </is>
      </c>
      <c r="D32" s="26" t="inlineStr">
        <is>
          <t>PRICING_PAGE.md publishes flat monthly prices; code and /pricing treat the same numbers as per-seat — 50x apart at Team. HubSpot listing rules require listed pricing to match the website.</t>
        </is>
      </c>
      <c r="E32" s="26" t="inlineStr">
        <is>
          <t>OPEN — decision PD-01; page carries DECISION PENDING banner enforced by claims.test.ts until numbers agree (ST-136)</t>
        </is>
      </c>
      <c r="F32" s="26" t="inlineStr">
        <is>
          <t>New</t>
        </is>
      </c>
      <c r="G32" s="26" t="inlineStr">
        <is>
          <t>claims.test.ts "carries the decision-pending banner…"</t>
        </is>
      </c>
    </row>
    <row r="33">
      <c r="A33" s="26" t="inlineStr">
        <is>
          <t>PR-06</t>
        </is>
      </c>
      <c r="B33" s="26" t="inlineStr">
        <is>
          <t>Compliance / deletion</t>
        </is>
      </c>
      <c r="C33" s="26" t="inlineStr">
        <is>
          <t>HIGH</t>
        </is>
      </c>
      <c r="D33" s="26" t="inlineStr">
        <is>
          <t>app.ts built its own purge list without the transcript ingestor while server.ts included it; explicit delete-my-data left verbatim meeting excerpts resident while the scheduled sweep cleared them. The stronger request got the weaker guarantee; a comment was the only enforcement.</t>
        </is>
      </c>
      <c r="E33" s="26" t="inlineStr">
        <is>
          <t>FIXED v045 (ST-106) — src/purge.ts single factory, both paths, equality test</t>
        </is>
      </c>
      <c r="F33" s="26" t="inlineStr">
        <is>
          <t>M-F03 class, reintroduced by v029</t>
        </is>
      </c>
      <c r="G33" s="26" t="inlineStr">
        <is>
          <t>s13.test.ts "the route and the scheduler build the same list…"; "delete-my-data clears meeting insights"</t>
        </is>
      </c>
    </row>
    <row r="34">
      <c r="A34" s="26" t="inlineStr">
        <is>
          <t>PR-07</t>
        </is>
      </c>
      <c r="B34" s="26" t="inlineStr">
        <is>
          <t>Trust claims</t>
        </is>
      </c>
      <c r="C34" s="26" t="inlineStr">
        <is>
          <t>HIGH</t>
        </is>
      </c>
      <c r="D34" s="26" t="inlineStr">
        <is>
          <t>TRUST_PAGE.md named PostHog, Sentry and Stripe as subprocessors that appear nowhere in the code; said "two Zoom read scopes" where the map lists four; advertised regional deployment for a label.</t>
        </is>
      </c>
      <c r="E34" s="26" t="inlineStr">
        <is>
          <t>FIXED v045 (ST-107) — src/claims.ts single source, page rewritten with "Not yet" section, document↔code gate</t>
        </is>
      </c>
      <c r="F34" s="26" t="inlineStr">
        <is>
          <t>ST-096 / v038-v039 class (claim outliving its evidence)</t>
        </is>
      </c>
      <c r="G34" s="26" t="inlineStr">
        <is>
          <t>claims.test.ts (subprocessors, unbacked terms, scopes, payload)</t>
        </is>
      </c>
    </row>
    <row r="35">
      <c r="A35" s="26" t="inlineStr">
        <is>
          <t>PR-08</t>
        </is>
      </c>
      <c r="B35" s="26" t="inlineStr">
        <is>
          <t>Identity</t>
        </is>
      </c>
      <c r="C35" s="26" t="inlineStr">
        <is>
          <t>HIGH</t>
        </is>
      </c>
      <c r="D35" s="26" t="inlineStr">
        <is>
          <t>Every installer became owner@&lt;accountId&gt; with role owner; no user identity, invites, user list or revocation; audit userId synthetic.</t>
        </is>
      </c>
      <c r="E35" s="26" t="inlineStr">
        <is>
          <t>FIXED v045 (ST-102/103) — Zoom user id/email/role in session; revocation. Invite/user list = ST-143 (S19)</t>
        </is>
      </c>
      <c r="F35" s="26" t="inlineStr">
        <is>
          <t>New</t>
        </is>
      </c>
      <c r="G35" s="26" t="inlineStr">
        <is>
          <t>s13.test.ts "mints owner/admin/member from Zoom's role, and two users produce two audit identities"</t>
        </is>
      </c>
    </row>
    <row r="36">
      <c r="A36" s="26" t="inlineStr">
        <is>
          <t>PR-09</t>
        </is>
      </c>
      <c r="B36" s="26" t="inlineStr">
        <is>
          <t>Residency</t>
        </is>
      </c>
      <c r="C36" s="26" t="inlineStr">
        <is>
          <t>MEDIUM</t>
        </is>
      </c>
      <c r="D36" s="26" t="inlineStr">
        <is>
          <t>MEETSYNC_REGION validated then only echoed; nothing routes, stores or restricts by region while the trust page advertised US/India/EU deployment.</t>
        </is>
      </c>
      <c r="E36" s="26" t="inlineStr">
        <is>
          <t>PARTIALLY CLOSED v045 — claim removed: /trust reports regionEnforced:false, page lists residency under "Not yet". Enforcement = ST-145</t>
        </is>
      </c>
      <c r="F36" s="26" t="inlineStr">
        <is>
          <t>New</t>
        </is>
      </c>
      <c r="G36" s="26" t="inlineStr">
        <is>
          <t>claims.test.ts "serves the payload from configuration, with region explicitly unenforced"</t>
        </is>
      </c>
    </row>
    <row r="37">
      <c r="A37" s="26" t="inlineStr">
        <is>
          <t>PR-10</t>
        </is>
      </c>
      <c r="B37" s="26" t="inlineStr">
        <is>
          <t>HTTP hardening</t>
        </is>
      </c>
      <c r="C37" s="26" t="inlineStr">
        <is>
          <t>MEDIUM</t>
        </is>
      </c>
      <c r="D37" s="26" t="inlineStr">
        <is>
          <t>No helmet/CSP, CORS policy, rate limiting or body-size limit; session token in a URL fragment, 12-hour TTL, not revocable.</t>
        </is>
      </c>
      <c r="E37" s="26" t="inlineStr">
        <is>
          <t>FIXED v045 (ST-103/104) — headers+CSP, CORS allowlist, 256kb, token-bucket limits, 60-min jti sessions in HttpOnly cookie, revocation</t>
        </is>
      </c>
      <c r="F37" s="26" t="inlineStr">
        <is>
          <t>New</t>
        </is>
      </c>
      <c r="G37" s="26" t="inlineStr">
        <is>
          <t>s13.test.ts ST-103 + ST-104 blocks</t>
        </is>
      </c>
    </row>
    <row r="38">
      <c r="A38" s="26" t="inlineStr">
        <is>
          <t>PR-11</t>
        </is>
      </c>
      <c r="B38" s="26" t="inlineStr">
        <is>
          <t>Deal risk (F4)</t>
        </is>
      </c>
      <c r="C38" s="26" t="inlineStr">
        <is>
          <t>MEDIUM</t>
        </is>
      </c>
      <c r="D38" s="26" t="inlineStr">
        <is>
          <t>13 hardcoded English keywords, no evidence span or confidence; cannot fire on Hindi/Tamil content; substring false positives.</t>
        </is>
      </c>
      <c r="E38" s="26" t="inlineStr">
        <is>
          <t>OPEN — decision PD-04 (rebuild inside ST-117/ST-124, or cut). Note: signals DO carry excerpt+line since v0xx; confidence and language awareness do not exist</t>
        </is>
      </c>
      <c r="F38" s="26" t="inlineStr">
        <is>
          <t>New</t>
        </is>
      </c>
      <c r="G38" s="26" t="inlineStr">
        <is>
          <t>—</t>
        </is>
      </c>
    </row>
    <row r="39">
      <c r="A39" s="26" t="inlineStr">
        <is>
          <t>PR-12</t>
        </is>
      </c>
      <c r="B39" s="26" t="inlineStr">
        <is>
          <t>Billing</t>
        </is>
      </c>
      <c r="C39" s="26" t="inlineStr">
        <is>
          <t>MEDIUM</t>
        </is>
      </c>
      <c r="D39" s="26" t="inlineStr">
        <is>
          <t>Seats arrive in the request body and are only range-checked; LC-10 claims "per-seat detection live"; nothing detects a seat.</t>
        </is>
      </c>
      <c r="E39" s="26" t="inlineStr">
        <is>
          <t>OPEN — ST-139 (S18). Gate_Checklist LC-10 wording corrected in v040 so the claim is no longer made</t>
        </is>
      </c>
      <c r="F39" s="26" t="inlineStr">
        <is>
          <t>M-F09 adjacent</t>
        </is>
      </c>
      <c r="G39" s="26" t="inlineStr">
        <is>
          <t>—</t>
        </is>
      </c>
    </row>
    <row r="40">
      <c r="A40" s="26" t="inlineStr">
        <is>
          <t>PR-13</t>
        </is>
      </c>
      <c r="B40" s="26" t="inlineStr">
        <is>
          <t>Durability</t>
        </is>
      </c>
      <c r="C40" s="26" t="inlineStr">
        <is>
          <t>MEDIUM</t>
        </is>
      </c>
      <c r="D40" s="26" t="inlineStr">
        <is>
          <t>Notes sessions, telemetry and meeting insights process-local; a deploy discarded in-flight notes — the one thing a user typed by hand.</t>
        </is>
      </c>
      <c r="E40" s="26" t="inlineStr">
        <is>
          <t>FIXED v045 (ST-112) for notes and insights (contract suite x2); telemetry stays process-local by documented decision</t>
        </is>
      </c>
      <c r="F40" s="26" t="inlineStr">
        <is>
          <t>OBS-M3 remainder</t>
        </is>
      </c>
      <c r="G40" s="26" t="inlineStr">
        <is>
          <t>storeContract.test.ts NotesStore / InsightStore contracts</t>
        </is>
      </c>
    </row>
    <row r="41">
      <c r="A41" s="26" t="inlineStr">
        <is>
          <t>PR-14</t>
        </is>
      </c>
      <c r="B41" s="26" t="inlineStr">
        <is>
          <t>Metrics</t>
        </is>
      </c>
      <c r="C41" s="26" t="inlineStr">
        <is>
          <t>LOW</t>
        </is>
      </c>
      <c r="D41" s="26" t="inlineStr">
        <is>
          <t>revenueMetrics.trials = all.length counted every subscription as a trial; conversionPct understated and un-cohorted.</t>
        </is>
      </c>
      <c r="E41" s="26" t="inlineStr">
        <is>
          <t>FIXED v045 (ST-141) — trials = cohort started in window; per-week cohorts; activated funnel stage</t>
        </is>
      </c>
      <c r="F41" s="26" t="inlineStr">
        <is>
          <t>v015 class</t>
        </is>
      </c>
      <c r="G41" s="26" t="inlineStr">
        <is>
          <t>review.test.ts "cohorts are ordered by week…"; server.test.ts activated=1</t>
        </is>
      </c>
    </row>
    <row r="42">
      <c r="A42" s="26" t="inlineStr">
        <is>
          <t>SR-09</t>
        </is>
      </c>
      <c r="B42" s="26" t="inlineStr">
        <is>
          <t>sessionStore</t>
        </is>
      </c>
      <c r="C42" s="26" t="inlineStr">
        <is>
          <t>Medium</t>
        </is>
      </c>
      <c r="D42" s="26" t="inlineStr">
        <is>
          <t>Found by the contract suite on its first run against the new store: InMemorySessionStore.revoke() overwrote a deny row's expiry while PostgresSessionStore used GREATEST — so in tests a second revoke could quietly un-revoke a session by lowering its expiry, and in production it could not. The two-implementation rule caught a divergence the same sitting it was written.</t>
        </is>
      </c>
      <c r="E42" s="26" t="inlineStr">
        <is>
          <t>FIXED v045 — in-memory revoke is monotonic like the SQL upsert</t>
        </is>
      </c>
      <c r="F42" s="26" t="inlineStr">
        <is>
          <t>SR-05/SR-06 class (implementations agreeing on everything except the thing that matters)</t>
        </is>
      </c>
      <c r="G42" s="26" t="inlineStr">
        <is>
          <t>storeContract.test.ts "revoking the same jti again keeps the later expiry, never an earlier 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9" min="1" max="1"/>
    <col width="26" customWidth="1" style="19" min="2" max="2"/>
    <col width="20" customWidth="1" style="19" min="3" max="3"/>
    <col width="100" customWidth="1" style="19" min="4" max="4"/>
    <col width="88" customWidth="1" style="19" min="5" max="5"/>
    <col width="46" customWidth="1" style="19" min="6" max="7"/>
  </cols>
  <sheetData>
    <row r="1" ht="228" customHeight="1" s="20">
      <c r="A1" s="46" t="inlineStr">
        <is>
          <t>EXTERNAL VERIFICATION SWEEP — MeetSync code vs live Zoom platform documentation, 13 Sep 2026</t>
        </is>
      </c>
    </row>
    <row r="2" ht="43.5" customHeight="1" s="20">
      <c r="A2" s="43" t="inlineStr">
        <is>
          <t>Why this is a separate exercise from the cold review: a cold review reads the code against itself and against defect patterns. It cannot find a place where the code is internally consistent, fully tested, and wrong about the outside world. Every finding below was invisible at 100% coverage because the tests asserted our own shape back to us. Source column cites the Zoom documentation page checked.</t>
        </is>
      </c>
    </row>
    <row r="3" ht="15" customHeight="1" s="20">
      <c r="A3" s="47" t="inlineStr">
        <is>
          <t>ID</t>
        </is>
      </c>
      <c r="B3" s="47" t="inlineStr">
        <is>
          <t>Area</t>
        </is>
      </c>
      <c r="C3" s="47" t="inlineStr">
        <is>
          <t>Severity</t>
        </is>
      </c>
      <c r="D3" s="47" t="inlineStr">
        <is>
          <t>Finding</t>
        </is>
      </c>
      <c r="E3" s="47" t="inlineStr">
        <is>
          <t>Fix</t>
        </is>
      </c>
      <c r="F3" s="47" t="inlineStr">
        <is>
          <t>Verified against</t>
        </is>
      </c>
      <c r="G3" s="47" t="inlineStr">
        <is>
          <t>Pinned by</t>
        </is>
      </c>
    </row>
    <row r="4" ht="23.25" customHeight="1" s="20">
      <c r="A4" s="26" t="inlineStr">
        <is>
          <t>VER-M01</t>
        </is>
      </c>
      <c r="B4" s="26" t="inlineStr">
        <is>
          <t>OAuth token exchange</t>
        </is>
      </c>
      <c r="C4" s="26" t="inlineStr">
        <is>
          <t>LIVE-BLOCKING</t>
        </is>
      </c>
      <c r="D4" s="26" t="inlineStr">
        <is>
          <t>We sent client_id and client_secret in the form body. Zoom authenticates the client with an HTTP Basic header containing base64 of "client_id:client_secret". The install would have been rejected on the first live call.</t>
        </is>
      </c>
      <c r="E4" s="26" t="inlineStr">
        <is>
          <t>FIXED — basicAuthHeader(); HttpPost now carries headers. The body carries no secret at all.</t>
        </is>
      </c>
      <c r="F4" s="26" t="inlineStr">
        <is>
          <t>developers.zoom.us/docs/integrations/oauth</t>
        </is>
      </c>
      <c r="G4" s="26" t="inlineStr">
        <is>
          <t>zoomAuth.test.ts "sends Basic client credentials…"</t>
        </is>
      </c>
    </row>
    <row r="5" ht="23.25" customHeight="1" s="20">
      <c r="A5" s="26" t="inlineStr">
        <is>
          <t>VER-M02</t>
        </is>
      </c>
      <c r="B5" s="26" t="inlineStr">
        <is>
          <t>OAuth token exchange</t>
        </is>
      </c>
      <c r="C5" s="26" t="inlineStr">
        <is>
          <t>LIVE-BLOCKING</t>
        </is>
      </c>
      <c r="D5" s="26" t="inlineStr">
        <is>
          <t>redirect_uri was absent. Zoom lists it as required for grant_type=authorization_code and it must match the URL registered on the Marketplace app.</t>
        </is>
      </c>
      <c r="E5" s="26" t="inlineStr">
        <is>
          <t>FIXED — redirectUri(cfg) derived from BASE_URL and sent on every code exchange; the same value is used in /oauth/start.</t>
        </is>
      </c>
      <c r="F5" s="26" t="inlineStr">
        <is>
          <t>developers.zoom.us/docs/integrations/oauth</t>
        </is>
      </c>
      <c r="G5" s="26" t="inlineStr">
        <is>
          <t>zoomAuth.test.ts (same test asserts the exact body)</t>
        </is>
      </c>
    </row>
    <row r="6" ht="23.25" customHeight="1" s="20">
      <c r="A6" s="26" t="inlineStr">
        <is>
          <t>VER-M03</t>
        </is>
      </c>
      <c r="B6" s="26" t="inlineStr">
        <is>
          <t>OAuth refresh</t>
        </is>
      </c>
      <c r="C6" s="26" t="inlineStr">
        <is>
          <t>LIVE-BLOCKING</t>
        </is>
      </c>
      <c r="D6" s="26" t="inlineStr">
        <is>
          <t>Refresh had the same wrong client-authentication shape, so token renewal would have failed an hour after every install — the failure mode users would have seen as the app randomly logging itself out.</t>
        </is>
      </c>
      <c r="E6" s="26" t="inlineStr">
        <is>
          <t>FIXED — refresh uses the Basic header; body is grant_type + refresh_token only.</t>
        </is>
      </c>
      <c r="F6" s="26" t="inlineStr">
        <is>
          <t>developers.zoom.us/docs/integrations/oauth</t>
        </is>
      </c>
      <c r="G6" s="26" t="inlineStr">
        <is>
          <t>zoomAuth.test.ts "authenticates the refresh with the Basic header"</t>
        </is>
      </c>
    </row>
    <row r="7" ht="68.25" customHeight="1" s="20">
      <c r="A7" s="26" t="inlineStr">
        <is>
          <t>VER-M04</t>
        </is>
      </c>
      <c r="B7" s="26" t="inlineStr">
        <is>
          <t>Zoom Apps SDK boundary</t>
        </is>
      </c>
      <c r="C7" s="26" t="inlineStr">
        <is>
          <t>LIVE-BLOCKING</t>
        </is>
      </c>
      <c r="D7" s="26" t="inlineStr">
        <is>
          <t>web/sdk.ts was built around an API that does not exist. Three separate errors: zoomSdk.config({capabilities}) was never called, and every Zoom Apps API throws until it is; getMeetingContext() was assumed to return accountId, role and user, which it does not (user identity is getUserContext, and after M-F11 the role must come from the server session anyway); and inMeeting was read as a field of the meeting context rather than from getRunningContext(). All five in-meeting surface stories would have shown a panel stuck on 'Connecting…' with nothing logged — the VoiceBridge VER-V01 failure shape exactly.</t>
        </is>
      </c>
      <c r="E7" s="26" t="inlineStr">
        <is>
          <t>FIXED — loadPanelContext() configures capabilities, reads running context first, only asks for meeting context when actually in a meeting, and surfaces a config failure to the user instead of hanging. REQUIRED_CAPABILITIES is exported so the Marketplace app settings and the runtime call cannot drift.</t>
        </is>
      </c>
      <c r="F7" s="26" t="inlineStr">
        <is>
          <t>appssdk.zoom.us + developers.zoom.us Zoom Apps guides</t>
        </is>
      </c>
      <c r="G7" s="26" t="inlineStr">
        <is>
          <t>panels.test.tsx "Zoom Apps SDK boundary (VER-M04)" — 6 tests</t>
        </is>
      </c>
    </row>
    <row r="8" ht="45.75" customHeight="1" s="20">
      <c r="A8" s="26" t="inlineStr">
        <is>
          <t>VER-M05</t>
        </is>
      </c>
      <c r="B8" s="26" t="inlineStr">
        <is>
          <t>Scopes</t>
        </is>
      </c>
      <c r="C8" s="26" t="inlineStr">
        <is>
          <t>BLOCKS APP CREATION</t>
        </is>
      </c>
      <c r="D8" s="26" t="inlineStr">
        <is>
          <t>docs/SECURITY_SCOPES.md listed the classic scopes meeting:read, recording:read, user:read. Zoom replaced classic with granular scopes in April 2024; existing apps keep theirs, but any NEWLY created app gets granular scopes only — and MeetSync has no app yet, so those names are not selectable. Working from the old table would have wasted time in the console at exactly the step that unblocks 12 stories.</t>
        </is>
      </c>
      <c r="E8" s="26" t="inlineStr">
        <is>
          <t>FIXED — scope map rewritten to granular names with the :admin variants noted, plus the separate in-client SDK capability list (a second permission surface that is easy to miss entirely).</t>
        </is>
      </c>
      <c r="F8" s="26" t="inlineStr">
        <is>
          <t>developers.zoom.us/docs/api/webhooks#scopes; Zoom granular-scope migration notes</t>
        </is>
      </c>
      <c r="G8" s="26" t="inlineStr">
        <is>
          <t>Doc change; REQUIRED_CAPABILITIES pinned in tests</t>
        </is>
      </c>
    </row>
    <row r="9" ht="45.75" customHeight="1" s="20">
      <c r="A9" s="26" t="inlineStr">
        <is>
          <t>VER-M06</t>
        </is>
      </c>
      <c r="B9" s="26" t="inlineStr">
        <is>
          <t>Webhook subscription health</t>
        </is>
      </c>
      <c r="C9" s="26" t="inlineStr">
        <is>
          <t>HIGH</t>
        </is>
      </c>
      <c r="D9" s="26" t="inlineStr">
        <is>
          <t>Zoom revalidates every webhook endpoint every 72 hours and DISABLES the subscription after six consecutive failures, at which point MeetSync silently stops receiving meeting events. Zoom also never retries a 4xx, so every request we reject for verification reasons is an event permanently lost. Our own replay guard rejects anything more than five minutes from our clock — so server clock drift alone can kill the subscription, with no error on our side.</t>
        </is>
      </c>
      <c r="E9" s="26" t="inlineStr">
        <is>
          <t>FIXED (observability) — verification failures counted by reason and exposed at /analytics/webhook-rejections behind the operator token; RUNBOOK gains the monitoring thresholds and the recovery procedure. The guard itself is deliberately unchanged: widening it to dodge our own clock problems would weaken the replay defence.</t>
        </is>
      </c>
      <c r="F9" s="26" t="inlineStr">
        <is>
          <t>developers.zoom.us/docs/api/webhooks</t>
        </is>
      </c>
      <c r="G9" s="26" t="inlineStr">
        <is>
          <t>review.test.ts "webhook verification failures are counted by reason"</t>
        </is>
      </c>
    </row>
    <row r="10" ht="23.25" customHeight="1" s="20">
      <c r="A10" s="26" t="inlineStr">
        <is>
          <t>VER-M07</t>
        </is>
      </c>
      <c r="B10" s="26" t="inlineStr">
        <is>
          <t>Token lifetime</t>
        </is>
      </c>
      <c r="C10" s="26" t="inlineStr">
        <is>
          <t>MEDIUM</t>
        </is>
      </c>
      <c r="D10" s="26" t="inlineStr">
        <is>
          <t>The token response's expires_in was discarded. Zoom access tokens live one hour, so the only way the app could learn a token had expired was to take a 401 on a real user's request.</t>
        </is>
      </c>
      <c r="E10" s="26" t="inlineStr">
        <is>
          <t>FIXED — expiresAt stored with a 60s skew; ZoomClient refreshes a known-expired token before the call rather than after it fails.</t>
        </is>
      </c>
      <c r="F10" s="26" t="inlineStr">
        <is>
          <t>developers.zoom.us/docs/integrations/oauth</t>
        </is>
      </c>
      <c r="G10" s="26" t="inlineStr">
        <is>
          <t>review.test.ts "a known-expired access token is refreshed before the API call"</t>
        </is>
      </c>
    </row>
    <row r="11" ht="34.5" customHeight="1" s="20">
      <c r="A11" s="26" t="inlineStr">
        <is>
          <t>VER-M08</t>
        </is>
      </c>
      <c r="B11" s="26" t="inlineStr">
        <is>
          <t>Webhook HMAC</t>
        </is>
      </c>
      <c r="C11" s="26" t="inlineStr">
        <is>
          <t>VERIFIED CORRECT</t>
        </is>
      </c>
      <c r="D11" s="26" t="inlineStr">
        <is>
          <t>Signature construction checked line by line against Zoom's spec: message is v0:{x-zm-request-timestamp}:{raw body}, HMAC-SHA256 with the webhook Secret Token, hex, compared against x-zm-signature prefixed v0=. Ours matches exactly, including the constant-time comparison.</t>
        </is>
      </c>
      <c r="E11" s="26" t="inlineStr">
        <is>
          <t>No change</t>
        </is>
      </c>
      <c r="F11" s="26" t="inlineStr">
        <is>
          <t>developers.zoom.us/docs/api/webhooks</t>
        </is>
      </c>
      <c r="G11" s="26" t="inlineStr">
        <is>
          <t>webhooks.test.ts (existing)</t>
        </is>
      </c>
    </row>
    <row r="12" ht="23.25" customHeight="1" s="20">
      <c r="A12" s="26" t="inlineStr">
        <is>
          <t>VER-M09</t>
        </is>
      </c>
      <c r="B12" s="26" t="inlineStr">
        <is>
          <t>url_validation CRC</t>
        </is>
      </c>
      <c r="C12" s="26" t="inlineStr">
        <is>
          <t>VERIFIED CORRECT</t>
        </is>
      </c>
      <c r="D12" s="26" t="inlineStr">
        <is>
          <t>Challenge response is {plainToken, encryptedToken} where encryptedToken is the hex HMAC-SHA256 of plainToken under the Secret Token, answered 200 within three seconds. Ours matches.</t>
        </is>
      </c>
      <c r="E12" s="26" t="inlineStr">
        <is>
          <t>No change</t>
        </is>
      </c>
      <c r="F12" s="26" t="inlineStr">
        <is>
          <t>developers.zoom.us/docs/api/webhooks</t>
        </is>
      </c>
      <c r="G12" s="26" t="inlineStr">
        <is>
          <t>app.test.ts webhook block</t>
        </is>
      </c>
    </row>
    <row r="13" ht="34.5" customHeight="1" s="20">
      <c r="A13" s="26" t="inlineStr">
        <is>
          <t>VER-M10</t>
        </is>
      </c>
      <c r="B13" s="26" t="inlineStr">
        <is>
          <t>Deauthorization payload</t>
        </is>
      </c>
      <c r="C13" s="26" t="inlineStr">
        <is>
          <t>VERIFIED CORRECT</t>
        </is>
      </c>
      <c r="D13" s="26" t="inlineStr">
        <is>
          <t>Zoom's documented app_deauthorized payload carries account_id at the top level of payload. Cold-review pass 2 had already added that path alongside payload.object.account_id, so both shapes are handled and the M-F03 purge is what runs.</t>
        </is>
      </c>
      <c r="E13" s="26" t="inlineStr">
        <is>
          <t>No change</t>
        </is>
      </c>
      <c r="F13" s="26" t="inlineStr">
        <is>
          <t>developers.zoom.us/docs/integrations/oauth#deauthorization</t>
        </is>
      </c>
      <c r="G13" s="26" t="inlineStr">
        <is>
          <t>app.test.ts "deauthorization carries a top-level account_id too"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9" min="1" max="1"/>
    <col width="32" customWidth="1" style="19" min="2" max="2"/>
    <col width="110" customWidth="1" style="19" min="3" max="3"/>
    <col width="80" customWidth="1" style="19" min="4" max="4"/>
    <col width="52" customWidth="1" style="19" min="5" max="5"/>
  </cols>
  <sheetData>
    <row r="1" ht="143.25" customHeight="1" s="20">
      <c r="A1" s="46" t="inlineStr">
        <is>
          <t>WCAG AA AUDIT — MeetSync panel surface, 13 Sep 2026</t>
        </is>
      </c>
    </row>
    <row r="2" ht="43.5" customHeight="1" s="20">
      <c r="A2" s="43" t="inlineStr">
        <is>
          <t>Scope: all five panel components and the app shell, every render state, audited against wcag2a / wcag2aa / wcag21a / wcag21aa inside the same 100% gate as the rest of the suite. READ THE LAST SECTION BEFORE QUOTING THIS ANYWHERE: the automated result is clean, and clean is not the same as accessible.</t>
        </is>
      </c>
    </row>
    <row r="3" ht="15" customHeight="1" s="20">
      <c r="A3" s="47" t="inlineStr">
        <is>
          <t>ID</t>
        </is>
      </c>
      <c r="B3" s="47" t="inlineStr">
        <is>
          <t>Criterion</t>
        </is>
      </c>
      <c r="C3" s="47" t="inlineStr">
        <is>
          <t>Finding</t>
        </is>
      </c>
      <c r="D3" s="47" t="inlineStr">
        <is>
          <t>Fix</t>
        </is>
      </c>
      <c r="E3" s="47" t="inlineStr">
        <is>
          <t>Pinned by</t>
        </is>
      </c>
    </row>
    <row r="4" ht="45.75" customHeight="1" s="20">
      <c r="A4" s="26" t="inlineStr">
        <is>
          <t>A11Y-01</t>
        </is>
      </c>
      <c r="B4" s="26" t="inlineStr">
        <is>
          <t>WCAG 4.1.2 Name, Role, Value</t>
        </is>
      </c>
      <c r="C4" s="26" t="inlineStr">
        <is>
          <t>Note status buttons carried aria-label="chip-N". An aria-label REPLACES an element's visible text for assistive technology, so the note's status — open/done/flag, the only reason the control exists — was hidden, and what a screen-reader user heard instead was 'chip 0, button'. This is the sharpest example of why an automated pass is not an audit: axe checks that an element HAS an accessible name, never whether the name is the right one.</t>
        </is>
      </c>
      <c r="D4" s="26" t="inlineStr">
        <is>
          <t>Accessible name now carries the state and the affordance: 'Status of note 1: open. Activate to change.' Tests address the button by data-testid so the name is free to be meaningful.</t>
        </is>
      </c>
      <c r="E4" s="26" t="inlineStr">
        <is>
          <t>a11y.test.tsx "a note status button announces its state"</t>
        </is>
      </c>
    </row>
    <row r="5" ht="34.5" customHeight="1" s="20">
      <c r="A5" s="26" t="inlineStr">
        <is>
          <t>A11Y-02</t>
        </is>
      </c>
      <c r="B5" s="26" t="inlineStr">
        <is>
          <t>WCAG 1.3.1 Info and Relationships</t>
        </is>
      </c>
      <c r="C5" s="26" t="inlineStr">
        <is>
          <t>Panels opened at h3 with no h1 or h2 anywhere above them, and the shell had no heading at all — the product name was a &lt;strong&gt;. Screen-reader users navigate by heading; a surface that starts at level 3 reads as though two levels of context were skipped and never provides the page title.</t>
        </is>
      </c>
      <c r="D5" s="26" t="inlineStr">
        <is>
          <t>Shell has a single h1; every panel opens at h2; CrmPanel's sub-sections stay h3 under it.</t>
        </is>
      </c>
      <c r="E5" s="26" t="inlineStr">
        <is>
          <t>a11y.test.tsx "every panel opens at h2 under a single h1"</t>
        </is>
      </c>
    </row>
    <row r="6" ht="23.25" customHeight="1" s="20">
      <c r="A6" s="26" t="inlineStr">
        <is>
          <t>A11Y-03</t>
        </is>
      </c>
      <c r="B6" s="26" t="inlineStr">
        <is>
          <t>WCAG 4.1.3 Status Messages</t>
        </is>
      </c>
      <c r="C6" s="26" t="inlineStr">
        <is>
          <t>Notes arrive during a meeting without any user action on the panel. Nothing announced them, so a screen-reader user had no way to know a note had landed short of re-reading the list.</t>
        </is>
      </c>
      <c r="D6" s="26" t="inlineStr">
        <is>
          <t>The notes list is a polite live region with its own accessible name.</t>
        </is>
      </c>
      <c r="E6" s="26" t="inlineStr">
        <is>
          <t>a11y.test.tsx "the notes list announces entries that arrive without user action"</t>
        </is>
      </c>
    </row>
    <row r="7" ht="23.25" customHeight="1" s="20">
      <c r="A7" s="26" t="inlineStr">
        <is>
          <t>A11Y-04</t>
        </is>
      </c>
      <c r="B7" s="26" t="inlineStr">
        <is>
          <t>WCAG 1.3.1 / 2.4.3 Focus Order</t>
        </is>
      </c>
      <c r="C7" s="26" t="inlineStr">
        <is>
          <t>The tab strip was plain buttons carrying aria-pressed, with nothing connecting a button to the content it switched. A user could hear which button was pressed but not that the region below was its panel, and all five buttons sat in the tab order.</t>
        </is>
      </c>
      <c r="D7" s="26" t="inlineStr">
        <is>
          <t>Real tablist / tab / tabpanel semantics with aria-controls and aria-labelledby in both directions, plus roving tabindex so the strip is one tab stop.</t>
        </is>
      </c>
      <c r="E7" s="26" t="inlineStr">
        <is>
          <t>a11y.test.tsx "tabs are real tabs and each one owns the panel it controls"</t>
        </is>
      </c>
    </row>
    <row r="9" ht="79.5" customHeight="1" s="20">
      <c r="A9" s="47" t="inlineStr">
        <is>
          <t>STILL OPEN — cannot be closed by any automated suite</t>
        </is>
      </c>
      <c r="B9" s="47" t="n"/>
      <c r="C9" s="47" t="n"/>
      <c r="D9" s="47" t="n"/>
      <c r="E9" s="47" t="n"/>
    </row>
    <row r="10" ht="79.5" customHeight="1" s="20">
      <c r="A10" s="47" t="inlineStr">
        <is>
          <t>A11Y-05</t>
        </is>
      </c>
      <c r="B10" s="47" t="inlineStr">
        <is>
          <t>WCAG 1.3.1 Info and relationships (table semantics)</t>
        </is>
      </c>
      <c r="C10" s="47" t="inlineStr">
        <is>
          <t>The ST-114 review screen introduces the first data table in the product: the CRM fields that will be written. A table with no caption, column headers or row headers reads to a screen reader as a grid of unrelated cells.</t>
        </is>
      </c>
      <c r="D10" s="47" t="inlineStr">
        <is>
          <t>caption + th scope=col / scope=row; pinned by a11y.test.tsx "A11Y-05"</t>
        </is>
      </c>
      <c r="E10" s="47" t="inlineStr">
        <is>
          <t>a11y.test.tsx "A11Y-05 (ST-114): the review table names its columns and rows"</t>
        </is>
      </c>
    </row>
    <row r="11" ht="45.75" customHeight="1" s="20">
      <c r="A11" s="26" t="inlineStr">
        <is>
          <t>Manual pass required before Marketplace submission</t>
        </is>
      </c>
      <c r="C11" s="26" t="inlineStr">
        <is>
          <t>Colour contrast (jsdom computes no styles, so axe skips the rule entirely), visible focus indicators, keyboard traps, zoom and reflow at 200%, and actual screen-reader behaviour inside the Zoom client — which embeds the panel in a webview no test environment here can simulate. Budget an hour against a real install.</t>
        </is>
      </c>
      <c r="D11" s="26" t="inlineStr">
        <is>
          <t>Not fixed — needs a live app (Handover #2)</t>
        </is>
      </c>
      <c r="E11" s="26" t="inlineStr">
        <is>
          <t>—</t>
        </is>
      </c>
    </row>
    <row r="12">
      <c r="A12" s="26" t="inlineStr">
        <is>
          <t>How to describe this externally</t>
        </is>
      </c>
      <c r="C12" s="26" t="inlineStr">
        <is>
          <t>Report it as 'automated WCAG AA checks pass; manual pass outstanding', never as 'WCAG AA verified'. The four findings above were all green in axe before they were fixed, which is the whole argument for not overclaiming: automated rules cover a minority of the success criteria, and the ones they miss are disproportionately the ones that make a product unusable rather than merely imperfect.</t>
        </is>
      </c>
      <c r="D12" s="26" t="inlineStr">
        <is>
          <t>Applies to Launch_Checklist #2 and the listing copy</t>
        </is>
      </c>
      <c r="E12" s="26"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D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2" customWidth="1" style="19" min="1" max="1"/>
    <col width="26" customWidth="1" style="19" min="2" max="2"/>
    <col width="62" customWidth="1" style="19" min="3" max="3"/>
    <col width="86" customWidth="1" style="19" min="4" max="4"/>
  </cols>
  <sheetData>
    <row r="1" ht="29.25" customHeight="1" s="20">
      <c r="A1" s="46" t="inlineStr">
        <is>
          <t>CAPABILITY REACHABILITY AUDIT — GAP-3, 13 Sep 2026</t>
        </is>
      </c>
    </row>
    <row r="2" ht="43.5" customHeight="1" s="20">
      <c r="A2" s="43" t="inlineStr">
        <is>
          <t>The question is not whether the code is correct — two cold-review passes answered that — but which HTTP route can reach it. A capability with no caller is not a feature; it is a library the customer cannot use. Re-run this audit after any sprint that adds services rather than routes.</t>
        </is>
      </c>
    </row>
    <row r="3" ht="15" customHeight="1" s="20">
      <c r="A3" s="47" t="inlineStr">
        <is>
          <t>Capability</t>
        </is>
      </c>
      <c r="B3" s="47" t="inlineStr">
        <is>
          <t>Was reachable from</t>
        </is>
      </c>
      <c r="C3" s="47" t="inlineStr">
        <is>
          <t>Verdict before v020</t>
        </is>
      </c>
      <c r="D3" s="47" t="inlineStr">
        <is>
          <t>Status after v020</t>
        </is>
      </c>
    </row>
    <row r="4" ht="15" customHeight="1" s="20">
      <c r="A4" s="26" t="inlineStr">
        <is>
          <t>F4 deal risk — analyse, score</t>
        </is>
      </c>
      <c r="B4" s="26" t="inlineStr">
        <is>
          <t>nothing</t>
        </is>
      </c>
      <c r="C4" s="26" t="inlineStr">
        <is>
          <t>ZERO references in application code</t>
        </is>
      </c>
      <c r="D4" s="26" t="inlineStr">
        <is>
          <t>WIRED — POST /features/deal-risk/analyse</t>
        </is>
      </c>
    </row>
    <row r="5" ht="15" customHeight="1" s="20">
      <c r="A5" s="26" t="inlineStr">
        <is>
          <t>F5 Indic pack — segment, wer, detectLang</t>
        </is>
      </c>
      <c r="B5" s="26" t="inlineStr">
        <is>
          <t>nothing</t>
        </is>
      </c>
      <c r="C5" s="26" t="inlineStr">
        <is>
          <t>ZERO references in application code</t>
        </is>
      </c>
      <c r="D5" s="26" t="inlineStr">
        <is>
          <t>WIRED — POST /features/indic/segment, /wer</t>
        </is>
      </c>
    </row>
    <row r="6" ht="15" customHeight="1" s="20">
      <c r="A6" s="26" t="inlineStr">
        <is>
          <t>F1 notes — startSession, addEntry</t>
        </is>
      </c>
      <c r="B6" s="26" t="inlineStr">
        <is>
          <t>demo seeder only</t>
        </is>
      </c>
      <c r="C6" s="26" t="inlineStr">
        <is>
          <t>No way to take a real note</t>
        </is>
      </c>
      <c r="D6" s="26" t="inlineStr">
        <is>
          <t>WIRED — 5 routes under /meetings/:meetingId/notes</t>
        </is>
      </c>
    </row>
    <row r="7" ht="15" customHeight="1" s="20">
      <c r="A7" s="26" t="inlineStr">
        <is>
          <t>F1 notes — setChip, closeSession, getSession</t>
        </is>
      </c>
      <c r="B7" s="26" t="inlineStr">
        <is>
          <t>nothing</t>
        </is>
      </c>
      <c r="C7" s="26" t="inlineStr">
        <is>
          <t>—</t>
        </is>
      </c>
      <c r="D7" s="26" t="inlineStr">
        <is>
          <t>WIRED</t>
        </is>
      </c>
    </row>
    <row r="8" ht="15" customHeight="1" s="20">
      <c r="A8" s="26" t="inlineStr">
        <is>
          <t>F2 extraction — extract, addCustomRule</t>
        </is>
      </c>
      <c r="B8" s="26" t="inlineStr">
        <is>
          <t>demo seeder only</t>
        </is>
      </c>
      <c r="C8" s="26" t="inlineStr">
        <is>
          <t>No way to extract from a real meeting</t>
        </is>
      </c>
      <c r="D8" s="26" t="inlineStr">
        <is>
          <t>WIRED — POST /features/actions/extract, /rules</t>
        </is>
      </c>
    </row>
    <row r="9" ht="15" customHeight="1" s="20">
      <c r="A9" s="26" t="inlineStr">
        <is>
          <t>F3 CRM — register, addMapping, enqueue, drain, auditTrail</t>
        </is>
      </c>
      <c r="B9" s="26" t="inlineStr">
        <is>
          <t>demo seeder only</t>
        </is>
      </c>
      <c r="C9" s="26" t="inlineStr">
        <is>
          <t>No way to configure or run a real writeback</t>
        </is>
      </c>
      <c r="D9" s="26" t="inlineStr">
        <is>
          <t>WIRED — 5 routes under /crm (sandbox adapter only; LC-6 open)</t>
        </is>
      </c>
    </row>
    <row r="10" ht="15" customHeight="1" s="20">
      <c r="A10" s="26" t="inlineStr">
        <is>
          <t>FeatureEngine — addRule, setEnabled</t>
        </is>
      </c>
      <c r="B10" s="26" t="inlineStr">
        <is>
          <t>nothing</t>
        </is>
      </c>
      <c r="C10" s="26" t="inlineStr">
        <is>
          <t>Rule customisation and pause unreachable (ST-x03, ST-x08)</t>
        </is>
      </c>
      <c r="D10" s="26" t="inlineStr">
        <is>
          <t>WIRED — POST /features/:key/rules, /pause</t>
        </is>
      </c>
    </row>
    <row r="11" ht="15" customHeight="1" s="20">
      <c r="A11" s="26" t="inlineStr">
        <is>
          <t>FeatureEngine — mute, unmute</t>
        </is>
      </c>
      <c r="B11" s="26" t="inlineStr">
        <is>
          <t>nothing</t>
        </is>
      </c>
      <c r="C11" s="26" t="inlineStr">
        <is>
          <t>Per-type notification mute unreachable (ST-x10)</t>
        </is>
      </c>
      <c r="D11" s="26" t="inlineStr">
        <is>
          <t>STILL UNREACHABLE — no notification delivery exists to mute</t>
        </is>
      </c>
    </row>
    <row r="12" ht="15" customHeight="1" s="20">
      <c r="A12" s="26" t="inlineStr">
        <is>
          <t>Rbac.auditLog</t>
        </is>
      </c>
      <c r="B12" s="26" t="inlineStr">
        <is>
          <t>nothing</t>
        </is>
      </c>
      <c r="C12" s="26" t="inlineStr">
        <is>
          <t>ST-067 audit log was WRITE-ONLY; audit.read gated nothing</t>
        </is>
      </c>
      <c r="D12" s="26" t="inlineStr">
        <is>
          <t>WIRED — GET /orgs/:id/audit-log, gated by audit.read</t>
        </is>
      </c>
    </row>
    <row r="13" ht="23.25" customHeight="1" s="20">
      <c r="A13" s="26" t="inlineStr">
        <is>
          <t>Billing lifecycle — changePlan, markPaid, paymentFailedTick, seatUsagePrompt, invoice, cancel</t>
        </is>
      </c>
      <c r="B13" s="26" t="inlineStr">
        <is>
          <t>nothing</t>
        </is>
      </c>
      <c r="C13" s="26" t="inlineStr">
        <is>
          <t>Upgrade, dunning, invoices and cancellation all unreachable</t>
        </is>
      </c>
      <c r="D13" s="26" t="inlineStr">
        <is>
          <t>STILL UNREACHABLE — needs a payment processor first; routes that move no money would be theatre</t>
        </is>
      </c>
    </row>
    <row r="14" ht="23.25" customHeight="1" s="20">
      <c r="A14" s="26" t="inlineStr">
        <is>
          <t>ZoomClient.request (backoff + circuit breaker)</t>
        </is>
      </c>
      <c r="B14" s="26" t="inlineStr">
        <is>
          <t>nothing</t>
        </is>
      </c>
      <c r="C14" s="26" t="inlineStr">
        <is>
          <t>The entire API client is uncalled</t>
        </is>
      </c>
      <c r="D14" s="26" t="inlineStr">
        <is>
          <t>STILL UNREACHABLE — MeetSync never fetches from Zoom; transcripts arrive by webhook. May be premature rather than unwired — worth deciding before it rots</t>
        </is>
      </c>
    </row>
    <row r="15" ht="23.25" customHeight="1" s="20">
      <c r="A15" s="26" t="inlineStr">
        <is>
          <t>Telemetry — trackError, errorSpike, hit, heatmap, weeklyEmail, healthScore, setThresholds, churnAlert</t>
        </is>
      </c>
      <c r="B15" s="26" t="inlineStr">
        <is>
          <t>nothing</t>
        </is>
      </c>
      <c r="C15" s="26" t="inlineStr">
        <is>
          <t>Operator telemetry unreachable</t>
        </is>
      </c>
      <c r="D15" s="26" t="inlineStr">
        <is>
          <t>STILL UNREACHABLE — mostly wants a scheduled job or an alerting integration, not a route</t>
        </is>
      </c>
    </row>
    <row r="16" ht="15" customHeight="1" s="20">
      <c r="A16" s="26" t="inlineStr">
        <is>
          <t>Onboarding — toggleSampleData, emptyState</t>
        </is>
      </c>
      <c r="B16" s="26" t="inlineStr">
        <is>
          <t>nothing</t>
        </is>
      </c>
      <c r="C16" s="26" t="inlineStr">
        <is>
          <t>Sample-data toggle and empty-state copy unreachable</t>
        </is>
      </c>
      <c r="D16" s="26" t="inlineStr">
        <is>
          <t>STILL UNREACHABLE — empty-state copy is duplicated in the panels; one of the two should go</t>
        </is>
      </c>
    </row>
    <row r="18" ht="15" customHeight="1" s="20">
      <c r="A18" s="47" t="inlineStr">
        <is>
          <t>Why no earlier review caught this</t>
        </is>
      </c>
      <c r="B18" s="47" t="n"/>
      <c r="C18" s="47" t="n"/>
      <c r="D18" s="47" t="n"/>
    </row>
    <row r="19" ht="57" customHeight="1" s="20">
      <c r="A19" s="26" t="inlineStr">
        <is>
          <t>Defects of absence</t>
        </is>
      </c>
      <c r="B19" s="26" t="inlineStr">
        <is>
          <t>—</t>
        </is>
      </c>
      <c r="C19" s="26" t="inlineStr">
        <is>
          <t>The cold review read modules against defect patterns; the verification sweep read the code against Zoom's documentation. Neither asks who calls what, and a module that nothing calls is locally perfect. GAP-1 (no composition root), GAP-2 (no retention scheduler) and GAP-3 are the same class: invisible to any review that reads what is there.</t>
        </is>
      </c>
      <c r="D19" s="26" t="inlineStr">
        <is>
          <t>Three occurrences in one day on one product</t>
        </is>
      </c>
    </row>
    <row r="21" ht="15" customHeight="1" s="20">
      <c r="A21" s="47" t="inlineStr">
        <is>
          <t>STORY-LEVEL ROLLUP (Traceability_Matrix column L, added v016)</t>
        </is>
      </c>
      <c r="B21" s="47" t="n"/>
      <c r="C21" s="47" t="n"/>
      <c r="D21" s="47" t="n"/>
    </row>
    <row r="22" ht="15" customHeight="1" s="20">
      <c r="A22" s="34" t="inlineStr">
        <is>
          <t>REACHABLE</t>
        </is>
      </c>
      <c r="B22" s="26" t="inlineStr">
        <is>
          <t>60 of 100</t>
        </is>
      </c>
      <c r="C22" s="26" t="inlineStr">
        <is>
          <t>a customer can invoke it today</t>
        </is>
      </c>
      <c r="D22" s="26" t="n"/>
    </row>
    <row r="23" ht="15" customHeight="1" s="20">
      <c r="A23" s="45" t="inlineStr">
        <is>
          <t>PARTIAL</t>
        </is>
      </c>
      <c r="B23" s="26" t="inlineStr">
        <is>
          <t>14 of 100</t>
        </is>
      </c>
      <c r="C23" s="26" t="inlineStr">
        <is>
          <t>part of the story is reachable; the rest is named in column M</t>
        </is>
      </c>
      <c r="D23" s="26" t="n"/>
    </row>
    <row r="24" ht="15" customHeight="1" s="20">
      <c r="A24" s="45" t="inlineStr">
        <is>
          <t>PENDING LIVE</t>
        </is>
      </c>
      <c r="B24" s="26" t="inlineStr">
        <is>
          <t>7 of 100</t>
        </is>
      </c>
      <c r="C24" s="26" t="inlineStr">
        <is>
          <t>blocked only on the Zoom dev app</t>
        </is>
      </c>
      <c r="D24" s="26" t="n"/>
    </row>
    <row r="25" ht="15" customHeight="1" s="20">
      <c r="A25" s="32" t="inlineStr">
        <is>
          <t>NOT REACHABLE</t>
        </is>
      </c>
      <c r="B25" s="26" t="inlineStr">
        <is>
          <t>19 of 100</t>
        </is>
      </c>
      <c r="C25" s="26" t="inlineStr">
        <is>
          <t>implemented or not, no customer can invoke it</t>
        </is>
      </c>
      <c r="D25" s="26" t="n"/>
    </row>
    <row r="27" ht="57" customHeight="1" s="20">
      <c r="A27" s="26" t="inlineStr">
        <is>
          <t>How to read this against the 78</t>
        </is>
      </c>
      <c r="C27" s="26" t="inlineStr">
        <is>
          <t>78 stories are Done-in-code and 60 are customer-reachable. The gap is not dishonesty in the earlier counts — the code really was written and tested — it is that "Done-in-code" never required a caller, so the two numbers were never the same thing and only one of them was ever reported. Both are now on the row, which was option (a) of Handover #20.</t>
        </is>
      </c>
      <c r="D27" s="26" t="inlineStr">
        <is>
          <t>Handover #20</t>
        </is>
      </c>
    </row>
    <row r="29" ht="57" customHeight="1" s="20">
      <c r="A29" s="26" t="inlineStr">
        <is>
          <t>ROLLUP REFRESHED 13 Sep 20:36 (code v038)</t>
        </is>
      </c>
      <c r="B29" s="26" t="inlineStr">
        <is>
          <t>75 reachable / 10 partial / 7 pending live / 8 not reachable</t>
        </is>
      </c>
      <c r="C29" s="26" t="inlineStr">
        <is>
          <t>Was 60/14/7/19 at v016. The movement is a day of work, not a reclassification: each row cites the version that made it reachable. Two NOT REACHABLE rows are deliberate and allowlisted with reasons (ST-060 dunning, ST-062 invoices); ST-055 is honest about token rotation still being unexercised.</t>
        </is>
      </c>
      <c r="D29" s="26" t="inlineStr">
        <is>
          <t>Handover #20</t>
        </is>
      </c>
    </row>
    <row r="30">
      <c r="A30" s="26" t="inlineStr">
        <is>
          <t>Web panels → 17 product routes (PR-03)</t>
        </is>
      </c>
      <c r="B30" s="26" t="inlineStr">
        <is>
          <t>nothing — panels held local state; api.ts had 4 methods</t>
        </is>
      </c>
      <c r="C30" s="26" t="inlineStr">
        <is>
          <t>Mock front end; GAP-3 on the client side; invisible to the v021 gate</t>
        </is>
      </c>
      <c r="D30" s="26" t="inlineStr">
        <is>
          <t>WIRED v045 — 48-method client, every panel via Api, route→client gate (ST-110) fails the build on regression</t>
        </is>
      </c>
    </row>
    <row r="31">
      <c r="A31" s="26" t="inlineStr">
        <is>
          <t>Transcript insights → CRM queue (PR-04)</t>
        </is>
      </c>
      <c r="B31" s="26" t="inlineStr">
        <is>
          <t>a human calling POST /crm/writeback with typed fields</t>
        </is>
      </c>
      <c r="C31" s="26" t="inlineStr">
        <is>
          <t>Headline promise required a manual API call</t>
        </is>
      </c>
      <c r="D31" s="26" t="inlineStr">
        <is>
          <t>WIRED v045 — staged on ingest, approve/reject handshake, one job per meeting</t>
        </is>
      </c>
    </row>
    <row r="32">
      <c r="A32" s="26" t="inlineStr">
        <is>
          <t>features.ts withEmailSender</t>
        </is>
      </c>
      <c r="B32" s="26" t="inlineStr">
        <is>
          <t>nothing (allowlisted)</t>
        </is>
      </c>
      <c r="C32" s="26" t="inlineStr">
        <is>
          <t>No transport existed</t>
        </is>
      </c>
      <c r="D32" s="26" t="inlineStr">
        <is>
          <t>WIRED v045 — tenancy passes the Notifier hook when MEETSYNC_MAIL_* is set; allowlist entry removed</t>
        </is>
      </c>
    </row>
    <row r="33">
      <c r="A33" s="26" t="inlineStr">
        <is>
          <t>team.manage permission</t>
        </is>
      </c>
      <c r="B33" s="26" t="inlineStr">
        <is>
          <t>nothing gated on it</t>
        </is>
      </c>
      <c r="C33" s="26" t="inlineStr">
        <is>
          <t>In the matrix, gating nothing</t>
        </is>
      </c>
      <c r="D33" s="26" t="inlineStr">
        <is>
          <t>WIRED v045 — gates POST /session/revoke-all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4" customWidth="1" style="20" min="1" max="1"/>
    <col width="26" customWidth="1" style="20" min="2" max="2"/>
    <col width="12" customWidth="1" style="20" min="3" max="3"/>
    <col width="60" customWidth="1" style="20" min="4" max="4"/>
    <col width="12" customWidth="1" style="20" min="5" max="5"/>
    <col width="80" customWidth="1" style="20" min="6" max="6"/>
  </cols>
  <sheetData>
    <row r="1">
      <c r="A1" s="39" t="inlineStr">
        <is>
          <t>ENTERPRISE-GRADE SCORECARD — Perplexity Review V001 §5.1 (5 = enterprise-ready, 1 = absent) — reviewer's score at v044 and Claude's honest re-score at v045</t>
        </is>
      </c>
      <c r="B1" s="39" t="n"/>
      <c r="C1" s="39" t="n"/>
      <c r="D1" s="39" t="n"/>
      <c r="E1" s="39" t="n"/>
      <c r="F1" s="39" t="n"/>
    </row>
    <row r="2">
      <c r="A2" s="19" t="inlineStr">
        <is>
          <t>The re-score is self-assessed and says so. Only an external re-review moves the left column. Average at v044: 2.0. Self-assessed at v045: 2.6.</t>
        </is>
      </c>
    </row>
    <row r="3">
      <c r="A3" s="40" t="inlineStr">
        <is>
          <t>#</t>
        </is>
      </c>
      <c r="B3" s="40" t="inlineStr">
        <is>
          <t>Dimension</t>
        </is>
      </c>
      <c r="C3" s="40" t="inlineStr">
        <is>
          <t>Score at v044 (reviewer)</t>
        </is>
      </c>
      <c r="D3" s="40" t="inlineStr">
        <is>
          <t>Reviewer evidence</t>
        </is>
      </c>
      <c r="E3" s="40" t="inlineStr">
        <is>
          <t>Self-score at v045</t>
        </is>
      </c>
      <c r="F3" s="40" t="inlineStr">
        <is>
          <t>What changed / what did not</t>
        </is>
      </c>
    </row>
    <row r="4">
      <c r="A4" s="41" t="n">
        <v>1</v>
      </c>
      <c r="B4" s="41" t="inlineStr">
        <is>
          <t>Tenant isolation</t>
        </is>
      </c>
      <c r="C4" s="41" t="n">
        <v>2</v>
      </c>
      <c r="D4" s="41" t="inlineStr">
        <is>
          <t>Install identity caller-supplied (PR-01)</t>
        </is>
      </c>
      <c r="E4" s="41" t="n">
        <v>4</v>
      </c>
      <c r="F4" s="41" t="inlineStr">
        <is>
          <t>PR-01 closed; tenant from Zoom; store re-checks. Not 5: no external re-test (ST-147)</t>
        </is>
      </c>
    </row>
    <row r="5">
      <c r="A5" s="41" t="n">
        <v>2</v>
      </c>
      <c r="B5" s="41" t="inlineStr">
        <is>
          <t>Identity &amp; access</t>
        </is>
      </c>
      <c r="C5" s="41" t="n">
        <v>1</v>
      </c>
      <c r="D5" s="41" t="inlineStr">
        <is>
          <t>No user identity; owner@&lt;account&gt;; no SSO/SCIM/revocation</t>
        </is>
      </c>
      <c r="E5" s="41" t="n">
        <v>2</v>
      </c>
      <c r="F5" s="41" t="inlineStr">
        <is>
          <t>Real Zoom user + role, revocation, revoke-all. Still no SSO/SCIM/invites (ST-142/143)</t>
        </is>
      </c>
    </row>
    <row r="6">
      <c r="A6" s="41" t="n">
        <v>3</v>
      </c>
      <c r="B6" s="41" t="inlineStr">
        <is>
          <t>Auditability</t>
        </is>
      </c>
      <c r="C6" s="41" t="n">
        <v>3</v>
      </c>
      <c r="D6" s="41" t="inlineStr">
        <is>
          <t>Every row names a synthetic user</t>
        </is>
      </c>
      <c r="E6" s="41" t="n">
        <v>4</v>
      </c>
      <c r="F6" s="41" t="inlineStr">
        <is>
          <t>Rows name Zoom users; install attempts audited. No export-to-SIEM</t>
        </is>
      </c>
    </row>
    <row r="7">
      <c r="A7" s="41" t="n">
        <v>4</v>
      </c>
      <c r="B7" s="41" t="inlineStr">
        <is>
          <t>Data protection</t>
        </is>
      </c>
      <c r="C7" s="41" t="n">
        <v>3</v>
      </c>
      <c r="D7" s="41" t="inlineStr">
        <is>
          <t>Tokens encrypted; no content encryption, no PII redaction</t>
        </is>
      </c>
      <c r="E7" s="41" t="n">
        <v>3</v>
      </c>
      <c r="F7" s="41" t="inlineStr">
        <is>
          <t>Unchanged; ST-121 redaction waits on PD-02</t>
        </is>
      </c>
    </row>
    <row r="8">
      <c r="A8" s="41" t="n">
        <v>5</v>
      </c>
      <c r="B8" s="41" t="inlineStr">
        <is>
          <t>Deletion &amp; retention</t>
        </is>
      </c>
      <c r="C8" s="41" t="n">
        <v>3</v>
      </c>
      <c r="D8" s="41" t="inlineStr">
        <is>
          <t>Two deletion paths gave different guarantees (PR-06)</t>
        </is>
      </c>
      <c r="E8" s="41" t="n">
        <v>4</v>
      </c>
      <c r="F8" s="41" t="inlineStr">
        <is>
          <t>One purge list, tested; sessions revoked on deletion. Retention still one global value</t>
        </is>
      </c>
    </row>
    <row r="9">
      <c r="A9" s="41" t="n">
        <v>6</v>
      </c>
      <c r="B9" s="41" t="inlineStr">
        <is>
          <t>Availability &amp; DR</t>
        </is>
      </c>
      <c r="C9" s="41" t="n">
        <v>2</v>
      </c>
      <c r="D9" s="41" t="inlineStr">
        <is>
          <t>No PITR/RPO/RTO/failover/SLA</t>
        </is>
      </c>
      <c r="E9" s="41" t="n">
        <v>2</v>
      </c>
      <c r="F9" s="41" t="inlineStr">
        <is>
          <t>Unchanged (ST-144 infra)</t>
        </is>
      </c>
    </row>
    <row r="10">
      <c r="A10" s="41" t="n">
        <v>7</v>
      </c>
      <c r="B10" s="41" t="inlineStr">
        <is>
          <t>Observability</t>
        </is>
      </c>
      <c r="C10" s="41" t="n">
        <v>3</v>
      </c>
      <c r="D10" s="41" t="inlineStr">
        <is>
          <t>Homegrown; trust page named vendors that do not exist</t>
        </is>
      </c>
      <c r="E10" s="41" t="n">
        <v>3</v>
      </c>
      <c r="F10" s="41" t="inlineStr">
        <is>
          <t>Rate-limit and mail outcomes added; vendors removed from the page. Still no APM/tracing</t>
        </is>
      </c>
    </row>
    <row r="11">
      <c r="A11" s="41" t="n">
        <v>8</v>
      </c>
      <c r="B11" s="41" t="inlineStr">
        <is>
          <t>Compliance posture</t>
        </is>
      </c>
      <c r="C11" s="41" t="n">
        <v>1</v>
      </c>
      <c r="D11" s="41" t="inlineStr">
        <is>
          <t>No SOC 2/ISO/DPA/pen test; region a label</t>
        </is>
      </c>
      <c r="E11" s="41" t="n">
        <v>1</v>
      </c>
      <c r="F11" s="41" t="inlineStr">
        <is>
          <t>Region now stated as unenforced; subprocessor list accurate. Nothing attested (ST-146/147)</t>
        </is>
      </c>
    </row>
    <row r="12">
      <c r="A12" s="41" t="n">
        <v>9</v>
      </c>
      <c r="B12" s="41" t="inlineStr">
        <is>
          <t>Platform hardening</t>
        </is>
      </c>
      <c r="C12" s="41" t="n">
        <v>2</v>
      </c>
      <c r="D12" s="41" t="inlineStr">
        <is>
          <t>No CSP/CORS/rate limit/body limit; 12h fragment sessions</t>
        </is>
      </c>
      <c r="E12" s="41" t="n">
        <v>4</v>
      </c>
      <c r="F12" s="41" t="inlineStr">
        <is>
          <t>All present and tested; 60-min revocable cookie sessions; operator router. Not 5: no pen test</t>
        </is>
      </c>
    </row>
    <row r="13">
      <c r="A13" s="41" t="n">
        <v>10</v>
      </c>
      <c r="B13" s="41" t="inlineStr">
        <is>
          <t>Product completeness</t>
        </is>
      </c>
      <c r="C13" s="41" t="n">
        <v>1</v>
      </c>
      <c r="D13" s="41" t="inlineStr">
        <is>
          <t>UI not wired; no auto loop; no AI; no sender</t>
        </is>
      </c>
      <c r="E13" s="41" t="n">
        <v>2</v>
      </c>
      <c r="F13" s="41" t="inlineStr">
        <is>
          <t>UI wired, loop closes with review, sender exists. No AI (PD-02)</t>
        </is>
      </c>
    </row>
    <row r="14">
      <c r="A14" s="41" t="n">
        <v>11</v>
      </c>
      <c r="B14" s="41" t="inlineStr">
        <is>
          <t>Commercial readiness</t>
        </is>
      </c>
      <c r="C14" s="41" t="n">
        <v>1</v>
      </c>
      <c r="D14" s="41" t="inlineStr">
        <is>
          <t>No processor; pricing 50x contradiction; seats self-declared</t>
        </is>
      </c>
      <c r="E14" s="41" t="n">
        <v>1</v>
      </c>
      <c r="F14" s="41" t="inlineStr">
        <is>
          <t>Contradiction now visibly held by a gated banner rather than resolved; processor and seats unbuilt (PD-01, ST-137/139)</t>
        </is>
      </c>
    </row>
    <row r="15">
      <c r="A15" s="41" t="n">
        <v>12</v>
      </c>
      <c r="B15" s="41" t="inlineStr">
        <is>
          <t>Verification against reality</t>
        </is>
      </c>
      <c r="C15" s="41" t="n">
        <v>2</v>
      </c>
      <c r="D15" s="41" t="inlineStr">
        <is>
          <t>Zero live Zoom/CRM/load/a11y/users</t>
        </is>
      </c>
      <c r="E15" s="41" t="n">
        <v>2</v>
      </c>
      <c r="F15" s="41" t="inlineStr">
        <is>
          <t>Unchanged — 712 tests and 0 installs. Handover #42 is the next move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2026-09-11T07:44:06Z</dcterms:created>
  <dcterms:modified xmlns:dcterms="http://purl.org/dc/terms/" xmlns:xsi="http://www.w3.org/2001/XMLSchema-instance" xsi:type="dcterms:W3CDTF">2026-09-20T11:29:42Z</dcterms:modified>
  <cp:revision>0</cp:revision>
</cp:coreProperties>
</file>