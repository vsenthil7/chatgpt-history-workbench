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1.xml.rels" ContentType="application/vnd.openxmlformats-package.relationships+xml"/>
  <Override PartName="/xl/worksheets/_rels/sheet10.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6.xml.rels" ContentType="application/vnd.openxmlformats-package.relationships+xml"/>
  <Override PartName="/xl/worksheets/_rels/sheet12.xml.rels" ContentType="application/vnd.openxmlformats-package.relationships+xml"/>
  <Override PartName="/xl/worksheets/_rels/sheet2.xml.rels" ContentType="application/vnd.openxmlformats-package.relationships+xml"/>
  <Override PartName="/xl/worksheets/sheet9.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Version_Control" sheetId="2" state="visible" r:id="rId4"/>
    <sheet name="Context" sheetId="3" state="visible" r:id="rId5"/>
    <sheet name="How_To_Use" sheetId="4" state="visible" r:id="rId6"/>
    <sheet name="Summary" sheetId="5" state="visible" r:id="rId7"/>
    <sheet name="Version_Detail" sheetId="6" state="visible" r:id="rId8"/>
    <sheet name="Pending_Versions" sheetId="7" state="visible" r:id="rId9"/>
    <sheet name="Manual_Test_Cases" sheetId="8" state="visible" r:id="rId10"/>
    <sheet name="Test_Execution_Log" sheetId="9" state="visible" r:id="rId11"/>
    <sheet name="Test_Traceability" sheetId="10" state="visible" r:id="rId12"/>
    <sheet name="Defect_Log" sheetId="11" state="visible" r:id="rId13"/>
    <sheet name="Sign_Off" sheetId="12" state="visible" r:id="rId14"/>
    <sheet name="Glossary" sheetId="13" state="visible" r:id="rId15"/>
  </sheets>
  <definedNames>
    <definedName function="false" hidden="true" localSheetId="10" name="_xlnm._FilterDatabase" vbProcedure="false">Defect_Log!$A$4:$K$5</definedName>
    <definedName function="false" hidden="true" localSheetId="12" name="_xlnm._FilterDatabase" vbProcedure="false">Glossary!$A$4:$B$15</definedName>
    <definedName function="false" hidden="true" localSheetId="7" name="_xlnm._FilterDatabase" vbProcedure="false">Manual_Test_Cases!$A$4:$O$95</definedName>
    <definedName function="false" hidden="true" localSheetId="6" name="_xlnm._FilterDatabase" vbProcedure="false">Pending_Versions!$A$4:$G$14</definedName>
    <definedName function="false" hidden="true" localSheetId="11" name="_xlnm._FilterDatabase" vbProcedure="false">Sign_Off!$A$4:$F$32</definedName>
    <definedName function="false" hidden="true" localSheetId="8" name="_xlnm._FilterDatabase" vbProcedure="false">Test_Execution_Log!$A$4:$J$5</definedName>
    <definedName function="false" hidden="true" localSheetId="9" name="_xlnm._FilterDatabase" vbProcedure="false">Test_Traceability!$A$4:$G$95</definedName>
    <definedName function="false" hidden="true" localSheetId="1" name="_xlnm._FilterDatabase" vbProcedure="false">Version_Control!$A$4:$E$6</definedName>
    <definedName function="false" hidden="true" localSheetId="5" name="_xlnm._FilterDatabase" vbProcedure="false">Version_Detail!$A$4:$J$61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<sst xmlns="http://schemas.openxmlformats.org/spreadsheetml/2006/main" count="2455" uniqueCount="966">
  <si>
    <t xml:space="preserve">FlowCast (Xero) — Version Detail &amp; Manual Test Workbook</t>
  </si>
  <si>
    <t xml:space="preserve">Document</t>
  </si>
  <si>
    <t xml:space="preserve">claude_V001_MoPr03-flowcast_xero_versiondetail_manualtest_20260920_1059.xlsx</t>
  </si>
  <si>
    <t xml:space="preserve">Project code</t>
  </si>
  <si>
    <t xml:space="preserve">003-MoPr03-flowcast_xero (marketplace portfolio rank 12, Xero App Store)</t>
  </si>
  <si>
    <t xml:space="preserve">Document version</t>
  </si>
  <si>
    <t xml:space="preserve">V001</t>
  </si>
  <si>
    <t xml:space="preserve">Date / time</t>
  </si>
  <si>
    <t xml:space="preserve">20 September 2026, 10:59 BST</t>
  </si>
  <si>
    <t xml:space="preserve">Author</t>
  </si>
  <si>
    <t xml:space="preserve">Claude for Senthil/KP</t>
  </si>
  <si>
    <t xml:space="preserve">Status</t>
  </si>
  <si>
    <t xml:space="preserve">Released — for Senthil review; test results columns are blank and yellow until executed</t>
  </si>
  <si>
    <t xml:space="preserve">Purpose</t>
  </si>
  <si>
    <t xml:space="preserve">One place that records, for every version of the product workbook (v001–v036) and the sprint tracker (v001–v024): what was done, why it was done, and the evidence; which versions are pending and why; and a manual test pack — several positive and negative cases per code-bearing version — with step-by-step instructions, expected results and space to record actuals.</t>
  </si>
  <si>
    <t xml:space="preserve">Source artefacts</t>
  </si>
  <si>
    <t xml:space="preserve">Product workbook v036 Version_Control · Sprint tracker v024 Version_Control, Traceability_Matrix, Review_Findings, External_Review_FC/PPX · flowcast_v036_codebase_and_docs.zip (code v0.30.0, RELEASE_NOTES_v034/v035/v036, gates/README.md) · Perplexity V001 and ChatGPT V001 reviews</t>
  </si>
  <si>
    <t xml:space="preserve">Companion document</t>
  </si>
  <si>
    <t xml:space="preserve">claude_v001_MoPr03-flowcast_xero_product_explainer_20260920_1059 (.docx / .html) with the four diagrams</t>
  </si>
  <si>
    <t xml:space="preserve">Test environment (sandbox)</t>
  </si>
  <si>
    <t xml:space="preserve">Node 22, npm 10; unzip flowcast_v036_codebase_and_docs.zip; cd flowcast; npm ci. No Xero organisation, no Postgres, no Stripe. Live cases are written in full and marked BLOCKED with the blocker named.</t>
  </si>
  <si>
    <t xml:space="preserve">Result vocabulary</t>
  </si>
  <si>
    <t xml:space="preserve">Pass · Fail · Blocked (needs an environment or decision named in the case) · Not run</t>
  </si>
  <si>
    <t xml:space="preserve">Sheets</t>
  </si>
  <si>
    <t xml:space="preserve">Version_Control · Context · How_To_Use · Summary · Version_Detail · Pending_Versions · Manual_Test_Cases · Test_Execution_Log · Test_Traceability · Defect_Log · Sign_Off · Glossary</t>
  </si>
  <si>
    <t xml:space="preserve">VERSION CONTROL — this workbook</t>
  </si>
  <si>
    <t xml:space="preserve">File naming: claude_V&lt;NNN&gt;_&lt;name&gt;_YYYYMMDD_HHMI. Nothing is deleted between versions; superseded rows are marked.</t>
  </si>
  <si>
    <t xml:space="preserve">Version</t>
  </si>
  <si>
    <t xml:space="preserve">Date/Time</t>
  </si>
  <si>
    <t xml:space="preserve">Change description</t>
  </si>
  <si>
    <t xml:space="preserve">2026-09-20 10:59</t>
  </si>
  <si>
    <t xml:space="preserve">First release. Version_Detail for workbook v001–v036 and tracker v001–v024; Pending_Versions; 91 manual test cases across 28 versions (positive + negative; sandbox-runnable, live cases marked BLOCKED); execution log, traceability, defect log, sign-off, glossary. Results not yet executed.</t>
  </si>
  <si>
    <t xml:space="preserve">Released</t>
  </si>
  <si>
    <t xml:space="preserve">V002</t>
  </si>
  <si>
    <t xml:space="preserve">PLANNED</t>
  </si>
  <si>
    <t xml:space="preserve">—</t>
  </si>
  <si>
    <t xml:space="preserve">Opens on the first test execution pass (results recorded), or on workbook v037 / tracker v025.</t>
  </si>
  <si>
    <t xml:space="preserve">Planned</t>
  </si>
  <si>
    <t xml:space="preserve">CONTEXT</t>
  </si>
  <si>
    <t xml:space="preserve">FlowCast is a Xero App Store product: 13-week cash forecast with traffic lights, scenario sliders, invoice-chasing nudges, bank-feed anomaly alerts and an accountant multi-client portal. It was built in a sandbox between 5 and 20 September 2026 under D13 (100% automated coverage, zero pragmas) through 36 product-workbook versions and 24 tracker versions, with two independent external AI reviews.</t>
  </si>
  <si>
    <t xml:space="preserve">Two facts sit side by side. The automated evidence is strong: 49 Jest suites / 719 tests at 100% on statements, branches, functions and lines; 14 gate files whose 15 mutations each reintroduce a real shipped defect and make the gate fail. And nothing — no version, no test — has ever run against a real Xero organisation, a real Postgres cluster or two real nodes.</t>
  </si>
  <si>
    <t xml:space="preserve">This workbook therefore separates three things carefully. Version_Detail records what each version changed and WHY (the finding, decision or review that caused it). Pending_Versions records what has not happened and the exact blocker. Manual_Test_Cases gives a human a repeatable way to confirm each version's claims — most in the sandbox today, the rest written out and marked BLOCKED so the first live day has a script.</t>
  </si>
  <si>
    <t xml:space="preserve">Status vocabulary (D-F2): Done = code + 100% tests + a gate that fails under the original defect. Code-complete — pending live = the same but only provable against a live org. Drafted = a document exists, unpublished. Not started = nothing exists. The story baseline stays at 77/100 Done by Senthil's instruction of 20 Sep 2026; every correction since sits on the enhancement pool with a stated reason.</t>
  </si>
  <si>
    <t xml:space="preserve">Manual testing here means: a person follows the steps, observes, and records. The automated suite is itself one of the things under test (the "the suite passes" cases), because an external reviewer once could not run it and rightly refused to accept the numbers (FC-R005).</t>
  </si>
  <si>
    <t xml:space="preserve">HOW TO USE THIS WORKBOOK</t>
  </si>
  <si>
    <t xml:space="preserve">Summary</t>
  </si>
  <si>
    <t xml:space="preserve">Live counts (formulas) over Manual_Test_Cases and Test_Execution_Log. Do not type into it.</t>
  </si>
  <si>
    <t xml:space="preserve">Version_Detail</t>
  </si>
  <si>
    <t xml:space="preserve">One row per version (workbook v001–v036, then tracker v001–v024). Read left to right: what, why, evidence, code version, test cases that cover it. Filter by Artefact or Type.</t>
  </si>
  <si>
    <t xml:space="preserve">Pending_Versions</t>
  </si>
  <si>
    <t xml:space="preserve">Versions and work packages that do not exist yet, with the reason and who unblocks them. When one opens, move nothing — add the released row to Version_Detail and mark this row "Opened in &lt;version&gt;".</t>
  </si>
  <si>
    <t xml:space="preserve">Manual_Test_Cases</t>
  </si>
  <si>
    <t xml:space="preserve">The test pack. One row per case; a version has several. Columns: ID, Version, Story/Finding it verifies, Title, Type (Positive/Negative), Mode (Sandbox / Live — BLOCKED / Doc review), Preconditions, Steps (numbered, one action per line), Expected result, then the YELLOW columns you fill in: Actual result, Result (Pass/Fail/Blocked/Not run — drop-down), Tester, Date, Defect ID, Notes.</t>
  </si>
  <si>
    <t xml:space="preserve">Test_Execution_Log</t>
  </si>
  <si>
    <t xml:space="preserve">Append one row per execution run (a case can be run many times). Reference the case ID; the Summary counts the latest status per case from Manual_Test_Cases, not from this log.</t>
  </si>
  <si>
    <t xml:space="preserve">Test_Traceability</t>
  </si>
  <si>
    <t xml:space="preserve">Case → version → story / finding → gate. Use it to answer "what covers PPX-02?" or "which cases must re-run when v037 ships?".</t>
  </si>
  <si>
    <t xml:space="preserve">Defect_Log</t>
  </si>
  <si>
    <t xml:space="preserve">Anything a manual case finds that the suite did not. Give it an MT-nnn id, link the case, and — when it is fixed — the version that fixed it and the regression test added. Never delete a row.</t>
  </si>
  <si>
    <t xml:space="preserve">Sign_Off</t>
  </si>
  <si>
    <t xml:space="preserve">Per version: who executed, who reviewed, verdict. Blank until executed.</t>
  </si>
  <si>
    <t xml:space="preserve">Sandbox setup (once)</t>
  </si>
  <si>
    <t xml:space="preserve">1. unzip flowcast_v036_codebase_and_docs.zip &amp;&amp; cd flowcast   2. npm ci   3. npx tsc --noEmit   4. npm test (expect 49 suites / 719 tests, 100% on four metrics)   5. npm run prove:gates (expect 15 PROVED). Older versions are tested through the current code: a case for v014 checks that v014's regression tests still exist and pass in v036, because every fix has been carried forward and nothing was deleted.</t>
  </si>
  <si>
    <t xml:space="preserve">Sandbox server</t>
  </si>
  <si>
    <t xml:space="preserve">export XERO_CLIENT_ID=x XERO_CLIENT_SECRET=y XERO_WEBHOOK_KEY=k OAUTH_REDIRECT_URI=https://localhost/cb BASE_URL=https://localhost BILLING_REGION=UK RELEASE=v036 FLOWCAST_OPERATOR_TOKEN=op FLOWCAST_DATA_KEY=$(node -e "console.log(require('crypto').randomBytes(32).toString('base64'))") NODE_ENV=development PORT=3000 &amp;&amp; npm run build &amp;&amp; npm start. Development mode boots without DATABASE_URL (in-memory store, single-process lock, per-process budget) and /health reports that honestly.</t>
  </si>
  <si>
    <t xml:space="preserve">Live cases</t>
  </si>
  <si>
    <t xml:space="preserve">Marked "Live — BLOCKED" with the blocker in Preconditions (Xero dev org, Postgres, Stripe, pen-test vendor, a decision). Record them as Blocked, never as Pass. They become the first-day script when the blocker clears.</t>
  </si>
  <si>
    <t xml:space="preserve">Rule</t>
  </si>
  <si>
    <t xml:space="preserve">A Pass needs the observed value written in Actual result. "As expected" is not an observation.</t>
  </si>
  <si>
    <t xml:space="preserve">SUMMARY — live counts over Manual_Test_Cases (do not edit)</t>
  </si>
  <si>
    <t xml:space="preserve">Cases</t>
  </si>
  <si>
    <t xml:space="preserve">Positive</t>
  </si>
  <si>
    <t xml:space="preserve">Negative</t>
  </si>
  <si>
    <t xml:space="preserve">Sandbox</t>
  </si>
  <si>
    <t xml:space="preserve">Live — BLOCKED</t>
  </si>
  <si>
    <t xml:space="preserve">Pass</t>
  </si>
  <si>
    <t xml:space="preserve">Fail</t>
  </si>
  <si>
    <t xml:space="preserve">Blocked</t>
  </si>
  <si>
    <t xml:space="preserve">Not run</t>
  </si>
  <si>
    <t xml:space="preserve">v008</t>
  </si>
  <si>
    <t xml:space="preserve">v009</t>
  </si>
  <si>
    <t xml:space="preserve">v010</t>
  </si>
  <si>
    <t xml:space="preserve">v011</t>
  </si>
  <si>
    <t xml:space="preserve">v012</t>
  </si>
  <si>
    <t xml:space="preserve">v013</t>
  </si>
  <si>
    <t xml:space="preserve">v014</t>
  </si>
  <si>
    <t xml:space="preserve">v015</t>
  </si>
  <si>
    <t xml:space="preserve">v016</t>
  </si>
  <si>
    <t xml:space="preserve">v017</t>
  </si>
  <si>
    <t xml:space="preserve">v018</t>
  </si>
  <si>
    <t xml:space="preserve">v019</t>
  </si>
  <si>
    <t xml:space="preserve">v020</t>
  </si>
  <si>
    <t xml:space="preserve">v021</t>
  </si>
  <si>
    <t xml:space="preserve">v022</t>
  </si>
  <si>
    <t xml:space="preserve">v023</t>
  </si>
  <si>
    <t xml:space="preserve">v024</t>
  </si>
  <si>
    <t xml:space="preserve">v025</t>
  </si>
  <si>
    <t xml:space="preserve">v026</t>
  </si>
  <si>
    <t xml:space="preserve">v027</t>
  </si>
  <si>
    <t xml:space="preserve">v028</t>
  </si>
  <si>
    <t xml:space="preserve">v029</t>
  </si>
  <si>
    <t xml:space="preserve">v030</t>
  </si>
  <si>
    <t xml:space="preserve">v032</t>
  </si>
  <si>
    <t xml:space="preserve">v033</t>
  </si>
  <si>
    <t xml:space="preserve">v034</t>
  </si>
  <si>
    <t xml:space="preserve">v035</t>
  </si>
  <si>
    <t xml:space="preserve">v036</t>
  </si>
  <si>
    <t xml:space="preserve">TOTAL</t>
  </si>
  <si>
    <t xml:space="preserve">Execution progress (% of cases with a Pass/Fail/Blocked recorded)</t>
  </si>
  <si>
    <t xml:space="preserve">Versions covered by at least one case</t>
  </si>
  <si>
    <t xml:space="preserve">(hardcoded count of distinct versions in the pack, V001)</t>
  </si>
  <si>
    <t xml:space="preserve">Doc-only versions (v001–v004, v007, v031) have no manual case by design: their artefacts are checked by the Doc review cases of the version that superseded them.</t>
  </si>
  <si>
    <t xml:space="preserve">VERSION DETAIL — every version, what was done and why</t>
  </si>
  <si>
    <t xml:space="preserve">Product workbook v001–v036 followed by sprint tracker v001–v025. Descriptions are verbatim from each artefact's Version_Control; "Why" is the trigger recorded in the tracker log.</t>
  </si>
  <si>
    <t xml:space="preserve">Artefact</t>
  </si>
  <si>
    <t xml:space="preserve">Type</t>
  </si>
  <si>
    <t xml:space="preserve">What was done (verbatim)</t>
  </si>
  <si>
    <t xml:space="preserve">Why it was done</t>
  </si>
  <si>
    <t xml:space="preserve">Code version</t>
  </si>
  <si>
    <t xml:space="preserve">Manual cases</t>
  </si>
  <si>
    <t xml:space="preserve">Evidence / where to look</t>
  </si>
  <si>
    <t xml:space="preserve">Product workbook</t>
  </si>
  <si>
    <t xml:space="preserve">v001-v004</t>
  </si>
  <si>
    <t xml:space="preserve">2026-09-05</t>
  </si>
  <si>
    <t xml:space="preserve">Planning</t>
  </si>
  <si>
    <t xml:space="preserve">Lineage: marketplace master (868 entries) -&gt; portfolio plan (12 products) -&gt; wave-1 (RetainKit/ShiftDesk/EngageOS, v005) -&gt; this product selected for wave-3</t>
  </si>
  <si>
    <t xml:space="preserve">Portfolio selection: FlowCast chosen for wave 3 from the 868-entry marketplace master.</t>
  </si>
  <si>
    <t xml:space="preserve">See Test_Traceability (filter Version)</t>
  </si>
  <si>
    <t xml:space="preserve">tracker v024 Version_Control / Release_Build_Boards; RELEASE_NOTES_v001-v004.md where present</t>
  </si>
  <si>
    <t xml:space="preserve">v007</t>
  </si>
  <si>
    <t xml:space="preserve">2026-09-05 19:50</t>
  </si>
  <si>
    <t xml:space="preserve">Full product workbook for FlowCast on Xero App Store: spec, screen inventory, 100+ story backlog, live sprint board, 18-month financial model (editable assumptions), GTM execution tasks, platform launch checklist, metric targets, risk register</t>
  </si>
  <si>
    <t xml:space="preserve">Senthil directive to produce the full product workbook before any code (spec, backlog, model, GTM, checklist).</t>
  </si>
  <si>
    <t xml:space="preserve">tracker v024 Version_Control / Release_Build_Boards; RELEASE_NOTES_v007.md where present</t>
  </si>
  <si>
    <t xml:space="preserve">2026-09-10 22:01</t>
  </si>
  <si>
    <t xml:space="preserve">Code</t>
  </si>
  <si>
    <t xml:space="preserve">Sprint_Tracker_Log + Traceability_Matrix sheets added; D13 100% coverage gate applied (ST-085 amended); S1 foundation + code-completable S2-S8 stories built in TypeScript with 11 Jest suites / 120 tests at 100% stmts/branches/funcs/lines; Full_Backlog statuses updated (58 Done, 4 pending-live, 2 in progress); portfolio D15 note logged</t>
  </si>
  <si>
    <t xml:space="preserve">D13 applied: build the code-completable stories with 100% coverage; tracker + traceability created by directive.</t>
  </si>
  <si>
    <t xml:space="preserve">0.1.x</t>
  </si>
  <si>
    <t xml:space="preserve">tracker v024 Version_Control / Release_Build_Boards; RELEASE_NOTES_v008.md where present</t>
  </si>
  <si>
    <t xml:space="preserve">2026-09-10 22:20</t>
  </si>
  <si>
    <t xml:space="preserve">UI surfaces (5 React screens + MetricsPanel) with Xero deep links; ST-003 rule builder; notifications w/ per-type mute; pause toggles; portal rules; per-feature metrics/trends; CI workflow (ST-086). 13 suites / 148 tests at 100% coverage incl. components; statuses now 74 Done / 5 pending-live / 21 backlog</t>
  </si>
  <si>
    <t xml:space="preserve">Complete the feature surfaces and CI so every story has a screen or a metric.</t>
  </si>
  <si>
    <t xml:space="preserve">0.2.x</t>
  </si>
  <si>
    <t xml:space="preserve">tracker v024 Version_Control / Release_Build_Boards; RELEASE_NOTES_v009.md where present</t>
  </si>
  <si>
    <t xml:space="preserve">2026-09-10 22:27</t>
  </si>
  <si>
    <t xml:space="preserve">Code + content</t>
  </si>
  <si>
    <t xml:space="preserve">Reliability + a11y code (latency budgets, degradation comms, jest-axe WCAG pass), demo-data mode, scenario/portal notification events; 12 content artifacts (15 help articles, chat SLA, video script, listing copy A/B, asset specs, pricing, trust page, dry-run gap report, 3 runbooks). 14 suites/155 tests at 100%. Dry-run found webhook build gap -&gt; v011</t>
  </si>
  <si>
    <t xml:space="preserve">Reliability, accessibility and launch content so the listing can be assembled without a live environment.</t>
  </si>
  <si>
    <t xml:space="preserve">0.3.x</t>
  </si>
  <si>
    <t xml:space="preserve">tracker v024 Version_Control / Release_Build_Boards; RELEASE_NOTES_v010.md where present</t>
  </si>
  <si>
    <t xml:space="preserve">2026-09-10 22:51</t>
  </si>
  <si>
    <t xml:space="preserve">Content webhooks built (dry-run gap #4): signature verify, fast-ack idempotent queue, retry/dead-letter/heal, payment-&gt;cancel-nudges mapping; bank-txn 15-min polling (platform has no such webhook). Launch_Checklist statuses updated honestly. 15 suites / 170 tests at 100%. Sandbox work exhausted — remaining items need Senthil</t>
  </si>
  <si>
    <t xml:space="preserve">Submission dry-run gap #4: content webhooks were uncoded; Xero has no bank-txn webhook so polling is the substitute (D-F4).</t>
  </si>
  <si>
    <t xml:space="preserve">0.4.x</t>
  </si>
  <si>
    <t xml:space="preserve">tracker v024 Version_Control / Release_Build_Boards; RELEASE_NOTES_v011.md where present</t>
  </si>
  <si>
    <t xml:space="preserve">2026-09-10 22:56</t>
  </si>
  <si>
    <t xml:space="preserve">Per-tenant 60/min rate limiter; 20-client + 12-month QA drills executed (found+fixed batch-isolation anomaly blind spot via detectWithHistory); k6 load harness (5x); blue/green deploy workflow; HTTP wiring layer. 16 suites / 182 tests at 100%. Backlog down to 4 (all require live infra/humans)</t>
  </si>
  <si>
    <t xml:space="preserve">Launch checklist items 3/7/8: rate limiting, QA drills; the 12-month drill found a real anomaly-detection blind spot.</t>
  </si>
  <si>
    <t xml:space="preserve">0.5.x</t>
  </si>
  <si>
    <t xml:space="preserve">tracker v024 Version_Control / Release_Build_Boards; RELEASE_NOTES_v012.md where present</t>
  </si>
  <si>
    <t xml:space="preserve">2026-09-10 23:03</t>
  </si>
  <si>
    <t xml:space="preserve">Code + docs</t>
  </si>
  <si>
    <t xml:space="preserve">Live-sweep readiness: typed config loader + .env.example, 30-min dev-org setup guide, 12-step scripted verification sweep. Portfolio action board issued as separate workbook. 17 suites / 186 tests at 100%</t>
  </si>
  <si>
    <t xml:space="preserve">Make the live sweep executable: typed config, dev-org guide, scripted 12-step sweep.</t>
  </si>
  <si>
    <t xml:space="preserve">0.6.x</t>
  </si>
  <si>
    <t xml:space="preserve">tracker v024 Version_Control / Release_Build_Boards; RELEASE_NOTES_v013.md where present</t>
  </si>
  <si>
    <t xml:space="preserve">2026-09-11 11:09</t>
  </si>
  <si>
    <t xml:space="preserve">Cold review + fixes</t>
  </si>
  <si>
    <t xml:space="preserve">Cold-review pass 1: 5 defects found + fixed with regression tests (F-001 unbounded webhook idempotency ledger -&gt; FIFO 10k; F-002 signed-but-malformed payload crashed fast-ack -&gt; guarded parse; F-003 rate-limiter idle tenants never evicted -&gt; prune(); F-004 duplicate anomaly repeated per txn with 3+ matches -&gt; deduped; F-005 nudgesPerMonth had no cycle-scoped counter/reset -&gt; UsageCycle built). ST-066 encryption at rest built (AES-256-GCM envelope, SecretsVault boundary, token sealing, TLS assertion, self-verifying evidence drill). Security evidence pack (sandbox half of ST-068) + REVIEW_PACK.md for external second reviewer. 18 suites / 207 tests at 100% zero pragmas; tsc clean. Review_Findings sheet added for Senthil dispositions</t>
  </si>
  <si>
    <t xml:space="preserve">First cold review: read the code as a stranger; 5 defects (F-001..F-005) and encryption at rest (ST-066).</t>
  </si>
  <si>
    <t xml:space="preserve">0.7.x</t>
  </si>
  <si>
    <t xml:space="preserve">tracker v024 Version_Control / Release_Build_Boards; RELEASE_NOTES_v014.md where present</t>
  </si>
  <si>
    <t xml:space="preserve">2026-09-11 12:47</t>
  </si>
  <si>
    <t xml:space="preserve">Cold-review pass 2 (the 10 modules pass 1 did not deep-read): 4 defects found + fixed with regressions — F-006 nudge planner re-sent the same tier daily (no sent-history) -&gt; SentHistory, tier fires once, test-mode not recorded, failed sends retried; F-007 purgeExpired flagged accounts but never deleted the record -&gt; record deleted (data deletion honoured), purged status removed; F-008 non-finite platform dates silently dropped items from the forecast -&gt; validated with clear errors, plus traffic light now judged on displayed rounded balance; F-009 monthly scenario cost omitted its 4th occurrence inside the 13-week horizon (week 13) -&gt; 4 occurrences, optimism bias removed. 2 observations logged without fix (no backoff jitter; unlimited half-open breaker probes). 2 pre-existing assertions updated (one encoded F-009). 19 suites / 219 tests at 100% zero pragmas; tsc clean. Cold review COMPLETE across all 27 modules</t>
  </si>
  <si>
    <t xml:space="preserve">Cold review of the 10 modules pass 1 did not deep-read: 4 defects (F-006..F-009), each an optimism or duplication bias.</t>
  </si>
  <si>
    <t xml:space="preserve">0.8.x</t>
  </si>
  <si>
    <t xml:space="preserve">tracker v024 Version_Control / Release_Build_Boards; RELEASE_NOTES_v015.md where present</t>
  </si>
  <si>
    <t xml:space="preserve">2026-09-11 15:27</t>
  </si>
  <si>
    <t xml:space="preserve">CODE-PHASE-COMPLETION WAVE (sibling-validated TeleField/VoiceBridge pattern): ST-081 built-in chat + 4-business-hour SLA engine (business-hours math skips weekends/out-of-hours; queue sorts tightest deadline; chat-vendor decision now OPTIONAL — D-F6); ST-099 listing SEO iteration engine sandbox half (promote/keyword/demote rules with 100-impression thin-data floor; live half needs post-launch search-term data); ST-100 10-slot design-partner tracker (stale-nudge at 7 days; honest exit math separates reviews from G-02 paying strangers); ST-080 ranked help-center search over the 15 launch articles (manifest test-gated against docs/help); ST-095 pricing plan-matrix generated from billing.ts single source + DRIFT GATE test binding the published page to the enforced constants. 20 suites / 243 tests at 100% zero pragmas; tsc clean. FLOWCAST CODE PHASE COMPLETE — backlog zero, no further code sprints planned</t>
  </si>
  <si>
    <t xml:space="preserve">Code-phase-completion wave (sibling pattern): everything buildable without a live org built.</t>
  </si>
  <si>
    <t xml:space="preserve">0.9.x</t>
  </si>
  <si>
    <t xml:space="preserve">tracker v024 Version_Control / Release_Build_Boards; RELEASE_NOTES_v016.md where present</t>
  </si>
  <si>
    <t xml:space="preserve">2026-09-11 22:08</t>
  </si>
  <si>
    <t xml:space="preserve">External verification + fixes</t>
  </si>
  <si>
    <t xml:space="preserve">EXTERNAL VERIFICATION SWEEP vs live Xero docs + artifact-gap audit (sibling TestPulse/VoiceBridge post-completion pattern). VER-001 LIVE-BLOCKING FIXED: our 200 webhook response carried a JSON body — Xero rejects responses containing a body; intent-to-receive (sweep step 4) would have FAILED on the day; both 200/401 now empty-body, accepted count moved to /health telemetry. VER-002 FIXED: only 60/min was paced — Xero also enforces 5,000/day per org; limiter gains UTC-day budget with day-boundary retry + dailyUsed telemetry. VER-003 FIXED: our own scope audit flagged our own dev-org guide (offline_access had no justification home) — PLATFORM_SCOPES added. GAP-1/GAP-2 CLOSED: sweep steps 10/12 referenced CI + blue/green artifacts that did not exist — .github/workflows/ci.yml (100% gate + zero-pragma check, Node 22) and deploy.yml (approval-gated switch) + 3 slot scripts built, parse-verified. 5 claims verified correct (signature scheme, 5s window, batching, token timing, billing-region wording). Evidence: docs/live-sweep/external-verification-20260911.md. 21 suites / 256 tests at 100% zero pragmas; tsc clean</t>
  </si>
  <si>
    <t xml:space="preserve">Verify our claims against live Xero documentation: VER-001 would have failed intent-to-receive on day one.</t>
  </si>
  <si>
    <t xml:space="preserve">0.10.x</t>
  </si>
  <si>
    <t xml:space="preserve">tracker v024 Version_Control / Release_Build_Boards; RELEASE_NOTES_v017.md where present</t>
  </si>
  <si>
    <t xml:space="preserve">2026-09-13 10:25</t>
  </si>
  <si>
    <t xml:space="preserve">Audit + fixes</t>
  </si>
  <si>
    <t xml:space="preserve">INTEGRATION + ARTIFACT AUDIT (sibling class: OnCall no-app/no-schema, EngageOS modules-never-called, MeetSync auth). GAP-F1 CRITICAL: NO RUNNABLE APPLICATION EXISTED — server.ts held pure handlers plus a comment about binding "at deploy", package.json had only a test script, while the v017 deploy scripts, the 30-min guide and live-sweep STEP 1 all assumed a bootable app; sweep would have died on row 1. Built httpServer.ts (real binding, raw-body capture, 1MB limit, 413/500 never hangs), main.ts + bootFromEnv, npm run build/start, tsconfig.build.json; verified by booting the built artifact and curling /health. INT-F1 CRITICAL: recordNudge/UsageCycle — the v014 F-005 fix itself — was called by NOTHING, so nudgesPerMonth was still unenforceable in the running product. INT-F2 CRITICAL: sealToken/encryptField (ST-066) had no callers — refresh tokens plaintext while SECURITY_EVIDENCE claimed sealing (evidence-integrity correction appended, not silently edited). INT-F3: authorize()/can() guarded no entry point (role matrix decorative). INT-F5: read_only after grace blocked nothing though the pricing page promises it. All wired through a new composition root src/app.ts with requireWrite + requirePermission gates; reads deliberately stay open. 22 suites / 283 tests at 100% zero pragmas; two defensive-unreachable branches refactored into tested helpers rather than pragma'd. Lesson L-F1 logged</t>
  </si>
  <si>
    <t xml:space="preserve">Sibling audit class (OnCall/EngageOS): no runnable application existed; INT-F1/F2 fixes nothing called.</t>
  </si>
  <si>
    <t xml:space="preserve">0.11.x</t>
  </si>
  <si>
    <t xml:space="preserve">tracker v024 Version_Control / Release_Build_Boards; RELEASE_NOTES_v018.md where present</t>
  </si>
  <si>
    <t xml:space="preserve">2026-09-13 10:38</t>
  </si>
  <si>
    <t xml:space="preserve">COLD-REVIEW PASS 3 over the surfaces v018 itself created (OnCall L-OC4: a new surface inherits the old blind spots). F3-01 CRITICAL: NO OAUTH INSTALL ROUTES EXISTED — config requires OAUTH_REDIRECT_URI, the dev-org guide registers it with Xero and live-sweep STEP 2 expects the callback to land, but the app served only /health and /webhooks/xero; the install would have 404d. /auth/start + /auth/callback built with a new routeAsync, real 302 Location, verified over a socket. F3-02 CRITICAL: NOTHING DRAINED THE QUEUE — processQueue had no caller outside tests, so every accepted webhook ACKed 200 and evaporated (paid invoices never cancelled nudges); queue also unbounded. worker.ts built: bounded enqueue with shed counter, drainOnce, non-overlapping unref-ed loop. F3-03: OAuth CSRF state (single-use, 10-min TTL, FIFO-capped, constant-time). F3-04: /health leaked release + queue depth publicly -&gt; liveness public, detail behind operator token, verify-slot.sh updated. VERIFIED CLEAN: webhook dedupe already tenant-scoped (OnCall F-014/MeetSync M-F04 class N/A) — pinned with a two-tenant regression. R-F9 logged honestly: /auth/start 503s in the built binary because no real XeroOAuthClient exists (R-F4) — routing half closed, client half is the largest codeable work left, deliberately not half-built. 23 suites / 317 tests at 100% zero pragmas; live boot re-verified. Lesson L-F2</t>
  </si>
  <si>
    <t xml:space="preserve">Cold-review the surfaces v018 created: no OAuth routes, queue never drained.</t>
  </si>
  <si>
    <t xml:space="preserve">0.12.x</t>
  </si>
  <si>
    <t xml:space="preserve">tracker v024 Version_Control / Release_Build_Boards; RELEASE_NOTES_v019.md where present</t>
  </si>
  <si>
    <t xml:space="preserve">2026-09-13 10:55</t>
  </si>
  <si>
    <t xml:space="preserve">Gate + fixes</t>
  </si>
  <si>
    <t xml:space="preserve">PORTABLE REACHABILITY GATE (ported from TestPulse pass 5) + GAP-F2 + R-F9 CLOSED. Gate fails the build when a src export has no production caller — the exact blind spot behind INT-F1/INT-F2/F3-02, invisible to coverage because a module own tests execute every line. Three exemption lists with teeth: ENTRY_POINTS (process/platform boundaries, reasons containing later/todo/tbd/wire FAIL), SURFACES (per-export, named one at a time so a file-level pardon cannot hide future exports), KNOWN_GAPS (per-export, must cite a live RAID risk id). Wired into CI. FIRST RUN FOUND GAP-F2: THERE WAS NO SCHEDULER AT ALL — the daily nudge cycle never ran (headline feature had no driver), bank-feed polling never started (the entire D-F4 mechanism since Xero has no bank-txn webhook), dunning emails never sent, trials never expired, the 30-day purge never ran, limiter/state eviction never called. src/scheduler.ts built with per-tenant error isolation, all jobs routed through the v018 app gates. R-F10 fixed: requireTls existed since v014 and nothing called it — production could have served callbacks over plain http. clearInvoice wired to payment. Dead code I had written (statesMatch, sealToken, openToken) DELETED rather than exempted. R-F9 CLOSED: real Xero OAuth client (identity.xero.com/connect/token with Basic auth, api.xero.com/connections for tenantId, injected fetch, failures never echo the body, single-use code exchanged once via TenantResolver). 25 suites / 348 tests at 100% zero pragmas. Lesson L-F3</t>
  </si>
  <si>
    <t xml:space="preserve">Port the reachability gate; its first run found there was no scheduler at all (GAP-F2).</t>
  </si>
  <si>
    <t xml:space="preserve">0.13.x</t>
  </si>
  <si>
    <t xml:space="preserve">tracker v024 Version_Control / Release_Build_Boards; RELEASE_NOTES_v020.md where present</t>
  </si>
  <si>
    <t xml:space="preserve">2026-09-13 11:07</t>
  </si>
  <si>
    <t xml:space="preserve">Code + gate</t>
  </si>
  <si>
    <t xml:space="preserve">R-F10 CLOSED (Xero accounting-API client) + PUBLISHED-CLAIMS GATE ported (second TestPulse pass-5 gate). src/xeroApi.ts: invoices, overdue receivables and bank transactions, every call through executeWithRateLimit (proactive 60/min + 5,000/day per VER-002) THEN callWithProtection (breaker + backoff) so a slow Xero cannot become a 429 storm; Xero /Date(...)/ parsing isolated and returning null never NaN (F-008 class) with unusable rows REPORTED as skipped not silently dropped; paging with a hard 50-page stop; my first draft double-fetched invoices and was fixed before testing because it would double-spend the org budget VER-002 protects. Scheduler prefers live data, falls back otherwise. CLAIMS GATE: 7 customer promises checked against backing code, and for policies BOTH the function and its driver. CRITICAL SELF-FINDING: the gate did NOT work when first written — deleting the purge driver still passed because purgeExpired remained in a header COMMENT; both gates now strip comments, pinned by test, and re-proved to fail with a message naming what broke for the customer. The stricter matching then immediately caught xeroApi.ts being unwired. 27 suites / 377 tests at 100% zero pragmas; both gates named individually in CI. Lesson L-F4: a gate you have never seen fail is not a gate</t>
  </si>
  <si>
    <t xml:space="preserve">R-F10: the accounting-API client the forecast, nudges and alerts needed; published-claims gate ported.</t>
  </si>
  <si>
    <t xml:space="preserve">0.14.x</t>
  </si>
  <si>
    <t xml:space="preserve">tracker v024 Version_Control / Release_Build_Boards; RELEASE_NOTES_v021.md where present</t>
  </si>
  <si>
    <t xml:space="preserve">2026-09-13 11:15</t>
  </si>
  <si>
    <t xml:space="preserve">COLD-REVIEW PASS 4 over the code v020/v021 wrote, run under the L-F2 standing rule. 4 defects, all mine, all from the last two sittings. F4-01 CRITICAL: ONLY THE FIRST TENANT WAS EVER POLLED — runBankPoll threaded one shared PollState through every tenant, so the first org set lastPolledAt and every later org pollDue returned false; every customer but one had NO bank-feed anomaly alerts. Same multi-tenancy class as OnCall F-014 / MeetSync M-F04 — written into new code the day after reading about it. Fixed with per-tenant PollStates. F4-02: the dunning counter advanced by mutating the object tenants() returned — a store-backed getter returning fresh objects would lose it and resend the same email hourly forever; explicit persistence callback added. F4-03: every 15-minute poll fetched ALL bank history and filtered client-side — up to ~4,800 calls/day for one org against the 5,000/day budget VER-002 exists to protect; If-Modified-Since filter added. F4-04: a failed drain destroyed its batch (spliced before processing, already ACKed to Xero so no redelivery would heal); batch now restored to the queue front on throw. Regressions PROVED by reintroducing F4-01 (3 fail, then pass). 28 suites / 388 tests at 100% zero pragmas. Lesson L-F5</t>
  </si>
  <si>
    <t xml:space="preserve">Cold-review the last two sittings' code: F4-01 only the first tenant was ever polled.</t>
  </si>
  <si>
    <t xml:space="preserve">0.15.x</t>
  </si>
  <si>
    <t xml:space="preserve">tracker v024 Version_Control / Release_Build_Boards; RELEASE_NOTES_v022.md where present</t>
  </si>
  <si>
    <t xml:space="preserve">2026-09-13 11:20</t>
  </si>
  <si>
    <t xml:space="preserve">Gate</t>
  </si>
  <si>
    <t xml:space="preserve">TENANT-ISOLATION GATE built and wired into CI — third portable gate, written because F4-01 proved L-F5 (knowing a defect class does not stop you writing it). Rule: inside a loop over tenants, a variable declared OUTSIDE the loop may not be both assigned and read within the body — that is tenant N deciding tenant N+1 behaviour. Pure accumulators (count += 1, arr.push) exempt as write-only. THE GATE WAS BROKEN TWICE BEFORE IT WORKED, and that is the report: run against the real scheduler.ts with F4-01 reintroduced it PASSED twice — (1) read-detection stripped whole assignment statements, erasing the self-referential x = f(x) carry which is precisely the shape it exists to catch; (2) loop offsets used source.indexOf(line), which returns the FIRST match, and scheduler.ts has three identical tenant-loop headers so two loops were never analysed at all. Both fixed; only then does the reintroduced defect fail the gate, naming the leaked variable. 29 suites / 394 tests at 100% zero pragmas; three gates now green and named individually in CI. Lesson L-F6: a broken static gate does not complain, it approves — the fixture test passed from the first run while the gate was blind</t>
  </si>
  <si>
    <t xml:space="preserve">Automate the F4-01 class (tenant isolation) — knowing a defect class does not stop you writing it (L-F5).</t>
  </si>
  <si>
    <t xml:space="preserve">0.16.x</t>
  </si>
  <si>
    <t xml:space="preserve">tracker v024 Version_Control / Release_Build_Boards; RELEASE_NOTES_v023.md where present</t>
  </si>
  <si>
    <t xml:space="preserve">2026-09-13 11:54</t>
  </si>
  <si>
    <t xml:space="preserve">Gate audit</t>
  </si>
  <si>
    <t xml:space="preserve">GATE AUDIT — acting on the L-F6 recommendation that the reachability and published-claims gates had only ever been proved against fixtures. Each was run against the REAL source file with the ORIGINAL defect it exists to catch reintroduced. BOTH FAILED, both for the same reason. HOLE-1 reachability: unwiring recordNudge from the send path (the INT-F1 defect) left the gate GREEN because the now-unused import satisfied the caller search — the gate would have reported a fully wired product while the plan limit went unenforced again. Fixed by stripping imports from the caller search, keeping two deliberate views since the module-import check needs import lines. HOLE-2 claims gate: gutting the encryption call (the INT-F2 defect) left the gate GREEN because import { encryptField } matched the claim pattern while the storage path stored plaintext. Fixed the same way; re-proved to fail with claim id, document and customer impact. Known limits documented rather than hidden: dead clusters flagged at the root not per member; file-level ENTRY_POINTS pardon every export in that module (the first probe proved nothing because it ran in an exempt file); all three gates are text lints not AST analysis. 29 suites / 395 tests at 100% zero pragmas; all three gates now proved against reintroduced real defects. Lesson L-F7</t>
  </si>
  <si>
    <t xml:space="preserve">L-F6: gates had only been proved against fixtures; proved against real defects — both had holes (HOLE-1/2).</t>
  </si>
  <si>
    <t xml:space="preserve">0.17.x</t>
  </si>
  <si>
    <t xml:space="preserve">tracker v024 Version_Control / Release_Build_Boards; RELEASE_NOTES_v024.md where present</t>
  </si>
  <si>
    <t xml:space="preserve">2026-09-13 11:58</t>
  </si>
  <si>
    <t xml:space="preserve">Gate harness</t>
  </si>
  <si>
    <t xml:space="preserve">PORTABLE GATE PACK + PROOF HARNESS (gates/prove-gates.js, npm run prove:gates, now in CI). Addresses the portfolio open item "port gates to the other products", which L-F7 made dangerous rather than merely pending: a ported gate arrives GREEN, and green means nothing — four of the gates built here were silently permissive on their first green run. For each gate the harness takes a REAL source file, applies a mutation reintroducing the REAL defect that gate exists to catch (INT-F1 unwire recordNudge, INT-F2 gut encryption, F4-01 shared PollState), runs the gate and REQUIRES IT TO FAIL, always restoring the file; non-zero exit if any gate stays green under its own defect. All three currently PROVED. The harness is META-PROVED: reintroducing HOLE-1 makes it report BROKEN and exit 1. It also reports STALE when a mutation anchor no longer exists, so a silently non-applying mutation cannot pass quietly. gates/README.md carries porting steps — empty every exemption list first (expect 15-40 first-run hits), write mutations from defects that ACTUALLY happened in that product (an invented mutation re-tests the author assumptions, the trap the fixtures fell into), and DO NOT wire a gate into CI until the harness prints PROVED. Honest limits documented: text lints not AST, dead clusters flagged at root, file-level exemptions coarse. 29 suites / 395 tests at 100% zero pragmas. Lesson L-F8</t>
  </si>
  <si>
    <t xml:space="preserve">L-F7: ship the proof harness so a ported gate cannot be trusted while green.</t>
  </si>
  <si>
    <t xml:space="preserve">0.18.x</t>
  </si>
  <si>
    <t xml:space="preserve">tracker v024 Version_Control / Release_Build_Boards; RELEASE_NOTES_v025.md where present</t>
  </si>
  <si>
    <t xml:space="preserve">2026-09-13 12:03</t>
  </si>
  <si>
    <t xml:space="preserve">Documentation / as-built</t>
  </si>
  <si>
    <t xml:space="preserve">AS-BUILT VERIFICATION + SENTHIL_HANDOVER sheet. No code change this release. As-built audit compared story statuses against what the code actually did: 7 stories (ST-022, ST-024, ST-041, ST-042, ST-044, ST-060, ST-061) had sat at DONE while the behaviour had no driver or no enforcement — the nudge cycle never ran until v020, plan limits were unenforced on the send path until v018, read-only enforced nowhere until v018, dunning emails never sent until v020, bank polling ran for only ONE org until v022. All are true as built TODAY; each row now carries a dated as-built note naming the release that actually made it true, rather than leaving the record implying it was true all along. Story counts unchanged and verified against Full_Backlog: 77 Done / 16 code-complete pending live / 2 in progress / 5 drafted = 100. New Senthil_Handover sheet consolidates all 12 remaining items — none codeable — ordered by leverage with why-blocked, what-it-unlocks, effort and lead time</t>
  </si>
  <si>
    <t xml:space="preserve">As-built verification: 7 stories were Done while their behaviour had no driver; dated notes added; handover sheet.</t>
  </si>
  <si>
    <t xml:space="preserve">tracker v024 Version_Control / Release_Build_Boards; RELEASE_NOTES_v026.md where present</t>
  </si>
  <si>
    <t xml:space="preserve">2026-09-13 16:24</t>
  </si>
  <si>
    <t xml:space="preserve">Code (persistence)</t>
  </si>
  <si>
    <t xml:space="preserve">GAP-F3 CLOSED — PERSISTENCE LAYER. Every durable thing lived in a process-memory Map (tokens, usage cycles, nudge history, dunning counters, poll state, deletion schedules). Harmless while nothing could run; NOT harmless once the product gained a boot path (v018) and a deploy pipeline (v017), because BLUE/GREEN RESTARTS THE PROCESS BY DESIGN. Every release would have dropped all tokens (forcing every tenant to reinstall), reset usage counters (fresh 50 nudges — undoing F-005/INT-F1), cleared nudge history (re-chasing every customer — undoing F-006), reset dunning counters (undoing F4-02), and lost deletion schedules (the published 30-day policy never firing — undoing F-007/GAP-F2). Six earlier fixes silently reverted on every deploy, and NO gate could see it. Shipped: 6 ordered idempotent migrations with ON DELETE CASCADE from tenants (the F-007 policy in the schema, not in code that can forget); a narrow Repository seam with in-memory and Postgres implementations tested through the SAME shared suite so they cannot drift; real pooled pg driver with SSL off-localhost; app.hydrate() rebuilding tenant state on boot; graceful SIGTERM/SIGINT shutdown draining server and pool; /health now reports durableStore so operators can SEE whether state survives. The reachability gate failed the build TWICE on code from this same sitting — the layer was unwired from boot (the INT-F1 shape, caught in minutes not sittings), and closePool had no caller which surfaced that graceful shutdown did not exist. Restart-survival proof: two app instances over one store — the second still reports 50 used, still refuses the 51st, still holds the history. 30 suites / 433 tests at 100% zero pragmas; gates still proved. DATABASE_URL joins the live queue. Lesson L-F10</t>
  </si>
  <si>
    <t xml:space="preserve">GAP-F3: every durable thing lived in process memory and blue/green restarts by design.</t>
  </si>
  <si>
    <t xml:space="preserve">0.19.x</t>
  </si>
  <si>
    <t xml:space="preserve">tracker v024 Version_Control / Release_Build_Boards; RELEASE_NOTES_v027.md where present</t>
  </si>
  <si>
    <t xml:space="preserve">2026-09-13 16:38</t>
  </si>
  <si>
    <t xml:space="preserve">Review + fixes</t>
  </si>
  <si>
    <t xml:space="preserve">ENVIRONMENT-ASSUMPTIONS REVIEW (acting on L-F10: what does this code believe about the world that no test asserts?). 3 findings, all broken by the deploy model this codebase already ships. ENV-1 CRITICAL: startScheduler assumed EXACTLY ONE PROCESS. Blue/green runs BOTH colours during a switch and scaling runs N — so every overdue customer received N NUDGES THE SAME DAY (the duplicate chasing F-006 exists to prevent, reintroduced by deployment not logic), plus N dunning emails, N bank polls against the 5,000/day budget, and N purge runs racing the same rows. Fixed with a Postgres advisory lock, re-checked per tick so a follower promotes itself when the leader dies. ENV-2 CRITICAL: accepted webhook events sat in memory, but fast-ack tells Xero 200 and Xero NEVER redelivers — a restart between ack and drain destroyed them permanently and silently, the exact failure the redelivery-heals design was built to avoid. Now persisted before the ACK with boot recovery and FOR UPDATE SKIP LOCKED draining; the ingest buffer has no FK by design so deleteTenant clears it explicitly, else the 30-day policy leaks through it. ENV-3 Major: business hours were documented local but computed in UTC — the published 4-business-hour SLA was simply wrong for any non-UTC desk (an India team had deadlines against a day ending 22:30 local). utcOffsetMinutes now explicit; DST deliberately out of scope as OBS-003. /health now reports durableStore AND singleWriter so operators see what is actually guaranteed. OBS-004 logged not fixed: webhook-driven rate limiting stays per-process (needs a decision on per-call round-trip cost). 31 suites / 453 tests at 100% zero pragmas; gates still proved. Lesson L-F11</t>
  </si>
  <si>
    <t xml:space="preserve">L-F10: what does the code believe about the world? ENV-1 N instances → N nudges; ENV-2 ack-then-lose.</t>
  </si>
  <si>
    <t xml:space="preserve">0.20.x</t>
  </si>
  <si>
    <t xml:space="preserve">tracker v024 Version_Control / Release_Build_Boards; RELEASE_NOTES_v028.md where present</t>
  </si>
  <si>
    <t xml:space="preserve">2026-09-13 16:47</t>
  </si>
  <si>
    <t xml:space="preserve">OPS-ARTIFACT REVIEW — applying the L-F11 method (read one artifact against another) to the operational artifacts vs the database that only started existing two releases ago. OPS-1 CRITICAL: THE DEPLOY PIPELINE NEVER RAN MIGRATIONS — any release adding one would deploy code whose queries hit tables that do not exist. OPS-3 CRITICAL: /health answers from MEMORY and that is what gated the switch, so a slot with a wrong/unreachable/unmigrated DATABASE_URL reported ok:true, passed verify-slot.sh and would have been handed live traffic. The two COMPOUND: OPS-1 breaks the slot, OPS-3 certifies it anyway. Fixed: migrations run before the slot starts; new /ready probes the store and verify-slot.sh requires it. OPS-2 Major: blue/green runs TWO releases against ONE database and rollback re-points to the old colour AFTER the new schema is applied — nothing enforced that schema changes were safe for a still-running previous release. Fourth gate added (migrationSafetyGate): migrations may only ADD, removals are a separate later release citing the release that dropped the last reader; the runbook now states the rollback contract explicitly instead of implying it. Backup drill made concrete: names all 8 real tables, checks schema_migrations matches the restored release, and checks refresh_token_sealed is STILL SEALED in the restore. 33 suites / 465 tests at 100% zero pragmas; four gates in CI, the three older ones still proved; live boot returns ready:true. Lesson L-F12</t>
  </si>
  <si>
    <t xml:space="preserve">L-F11: ops artefacts vs the database — pipeline never migrated; /health certified a broken slot.</t>
  </si>
  <si>
    <t xml:space="preserve">0.21.x</t>
  </si>
  <si>
    <t xml:space="preserve">tracker v024 Version_Control / Release_Build_Boards; RELEASE_NOTES_v029.md where present</t>
  </si>
  <si>
    <t xml:space="preserve">2026-09-13 16:52</t>
  </si>
  <si>
    <t xml:space="preserve">CHAOS REVIEW — re-running the L-F12 pairing against the newest subsystem: the degradation artifacts were written when XERO WAS THE ONLY DEPENDENCY, and Postgres has been in every request path for three releases. CHAOS-1 CRITICAL: two void-promise calls sat on the database path, one on the WEBHOOK FAST-ACK ROUTE. Since Node 15 an unhandled rejection TERMINATES THE PROCESS — verified on this runtime (node v22) with a three-line script: the process died. A transient Postgres error during ordinary webhook traffic would not have degraded FlowCast, it would have KILLED it, on every instance sharing that database simultaneously (both blue/green colours), leaving the router nothing to fall back to. Fixed: both sites run through safely() which counts and reports but always resolves; process guards report unhandled rejections while the service continues and drain deliberately on uncaught exceptions; 3+ clustered failures surface as store:degraded on /ready. Pinned by a test sending a signed webhook to a store that fails every write — the route still returns 200 empty, the event is held, the failure counted. CHAOS-2 Major: the chaos runbook only knew about Xero; extended with a database-outage drill stating expected behaviour per path, every row backed by a test rather than an intention. 35 suites / 478 tests at 100% zero pragmas; two defensive-unreachable fallbacks removed rather than pragma-suppressed; gates still proved; live boot ready:true. Lesson L-F13: void promise is the quietest way to write a crash</t>
  </si>
  <si>
    <t xml:space="preserve">L-F12: chaos pairing against the newest dependency — unhandled rejections would have killed the process.</t>
  </si>
  <si>
    <t xml:space="preserve">0.22.x</t>
  </si>
  <si>
    <t xml:space="preserve">tracker v024 Version_Control / Release_Build_Boards; RELEASE_NOTES_v030.md where present</t>
  </si>
  <si>
    <t xml:space="preserve">v031</t>
  </si>
  <si>
    <t xml:space="preserve">2026-09-13 17:23</t>
  </si>
  <si>
    <t xml:space="preserve">Documentation</t>
  </si>
  <si>
    <t xml:space="preserve">CRITICAL-PATH DOCUMENT REVIEW. The pen-test vendor scopes from SECURITY_EVIDENCE.md and the external reviewer (ST-097) works from REVIEW_PACK.md — both written at v014, before the HTTP app, OAuth client, accounting client, scheduler, persistence layer, leader lock and resilience layer existed. Measured against source: the security pack mentioned the database ZERO times; the review pack mentioned ONE of the eight newest modules. The two people most likely to find something would have been handed a map of a product that no longer exists, and the pen-test would have been scoped without the component holding the tokens. SEC-1: data-store section added, separating what is verifiable in CODE (tokens sealed before the store, TLS off-localhost, cascade deletion, additive-only migrations, no committed secrets) from OPERATOR responsibilities code cannot assert (volume encryption, least-privilege DB user, backup encryption, DATABASE_URL in the secret manager, network reachability) — plus a vendor scope note. SEC-2 CODE FIX: failure text is written to stderr and held in state, and driver errors can carry the connection string INCLUDING THE PASSWORD; redactSecrets now strips user:pass@host, password=/api_key= pairs and bearer tokens. Three security claims added to the published-claims gate, one requiring the redactor to be CALLED not merely present — proved to fail when the call is removed. REV-1: review pack rewritten with current entry points, per-module what-to-challenge, review order by consequence, and an instruction to DISTRUST the gates (four shipped green while silently permissive). PERF-1: latency budgets predated every DB round trip — table added plus an instruction to re-baseline. Caught mistake recorded honestly: the rewritten review pack first claimed 494 tests when the real number was 482 — a figure written from memory into a document whose whole purpose is to be trusted by an outsider; corrected to a form that cannot go stale. 35 suites / 485 tests at 100% zero pragmas; gates proved. Lesson L-F14</t>
  </si>
  <si>
    <t xml:space="preserve">The two critical-path documents (security pack, review pack) were 13 releases stale.</t>
  </si>
  <si>
    <t xml:space="preserve">tracker v024 Version_Control / Release_Build_Boards; RELEASE_NOTES_v031.md where present</t>
  </si>
  <si>
    <t xml:space="preserve">2026-09-13 17:29</t>
  </si>
  <si>
    <t xml:space="preserve">DOC-FRESHNESS GATE (fifth gate) — closing L-F14 mechanically. That lesson ended with three claims gate-enforced and "the rest rely on someone looking", which is exactly what failed: the reviewer pack went 13 releases out of date on the critical path because nobody inside needs to read it. Rule: a document written for an OUTSIDER must acknowledge the parts of the system it claims to describe — if a module exists and its map has never heard of it, the build fails, so a subsystem cannot ship without the reviewer and pen-tester maps being updated in the same change. Each covered document records its AUDIENCE in the gate, so a failure names who is affected. Exemptions are per-module with reasons; "later/todo/tbd/for now" fails because that phrasing IS the decay. IT FIRED ON FIRST RUN, on documents rewritten six minutes earlier: the v031 rewrite added the eight newest subsystems but silently omitted the original feature modules, and the security pack described "the database" in prose without ever naming db or pg. Both completed — per-module what-to-challenge tables and a vendor module map to scope against by name. The harness then caught a WEAK MUTATION not a weak gate: the first proof deleted one of two leaderLock mentions and the gate rightly stayed green; re-pointed at a module mentioned once, it fails as intended. 36 suites / 492 tests at 100% zero pragmas; five gates in CI, four provable ones all PROVED. Lesson L-F15</t>
  </si>
  <si>
    <t xml:space="preserve">L-F14 mechanised: outsider-facing documents must acknowledge every module.</t>
  </si>
  <si>
    <t xml:space="preserve">0.24.x</t>
  </si>
  <si>
    <t xml:space="preserve">tracker v024 Version_Control / Release_Build_Boards; RELEASE_NOTES_v032.md where present</t>
  </si>
  <si>
    <t xml:space="preserve">2026-09-13 18:48</t>
  </si>
  <si>
    <t xml:space="preserve">Gate + fix</t>
  </si>
  <si>
    <t xml:space="preserve">ASYNC-OWNERSHIP GATE (sixth, and the last derived from a shipped defect) + REVIEW PLAYBOOK. A real defect found first: the worker tick called drainOnce with no catch, and drainOnce RETHROWS after re-queuing (F4-04) — so every store or sink failure produced an unhandled rejection that the degradation counter never saw and /ready never showed. The process guards stopped it being fatal, but it was invisible. Both that and the SIGTERM shutdown call now have owners; shutdown failures are reported with credentials redacted. Sixth gate: a promise started and not awaited must have an owner (safely(), or an explicit .catch). Only resilience.ts is exempt — it IS the owner of last resort and cannot wrap itself. Proved against the exact CHAOS-1 shape; all five provable gates now print PROVED. REVIEW PLAYBOOK written (gates/REVIEW_PLAYBOOK.md): the eight review passes in the order that proved productive — cold review by module, external verification sweep, artifact-gap audit, integration audit, review-the-previous-session, environment assumptions, artifact pairing, outsider-first document review — plus the rules learned the hard way and how to run them on another product. ~40 defects were found in code that was already at 100% coverage with zero backlog; the gates catch recurrence, the passes find what nobody has thought of yet. 36 suites / 500 tests at 100% zero pragmas; six gates in CI. Recommendation recorded: this is a natural stopping point for sandbox work</t>
  </si>
  <si>
    <t xml:space="preserve">Real defect (worker drain failures invisible) → async-ownership gate; review playbook for siblings.</t>
  </si>
  <si>
    <t xml:space="preserve">0.25.x</t>
  </si>
  <si>
    <t xml:space="preserve">tracker v024 Version_Control / Release_Build_Boards; RELEASE_NOTES_v033.md where present</t>
  </si>
  <si>
    <t xml:space="preserve">(planned row, kept)</t>
  </si>
  <si>
    <t xml:space="preserve">Planning note</t>
  </si>
  <si>
    <t xml:space="preserve">PLANNED: opens on live evidence (dev org + DATABASE_URL) or dispositions — no further sandbox sprints recommended</t>
  </si>
  <si>
    <t xml:space="preserve">Superseded by the released v034 row below — kept, not deleted.</t>
  </si>
  <si>
    <t xml:space="preserve">Planned (superseded)</t>
  </si>
  <si>
    <t xml:space="preserve">2026-09-13 22:47</t>
  </si>
  <si>
    <t xml:space="preserve">External review response</t>
  </si>
  <si>
    <t xml:space="preserve">External review response, sprint E5 (code v0.28.0, tracker v022). 15 findings FC-R001..R015 from the first independent non-author review triaged into three waves. Wave 1 executed: IANA time zones with DST, shared cross-instance Xero rate budget, jittered backoff, bounded half-open probes, leader fencing token, SBOM + drift gate, evidence manifest, security headers, threat model, 20/100/500-client scale drills, DSAR end-to-end. FC-R002 closed as a DOCUMENTATION defect — the dry-run had claimed webhooks uncoded since before v011. 40 suites / 595 tests at 100% zero pragmas; 7 gates proved. New Enhancement_Backlog sheet keeps the 399-point baseline frozen. Story position unchanged at 77 Done.</t>
  </si>
  <si>
    <t xml:space="preserve">ChatGPT V001 external review: 15 findings; Wave 1 (sandbox-closable) executed.</t>
  </si>
  <si>
    <t xml:space="preserve">0.28.0</t>
  </si>
  <si>
    <t xml:space="preserve">tracker v024 Version_Control / Release_Build_Boards; RELEASE_NOTES_v034.md where present</t>
  </si>
  <si>
    <t xml:space="preserve">2026-09-13 23:03</t>
  </si>
  <si>
    <t xml:space="preserve">Defect-class sweep</t>
  </si>
  <si>
    <t xml:space="preserve">Cross-product defect-class sweep, sprint E5b (code v0.29.0, tracker v023). Wave 2 deliberately not started — it is gated on DEC-F16. PORT-04 executed instead: RetainKit external-review questions asked of FlowCast. Four findings, two critical, both deploy-configuration rather than logic and both invisible to a 100% suite and eight prior review passes: production booted with no database (silently reinstating GAP-F3, ENV-1 and E5-05 at once) and with no encryption key (failing at the first merchant install, with the key absent from .env.example). Shutdown given a deadline; requests given timeouts. Two further classes verified absent rather than assumed. 40 suites / 608 tests at 100%; 8 gates proved. Story position unchanged at 77 Done.</t>
  </si>
  <si>
    <t xml:space="preserve">PORT-04: RetainKit's reviewer questions asked of FlowCast; two critical deploy-config findings.</t>
  </si>
  <si>
    <t xml:space="preserve">0.29.0</t>
  </si>
  <si>
    <t xml:space="preserve">tracker v024 Version_Control / Release_Build_Boards; RELEASE_NOTES_v035.md where present</t>
  </si>
  <si>
    <t xml:space="preserve">2026-09-20 10:14</t>
  </si>
  <si>
    <t xml:space="preserve">Perplexity V001 response, sprint E6 / Wave P1 (code v0.30.0, tracker v024). Second independent review found 3 BLOCKER code defects on the live path (PPX-01 no production data path for the forecast; PPX-02 supplier bills mixed into receivables; PPX-03 billing rail on the deprecated XASS channel) + 7 more. P1-1..P1-7 executed (96 pts, enhancement pool); P1-8 logged from four new boot-composition findings (E6-F3..F6); P2/P3/P4 logged. Per Senthil 10:17: nothing deleted, no story re-statused, billing rail untouched (PPX-D4). Enhancement_Backlog, Risk_Register, Senthil_Handover, Launch_Checklist, Financial_Model note and Sprint_Tracker_Log extended.</t>
  </si>
  <si>
    <t xml:space="preserve">Perplexity V001 external review: 3 BLOCKER live-path defects; Wave P1 executed per Senthil (delete nothing, re-status nothing).</t>
  </si>
  <si>
    <t xml:space="preserve">0.30.0</t>
  </si>
  <si>
    <t xml:space="preserve">tracker v024 Version_Control / Release_Build_Boards; RELEASE_NOTES_v036.md where present</t>
  </si>
  <si>
    <t xml:space="preserve">Sprint tracker</t>
  </si>
  <si>
    <t xml:space="preserve">v001</t>
  </si>
  <si>
    <t xml:space="preserve">2026-09-10 23:08</t>
  </si>
  <si>
    <t xml:space="preserve">Tracker release</t>
  </si>
  <si>
    <t xml:space="preserve">THIS FILE — Live execution tracker for FlowCast (portfolio rank 12, Xero App Store): full event log of the v008–v013 build run, per-release build boards, 106-row traceability with done-in-version stamps, live status rollup, decisions, RAID, and the D7 completion gate. Source of truth for story data remains the product workbook (v013).</t>
  </si>
  <si>
    <t xml:space="preserve">Companion release to the workbook version named in the description.</t>
  </si>
  <si>
    <t xml:space="preserve">tracker v024 Version_Control</t>
  </si>
  <si>
    <t xml:space="preserve">v002</t>
  </si>
  <si>
    <t xml:space="preserve">Cold-review pass 1 + security sprint (workbook v014): 5 defects F-001..F-005 found+fixed with regressions (Review_Findings sheet added for Senthil dispositions); ST-066 encryption-at-rest module built; security evidence pack (sandbox half of ST-068) + REVIEW_PACK.md for external second reviewer. 18 suites / 207 tests at 100% zero pragmas. Statuses: ST-066 -&gt; Code-complete pending live, ST-068 -&gt; In progress. 78 Done-equivalent unchanged (honest-status rule: neither flips to Done)</t>
  </si>
  <si>
    <t xml:space="preserve">v003</t>
  </si>
  <si>
    <t xml:space="preserve">Cold-review pass 2 (workbook v015): 4 defects F-006..F-009 fixed with regressions across nudges/install/forecast/scenarios; 2 no-fix observations (OBS-001 backoff jitter, OBS-002 half-open probe concurrency) logged for disposition. 19 suites / 219 tests at 100% zero pragmas. Cold review complete across all 27 modules. Story statuses unchanged (fix work lands under existing Done stories; honest-status rule)</t>
  </si>
  <si>
    <t xml:space="preserve">v004</t>
  </si>
  <si>
    <t xml:space="preserve">Code-phase-completion wave (workbook v016): ST-081 chat+SLA engine (chat-vendor decision now optional — logged D-F6), ST-099 SEO engine half, ST-100 partner tracker with honest exit math, ST-080 help search + manifest gate, ST-095 pricing drift gate. All five Backlog/Drafted/In-progress codeable halves -&gt; Code-complete pending live. Backlog ZERO. 20 suites / 243 tests at 100% zero pragmas. FLOWCAST CODE PHASE COMPLETE — no further code sprints planned; v005 opens on live evidence, dispositions, or reviewer findings</t>
  </si>
  <si>
    <t xml:space="preserve">v005</t>
  </si>
  <si>
    <t xml:space="preserve">External verification sweep + artifact-gap audit (workbook v017): VER-001 live-blocking webhook body fixed, VER-002 daily budget added, VER-003 scope-audit self-consistency fixed, GAP-1/2 CI + blue/green artifacts built. 21 suites / 256 tests at 100% zero pragmas. Story statuses unchanged (verification hardening under existing stories). Sweep step 4 would have failed live without this pass</t>
  </si>
  <si>
    <t xml:space="preserve">v006</t>
  </si>
  <si>
    <t xml:space="preserve">Integration + artifact audit (workbook v018): GAP-F1 critical — no runnable application existed behind the documented boot/deploy path; INT-F1/F2 critical — the v014 plan-limit fix and the ST-066 token sealing had no callers; INT-F3/F5 — role matrix and read-only mode enforced nothing. Composition root + real HTTP app built and verified by booting the artifact. 22 suites / 283 tests at 100% zero pragmas. Story positions unchanged (integration correctness, not new stories). Lesson L-F1 logged</t>
  </si>
  <si>
    <t xml:space="preserve">Cold-review pass 3 (workbook v019) over the HTTP layer and composition root that v018 created: F3-01 no OAuth install routes (critical), F3-02 queue never drained + unbounded (critical), F3-03 OAuth CSRF state, F3-04 public /health leak. Dedupe tenant-scoping verified clean. R-F9 opened: no real XeroOAuthClient exists, so the routing half of sweep step 2 is closed but the client half remains. 23 suites / 317 tests at 100% zero pragmas. Story positions unchanged. Lesson L-F2 logged</t>
  </si>
  <si>
    <t xml:space="preserve">Portable reachability gate ported + wired into CI (workbook v020); first run found GAP-F2 (no scheduler existed — six periodic behaviours undriven, incl. the daily nudge cycle and the entire bank-poll mechanism) and R-F10 (TLS guard never called); 3 dead helpers deleted rather than exempted; R-F9 closed with the real Xero OAuth client. 25 suites / 348 tests at 100% zero pragmas. Story positions unchanged. Lesson L-F3 logged</t>
  </si>
  <si>
    <t xml:space="preserve">R-F10 closed with the Xero accounting-API client (paced + protected, safe date handling, single-fetch) and the published-claims gate ported (workbook v021). The claims gate did not work when first written — comments satisfied it; fixed across both gates and re-proved by deliberately breaking a promise. 27 suites / 377 tests at 100% zero pragmas. Story positions unchanged. Lesson L-F4</t>
  </si>
  <si>
    <t xml:space="preserve">Cold-review pass 4 (workbook v022) over the scheduler and accounting client built in the previous two sittings, under the L-F2 standing rule: 4 defects, all mine — F4-01 critical (only the first tenant was ever polled), F4-02 dunning counter not persisted, F4-03 full history fetched every poll, F4-04 failed drain lost its batch. Regressions proved against the reintroduced defect. 28 suites / 388 tests at 100% zero pragmas. Story positions unchanged. Lesson L-F5</t>
  </si>
  <si>
    <t xml:space="preserve">Tenant-isolation gate built and wired into CI (workbook v023), automating the F4-01 class. The gate passed twice against the reintroduced real defect before two of its own bugs were found and fixed — both made it silently permissive. 29 suites / 394 tests at 100% zero pragmas; three gates in CI. Story positions unchanged. Lesson L-F6</t>
  </si>
  <si>
    <t xml:space="preserve">Gate audit (workbook v024) acting on the L-F6 recommendation: both the reachability and published-claims gates FAILED their first proof against real reintroduced defects — an unused import counted as a caller (HOLE-1) and satisfied a published claim (HOLE-2). Both fixed and re-proved; known limits documented rather than hidden. 29 suites / 395 tests at 100% zero pragmas; all three gates proved. Story positions unchanged. Lesson L-F7</t>
  </si>
  <si>
    <t xml:space="preserve">Portable gate pack + proof harness (workbook v025): npm run prove:gates reintroduces each gate own real defect into real source and requires the gate to fail; all three proved; harness meta-proved and STALE-guarded; README porting guide with honest limits. Now in CI. 29 suites / 395 tests at 100% zero pragmas. Story positions unchanged. Lesson L-F8</t>
  </si>
  <si>
    <t xml:space="preserve">As-built verification + Senthil_Handover sheet (workbook v026). No code change. 7 stories had sat at Done while their behaviour had no driver or no enforcement; all true today, each annotated with the release that actually made it true. Counts verified unchanged (77/16/2/5). Handover consolidates the 12 remaining items, none codeable, ordered by leverage. Lesson L-F9</t>
  </si>
  <si>
    <t xml:space="preserve">GAP-F3 closed — persistence layer (workbook v027). All durable state was in process memory, and blue/green restarts by design, so every deploy silently reverted six earlier correctness fixes. Schema with cascading deletes, Repository seam (in-memory + Postgres, one shared suite), real pg driver, hydration, graceful shutdown, durableStore on /health. Reachability gate failed the build twice on this sitting own code. 30 suites / 433 tests at 100% zero pragmas. Lesson L-F10</t>
  </si>
  <si>
    <t xml:space="preserve">Environment-assumptions review (workbook v028): ENV-1 critical (scheduler assumed one process; blue/green runs two, so every customer got N nudges), ENV-2 critical (accepted events lost on restart after an ACK Xero never repeats), ENV-3 major (UTC vs local business hours breaking the published SLA for non-UTC desks). All fixed with regressions; OBS-003/OBS-004 logged for disposition. 31 suites / 453 tests at 100% zero pragmas. Lesson L-F11</t>
  </si>
  <si>
    <t xml:space="preserve">Ops-artifact review (workbook v029): OPS-1 + OPS-3 critical and compounding (pipeline never migrated; /health answered from memory yet gated the switch, so a broken slot would have been certified and given traffic), OPS-2 major (no expand/contract discipline under blue/green). Fourth gate added enforcing additive-only migrations; rollback contract written into the runbook; backup drill made concrete against the real schema. 33 suites / 465 tests at 100% zero pragmas. Lesson L-F12</t>
  </si>
  <si>
    <t xml:space="preserve">Chaos review (workbook v030): CHAOS-1 critical — two void-promise calls on the database path, one on the webhook fast-ack route, would have terminated the process on any Postgres blip (verified on node v22), taking both blue/green slots down together; CHAOS-2 major — the chaos runbook covered only Xero. Both fixed with regressions; degraded state now visible on /ready. 35 suites / 478 tests at 100% zero pragmas. Lesson L-F13</t>
  </si>
  <si>
    <t xml:space="preserve">Critical-path document review (workbook v031): the security pack mentioned the database zero times and the review pack one of eight new modules, though both feed people on the launch path. Both rewritten; SEC-2 credential redaction fixed in code with three new gate-enforced claims; latency budgets updated. 35 suites / 485 tests at 100% zero pragmas. Lesson L-F14</t>
  </si>
  <si>
    <t xml:space="preserve">Doc-freshness gate (workbook v032) closing L-F14 mechanically: outsider-facing documents must acknowledge the modules they describe, or the build fails. Fired on first run against documents rewritten six minutes earlier; both completed. Harness caught a weak mutation rather than a weak gate. 36 suites / 492 tests at 100% zero pragmas; five gates in CI. Lesson L-F15</t>
  </si>
  <si>
    <t xml:space="preserve">Async-ownership gate + review playbook (workbook v033). Real defect first: worker drain failures were unhandled rejections invisible to the degradation counter. Sixth gate proved against the CHAOS-1 shape. Playbook records the eight review passes and the rules behind ~40 defects found in code already at 100%. 36 suites / 500 tests at 100% zero pragmas; six gates in CI. Stopping point recommended</t>
  </si>
  <si>
    <t xml:space="preserve">EXTERNAL REVIEW RESPONSE, sprint E5 (workbook v034, code v0.28.0). First independent external review (ChatGPT V001, 13 Sep 20:53) raised 15 findings FC-R001..R015. All triaged in the new External_Review_FC sheet. Wave 1 executed — 8 sandbox-closable findings: IANA time zones with DST (closes OBS-003/FC-R008) plus E5-04a found in our own new code (ICU accepts "BST" as UTC+6 Bangladesh); shared cross-instance Xero rate budget (closes OBS-004), full-jitter backoff (OBS-001), bounded half-open probes (OBS-002), leader fencing token (all FC-R007); CycloneDX SBOM + drift gate, secret scanner, security headers on every response incl. 404/500 (FC-R015/R006); evidence manifest with SHA-256 rollup (FC-R005/G01); THREAT_MODEL.md + SECURITY_POLICY.md (FC-R006); 20/100/500-client scale drills (FC-R010 sandbox half); DSAR + retention E2E (FC-R009 sandbox half). FC-R002 was NOT a code gap — submission-dry-run.md had claimed webhooks uncoded since before v011; doc rewritten and a sixth gate added so a filled gap cannot keep being published. 40 suites / 595 tests at 100% zero pragmas; 7 gates PROVED under reintroduced defects.</t>
  </si>
  <si>
    <t xml:space="preserve">CROSS-PRODUCT DEFECT-CLASS SWEEP, sprint E5b (workbook v035, code v0.29.0). Wave 2 is gated on DEC-F16 and was deliberately NOT started. Instead, PORT-04 executed: FlowCast is one of nine products the RetainKit external review flagged as carrying the same patterns and the same author, so RetainKit's reviewer questions were asked of FlowCast. Four findings, two CRITICAL, none visible from our own change log. E5b-01: production booted with no DATABASE_URL, silently reinstating GAP-F3, ENV-1 and E5-05 at once. E5b-02: production booted with no FLOWCAST_DATA_KEY, so the service passed its probes and then failed for the first merchant to connect Xero — and the key was absent from .env.example entirely, so the documented deploy path produced exactly that state (L-RK9 verbatim). E5b-03: graceful shutdown had no deadline, so one hung request made it strictly worse than no shutdown path. E5b-04: requests bounded in size but not in time. Also VERIFIED ABSENT rather than assumed: P17 throw-only default ports, and non-CSPRNG OAuth state. 40 suites / 608 tests at 100% zero pragmas; 8 gates PROVED.</t>
  </si>
  <si>
    <t xml:space="preserve">PERPLEXITY V001 RESPONSE, sprint E6, Wave P1 (workbook v036, code v0.30.0). Was planned to open on DEC-F16/DEC-F17 or the dev org; opened instead on the second independent review (Perplexity, 16 Sep 19:18), which found three BLOCKER code defects on the live path (PPX-01 forecast had no production data path; PPX-02 supplier bills mixed into receivables; PPX-03 billing rail on a deprecated channel) plus 7 more. Wave P1 executed in sandbox: P1-1..P1-7, 6 new gates + method-level reachability, 15 mutations proved. Per Senthil 10:17: nothing deleted, no story re-statused, billing rail left in place (PPX-D4 logged), all artefacts to next version. New sheet External_Review_PPX. 49 suites / 719 tests at 100%. New findings E6-F1..E6-F6 (boot composition) — see RAID R-F14..R-F19.</t>
  </si>
  <si>
    <t xml:space="preserve">PLANNED: opens on PPX-D1..D6 dispositions, sprint P1-8 (boot composition, expiring KNOWN_GAPS 31 Oct 2026), or the Xero dev org</t>
  </si>
  <si>
    <t xml:space="preserve">PENDING VERSIONS AND WORK — what does not exist yet, and why</t>
  </si>
  <si>
    <t xml:space="preserve">When an item opens, add its released row to Version_Detail and mark this row "Opened in &lt;version&gt;". Never delete.</t>
  </si>
  <si>
    <t xml:space="preserve">Item</t>
  </si>
  <si>
    <t xml:space="preserve">Kind</t>
  </si>
  <si>
    <t xml:space="preserve">Scope</t>
  </si>
  <si>
    <t xml:space="preserve">Who unblocks</t>
  </si>
  <si>
    <t xml:space="preserve">Reason it is pending</t>
  </si>
  <si>
    <t xml:space="preserve">Reference</t>
  </si>
  <si>
    <t xml:space="preserve">Workbook v037 / tracker v025</t>
  </si>
  <si>
    <t xml:space="preserve">Next release</t>
  </si>
  <si>
    <t xml:space="preserve">Pending</t>
  </si>
  <si>
    <t xml:space="preserve">Opens on a Senthil decision (PPX-D1..D6, DEC-F16/F17), sprint P1-8, or the first live run.</t>
  </si>
  <si>
    <t xml:space="preserve">Senthil</t>
  </si>
  <si>
    <t xml:space="preserve">No sandbox-codeable work is left that does not need a decision or the dev org, except P1-8.</t>
  </si>
  <si>
    <t xml:space="preserve">tracker v024 Version_Control v025 row</t>
  </si>
  <si>
    <t xml:space="preserve">P1-8 boot composition (21 pts)</t>
  </si>
  <si>
    <t xml:space="preserve">Sprint</t>
  </si>
  <si>
    <t xml:space="preserve">Not started</t>
  </si>
  <si>
    <t xml:space="preserve">Durable store never written for installs; tenant state not rehydrated; webhook worker never started and drained rows never deleted; uninstall webhook not routed; canRequest dead.</t>
  </si>
  <si>
    <t xml:space="preserve">Senthil "go" → Claude</t>
  </si>
  <si>
    <t xml:space="preserve">KNOWN_GAPS R-F14..R-F17 expire 31 Oct 2026 — the suite goes red until this ships.</t>
  </si>
  <si>
    <t xml:space="preserve">E6-F3..F6; Handover #21</t>
  </si>
  <si>
    <t xml:space="preserve">Wave P2 closed loop (84 pts)</t>
  </si>
  <si>
    <t xml:space="preserve">Sprint(s)</t>
  </si>
  <si>
    <t xml:space="preserve">Blocked — decision</t>
  </si>
  <si>
    <t xml:space="preserve">Shortfall attribution, collections copilot, recovered-cash attribution, practice-OS depth.</t>
  </si>
  <si>
    <t xml:space="preserve">Senthil (PPX-D2 / DEC-F16)</t>
  </si>
  <si>
    <t xml:space="preserve">Reviewer recommends building the spine now; standing decision holds it.</t>
  </si>
  <si>
    <t xml:space="preserve">P2-1..P2-4; E6-01..E6-04</t>
  </si>
  <si>
    <t xml:space="preserve">Wave P3 enterprise-grade (76 pts)</t>
  </si>
  <si>
    <t xml:space="preserve">Application shell ×2 (bundler, routing, session, screens), tenancy/SSO/RBAC/audit chain, OpenTelemetry + SLOs.</t>
  </si>
  <si>
    <t xml:space="preserve">Claude (no blocker)</t>
  </si>
  <si>
    <t xml:space="preserve">Sequenced after P1 by the reviewer; ui/* KNOWN_GAPS expire 31 Dec 2026.</t>
  </si>
  <si>
    <t xml:space="preserve">P3-1..P3-4; PPX-07</t>
  </si>
  <si>
    <t xml:space="preserve">Wave P4 commercial (24 pts)</t>
  </si>
  <si>
    <t xml:space="preserve">Rebuild financial model (Stripe-only, real referral mechanics, £45–£199 tiers); positioning + listing copy; retire xero_marketplace rail.</t>
  </si>
  <si>
    <t xml:space="preserve">Senthil (PPX-D3, PPX-D4, DEC-F16)</t>
  </si>
  <si>
    <t xml:space="preserve">Model and rail deliberately untouched on 20 Sep by instruction.</t>
  </si>
  <si>
    <t xml:space="preserve">P4-1, P4-2; PA-11</t>
  </si>
  <si>
    <t xml:space="preserve">Wave P5 human-blocked (60 pts)</t>
  </si>
  <si>
    <t xml:space="preserve">Live</t>
  </si>
  <si>
    <t xml:space="preserve">Blocked — environment</t>
  </si>
  <si>
    <t xml:space="preserve">Live Xero certification E2E, live billing, pen test, KMS custody, release signing, design partners, multi-node chaos, RPO/RTO drill.</t>
  </si>
  <si>
    <t xml:space="preserve">Cannot be simulated; the live cases in Manual_Test_Cases are the script.</t>
  </si>
  <si>
    <t xml:space="preserve">E7-01..E7-04; Handover #1–#6</t>
  </si>
  <si>
    <t xml:space="preserve">Email / notification transport</t>
  </si>
  <si>
    <t xml:space="preserve">Vendor + sprint</t>
  </si>
  <si>
    <t xml:space="preserve">No transport in src; nudges, dunning, trial expiry, anomaly alerts have logic and no delivery.</t>
  </si>
  <si>
    <t xml:space="preserve">Senthil (vendor)</t>
  </si>
  <si>
    <t xml:space="preserve">Boot reports the gap to stderr rather than faking a sender.</t>
  </si>
  <si>
    <t xml:space="preserve">E6-F2; R-F21; Handover #22</t>
  </si>
  <si>
    <t xml:space="preserve">Xero dev org + live sweep</t>
  </si>
  <si>
    <t xml:space="preserve">Environment</t>
  </si>
  <si>
    <t xml:space="preserve">Blocked — Senthil</t>
  </si>
  <si>
    <t xml:space="preserve">Registers the app, runs the 12-step verification sweep, flips 16 "code-complete — pending live" stories.</t>
  </si>
  <si>
    <t xml:space="preserve">Senthil (~30 min)</t>
  </si>
  <si>
    <t xml:space="preserve">Every live test case in this workbook waits on it.</t>
  </si>
  <si>
    <t xml:space="preserve">Handover #1; verification-sweep.md</t>
  </si>
  <si>
    <t xml:space="preserve">Human second review of ST-097</t>
  </si>
  <si>
    <t xml:space="preserve">Review</t>
  </si>
  <si>
    <t xml:space="preserve">Whether an independent AI review closes ST-097 or a human is still required before submission.</t>
  </si>
  <si>
    <t xml:space="preserve">Senthil (DEC-F17 / PPX-D6)</t>
  </si>
  <si>
    <t xml:space="preserve">Both AI reviews found blockers the author missed.</t>
  </si>
  <si>
    <t xml:space="preserve">ST-097; External_Review_PPX</t>
  </si>
  <si>
    <t xml:space="preserve">Platform assumptions re-verification</t>
  </si>
  <si>
    <t xml:space="preserve">Recurring</t>
  </si>
  <si>
    <t xml:space="preserve">Due ~19 Dec 2026</t>
  </si>
  <si>
    <t xml:space="preserve">Every entry in docs/platform-assumptions.json ages out at its staleness budget; CI fails until a human re-verifies against Xero's pages.</t>
  </si>
  <si>
    <t xml:space="preserve">Claude / Senthil</t>
  </si>
  <si>
    <t xml:space="preserve">By design: PPX-03 went six months stale silently.</t>
  </si>
  <si>
    <t xml:space="preserve">platformDriftGate; PA-01..PA-11</t>
  </si>
  <si>
    <t xml:space="preserve">MANUAL TEST CASES — several per code-bearing version; positive and negative</t>
  </si>
  <si>
    <t xml:space="preserve">Fill only the yellow columns. Result is a drop-down. A Pass needs an observed value in Actual result. Live cases are recorded as Blocked until the blocker clears.</t>
  </si>
  <si>
    <t xml:space="preserve">Case ID</t>
  </si>
  <si>
    <t xml:space="preserve">Story / finding verified</t>
  </si>
  <si>
    <t xml:space="preserve">Title</t>
  </si>
  <si>
    <t xml:space="preserve">Mode</t>
  </si>
  <si>
    <t xml:space="preserve">Preconditions</t>
  </si>
  <si>
    <t xml:space="preserve">Steps (one action per line)</t>
  </si>
  <si>
    <t xml:space="preserve">Expected result</t>
  </si>
  <si>
    <t xml:space="preserve">Actual result</t>
  </si>
  <si>
    <t xml:space="preserve">Result</t>
  </si>
  <si>
    <t xml:space="preserve">Tester</t>
  </si>
  <si>
    <t xml:space="preserve">Date</t>
  </si>
  <si>
    <t xml:space="preserve">Defect ID</t>
  </si>
  <si>
    <t xml:space="preserve">Notes</t>
  </si>
  <si>
    <t xml:space="preserve">TC-v008-01</t>
  </si>
  <si>
    <t xml:space="preserve">ST-001, ST-002, ST-004</t>
  </si>
  <si>
    <t xml:space="preserve">Forecast engine computes 13 weeks with traffic lights</t>
  </si>
  <si>
    <t xml:space="preserve">Sandbox set up per How_To_Use (npm ci done, `npm test` green once).</t>
  </si>
  <si>
    <t xml:space="preserve">1. cd flowcast
2. npx jest tests/forecastEngine.test.ts --verbose
3. Read the test names printed and the summary line</t>
  </si>
  <si>
    <t xml:space="preserve">All tests pass; names include happy-path 13-week computation, amber/red thresholds and defaultInput. Coverage line for forecastEngine.ts shows 100/100/100/100.</t>
  </si>
  <si>
    <t xml:space="preserve">TC-v008-02</t>
  </si>
  <si>
    <t xml:space="preserve">ST-004 / F-008</t>
  </si>
  <si>
    <t xml:space="preserve">Non-finite due date is rejected with a named error, never silently dropped</t>
  </si>
  <si>
    <t xml:space="preserve">1. cd flowcast
2. node -e "const {computeForecast}=require('./dist/forecastEngine'); try{computeForecast({openingBalance:100,invoices:[{id:'x',amount:10,dueDate:NaN,payProbability:1}],outflows:[],weekStart:0})}catch(e){console.log(e.message)}"
   (run `npm run build` first if dist/ is absent)</t>
  </si>
  <si>
    <t xml:space="preserve">Prints "FORECAST_INVALID: invoice x dueDate is not a finite date". No forecast is returned.</t>
  </si>
  <si>
    <t xml:space="preserve">TC-v008-03</t>
  </si>
  <si>
    <t xml:space="preserve">ST-004</t>
  </si>
  <si>
    <t xml:space="preserve">Negative invoice amount is rejected</t>
  </si>
  <si>
    <t xml:space="preserve">1. As TC-v008-02 but with amount:-5 and dueDate:0</t>
  </si>
  <si>
    <t xml:space="preserve">Prints "FORECAST_INVALID: invoice x amount &lt; 0".</t>
  </si>
  <si>
    <t xml:space="preserve">TC-v008-04</t>
  </si>
  <si>
    <t xml:space="preserve">D13 / ST-085</t>
  </si>
  <si>
    <t xml:space="preserve">Whole suite at 100% on all four metrics with zero pragmas</t>
  </si>
  <si>
    <t xml:space="preserve">1. cd flowcast
2. npm test
3. grep -rn "istanbul ignore" src/ ; echo exit=$?</t>
  </si>
  <si>
    <t xml:space="preserve">Summary shows 49 suites / 719 tests passed; the "All files" row reads 100 | 100 | 100 | 100; grep prints nothing and exit=1.</t>
  </si>
  <si>
    <t xml:space="preserve">TC-v009-01</t>
  </si>
  <si>
    <t xml:space="preserve">ST-003, ST-006</t>
  </si>
  <si>
    <t xml:space="preserve">Forecast rules flag min-balance and week-drop violations</t>
  </si>
  <si>
    <t xml:space="preserve">1. cd flowcast
2. npx jest tests/rulesNotificationsMetrics.test.ts --verbose
3. Read the test names printed and the summary line</t>
  </si>
  <si>
    <t xml:space="preserve">Rule tests pass including week_drop_pct with week 1 and non-positive prior skipped.</t>
  </si>
  <si>
    <t xml:space="preserve">TC-v009-02</t>
  </si>
  <si>
    <t xml:space="preserve">ST-003</t>
  </si>
  <si>
    <t xml:space="preserve">Invalid rule threshold is rejected</t>
  </si>
  <si>
    <t xml:space="preserve">1. node -e "const {validateRule}=require('./dist/forecastRules'); try{validateRule({type:'week_drop_pct',threshold:-1})}catch(e){console.log(e.message)}"</t>
  </si>
  <si>
    <t xml:space="preserve">A named validation error is printed (rule refused); no silent acceptance.</t>
  </si>
  <si>
    <t xml:space="preserve">TC-v009-03</t>
  </si>
  <si>
    <t xml:space="preserve">ST-086</t>
  </si>
  <si>
    <t xml:space="preserve">CI workflow enforces the 100% gate and every gate file</t>
  </si>
  <si>
    <t xml:space="preserve">Doc review</t>
  </si>
  <si>
    <t xml:space="preserve">Zip unpacked.</t>
  </si>
  <si>
    <t xml:space="preserve">1. Open .github/workflows/ci.yml
2. Confirm steps: npm ci, tsc --noEmit, jest --coverage, each named gate test, prove:gates, audit, evidence + verify:evidence, pragma grep</t>
  </si>
  <si>
    <t xml:space="preserve">All steps present; the six E6 gates listed (dataPath, invoiceType, currency, platformLimits, platformDrift, forecastRealism).</t>
  </si>
  <si>
    <t xml:space="preserve">TC-v010-01</t>
  </si>
  <si>
    <t xml:space="preserve">ST-089</t>
  </si>
  <si>
    <t xml:space="preserve">Accessibility: axe reports zero violations on all UI surfaces</t>
  </si>
  <si>
    <t xml:space="preserve">1. cd flowcast
2. npx jest tests/ui --verbose
3. Read the test names printed and the summary line</t>
  </si>
  <si>
    <t xml:space="preserve">UI suites pass; jest-axe assertions report no violations for the 7 surfaces.</t>
  </si>
  <si>
    <t xml:space="preserve">TC-v010-02</t>
  </si>
  <si>
    <t xml:space="preserve">ST-091</t>
  </si>
  <si>
    <t xml:space="preserve">Degradation banner reflects breaker state honestly</t>
  </si>
  <si>
    <t xml:space="preserve">1. cd flowcast
2. npx jest tests/chaosReview.test.ts --verbose
3. Read the test names printed and the summary line</t>
  </si>
  <si>
    <t xml:space="preserve">Tests mapping breaker open/half-open/closed to banner level pass.</t>
  </si>
  <si>
    <t xml:space="preserve">TC-v010-03</t>
  </si>
  <si>
    <t xml:space="preserve">ST-083</t>
  </si>
  <si>
    <t xml:space="preserve">Demo data mode produces a deterministic red-week arc</t>
  </si>
  <si>
    <t xml:space="preserve">Sandbox set up per How_To_Use (npm ci done, `npm test` green once). `npm run build` done.</t>
  </si>
  <si>
    <t xml:space="preserve">1. node -e "const {demoTenant}=require('./dist/demoData'); const {computeForecast}=require('./dist/forecastEngine'); const t=demoTenant(Date.UTC(2026,8,21)); console.log(computeForecast(t.forecast,5000).map(x=&gt;x.light).join(','))"
2. Run it twice</t>
  </si>
  <si>
    <t xml:space="preserve">Both runs print exactly: green,green,green,green,green,green,amber,amber,red,red,red,red,red (verified 20 Sep 2026 in the sandbox).</t>
  </si>
  <si>
    <t xml:space="preserve">TC-v011-01</t>
  </si>
  <si>
    <t xml:space="preserve">WBH-001 / VER-001</t>
  </si>
  <si>
    <t xml:space="preserve">Webhook signature verification: valid signature → empty 200, bad → empty 401</t>
  </si>
  <si>
    <t xml:space="preserve">Sandbox server running per How_To_Use (development mode, no DATABASE_URL, operator token "op").</t>
  </si>
  <si>
    <t xml:space="preserve">1. BODY='{"events":[]}'
2. SIG=$(node -e "console.log(require('crypto').createHmac('sha256','k').update(process.argv[1]).digest('base64'))" "$BODY")
3. curl -s -i -X POST localhost:3000/webhooks/xero -H "x-xero-signature: $SIG" -d "$BODY"
4. curl -s -i -X POST localhost:3000/webhooks/xero -H "x-xero-signature: bad" -d "$BODY"</t>
  </si>
  <si>
    <t xml:space="preserve">Step 3: HTTP 200 with an EMPTY body and security headers. Step 4: HTTP 401 with an EMPTY body (Xero rejects any body — VER-001).</t>
  </si>
  <si>
    <t xml:space="preserve">TC-v011-02</t>
  </si>
  <si>
    <t xml:space="preserve">F-002</t>
  </si>
  <si>
    <t xml:space="preserve">Signed but malformed JSON does not crash the fast-ack path</t>
  </si>
  <si>
    <t xml:space="preserve">1. BODY='not json'
2. Sign it as in TC-v011-01
3. POST it</t>
  </si>
  <si>
    <t xml:space="preserve">A 4xx/200 response is returned and the server keeps serving /health afterwards (curl localhost:3000/health → {"ok":true}).</t>
  </si>
  <si>
    <t xml:space="preserve">TC-v011-03</t>
  </si>
  <si>
    <t xml:space="preserve">D-F4</t>
  </si>
  <si>
    <t xml:space="preserve">Bank transactions polled with If-Modified-Since, never full history</t>
  </si>
  <si>
    <t xml:space="preserve">1. cd flowcast
2. npx jest tests/xeroApi.test.ts -t "bank" --verbose
3. Read the test names printed and the summary line</t>
  </si>
  <si>
    <t xml:space="preserve">Test asserting the if-modified-since header and pre-window exclusion passes.</t>
  </si>
  <si>
    <t xml:space="preserve">TC-v011-04</t>
  </si>
  <si>
    <t xml:space="preserve">Webhook intent-to-receive</t>
  </si>
  <si>
    <t xml:space="preserve">Live intent-to-receive against a real Xero webhook</t>
  </si>
  <si>
    <t xml:space="preserve">BLOCKED: needs the Xero dev org + app registration (Handover #1) and a deployed slot with DATABASE_URL and FLOWCAST_DATA_KEY.</t>
  </si>
  <si>
    <t xml:space="preserve">1. Register the webhook URL in the Xero developer portal
2. Click "Send intent to receive"
3. Observe the portal status and server log</t>
  </si>
  <si>
    <t xml:space="preserve">Portal shows OK; server log shows an empty-body 200 to a signed payload.</t>
  </si>
  <si>
    <t xml:space="preserve">TC-v012-01</t>
  </si>
  <si>
    <t xml:space="preserve">WBH-002 / VER-002 / PPX-04</t>
  </si>
  <si>
    <t xml:space="preserve">Per-tenant limiter paces at 60/min and refuses the 1,001st daily call</t>
  </si>
  <si>
    <t xml:space="preserve">1. cd flowcast
2. npx jest tests/platformLimits.test.ts --verbose
3. Read the test names printed and the summary line</t>
  </si>
  <si>
    <t xml:space="preserve">15 tests pass, including "refuses the 1,001st call of the day at Starter tier" and default XERO_DAILY_LIMIT = 1000.</t>
  </si>
  <si>
    <t xml:space="preserve">TC-v012-02</t>
  </si>
  <si>
    <t xml:space="preserve">QA-008</t>
  </si>
  <si>
    <t xml:space="preserve">12-month anomaly drill still catches the isolated small-batch case</t>
  </si>
  <si>
    <t xml:space="preserve">1. cd flowcast
2. npx jest tests/rateLimitQaHttp.test.ts --verbose
3. Read the test names printed and the summary line</t>
  </si>
  <si>
    <t xml:space="preserve">Drill tests pass; the batch-isolation blind spot regression is present and green.</t>
  </si>
  <si>
    <t xml:space="preserve">TC-v012-03</t>
  </si>
  <si>
    <t xml:space="preserve">ST-088</t>
  </si>
  <si>
    <t xml:space="preserve">Load test at 5× launch traffic</t>
  </si>
  <si>
    <t xml:space="preserve">BLOCKED: needs a staging deployment and k6 installed.</t>
  </si>
  <si>
    <t xml:space="preserve">1. k6 run docs/loadtest/k6-flowcast.js -e BASE_URL=&lt;staging&gt;
2. Record p95 per scenario (steady, burst 25 rps, webhook storm)</t>
  </si>
  <si>
    <t xml:space="preserve">p95 within docs/reliability/latency-budgets.md for every surface; zero 5xx.</t>
  </si>
  <si>
    <t xml:space="preserve">TC-v013-01</t>
  </si>
  <si>
    <t xml:space="preserve">CFG-001</t>
  </si>
  <si>
    <t xml:space="preserve">Config loader names every missing variable at once</t>
  </si>
  <si>
    <t xml:space="preserve">1. unset XERO_CLIENT_ID; node -e "require('./dist/config').loadConfig({BILLING_REGION:'UK'})" 2&gt;&amp;1 | head -2</t>
  </si>
  <si>
    <t xml:space="preserve">Error "CONFIG_MISSING: XERO_CLIENT_ID, XERO_CLIENT_SECRET, XERO_WEBHOOK_KEY, OAUTH_REDIRECT_URI, RELEASE, BASE_URL" — all missing names listed.</t>
  </si>
  <si>
    <t xml:space="preserve">TC-v013-02</t>
  </si>
  <si>
    <t xml:space="preserve">http redirect URI is refused (Xero requires https)</t>
  </si>
  <si>
    <t xml:space="preserve">1. node -e "require('./dist/config').loadConfig({XERO_CLIENT_ID:'a',XERO_CLIENT_SECRET:'b',XERO_WEBHOOK_KEY:'c',OAUTH_REDIRECT_URI:'http://x',BILLING_REGION:'UK',RELEASE:'r',BASE_URL:'https://x'})"</t>
  </si>
  <si>
    <t xml:space="preserve">CONFIG_INVALID: OAUTH_REDIRECT_URI must be https.</t>
  </si>
  <si>
    <t xml:space="preserve">TC-v013-03</t>
  </si>
  <si>
    <t xml:space="preserve">ST-051 / sweep step 1–2</t>
  </si>
  <si>
    <t xml:space="preserve">12-step live verification sweep</t>
  </si>
  <si>
    <t xml:space="preserve">1. Follow docs/live-sweep/xero-dev-org-setup.md
2. Execute docs/live-sweep/verification-sweep.md steps 1–12 in order, recording each</t>
  </si>
  <si>
    <t xml:space="preserve">Every step's stated evidence observed; failures logged in Defect_Log.</t>
  </si>
  <si>
    <t xml:space="preserve">TC-v014-01</t>
  </si>
  <si>
    <t xml:space="preserve">F-001</t>
  </si>
  <si>
    <t xml:space="preserve">Webhook idempotency ledger is bounded (FIFO 10,000)</t>
  </si>
  <si>
    <t xml:space="preserve">1. cd flowcast
2. npx jest tests/coldReviewSecurity.test.ts --verbose
3. Read the test names printed and the summary line</t>
  </si>
  <si>
    <t xml:space="preserve">Cap, eviction and replay-after-eviction tests pass.</t>
  </si>
  <si>
    <t xml:space="preserve">TC-v014-02</t>
  </si>
  <si>
    <t xml:space="preserve">F-003</t>
  </si>
  <si>
    <t xml:space="preserve">Idle tenants are evicted from the limiter on prune()</t>
  </si>
  <si>
    <t xml:space="preserve">1. node -e "const {TenantRateLimiter}=require('./dist/rateLimiter'); const l=new TenantRateLimiter(); l.tryAcquire('t',0); console.log(l.trackedTenants(), l.prune(120000), l.trackedTenants())"</t>
  </si>
  <si>
    <t xml:space="preserve">Prints "1 1 0".</t>
  </si>
  <si>
    <t xml:space="preserve">TC-v014-03</t>
  </si>
  <si>
    <t xml:space="preserve">ST-066 / INT-F2</t>
  </si>
  <si>
    <t xml:space="preserve">Refresh tokens are sealed at rest with AES-256-GCM</t>
  </si>
  <si>
    <t xml:space="preserve">1. cd flowcast
2. npx jest tests/coldReviewSecurity.test.ts -t "seal" --verbose
3. Read the test names printed and the summary line</t>
  </si>
  <si>
    <t xml:space="preserve">Sealing/unsealing tests pass; ciphertext differs from plaintext; wrong key fails to open.</t>
  </si>
  <si>
    <t xml:space="preserve">TC-v014-04</t>
  </si>
  <si>
    <t xml:space="preserve">E5b-02</t>
  </si>
  <si>
    <t xml:space="preserve">A data key equal to the Xero client secret is refused at boot</t>
  </si>
  <si>
    <t xml:space="preserve">1. Export the sandbox env but set FLOWCAST_DATA_KEY="$XERO_CLIENT_SECRET" and NODE_ENV=production DATABASE_URL=postgres://x
2. npm start</t>
  </si>
  <si>
    <t xml:space="preserve">Process refuses to start with a named error about the key; no port opened.</t>
  </si>
  <si>
    <t xml:space="preserve">TC-v015-01</t>
  </si>
  <si>
    <t xml:space="preserve">F-006</t>
  </si>
  <si>
    <t xml:space="preserve">Same nudge tier is not re-sent daily</t>
  </si>
  <si>
    <t xml:space="preserve">1. cd flowcast
2. npx jest tests/invoiceNudges.test.ts --verbose
3. Read the test names printed and the summary line</t>
  </si>
  <si>
    <t xml:space="preserve">Once-per-tier history tests pass; test-mode sends are not recorded.</t>
  </si>
  <si>
    <t xml:space="preserve">TC-v015-02</t>
  </si>
  <si>
    <t xml:space="preserve">F-007</t>
  </si>
  <si>
    <t xml:space="preserve">Purge deletes the account record, not just a flag</t>
  </si>
  <si>
    <t xml:space="preserve">1. cd flowcast
2. npx jest tests/installFlow.test.ts -t "purge" --verbose
3. Read the test names printed and the summary line</t>
  </si>
  <si>
    <t xml:space="preserve">After purge the account is absent (getAccount undefined) and the purged id is returned.</t>
  </si>
  <si>
    <t xml:space="preserve">TC-v015-03</t>
  </si>
  <si>
    <t xml:space="preserve">F-009</t>
  </si>
  <si>
    <t xml:space="preserve">Monthly scenario cost recurs four times inside 13 weeks</t>
  </si>
  <si>
    <t xml:space="preserve">1. cd flowcast
2. npx jest tests/scenarioSliders.test.ts --verbose
3. Read the test names printed and the summary line</t>
  </si>
  <si>
    <t xml:space="preserve">Test asserting occurrences at days 0/28/56/84 passes.</t>
  </si>
  <si>
    <t xml:space="preserve">TC-v015-04</t>
  </si>
  <si>
    <t xml:space="preserve">ST-012</t>
  </si>
  <si>
    <t xml:space="preserve">Scenario with revenueDeltaPct outside [-1,1] is refused</t>
  </si>
  <si>
    <t xml:space="preserve">1. curl -s -i -X POST localhost:3000/api/forecast/scenario -H "x-flowcast-operator: op" -H "x-flowcast-tenant: t1" -d '{"revenueDeltaPct":5}'</t>
  </si>
  <si>
    <t xml:space="preserve">HTTP 400, body "SCENARIO_INVALID: revenueDeltaPct out of range [-1, 1]".</t>
  </si>
  <si>
    <t xml:space="preserve">TC-v016-01</t>
  </si>
  <si>
    <t xml:space="preserve">ST-081</t>
  </si>
  <si>
    <t xml:space="preserve">Chat SLA deadline skips weekends and out-of-hours</t>
  </si>
  <si>
    <t xml:space="preserve">1. cd flowcast
2. npx jest tests/chatSlaLaunchOps.test.ts --verbose
3. Read the test names printed and the summary line</t>
  </si>
  <si>
    <t xml:space="preserve">Business-hours math tests pass; queue sorts tightest deadline first.</t>
  </si>
  <si>
    <t xml:space="preserve">TC-v016-02</t>
  </si>
  <si>
    <t xml:space="preserve">ST-080</t>
  </si>
  <si>
    <t xml:space="preserve">Help-centre search manifest matches docs/help</t>
  </si>
  <si>
    <t xml:space="preserve">1. ls docs/help | wc -l
2. npx jest tests/chatSlaLaunchOps.test.ts -t "help"</t>
  </si>
  <si>
    <t xml:space="preserve">15 articles; manifest test passes.</t>
  </si>
  <si>
    <t xml:space="preserve">TC-v016-03</t>
  </si>
  <si>
    <t xml:space="preserve">ST-095</t>
  </si>
  <si>
    <t xml:space="preserve">Pricing page matches billing constants (drift gate)</t>
  </si>
  <si>
    <t xml:space="preserve">1. cd flowcast
2. npx jest tests/publishedClaimsGate.test.ts --verbose
3. Read the test names printed and the summary line</t>
  </si>
  <si>
    <t xml:space="preserve">Gate passes; pricing page claims bind to billing.ts constants.</t>
  </si>
  <si>
    <t xml:space="preserve">TC-v017-01</t>
  </si>
  <si>
    <t xml:space="preserve">VER-001</t>
  </si>
  <si>
    <t xml:space="preserve">Webhook responses never carry a body</t>
  </si>
  <si>
    <t xml:space="preserve">1. cd flowcast
2. npx jest tests/externalVerification.test.ts --verbose
3. Read the test names printed and the summary line</t>
  </si>
  <si>
    <t xml:space="preserve">VER-001/002/003 tests pass; VER-002 now asserts the 1,000 Starter default.</t>
  </si>
  <si>
    <t xml:space="preserve">TC-v017-02</t>
  </si>
  <si>
    <t xml:space="preserve">VER-003</t>
  </si>
  <si>
    <t xml:space="preserve">Scope audit justifies every requested OAuth scope</t>
  </si>
  <si>
    <t xml:space="preserve">1. cd flowcast
2. npx jest tests/compliance.test.ts --verbose
3. Read the test names printed and the summary line</t>
  </si>
  <si>
    <t xml:space="preserve">Scope-audit tests pass including offline_access justification.</t>
  </si>
  <si>
    <t xml:space="preserve">TC-v018-01</t>
  </si>
  <si>
    <t xml:space="preserve">GAP-F1</t>
  </si>
  <si>
    <t xml:space="preserve">The application boots and answers /health</t>
  </si>
  <si>
    <t xml:space="preserve">1. curl -s localhost:3000/health
2. curl -s localhost:3000/health -H "x-flowcast-operator: op"</t>
  </si>
  <si>
    <t xml:space="preserve">Step 1: {"ok":true}. Step 2: JSON with release "v036", queued 0, durableStore false, singleWriter false, sharedRateBudget false.</t>
  </si>
  <si>
    <t xml:space="preserve">TC-v018-02</t>
  </si>
  <si>
    <t xml:space="preserve">E5b-04</t>
  </si>
  <si>
    <t xml:space="preserve">Oversized body is refused with 413, never a hang</t>
  </si>
  <si>
    <t xml:space="preserve">1. head -c 1100000 /dev/zero | tr "\0" a &gt; big.txt
2. curl -s -o /dev/null -w "%{http_code}\n" -H "Expect:" -X POST localhost:3000/webhooks/xero --data-binary @big.txt; echo exit=$?
3. curl -s localhost:3000/health</t>
  </si>
  <si>
    <t xml:space="preserve">Step 2: the server destroys the socket at the 1 MB cap, so curl reports status 000 with a non-zero exit (connection reset) within seconds — it never hangs. Step 3: {"ok":true} — the server is still serving. (The 413 status is asserted by tests/integrationAudit.test.ts; over a raw socket the reset arrives first. Verified 20 Sep 2026.)</t>
  </si>
  <si>
    <t xml:space="preserve">TC-v018-03</t>
  </si>
  <si>
    <t xml:space="preserve">INT-F1 / INT-F5</t>
  </si>
  <si>
    <t xml:space="preserve">Plan limit and read-only mode are enforced on the send path</t>
  </si>
  <si>
    <t xml:space="preserve">1. cd flowcast
2. npx jest tests/integrationAudit.test.ts --verbose
3. Read the test names printed and the summary line</t>
  </si>
  <si>
    <t xml:space="preserve">Tests for nudgesPerMonth cap and WriteBlockedError in read-only pass.</t>
  </si>
  <si>
    <t xml:space="preserve">TC-v018-04</t>
  </si>
  <si>
    <t xml:space="preserve">F3-04</t>
  </si>
  <si>
    <t xml:space="preserve">Detailed /health needs the operator token; wrong token gets the public view</t>
  </si>
  <si>
    <t xml:space="preserve">1. curl -s localhost:3000/health -H "x-flowcast-operator: wrong"</t>
  </si>
  <si>
    <t xml:space="preserve">Exactly {"ok":true} — no release or queue fields.</t>
  </si>
  <si>
    <t xml:space="preserve">TC-v019-01</t>
  </si>
  <si>
    <t xml:space="preserve">F3-01</t>
  </si>
  <si>
    <t xml:space="preserve">/auth/start redirects to Xero with state; callback without state is refused</t>
  </si>
  <si>
    <t xml:space="preserve">1. curl -s -i "localhost:3000/auth/start?source=listing" | head -5
2. curl -s -i "localhost:3000/auth/callback?code=abc"</t>
  </si>
  <si>
    <t xml:space="preserve">Step 1: 302 with Location starting https://login.xero.com/identity/connect/authorize and a state parameter. Step 2: 4xx (state missing/unknown), no crash.</t>
  </si>
  <si>
    <t xml:space="preserve">TC-v019-02</t>
  </si>
  <si>
    <t xml:space="preserve">F3-02</t>
  </si>
  <si>
    <t xml:space="preserve">Accepted webhooks are drained by the worker, not left in the queue</t>
  </si>
  <si>
    <t xml:space="preserve">1. cd flowcast
2. npx jest tests/coldReviewPass3.test.ts --verbose
3. Read the test names printed and the summary line</t>
  </si>
  <si>
    <t xml:space="preserve">Worker drain tests pass; queue bounded at MAX_QUEUE_DEPTH with shed count.</t>
  </si>
  <si>
    <t xml:space="preserve">TC-v019-03</t>
  </si>
  <si>
    <t xml:space="preserve">F3-03</t>
  </si>
  <si>
    <t xml:space="preserve">OAuth state is single-use and CSPRNG</t>
  </si>
  <si>
    <t xml:space="preserve">1. cd flowcast
2. npx jest tests/coldReviewPass3.test.ts -t "state" --verbose
3. Read the test names printed and the summary line</t>
  </si>
  <si>
    <t xml:space="preserve">Replaying a consumed state is refused; state is 32 random bytes.</t>
  </si>
  <si>
    <t xml:space="preserve">TC-v020-01</t>
  </si>
  <si>
    <t xml:space="preserve">GAP-F2 / E6-F1</t>
  </si>
  <si>
    <t xml:space="preserve">Reachability gate passes and the scheduler is started at boot</t>
  </si>
  <si>
    <t xml:space="preserve">1. npx jest tests/reachabilityGate.test.ts --verbose
2. grep -n "startScheduler(" src/httpServer.ts</t>
  </si>
  <si>
    <t xml:space="preserve">11 gate tests pass; grep shows startScheduler called inside bootFromEnv.</t>
  </si>
  <si>
    <t xml:space="preserve">TC-v020-02</t>
  </si>
  <si>
    <t xml:space="preserve">HOLE-4 (P1-3)</t>
  </si>
  <si>
    <t xml:space="preserve">Gate fails when a class method loses its caller</t>
  </si>
  <si>
    <t xml:space="preserve">1. npm run prove:gates 2&gt;&amp;1 | grep "reachability-methods"</t>
  </si>
  <si>
    <t xml:space="preserve">Line reads PROVED reachability-methods / PPX-01 (HOLE-4).</t>
  </si>
  <si>
    <t xml:space="preserve">TC-v020-03</t>
  </si>
  <si>
    <t xml:space="preserve">P1-3</t>
  </si>
  <si>
    <t xml:space="preserve">An expired KNOWN_GAP fails the build</t>
  </si>
  <si>
    <t xml:space="preserve">1. Edit tests/reachabilityGate.test.ts: change one expires date to 2020-01-01
2. npx jest tests/reachabilityGate.test.ts
3. Revert the edit</t>
  </si>
  <si>
    <t xml:space="preserve">Step 2 fails on "a known gap past its expiry is a build failure"; step 3 restores green.</t>
  </si>
  <si>
    <t xml:space="preserve">TC-v021-01</t>
  </si>
  <si>
    <t xml:space="preserve">R-F10</t>
  </si>
  <si>
    <t xml:space="preserve">Accounting client paces, protects and parses Xero dates</t>
  </si>
  <si>
    <t xml:space="preserve">1. cd flowcast
2. npx jest tests/xeroApi.test.ts --verbose
3. Read the test names printed and the summary line</t>
  </si>
  <si>
    <t xml:space="preserve">All xeroApi tests pass (bearer/tenant headers, pacing, /Date(...)/ parsing, paging, 50-page stop).</t>
  </si>
  <si>
    <t xml:space="preserve">TC-v021-02</t>
  </si>
  <si>
    <t xml:space="preserve">Endless full pages stop at MAX_PAGES with a named error</t>
  </si>
  <si>
    <t xml:space="preserve">1. cd flowcast
2. npx jest tests/xeroApi.test.ts -t "forever" --verbose
3. Read the test names printed and the summary line</t>
  </si>
  <si>
    <t xml:space="preserve">XERO_API_TOO_MANY_PAGES raised after 50 pages.</t>
  </si>
  <si>
    <t xml:space="preserve">TC-v022-01</t>
  </si>
  <si>
    <t xml:space="preserve">F4-01</t>
  </si>
  <si>
    <t xml:space="preserve">Every tenant is polled, not only the first</t>
  </si>
  <si>
    <t xml:space="preserve">1. cd flowcast
2. npx jest tests/coldReviewPass4.test.ts --verbose
3. Read the test names printed and the summary line</t>
  </si>
  <si>
    <t xml:space="preserve">Per-tenant PollStates tests pass (stale tenant polls, fresh one waits, one unconfigured tenant does not abandon the rest).</t>
  </si>
  <si>
    <t xml:space="preserve">TC-v022-02</t>
  </si>
  <si>
    <t xml:space="preserve">F4-04</t>
  </si>
  <si>
    <t xml:space="preserve">A sink failure re-queues the batch instead of losing it</t>
  </si>
  <si>
    <t xml:space="preserve">1. cd flowcast
2. npx jest tests/coldReviewPass4.test.ts -t "batch" --verbose
3. Read the test names printed and the summary line</t>
  </si>
  <si>
    <t xml:space="preserve">Batch is back at the head of the queue after the thrown error.</t>
  </si>
  <si>
    <t xml:space="preserve">TC-v023-01</t>
  </si>
  <si>
    <t xml:space="preserve">F4-01 class</t>
  </si>
  <si>
    <t xml:space="preserve">Tenant-isolation gate passes and is proved</t>
  </si>
  <si>
    <t xml:space="preserve">1. npx jest tests/tenantIsolationGate.test.ts
2. npm run prove:gates 2&gt;&amp;1 | grep tenant-isolation</t>
  </si>
  <si>
    <t xml:space="preserve">Gate green; PROVED tenant-isolation / F4-01.</t>
  </si>
  <si>
    <t xml:space="preserve">TC-v024-01</t>
  </si>
  <si>
    <t xml:space="preserve">HOLE-1 / HOLE-2</t>
  </si>
  <si>
    <t xml:space="preserve">Import lines and comments do not satisfy the reachability or claims gates</t>
  </si>
  <si>
    <t xml:space="preserve">1. npm run prove:gates 2&gt;&amp;1 | grep -E "reachability / INT-F1|published-claims / INT-F2"</t>
  </si>
  <si>
    <t xml:space="preserve">Both lines read PROVED.</t>
  </si>
  <si>
    <t xml:space="preserve">TC-v025-01</t>
  </si>
  <si>
    <t xml:space="preserve">L-F7</t>
  </si>
  <si>
    <t xml:space="preserve">Full proof harness: every gate fails under its own defect</t>
  </si>
  <si>
    <t xml:space="preserve">1. npm run prove:gates
2. echo exit=$?</t>
  </si>
  <si>
    <t xml:space="preserve">15 PROVED lines, "All gates proved", exit=0. Any BROKEN or STALE line is a Fail.</t>
  </si>
  <si>
    <t xml:space="preserve">TC-v025-02</t>
  </si>
  <si>
    <t xml:space="preserve">L-F7 (meta)</t>
  </si>
  <si>
    <t xml:space="preserve">Harness reports a decorative gate</t>
  </si>
  <si>
    <t xml:space="preserve">1. Edit gates/prove-gates.js: change the reachability / INT-F1 mutation `replace` to equal its `find`
2. npm run prove:gates; echo exit=$?
3. Revert</t>
  </si>
  <si>
    <t xml:space="preserve">Step 2 prints BROKEN for that gate and exit=1.</t>
  </si>
  <si>
    <t xml:space="preserve">TC-v026-01</t>
  </si>
  <si>
    <t xml:space="preserve">As-built</t>
  </si>
  <si>
    <t xml:space="preserve">Traceability notes name the release that made each story true</t>
  </si>
  <si>
    <t xml:space="preserve">tracker v024 open.</t>
  </si>
  <si>
    <t xml:space="preserve">1. Traceability_Matrix: filter ST-022, ST-024, ST-041, ST-042, ST-044, ST-060, ST-061
2. Read the Notes column</t>
  </si>
  <si>
    <t xml:space="preserve">Each carries a dated as-built note naming v018/v020/v022 as the release that gave it a driver.</t>
  </si>
  <si>
    <t xml:space="preserve">TC-v027-01</t>
  </si>
  <si>
    <t xml:space="preserve">GAP-F3</t>
  </si>
  <si>
    <t xml:space="preserve">Repository behaves identically in memory and on Postgres (shared suite)</t>
  </si>
  <si>
    <t xml:space="preserve">1. cd flowcast
2. npx jest tests/persistence.test.ts --verbose
3. Read the test names printed and the summary line</t>
  </si>
  <si>
    <t xml:space="preserve">Shared repository suite passes for both implementations; migrations idempotent; cascade delete honoured.</t>
  </si>
  <si>
    <t xml:space="preserve">TC-v027-02</t>
  </si>
  <si>
    <t xml:space="preserve">GAP-F3 / E6-F3</t>
  </si>
  <si>
    <t xml:space="preserve">Installs survive a restart</t>
  </si>
  <si>
    <t xml:space="preserve">BLOCKED by E6-F3 (store never written for installs) AND needs Postgres + dev org. Expected to FAIL until P1-8 ships — record as Blocked with this note.</t>
  </si>
  <si>
    <t xml:space="preserve">1. Install a tenant via /auth/start → callback
2. Restart the process
3. GET /api/forecast for that tenant</t>
  </si>
  <si>
    <t xml:space="preserve">After P1-8: 200. Today: 502 "No active install" — the defect P1-8 exists to fix.</t>
  </si>
  <si>
    <t xml:space="preserve">TC-v028-01</t>
  </si>
  <si>
    <t xml:space="preserve">ENV-1</t>
  </si>
  <si>
    <t xml:space="preserve">Only the leader runs scheduled work; a fenced lock proves it</t>
  </si>
  <si>
    <t xml:space="preserve">1. cd flowcast
2. npx jest tests/environmentReview.test.ts --verbose
3. Read the test names printed and the summary line</t>
  </si>
  <si>
    <t xml:space="preserve">Leader lock, fencing token and fail-closed boot tests pass.</t>
  </si>
  <si>
    <t xml:space="preserve">TC-v028-02</t>
  </si>
  <si>
    <t xml:space="preserve">Two instances on one database: exactly one nudge cycle</t>
  </si>
  <si>
    <t xml:space="preserve">BLOCKED: needs Postgres and two running slots.</t>
  </si>
  <si>
    <t xml:space="preserve">1. Start two instances with the same DATABASE_URL
2. Trigger the nudge cycle window
3. Count cycles in both logs</t>
  </si>
  <si>
    <t xml:space="preserve">Exactly one instance ran the cycle; the other logged leaderReady=false.</t>
  </si>
  <si>
    <t xml:space="preserve">TC-v029-01</t>
  </si>
  <si>
    <t xml:space="preserve">OPS-1 / OPS-3</t>
  </si>
  <si>
    <t xml:space="preserve">/ready probes the store and the deploy script gates on it</t>
  </si>
  <si>
    <t xml:space="preserve">1. curl -s -i localhost:3000/ready
2. grep -n "/ready" scripts/verify-slot.sh scripts/deploy-slot.sh</t>
  </si>
  <si>
    <t xml:space="preserve">Step 1: 200 {"ready":true,"store":"ok","release":"v036"} in development (the in-memory store answers the probe; "absent" only when no repository is wired). Verified 20 Sep 2026. Step 2: verify-slot.sh checks /ready; deploy-slot.sh runs migrate before start.</t>
  </si>
  <si>
    <t xml:space="preserve">TC-v029-02</t>
  </si>
  <si>
    <t xml:space="preserve">OPS-3</t>
  </si>
  <si>
    <t xml:space="preserve">A slot with an unreachable database is NOT ready</t>
  </si>
  <si>
    <t xml:space="preserve">1. cd flowcast
2. npx jest tests/opsReview.test.ts --verbose
3. Read the test names printed and the summary line</t>
  </si>
  <si>
    <t xml:space="preserve">Test where the store throws → /ready 503 {"ready":false,"store":"unavailable"} passes.</t>
  </si>
  <si>
    <t xml:space="preserve">TC-v030-01</t>
  </si>
  <si>
    <t xml:space="preserve">CHAOS-1</t>
  </si>
  <si>
    <t xml:space="preserve">A Postgres blip on the webhook path degrades, never terminates</t>
  </si>
  <si>
    <t xml:space="preserve">Tests for safely() wrapping persistAccepted and process guards pass; degradation counter increments.</t>
  </si>
  <si>
    <t xml:space="preserve">TC-v032-01</t>
  </si>
  <si>
    <t xml:space="preserve">L-F14</t>
  </si>
  <si>
    <t xml:space="preserve">Doc-freshness gate: review pack, security evidence and threat model name every module</t>
  </si>
  <si>
    <t xml:space="preserve">1. cd flowcast
2. npx jest tests/docFreshnessGate.test.ts --verbose
3. Read the test names printed and the summary line</t>
  </si>
  <si>
    <t xml:space="preserve">Gate passes; forecastAssembly and forecastRealism are acknowledged in REVIEW_PACK.md.</t>
  </si>
  <si>
    <t xml:space="preserve">TC-v032-02</t>
  </si>
  <si>
    <t xml:space="preserve">Adding a module without documenting it fails the build</t>
  </si>
  <si>
    <t xml:space="preserve">1. touch src/newThing.ts and add `export function f(){}`
2. npx jest tests/docFreshnessGate.test.ts
3. rm src/newThing.ts</t>
  </si>
  <si>
    <t xml:space="preserve">Step 2 fails naming newThing as missing from security/REVIEW_PACK.md.</t>
  </si>
  <si>
    <t xml:space="preserve">TC-v033-01</t>
  </si>
  <si>
    <t xml:space="preserve">CHAOS-1 class</t>
  </si>
  <si>
    <t xml:space="preserve">Async-ownership gate: every un-awaited promise has an owner</t>
  </si>
  <si>
    <t xml:space="preserve">1. npx jest tests/asyncOwnershipGate.test.ts
2. npm run prove:gates 2&gt;&amp;1 | grep async-ownership</t>
  </si>
  <si>
    <t xml:space="preserve">Gate green; PROVED async-ownership / CHAOS-1.</t>
  </si>
  <si>
    <t xml:space="preserve">TC-v034-01</t>
  </si>
  <si>
    <t xml:space="preserve">FC-R008</t>
  </si>
  <si>
    <t xml:space="preserve">DST transitions resolve per IANA zone</t>
  </si>
  <si>
    <t xml:space="preserve">1. cd flowcast
2. npx jest tests/timezoneDst.test.ts --verbose
3. Read the test names printed and the summary line</t>
  </si>
  <si>
    <t xml:space="preserve">21 regressions pass incl. Europe/London and Australia/Sydney DST edges.</t>
  </si>
  <si>
    <t xml:space="preserve">TC-v034-02</t>
  </si>
  <si>
    <t xml:space="preserve">FC-R007 / E5-05</t>
  </si>
  <si>
    <t xml:space="preserve">Shared org budget: two instances cannot both take call 60</t>
  </si>
  <si>
    <t xml:space="preserve">1. cd flowcast
2. npx jest tests/distributedReliability.test.ts --verbose
3. Read the test names printed and the summary line</t>
  </si>
  <si>
    <t xml:space="preserve">30 regressions pass; single-statement claim with WHERE calls &lt; limit asserted.</t>
  </si>
  <si>
    <t xml:space="preserve">TC-v034-03</t>
  </si>
  <si>
    <t xml:space="preserve">FC-R010 / FC-R014</t>
  </si>
  <si>
    <t xml:space="preserve">500-client practice drill within p95 budget</t>
  </si>
  <si>
    <t xml:space="preserve">1. cd flowcast
2. npx jest tests/practiceScaleAndPrivacy.test.ts --verbose
3. Read the test names printed and the summary line</t>
  </si>
  <si>
    <t xml:space="preserve">Scale drill and DSAR export/delete (incl. cross-tenant negative) pass.</t>
  </si>
  <si>
    <t xml:space="preserve">TC-v034-04</t>
  </si>
  <si>
    <t xml:space="preserve">FC-R015</t>
  </si>
  <si>
    <t xml:space="preserve">SBOM matches lockfile; no secret-shaped literals</t>
  </si>
  <si>
    <t xml:space="preserve">1. npm run sbom
2. npx jest tests/supplyChainGate.test.ts
3. npm run audit</t>
  </si>
  <si>
    <t xml:space="preserve">SBOM regenerated identically; gate passes; audit reports 0 vulnerabilities in shipped deps.</t>
  </si>
  <si>
    <t xml:space="preserve">TC-v034-05</t>
  </si>
  <si>
    <t xml:space="preserve">FC-R005 / G01</t>
  </si>
  <si>
    <t xml:space="preserve">Evidence manifest verifies the package</t>
  </si>
  <si>
    <t xml:space="preserve">Fresh unzip, BEFORE running any test (tests rewrite coverage files).</t>
  </si>
  <si>
    <t xml:space="preserve">1. npm ci
2. npm run verify:evidence</t>
  </si>
  <si>
    <t xml:space="preserve">JSON with "ok": true and empty changed/removed/added lists.</t>
  </si>
  <si>
    <t xml:space="preserve">TC-v034-06</t>
  </si>
  <si>
    <t xml:space="preserve">FC-R005</t>
  </si>
  <si>
    <t xml:space="preserve">Tampered package fails verification</t>
  </si>
  <si>
    <t xml:space="preserve">Fresh unzip.</t>
  </si>
  <si>
    <t xml:space="preserve">1. echo "// x" &gt;&gt; src/main.ts
2. npm run verify:evidence
3. git checkout -- src/main.ts or re-unzip</t>
  </si>
  <si>
    <t xml:space="preserve">Step 2: "ok": false with src/main.ts under changed.</t>
  </si>
  <si>
    <t xml:space="preserve">TC-v035-01</t>
  </si>
  <si>
    <t xml:space="preserve">E5b-01</t>
  </si>
  <si>
    <t xml:space="preserve">Production refuses to boot without DATABASE_URL</t>
  </si>
  <si>
    <t xml:space="preserve">1. Export the sandbox env with NODE_ENV=production and DATABASE_URL unset
2. npm start; echo exit=$?</t>
  </si>
  <si>
    <t xml:space="preserve">Named refusal mentioning DATABASE_URL; no port opened; non-zero exit.</t>
  </si>
  <si>
    <t xml:space="preserve">TC-v035-02</t>
  </si>
  <si>
    <t xml:space="preserve">E5b-03</t>
  </si>
  <si>
    <t xml:space="preserve">Shutdown completes within the 10 s deadline even with a hung request</t>
  </si>
  <si>
    <t xml:space="preserve">1. cd flowcast
2. npx jest tests/environmentReview.test.ts -t "shutdown" --verbose
3. Read the test names printed and the summary line</t>
  </si>
  <si>
    <t xml:space="preserve">Deadline race tests pass (drained vs expired; closeAllConnections on expiry).</t>
  </si>
  <si>
    <t xml:space="preserve">TC-v036-01</t>
  </si>
  <si>
    <t xml:space="preserve">PPX-02 / P1-1</t>
  </si>
  <si>
    <t xml:space="preserve">Supplier bills can never become receivables or nudges</t>
  </si>
  <si>
    <t xml:space="preserve">1. cd flowcast
2. npx jest tests/invoiceTypeGate.test.ts tests/forecastDataPath.test.ts -t "ACCPAY|type" --verbose
3. Read the test names printed and the summary line</t>
  </si>
  <si>
    <t xml:space="preserve">Every /Invoices query carries a Type predicate; an ACCPAY row leaking into the ACCREC response is skipped as type-mismatch and never chased.</t>
  </si>
  <si>
    <t xml:space="preserve">TC-v036-02</t>
  </si>
  <si>
    <t xml:space="preserve">PPX-02</t>
  </si>
  <si>
    <t xml:space="preserve">Dropping the Type predicate fails the gate</t>
  </si>
  <si>
    <t xml:space="preserve">1. npm run prove:gates 2&gt;&amp;1 | grep invoice-type</t>
  </si>
  <si>
    <t xml:space="preserve">PROVED invoice-type / PPX-02.</t>
  </si>
  <si>
    <t xml:space="preserve">TC-v036-03</t>
  </si>
  <si>
    <t xml:space="preserve">PPX-01 / P1-2</t>
  </si>
  <si>
    <t xml:space="preserve">GET /api/forecast is a real route: 401 without a session, 503 without a client, 502 without an install</t>
  </si>
  <si>
    <t xml:space="preserve">1. curl -s -i localhost:3000/api/forecast
2. curl -s -i localhost:3000/api/forecast -H "x-flowcast-operator: op"
3. curl -s -i localhost:3000/api/forecast -H "x-flowcast-operator: op" -H "x-flowcast-tenant: t1"</t>
  </si>
  <si>
    <t xml:space="preserve">Step 1: 401. Step 2: 401 (no tenant header). Step 3: 502 "Forecast unavailable: No active install for tenant" — the route reached the live client and refused honestly; it did NOT fall back to demo data.</t>
  </si>
  <si>
    <t xml:space="preserve">TC-v036-04</t>
  </si>
  <si>
    <t xml:space="preserve">Forecast assembled from five Xero calls through a fake org</t>
  </si>
  <si>
    <t xml:space="preserve">1. cd flowcast
2. npx jest tests/forecastDataPath.test.ts --verbose
3. Read the test names printed and the summary line</t>
  </si>
  <si>
    <t xml:space="preserve">35 tests pass; the call order printed in "buildForecastInput assembles" is /Organisation, /Reports/BankSummary, /Invoices (ACCREC), /Invoices (ACCPAY), /RepeatingInvoices, /Invoices (PAID); outflow total is no longer 0.</t>
  </si>
  <si>
    <t xml:space="preserve">TC-v036-05</t>
  </si>
  <si>
    <t xml:space="preserve">PPX-01</t>
  </si>
  <si>
    <t xml:space="preserve">dataPathGate fails when the assembler is cut off from the engine</t>
  </si>
  <si>
    <t xml:space="preserve">1. npm run prove:gates 2&gt;&amp;1 | grep data-path</t>
  </si>
  <si>
    <t xml:space="preserve">PROVED data-path / PPX-01 (this gate was BROKEN on its first proof and strengthened — see E6-G1).</t>
  </si>
  <si>
    <t xml:space="preserve">TC-v036-06</t>
  </si>
  <si>
    <t xml:space="preserve">PPX-01 / E6-F1</t>
  </si>
  <si>
    <t xml:space="preserve">Boot constructs the accounting client and starts the scheduler</t>
  </si>
  <si>
    <t xml:space="preserve">1. cd flowcast
2. npx jest tests/forecastDataPath.test.ts -t "E6-F1" --verbose
3. Read the test names printed and the summary line</t>
  </si>
  <si>
    <t xml:space="preserve">Four boot tests pass: forecast surface present, tokens taken from the install service, scheduler composed, bootFromEnv registers the forecast tick and SIGTERM stops it.</t>
  </si>
  <si>
    <t xml:space="preserve">TC-v036-07</t>
  </si>
  <si>
    <t xml:space="preserve">PPX-06 / P1-4</t>
  </si>
  <si>
    <t xml:space="preserve">Three-currency book is forecast in base currency; unrated row refused with a reason</t>
  </si>
  <si>
    <t xml:space="preserve">1. cd flowcast
2. npx jest tests/currencyGate.test.ts tests/forecastDataPath.test.ts -t "currency" --verbose
3. Read the test names printed and the summary line</t>
  </si>
  <si>
    <t xml:space="preserve">USD 250 @1.25 → 200 GBP, EUR 115 @1.15 → 100 GBP, AUD with no rate → skipped currency-unconvertible; every record carries currency + originalCurrency.</t>
  </si>
  <si>
    <t xml:space="preserve">TC-v036-08</t>
  </si>
  <si>
    <t xml:space="preserve">PPX-06</t>
  </si>
  <si>
    <t xml:space="preserve">Summing AmountDue directly fails the gate</t>
  </si>
  <si>
    <t xml:space="preserve">1. npm run prove:gates 2&gt;&amp;1 | grep currency</t>
  </si>
  <si>
    <t xml:space="preserve">PROVED currency / PPX-06.</t>
  </si>
  <si>
    <t xml:space="preserve">TC-v036-09</t>
  </si>
  <si>
    <t xml:space="preserve">PPX-04 / P1-5</t>
  </si>
  <si>
    <t xml:space="preserve">Unknown XERO_API_TIER is refused at boot; core raises the budget to 5,000</t>
  </si>
  <si>
    <t xml:space="preserve">1. XERO_API_TIER=gold node -e "require('./dist/config').loadConfig(process.env)" (with the sandbox env exported)
2. node -e "console.log(require('./dist/rateLimiter').dailyLimitForTier('core'), require('./dist/rateLimiter').XERO_DAILY_LIMIT)"</t>
  </si>
  <si>
    <t xml:space="preserve">Step 1: CONFIG_INVALID: XERO_API_TIER must be starter|core|premium. Step 2: prints "5000 1000".</t>
  </si>
  <si>
    <t xml:space="preserve">TC-v036-10</t>
  </si>
  <si>
    <t xml:space="preserve">PPX-05 / P1-5</t>
  </si>
  <si>
    <t xml:space="preserve">A 429 with Retry-After is waited on exactly, then retried, breaker stays closed</t>
  </si>
  <si>
    <t xml:space="preserve">1. cd flowcast
2. npx jest tests/platformLimits.test.ts -t "Retry-After" --verbose
3. Read the test names printed and the summary line</t>
  </si>
  <si>
    <t xml:space="preserve">waits equal [5000]; attempts 2; breaker state "closed"; bounded-wait variants reject with XERO_RATE_LIMITED.</t>
  </si>
  <si>
    <t xml:space="preserve">TC-v036-11</t>
  </si>
  <si>
    <t xml:space="preserve">Never more than 5 fetches in flight per tenant</t>
  </si>
  <si>
    <t xml:space="preserve">1. cd flowcast
2. npx jest tests/platformLimits.test.ts -t "in flight" --verbose
3. Read the test names printed and the summary line</t>
  </si>
  <si>
    <t xml:space="preserve">Peak concurrency observed = 5 for 12 parallel calls.</t>
  </si>
  <si>
    <t xml:space="preserve">TC-v036-12</t>
  </si>
  <si>
    <t xml:space="preserve">PPX-03 / P1-6</t>
  </si>
  <si>
    <t xml:space="preserve">Platform-assumptions register is complete, dated and enforced</t>
  </si>
  <si>
    <t xml:space="preserve">1. cat docs/platform-assumptions.json | head -40
2. npx jest tests/platformDriftGate.test.ts</t>
  </si>
  <si>
    <t xml:space="preserve">PA-01..PA-11 present with source URL and verifiedOn 2026-09-20; PA-11 status "contradicted" trackedBy PPX-D4; gate passes.</t>
  </si>
  <si>
    <t xml:space="preserve">TC-v036-13</t>
  </si>
  <si>
    <t xml:space="preserve">PPX-03</t>
  </si>
  <si>
    <t xml:space="preserve">A stale assumption fails the build</t>
  </si>
  <si>
    <t xml:space="preserve">1. npm run prove:gates 2&gt;&amp;1 | grep platform-drift</t>
  </si>
  <si>
    <t xml:space="preserve">PROVED platform-drift / PPX-03.</t>
  </si>
  <si>
    <t xml:space="preserve">TC-v036-14</t>
  </si>
  <si>
    <t xml:space="preserve">PPX-08 / P1-7</t>
  </si>
  <si>
    <t xml:space="preserve">A £10k invoice due in 2 weeks is spread over weeks 3–7, not dropped into one week</t>
  </si>
  <si>
    <t xml:space="preserve">1. cd flowcast
2. npx jest tests/forecastRealism.test.ts --verbose
3. Read the test names printed and the summary line</t>
  </si>
  <si>
    <t xml:space="preserve">13 tests pass; week-3 inflow 5,500, week-4 2,500, sum 10,000; 400-day-old debt lands in week 1 at 25% not 100%.</t>
  </si>
  <si>
    <t xml:space="preserve">TC-v036-15</t>
  </si>
  <si>
    <t xml:space="preserve">PPX-08</t>
  </si>
  <si>
    <t xml:space="preserve">Restoring payProbability: 1 on the live path fails the gate</t>
  </si>
  <si>
    <t xml:space="preserve">1. npm run prove:gates 2&gt;&amp;1 | grep forecast-realism</t>
  </si>
  <si>
    <t xml:space="preserve">PROVED forecast-realism / PPX-08.</t>
  </si>
  <si>
    <t xml:space="preserve">TC-v036-16</t>
  </si>
  <si>
    <t xml:space="preserve">P1-7 ledger</t>
  </si>
  <si>
    <t xml:space="preserve">Forecast snapshots are recorded and read back via /api/forecast/history</t>
  </si>
  <si>
    <t xml:space="preserve">1. cd flowcast
2. npx jest tests/forecastDataPath.test.ts -t "history|ledger" --verbose
3. Read the test names printed and the summary line</t>
  </si>
  <si>
    <t xml:space="preserve">In-memory and Postgres ledger tests pass; history route returns the recorded snapshot; cascade delete removes it.</t>
  </si>
  <si>
    <t xml:space="preserve">TC-v036-17</t>
  </si>
  <si>
    <t xml:space="preserve">PPX-09 / P1-3</t>
  </si>
  <si>
    <t xml:space="preserve">No file-level exemption remains for feature modules</t>
  </si>
  <si>
    <t xml:space="preserve">1. grep -n "scenarioSliders.ts'\|ui/" tests/reachabilityGate.test.ts | head</t>
  </si>
  <si>
    <t xml:space="preserve">scenarioSliders.ts appears only in the "no file-level exemption" assertion; ui/* entries are KNOWN_GAPS with expires 2026-12-31, not ENTRY_POINTS.</t>
  </si>
  <si>
    <t xml:space="preserve">TC-v036-18</t>
  </si>
  <si>
    <t xml:space="preserve">E6-F3..F6</t>
  </si>
  <si>
    <t xml:space="preserve">The four boot-composition gaps are visible, dated and will fail the build on 1 Nov 2026</t>
  </si>
  <si>
    <t xml:space="preserve">1. grep -n "expires: '2026-10-31'" tests/reachabilityGate.test.ts | wc -l
2. Read the R-F14..R-F17 comment block</t>
  </si>
  <si>
    <t xml:space="preserve">Count ≥ 19; each names a risk id R-F14..R-F17 and a finding E6-F3..F6.</t>
  </si>
  <si>
    <t xml:space="preserve">TC-v036-19</t>
  </si>
  <si>
    <t xml:space="preserve">PPX-01 live</t>
  </si>
  <si>
    <t xml:space="preserve">Live forecast against the dev org matches the Xero bank summary</t>
  </si>
  <si>
    <t xml:space="preserve">1. Install the dev org via /auth/start
2. GET /api/forecast with the operator token and that tenant
3. In Xero, run Reports → Bank Summary to today
4. Compare openingBalance to the report total; compare sources.receivables to Awaiting Payment sales invoices count</t>
  </si>
  <si>
    <t xml:space="preserve">openingBalance equals the Bank Summary closing total to the penny; receivables count matches; no supplier bill appears as inflow; currency equals the org base currency.</t>
  </si>
  <si>
    <t xml:space="preserve">TC-v036-20</t>
  </si>
  <si>
    <t xml:space="preserve">PPX-04 live</t>
  </si>
  <si>
    <t xml:space="preserve">Observe the real X-DayLimit-Remaining header and tier</t>
  </si>
  <si>
    <t xml:space="preserve">1. Make one authenticated call and log response headers
2. Compare X-DayLimit-Remaining to XERO_DAILY_LIMIT</t>
  </si>
  <si>
    <t xml:space="preserve">Header present; remaining ≤ 1,000 at Starter tier (or the tier Xero reports); local budget reconciles to it.</t>
  </si>
  <si>
    <t xml:space="preserve">TC-v036-21</t>
  </si>
  <si>
    <t xml:space="preserve">PPX-03 live</t>
  </si>
  <si>
    <t xml:space="preserve">XASS deprecation confirmed in the partner portal</t>
  </si>
  <si>
    <t xml:space="preserve">BLOCKED: needs the App Store partner account (Handover #4).</t>
  </si>
  <si>
    <t xml:space="preserve">1. Open the partner portal billing section
2. Confirm no in-store subscription option is offered for new apps</t>
  </si>
  <si>
    <t xml:space="preserve">Confirms PA-11 contradicted status; feeds PPX-D4.</t>
  </si>
  <si>
    <t xml:space="preserve">TEST EXECUTION LOG — one row per run</t>
  </si>
  <si>
    <t xml:space="preserve">Append only. Example row shows the expected format; replace it with real runs.</t>
  </si>
  <si>
    <t xml:space="preserve">Run ID</t>
  </si>
  <si>
    <t xml:space="preserve">Version under test</t>
  </si>
  <si>
    <t xml:space="preserve">Observed</t>
  </si>
  <si>
    <t xml:space="preserve">Duration (min)</t>
  </si>
  <si>
    <t xml:space="preserve">RUN-001</t>
  </si>
  <si>
    <t xml:space="preserve">2026-09-2x hh:mm</t>
  </si>
  <si>
    <t xml:space="preserve">v036 (code 0.30.0)</t>
  </si>
  <si>
    <t xml:space="preserve">Sandbox, Node 22.22</t>
  </si>
  <si>
    <t xml:space="preserve">(name)</t>
  </si>
  <si>
    <t xml:space="preserve">EXAMPLE ROW — e.g. "49 suites / 719 tests; All files 100|100|100|100; grep exit=1"</t>
  </si>
  <si>
    <t xml:space="preserve">TEST TRACEABILITY — case → version → story/finding → gate</t>
  </si>
  <si>
    <t xml:space="preserve">Filter by Version to get the re-run set for a release; filter by Story/finding to answer "what covers X?".</t>
  </si>
  <si>
    <t xml:space="preserve">Story / finding</t>
  </si>
  <si>
    <t xml:space="preserve">Automated gate that also covers it</t>
  </si>
  <si>
    <t xml:space="preserve">Evidence class</t>
  </si>
  <si>
    <t xml:space="preserve">Sandbox suite</t>
  </si>
  <si>
    <t xml:space="preserve">supplyChainGate (stale-claim)</t>
  </si>
  <si>
    <t xml:space="preserve">Live sweep</t>
  </si>
  <si>
    <t xml:space="preserve">platformLimitsGate</t>
  </si>
  <si>
    <t xml:space="preserve">publishedClaimsGate</t>
  </si>
  <si>
    <t xml:space="preserve">reachabilityGate</t>
  </si>
  <si>
    <t xml:space="preserve">tenantIsolationGate</t>
  </si>
  <si>
    <t xml:space="preserve">migrationSafetyGate</t>
  </si>
  <si>
    <t xml:space="preserve">asyncOwnershipGate</t>
  </si>
  <si>
    <t xml:space="preserve">docFreshnessGate</t>
  </si>
  <si>
    <t xml:space="preserve">supplyChainGate</t>
  </si>
  <si>
    <t xml:space="preserve">evidence manifest</t>
  </si>
  <si>
    <t xml:space="preserve">environmentReview (fail-closed boot)</t>
  </si>
  <si>
    <t xml:space="preserve">invoiceTypeGate</t>
  </si>
  <si>
    <t xml:space="preserve">dataPathGate / reachabilityGate</t>
  </si>
  <si>
    <t xml:space="preserve">currencyGate</t>
  </si>
  <si>
    <t xml:space="preserve">platformDriftGate</t>
  </si>
  <si>
    <t xml:space="preserve">forecastRealismGate</t>
  </si>
  <si>
    <t xml:space="preserve">DEFECT LOG — found by manual execution</t>
  </si>
  <si>
    <t xml:space="preserve">MT-nnn ids. Never delete; a fixed defect gets the fixing version and the regression test that pins it.</t>
  </si>
  <si>
    <t xml:space="preserve">Found by case</t>
  </si>
  <si>
    <t xml:space="preserve">Version found</t>
  </si>
  <si>
    <t xml:space="preserve">Severity</t>
  </si>
  <si>
    <t xml:space="preserve">Description</t>
  </si>
  <si>
    <t xml:space="preserve">Steps to reproduce</t>
  </si>
  <si>
    <t xml:space="preserve">Fixed in version</t>
  </si>
  <si>
    <t xml:space="preserve">Regression test</t>
  </si>
  <si>
    <t xml:space="preserve">MT-000</t>
  </si>
  <si>
    <t xml:space="preserve">2026-09-20</t>
  </si>
  <si>
    <t xml:space="preserve">Info</t>
  </si>
  <si>
    <t xml:space="preserve">EXAMPLE ROW — GET /api/forecast returns 502 for an uninstalled tenant; by design (honest refusal, no fixture fallback). Not a defect; recorded to show the format.</t>
  </si>
  <si>
    <t xml:space="preserve">See TC-v036-03 step 3</t>
  </si>
  <si>
    <t xml:space="preserve">Closed — by design</t>
  </si>
  <si>
    <t xml:space="preserve">tests/forecastDataPath.test.ts "upstream Xero failure is a 502"</t>
  </si>
  <si>
    <t xml:space="preserve">Replace this row with real defects</t>
  </si>
  <si>
    <t xml:space="preserve">SIGN-OFF — per version</t>
  </si>
  <si>
    <t xml:space="preserve">Verdict: Accepted / Accepted with defects / Rejected / Blocked. Blank until executed.</t>
  </si>
  <si>
    <t xml:space="preserve">Cases run</t>
  </si>
  <si>
    <t xml:space="preserve">Executed by / date</t>
  </si>
  <si>
    <t xml:space="preserve">Reviewed by / date</t>
  </si>
  <si>
    <t xml:space="preserve">Verdict</t>
  </si>
  <si>
    <t xml:space="preserve">Comments</t>
  </si>
  <si>
    <t xml:space="preserve">GLOSSARY</t>
  </si>
  <si>
    <t xml:space="preserve">Term</t>
  </si>
  <si>
    <t xml:space="preserve">Meaning</t>
  </si>
  <si>
    <t xml:space="preserve">D13</t>
  </si>
  <si>
    <t xml:space="preserve">Portfolio rule: 100% automated coverage on all four metrics, zero pragmas; discovery interviews parked.</t>
  </si>
  <si>
    <t xml:space="preserve">D-F2 vocabulary</t>
  </si>
  <si>
    <t xml:space="preserve">Done / Code-complete — pending live / Drafted / In progress / Not started — see Context.</t>
  </si>
  <si>
    <t xml:space="preserve">A Jest test that fails the build when a class of shipped defect is reintroduced. "Proved" = prove-gates.js reintroduced the real defect and the gate failed.</t>
  </si>
  <si>
    <t xml:space="preserve">prove:gates</t>
  </si>
  <si>
    <t xml:space="preserve">npm script running gates/prove-gates.js: 15 mutations against real source; exit 0 only when all PROVED.</t>
  </si>
  <si>
    <t xml:space="preserve">Enhancement pool</t>
  </si>
  <si>
    <t xml:space="preserve">Second point pool (D-F7) for corrective work from reviews, keeping the 399-point baseline honest.</t>
  </si>
  <si>
    <t xml:space="preserve">PPX-nn / FC-Rnnn / E6-Fn</t>
  </si>
  <si>
    <t xml:space="preserve">Findings from Perplexity V001 / ChatGPT V001 / sprint E6 respectively.</t>
  </si>
  <si>
    <t xml:space="preserve">KNOWN_GAP</t>
  </si>
  <si>
    <t xml:space="preserve">Reachability-gate exemption naming a RAID risk and an expiry date; the build fails when the date passes.</t>
  </si>
  <si>
    <t xml:space="preserve">The 12-step scripted verification against a real Xero dev org (docs/live-sweep/verification-sweep.md). Not yet run.</t>
  </si>
  <si>
    <t xml:space="preserve">Operator session</t>
  </si>
  <si>
    <t xml:space="preserve">x-flowcast-operator token + x-flowcast-tenant header → owner session for the forecast routes. Not a user login (THREAT_MODEL.md E6 addendum).</t>
  </si>
  <si>
    <t xml:space="preserve">XASS</t>
  </si>
  <si>
    <t xml:space="preserve">Xero App Store Subscriptions — in-store billing, deprecated by Xero effective March 2026 (PPX-03).</t>
  </si>
  <si>
    <t xml:space="preserve">Sandbox / Live — BLOCKED / Doc review</t>
  </si>
  <si>
    <t xml:space="preserve">Test modes: runnable today in the unzipped code; written in full but needs an environment or decision; a reading check of an artefact.</t>
  </si>
</sst>
</file>

<file path=xl/styles.xml><?xml version="1.0" encoding="utf-8"?>
<styleSheet xmlns="http://schemas.openxmlformats.org/spreadsheetml/2006/main">
  <numFmts count="2">
    <numFmt numFmtId="164" formatCode="General"/>
    <numFmt numFmtId="165" formatCode="General"/>
  </numFmts>
  <fonts count="9">
    <font>
      <sz val="11"/>
      <color theme="1"/>
      <name val="Calibri"/>
      <family val="2"/>
      <charset val="1"/>
    </font>
    <font>
      <sz val="10"/>
      <name val="Arial"/>
      <family val="0"/>
    </font>
    <font>
      <sz val="10"/>
      <name val="Arial"/>
      <family val="0"/>
    </font>
    <font>
      <sz val="10"/>
      <name val="Arial"/>
      <family val="0"/>
    </font>
    <font>
      <b val="true"/>
      <sz val="16"/>
      <color rgb="FF2F5496"/>
      <name val="Arial"/>
      <family val="0"/>
      <charset val="1"/>
    </font>
    <font>
      <b val="true"/>
      <sz val="10"/>
      <name val="Arial"/>
      <family val="0"/>
      <charset val="1"/>
    </font>
    <font>
      <sz val="10"/>
      <name val="Arial"/>
      <family val="0"/>
      <charset val="1"/>
    </font>
    <font>
      <i val="true"/>
      <sz val="10"/>
      <color rgb="FF8A8F98"/>
      <name val="Arial"/>
      <family val="0"/>
      <charset val="1"/>
    </font>
    <font>
      <b val="true"/>
      <sz val="10"/>
      <color rgb="FFFFFFFF"/>
      <name val="Arial"/>
      <family val="0"/>
      <charset val="1"/>
    </font>
  </fonts>
  <fills count="8">
    <fill>
      <patternFill patternType="none"/>
    </fill>
    <fill>
      <patternFill patternType="gray125"/>
    </fill>
    <fill>
      <patternFill patternType="solid">
        <fgColor rgb="FF2F5496"/>
        <bgColor rgb="FF666699"/>
      </patternFill>
    </fill>
    <fill>
      <patternFill patternType="solid">
        <fgColor rgb="FFE4F3EA"/>
        <bgColor rgb="FFEEF0F3"/>
      </patternFill>
    </fill>
    <fill>
      <patternFill patternType="solid">
        <fgColor rgb="FFFCEFD9"/>
        <bgColor rgb="FFFFF2CC"/>
      </patternFill>
    </fill>
    <fill>
      <patternFill patternType="solid">
        <fgColor rgb="FFFFF2CC"/>
        <bgColor rgb="FFFCEFD9"/>
      </patternFill>
    </fill>
    <fill>
      <patternFill patternType="solid">
        <fgColor rgb="FFEEF0F3"/>
        <bgColor rgb="FFE4F3EA"/>
      </patternFill>
    </fill>
    <fill>
      <patternFill patternType="solid">
        <fgColor rgb="FFF8DEDB"/>
        <bgColor rgb="FFFCEFD9"/>
      </patternFill>
    </fill>
  </fills>
  <borders count="2">
    <border diagonalUp="false" diagonalDown="false">
      <left/>
      <right/>
      <top/>
      <bottom/>
      <diagonal/>
    </border>
    <border diagonalUp="false" diagonalDown="false">
      <left style="thin">
        <color rgb="FFD9DEE5"/>
      </left>
      <right style="thin">
        <color rgb="FFD9DEE5"/>
      </right>
      <top style="thin">
        <color rgb="FFD9DEE5"/>
      </top>
      <bottom style="thin">
        <color rgb="FFD9DEE5"/>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6" fillId="6" borderId="1" xfId="0" applyFont="true" applyBorder="true" applyAlignment="true" applyProtection="false">
      <alignment horizontal="general" vertical="top" textRotation="0" wrapText="true" indent="0" shrinkToFit="false"/>
      <protection locked="true" hidden="false"/>
    </xf>
    <xf numFmtId="164" fontId="6" fillId="7"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2F5496"/>
          <bgColor rgb="FF000000"/>
        </patternFill>
      </fill>
    </dxf>
    <dxf>
      <fill>
        <patternFill patternType="solid">
          <bgColor rgb="FF000000"/>
        </patternFill>
      </fill>
    </dxf>
    <dxf>
      <fill>
        <patternFill patternType="solid">
          <fgColor rgb="FFFFFFFF"/>
          <bgColor rgb="FF000000"/>
        </patternFill>
      </fill>
    </dxf>
    <dxf>
      <fill>
        <patternFill patternType="solid">
          <fgColor rgb="FFE4F3EA"/>
          <bgColor rgb="FF000000"/>
        </patternFill>
      </fill>
    </dxf>
    <dxf>
      <fill>
        <patternFill patternType="solid">
          <fgColor rgb="FFFCEFD9"/>
          <bgColor rgb="FF000000"/>
        </patternFill>
      </fill>
    </dxf>
    <dxf>
      <fill>
        <patternFill patternType="solid">
          <fgColor rgb="FFF8DEDB"/>
          <bgColor rgb="FF000000"/>
        </patternFill>
      </fill>
    </dxf>
    <dxf>
      <fill>
        <patternFill patternType="solid">
          <fgColor rgb="FFEEF0F3"/>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E4F3EA"/>
      <rgbColor rgb="FF660066"/>
      <rgbColor rgb="FFFF8080"/>
      <rgbColor rgb="FF0066CC"/>
      <rgbColor rgb="FFD9DEE5"/>
      <rgbColor rgb="FF000080"/>
      <rgbColor rgb="FFFF00FF"/>
      <rgbColor rgb="FFFFFF00"/>
      <rgbColor rgb="FF00FFFF"/>
      <rgbColor rgb="FF800080"/>
      <rgbColor rgb="FF800000"/>
      <rgbColor rgb="FF008080"/>
      <rgbColor rgb="FF0000FF"/>
      <rgbColor rgb="FF00CCFF"/>
      <rgbColor rgb="FFEEF0F3"/>
      <rgbColor rgb="FFCCFFCC"/>
      <rgbColor rgb="FFFCEFD9"/>
      <rgbColor rgb="FF99CCFF"/>
      <rgbColor rgb="FFFF99CC"/>
      <rgbColor rgb="FFCC99FF"/>
      <rgbColor rgb="FFF8DEDB"/>
      <rgbColor rgb="FF3366FF"/>
      <rgbColor rgb="FF33CCCC"/>
      <rgbColor rgb="FF99CC00"/>
      <rgbColor rgb="FFFFCC00"/>
      <rgbColor rgb="FFFF9900"/>
      <rgbColor rgb="FFFF6600"/>
      <rgbColor rgb="FF666699"/>
      <rgbColor rgb="FF8A8F98"/>
      <rgbColor rgb="FF003366"/>
      <rgbColor rgb="FF339966"/>
      <rgbColor rgb="FF003300"/>
      <rgbColor rgb="FF333300"/>
      <rgbColor rgb="FF993300"/>
      <rgbColor rgb="FF993366"/>
      <rgbColor rgb="FF2F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_rels/sheet7.xml.rels><?xml version="1.0" encoding="UTF-8"?>
<Relationships xmlns="http://schemas.openxmlformats.org/package/2006/relationships"><Relationship Id="rId1" Type="http://schemas.openxmlformats.org/officeDocument/2006/relationships/drawing" Target="../drawings/drawing3.xml"/>
</Relationships>
</file>

<file path=xl/worksheets/_rels/sheet8.xml.rels><?xml version="1.0" encoding="UTF-8"?>
<Relationships xmlns="http://schemas.openxmlformats.org/package/2006/relationships"><Relationship Id="rId1" Type="http://schemas.openxmlformats.org/officeDocument/2006/relationships/drawing" Target="../drawings/drawing4.xml"/>
</Relationships>
</file>

<file path=xl/worksheets/_rels/sheet9.xml.rels><?xml version="1.0" encoding="UTF-8"?>
<Relationships xmlns="http://schemas.openxmlformats.org/package/2006/relationships"><Relationship Id="rId1" Type="http://schemas.openxmlformats.org/officeDocument/2006/relationships/drawing" Target="../drawings/drawing5.xml"/>
</Relationships>
</file>

<file path=xl/worksheets/_rels/sheet10.xml.rels><?xml version="1.0" encoding="UTF-8"?>
<Relationships xmlns="http://schemas.openxmlformats.org/package/2006/relationships"><Relationship Id="rId1" Type="http://schemas.openxmlformats.org/officeDocument/2006/relationships/drawing" Target="../drawings/drawing6.xml"/>
</Relationships>
</file>

<file path=xl/worksheets/_rels/sheet11.xml.rels><?xml version="1.0" encoding="UTF-8"?>
<Relationships xmlns="http://schemas.openxmlformats.org/package/2006/relationships"><Relationship Id="rId1" Type="http://schemas.openxmlformats.org/officeDocument/2006/relationships/drawing" Target="../drawings/drawing7.xml"/>
</Relationships>
</file>

<file path=xl/worksheets/_rels/sheet12.xml.rels><?xml version="1.0" encoding="UTF-8"?>
<Relationships xmlns="http://schemas.openxmlformats.org/package/2006/relationships"><Relationship Id="rId1" Type="http://schemas.openxmlformats.org/officeDocument/2006/relationships/drawing" Target="../drawings/drawing8.xml"/>
</Relationships>
</file>

<file path=xl/worksheets/_rels/sheet13.xml.rels><?xml version="1.0" encoding="UTF-8"?>
<Relationships xmlns="http://schemas.openxmlformats.org/package/2006/relationships"><Relationship Id="rId1" Type="http://schemas.openxmlformats.org/officeDocument/2006/relationships/drawing" Target="../drawings/drawing9.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10"/>
  </cols>
  <sheetData>
    <row r="1" customFormat="false" ht="70.1"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2" t="s">
        <v>1</v>
      </c>
      <c r="B3" s="3" t="s">
        <v>2</v>
      </c>
    </row>
    <row r="4" customFormat="false" ht="15" hidden="false" customHeight="false" outlineLevel="0" collapsed="false">
      <c r="A4" s="2" t="s">
        <v>3</v>
      </c>
      <c r="B4" s="3" t="s">
        <v>4</v>
      </c>
    </row>
    <row r="5" customFormat="false" ht="15" hidden="false" customHeight="false" outlineLevel="0" collapsed="false">
      <c r="A5" s="2" t="s">
        <v>5</v>
      </c>
      <c r="B5" s="3" t="s">
        <v>6</v>
      </c>
    </row>
    <row r="6" customFormat="false" ht="15" hidden="false" customHeight="false" outlineLevel="0" collapsed="false">
      <c r="A6" s="2" t="s">
        <v>7</v>
      </c>
      <c r="B6" s="3" t="s">
        <v>8</v>
      </c>
    </row>
    <row r="7" customFormat="false" ht="15" hidden="false" customHeight="false" outlineLevel="0" collapsed="false">
      <c r="A7" s="2" t="s">
        <v>9</v>
      </c>
      <c r="B7" s="3" t="s">
        <v>10</v>
      </c>
    </row>
    <row r="8" customFormat="false" ht="15" hidden="false" customHeight="false" outlineLevel="0" collapsed="false">
      <c r="A8" s="2" t="s">
        <v>11</v>
      </c>
      <c r="B8" s="3" t="s">
        <v>12</v>
      </c>
    </row>
    <row r="9" customFormat="false" ht="35.05" hidden="false" customHeight="false" outlineLevel="0" collapsed="false">
      <c r="A9" s="2" t="s">
        <v>13</v>
      </c>
      <c r="B9" s="3" t="s">
        <v>14</v>
      </c>
    </row>
    <row r="10" customFormat="false" ht="35.05" hidden="false" customHeight="false" outlineLevel="0" collapsed="false">
      <c r="A10" s="2" t="s">
        <v>15</v>
      </c>
      <c r="B10" s="3" t="s">
        <v>16</v>
      </c>
    </row>
    <row r="11" customFormat="false" ht="15" hidden="false" customHeight="false" outlineLevel="0" collapsed="false">
      <c r="A11" s="2" t="s">
        <v>17</v>
      </c>
      <c r="B11" s="3" t="s">
        <v>18</v>
      </c>
    </row>
    <row r="12" customFormat="false" ht="23.85" hidden="false" customHeight="false" outlineLevel="0" collapsed="false">
      <c r="A12" s="2" t="s">
        <v>19</v>
      </c>
      <c r="B12" s="3" t="s">
        <v>20</v>
      </c>
    </row>
    <row r="13" customFormat="false" ht="15" hidden="false" customHeight="false" outlineLevel="0" collapsed="false">
      <c r="A13" s="2" t="s">
        <v>21</v>
      </c>
      <c r="B13" s="3" t="s">
        <v>22</v>
      </c>
    </row>
    <row r="14" customFormat="false" ht="23.85" hidden="false" customHeight="false" outlineLevel="0" collapsed="false">
      <c r="A14" s="2" t="s">
        <v>23</v>
      </c>
      <c r="B14" s="3" t="s">
        <v>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8"/>
    <col collapsed="false" customWidth="true" hidden="false" outlineLevel="0" max="3" min="3" style="0" width="22"/>
    <col collapsed="false" customWidth="true" hidden="false" outlineLevel="0" max="4" min="4" style="0" width="110"/>
    <col collapsed="false" customWidth="true" hidden="false" outlineLevel="0" max="5" min="5" style="0" width="12"/>
  </cols>
  <sheetData>
    <row r="1" customFormat="false" ht="19.7" hidden="false" customHeight="false" outlineLevel="0" collapsed="false">
      <c r="A1" s="4" t="s">
        <v>25</v>
      </c>
    </row>
    <row r="2" customFormat="false" ht="15" hidden="false" customHeight="false" outlineLevel="0" collapsed="false">
      <c r="A2" s="5" t="s">
        <v>26</v>
      </c>
    </row>
    <row r="4" customFormat="false" ht="15" hidden="false" customHeight="false" outlineLevel="0" collapsed="false">
      <c r="A4" s="6" t="s">
        <v>27</v>
      </c>
      <c r="B4" s="6" t="s">
        <v>28</v>
      </c>
      <c r="C4" s="6" t="s">
        <v>9</v>
      </c>
      <c r="D4" s="6" t="s">
        <v>29</v>
      </c>
      <c r="E4" s="6" t="s">
        <v>11</v>
      </c>
    </row>
    <row r="5" customFormat="false" ht="35.05" hidden="false" customHeight="false" outlineLevel="0" collapsed="false">
      <c r="A5" s="7" t="s">
        <v>6</v>
      </c>
      <c r="B5" s="7" t="s">
        <v>30</v>
      </c>
      <c r="C5" s="7" t="s">
        <v>10</v>
      </c>
      <c r="D5" s="7" t="s">
        <v>31</v>
      </c>
      <c r="E5" s="8" t="s">
        <v>32</v>
      </c>
    </row>
    <row r="6" customFormat="false" ht="15" hidden="false" customHeight="false" outlineLevel="0" collapsed="false">
      <c r="A6" s="7" t="s">
        <v>33</v>
      </c>
      <c r="B6" s="7" t="s">
        <v>34</v>
      </c>
      <c r="C6" s="7" t="s">
        <v>35</v>
      </c>
      <c r="D6" s="7" t="s">
        <v>36</v>
      </c>
      <c r="E6" s="9" t="s">
        <v>37</v>
      </c>
    </row>
  </sheetData>
  <autoFilter ref="A4:E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0"/>
  </cols>
  <sheetData>
    <row r="1" customFormat="false" ht="19.7" hidden="false" customHeight="false" outlineLevel="0" collapsed="false">
      <c r="A1" s="1" t="s">
        <v>38</v>
      </c>
    </row>
    <row r="2" customFormat="false" ht="35.05" hidden="false" customHeight="false" outlineLevel="0" collapsed="false">
      <c r="A2" s="3" t="s">
        <v>39</v>
      </c>
    </row>
    <row r="3" customFormat="false" ht="35.05" hidden="false" customHeight="false" outlineLevel="0" collapsed="false">
      <c r="A3" s="3" t="s">
        <v>40</v>
      </c>
    </row>
    <row r="4" customFormat="false" ht="35.05" hidden="false" customHeight="false" outlineLevel="0" collapsed="false">
      <c r="A4" s="3" t="s">
        <v>41</v>
      </c>
    </row>
    <row r="5" customFormat="false" ht="35.05" hidden="false" customHeight="false" outlineLevel="0" collapsed="false">
      <c r="A5" s="3" t="s">
        <v>42</v>
      </c>
    </row>
    <row r="6" customFormat="false" ht="23.85" hidden="false" customHeight="false" outlineLevel="0" collapsed="false">
      <c r="A6" s="3" t="s">
        <v>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20"/>
  </cols>
  <sheetData>
    <row r="1" customFormat="false" ht="35.8" hidden="false" customHeight="false" outlineLevel="0" collapsed="false">
      <c r="A1" s="1" t="s">
        <v>44</v>
      </c>
      <c r="B1" s="3"/>
    </row>
    <row r="2" customFormat="false" ht="15" hidden="false" customHeight="false" outlineLevel="0" collapsed="false">
      <c r="A2" s="2" t="s">
        <v>45</v>
      </c>
      <c r="B2" s="3" t="s">
        <v>46</v>
      </c>
    </row>
    <row r="3" customFormat="false" ht="23.85" hidden="false" customHeight="false" outlineLevel="0" collapsed="false">
      <c r="A3" s="2" t="s">
        <v>47</v>
      </c>
      <c r="B3" s="3" t="s">
        <v>48</v>
      </c>
    </row>
    <row r="4" customFormat="false" ht="23.85" hidden="false" customHeight="false" outlineLevel="0" collapsed="false">
      <c r="A4" s="2" t="s">
        <v>49</v>
      </c>
      <c r="B4" s="3" t="s">
        <v>50</v>
      </c>
    </row>
    <row r="5" customFormat="false" ht="35.05" hidden="false" customHeight="false" outlineLevel="0" collapsed="false">
      <c r="A5" s="2" t="s">
        <v>51</v>
      </c>
      <c r="B5" s="3" t="s">
        <v>52</v>
      </c>
    </row>
    <row r="6" customFormat="false" ht="23.85" hidden="false" customHeight="false" outlineLevel="0" collapsed="false">
      <c r="A6" s="2" t="s">
        <v>53</v>
      </c>
      <c r="B6" s="3" t="s">
        <v>54</v>
      </c>
    </row>
    <row r="7" customFormat="false" ht="15" hidden="false" customHeight="false" outlineLevel="0" collapsed="false">
      <c r="A7" s="2" t="s">
        <v>55</v>
      </c>
      <c r="B7" s="3" t="s">
        <v>56</v>
      </c>
    </row>
    <row r="8" customFormat="false" ht="23.85" hidden="false" customHeight="false" outlineLevel="0" collapsed="false">
      <c r="A8" s="2" t="s">
        <v>57</v>
      </c>
      <c r="B8" s="3" t="s">
        <v>58</v>
      </c>
    </row>
    <row r="9" customFormat="false" ht="15" hidden="false" customHeight="false" outlineLevel="0" collapsed="false">
      <c r="A9" s="2" t="s">
        <v>59</v>
      </c>
      <c r="B9" s="3" t="s">
        <v>60</v>
      </c>
    </row>
    <row r="10" customFormat="false" ht="35.05" hidden="false" customHeight="false" outlineLevel="0" collapsed="false">
      <c r="A10" s="2" t="s">
        <v>61</v>
      </c>
      <c r="B10" s="3" t="s">
        <v>62</v>
      </c>
    </row>
    <row r="11" customFormat="false" ht="46.25" hidden="false" customHeight="false" outlineLevel="0" collapsed="false">
      <c r="A11" s="2" t="s">
        <v>63</v>
      </c>
      <c r="B11" s="3" t="s">
        <v>64</v>
      </c>
    </row>
    <row r="12" customFormat="false" ht="23.85" hidden="false" customHeight="false" outlineLevel="0" collapsed="false">
      <c r="A12" s="2" t="s">
        <v>65</v>
      </c>
      <c r="B12" s="3" t="s">
        <v>66</v>
      </c>
    </row>
    <row r="13" customFormat="false" ht="15" hidden="false" customHeight="false" outlineLevel="0" collapsed="false">
      <c r="A13" s="2" t="s">
        <v>67</v>
      </c>
      <c r="B13" s="3" t="s">
        <v>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0" min="1" style="0" width="14"/>
  </cols>
  <sheetData>
    <row r="1" customFormat="false" ht="19.7" hidden="false" customHeight="false" outlineLevel="0" collapsed="false">
      <c r="A1" s="4" t="s">
        <v>69</v>
      </c>
    </row>
    <row r="3" customFormat="false" ht="15" hidden="false" customHeight="false" outlineLevel="0" collapsed="false">
      <c r="A3" s="10" t="s">
        <v>27</v>
      </c>
      <c r="B3" s="10" t="s">
        <v>70</v>
      </c>
      <c r="C3" s="10" t="s">
        <v>71</v>
      </c>
      <c r="D3" s="10" t="s">
        <v>72</v>
      </c>
      <c r="E3" s="10" t="s">
        <v>73</v>
      </c>
      <c r="F3" s="10" t="s">
        <v>74</v>
      </c>
      <c r="G3" s="10" t="s">
        <v>75</v>
      </c>
      <c r="H3" s="10" t="s">
        <v>76</v>
      </c>
      <c r="I3" s="10" t="s">
        <v>77</v>
      </c>
      <c r="J3" s="10" t="s">
        <v>78</v>
      </c>
    </row>
    <row r="4" customFormat="false" ht="15" hidden="false" customHeight="false" outlineLevel="0" collapsed="false">
      <c r="A4" s="11" t="s">
        <v>79</v>
      </c>
      <c r="B4" s="11" t="n">
        <f aca="false">COUNTIF(Manual_Test_Cases!$B$5:$B$95,A4)</f>
        <v>4</v>
      </c>
      <c r="C4" s="11" t="n">
        <f aca="false">COUNTIFS(Manual_Test_Cases!$B$5:$B$95,A4,Manual_Test_Cases!$E$5:$E$95,"Positive")</f>
        <v>2</v>
      </c>
      <c r="D4" s="11" t="n">
        <f aca="false">COUNTIFS(Manual_Test_Cases!$B$5:$B$95,A4,Manual_Test_Cases!$E$5:$E$95,"Negative")</f>
        <v>2</v>
      </c>
      <c r="E4" s="11" t="n">
        <f aca="false">COUNTIFS(Manual_Test_Cases!$B$5:$B$95,A4,Manual_Test_Cases!$F$5:$F$95,"Sandbox")</f>
        <v>4</v>
      </c>
      <c r="F4" s="11" t="n">
        <f aca="false">COUNTIFS(Manual_Test_Cases!$B$5:$B$95,A4,Manual_Test_Cases!$F$5:$F$95,"Live — BLOCKED")</f>
        <v>0</v>
      </c>
      <c r="G4" s="11" t="n">
        <f aca="false">COUNTIFS(Manual_Test_Cases!$B$5:$B$95,A4,Manual_Test_Cases!$K$5:$K$95,"Pass")</f>
        <v>0</v>
      </c>
      <c r="H4" s="11" t="n">
        <f aca="false">COUNTIFS(Manual_Test_Cases!$B$5:$B$95,A4,Manual_Test_Cases!$K$5:$K$95,"Fail")</f>
        <v>0</v>
      </c>
      <c r="I4" s="11" t="n">
        <f aca="false">COUNTIFS(Manual_Test_Cases!$B$5:$B$95,A4,Manual_Test_Cases!$K$5:$K$95,"Blocked")</f>
        <v>0</v>
      </c>
      <c r="J4" s="11" t="n">
        <f aca="false">COUNTIFS(Manual_Test_Cases!$B$5:$B$95,A4,Manual_Test_Cases!$K$5:$K$95,"Not run")</f>
        <v>4</v>
      </c>
    </row>
    <row r="5" customFormat="false" ht="15" hidden="false" customHeight="false" outlineLevel="0" collapsed="false">
      <c r="A5" s="11" t="s">
        <v>80</v>
      </c>
      <c r="B5" s="11" t="n">
        <f aca="false">COUNTIF(Manual_Test_Cases!$B$5:$B$95,A5)</f>
        <v>3</v>
      </c>
      <c r="C5" s="11" t="n">
        <f aca="false">COUNTIFS(Manual_Test_Cases!$B$5:$B$95,A5,Manual_Test_Cases!$E$5:$E$95,"Positive")</f>
        <v>2</v>
      </c>
      <c r="D5" s="11" t="n">
        <f aca="false">COUNTIFS(Manual_Test_Cases!$B$5:$B$95,A5,Manual_Test_Cases!$E$5:$E$95,"Negative")</f>
        <v>1</v>
      </c>
      <c r="E5" s="11" t="n">
        <f aca="false">COUNTIFS(Manual_Test_Cases!$B$5:$B$95,A5,Manual_Test_Cases!$F$5:$F$95,"Sandbox")</f>
        <v>2</v>
      </c>
      <c r="F5" s="11" t="n">
        <f aca="false">COUNTIFS(Manual_Test_Cases!$B$5:$B$95,A5,Manual_Test_Cases!$F$5:$F$95,"Live — BLOCKED")</f>
        <v>0</v>
      </c>
      <c r="G5" s="11" t="n">
        <f aca="false">COUNTIFS(Manual_Test_Cases!$B$5:$B$95,A5,Manual_Test_Cases!$K$5:$K$95,"Pass")</f>
        <v>0</v>
      </c>
      <c r="H5" s="11" t="n">
        <f aca="false">COUNTIFS(Manual_Test_Cases!$B$5:$B$95,A5,Manual_Test_Cases!$K$5:$K$95,"Fail")</f>
        <v>0</v>
      </c>
      <c r="I5" s="11" t="n">
        <f aca="false">COUNTIFS(Manual_Test_Cases!$B$5:$B$95,A5,Manual_Test_Cases!$K$5:$K$95,"Blocked")</f>
        <v>0</v>
      </c>
      <c r="J5" s="11" t="n">
        <f aca="false">COUNTIFS(Manual_Test_Cases!$B$5:$B$95,A5,Manual_Test_Cases!$K$5:$K$95,"Not run")</f>
        <v>3</v>
      </c>
    </row>
    <row r="6" customFormat="false" ht="15" hidden="false" customHeight="false" outlineLevel="0" collapsed="false">
      <c r="A6" s="11" t="s">
        <v>81</v>
      </c>
      <c r="B6" s="11" t="n">
        <f aca="false">COUNTIF(Manual_Test_Cases!$B$5:$B$95,A6)</f>
        <v>3</v>
      </c>
      <c r="C6" s="11" t="n">
        <f aca="false">COUNTIFS(Manual_Test_Cases!$B$5:$B$95,A6,Manual_Test_Cases!$E$5:$E$95,"Positive")</f>
        <v>3</v>
      </c>
      <c r="D6" s="11" t="n">
        <f aca="false">COUNTIFS(Manual_Test_Cases!$B$5:$B$95,A6,Manual_Test_Cases!$E$5:$E$95,"Negative")</f>
        <v>0</v>
      </c>
      <c r="E6" s="11" t="n">
        <f aca="false">COUNTIFS(Manual_Test_Cases!$B$5:$B$95,A6,Manual_Test_Cases!$F$5:$F$95,"Sandbox")</f>
        <v>3</v>
      </c>
      <c r="F6" s="11" t="n">
        <f aca="false">COUNTIFS(Manual_Test_Cases!$B$5:$B$95,A6,Manual_Test_Cases!$F$5:$F$95,"Live — BLOCKED")</f>
        <v>0</v>
      </c>
      <c r="G6" s="11" t="n">
        <f aca="false">COUNTIFS(Manual_Test_Cases!$B$5:$B$95,A6,Manual_Test_Cases!$K$5:$K$95,"Pass")</f>
        <v>0</v>
      </c>
      <c r="H6" s="11" t="n">
        <f aca="false">COUNTIFS(Manual_Test_Cases!$B$5:$B$95,A6,Manual_Test_Cases!$K$5:$K$95,"Fail")</f>
        <v>0</v>
      </c>
      <c r="I6" s="11" t="n">
        <f aca="false">COUNTIFS(Manual_Test_Cases!$B$5:$B$95,A6,Manual_Test_Cases!$K$5:$K$95,"Blocked")</f>
        <v>0</v>
      </c>
      <c r="J6" s="11" t="n">
        <f aca="false">COUNTIFS(Manual_Test_Cases!$B$5:$B$95,A6,Manual_Test_Cases!$K$5:$K$95,"Not run")</f>
        <v>3</v>
      </c>
    </row>
    <row r="7" customFormat="false" ht="15" hidden="false" customHeight="false" outlineLevel="0" collapsed="false">
      <c r="A7" s="11" t="s">
        <v>82</v>
      </c>
      <c r="B7" s="11" t="n">
        <f aca="false">COUNTIF(Manual_Test_Cases!$B$5:$B$95,A7)</f>
        <v>4</v>
      </c>
      <c r="C7" s="11" t="n">
        <f aca="false">COUNTIFS(Manual_Test_Cases!$B$5:$B$95,A7,Manual_Test_Cases!$E$5:$E$95,"Positive")</f>
        <v>3</v>
      </c>
      <c r="D7" s="11" t="n">
        <f aca="false">COUNTIFS(Manual_Test_Cases!$B$5:$B$95,A7,Manual_Test_Cases!$E$5:$E$95,"Negative")</f>
        <v>1</v>
      </c>
      <c r="E7" s="11" t="n">
        <f aca="false">COUNTIFS(Manual_Test_Cases!$B$5:$B$95,A7,Manual_Test_Cases!$F$5:$F$95,"Sandbox")</f>
        <v>3</v>
      </c>
      <c r="F7" s="11" t="n">
        <f aca="false">COUNTIFS(Manual_Test_Cases!$B$5:$B$95,A7,Manual_Test_Cases!$F$5:$F$95,"Live — BLOCKED")</f>
        <v>1</v>
      </c>
      <c r="G7" s="11" t="n">
        <f aca="false">COUNTIFS(Manual_Test_Cases!$B$5:$B$95,A7,Manual_Test_Cases!$K$5:$K$95,"Pass")</f>
        <v>0</v>
      </c>
      <c r="H7" s="11" t="n">
        <f aca="false">COUNTIFS(Manual_Test_Cases!$B$5:$B$95,A7,Manual_Test_Cases!$K$5:$K$95,"Fail")</f>
        <v>0</v>
      </c>
      <c r="I7" s="11" t="n">
        <f aca="false">COUNTIFS(Manual_Test_Cases!$B$5:$B$95,A7,Manual_Test_Cases!$K$5:$K$95,"Blocked")</f>
        <v>0</v>
      </c>
      <c r="J7" s="11" t="n">
        <f aca="false">COUNTIFS(Manual_Test_Cases!$B$5:$B$95,A7,Manual_Test_Cases!$K$5:$K$95,"Not run")</f>
        <v>4</v>
      </c>
    </row>
    <row r="8" customFormat="false" ht="15" hidden="false" customHeight="false" outlineLevel="0" collapsed="false">
      <c r="A8" s="11" t="s">
        <v>83</v>
      </c>
      <c r="B8" s="11" t="n">
        <f aca="false">COUNTIF(Manual_Test_Cases!$B$5:$B$95,A8)</f>
        <v>3</v>
      </c>
      <c r="C8" s="11" t="n">
        <f aca="false">COUNTIFS(Manual_Test_Cases!$B$5:$B$95,A8,Manual_Test_Cases!$E$5:$E$95,"Positive")</f>
        <v>3</v>
      </c>
      <c r="D8" s="11" t="n">
        <f aca="false">COUNTIFS(Manual_Test_Cases!$B$5:$B$95,A8,Manual_Test_Cases!$E$5:$E$95,"Negative")</f>
        <v>0</v>
      </c>
      <c r="E8" s="11" t="n">
        <f aca="false">COUNTIFS(Manual_Test_Cases!$B$5:$B$95,A8,Manual_Test_Cases!$F$5:$F$95,"Sandbox")</f>
        <v>2</v>
      </c>
      <c r="F8" s="11" t="n">
        <f aca="false">COUNTIFS(Manual_Test_Cases!$B$5:$B$95,A8,Manual_Test_Cases!$F$5:$F$95,"Live — BLOCKED")</f>
        <v>1</v>
      </c>
      <c r="G8" s="11" t="n">
        <f aca="false">COUNTIFS(Manual_Test_Cases!$B$5:$B$95,A8,Manual_Test_Cases!$K$5:$K$95,"Pass")</f>
        <v>0</v>
      </c>
      <c r="H8" s="11" t="n">
        <f aca="false">COUNTIFS(Manual_Test_Cases!$B$5:$B$95,A8,Manual_Test_Cases!$K$5:$K$95,"Fail")</f>
        <v>0</v>
      </c>
      <c r="I8" s="11" t="n">
        <f aca="false">COUNTIFS(Manual_Test_Cases!$B$5:$B$95,A8,Manual_Test_Cases!$K$5:$K$95,"Blocked")</f>
        <v>0</v>
      </c>
      <c r="J8" s="11" t="n">
        <f aca="false">COUNTIFS(Manual_Test_Cases!$B$5:$B$95,A8,Manual_Test_Cases!$K$5:$K$95,"Not run")</f>
        <v>3</v>
      </c>
    </row>
    <row r="9" customFormat="false" ht="15" hidden="false" customHeight="false" outlineLevel="0" collapsed="false">
      <c r="A9" s="11" t="s">
        <v>84</v>
      </c>
      <c r="B9" s="11" t="n">
        <f aca="false">COUNTIF(Manual_Test_Cases!$B$5:$B$95,A9)</f>
        <v>3</v>
      </c>
      <c r="C9" s="11" t="n">
        <f aca="false">COUNTIFS(Manual_Test_Cases!$B$5:$B$95,A9,Manual_Test_Cases!$E$5:$E$95,"Positive")</f>
        <v>1</v>
      </c>
      <c r="D9" s="11" t="n">
        <f aca="false">COUNTIFS(Manual_Test_Cases!$B$5:$B$95,A9,Manual_Test_Cases!$E$5:$E$95,"Negative")</f>
        <v>2</v>
      </c>
      <c r="E9" s="11" t="n">
        <f aca="false">COUNTIFS(Manual_Test_Cases!$B$5:$B$95,A9,Manual_Test_Cases!$F$5:$F$95,"Sandbox")</f>
        <v>2</v>
      </c>
      <c r="F9" s="11" t="n">
        <f aca="false">COUNTIFS(Manual_Test_Cases!$B$5:$B$95,A9,Manual_Test_Cases!$F$5:$F$95,"Live — BLOCKED")</f>
        <v>1</v>
      </c>
      <c r="G9" s="11" t="n">
        <f aca="false">COUNTIFS(Manual_Test_Cases!$B$5:$B$95,A9,Manual_Test_Cases!$K$5:$K$95,"Pass")</f>
        <v>0</v>
      </c>
      <c r="H9" s="11" t="n">
        <f aca="false">COUNTIFS(Manual_Test_Cases!$B$5:$B$95,A9,Manual_Test_Cases!$K$5:$K$95,"Fail")</f>
        <v>0</v>
      </c>
      <c r="I9" s="11" t="n">
        <f aca="false">COUNTIFS(Manual_Test_Cases!$B$5:$B$95,A9,Manual_Test_Cases!$K$5:$K$95,"Blocked")</f>
        <v>0</v>
      </c>
      <c r="J9" s="11" t="n">
        <f aca="false">COUNTIFS(Manual_Test_Cases!$B$5:$B$95,A9,Manual_Test_Cases!$K$5:$K$95,"Not run")</f>
        <v>3</v>
      </c>
    </row>
    <row r="10" customFormat="false" ht="15" hidden="false" customHeight="false" outlineLevel="0" collapsed="false">
      <c r="A10" s="11" t="s">
        <v>85</v>
      </c>
      <c r="B10" s="11" t="n">
        <f aca="false">COUNTIF(Manual_Test_Cases!$B$5:$B$95,A10)</f>
        <v>4</v>
      </c>
      <c r="C10" s="11" t="n">
        <f aca="false">COUNTIFS(Manual_Test_Cases!$B$5:$B$95,A10,Manual_Test_Cases!$E$5:$E$95,"Positive")</f>
        <v>3</v>
      </c>
      <c r="D10" s="11" t="n">
        <f aca="false">COUNTIFS(Manual_Test_Cases!$B$5:$B$95,A10,Manual_Test_Cases!$E$5:$E$95,"Negative")</f>
        <v>1</v>
      </c>
      <c r="E10" s="11" t="n">
        <f aca="false">COUNTIFS(Manual_Test_Cases!$B$5:$B$95,A10,Manual_Test_Cases!$F$5:$F$95,"Sandbox")</f>
        <v>4</v>
      </c>
      <c r="F10" s="11" t="n">
        <f aca="false">COUNTIFS(Manual_Test_Cases!$B$5:$B$95,A10,Manual_Test_Cases!$F$5:$F$95,"Live — BLOCKED")</f>
        <v>0</v>
      </c>
      <c r="G10" s="11" t="n">
        <f aca="false">COUNTIFS(Manual_Test_Cases!$B$5:$B$95,A10,Manual_Test_Cases!$K$5:$K$95,"Pass")</f>
        <v>0</v>
      </c>
      <c r="H10" s="11" t="n">
        <f aca="false">COUNTIFS(Manual_Test_Cases!$B$5:$B$95,A10,Manual_Test_Cases!$K$5:$K$95,"Fail")</f>
        <v>0</v>
      </c>
      <c r="I10" s="11" t="n">
        <f aca="false">COUNTIFS(Manual_Test_Cases!$B$5:$B$95,A10,Manual_Test_Cases!$K$5:$K$95,"Blocked")</f>
        <v>0</v>
      </c>
      <c r="J10" s="11" t="n">
        <f aca="false">COUNTIFS(Manual_Test_Cases!$B$5:$B$95,A10,Manual_Test_Cases!$K$5:$K$95,"Not run")</f>
        <v>4</v>
      </c>
    </row>
    <row r="11" customFormat="false" ht="15" hidden="false" customHeight="false" outlineLevel="0" collapsed="false">
      <c r="A11" s="11" t="s">
        <v>86</v>
      </c>
      <c r="B11" s="11" t="n">
        <f aca="false">COUNTIF(Manual_Test_Cases!$B$5:$B$95,A11)</f>
        <v>4</v>
      </c>
      <c r="C11" s="11" t="n">
        <f aca="false">COUNTIFS(Manual_Test_Cases!$B$5:$B$95,A11,Manual_Test_Cases!$E$5:$E$95,"Positive")</f>
        <v>3</v>
      </c>
      <c r="D11" s="11" t="n">
        <f aca="false">COUNTIFS(Manual_Test_Cases!$B$5:$B$95,A11,Manual_Test_Cases!$E$5:$E$95,"Negative")</f>
        <v>1</v>
      </c>
      <c r="E11" s="11" t="n">
        <f aca="false">COUNTIFS(Manual_Test_Cases!$B$5:$B$95,A11,Manual_Test_Cases!$F$5:$F$95,"Sandbox")</f>
        <v>4</v>
      </c>
      <c r="F11" s="11" t="n">
        <f aca="false">COUNTIFS(Manual_Test_Cases!$B$5:$B$95,A11,Manual_Test_Cases!$F$5:$F$95,"Live — BLOCKED")</f>
        <v>0</v>
      </c>
      <c r="G11" s="11" t="n">
        <f aca="false">COUNTIFS(Manual_Test_Cases!$B$5:$B$95,A11,Manual_Test_Cases!$K$5:$K$95,"Pass")</f>
        <v>0</v>
      </c>
      <c r="H11" s="11" t="n">
        <f aca="false">COUNTIFS(Manual_Test_Cases!$B$5:$B$95,A11,Manual_Test_Cases!$K$5:$K$95,"Fail")</f>
        <v>0</v>
      </c>
      <c r="I11" s="11" t="n">
        <f aca="false">COUNTIFS(Manual_Test_Cases!$B$5:$B$95,A11,Manual_Test_Cases!$K$5:$K$95,"Blocked")</f>
        <v>0</v>
      </c>
      <c r="J11" s="11" t="n">
        <f aca="false">COUNTIFS(Manual_Test_Cases!$B$5:$B$95,A11,Manual_Test_Cases!$K$5:$K$95,"Not run")</f>
        <v>4</v>
      </c>
    </row>
    <row r="12" customFormat="false" ht="15" hidden="false" customHeight="false" outlineLevel="0" collapsed="false">
      <c r="A12" s="11" t="s">
        <v>87</v>
      </c>
      <c r="B12" s="11" t="n">
        <f aca="false">COUNTIF(Manual_Test_Cases!$B$5:$B$95,A12)</f>
        <v>3</v>
      </c>
      <c r="C12" s="11" t="n">
        <f aca="false">COUNTIFS(Manual_Test_Cases!$B$5:$B$95,A12,Manual_Test_Cases!$E$5:$E$95,"Positive")</f>
        <v>3</v>
      </c>
      <c r="D12" s="11" t="n">
        <f aca="false">COUNTIFS(Manual_Test_Cases!$B$5:$B$95,A12,Manual_Test_Cases!$E$5:$E$95,"Negative")</f>
        <v>0</v>
      </c>
      <c r="E12" s="11" t="n">
        <f aca="false">COUNTIFS(Manual_Test_Cases!$B$5:$B$95,A12,Manual_Test_Cases!$F$5:$F$95,"Sandbox")</f>
        <v>3</v>
      </c>
      <c r="F12" s="11" t="n">
        <f aca="false">COUNTIFS(Manual_Test_Cases!$B$5:$B$95,A12,Manual_Test_Cases!$F$5:$F$95,"Live — BLOCKED")</f>
        <v>0</v>
      </c>
      <c r="G12" s="11" t="n">
        <f aca="false">COUNTIFS(Manual_Test_Cases!$B$5:$B$95,A12,Manual_Test_Cases!$K$5:$K$95,"Pass")</f>
        <v>0</v>
      </c>
      <c r="H12" s="11" t="n">
        <f aca="false">COUNTIFS(Manual_Test_Cases!$B$5:$B$95,A12,Manual_Test_Cases!$K$5:$K$95,"Fail")</f>
        <v>0</v>
      </c>
      <c r="I12" s="11" t="n">
        <f aca="false">COUNTIFS(Manual_Test_Cases!$B$5:$B$95,A12,Manual_Test_Cases!$K$5:$K$95,"Blocked")</f>
        <v>0</v>
      </c>
      <c r="J12" s="11" t="n">
        <f aca="false">COUNTIFS(Manual_Test_Cases!$B$5:$B$95,A12,Manual_Test_Cases!$K$5:$K$95,"Not run")</f>
        <v>3</v>
      </c>
    </row>
    <row r="13" customFormat="false" ht="15" hidden="false" customHeight="false" outlineLevel="0" collapsed="false">
      <c r="A13" s="11" t="s">
        <v>88</v>
      </c>
      <c r="B13" s="11" t="n">
        <f aca="false">COUNTIF(Manual_Test_Cases!$B$5:$B$95,A13)</f>
        <v>2</v>
      </c>
      <c r="C13" s="11" t="n">
        <f aca="false">COUNTIFS(Manual_Test_Cases!$B$5:$B$95,A13,Manual_Test_Cases!$E$5:$E$95,"Positive")</f>
        <v>2</v>
      </c>
      <c r="D13" s="11" t="n">
        <f aca="false">COUNTIFS(Manual_Test_Cases!$B$5:$B$95,A13,Manual_Test_Cases!$E$5:$E$95,"Negative")</f>
        <v>0</v>
      </c>
      <c r="E13" s="11" t="n">
        <f aca="false">COUNTIFS(Manual_Test_Cases!$B$5:$B$95,A13,Manual_Test_Cases!$F$5:$F$95,"Sandbox")</f>
        <v>2</v>
      </c>
      <c r="F13" s="11" t="n">
        <f aca="false">COUNTIFS(Manual_Test_Cases!$B$5:$B$95,A13,Manual_Test_Cases!$F$5:$F$95,"Live — BLOCKED")</f>
        <v>0</v>
      </c>
      <c r="G13" s="11" t="n">
        <f aca="false">COUNTIFS(Manual_Test_Cases!$B$5:$B$95,A13,Manual_Test_Cases!$K$5:$K$95,"Pass")</f>
        <v>0</v>
      </c>
      <c r="H13" s="11" t="n">
        <f aca="false">COUNTIFS(Manual_Test_Cases!$B$5:$B$95,A13,Manual_Test_Cases!$K$5:$K$95,"Fail")</f>
        <v>0</v>
      </c>
      <c r="I13" s="11" t="n">
        <f aca="false">COUNTIFS(Manual_Test_Cases!$B$5:$B$95,A13,Manual_Test_Cases!$K$5:$K$95,"Blocked")</f>
        <v>0</v>
      </c>
      <c r="J13" s="11" t="n">
        <f aca="false">COUNTIFS(Manual_Test_Cases!$B$5:$B$95,A13,Manual_Test_Cases!$K$5:$K$95,"Not run")</f>
        <v>2</v>
      </c>
    </row>
    <row r="14" customFormat="false" ht="15" hidden="false" customHeight="false" outlineLevel="0" collapsed="false">
      <c r="A14" s="11" t="s">
        <v>89</v>
      </c>
      <c r="B14" s="11" t="n">
        <f aca="false">COUNTIF(Manual_Test_Cases!$B$5:$B$95,A14)</f>
        <v>4</v>
      </c>
      <c r="C14" s="11" t="n">
        <f aca="false">COUNTIFS(Manual_Test_Cases!$B$5:$B$95,A14,Manual_Test_Cases!$E$5:$E$95,"Positive")</f>
        <v>2</v>
      </c>
      <c r="D14" s="11" t="n">
        <f aca="false">COUNTIFS(Manual_Test_Cases!$B$5:$B$95,A14,Manual_Test_Cases!$E$5:$E$95,"Negative")</f>
        <v>2</v>
      </c>
      <c r="E14" s="11" t="n">
        <f aca="false">COUNTIFS(Manual_Test_Cases!$B$5:$B$95,A14,Manual_Test_Cases!$F$5:$F$95,"Sandbox")</f>
        <v>4</v>
      </c>
      <c r="F14" s="11" t="n">
        <f aca="false">COUNTIFS(Manual_Test_Cases!$B$5:$B$95,A14,Manual_Test_Cases!$F$5:$F$95,"Live — BLOCKED")</f>
        <v>0</v>
      </c>
      <c r="G14" s="11" t="n">
        <f aca="false">COUNTIFS(Manual_Test_Cases!$B$5:$B$95,A14,Manual_Test_Cases!$K$5:$K$95,"Pass")</f>
        <v>0</v>
      </c>
      <c r="H14" s="11" t="n">
        <f aca="false">COUNTIFS(Manual_Test_Cases!$B$5:$B$95,A14,Manual_Test_Cases!$K$5:$K$95,"Fail")</f>
        <v>0</v>
      </c>
      <c r="I14" s="11" t="n">
        <f aca="false">COUNTIFS(Manual_Test_Cases!$B$5:$B$95,A14,Manual_Test_Cases!$K$5:$K$95,"Blocked")</f>
        <v>0</v>
      </c>
      <c r="J14" s="11" t="n">
        <f aca="false">COUNTIFS(Manual_Test_Cases!$B$5:$B$95,A14,Manual_Test_Cases!$K$5:$K$95,"Not run")</f>
        <v>4</v>
      </c>
    </row>
    <row r="15" customFormat="false" ht="15" hidden="false" customHeight="false" outlineLevel="0" collapsed="false">
      <c r="A15" s="11" t="s">
        <v>90</v>
      </c>
      <c r="B15" s="11" t="n">
        <f aca="false">COUNTIF(Manual_Test_Cases!$B$5:$B$95,A15)</f>
        <v>3</v>
      </c>
      <c r="C15" s="11" t="n">
        <f aca="false">COUNTIFS(Manual_Test_Cases!$B$5:$B$95,A15,Manual_Test_Cases!$E$5:$E$95,"Positive")</f>
        <v>2</v>
      </c>
      <c r="D15" s="11" t="n">
        <f aca="false">COUNTIFS(Manual_Test_Cases!$B$5:$B$95,A15,Manual_Test_Cases!$E$5:$E$95,"Negative")</f>
        <v>1</v>
      </c>
      <c r="E15" s="11" t="n">
        <f aca="false">COUNTIFS(Manual_Test_Cases!$B$5:$B$95,A15,Manual_Test_Cases!$F$5:$F$95,"Sandbox")</f>
        <v>3</v>
      </c>
      <c r="F15" s="11" t="n">
        <f aca="false">COUNTIFS(Manual_Test_Cases!$B$5:$B$95,A15,Manual_Test_Cases!$F$5:$F$95,"Live — BLOCKED")</f>
        <v>0</v>
      </c>
      <c r="G15" s="11" t="n">
        <f aca="false">COUNTIFS(Manual_Test_Cases!$B$5:$B$95,A15,Manual_Test_Cases!$K$5:$K$95,"Pass")</f>
        <v>0</v>
      </c>
      <c r="H15" s="11" t="n">
        <f aca="false">COUNTIFS(Manual_Test_Cases!$B$5:$B$95,A15,Manual_Test_Cases!$K$5:$K$95,"Fail")</f>
        <v>0</v>
      </c>
      <c r="I15" s="11" t="n">
        <f aca="false">COUNTIFS(Manual_Test_Cases!$B$5:$B$95,A15,Manual_Test_Cases!$K$5:$K$95,"Blocked")</f>
        <v>0</v>
      </c>
      <c r="J15" s="11" t="n">
        <f aca="false">COUNTIFS(Manual_Test_Cases!$B$5:$B$95,A15,Manual_Test_Cases!$K$5:$K$95,"Not run")</f>
        <v>3</v>
      </c>
    </row>
    <row r="16" customFormat="false" ht="15" hidden="false" customHeight="false" outlineLevel="0" collapsed="false">
      <c r="A16" s="11" t="s">
        <v>91</v>
      </c>
      <c r="B16" s="11" t="n">
        <f aca="false">COUNTIF(Manual_Test_Cases!$B$5:$B$95,A16)</f>
        <v>3</v>
      </c>
      <c r="C16" s="11" t="n">
        <f aca="false">COUNTIFS(Manual_Test_Cases!$B$5:$B$95,A16,Manual_Test_Cases!$E$5:$E$95,"Positive")</f>
        <v>1</v>
      </c>
      <c r="D16" s="11" t="n">
        <f aca="false">COUNTIFS(Manual_Test_Cases!$B$5:$B$95,A16,Manual_Test_Cases!$E$5:$E$95,"Negative")</f>
        <v>2</v>
      </c>
      <c r="E16" s="11" t="n">
        <f aca="false">COUNTIFS(Manual_Test_Cases!$B$5:$B$95,A16,Manual_Test_Cases!$F$5:$F$95,"Sandbox")</f>
        <v>3</v>
      </c>
      <c r="F16" s="11" t="n">
        <f aca="false">COUNTIFS(Manual_Test_Cases!$B$5:$B$95,A16,Manual_Test_Cases!$F$5:$F$95,"Live — BLOCKED")</f>
        <v>0</v>
      </c>
      <c r="G16" s="11" t="n">
        <f aca="false">COUNTIFS(Manual_Test_Cases!$B$5:$B$95,A16,Manual_Test_Cases!$K$5:$K$95,"Pass")</f>
        <v>0</v>
      </c>
      <c r="H16" s="11" t="n">
        <f aca="false">COUNTIFS(Manual_Test_Cases!$B$5:$B$95,A16,Manual_Test_Cases!$K$5:$K$95,"Fail")</f>
        <v>0</v>
      </c>
      <c r="I16" s="11" t="n">
        <f aca="false">COUNTIFS(Manual_Test_Cases!$B$5:$B$95,A16,Manual_Test_Cases!$K$5:$K$95,"Blocked")</f>
        <v>0</v>
      </c>
      <c r="J16" s="11" t="n">
        <f aca="false">COUNTIFS(Manual_Test_Cases!$B$5:$B$95,A16,Manual_Test_Cases!$K$5:$K$95,"Not run")</f>
        <v>3</v>
      </c>
    </row>
    <row r="17" customFormat="false" ht="15" hidden="false" customHeight="false" outlineLevel="0" collapsed="false">
      <c r="A17" s="11" t="s">
        <v>92</v>
      </c>
      <c r="B17" s="11" t="n">
        <f aca="false">COUNTIF(Manual_Test_Cases!$B$5:$B$95,A17)</f>
        <v>2</v>
      </c>
      <c r="C17" s="11" t="n">
        <f aca="false">COUNTIFS(Manual_Test_Cases!$B$5:$B$95,A17,Manual_Test_Cases!$E$5:$E$95,"Positive")</f>
        <v>1</v>
      </c>
      <c r="D17" s="11" t="n">
        <f aca="false">COUNTIFS(Manual_Test_Cases!$B$5:$B$95,A17,Manual_Test_Cases!$E$5:$E$95,"Negative")</f>
        <v>1</v>
      </c>
      <c r="E17" s="11" t="n">
        <f aca="false">COUNTIFS(Manual_Test_Cases!$B$5:$B$95,A17,Manual_Test_Cases!$F$5:$F$95,"Sandbox")</f>
        <v>2</v>
      </c>
      <c r="F17" s="11" t="n">
        <f aca="false">COUNTIFS(Manual_Test_Cases!$B$5:$B$95,A17,Manual_Test_Cases!$F$5:$F$95,"Live — BLOCKED")</f>
        <v>0</v>
      </c>
      <c r="G17" s="11" t="n">
        <f aca="false">COUNTIFS(Manual_Test_Cases!$B$5:$B$95,A17,Manual_Test_Cases!$K$5:$K$95,"Pass")</f>
        <v>0</v>
      </c>
      <c r="H17" s="11" t="n">
        <f aca="false">COUNTIFS(Manual_Test_Cases!$B$5:$B$95,A17,Manual_Test_Cases!$K$5:$K$95,"Fail")</f>
        <v>0</v>
      </c>
      <c r="I17" s="11" t="n">
        <f aca="false">COUNTIFS(Manual_Test_Cases!$B$5:$B$95,A17,Manual_Test_Cases!$K$5:$K$95,"Blocked")</f>
        <v>0</v>
      </c>
      <c r="J17" s="11" t="n">
        <f aca="false">COUNTIFS(Manual_Test_Cases!$B$5:$B$95,A17,Manual_Test_Cases!$K$5:$K$95,"Not run")</f>
        <v>2</v>
      </c>
    </row>
    <row r="18" customFormat="false" ht="15" hidden="false" customHeight="false" outlineLevel="0" collapsed="false">
      <c r="A18" s="11" t="s">
        <v>93</v>
      </c>
      <c r="B18" s="11" t="n">
        <f aca="false">COUNTIF(Manual_Test_Cases!$B$5:$B$95,A18)</f>
        <v>2</v>
      </c>
      <c r="C18" s="11" t="n">
        <f aca="false">COUNTIFS(Manual_Test_Cases!$B$5:$B$95,A18,Manual_Test_Cases!$E$5:$E$95,"Positive")</f>
        <v>1</v>
      </c>
      <c r="D18" s="11" t="n">
        <f aca="false">COUNTIFS(Manual_Test_Cases!$B$5:$B$95,A18,Manual_Test_Cases!$E$5:$E$95,"Negative")</f>
        <v>1</v>
      </c>
      <c r="E18" s="11" t="n">
        <f aca="false">COUNTIFS(Manual_Test_Cases!$B$5:$B$95,A18,Manual_Test_Cases!$F$5:$F$95,"Sandbox")</f>
        <v>2</v>
      </c>
      <c r="F18" s="11" t="n">
        <f aca="false">COUNTIFS(Manual_Test_Cases!$B$5:$B$95,A18,Manual_Test_Cases!$F$5:$F$95,"Live — BLOCKED")</f>
        <v>0</v>
      </c>
      <c r="G18" s="11" t="n">
        <f aca="false">COUNTIFS(Manual_Test_Cases!$B$5:$B$95,A18,Manual_Test_Cases!$K$5:$K$95,"Pass")</f>
        <v>0</v>
      </c>
      <c r="H18" s="11" t="n">
        <f aca="false">COUNTIFS(Manual_Test_Cases!$B$5:$B$95,A18,Manual_Test_Cases!$K$5:$K$95,"Fail")</f>
        <v>0</v>
      </c>
      <c r="I18" s="11" t="n">
        <f aca="false">COUNTIFS(Manual_Test_Cases!$B$5:$B$95,A18,Manual_Test_Cases!$K$5:$K$95,"Blocked")</f>
        <v>0</v>
      </c>
      <c r="J18" s="11" t="n">
        <f aca="false">COUNTIFS(Manual_Test_Cases!$B$5:$B$95,A18,Manual_Test_Cases!$K$5:$K$95,"Not run")</f>
        <v>2</v>
      </c>
    </row>
    <row r="19" customFormat="false" ht="15" hidden="false" customHeight="false" outlineLevel="0" collapsed="false">
      <c r="A19" s="11" t="s">
        <v>94</v>
      </c>
      <c r="B19" s="11" t="n">
        <f aca="false">COUNTIF(Manual_Test_Cases!$B$5:$B$95,A19)</f>
        <v>1</v>
      </c>
      <c r="C19" s="11" t="n">
        <f aca="false">COUNTIFS(Manual_Test_Cases!$B$5:$B$95,A19,Manual_Test_Cases!$E$5:$E$95,"Positive")</f>
        <v>1</v>
      </c>
      <c r="D19" s="11" t="n">
        <f aca="false">COUNTIFS(Manual_Test_Cases!$B$5:$B$95,A19,Manual_Test_Cases!$E$5:$E$95,"Negative")</f>
        <v>0</v>
      </c>
      <c r="E19" s="11" t="n">
        <f aca="false">COUNTIFS(Manual_Test_Cases!$B$5:$B$95,A19,Manual_Test_Cases!$F$5:$F$95,"Sandbox")</f>
        <v>1</v>
      </c>
      <c r="F19" s="11" t="n">
        <f aca="false">COUNTIFS(Manual_Test_Cases!$B$5:$B$95,A19,Manual_Test_Cases!$F$5:$F$95,"Live — BLOCKED")</f>
        <v>0</v>
      </c>
      <c r="G19" s="11" t="n">
        <f aca="false">COUNTIFS(Manual_Test_Cases!$B$5:$B$95,A19,Manual_Test_Cases!$K$5:$K$95,"Pass")</f>
        <v>0</v>
      </c>
      <c r="H19" s="11" t="n">
        <f aca="false">COUNTIFS(Manual_Test_Cases!$B$5:$B$95,A19,Manual_Test_Cases!$K$5:$K$95,"Fail")</f>
        <v>0</v>
      </c>
      <c r="I19" s="11" t="n">
        <f aca="false">COUNTIFS(Manual_Test_Cases!$B$5:$B$95,A19,Manual_Test_Cases!$K$5:$K$95,"Blocked")</f>
        <v>0</v>
      </c>
      <c r="J19" s="11" t="n">
        <f aca="false">COUNTIFS(Manual_Test_Cases!$B$5:$B$95,A19,Manual_Test_Cases!$K$5:$K$95,"Not run")</f>
        <v>1</v>
      </c>
    </row>
    <row r="20" customFormat="false" ht="15" hidden="false" customHeight="false" outlineLevel="0" collapsed="false">
      <c r="A20" s="11" t="s">
        <v>95</v>
      </c>
      <c r="B20" s="11" t="n">
        <f aca="false">COUNTIF(Manual_Test_Cases!$B$5:$B$95,A20)</f>
        <v>1</v>
      </c>
      <c r="C20" s="11" t="n">
        <f aca="false">COUNTIFS(Manual_Test_Cases!$B$5:$B$95,A20,Manual_Test_Cases!$E$5:$E$95,"Positive")</f>
        <v>0</v>
      </c>
      <c r="D20" s="11" t="n">
        <f aca="false">COUNTIFS(Manual_Test_Cases!$B$5:$B$95,A20,Manual_Test_Cases!$E$5:$E$95,"Negative")</f>
        <v>1</v>
      </c>
      <c r="E20" s="11" t="n">
        <f aca="false">COUNTIFS(Manual_Test_Cases!$B$5:$B$95,A20,Manual_Test_Cases!$F$5:$F$95,"Sandbox")</f>
        <v>1</v>
      </c>
      <c r="F20" s="11" t="n">
        <f aca="false">COUNTIFS(Manual_Test_Cases!$B$5:$B$95,A20,Manual_Test_Cases!$F$5:$F$95,"Live — BLOCKED")</f>
        <v>0</v>
      </c>
      <c r="G20" s="11" t="n">
        <f aca="false">COUNTIFS(Manual_Test_Cases!$B$5:$B$95,A20,Manual_Test_Cases!$K$5:$K$95,"Pass")</f>
        <v>0</v>
      </c>
      <c r="H20" s="11" t="n">
        <f aca="false">COUNTIFS(Manual_Test_Cases!$B$5:$B$95,A20,Manual_Test_Cases!$K$5:$K$95,"Fail")</f>
        <v>0</v>
      </c>
      <c r="I20" s="11" t="n">
        <f aca="false">COUNTIFS(Manual_Test_Cases!$B$5:$B$95,A20,Manual_Test_Cases!$K$5:$K$95,"Blocked")</f>
        <v>0</v>
      </c>
      <c r="J20" s="11" t="n">
        <f aca="false">COUNTIFS(Manual_Test_Cases!$B$5:$B$95,A20,Manual_Test_Cases!$K$5:$K$95,"Not run")</f>
        <v>1</v>
      </c>
    </row>
    <row r="21" customFormat="false" ht="15" hidden="false" customHeight="false" outlineLevel="0" collapsed="false">
      <c r="A21" s="11" t="s">
        <v>96</v>
      </c>
      <c r="B21" s="11" t="n">
        <f aca="false">COUNTIF(Manual_Test_Cases!$B$5:$B$95,A21)</f>
        <v>2</v>
      </c>
      <c r="C21" s="11" t="n">
        <f aca="false">COUNTIFS(Manual_Test_Cases!$B$5:$B$95,A21,Manual_Test_Cases!$E$5:$E$95,"Positive")</f>
        <v>1</v>
      </c>
      <c r="D21" s="11" t="n">
        <f aca="false">COUNTIFS(Manual_Test_Cases!$B$5:$B$95,A21,Manual_Test_Cases!$E$5:$E$95,"Negative")</f>
        <v>1</v>
      </c>
      <c r="E21" s="11" t="n">
        <f aca="false">COUNTIFS(Manual_Test_Cases!$B$5:$B$95,A21,Manual_Test_Cases!$F$5:$F$95,"Sandbox")</f>
        <v>2</v>
      </c>
      <c r="F21" s="11" t="n">
        <f aca="false">COUNTIFS(Manual_Test_Cases!$B$5:$B$95,A21,Manual_Test_Cases!$F$5:$F$95,"Live — BLOCKED")</f>
        <v>0</v>
      </c>
      <c r="G21" s="11" t="n">
        <f aca="false">COUNTIFS(Manual_Test_Cases!$B$5:$B$95,A21,Manual_Test_Cases!$K$5:$K$95,"Pass")</f>
        <v>0</v>
      </c>
      <c r="H21" s="11" t="n">
        <f aca="false">COUNTIFS(Manual_Test_Cases!$B$5:$B$95,A21,Manual_Test_Cases!$K$5:$K$95,"Fail")</f>
        <v>0</v>
      </c>
      <c r="I21" s="11" t="n">
        <f aca="false">COUNTIFS(Manual_Test_Cases!$B$5:$B$95,A21,Manual_Test_Cases!$K$5:$K$95,"Blocked")</f>
        <v>0</v>
      </c>
      <c r="J21" s="11" t="n">
        <f aca="false">COUNTIFS(Manual_Test_Cases!$B$5:$B$95,A21,Manual_Test_Cases!$K$5:$K$95,"Not run")</f>
        <v>2</v>
      </c>
    </row>
    <row r="22" customFormat="false" ht="15" hidden="false" customHeight="false" outlineLevel="0" collapsed="false">
      <c r="A22" s="11" t="s">
        <v>97</v>
      </c>
      <c r="B22" s="11" t="n">
        <f aca="false">COUNTIF(Manual_Test_Cases!$B$5:$B$95,A22)</f>
        <v>1</v>
      </c>
      <c r="C22" s="11" t="n">
        <f aca="false">COUNTIFS(Manual_Test_Cases!$B$5:$B$95,A22,Manual_Test_Cases!$E$5:$E$95,"Positive")</f>
        <v>1</v>
      </c>
      <c r="D22" s="11" t="n">
        <f aca="false">COUNTIFS(Manual_Test_Cases!$B$5:$B$95,A22,Manual_Test_Cases!$E$5:$E$95,"Negative")</f>
        <v>0</v>
      </c>
      <c r="E22" s="11" t="n">
        <f aca="false">COUNTIFS(Manual_Test_Cases!$B$5:$B$95,A22,Manual_Test_Cases!$F$5:$F$95,"Sandbox")</f>
        <v>0</v>
      </c>
      <c r="F22" s="11" t="n">
        <f aca="false">COUNTIFS(Manual_Test_Cases!$B$5:$B$95,A22,Manual_Test_Cases!$F$5:$F$95,"Live — BLOCKED")</f>
        <v>0</v>
      </c>
      <c r="G22" s="11" t="n">
        <f aca="false">COUNTIFS(Manual_Test_Cases!$B$5:$B$95,A22,Manual_Test_Cases!$K$5:$K$95,"Pass")</f>
        <v>0</v>
      </c>
      <c r="H22" s="11" t="n">
        <f aca="false">COUNTIFS(Manual_Test_Cases!$B$5:$B$95,A22,Manual_Test_Cases!$K$5:$K$95,"Fail")</f>
        <v>0</v>
      </c>
      <c r="I22" s="11" t="n">
        <f aca="false">COUNTIFS(Manual_Test_Cases!$B$5:$B$95,A22,Manual_Test_Cases!$K$5:$K$95,"Blocked")</f>
        <v>0</v>
      </c>
      <c r="J22" s="11" t="n">
        <f aca="false">COUNTIFS(Manual_Test_Cases!$B$5:$B$95,A22,Manual_Test_Cases!$K$5:$K$95,"Not run")</f>
        <v>1</v>
      </c>
    </row>
    <row r="23" customFormat="false" ht="15" hidden="false" customHeight="false" outlineLevel="0" collapsed="false">
      <c r="A23" s="11" t="s">
        <v>98</v>
      </c>
      <c r="B23" s="11" t="n">
        <f aca="false">COUNTIF(Manual_Test_Cases!$B$5:$B$95,A23)</f>
        <v>2</v>
      </c>
      <c r="C23" s="11" t="n">
        <f aca="false">COUNTIFS(Manual_Test_Cases!$B$5:$B$95,A23,Manual_Test_Cases!$E$5:$E$95,"Positive")</f>
        <v>2</v>
      </c>
      <c r="D23" s="11" t="n">
        <f aca="false">COUNTIFS(Manual_Test_Cases!$B$5:$B$95,A23,Manual_Test_Cases!$E$5:$E$95,"Negative")</f>
        <v>0</v>
      </c>
      <c r="E23" s="11" t="n">
        <f aca="false">COUNTIFS(Manual_Test_Cases!$B$5:$B$95,A23,Manual_Test_Cases!$F$5:$F$95,"Sandbox")</f>
        <v>1</v>
      </c>
      <c r="F23" s="11" t="n">
        <f aca="false">COUNTIFS(Manual_Test_Cases!$B$5:$B$95,A23,Manual_Test_Cases!$F$5:$F$95,"Live — BLOCKED")</f>
        <v>1</v>
      </c>
      <c r="G23" s="11" t="n">
        <f aca="false">COUNTIFS(Manual_Test_Cases!$B$5:$B$95,A23,Manual_Test_Cases!$K$5:$K$95,"Pass")</f>
        <v>0</v>
      </c>
      <c r="H23" s="11" t="n">
        <f aca="false">COUNTIFS(Manual_Test_Cases!$B$5:$B$95,A23,Manual_Test_Cases!$K$5:$K$95,"Fail")</f>
        <v>0</v>
      </c>
      <c r="I23" s="11" t="n">
        <f aca="false">COUNTIFS(Manual_Test_Cases!$B$5:$B$95,A23,Manual_Test_Cases!$K$5:$K$95,"Blocked")</f>
        <v>0</v>
      </c>
      <c r="J23" s="11" t="n">
        <f aca="false">COUNTIFS(Manual_Test_Cases!$B$5:$B$95,A23,Manual_Test_Cases!$K$5:$K$95,"Not run")</f>
        <v>2</v>
      </c>
    </row>
    <row r="24" customFormat="false" ht="15" hidden="false" customHeight="false" outlineLevel="0" collapsed="false">
      <c r="A24" s="11" t="s">
        <v>99</v>
      </c>
      <c r="B24" s="11" t="n">
        <f aca="false">COUNTIF(Manual_Test_Cases!$B$5:$B$95,A24)</f>
        <v>2</v>
      </c>
      <c r="C24" s="11" t="n">
        <f aca="false">COUNTIFS(Manual_Test_Cases!$B$5:$B$95,A24,Manual_Test_Cases!$E$5:$E$95,"Positive")</f>
        <v>2</v>
      </c>
      <c r="D24" s="11" t="n">
        <f aca="false">COUNTIFS(Manual_Test_Cases!$B$5:$B$95,A24,Manual_Test_Cases!$E$5:$E$95,"Negative")</f>
        <v>0</v>
      </c>
      <c r="E24" s="11" t="n">
        <f aca="false">COUNTIFS(Manual_Test_Cases!$B$5:$B$95,A24,Manual_Test_Cases!$F$5:$F$95,"Sandbox")</f>
        <v>1</v>
      </c>
      <c r="F24" s="11" t="n">
        <f aca="false">COUNTIFS(Manual_Test_Cases!$B$5:$B$95,A24,Manual_Test_Cases!$F$5:$F$95,"Live — BLOCKED")</f>
        <v>1</v>
      </c>
      <c r="G24" s="11" t="n">
        <f aca="false">COUNTIFS(Manual_Test_Cases!$B$5:$B$95,A24,Manual_Test_Cases!$K$5:$K$95,"Pass")</f>
        <v>0</v>
      </c>
      <c r="H24" s="11" t="n">
        <f aca="false">COUNTIFS(Manual_Test_Cases!$B$5:$B$95,A24,Manual_Test_Cases!$K$5:$K$95,"Fail")</f>
        <v>0</v>
      </c>
      <c r="I24" s="11" t="n">
        <f aca="false">COUNTIFS(Manual_Test_Cases!$B$5:$B$95,A24,Manual_Test_Cases!$K$5:$K$95,"Blocked")</f>
        <v>0</v>
      </c>
      <c r="J24" s="11" t="n">
        <f aca="false">COUNTIFS(Manual_Test_Cases!$B$5:$B$95,A24,Manual_Test_Cases!$K$5:$K$95,"Not run")</f>
        <v>2</v>
      </c>
    </row>
    <row r="25" customFormat="false" ht="15" hidden="false" customHeight="false" outlineLevel="0" collapsed="false">
      <c r="A25" s="11" t="s">
        <v>100</v>
      </c>
      <c r="B25" s="11" t="n">
        <f aca="false">COUNTIF(Manual_Test_Cases!$B$5:$B$95,A25)</f>
        <v>2</v>
      </c>
      <c r="C25" s="11" t="n">
        <f aca="false">COUNTIFS(Manual_Test_Cases!$B$5:$B$95,A25,Manual_Test_Cases!$E$5:$E$95,"Positive")</f>
        <v>1</v>
      </c>
      <c r="D25" s="11" t="n">
        <f aca="false">COUNTIFS(Manual_Test_Cases!$B$5:$B$95,A25,Manual_Test_Cases!$E$5:$E$95,"Negative")</f>
        <v>1</v>
      </c>
      <c r="E25" s="11" t="n">
        <f aca="false">COUNTIFS(Manual_Test_Cases!$B$5:$B$95,A25,Manual_Test_Cases!$F$5:$F$95,"Sandbox")</f>
        <v>2</v>
      </c>
      <c r="F25" s="11" t="n">
        <f aca="false">COUNTIFS(Manual_Test_Cases!$B$5:$B$95,A25,Manual_Test_Cases!$F$5:$F$95,"Live — BLOCKED")</f>
        <v>0</v>
      </c>
      <c r="G25" s="11" t="n">
        <f aca="false">COUNTIFS(Manual_Test_Cases!$B$5:$B$95,A25,Manual_Test_Cases!$K$5:$K$95,"Pass")</f>
        <v>0</v>
      </c>
      <c r="H25" s="11" t="n">
        <f aca="false">COUNTIFS(Manual_Test_Cases!$B$5:$B$95,A25,Manual_Test_Cases!$K$5:$K$95,"Fail")</f>
        <v>0</v>
      </c>
      <c r="I25" s="11" t="n">
        <f aca="false">COUNTIFS(Manual_Test_Cases!$B$5:$B$95,A25,Manual_Test_Cases!$K$5:$K$95,"Blocked")</f>
        <v>0</v>
      </c>
      <c r="J25" s="11" t="n">
        <f aca="false">COUNTIFS(Manual_Test_Cases!$B$5:$B$95,A25,Manual_Test_Cases!$K$5:$K$95,"Not run")</f>
        <v>2</v>
      </c>
    </row>
    <row r="26" customFormat="false" ht="15" hidden="false" customHeight="false" outlineLevel="0" collapsed="false">
      <c r="A26" s="11" t="s">
        <v>101</v>
      </c>
      <c r="B26" s="11" t="n">
        <f aca="false">COUNTIF(Manual_Test_Cases!$B$5:$B$95,A26)</f>
        <v>1</v>
      </c>
      <c r="C26" s="11" t="n">
        <f aca="false">COUNTIFS(Manual_Test_Cases!$B$5:$B$95,A26,Manual_Test_Cases!$E$5:$E$95,"Positive")</f>
        <v>0</v>
      </c>
      <c r="D26" s="11" t="n">
        <f aca="false">COUNTIFS(Manual_Test_Cases!$B$5:$B$95,A26,Manual_Test_Cases!$E$5:$E$95,"Negative")</f>
        <v>1</v>
      </c>
      <c r="E26" s="11" t="n">
        <f aca="false">COUNTIFS(Manual_Test_Cases!$B$5:$B$95,A26,Manual_Test_Cases!$F$5:$F$95,"Sandbox")</f>
        <v>1</v>
      </c>
      <c r="F26" s="11" t="n">
        <f aca="false">COUNTIFS(Manual_Test_Cases!$B$5:$B$95,A26,Manual_Test_Cases!$F$5:$F$95,"Live — BLOCKED")</f>
        <v>0</v>
      </c>
      <c r="G26" s="11" t="n">
        <f aca="false">COUNTIFS(Manual_Test_Cases!$B$5:$B$95,A26,Manual_Test_Cases!$K$5:$K$95,"Pass")</f>
        <v>0</v>
      </c>
      <c r="H26" s="11" t="n">
        <f aca="false">COUNTIFS(Manual_Test_Cases!$B$5:$B$95,A26,Manual_Test_Cases!$K$5:$K$95,"Fail")</f>
        <v>0</v>
      </c>
      <c r="I26" s="11" t="n">
        <f aca="false">COUNTIFS(Manual_Test_Cases!$B$5:$B$95,A26,Manual_Test_Cases!$K$5:$K$95,"Blocked")</f>
        <v>0</v>
      </c>
      <c r="J26" s="11" t="n">
        <f aca="false">COUNTIFS(Manual_Test_Cases!$B$5:$B$95,A26,Manual_Test_Cases!$K$5:$K$95,"Not run")</f>
        <v>1</v>
      </c>
    </row>
    <row r="27" customFormat="false" ht="15" hidden="false" customHeight="false" outlineLevel="0" collapsed="false">
      <c r="A27" s="11" t="s">
        <v>102</v>
      </c>
      <c r="B27" s="11" t="n">
        <f aca="false">COUNTIF(Manual_Test_Cases!$B$5:$B$95,A27)</f>
        <v>2</v>
      </c>
      <c r="C27" s="11" t="n">
        <f aca="false">COUNTIFS(Manual_Test_Cases!$B$5:$B$95,A27,Manual_Test_Cases!$E$5:$E$95,"Positive")</f>
        <v>1</v>
      </c>
      <c r="D27" s="11" t="n">
        <f aca="false">COUNTIFS(Manual_Test_Cases!$B$5:$B$95,A27,Manual_Test_Cases!$E$5:$E$95,"Negative")</f>
        <v>1</v>
      </c>
      <c r="E27" s="11" t="n">
        <f aca="false">COUNTIFS(Manual_Test_Cases!$B$5:$B$95,A27,Manual_Test_Cases!$F$5:$F$95,"Sandbox")</f>
        <v>2</v>
      </c>
      <c r="F27" s="11" t="n">
        <f aca="false">COUNTIFS(Manual_Test_Cases!$B$5:$B$95,A27,Manual_Test_Cases!$F$5:$F$95,"Live — BLOCKED")</f>
        <v>0</v>
      </c>
      <c r="G27" s="11" t="n">
        <f aca="false">COUNTIFS(Manual_Test_Cases!$B$5:$B$95,A27,Manual_Test_Cases!$K$5:$K$95,"Pass")</f>
        <v>0</v>
      </c>
      <c r="H27" s="11" t="n">
        <f aca="false">COUNTIFS(Manual_Test_Cases!$B$5:$B$95,A27,Manual_Test_Cases!$K$5:$K$95,"Fail")</f>
        <v>0</v>
      </c>
      <c r="I27" s="11" t="n">
        <f aca="false">COUNTIFS(Manual_Test_Cases!$B$5:$B$95,A27,Manual_Test_Cases!$K$5:$K$95,"Blocked")</f>
        <v>0</v>
      </c>
      <c r="J27" s="11" t="n">
        <f aca="false">COUNTIFS(Manual_Test_Cases!$B$5:$B$95,A27,Manual_Test_Cases!$K$5:$K$95,"Not run")</f>
        <v>2</v>
      </c>
    </row>
    <row r="28" customFormat="false" ht="15" hidden="false" customHeight="false" outlineLevel="0" collapsed="false">
      <c r="A28" s="11" t="s">
        <v>103</v>
      </c>
      <c r="B28" s="11" t="n">
        <f aca="false">COUNTIF(Manual_Test_Cases!$B$5:$B$95,A28)</f>
        <v>1</v>
      </c>
      <c r="C28" s="11" t="n">
        <f aca="false">COUNTIFS(Manual_Test_Cases!$B$5:$B$95,A28,Manual_Test_Cases!$E$5:$E$95,"Positive")</f>
        <v>1</v>
      </c>
      <c r="D28" s="11" t="n">
        <f aca="false">COUNTIFS(Manual_Test_Cases!$B$5:$B$95,A28,Manual_Test_Cases!$E$5:$E$95,"Negative")</f>
        <v>0</v>
      </c>
      <c r="E28" s="11" t="n">
        <f aca="false">COUNTIFS(Manual_Test_Cases!$B$5:$B$95,A28,Manual_Test_Cases!$F$5:$F$95,"Sandbox")</f>
        <v>1</v>
      </c>
      <c r="F28" s="11" t="n">
        <f aca="false">COUNTIFS(Manual_Test_Cases!$B$5:$B$95,A28,Manual_Test_Cases!$F$5:$F$95,"Live — BLOCKED")</f>
        <v>0</v>
      </c>
      <c r="G28" s="11" t="n">
        <f aca="false">COUNTIFS(Manual_Test_Cases!$B$5:$B$95,A28,Manual_Test_Cases!$K$5:$K$95,"Pass")</f>
        <v>0</v>
      </c>
      <c r="H28" s="11" t="n">
        <f aca="false">COUNTIFS(Manual_Test_Cases!$B$5:$B$95,A28,Manual_Test_Cases!$K$5:$K$95,"Fail")</f>
        <v>0</v>
      </c>
      <c r="I28" s="11" t="n">
        <f aca="false">COUNTIFS(Manual_Test_Cases!$B$5:$B$95,A28,Manual_Test_Cases!$K$5:$K$95,"Blocked")</f>
        <v>0</v>
      </c>
      <c r="J28" s="11" t="n">
        <f aca="false">COUNTIFS(Manual_Test_Cases!$B$5:$B$95,A28,Manual_Test_Cases!$K$5:$K$95,"Not run")</f>
        <v>1</v>
      </c>
    </row>
    <row r="29" customFormat="false" ht="15" hidden="false" customHeight="false" outlineLevel="0" collapsed="false">
      <c r="A29" s="11" t="s">
        <v>104</v>
      </c>
      <c r="B29" s="11" t="n">
        <f aca="false">COUNTIF(Manual_Test_Cases!$B$5:$B$95,A29)</f>
        <v>6</v>
      </c>
      <c r="C29" s="11" t="n">
        <f aca="false">COUNTIFS(Manual_Test_Cases!$B$5:$B$95,A29,Manual_Test_Cases!$E$5:$E$95,"Positive")</f>
        <v>5</v>
      </c>
      <c r="D29" s="11" t="n">
        <f aca="false">COUNTIFS(Manual_Test_Cases!$B$5:$B$95,A29,Manual_Test_Cases!$E$5:$E$95,"Negative")</f>
        <v>1</v>
      </c>
      <c r="E29" s="11" t="n">
        <f aca="false">COUNTIFS(Manual_Test_Cases!$B$5:$B$95,A29,Manual_Test_Cases!$F$5:$F$95,"Sandbox")</f>
        <v>6</v>
      </c>
      <c r="F29" s="11" t="n">
        <f aca="false">COUNTIFS(Manual_Test_Cases!$B$5:$B$95,A29,Manual_Test_Cases!$F$5:$F$95,"Live — BLOCKED")</f>
        <v>0</v>
      </c>
      <c r="G29" s="11" t="n">
        <f aca="false">COUNTIFS(Manual_Test_Cases!$B$5:$B$95,A29,Manual_Test_Cases!$K$5:$K$95,"Pass")</f>
        <v>0</v>
      </c>
      <c r="H29" s="11" t="n">
        <f aca="false">COUNTIFS(Manual_Test_Cases!$B$5:$B$95,A29,Manual_Test_Cases!$K$5:$K$95,"Fail")</f>
        <v>0</v>
      </c>
      <c r="I29" s="11" t="n">
        <f aca="false">COUNTIFS(Manual_Test_Cases!$B$5:$B$95,A29,Manual_Test_Cases!$K$5:$K$95,"Blocked")</f>
        <v>0</v>
      </c>
      <c r="J29" s="11" t="n">
        <f aca="false">COUNTIFS(Manual_Test_Cases!$B$5:$B$95,A29,Manual_Test_Cases!$K$5:$K$95,"Not run")</f>
        <v>6</v>
      </c>
    </row>
    <row r="30" customFormat="false" ht="15" hidden="false" customHeight="false" outlineLevel="0" collapsed="false">
      <c r="A30" s="11" t="s">
        <v>105</v>
      </c>
      <c r="B30" s="11" t="n">
        <f aca="false">COUNTIF(Manual_Test_Cases!$B$5:$B$95,A30)</f>
        <v>2</v>
      </c>
      <c r="C30" s="11" t="n">
        <f aca="false">COUNTIFS(Manual_Test_Cases!$B$5:$B$95,A30,Manual_Test_Cases!$E$5:$E$95,"Positive")</f>
        <v>1</v>
      </c>
      <c r="D30" s="11" t="n">
        <f aca="false">COUNTIFS(Manual_Test_Cases!$B$5:$B$95,A30,Manual_Test_Cases!$E$5:$E$95,"Negative")</f>
        <v>1</v>
      </c>
      <c r="E30" s="11" t="n">
        <f aca="false">COUNTIFS(Manual_Test_Cases!$B$5:$B$95,A30,Manual_Test_Cases!$F$5:$F$95,"Sandbox")</f>
        <v>2</v>
      </c>
      <c r="F30" s="11" t="n">
        <f aca="false">COUNTIFS(Manual_Test_Cases!$B$5:$B$95,A30,Manual_Test_Cases!$F$5:$F$95,"Live — BLOCKED")</f>
        <v>0</v>
      </c>
      <c r="G30" s="11" t="n">
        <f aca="false">COUNTIFS(Manual_Test_Cases!$B$5:$B$95,A30,Manual_Test_Cases!$K$5:$K$95,"Pass")</f>
        <v>0</v>
      </c>
      <c r="H30" s="11" t="n">
        <f aca="false">COUNTIFS(Manual_Test_Cases!$B$5:$B$95,A30,Manual_Test_Cases!$K$5:$K$95,"Fail")</f>
        <v>0</v>
      </c>
      <c r="I30" s="11" t="n">
        <f aca="false">COUNTIFS(Manual_Test_Cases!$B$5:$B$95,A30,Manual_Test_Cases!$K$5:$K$95,"Blocked")</f>
        <v>0</v>
      </c>
      <c r="J30" s="11" t="n">
        <f aca="false">COUNTIFS(Manual_Test_Cases!$B$5:$B$95,A30,Manual_Test_Cases!$K$5:$K$95,"Not run")</f>
        <v>2</v>
      </c>
    </row>
    <row r="31" customFormat="false" ht="15" hidden="false" customHeight="false" outlineLevel="0" collapsed="false">
      <c r="A31" s="11" t="s">
        <v>106</v>
      </c>
      <c r="B31" s="11" t="n">
        <f aca="false">COUNTIF(Manual_Test_Cases!$B$5:$B$95,A31)</f>
        <v>21</v>
      </c>
      <c r="C31" s="11" t="n">
        <f aca="false">COUNTIFS(Manual_Test_Cases!$B$5:$B$95,A31,Manual_Test_Cases!$E$5:$E$95,"Positive")</f>
        <v>14</v>
      </c>
      <c r="D31" s="11" t="n">
        <f aca="false">COUNTIFS(Manual_Test_Cases!$B$5:$B$95,A31,Manual_Test_Cases!$E$5:$E$95,"Negative")</f>
        <v>7</v>
      </c>
      <c r="E31" s="11" t="n">
        <f aca="false">COUNTIFS(Manual_Test_Cases!$B$5:$B$95,A31,Manual_Test_Cases!$F$5:$F$95,"Sandbox")</f>
        <v>18</v>
      </c>
      <c r="F31" s="11" t="n">
        <f aca="false">COUNTIFS(Manual_Test_Cases!$B$5:$B$95,A31,Manual_Test_Cases!$F$5:$F$95,"Live — BLOCKED")</f>
        <v>3</v>
      </c>
      <c r="G31" s="11" t="n">
        <f aca="false">COUNTIFS(Manual_Test_Cases!$B$5:$B$95,A31,Manual_Test_Cases!$K$5:$K$95,"Pass")</f>
        <v>0</v>
      </c>
      <c r="H31" s="11" t="n">
        <f aca="false">COUNTIFS(Manual_Test_Cases!$B$5:$B$95,A31,Manual_Test_Cases!$K$5:$K$95,"Fail")</f>
        <v>0</v>
      </c>
      <c r="I31" s="11" t="n">
        <f aca="false">COUNTIFS(Manual_Test_Cases!$B$5:$B$95,A31,Manual_Test_Cases!$K$5:$K$95,"Blocked")</f>
        <v>0</v>
      </c>
      <c r="J31" s="11" t="n">
        <f aca="false">COUNTIFS(Manual_Test_Cases!$B$5:$B$95,A31,Manual_Test_Cases!$K$5:$K$95,"Not run")</f>
        <v>21</v>
      </c>
    </row>
    <row r="32" customFormat="false" ht="15" hidden="false" customHeight="false" outlineLevel="0" collapsed="false">
      <c r="A32" s="12" t="s">
        <v>107</v>
      </c>
      <c r="B32" s="13" t="n">
        <f aca="false">SUM(B4:B31)</f>
        <v>91</v>
      </c>
      <c r="C32" s="13" t="n">
        <f aca="false">SUM(C4:C31)</f>
        <v>62</v>
      </c>
      <c r="D32" s="13" t="n">
        <f aca="false">SUM(D4:D31)</f>
        <v>29</v>
      </c>
      <c r="E32" s="13" t="n">
        <f aca="false">SUM(E4:E31)</f>
        <v>81</v>
      </c>
      <c r="F32" s="13" t="n">
        <f aca="false">SUM(F4:F31)</f>
        <v>8</v>
      </c>
      <c r="G32" s="13" t="n">
        <f aca="false">SUM(G4:G31)</f>
        <v>0</v>
      </c>
      <c r="H32" s="13" t="n">
        <f aca="false">SUM(H4:H31)</f>
        <v>0</v>
      </c>
      <c r="I32" s="13" t="n">
        <f aca="false">SUM(I4:I31)</f>
        <v>0</v>
      </c>
      <c r="J32" s="13" t="n">
        <f aca="false">SUM(J4:J31)</f>
        <v>91</v>
      </c>
    </row>
    <row r="34" customFormat="false" ht="15" hidden="false" customHeight="false" outlineLevel="0" collapsed="false">
      <c r="A34" s="14" t="s">
        <v>108</v>
      </c>
      <c r="B34" s="14" t="n">
        <f aca="false">IFERROR(ROUND((G32+H32+I32)/B32*100,1),0)</f>
        <v>0</v>
      </c>
    </row>
    <row r="35" customFormat="false" ht="15" hidden="false" customHeight="false" outlineLevel="0" collapsed="false">
      <c r="A35" s="14" t="s">
        <v>109</v>
      </c>
      <c r="B35" s="14" t="n">
        <v>28</v>
      </c>
      <c r="C35" s="5" t="s">
        <v>110</v>
      </c>
    </row>
    <row r="36" customFormat="false" ht="15" hidden="false" customHeight="false" outlineLevel="0" collapsed="false">
      <c r="A36" s="5" t="s">
        <v>111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0"/>
    <col collapsed="false" customWidth="true" hidden="false" outlineLevel="0" max="3" min="3" style="0" width="17"/>
    <col collapsed="false" customWidth="true" hidden="false" outlineLevel="0" max="4" min="4" style="0" width="22"/>
    <col collapsed="false" customWidth="true" hidden="false" outlineLevel="0" max="5" min="5" style="0" width="90"/>
    <col collapsed="false" customWidth="true" hidden="false" outlineLevel="0" max="6" min="6" style="0" width="60"/>
    <col collapsed="false" customWidth="true" hidden="false" outlineLevel="0" max="7" min="7" style="0" width="11"/>
    <col collapsed="false" customWidth="true" hidden="false" outlineLevel="0" max="8" min="8" style="0" width="22"/>
    <col collapsed="false" customWidth="true" hidden="false" outlineLevel="0" max="9" min="9" style="0" width="18"/>
    <col collapsed="false" customWidth="true" hidden="false" outlineLevel="0" max="10" min="10" style="0" width="40"/>
  </cols>
  <sheetData>
    <row r="1" customFormat="false" ht="19.7" hidden="false" customHeight="false" outlineLevel="0" collapsed="false">
      <c r="A1" s="4" t="s">
        <v>112</v>
      </c>
    </row>
    <row r="2" customFormat="false" ht="15" hidden="false" customHeight="false" outlineLevel="0" collapsed="false">
      <c r="A2" s="5" t="s">
        <v>113</v>
      </c>
    </row>
    <row r="4" customFormat="false" ht="23.85" hidden="false" customHeight="false" outlineLevel="0" collapsed="false">
      <c r="A4" s="6" t="s">
        <v>114</v>
      </c>
      <c r="B4" s="6" t="s">
        <v>27</v>
      </c>
      <c r="C4" s="6" t="s">
        <v>28</v>
      </c>
      <c r="D4" s="6" t="s">
        <v>115</v>
      </c>
      <c r="E4" s="6" t="s">
        <v>116</v>
      </c>
      <c r="F4" s="6" t="s">
        <v>117</v>
      </c>
      <c r="G4" s="6" t="s">
        <v>118</v>
      </c>
      <c r="H4" s="6" t="s">
        <v>119</v>
      </c>
      <c r="I4" s="6" t="s">
        <v>11</v>
      </c>
      <c r="J4" s="6" t="s">
        <v>120</v>
      </c>
    </row>
    <row r="5" customFormat="false" ht="46.25" hidden="false" customHeight="false" outlineLevel="0" collapsed="false">
      <c r="A5" s="7" t="s">
        <v>121</v>
      </c>
      <c r="B5" s="7" t="s">
        <v>122</v>
      </c>
      <c r="C5" s="7" t="s">
        <v>123</v>
      </c>
      <c r="D5" s="7" t="s">
        <v>124</v>
      </c>
      <c r="E5" s="7" t="s">
        <v>125</v>
      </c>
      <c r="F5" s="7" t="s">
        <v>126</v>
      </c>
      <c r="G5" s="7" t="s">
        <v>35</v>
      </c>
      <c r="H5" s="7" t="s">
        <v>127</v>
      </c>
      <c r="I5" s="8" t="s">
        <v>32</v>
      </c>
      <c r="J5" s="7" t="s">
        <v>128</v>
      </c>
    </row>
    <row r="6" customFormat="false" ht="35.05" hidden="false" customHeight="false" outlineLevel="0" collapsed="false">
      <c r="A6" s="7" t="s">
        <v>121</v>
      </c>
      <c r="B6" s="7" t="s">
        <v>129</v>
      </c>
      <c r="C6" s="7" t="s">
        <v>130</v>
      </c>
      <c r="D6" s="7" t="s">
        <v>121</v>
      </c>
      <c r="E6" s="7" t="s">
        <v>131</v>
      </c>
      <c r="F6" s="7" t="s">
        <v>132</v>
      </c>
      <c r="G6" s="7" t="s">
        <v>35</v>
      </c>
      <c r="H6" s="7" t="s">
        <v>127</v>
      </c>
      <c r="I6" s="8" t="s">
        <v>32</v>
      </c>
      <c r="J6" s="7" t="s">
        <v>133</v>
      </c>
    </row>
    <row r="7" customFormat="false" ht="46.25" hidden="false" customHeight="false" outlineLevel="0" collapsed="false">
      <c r="A7" s="7" t="s">
        <v>121</v>
      </c>
      <c r="B7" s="7" t="s">
        <v>79</v>
      </c>
      <c r="C7" s="7" t="s">
        <v>134</v>
      </c>
      <c r="D7" s="7" t="s">
        <v>135</v>
      </c>
      <c r="E7" s="7" t="s">
        <v>136</v>
      </c>
      <c r="F7" s="7" t="s">
        <v>137</v>
      </c>
      <c r="G7" s="7" t="s">
        <v>138</v>
      </c>
      <c r="H7" s="7" t="s">
        <v>127</v>
      </c>
      <c r="I7" s="8" t="s">
        <v>32</v>
      </c>
      <c r="J7" s="7" t="s">
        <v>139</v>
      </c>
    </row>
    <row r="8" customFormat="false" ht="35.05" hidden="false" customHeight="false" outlineLevel="0" collapsed="false">
      <c r="A8" s="7" t="s">
        <v>121</v>
      </c>
      <c r="B8" s="7" t="s">
        <v>80</v>
      </c>
      <c r="C8" s="7" t="s">
        <v>140</v>
      </c>
      <c r="D8" s="7" t="s">
        <v>135</v>
      </c>
      <c r="E8" s="7" t="s">
        <v>141</v>
      </c>
      <c r="F8" s="7" t="s">
        <v>142</v>
      </c>
      <c r="G8" s="7" t="s">
        <v>143</v>
      </c>
      <c r="H8" s="7" t="s">
        <v>127</v>
      </c>
      <c r="I8" s="8" t="s">
        <v>32</v>
      </c>
      <c r="J8" s="7" t="s">
        <v>144</v>
      </c>
    </row>
    <row r="9" customFormat="false" ht="46.25" hidden="false" customHeight="false" outlineLevel="0" collapsed="false">
      <c r="A9" s="7" t="s">
        <v>121</v>
      </c>
      <c r="B9" s="7" t="s">
        <v>81</v>
      </c>
      <c r="C9" s="7" t="s">
        <v>145</v>
      </c>
      <c r="D9" s="7" t="s">
        <v>146</v>
      </c>
      <c r="E9" s="7" t="s">
        <v>147</v>
      </c>
      <c r="F9" s="7" t="s">
        <v>148</v>
      </c>
      <c r="G9" s="7" t="s">
        <v>149</v>
      </c>
      <c r="H9" s="7" t="s">
        <v>127</v>
      </c>
      <c r="I9" s="8" t="s">
        <v>32</v>
      </c>
      <c r="J9" s="7" t="s">
        <v>150</v>
      </c>
    </row>
    <row r="10" customFormat="false" ht="46.25" hidden="false" customHeight="false" outlineLevel="0" collapsed="false">
      <c r="A10" s="7" t="s">
        <v>121</v>
      </c>
      <c r="B10" s="7" t="s">
        <v>82</v>
      </c>
      <c r="C10" s="7" t="s">
        <v>151</v>
      </c>
      <c r="D10" s="7" t="s">
        <v>135</v>
      </c>
      <c r="E10" s="7" t="s">
        <v>152</v>
      </c>
      <c r="F10" s="7" t="s">
        <v>153</v>
      </c>
      <c r="G10" s="7" t="s">
        <v>154</v>
      </c>
      <c r="H10" s="7" t="s">
        <v>127</v>
      </c>
      <c r="I10" s="8" t="s">
        <v>32</v>
      </c>
      <c r="J10" s="7" t="s">
        <v>155</v>
      </c>
    </row>
    <row r="11" customFormat="false" ht="35.05" hidden="false" customHeight="false" outlineLevel="0" collapsed="false">
      <c r="A11" s="7" t="s">
        <v>121</v>
      </c>
      <c r="B11" s="7" t="s">
        <v>83</v>
      </c>
      <c r="C11" s="7" t="s">
        <v>156</v>
      </c>
      <c r="D11" s="7" t="s">
        <v>135</v>
      </c>
      <c r="E11" s="7" t="s">
        <v>157</v>
      </c>
      <c r="F11" s="7" t="s">
        <v>158</v>
      </c>
      <c r="G11" s="7" t="s">
        <v>159</v>
      </c>
      <c r="H11" s="7" t="s">
        <v>127</v>
      </c>
      <c r="I11" s="8" t="s">
        <v>32</v>
      </c>
      <c r="J11" s="7" t="s">
        <v>160</v>
      </c>
    </row>
    <row r="12" customFormat="false" ht="35.05" hidden="false" customHeight="false" outlineLevel="0" collapsed="false">
      <c r="A12" s="7" t="s">
        <v>121</v>
      </c>
      <c r="B12" s="7" t="s">
        <v>84</v>
      </c>
      <c r="C12" s="7" t="s">
        <v>161</v>
      </c>
      <c r="D12" s="7" t="s">
        <v>162</v>
      </c>
      <c r="E12" s="7" t="s">
        <v>163</v>
      </c>
      <c r="F12" s="7" t="s">
        <v>164</v>
      </c>
      <c r="G12" s="7" t="s">
        <v>165</v>
      </c>
      <c r="H12" s="7" t="s">
        <v>127</v>
      </c>
      <c r="I12" s="8" t="s">
        <v>32</v>
      </c>
      <c r="J12" s="7" t="s">
        <v>166</v>
      </c>
    </row>
    <row r="13" customFormat="false" ht="79.85" hidden="false" customHeight="false" outlineLevel="0" collapsed="false">
      <c r="A13" s="7" t="s">
        <v>121</v>
      </c>
      <c r="B13" s="7" t="s">
        <v>85</v>
      </c>
      <c r="C13" s="7" t="s">
        <v>167</v>
      </c>
      <c r="D13" s="7" t="s">
        <v>168</v>
      </c>
      <c r="E13" s="7" t="s">
        <v>169</v>
      </c>
      <c r="F13" s="7" t="s">
        <v>170</v>
      </c>
      <c r="G13" s="7" t="s">
        <v>171</v>
      </c>
      <c r="H13" s="7" t="s">
        <v>127</v>
      </c>
      <c r="I13" s="8" t="s">
        <v>32</v>
      </c>
      <c r="J13" s="7" t="s">
        <v>172</v>
      </c>
    </row>
    <row r="14" customFormat="false" ht="102.2" hidden="false" customHeight="false" outlineLevel="0" collapsed="false">
      <c r="A14" s="7" t="s">
        <v>121</v>
      </c>
      <c r="B14" s="7" t="s">
        <v>86</v>
      </c>
      <c r="C14" s="7" t="s">
        <v>173</v>
      </c>
      <c r="D14" s="7" t="s">
        <v>168</v>
      </c>
      <c r="E14" s="7" t="s">
        <v>174</v>
      </c>
      <c r="F14" s="7" t="s">
        <v>175</v>
      </c>
      <c r="G14" s="7" t="s">
        <v>176</v>
      </c>
      <c r="H14" s="7" t="s">
        <v>127</v>
      </c>
      <c r="I14" s="8" t="s">
        <v>32</v>
      </c>
      <c r="J14" s="7" t="s">
        <v>177</v>
      </c>
    </row>
    <row r="15" customFormat="false" ht="102.2" hidden="false" customHeight="false" outlineLevel="0" collapsed="false">
      <c r="A15" s="7" t="s">
        <v>121</v>
      </c>
      <c r="B15" s="7" t="s">
        <v>87</v>
      </c>
      <c r="C15" s="7" t="s">
        <v>178</v>
      </c>
      <c r="D15" s="7" t="s">
        <v>135</v>
      </c>
      <c r="E15" s="7" t="s">
        <v>179</v>
      </c>
      <c r="F15" s="7" t="s">
        <v>180</v>
      </c>
      <c r="G15" s="7" t="s">
        <v>181</v>
      </c>
      <c r="H15" s="7" t="s">
        <v>127</v>
      </c>
      <c r="I15" s="8" t="s">
        <v>32</v>
      </c>
      <c r="J15" s="7" t="s">
        <v>182</v>
      </c>
    </row>
    <row r="16" customFormat="false" ht="124.6" hidden="false" customHeight="false" outlineLevel="0" collapsed="false">
      <c r="A16" s="7" t="s">
        <v>121</v>
      </c>
      <c r="B16" s="7" t="s">
        <v>88</v>
      </c>
      <c r="C16" s="7" t="s">
        <v>183</v>
      </c>
      <c r="D16" s="7" t="s">
        <v>184</v>
      </c>
      <c r="E16" s="7" t="s">
        <v>185</v>
      </c>
      <c r="F16" s="7" t="s">
        <v>186</v>
      </c>
      <c r="G16" s="7" t="s">
        <v>187</v>
      </c>
      <c r="H16" s="7" t="s">
        <v>127</v>
      </c>
      <c r="I16" s="8" t="s">
        <v>32</v>
      </c>
      <c r="J16" s="7" t="s">
        <v>188</v>
      </c>
    </row>
    <row r="17" customFormat="false" ht="158.2" hidden="false" customHeight="false" outlineLevel="0" collapsed="false">
      <c r="A17" s="7" t="s">
        <v>121</v>
      </c>
      <c r="B17" s="7" t="s">
        <v>89</v>
      </c>
      <c r="C17" s="7" t="s">
        <v>189</v>
      </c>
      <c r="D17" s="7" t="s">
        <v>190</v>
      </c>
      <c r="E17" s="7" t="s">
        <v>191</v>
      </c>
      <c r="F17" s="7" t="s">
        <v>192</v>
      </c>
      <c r="G17" s="7" t="s">
        <v>193</v>
      </c>
      <c r="H17" s="7" t="s">
        <v>127</v>
      </c>
      <c r="I17" s="8" t="s">
        <v>32</v>
      </c>
      <c r="J17" s="7" t="s">
        <v>194</v>
      </c>
    </row>
    <row r="18" customFormat="false" ht="158.2" hidden="false" customHeight="false" outlineLevel="0" collapsed="false">
      <c r="A18" s="7" t="s">
        <v>121</v>
      </c>
      <c r="B18" s="7" t="s">
        <v>90</v>
      </c>
      <c r="C18" s="7" t="s">
        <v>195</v>
      </c>
      <c r="D18" s="7" t="s">
        <v>168</v>
      </c>
      <c r="E18" s="7" t="s">
        <v>196</v>
      </c>
      <c r="F18" s="7" t="s">
        <v>197</v>
      </c>
      <c r="G18" s="7" t="s">
        <v>198</v>
      </c>
      <c r="H18" s="7" t="s">
        <v>127</v>
      </c>
      <c r="I18" s="8" t="s">
        <v>32</v>
      </c>
      <c r="J18" s="7" t="s">
        <v>199</v>
      </c>
    </row>
    <row r="19" customFormat="false" ht="169.4" hidden="false" customHeight="false" outlineLevel="0" collapsed="false">
      <c r="A19" s="7" t="s">
        <v>121</v>
      </c>
      <c r="B19" s="7" t="s">
        <v>91</v>
      </c>
      <c r="C19" s="7" t="s">
        <v>200</v>
      </c>
      <c r="D19" s="7" t="s">
        <v>201</v>
      </c>
      <c r="E19" s="7" t="s">
        <v>202</v>
      </c>
      <c r="F19" s="7" t="s">
        <v>203</v>
      </c>
      <c r="G19" s="7" t="s">
        <v>204</v>
      </c>
      <c r="H19" s="7" t="s">
        <v>127</v>
      </c>
      <c r="I19" s="8" t="s">
        <v>32</v>
      </c>
      <c r="J19" s="7" t="s">
        <v>205</v>
      </c>
    </row>
    <row r="20" customFormat="false" ht="147" hidden="false" customHeight="false" outlineLevel="0" collapsed="false">
      <c r="A20" s="7" t="s">
        <v>121</v>
      </c>
      <c r="B20" s="7" t="s">
        <v>92</v>
      </c>
      <c r="C20" s="7" t="s">
        <v>206</v>
      </c>
      <c r="D20" s="7" t="s">
        <v>207</v>
      </c>
      <c r="E20" s="7" t="s">
        <v>208</v>
      </c>
      <c r="F20" s="7" t="s">
        <v>209</v>
      </c>
      <c r="G20" s="7" t="s">
        <v>210</v>
      </c>
      <c r="H20" s="7" t="s">
        <v>127</v>
      </c>
      <c r="I20" s="8" t="s">
        <v>32</v>
      </c>
      <c r="J20" s="7" t="s">
        <v>211</v>
      </c>
    </row>
    <row r="21" customFormat="false" ht="135.8" hidden="false" customHeight="false" outlineLevel="0" collapsed="false">
      <c r="A21" s="7" t="s">
        <v>121</v>
      </c>
      <c r="B21" s="7" t="s">
        <v>93</v>
      </c>
      <c r="C21" s="7" t="s">
        <v>212</v>
      </c>
      <c r="D21" s="7" t="s">
        <v>168</v>
      </c>
      <c r="E21" s="7" t="s">
        <v>213</v>
      </c>
      <c r="F21" s="7" t="s">
        <v>214</v>
      </c>
      <c r="G21" s="7" t="s">
        <v>215</v>
      </c>
      <c r="H21" s="7" t="s">
        <v>127</v>
      </c>
      <c r="I21" s="8" t="s">
        <v>32</v>
      </c>
      <c r="J21" s="7" t="s">
        <v>216</v>
      </c>
    </row>
    <row r="22" customFormat="false" ht="124.6" hidden="false" customHeight="false" outlineLevel="0" collapsed="false">
      <c r="A22" s="7" t="s">
        <v>121</v>
      </c>
      <c r="B22" s="7" t="s">
        <v>94</v>
      </c>
      <c r="C22" s="7" t="s">
        <v>217</v>
      </c>
      <c r="D22" s="7" t="s">
        <v>218</v>
      </c>
      <c r="E22" s="7" t="s">
        <v>219</v>
      </c>
      <c r="F22" s="7" t="s">
        <v>220</v>
      </c>
      <c r="G22" s="7" t="s">
        <v>221</v>
      </c>
      <c r="H22" s="7" t="s">
        <v>127</v>
      </c>
      <c r="I22" s="8" t="s">
        <v>32</v>
      </c>
      <c r="J22" s="7" t="s">
        <v>222</v>
      </c>
    </row>
    <row r="23" customFormat="false" ht="147" hidden="false" customHeight="false" outlineLevel="0" collapsed="false">
      <c r="A23" s="7" t="s">
        <v>121</v>
      </c>
      <c r="B23" s="7" t="s">
        <v>95</v>
      </c>
      <c r="C23" s="7" t="s">
        <v>223</v>
      </c>
      <c r="D23" s="7" t="s">
        <v>224</v>
      </c>
      <c r="E23" s="7" t="s">
        <v>225</v>
      </c>
      <c r="F23" s="7" t="s">
        <v>226</v>
      </c>
      <c r="G23" s="7" t="s">
        <v>227</v>
      </c>
      <c r="H23" s="7" t="s">
        <v>127</v>
      </c>
      <c r="I23" s="8" t="s">
        <v>32</v>
      </c>
      <c r="J23" s="7" t="s">
        <v>228</v>
      </c>
    </row>
    <row r="24" customFormat="false" ht="158.2" hidden="false" customHeight="false" outlineLevel="0" collapsed="false">
      <c r="A24" s="7" t="s">
        <v>121</v>
      </c>
      <c r="B24" s="7" t="s">
        <v>96</v>
      </c>
      <c r="C24" s="7" t="s">
        <v>229</v>
      </c>
      <c r="D24" s="7" t="s">
        <v>230</v>
      </c>
      <c r="E24" s="7" t="s">
        <v>231</v>
      </c>
      <c r="F24" s="7" t="s">
        <v>232</v>
      </c>
      <c r="G24" s="7" t="s">
        <v>233</v>
      </c>
      <c r="H24" s="7" t="s">
        <v>127</v>
      </c>
      <c r="I24" s="8" t="s">
        <v>32</v>
      </c>
      <c r="J24" s="7" t="s">
        <v>234</v>
      </c>
    </row>
    <row r="25" customFormat="false" ht="113.4" hidden="false" customHeight="false" outlineLevel="0" collapsed="false">
      <c r="A25" s="7" t="s">
        <v>121</v>
      </c>
      <c r="B25" s="7" t="s">
        <v>97</v>
      </c>
      <c r="C25" s="7" t="s">
        <v>235</v>
      </c>
      <c r="D25" s="7" t="s">
        <v>236</v>
      </c>
      <c r="E25" s="7" t="s">
        <v>237</v>
      </c>
      <c r="F25" s="7" t="s">
        <v>238</v>
      </c>
      <c r="G25" s="7" t="s">
        <v>35</v>
      </c>
      <c r="H25" s="7" t="s">
        <v>127</v>
      </c>
      <c r="I25" s="8" t="s">
        <v>32</v>
      </c>
      <c r="J25" s="7" t="s">
        <v>239</v>
      </c>
    </row>
    <row r="26" customFormat="false" ht="191.75" hidden="false" customHeight="false" outlineLevel="0" collapsed="false">
      <c r="A26" s="7" t="s">
        <v>121</v>
      </c>
      <c r="B26" s="7" t="s">
        <v>98</v>
      </c>
      <c r="C26" s="7" t="s">
        <v>240</v>
      </c>
      <c r="D26" s="7" t="s">
        <v>241</v>
      </c>
      <c r="E26" s="7" t="s">
        <v>242</v>
      </c>
      <c r="F26" s="7" t="s">
        <v>243</v>
      </c>
      <c r="G26" s="7" t="s">
        <v>244</v>
      </c>
      <c r="H26" s="7" t="s">
        <v>127</v>
      </c>
      <c r="I26" s="8" t="s">
        <v>32</v>
      </c>
      <c r="J26" s="7" t="s">
        <v>245</v>
      </c>
    </row>
    <row r="27" customFormat="false" ht="191.75" hidden="false" customHeight="false" outlineLevel="0" collapsed="false">
      <c r="A27" s="7" t="s">
        <v>121</v>
      </c>
      <c r="B27" s="7" t="s">
        <v>99</v>
      </c>
      <c r="C27" s="7" t="s">
        <v>246</v>
      </c>
      <c r="D27" s="7" t="s">
        <v>247</v>
      </c>
      <c r="E27" s="7" t="s">
        <v>248</v>
      </c>
      <c r="F27" s="7" t="s">
        <v>249</v>
      </c>
      <c r="G27" s="7" t="s">
        <v>250</v>
      </c>
      <c r="H27" s="7" t="s">
        <v>127</v>
      </c>
      <c r="I27" s="8" t="s">
        <v>32</v>
      </c>
      <c r="J27" s="7" t="s">
        <v>251</v>
      </c>
    </row>
    <row r="28" customFormat="false" ht="169.4" hidden="false" customHeight="false" outlineLevel="0" collapsed="false">
      <c r="A28" s="7" t="s">
        <v>121</v>
      </c>
      <c r="B28" s="7" t="s">
        <v>100</v>
      </c>
      <c r="C28" s="7" t="s">
        <v>252</v>
      </c>
      <c r="D28" s="7" t="s">
        <v>247</v>
      </c>
      <c r="E28" s="7" t="s">
        <v>253</v>
      </c>
      <c r="F28" s="7" t="s">
        <v>254</v>
      </c>
      <c r="G28" s="7" t="s">
        <v>255</v>
      </c>
      <c r="H28" s="7" t="s">
        <v>127</v>
      </c>
      <c r="I28" s="8" t="s">
        <v>32</v>
      </c>
      <c r="J28" s="7" t="s">
        <v>256</v>
      </c>
    </row>
    <row r="29" customFormat="false" ht="169.4" hidden="false" customHeight="false" outlineLevel="0" collapsed="false">
      <c r="A29" s="7" t="s">
        <v>121</v>
      </c>
      <c r="B29" s="7" t="s">
        <v>101</v>
      </c>
      <c r="C29" s="7" t="s">
        <v>257</v>
      </c>
      <c r="D29" s="7" t="s">
        <v>247</v>
      </c>
      <c r="E29" s="7" t="s">
        <v>258</v>
      </c>
      <c r="F29" s="7" t="s">
        <v>259</v>
      </c>
      <c r="G29" s="7" t="s">
        <v>260</v>
      </c>
      <c r="H29" s="7" t="s">
        <v>127</v>
      </c>
      <c r="I29" s="8" t="s">
        <v>32</v>
      </c>
      <c r="J29" s="7" t="s">
        <v>261</v>
      </c>
    </row>
    <row r="30" customFormat="false" ht="225.35" hidden="false" customHeight="false" outlineLevel="0" collapsed="false">
      <c r="A30" s="7" t="s">
        <v>121</v>
      </c>
      <c r="B30" s="7" t="s">
        <v>262</v>
      </c>
      <c r="C30" s="7" t="s">
        <v>263</v>
      </c>
      <c r="D30" s="7" t="s">
        <v>264</v>
      </c>
      <c r="E30" s="7" t="s">
        <v>265</v>
      </c>
      <c r="F30" s="7" t="s">
        <v>266</v>
      </c>
      <c r="G30" s="7" t="s">
        <v>35</v>
      </c>
      <c r="H30" s="7" t="s">
        <v>127</v>
      </c>
      <c r="I30" s="8" t="s">
        <v>32</v>
      </c>
      <c r="J30" s="7" t="s">
        <v>267</v>
      </c>
    </row>
    <row r="31" customFormat="false" ht="158.2" hidden="false" customHeight="false" outlineLevel="0" collapsed="false">
      <c r="A31" s="7" t="s">
        <v>121</v>
      </c>
      <c r="B31" s="7" t="s">
        <v>102</v>
      </c>
      <c r="C31" s="7" t="s">
        <v>268</v>
      </c>
      <c r="D31" s="7" t="s">
        <v>218</v>
      </c>
      <c r="E31" s="7" t="s">
        <v>269</v>
      </c>
      <c r="F31" s="7" t="s">
        <v>270</v>
      </c>
      <c r="G31" s="7" t="s">
        <v>271</v>
      </c>
      <c r="H31" s="7" t="s">
        <v>127</v>
      </c>
      <c r="I31" s="8" t="s">
        <v>32</v>
      </c>
      <c r="J31" s="7" t="s">
        <v>272</v>
      </c>
    </row>
    <row r="32" customFormat="false" ht="158.2" hidden="false" customHeight="false" outlineLevel="0" collapsed="false">
      <c r="A32" s="7" t="s">
        <v>121</v>
      </c>
      <c r="B32" s="7" t="s">
        <v>103</v>
      </c>
      <c r="C32" s="7" t="s">
        <v>273</v>
      </c>
      <c r="D32" s="7" t="s">
        <v>274</v>
      </c>
      <c r="E32" s="7" t="s">
        <v>275</v>
      </c>
      <c r="F32" s="7" t="s">
        <v>276</v>
      </c>
      <c r="G32" s="7" t="s">
        <v>277</v>
      </c>
      <c r="H32" s="7" t="s">
        <v>127</v>
      </c>
      <c r="I32" s="8" t="s">
        <v>32</v>
      </c>
      <c r="J32" s="7" t="s">
        <v>278</v>
      </c>
    </row>
    <row r="33" customFormat="false" ht="23.85" hidden="false" customHeight="false" outlineLevel="0" collapsed="false">
      <c r="A33" s="7" t="s">
        <v>121</v>
      </c>
      <c r="B33" s="7" t="s">
        <v>104</v>
      </c>
      <c r="C33" s="7" t="s">
        <v>279</v>
      </c>
      <c r="D33" s="7" t="s">
        <v>280</v>
      </c>
      <c r="E33" s="7" t="s">
        <v>281</v>
      </c>
      <c r="F33" s="7" t="s">
        <v>282</v>
      </c>
      <c r="G33" s="7" t="s">
        <v>35</v>
      </c>
      <c r="H33" s="7" t="s">
        <v>35</v>
      </c>
      <c r="I33" s="7" t="s">
        <v>283</v>
      </c>
      <c r="J33" s="7" t="s">
        <v>35</v>
      </c>
    </row>
    <row r="34" customFormat="false" ht="79.85" hidden="false" customHeight="false" outlineLevel="0" collapsed="false">
      <c r="A34" s="7" t="s">
        <v>121</v>
      </c>
      <c r="B34" s="7" t="s">
        <v>104</v>
      </c>
      <c r="C34" s="7" t="s">
        <v>284</v>
      </c>
      <c r="D34" s="7" t="s">
        <v>285</v>
      </c>
      <c r="E34" s="7" t="s">
        <v>286</v>
      </c>
      <c r="F34" s="7" t="s">
        <v>287</v>
      </c>
      <c r="G34" s="7" t="s">
        <v>288</v>
      </c>
      <c r="H34" s="7" t="s">
        <v>127</v>
      </c>
      <c r="I34" s="8" t="s">
        <v>32</v>
      </c>
      <c r="J34" s="7" t="s">
        <v>289</v>
      </c>
    </row>
    <row r="35" customFormat="false" ht="79.85" hidden="false" customHeight="false" outlineLevel="0" collapsed="false">
      <c r="A35" s="7" t="s">
        <v>121</v>
      </c>
      <c r="B35" s="7" t="s">
        <v>105</v>
      </c>
      <c r="C35" s="7" t="s">
        <v>290</v>
      </c>
      <c r="D35" s="7" t="s">
        <v>291</v>
      </c>
      <c r="E35" s="7" t="s">
        <v>292</v>
      </c>
      <c r="F35" s="7" t="s">
        <v>293</v>
      </c>
      <c r="G35" s="7" t="s">
        <v>294</v>
      </c>
      <c r="H35" s="7" t="s">
        <v>127</v>
      </c>
      <c r="I35" s="8" t="s">
        <v>32</v>
      </c>
      <c r="J35" s="7" t="s">
        <v>295</v>
      </c>
    </row>
    <row r="36" customFormat="false" ht="79.85" hidden="false" customHeight="false" outlineLevel="0" collapsed="false">
      <c r="A36" s="7" t="s">
        <v>121</v>
      </c>
      <c r="B36" s="7" t="s">
        <v>106</v>
      </c>
      <c r="C36" s="7" t="s">
        <v>296</v>
      </c>
      <c r="D36" s="7" t="s">
        <v>285</v>
      </c>
      <c r="E36" s="7" t="s">
        <v>297</v>
      </c>
      <c r="F36" s="7" t="s">
        <v>298</v>
      </c>
      <c r="G36" s="7" t="s">
        <v>299</v>
      </c>
      <c r="H36" s="7" t="s">
        <v>127</v>
      </c>
      <c r="I36" s="8" t="s">
        <v>32</v>
      </c>
      <c r="J36" s="7" t="s">
        <v>300</v>
      </c>
    </row>
    <row r="37" customFormat="false" ht="46.25" hidden="false" customHeight="false" outlineLevel="0" collapsed="false">
      <c r="A37" s="7" t="s">
        <v>301</v>
      </c>
      <c r="B37" s="7" t="s">
        <v>302</v>
      </c>
      <c r="C37" s="7" t="s">
        <v>303</v>
      </c>
      <c r="D37" s="7" t="s">
        <v>304</v>
      </c>
      <c r="E37" s="7" t="s">
        <v>305</v>
      </c>
      <c r="F37" s="7" t="s">
        <v>306</v>
      </c>
      <c r="G37" s="7" t="s">
        <v>35</v>
      </c>
      <c r="H37" s="7" t="s">
        <v>35</v>
      </c>
      <c r="I37" s="8" t="s">
        <v>32</v>
      </c>
      <c r="J37" s="7" t="s">
        <v>307</v>
      </c>
    </row>
    <row r="38" customFormat="false" ht="57.45" hidden="false" customHeight="false" outlineLevel="0" collapsed="false">
      <c r="A38" s="7" t="s">
        <v>301</v>
      </c>
      <c r="B38" s="7" t="s">
        <v>308</v>
      </c>
      <c r="C38" s="7" t="s">
        <v>167</v>
      </c>
      <c r="D38" s="7" t="s">
        <v>304</v>
      </c>
      <c r="E38" s="7" t="s">
        <v>309</v>
      </c>
      <c r="F38" s="7" t="s">
        <v>306</v>
      </c>
      <c r="G38" s="7" t="s">
        <v>35</v>
      </c>
      <c r="H38" s="7" t="s">
        <v>35</v>
      </c>
      <c r="I38" s="8" t="s">
        <v>32</v>
      </c>
      <c r="J38" s="7" t="s">
        <v>307</v>
      </c>
    </row>
    <row r="39" customFormat="false" ht="46.25" hidden="false" customHeight="false" outlineLevel="0" collapsed="false">
      <c r="A39" s="7" t="s">
        <v>301</v>
      </c>
      <c r="B39" s="7" t="s">
        <v>310</v>
      </c>
      <c r="C39" s="7" t="s">
        <v>173</v>
      </c>
      <c r="D39" s="7" t="s">
        <v>304</v>
      </c>
      <c r="E39" s="7" t="s">
        <v>311</v>
      </c>
      <c r="F39" s="7" t="s">
        <v>306</v>
      </c>
      <c r="G39" s="7" t="s">
        <v>35</v>
      </c>
      <c r="H39" s="7" t="s">
        <v>35</v>
      </c>
      <c r="I39" s="8" t="s">
        <v>32</v>
      </c>
      <c r="J39" s="7" t="s">
        <v>307</v>
      </c>
    </row>
    <row r="40" customFormat="false" ht="57.45" hidden="false" customHeight="false" outlineLevel="0" collapsed="false">
      <c r="A40" s="7" t="s">
        <v>301</v>
      </c>
      <c r="B40" s="7" t="s">
        <v>312</v>
      </c>
      <c r="C40" s="7" t="s">
        <v>178</v>
      </c>
      <c r="D40" s="7" t="s">
        <v>304</v>
      </c>
      <c r="E40" s="7" t="s">
        <v>313</v>
      </c>
      <c r="F40" s="7" t="s">
        <v>306</v>
      </c>
      <c r="G40" s="7" t="s">
        <v>35</v>
      </c>
      <c r="H40" s="7" t="s">
        <v>35</v>
      </c>
      <c r="I40" s="8" t="s">
        <v>32</v>
      </c>
      <c r="J40" s="7" t="s">
        <v>307</v>
      </c>
    </row>
    <row r="41" customFormat="false" ht="46.25" hidden="false" customHeight="false" outlineLevel="0" collapsed="false">
      <c r="A41" s="7" t="s">
        <v>301</v>
      </c>
      <c r="B41" s="7" t="s">
        <v>314</v>
      </c>
      <c r="C41" s="7" t="s">
        <v>183</v>
      </c>
      <c r="D41" s="7" t="s">
        <v>304</v>
      </c>
      <c r="E41" s="7" t="s">
        <v>315</v>
      </c>
      <c r="F41" s="7" t="s">
        <v>306</v>
      </c>
      <c r="G41" s="7" t="s">
        <v>35</v>
      </c>
      <c r="H41" s="7" t="s">
        <v>35</v>
      </c>
      <c r="I41" s="8" t="s">
        <v>32</v>
      </c>
      <c r="J41" s="7" t="s">
        <v>307</v>
      </c>
    </row>
    <row r="42" customFormat="false" ht="57.45" hidden="false" customHeight="false" outlineLevel="0" collapsed="false">
      <c r="A42" s="7" t="s">
        <v>301</v>
      </c>
      <c r="B42" s="7" t="s">
        <v>316</v>
      </c>
      <c r="C42" s="7" t="s">
        <v>189</v>
      </c>
      <c r="D42" s="7" t="s">
        <v>304</v>
      </c>
      <c r="E42" s="7" t="s">
        <v>317</v>
      </c>
      <c r="F42" s="7" t="s">
        <v>306</v>
      </c>
      <c r="G42" s="7" t="s">
        <v>35</v>
      </c>
      <c r="H42" s="7" t="s">
        <v>35</v>
      </c>
      <c r="I42" s="8" t="s">
        <v>32</v>
      </c>
      <c r="J42" s="7" t="s">
        <v>307</v>
      </c>
    </row>
    <row r="43" customFormat="false" ht="57.45" hidden="false" customHeight="false" outlineLevel="0" collapsed="false">
      <c r="A43" s="7" t="s">
        <v>301</v>
      </c>
      <c r="B43" s="7" t="s">
        <v>129</v>
      </c>
      <c r="C43" s="7" t="s">
        <v>195</v>
      </c>
      <c r="D43" s="7" t="s">
        <v>304</v>
      </c>
      <c r="E43" s="7" t="s">
        <v>318</v>
      </c>
      <c r="F43" s="7" t="s">
        <v>306</v>
      </c>
      <c r="G43" s="7" t="s">
        <v>35</v>
      </c>
      <c r="H43" s="7" t="s">
        <v>35</v>
      </c>
      <c r="I43" s="8" t="s">
        <v>32</v>
      </c>
      <c r="J43" s="7" t="s">
        <v>307</v>
      </c>
    </row>
    <row r="44" customFormat="false" ht="46.25" hidden="false" customHeight="false" outlineLevel="0" collapsed="false">
      <c r="A44" s="7" t="s">
        <v>301</v>
      </c>
      <c r="B44" s="7" t="s">
        <v>79</v>
      </c>
      <c r="C44" s="7" t="s">
        <v>200</v>
      </c>
      <c r="D44" s="7" t="s">
        <v>304</v>
      </c>
      <c r="E44" s="7" t="s">
        <v>319</v>
      </c>
      <c r="F44" s="7" t="s">
        <v>306</v>
      </c>
      <c r="G44" s="7" t="s">
        <v>35</v>
      </c>
      <c r="H44" s="7" t="s">
        <v>35</v>
      </c>
      <c r="I44" s="8" t="s">
        <v>32</v>
      </c>
      <c r="J44" s="7" t="s">
        <v>307</v>
      </c>
    </row>
    <row r="45" customFormat="false" ht="46.25" hidden="false" customHeight="false" outlineLevel="0" collapsed="false">
      <c r="A45" s="7" t="s">
        <v>301</v>
      </c>
      <c r="B45" s="7" t="s">
        <v>80</v>
      </c>
      <c r="C45" s="7" t="s">
        <v>206</v>
      </c>
      <c r="D45" s="7" t="s">
        <v>304</v>
      </c>
      <c r="E45" s="7" t="s">
        <v>320</v>
      </c>
      <c r="F45" s="7" t="s">
        <v>306</v>
      </c>
      <c r="G45" s="7" t="s">
        <v>35</v>
      </c>
      <c r="H45" s="7" t="s">
        <v>35</v>
      </c>
      <c r="I45" s="8" t="s">
        <v>32</v>
      </c>
      <c r="J45" s="7" t="s">
        <v>307</v>
      </c>
    </row>
    <row r="46" customFormat="false" ht="57.45" hidden="false" customHeight="false" outlineLevel="0" collapsed="false">
      <c r="A46" s="7" t="s">
        <v>301</v>
      </c>
      <c r="B46" s="7" t="s">
        <v>81</v>
      </c>
      <c r="C46" s="7" t="s">
        <v>212</v>
      </c>
      <c r="D46" s="7" t="s">
        <v>304</v>
      </c>
      <c r="E46" s="7" t="s">
        <v>321</v>
      </c>
      <c r="F46" s="7" t="s">
        <v>306</v>
      </c>
      <c r="G46" s="7" t="s">
        <v>35</v>
      </c>
      <c r="H46" s="7" t="s">
        <v>35</v>
      </c>
      <c r="I46" s="8" t="s">
        <v>32</v>
      </c>
      <c r="J46" s="7" t="s">
        <v>307</v>
      </c>
    </row>
    <row r="47" customFormat="false" ht="46.25" hidden="false" customHeight="false" outlineLevel="0" collapsed="false">
      <c r="A47" s="7" t="s">
        <v>301</v>
      </c>
      <c r="B47" s="7" t="s">
        <v>82</v>
      </c>
      <c r="C47" s="7" t="s">
        <v>217</v>
      </c>
      <c r="D47" s="7" t="s">
        <v>304</v>
      </c>
      <c r="E47" s="7" t="s">
        <v>322</v>
      </c>
      <c r="F47" s="7" t="s">
        <v>306</v>
      </c>
      <c r="G47" s="7" t="s">
        <v>35</v>
      </c>
      <c r="H47" s="7" t="s">
        <v>35</v>
      </c>
      <c r="I47" s="8" t="s">
        <v>32</v>
      </c>
      <c r="J47" s="7" t="s">
        <v>307</v>
      </c>
    </row>
    <row r="48" customFormat="false" ht="57.45" hidden="false" customHeight="false" outlineLevel="0" collapsed="false">
      <c r="A48" s="7" t="s">
        <v>301</v>
      </c>
      <c r="B48" s="7" t="s">
        <v>83</v>
      </c>
      <c r="C48" s="7" t="s">
        <v>223</v>
      </c>
      <c r="D48" s="7" t="s">
        <v>304</v>
      </c>
      <c r="E48" s="7" t="s">
        <v>323</v>
      </c>
      <c r="F48" s="7" t="s">
        <v>306</v>
      </c>
      <c r="G48" s="7" t="s">
        <v>35</v>
      </c>
      <c r="H48" s="7" t="s">
        <v>35</v>
      </c>
      <c r="I48" s="8" t="s">
        <v>32</v>
      </c>
      <c r="J48" s="7" t="s">
        <v>307</v>
      </c>
    </row>
    <row r="49" customFormat="false" ht="46.25" hidden="false" customHeight="false" outlineLevel="0" collapsed="false">
      <c r="A49" s="7" t="s">
        <v>301</v>
      </c>
      <c r="B49" s="7" t="s">
        <v>84</v>
      </c>
      <c r="C49" s="7" t="s">
        <v>229</v>
      </c>
      <c r="D49" s="7" t="s">
        <v>304</v>
      </c>
      <c r="E49" s="7" t="s">
        <v>324</v>
      </c>
      <c r="F49" s="7" t="s">
        <v>306</v>
      </c>
      <c r="G49" s="7" t="s">
        <v>35</v>
      </c>
      <c r="H49" s="7" t="s">
        <v>35</v>
      </c>
      <c r="I49" s="8" t="s">
        <v>32</v>
      </c>
      <c r="J49" s="7" t="s">
        <v>307</v>
      </c>
    </row>
    <row r="50" customFormat="false" ht="46.25" hidden="false" customHeight="false" outlineLevel="0" collapsed="false">
      <c r="A50" s="7" t="s">
        <v>301</v>
      </c>
      <c r="B50" s="7" t="s">
        <v>85</v>
      </c>
      <c r="C50" s="7" t="s">
        <v>235</v>
      </c>
      <c r="D50" s="7" t="s">
        <v>304</v>
      </c>
      <c r="E50" s="7" t="s">
        <v>325</v>
      </c>
      <c r="F50" s="7" t="s">
        <v>306</v>
      </c>
      <c r="G50" s="7" t="s">
        <v>35</v>
      </c>
      <c r="H50" s="7" t="s">
        <v>35</v>
      </c>
      <c r="I50" s="8" t="s">
        <v>32</v>
      </c>
      <c r="J50" s="7" t="s">
        <v>307</v>
      </c>
    </row>
    <row r="51" customFormat="false" ht="57.45" hidden="false" customHeight="false" outlineLevel="0" collapsed="false">
      <c r="A51" s="7" t="s">
        <v>301</v>
      </c>
      <c r="B51" s="7" t="s">
        <v>86</v>
      </c>
      <c r="C51" s="7" t="s">
        <v>240</v>
      </c>
      <c r="D51" s="7" t="s">
        <v>304</v>
      </c>
      <c r="E51" s="7" t="s">
        <v>326</v>
      </c>
      <c r="F51" s="7" t="s">
        <v>306</v>
      </c>
      <c r="G51" s="7" t="s">
        <v>35</v>
      </c>
      <c r="H51" s="7" t="s">
        <v>35</v>
      </c>
      <c r="I51" s="8" t="s">
        <v>32</v>
      </c>
      <c r="J51" s="7" t="s">
        <v>307</v>
      </c>
    </row>
    <row r="52" customFormat="false" ht="57.45" hidden="false" customHeight="false" outlineLevel="0" collapsed="false">
      <c r="A52" s="7" t="s">
        <v>301</v>
      </c>
      <c r="B52" s="7" t="s">
        <v>87</v>
      </c>
      <c r="C52" s="7" t="s">
        <v>246</v>
      </c>
      <c r="D52" s="7" t="s">
        <v>304</v>
      </c>
      <c r="E52" s="7" t="s">
        <v>327</v>
      </c>
      <c r="F52" s="7" t="s">
        <v>306</v>
      </c>
      <c r="G52" s="7" t="s">
        <v>35</v>
      </c>
      <c r="H52" s="7" t="s">
        <v>35</v>
      </c>
      <c r="I52" s="8" t="s">
        <v>32</v>
      </c>
      <c r="J52" s="7" t="s">
        <v>307</v>
      </c>
    </row>
    <row r="53" customFormat="false" ht="57.45" hidden="false" customHeight="false" outlineLevel="0" collapsed="false">
      <c r="A53" s="7" t="s">
        <v>301</v>
      </c>
      <c r="B53" s="7" t="s">
        <v>88</v>
      </c>
      <c r="C53" s="7" t="s">
        <v>252</v>
      </c>
      <c r="D53" s="7" t="s">
        <v>304</v>
      </c>
      <c r="E53" s="7" t="s">
        <v>328</v>
      </c>
      <c r="F53" s="7" t="s">
        <v>306</v>
      </c>
      <c r="G53" s="7" t="s">
        <v>35</v>
      </c>
      <c r="H53" s="7" t="s">
        <v>35</v>
      </c>
      <c r="I53" s="8" t="s">
        <v>32</v>
      </c>
      <c r="J53" s="7" t="s">
        <v>307</v>
      </c>
    </row>
    <row r="54" customFormat="false" ht="46.25" hidden="false" customHeight="false" outlineLevel="0" collapsed="false">
      <c r="A54" s="7" t="s">
        <v>301</v>
      </c>
      <c r="B54" s="7" t="s">
        <v>89</v>
      </c>
      <c r="C54" s="7" t="s">
        <v>257</v>
      </c>
      <c r="D54" s="7" t="s">
        <v>304</v>
      </c>
      <c r="E54" s="7" t="s">
        <v>329</v>
      </c>
      <c r="F54" s="7" t="s">
        <v>306</v>
      </c>
      <c r="G54" s="7" t="s">
        <v>35</v>
      </c>
      <c r="H54" s="7" t="s">
        <v>35</v>
      </c>
      <c r="I54" s="8" t="s">
        <v>32</v>
      </c>
      <c r="J54" s="7" t="s">
        <v>307</v>
      </c>
    </row>
    <row r="55" customFormat="false" ht="46.25" hidden="false" customHeight="false" outlineLevel="0" collapsed="false">
      <c r="A55" s="7" t="s">
        <v>301</v>
      </c>
      <c r="B55" s="7" t="s">
        <v>90</v>
      </c>
      <c r="C55" s="7" t="s">
        <v>263</v>
      </c>
      <c r="D55" s="7" t="s">
        <v>304</v>
      </c>
      <c r="E55" s="7" t="s">
        <v>330</v>
      </c>
      <c r="F55" s="7" t="s">
        <v>306</v>
      </c>
      <c r="G55" s="7" t="s">
        <v>35</v>
      </c>
      <c r="H55" s="7" t="s">
        <v>35</v>
      </c>
      <c r="I55" s="8" t="s">
        <v>32</v>
      </c>
      <c r="J55" s="7" t="s">
        <v>307</v>
      </c>
    </row>
    <row r="56" customFormat="false" ht="46.25" hidden="false" customHeight="false" outlineLevel="0" collapsed="false">
      <c r="A56" s="7" t="s">
        <v>301</v>
      </c>
      <c r="B56" s="7" t="s">
        <v>91</v>
      </c>
      <c r="C56" s="7" t="s">
        <v>268</v>
      </c>
      <c r="D56" s="7" t="s">
        <v>304</v>
      </c>
      <c r="E56" s="7" t="s">
        <v>331</v>
      </c>
      <c r="F56" s="7" t="s">
        <v>306</v>
      </c>
      <c r="G56" s="7" t="s">
        <v>35</v>
      </c>
      <c r="H56" s="7" t="s">
        <v>35</v>
      </c>
      <c r="I56" s="8" t="s">
        <v>32</v>
      </c>
      <c r="J56" s="7" t="s">
        <v>307</v>
      </c>
    </row>
    <row r="57" customFormat="false" ht="46.25" hidden="false" customHeight="false" outlineLevel="0" collapsed="false">
      <c r="A57" s="7" t="s">
        <v>301</v>
      </c>
      <c r="B57" s="7" t="s">
        <v>92</v>
      </c>
      <c r="C57" s="7" t="s">
        <v>273</v>
      </c>
      <c r="D57" s="7" t="s">
        <v>304</v>
      </c>
      <c r="E57" s="7" t="s">
        <v>332</v>
      </c>
      <c r="F57" s="7" t="s">
        <v>306</v>
      </c>
      <c r="G57" s="7" t="s">
        <v>35</v>
      </c>
      <c r="H57" s="7" t="s">
        <v>35</v>
      </c>
      <c r="I57" s="8" t="s">
        <v>32</v>
      </c>
      <c r="J57" s="7" t="s">
        <v>307</v>
      </c>
    </row>
    <row r="58" customFormat="false" ht="135.8" hidden="false" customHeight="false" outlineLevel="0" collapsed="false">
      <c r="A58" s="7" t="s">
        <v>301</v>
      </c>
      <c r="B58" s="7" t="s">
        <v>93</v>
      </c>
      <c r="C58" s="7" t="s">
        <v>284</v>
      </c>
      <c r="D58" s="7" t="s">
        <v>304</v>
      </c>
      <c r="E58" s="7" t="s">
        <v>333</v>
      </c>
      <c r="F58" s="7" t="s">
        <v>306</v>
      </c>
      <c r="G58" s="7" t="s">
        <v>35</v>
      </c>
      <c r="H58" s="7" t="s">
        <v>35</v>
      </c>
      <c r="I58" s="8" t="s">
        <v>32</v>
      </c>
      <c r="J58" s="7" t="s">
        <v>307</v>
      </c>
    </row>
    <row r="59" customFormat="false" ht="124.6" hidden="false" customHeight="false" outlineLevel="0" collapsed="false">
      <c r="A59" s="7" t="s">
        <v>301</v>
      </c>
      <c r="B59" s="7" t="s">
        <v>94</v>
      </c>
      <c r="C59" s="7" t="s">
        <v>290</v>
      </c>
      <c r="D59" s="7" t="s">
        <v>304</v>
      </c>
      <c r="E59" s="7" t="s">
        <v>334</v>
      </c>
      <c r="F59" s="7" t="s">
        <v>306</v>
      </c>
      <c r="G59" s="7" t="s">
        <v>35</v>
      </c>
      <c r="H59" s="7" t="s">
        <v>35</v>
      </c>
      <c r="I59" s="8" t="s">
        <v>32</v>
      </c>
      <c r="J59" s="7" t="s">
        <v>307</v>
      </c>
    </row>
    <row r="60" customFormat="false" ht="91" hidden="false" customHeight="false" outlineLevel="0" collapsed="false">
      <c r="A60" s="7" t="s">
        <v>301</v>
      </c>
      <c r="B60" s="7" t="s">
        <v>95</v>
      </c>
      <c r="C60" s="7" t="s">
        <v>296</v>
      </c>
      <c r="D60" s="7" t="s">
        <v>304</v>
      </c>
      <c r="E60" s="7" t="s">
        <v>335</v>
      </c>
      <c r="F60" s="7" t="s">
        <v>306</v>
      </c>
      <c r="G60" s="7" t="s">
        <v>35</v>
      </c>
      <c r="H60" s="7" t="s">
        <v>35</v>
      </c>
      <c r="I60" s="8" t="s">
        <v>32</v>
      </c>
      <c r="J60" s="7" t="s">
        <v>307</v>
      </c>
    </row>
    <row r="61" customFormat="false" ht="102.2" hidden="false" customHeight="false" outlineLevel="0" collapsed="false">
      <c r="A61" s="7" t="s">
        <v>301</v>
      </c>
      <c r="B61" s="7" t="s">
        <v>96</v>
      </c>
      <c r="C61" s="7" t="s">
        <v>336</v>
      </c>
      <c r="D61" s="7" t="s">
        <v>304</v>
      </c>
      <c r="E61" s="7"/>
      <c r="F61" s="7" t="s">
        <v>306</v>
      </c>
      <c r="G61" s="7" t="s">
        <v>35</v>
      </c>
      <c r="H61" s="7" t="s">
        <v>35</v>
      </c>
      <c r="I61" s="9" t="s">
        <v>37</v>
      </c>
      <c r="J61" s="7" t="s">
        <v>307</v>
      </c>
    </row>
  </sheetData>
  <autoFilter ref="A4:J6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4"/>
    <col collapsed="false" customWidth="true" hidden="false" outlineLevel="0" max="3" min="3" style="0" width="18"/>
    <col collapsed="false" customWidth="true" hidden="false" outlineLevel="0" max="4" min="4" style="0" width="70"/>
    <col collapsed="false" customWidth="true" hidden="false" outlineLevel="0" max="5" min="5" style="0" width="22"/>
    <col collapsed="false" customWidth="true" hidden="false" outlineLevel="0" max="6" min="6" style="0" width="60"/>
    <col collapsed="false" customWidth="true" hidden="false" outlineLevel="0" max="7" min="7" style="0" width="30"/>
  </cols>
  <sheetData>
    <row r="1" customFormat="false" ht="19.7" hidden="false" customHeight="false" outlineLevel="0" collapsed="false">
      <c r="A1" s="4" t="s">
        <v>337</v>
      </c>
    </row>
    <row r="2" customFormat="false" ht="15" hidden="false" customHeight="false" outlineLevel="0" collapsed="false">
      <c r="A2" s="5" t="s">
        <v>338</v>
      </c>
    </row>
    <row r="4" customFormat="false" ht="15" hidden="false" customHeight="false" outlineLevel="0" collapsed="false">
      <c r="A4" s="6" t="s">
        <v>339</v>
      </c>
      <c r="B4" s="6" t="s">
        <v>340</v>
      </c>
      <c r="C4" s="6" t="s">
        <v>11</v>
      </c>
      <c r="D4" s="6" t="s">
        <v>341</v>
      </c>
      <c r="E4" s="6" t="s">
        <v>342</v>
      </c>
      <c r="F4" s="6" t="s">
        <v>343</v>
      </c>
      <c r="G4" s="6" t="s">
        <v>344</v>
      </c>
    </row>
    <row r="5" customFormat="false" ht="23.85" hidden="false" customHeight="false" outlineLevel="0" collapsed="false">
      <c r="A5" s="7" t="s">
        <v>345</v>
      </c>
      <c r="B5" s="7" t="s">
        <v>346</v>
      </c>
      <c r="C5" s="7" t="s">
        <v>347</v>
      </c>
      <c r="D5" s="7" t="s">
        <v>348</v>
      </c>
      <c r="E5" s="7" t="s">
        <v>349</v>
      </c>
      <c r="F5" s="7" t="s">
        <v>350</v>
      </c>
      <c r="G5" s="7" t="s">
        <v>351</v>
      </c>
    </row>
    <row r="6" customFormat="false" ht="35.05" hidden="false" customHeight="false" outlineLevel="0" collapsed="false">
      <c r="A6" s="7" t="s">
        <v>352</v>
      </c>
      <c r="B6" s="7" t="s">
        <v>353</v>
      </c>
      <c r="C6" s="7" t="s">
        <v>354</v>
      </c>
      <c r="D6" s="7" t="s">
        <v>355</v>
      </c>
      <c r="E6" s="7" t="s">
        <v>356</v>
      </c>
      <c r="F6" s="7" t="s">
        <v>357</v>
      </c>
      <c r="G6" s="7" t="s">
        <v>358</v>
      </c>
    </row>
    <row r="7" customFormat="false" ht="23.85" hidden="false" customHeight="false" outlineLevel="0" collapsed="false">
      <c r="A7" s="7" t="s">
        <v>359</v>
      </c>
      <c r="B7" s="7" t="s">
        <v>360</v>
      </c>
      <c r="C7" s="7" t="s">
        <v>361</v>
      </c>
      <c r="D7" s="7" t="s">
        <v>362</v>
      </c>
      <c r="E7" s="7" t="s">
        <v>363</v>
      </c>
      <c r="F7" s="7" t="s">
        <v>364</v>
      </c>
      <c r="G7" s="7" t="s">
        <v>365</v>
      </c>
    </row>
    <row r="8" customFormat="false" ht="23.85" hidden="false" customHeight="false" outlineLevel="0" collapsed="false">
      <c r="A8" s="7" t="s">
        <v>366</v>
      </c>
      <c r="B8" s="7" t="s">
        <v>360</v>
      </c>
      <c r="C8" s="7" t="s">
        <v>354</v>
      </c>
      <c r="D8" s="7" t="s">
        <v>367</v>
      </c>
      <c r="E8" s="7" t="s">
        <v>368</v>
      </c>
      <c r="F8" s="7" t="s">
        <v>369</v>
      </c>
      <c r="G8" s="7" t="s">
        <v>370</v>
      </c>
    </row>
    <row r="9" customFormat="false" ht="23.85" hidden="false" customHeight="false" outlineLevel="0" collapsed="false">
      <c r="A9" s="7" t="s">
        <v>371</v>
      </c>
      <c r="B9" s="7" t="s">
        <v>353</v>
      </c>
      <c r="C9" s="7" t="s">
        <v>361</v>
      </c>
      <c r="D9" s="7" t="s">
        <v>372</v>
      </c>
      <c r="E9" s="7" t="s">
        <v>373</v>
      </c>
      <c r="F9" s="7" t="s">
        <v>374</v>
      </c>
      <c r="G9" s="7" t="s">
        <v>375</v>
      </c>
    </row>
    <row r="10" customFormat="false" ht="23.85" hidden="false" customHeight="false" outlineLevel="0" collapsed="false">
      <c r="A10" s="7" t="s">
        <v>376</v>
      </c>
      <c r="B10" s="7" t="s">
        <v>377</v>
      </c>
      <c r="C10" s="7" t="s">
        <v>378</v>
      </c>
      <c r="D10" s="7" t="s">
        <v>379</v>
      </c>
      <c r="E10" s="7" t="s">
        <v>349</v>
      </c>
      <c r="F10" s="7" t="s">
        <v>380</v>
      </c>
      <c r="G10" s="7" t="s">
        <v>381</v>
      </c>
    </row>
    <row r="11" customFormat="false" ht="23.85" hidden="false" customHeight="false" outlineLevel="0" collapsed="false">
      <c r="A11" s="7" t="s">
        <v>382</v>
      </c>
      <c r="B11" s="7" t="s">
        <v>383</v>
      </c>
      <c r="C11" s="7" t="s">
        <v>361</v>
      </c>
      <c r="D11" s="7" t="s">
        <v>384</v>
      </c>
      <c r="E11" s="7" t="s">
        <v>385</v>
      </c>
      <c r="F11" s="7" t="s">
        <v>386</v>
      </c>
      <c r="G11" s="7" t="s">
        <v>387</v>
      </c>
    </row>
    <row r="12" customFormat="false" ht="23.85" hidden="false" customHeight="false" outlineLevel="0" collapsed="false">
      <c r="A12" s="7" t="s">
        <v>388</v>
      </c>
      <c r="B12" s="7" t="s">
        <v>389</v>
      </c>
      <c r="C12" s="7" t="s">
        <v>390</v>
      </c>
      <c r="D12" s="7" t="s">
        <v>391</v>
      </c>
      <c r="E12" s="7" t="s">
        <v>392</v>
      </c>
      <c r="F12" s="7" t="s">
        <v>393</v>
      </c>
      <c r="G12" s="7" t="s">
        <v>394</v>
      </c>
    </row>
    <row r="13" customFormat="false" ht="23.85" hidden="false" customHeight="false" outlineLevel="0" collapsed="false">
      <c r="A13" s="7" t="s">
        <v>395</v>
      </c>
      <c r="B13" s="7" t="s">
        <v>396</v>
      </c>
      <c r="C13" s="7" t="s">
        <v>361</v>
      </c>
      <c r="D13" s="7" t="s">
        <v>397</v>
      </c>
      <c r="E13" s="7" t="s">
        <v>398</v>
      </c>
      <c r="F13" s="7" t="s">
        <v>399</v>
      </c>
      <c r="G13" s="7" t="s">
        <v>400</v>
      </c>
    </row>
    <row r="14" customFormat="false" ht="23.85" hidden="false" customHeight="false" outlineLevel="0" collapsed="false">
      <c r="A14" s="7" t="s">
        <v>401</v>
      </c>
      <c r="B14" s="7" t="s">
        <v>402</v>
      </c>
      <c r="C14" s="7" t="s">
        <v>403</v>
      </c>
      <c r="D14" s="7" t="s">
        <v>404</v>
      </c>
      <c r="E14" s="7" t="s">
        <v>405</v>
      </c>
      <c r="F14" s="7" t="s">
        <v>406</v>
      </c>
      <c r="G14" s="7" t="s">
        <v>407</v>
      </c>
    </row>
  </sheetData>
  <autoFilter ref="A4:G1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9"/>
    <col collapsed="false" customWidth="true" hidden="false" outlineLevel="0" max="3" min="3" style="0" width="20"/>
    <col collapsed="false" customWidth="true" hidden="false" outlineLevel="0" max="4" min="4" style="0" width="40"/>
    <col collapsed="false" customWidth="true" hidden="false" outlineLevel="0" max="5" min="5" style="0" width="10"/>
    <col collapsed="false" customWidth="true" hidden="false" outlineLevel="0" max="6" min="6" style="0" width="15"/>
    <col collapsed="false" customWidth="true" hidden="false" outlineLevel="0" max="7" min="7" style="0" width="34"/>
    <col collapsed="false" customWidth="true" hidden="false" outlineLevel="0" max="8" min="8" style="0" width="60"/>
    <col collapsed="false" customWidth="true" hidden="false" outlineLevel="0" max="9" min="9" style="0" width="55"/>
    <col collapsed="false" customWidth="true" hidden="false" outlineLevel="0" max="10" min="10" style="0" width="30"/>
    <col collapsed="false" customWidth="true" hidden="false" outlineLevel="0" max="11" min="11" style="0" width="11"/>
    <col collapsed="false" customWidth="true" hidden="false" outlineLevel="0" max="13" min="12" style="0" width="12"/>
    <col collapsed="false" customWidth="true" hidden="false" outlineLevel="0" max="14" min="14" style="0" width="11"/>
    <col collapsed="false" customWidth="true" hidden="false" outlineLevel="0" max="15" min="15" style="0" width="25"/>
  </cols>
  <sheetData>
    <row r="1" customFormat="false" ht="19.7" hidden="false" customHeight="false" outlineLevel="0" collapsed="false">
      <c r="A1" s="4" t="s">
        <v>408</v>
      </c>
    </row>
    <row r="2" customFormat="false" ht="15" hidden="false" customHeight="false" outlineLevel="0" collapsed="false">
      <c r="A2" s="5" t="s">
        <v>409</v>
      </c>
    </row>
    <row r="4" customFormat="false" ht="23.85" hidden="false" customHeight="false" outlineLevel="0" collapsed="false">
      <c r="A4" s="6" t="s">
        <v>410</v>
      </c>
      <c r="B4" s="6" t="s">
        <v>27</v>
      </c>
      <c r="C4" s="6" t="s">
        <v>411</v>
      </c>
      <c r="D4" s="6" t="s">
        <v>412</v>
      </c>
      <c r="E4" s="6" t="s">
        <v>115</v>
      </c>
      <c r="F4" s="6" t="s">
        <v>413</v>
      </c>
      <c r="G4" s="6" t="s">
        <v>414</v>
      </c>
      <c r="H4" s="6" t="s">
        <v>415</v>
      </c>
      <c r="I4" s="6" t="s">
        <v>416</v>
      </c>
      <c r="J4" s="6" t="s">
        <v>417</v>
      </c>
      <c r="K4" s="6" t="s">
        <v>418</v>
      </c>
      <c r="L4" s="6" t="s">
        <v>419</v>
      </c>
      <c r="M4" s="6" t="s">
        <v>420</v>
      </c>
      <c r="N4" s="6" t="s">
        <v>421</v>
      </c>
      <c r="O4" s="6" t="s">
        <v>422</v>
      </c>
    </row>
    <row r="5" customFormat="false" ht="120" hidden="false" customHeight="true" outlineLevel="0" collapsed="false">
      <c r="A5" s="7" t="s">
        <v>423</v>
      </c>
      <c r="B5" s="7" t="s">
        <v>79</v>
      </c>
      <c r="C5" s="7" t="s">
        <v>424</v>
      </c>
      <c r="D5" s="7" t="s">
        <v>425</v>
      </c>
      <c r="E5" s="8" t="s">
        <v>71</v>
      </c>
      <c r="F5" s="8" t="s">
        <v>73</v>
      </c>
      <c r="G5" s="7" t="s">
        <v>426</v>
      </c>
      <c r="H5" s="7" t="s">
        <v>427</v>
      </c>
      <c r="I5" s="7" t="s">
        <v>428</v>
      </c>
      <c r="J5" s="15"/>
      <c r="K5" s="16" t="s">
        <v>78</v>
      </c>
      <c r="L5" s="15"/>
      <c r="M5" s="15"/>
      <c r="N5" s="15"/>
      <c r="O5" s="15"/>
    </row>
    <row r="6" customFormat="false" ht="120" hidden="false" customHeight="true" outlineLevel="0" collapsed="false">
      <c r="A6" s="7" t="s">
        <v>429</v>
      </c>
      <c r="B6" s="7" t="s">
        <v>79</v>
      </c>
      <c r="C6" s="7" t="s">
        <v>430</v>
      </c>
      <c r="D6" s="7" t="s">
        <v>431</v>
      </c>
      <c r="E6" s="17" t="s">
        <v>72</v>
      </c>
      <c r="F6" s="8" t="s">
        <v>73</v>
      </c>
      <c r="G6" s="7" t="s">
        <v>426</v>
      </c>
      <c r="H6" s="7" t="s">
        <v>432</v>
      </c>
      <c r="I6" s="7" t="s">
        <v>433</v>
      </c>
      <c r="J6" s="15"/>
      <c r="K6" s="16" t="s">
        <v>78</v>
      </c>
      <c r="L6" s="15"/>
      <c r="M6" s="15"/>
      <c r="N6" s="15"/>
      <c r="O6" s="15"/>
    </row>
    <row r="7" customFormat="false" ht="120" hidden="false" customHeight="true" outlineLevel="0" collapsed="false">
      <c r="A7" s="7" t="s">
        <v>434</v>
      </c>
      <c r="B7" s="7" t="s">
        <v>79</v>
      </c>
      <c r="C7" s="7" t="s">
        <v>435</v>
      </c>
      <c r="D7" s="7" t="s">
        <v>436</v>
      </c>
      <c r="E7" s="17" t="s">
        <v>72</v>
      </c>
      <c r="F7" s="8" t="s">
        <v>73</v>
      </c>
      <c r="G7" s="7" t="s">
        <v>426</v>
      </c>
      <c r="H7" s="7" t="s">
        <v>437</v>
      </c>
      <c r="I7" s="7" t="s">
        <v>438</v>
      </c>
      <c r="J7" s="15"/>
      <c r="K7" s="16" t="s">
        <v>78</v>
      </c>
      <c r="L7" s="15"/>
      <c r="M7" s="15"/>
      <c r="N7" s="15"/>
      <c r="O7" s="15"/>
    </row>
    <row r="8" customFormat="false" ht="120" hidden="false" customHeight="true" outlineLevel="0" collapsed="false">
      <c r="A8" s="7" t="s">
        <v>439</v>
      </c>
      <c r="B8" s="7" t="s">
        <v>79</v>
      </c>
      <c r="C8" s="7" t="s">
        <v>440</v>
      </c>
      <c r="D8" s="7" t="s">
        <v>441</v>
      </c>
      <c r="E8" s="8" t="s">
        <v>71</v>
      </c>
      <c r="F8" s="8" t="s">
        <v>73</v>
      </c>
      <c r="G8" s="7" t="s">
        <v>426</v>
      </c>
      <c r="H8" s="7" t="s">
        <v>442</v>
      </c>
      <c r="I8" s="7" t="s">
        <v>443</v>
      </c>
      <c r="J8" s="15"/>
      <c r="K8" s="16" t="s">
        <v>78</v>
      </c>
      <c r="L8" s="15"/>
      <c r="M8" s="15"/>
      <c r="N8" s="15"/>
      <c r="O8" s="15"/>
    </row>
    <row r="9" customFormat="false" ht="120" hidden="false" customHeight="true" outlineLevel="0" collapsed="false">
      <c r="A9" s="7" t="s">
        <v>444</v>
      </c>
      <c r="B9" s="7" t="s">
        <v>80</v>
      </c>
      <c r="C9" s="7" t="s">
        <v>445</v>
      </c>
      <c r="D9" s="7" t="s">
        <v>446</v>
      </c>
      <c r="E9" s="8" t="s">
        <v>71</v>
      </c>
      <c r="F9" s="8" t="s">
        <v>73</v>
      </c>
      <c r="G9" s="7" t="s">
        <v>426</v>
      </c>
      <c r="H9" s="7" t="s">
        <v>447</v>
      </c>
      <c r="I9" s="7" t="s">
        <v>448</v>
      </c>
      <c r="J9" s="15"/>
      <c r="K9" s="16" t="s">
        <v>78</v>
      </c>
      <c r="L9" s="15"/>
      <c r="M9" s="15"/>
      <c r="N9" s="15"/>
      <c r="O9" s="15"/>
    </row>
    <row r="10" customFormat="false" ht="120" hidden="false" customHeight="true" outlineLevel="0" collapsed="false">
      <c r="A10" s="7" t="s">
        <v>449</v>
      </c>
      <c r="B10" s="7" t="s">
        <v>80</v>
      </c>
      <c r="C10" s="7" t="s">
        <v>450</v>
      </c>
      <c r="D10" s="7" t="s">
        <v>451</v>
      </c>
      <c r="E10" s="17" t="s">
        <v>72</v>
      </c>
      <c r="F10" s="8" t="s">
        <v>73</v>
      </c>
      <c r="G10" s="7" t="s">
        <v>426</v>
      </c>
      <c r="H10" s="7" t="s">
        <v>452</v>
      </c>
      <c r="I10" s="7" t="s">
        <v>453</v>
      </c>
      <c r="J10" s="15"/>
      <c r="K10" s="16" t="s">
        <v>78</v>
      </c>
      <c r="L10" s="15"/>
      <c r="M10" s="15"/>
      <c r="N10" s="15"/>
      <c r="O10" s="15"/>
    </row>
    <row r="11" customFormat="false" ht="120" hidden="false" customHeight="true" outlineLevel="0" collapsed="false">
      <c r="A11" s="7" t="s">
        <v>454</v>
      </c>
      <c r="B11" s="7" t="s">
        <v>80</v>
      </c>
      <c r="C11" s="7" t="s">
        <v>455</v>
      </c>
      <c r="D11" s="7" t="s">
        <v>456</v>
      </c>
      <c r="E11" s="8" t="s">
        <v>71</v>
      </c>
      <c r="F11" s="16" t="s">
        <v>457</v>
      </c>
      <c r="G11" s="7" t="s">
        <v>458</v>
      </c>
      <c r="H11" s="7" t="s">
        <v>459</v>
      </c>
      <c r="I11" s="7" t="s">
        <v>460</v>
      </c>
      <c r="J11" s="15"/>
      <c r="K11" s="16" t="s">
        <v>78</v>
      </c>
      <c r="L11" s="15"/>
      <c r="M11" s="15"/>
      <c r="N11" s="15"/>
      <c r="O11" s="15"/>
    </row>
    <row r="12" customFormat="false" ht="120" hidden="false" customHeight="true" outlineLevel="0" collapsed="false">
      <c r="A12" s="7" t="s">
        <v>461</v>
      </c>
      <c r="B12" s="7" t="s">
        <v>81</v>
      </c>
      <c r="C12" s="7" t="s">
        <v>462</v>
      </c>
      <c r="D12" s="7" t="s">
        <v>463</v>
      </c>
      <c r="E12" s="8" t="s">
        <v>71</v>
      </c>
      <c r="F12" s="8" t="s">
        <v>73</v>
      </c>
      <c r="G12" s="7" t="s">
        <v>426</v>
      </c>
      <c r="H12" s="7" t="s">
        <v>464</v>
      </c>
      <c r="I12" s="7" t="s">
        <v>465</v>
      </c>
      <c r="J12" s="15"/>
      <c r="K12" s="16" t="s">
        <v>78</v>
      </c>
      <c r="L12" s="15"/>
      <c r="M12" s="15"/>
      <c r="N12" s="15"/>
      <c r="O12" s="15"/>
    </row>
    <row r="13" customFormat="false" ht="120" hidden="false" customHeight="true" outlineLevel="0" collapsed="false">
      <c r="A13" s="7" t="s">
        <v>466</v>
      </c>
      <c r="B13" s="7" t="s">
        <v>81</v>
      </c>
      <c r="C13" s="7" t="s">
        <v>467</v>
      </c>
      <c r="D13" s="7" t="s">
        <v>468</v>
      </c>
      <c r="E13" s="8" t="s">
        <v>71</v>
      </c>
      <c r="F13" s="8" t="s">
        <v>73</v>
      </c>
      <c r="G13" s="7" t="s">
        <v>426</v>
      </c>
      <c r="H13" s="7" t="s">
        <v>469</v>
      </c>
      <c r="I13" s="7" t="s">
        <v>470</v>
      </c>
      <c r="J13" s="15"/>
      <c r="K13" s="16" t="s">
        <v>78</v>
      </c>
      <c r="L13" s="15"/>
      <c r="M13" s="15"/>
      <c r="N13" s="15"/>
      <c r="O13" s="15"/>
    </row>
    <row r="14" customFormat="false" ht="120" hidden="false" customHeight="true" outlineLevel="0" collapsed="false">
      <c r="A14" s="7" t="s">
        <v>471</v>
      </c>
      <c r="B14" s="7" t="s">
        <v>81</v>
      </c>
      <c r="C14" s="7" t="s">
        <v>472</v>
      </c>
      <c r="D14" s="7" t="s">
        <v>473</v>
      </c>
      <c r="E14" s="8" t="s">
        <v>71</v>
      </c>
      <c r="F14" s="8" t="s">
        <v>73</v>
      </c>
      <c r="G14" s="7" t="s">
        <v>474</v>
      </c>
      <c r="H14" s="7" t="s">
        <v>475</v>
      </c>
      <c r="I14" s="7" t="s">
        <v>476</v>
      </c>
      <c r="J14" s="15"/>
      <c r="K14" s="16" t="s">
        <v>78</v>
      </c>
      <c r="L14" s="15"/>
      <c r="M14" s="15"/>
      <c r="N14" s="15"/>
      <c r="O14" s="15"/>
    </row>
    <row r="15" customFormat="false" ht="120" hidden="false" customHeight="true" outlineLevel="0" collapsed="false">
      <c r="A15" s="7" t="s">
        <v>477</v>
      </c>
      <c r="B15" s="7" t="s">
        <v>82</v>
      </c>
      <c r="C15" s="7" t="s">
        <v>478</v>
      </c>
      <c r="D15" s="7" t="s">
        <v>479</v>
      </c>
      <c r="E15" s="8" t="s">
        <v>71</v>
      </c>
      <c r="F15" s="8" t="s">
        <v>73</v>
      </c>
      <c r="G15" s="7" t="s">
        <v>480</v>
      </c>
      <c r="H15" s="7" t="s">
        <v>481</v>
      </c>
      <c r="I15" s="7" t="s">
        <v>482</v>
      </c>
      <c r="J15" s="15"/>
      <c r="K15" s="16" t="s">
        <v>78</v>
      </c>
      <c r="L15" s="15"/>
      <c r="M15" s="15"/>
      <c r="N15" s="15"/>
      <c r="O15" s="15"/>
    </row>
    <row r="16" customFormat="false" ht="120" hidden="false" customHeight="true" outlineLevel="0" collapsed="false">
      <c r="A16" s="7" t="s">
        <v>483</v>
      </c>
      <c r="B16" s="7" t="s">
        <v>82</v>
      </c>
      <c r="C16" s="7" t="s">
        <v>484</v>
      </c>
      <c r="D16" s="7" t="s">
        <v>485</v>
      </c>
      <c r="E16" s="17" t="s">
        <v>72</v>
      </c>
      <c r="F16" s="8" t="s">
        <v>73</v>
      </c>
      <c r="G16" s="7" t="s">
        <v>480</v>
      </c>
      <c r="H16" s="7" t="s">
        <v>486</v>
      </c>
      <c r="I16" s="7" t="s">
        <v>487</v>
      </c>
      <c r="J16" s="15"/>
      <c r="K16" s="16" t="s">
        <v>78</v>
      </c>
      <c r="L16" s="15"/>
      <c r="M16" s="15"/>
      <c r="N16" s="15"/>
      <c r="O16" s="15"/>
    </row>
    <row r="17" customFormat="false" ht="120" hidden="false" customHeight="true" outlineLevel="0" collapsed="false">
      <c r="A17" s="7" t="s">
        <v>488</v>
      </c>
      <c r="B17" s="7" t="s">
        <v>82</v>
      </c>
      <c r="C17" s="7" t="s">
        <v>489</v>
      </c>
      <c r="D17" s="7" t="s">
        <v>490</v>
      </c>
      <c r="E17" s="8" t="s">
        <v>71</v>
      </c>
      <c r="F17" s="8" t="s">
        <v>73</v>
      </c>
      <c r="G17" s="7" t="s">
        <v>426</v>
      </c>
      <c r="H17" s="7" t="s">
        <v>491</v>
      </c>
      <c r="I17" s="7" t="s">
        <v>492</v>
      </c>
      <c r="J17" s="15"/>
      <c r="K17" s="16" t="s">
        <v>78</v>
      </c>
      <c r="L17" s="15"/>
      <c r="M17" s="15"/>
      <c r="N17" s="15"/>
      <c r="O17" s="15"/>
    </row>
    <row r="18" customFormat="false" ht="120" hidden="false" customHeight="true" outlineLevel="0" collapsed="false">
      <c r="A18" s="7" t="s">
        <v>493</v>
      </c>
      <c r="B18" s="7" t="s">
        <v>82</v>
      </c>
      <c r="C18" s="7" t="s">
        <v>494</v>
      </c>
      <c r="D18" s="7" t="s">
        <v>495</v>
      </c>
      <c r="E18" s="8" t="s">
        <v>71</v>
      </c>
      <c r="F18" s="9" t="s">
        <v>74</v>
      </c>
      <c r="G18" s="7" t="s">
        <v>496</v>
      </c>
      <c r="H18" s="7" t="s">
        <v>497</v>
      </c>
      <c r="I18" s="7" t="s">
        <v>498</v>
      </c>
      <c r="J18" s="15"/>
      <c r="K18" s="16" t="s">
        <v>78</v>
      </c>
      <c r="L18" s="15"/>
      <c r="M18" s="15"/>
      <c r="N18" s="15"/>
      <c r="O18" s="15"/>
    </row>
    <row r="19" customFormat="false" ht="120" hidden="false" customHeight="true" outlineLevel="0" collapsed="false">
      <c r="A19" s="7" t="s">
        <v>499</v>
      </c>
      <c r="B19" s="7" t="s">
        <v>83</v>
      </c>
      <c r="C19" s="7" t="s">
        <v>500</v>
      </c>
      <c r="D19" s="7" t="s">
        <v>501</v>
      </c>
      <c r="E19" s="8" t="s">
        <v>71</v>
      </c>
      <c r="F19" s="8" t="s">
        <v>73</v>
      </c>
      <c r="G19" s="7" t="s">
        <v>426</v>
      </c>
      <c r="H19" s="7" t="s">
        <v>502</v>
      </c>
      <c r="I19" s="7" t="s">
        <v>503</v>
      </c>
      <c r="J19" s="15"/>
      <c r="K19" s="16" t="s">
        <v>78</v>
      </c>
      <c r="L19" s="15"/>
      <c r="M19" s="15"/>
      <c r="N19" s="15"/>
      <c r="O19" s="15"/>
    </row>
    <row r="20" customFormat="false" ht="120" hidden="false" customHeight="true" outlineLevel="0" collapsed="false">
      <c r="A20" s="7" t="s">
        <v>504</v>
      </c>
      <c r="B20" s="7" t="s">
        <v>83</v>
      </c>
      <c r="C20" s="7" t="s">
        <v>505</v>
      </c>
      <c r="D20" s="7" t="s">
        <v>506</v>
      </c>
      <c r="E20" s="8" t="s">
        <v>71</v>
      </c>
      <c r="F20" s="8" t="s">
        <v>73</v>
      </c>
      <c r="G20" s="7" t="s">
        <v>426</v>
      </c>
      <c r="H20" s="7" t="s">
        <v>507</v>
      </c>
      <c r="I20" s="7" t="s">
        <v>508</v>
      </c>
      <c r="J20" s="15"/>
      <c r="K20" s="16" t="s">
        <v>78</v>
      </c>
      <c r="L20" s="15"/>
      <c r="M20" s="15"/>
      <c r="N20" s="15"/>
      <c r="O20" s="15"/>
    </row>
    <row r="21" customFormat="false" ht="120" hidden="false" customHeight="true" outlineLevel="0" collapsed="false">
      <c r="A21" s="7" t="s">
        <v>509</v>
      </c>
      <c r="B21" s="7" t="s">
        <v>83</v>
      </c>
      <c r="C21" s="7" t="s">
        <v>510</v>
      </c>
      <c r="D21" s="7" t="s">
        <v>511</v>
      </c>
      <c r="E21" s="8" t="s">
        <v>71</v>
      </c>
      <c r="F21" s="9" t="s">
        <v>74</v>
      </c>
      <c r="G21" s="7" t="s">
        <v>512</v>
      </c>
      <c r="H21" s="7" t="s">
        <v>513</v>
      </c>
      <c r="I21" s="7" t="s">
        <v>514</v>
      </c>
      <c r="J21" s="15"/>
      <c r="K21" s="16" t="s">
        <v>78</v>
      </c>
      <c r="L21" s="15"/>
      <c r="M21" s="15"/>
      <c r="N21" s="15"/>
      <c r="O21" s="15"/>
    </row>
    <row r="22" customFormat="false" ht="120" hidden="false" customHeight="true" outlineLevel="0" collapsed="false">
      <c r="A22" s="7" t="s">
        <v>515</v>
      </c>
      <c r="B22" s="7" t="s">
        <v>84</v>
      </c>
      <c r="C22" s="7" t="s">
        <v>516</v>
      </c>
      <c r="D22" s="7" t="s">
        <v>517</v>
      </c>
      <c r="E22" s="17" t="s">
        <v>72</v>
      </c>
      <c r="F22" s="8" t="s">
        <v>73</v>
      </c>
      <c r="G22" s="7" t="s">
        <v>426</v>
      </c>
      <c r="H22" s="7" t="s">
        <v>518</v>
      </c>
      <c r="I22" s="7" t="s">
        <v>519</v>
      </c>
      <c r="J22" s="15"/>
      <c r="K22" s="16" t="s">
        <v>78</v>
      </c>
      <c r="L22" s="15"/>
      <c r="M22" s="15"/>
      <c r="N22" s="15"/>
      <c r="O22" s="15"/>
    </row>
    <row r="23" customFormat="false" ht="120" hidden="false" customHeight="true" outlineLevel="0" collapsed="false">
      <c r="A23" s="7" t="s">
        <v>520</v>
      </c>
      <c r="B23" s="7" t="s">
        <v>84</v>
      </c>
      <c r="C23" s="7" t="s">
        <v>516</v>
      </c>
      <c r="D23" s="7" t="s">
        <v>521</v>
      </c>
      <c r="E23" s="17" t="s">
        <v>72</v>
      </c>
      <c r="F23" s="8" t="s">
        <v>73</v>
      </c>
      <c r="G23" s="7" t="s">
        <v>426</v>
      </c>
      <c r="H23" s="7" t="s">
        <v>522</v>
      </c>
      <c r="I23" s="7" t="s">
        <v>523</v>
      </c>
      <c r="J23" s="15"/>
      <c r="K23" s="16" t="s">
        <v>78</v>
      </c>
      <c r="L23" s="15"/>
      <c r="M23" s="15"/>
      <c r="N23" s="15"/>
      <c r="O23" s="15"/>
    </row>
    <row r="24" customFormat="false" ht="120" hidden="false" customHeight="true" outlineLevel="0" collapsed="false">
      <c r="A24" s="7" t="s">
        <v>524</v>
      </c>
      <c r="B24" s="7" t="s">
        <v>84</v>
      </c>
      <c r="C24" s="7" t="s">
        <v>525</v>
      </c>
      <c r="D24" s="7" t="s">
        <v>526</v>
      </c>
      <c r="E24" s="8" t="s">
        <v>71</v>
      </c>
      <c r="F24" s="9" t="s">
        <v>74</v>
      </c>
      <c r="G24" s="7" t="s">
        <v>496</v>
      </c>
      <c r="H24" s="7" t="s">
        <v>527</v>
      </c>
      <c r="I24" s="7" t="s">
        <v>528</v>
      </c>
      <c r="J24" s="15"/>
      <c r="K24" s="16" t="s">
        <v>78</v>
      </c>
      <c r="L24" s="15"/>
      <c r="M24" s="15"/>
      <c r="N24" s="15"/>
      <c r="O24" s="15"/>
    </row>
    <row r="25" customFormat="false" ht="120" hidden="false" customHeight="true" outlineLevel="0" collapsed="false">
      <c r="A25" s="7" t="s">
        <v>529</v>
      </c>
      <c r="B25" s="7" t="s">
        <v>85</v>
      </c>
      <c r="C25" s="7" t="s">
        <v>530</v>
      </c>
      <c r="D25" s="7" t="s">
        <v>531</v>
      </c>
      <c r="E25" s="8" t="s">
        <v>71</v>
      </c>
      <c r="F25" s="8" t="s">
        <v>73</v>
      </c>
      <c r="G25" s="7" t="s">
        <v>426</v>
      </c>
      <c r="H25" s="7" t="s">
        <v>532</v>
      </c>
      <c r="I25" s="7" t="s">
        <v>533</v>
      </c>
      <c r="J25" s="15"/>
      <c r="K25" s="16" t="s">
        <v>78</v>
      </c>
      <c r="L25" s="15"/>
      <c r="M25" s="15"/>
      <c r="N25" s="15"/>
      <c r="O25" s="15"/>
    </row>
    <row r="26" customFormat="false" ht="120" hidden="false" customHeight="true" outlineLevel="0" collapsed="false">
      <c r="A26" s="7" t="s">
        <v>534</v>
      </c>
      <c r="B26" s="7" t="s">
        <v>85</v>
      </c>
      <c r="C26" s="7" t="s">
        <v>535</v>
      </c>
      <c r="D26" s="7" t="s">
        <v>536</v>
      </c>
      <c r="E26" s="8" t="s">
        <v>71</v>
      </c>
      <c r="F26" s="8" t="s">
        <v>73</v>
      </c>
      <c r="G26" s="7" t="s">
        <v>426</v>
      </c>
      <c r="H26" s="7" t="s">
        <v>537</v>
      </c>
      <c r="I26" s="7" t="s">
        <v>538</v>
      </c>
      <c r="J26" s="15"/>
      <c r="K26" s="16" t="s">
        <v>78</v>
      </c>
      <c r="L26" s="15"/>
      <c r="M26" s="15"/>
      <c r="N26" s="15"/>
      <c r="O26" s="15"/>
    </row>
    <row r="27" customFormat="false" ht="120" hidden="false" customHeight="true" outlineLevel="0" collapsed="false">
      <c r="A27" s="7" t="s">
        <v>539</v>
      </c>
      <c r="B27" s="7" t="s">
        <v>85</v>
      </c>
      <c r="C27" s="7" t="s">
        <v>540</v>
      </c>
      <c r="D27" s="7" t="s">
        <v>541</v>
      </c>
      <c r="E27" s="8" t="s">
        <v>71</v>
      </c>
      <c r="F27" s="8" t="s">
        <v>73</v>
      </c>
      <c r="G27" s="7" t="s">
        <v>426</v>
      </c>
      <c r="H27" s="7" t="s">
        <v>542</v>
      </c>
      <c r="I27" s="7" t="s">
        <v>543</v>
      </c>
      <c r="J27" s="15"/>
      <c r="K27" s="16" t="s">
        <v>78</v>
      </c>
      <c r="L27" s="15"/>
      <c r="M27" s="15"/>
      <c r="N27" s="15"/>
      <c r="O27" s="15"/>
    </row>
    <row r="28" customFormat="false" ht="120" hidden="false" customHeight="true" outlineLevel="0" collapsed="false">
      <c r="A28" s="7" t="s">
        <v>544</v>
      </c>
      <c r="B28" s="7" t="s">
        <v>85</v>
      </c>
      <c r="C28" s="7" t="s">
        <v>545</v>
      </c>
      <c r="D28" s="7" t="s">
        <v>546</v>
      </c>
      <c r="E28" s="17" t="s">
        <v>72</v>
      </c>
      <c r="F28" s="8" t="s">
        <v>73</v>
      </c>
      <c r="G28" s="7" t="s">
        <v>426</v>
      </c>
      <c r="H28" s="7" t="s">
        <v>547</v>
      </c>
      <c r="I28" s="7" t="s">
        <v>548</v>
      </c>
      <c r="J28" s="15"/>
      <c r="K28" s="16" t="s">
        <v>78</v>
      </c>
      <c r="L28" s="15"/>
      <c r="M28" s="15"/>
      <c r="N28" s="15"/>
      <c r="O28" s="15"/>
    </row>
    <row r="29" customFormat="false" ht="120" hidden="false" customHeight="true" outlineLevel="0" collapsed="false">
      <c r="A29" s="7" t="s">
        <v>549</v>
      </c>
      <c r="B29" s="7" t="s">
        <v>86</v>
      </c>
      <c r="C29" s="7" t="s">
        <v>550</v>
      </c>
      <c r="D29" s="7" t="s">
        <v>551</v>
      </c>
      <c r="E29" s="8" t="s">
        <v>71</v>
      </c>
      <c r="F29" s="8" t="s">
        <v>73</v>
      </c>
      <c r="G29" s="7" t="s">
        <v>426</v>
      </c>
      <c r="H29" s="7" t="s">
        <v>552</v>
      </c>
      <c r="I29" s="7" t="s">
        <v>553</v>
      </c>
      <c r="J29" s="15"/>
      <c r="K29" s="16" t="s">
        <v>78</v>
      </c>
      <c r="L29" s="15"/>
      <c r="M29" s="15"/>
      <c r="N29" s="15"/>
      <c r="O29" s="15"/>
    </row>
    <row r="30" customFormat="false" ht="120" hidden="false" customHeight="true" outlineLevel="0" collapsed="false">
      <c r="A30" s="7" t="s">
        <v>554</v>
      </c>
      <c r="B30" s="7" t="s">
        <v>86</v>
      </c>
      <c r="C30" s="7" t="s">
        <v>555</v>
      </c>
      <c r="D30" s="7" t="s">
        <v>556</v>
      </c>
      <c r="E30" s="8" t="s">
        <v>71</v>
      </c>
      <c r="F30" s="8" t="s">
        <v>73</v>
      </c>
      <c r="G30" s="7" t="s">
        <v>426</v>
      </c>
      <c r="H30" s="7" t="s">
        <v>557</v>
      </c>
      <c r="I30" s="7" t="s">
        <v>558</v>
      </c>
      <c r="J30" s="15"/>
      <c r="K30" s="16" t="s">
        <v>78</v>
      </c>
      <c r="L30" s="15"/>
      <c r="M30" s="15"/>
      <c r="N30" s="15"/>
      <c r="O30" s="15"/>
    </row>
    <row r="31" customFormat="false" ht="120" hidden="false" customHeight="true" outlineLevel="0" collapsed="false">
      <c r="A31" s="7" t="s">
        <v>559</v>
      </c>
      <c r="B31" s="7" t="s">
        <v>86</v>
      </c>
      <c r="C31" s="7" t="s">
        <v>560</v>
      </c>
      <c r="D31" s="7" t="s">
        <v>561</v>
      </c>
      <c r="E31" s="8" t="s">
        <v>71</v>
      </c>
      <c r="F31" s="8" t="s">
        <v>73</v>
      </c>
      <c r="G31" s="7" t="s">
        <v>426</v>
      </c>
      <c r="H31" s="7" t="s">
        <v>562</v>
      </c>
      <c r="I31" s="7" t="s">
        <v>563</v>
      </c>
      <c r="J31" s="15"/>
      <c r="K31" s="16" t="s">
        <v>78</v>
      </c>
      <c r="L31" s="15"/>
      <c r="M31" s="15"/>
      <c r="N31" s="15"/>
      <c r="O31" s="15"/>
    </row>
    <row r="32" customFormat="false" ht="120" hidden="false" customHeight="true" outlineLevel="0" collapsed="false">
      <c r="A32" s="7" t="s">
        <v>564</v>
      </c>
      <c r="B32" s="7" t="s">
        <v>86</v>
      </c>
      <c r="C32" s="7" t="s">
        <v>565</v>
      </c>
      <c r="D32" s="7" t="s">
        <v>566</v>
      </c>
      <c r="E32" s="17" t="s">
        <v>72</v>
      </c>
      <c r="F32" s="8" t="s">
        <v>73</v>
      </c>
      <c r="G32" s="7" t="s">
        <v>480</v>
      </c>
      <c r="H32" s="7" t="s">
        <v>567</v>
      </c>
      <c r="I32" s="7" t="s">
        <v>568</v>
      </c>
      <c r="J32" s="15"/>
      <c r="K32" s="16" t="s">
        <v>78</v>
      </c>
      <c r="L32" s="15"/>
      <c r="M32" s="15"/>
      <c r="N32" s="15"/>
      <c r="O32" s="15"/>
    </row>
    <row r="33" customFormat="false" ht="120" hidden="false" customHeight="true" outlineLevel="0" collapsed="false">
      <c r="A33" s="7" t="s">
        <v>569</v>
      </c>
      <c r="B33" s="7" t="s">
        <v>87</v>
      </c>
      <c r="C33" s="7" t="s">
        <v>570</v>
      </c>
      <c r="D33" s="7" t="s">
        <v>571</v>
      </c>
      <c r="E33" s="8" t="s">
        <v>71</v>
      </c>
      <c r="F33" s="8" t="s">
        <v>73</v>
      </c>
      <c r="G33" s="7" t="s">
        <v>426</v>
      </c>
      <c r="H33" s="7" t="s">
        <v>572</v>
      </c>
      <c r="I33" s="7" t="s">
        <v>573</v>
      </c>
      <c r="J33" s="15"/>
      <c r="K33" s="16" t="s">
        <v>78</v>
      </c>
      <c r="L33" s="15"/>
      <c r="M33" s="15"/>
      <c r="N33" s="15"/>
      <c r="O33" s="15"/>
    </row>
    <row r="34" customFormat="false" ht="120" hidden="false" customHeight="true" outlineLevel="0" collapsed="false">
      <c r="A34" s="7" t="s">
        <v>574</v>
      </c>
      <c r="B34" s="7" t="s">
        <v>87</v>
      </c>
      <c r="C34" s="7" t="s">
        <v>575</v>
      </c>
      <c r="D34" s="7" t="s">
        <v>576</v>
      </c>
      <c r="E34" s="8" t="s">
        <v>71</v>
      </c>
      <c r="F34" s="8" t="s">
        <v>73</v>
      </c>
      <c r="G34" s="7" t="s">
        <v>426</v>
      </c>
      <c r="H34" s="7" t="s">
        <v>577</v>
      </c>
      <c r="I34" s="7" t="s">
        <v>578</v>
      </c>
      <c r="J34" s="15"/>
      <c r="K34" s="16" t="s">
        <v>78</v>
      </c>
      <c r="L34" s="15"/>
      <c r="M34" s="15"/>
      <c r="N34" s="15"/>
      <c r="O34" s="15"/>
    </row>
    <row r="35" customFormat="false" ht="120" hidden="false" customHeight="true" outlineLevel="0" collapsed="false">
      <c r="A35" s="7" t="s">
        <v>579</v>
      </c>
      <c r="B35" s="7" t="s">
        <v>87</v>
      </c>
      <c r="C35" s="7" t="s">
        <v>580</v>
      </c>
      <c r="D35" s="7" t="s">
        <v>581</v>
      </c>
      <c r="E35" s="8" t="s">
        <v>71</v>
      </c>
      <c r="F35" s="8" t="s">
        <v>73</v>
      </c>
      <c r="G35" s="7" t="s">
        <v>426</v>
      </c>
      <c r="H35" s="7" t="s">
        <v>582</v>
      </c>
      <c r="I35" s="7" t="s">
        <v>583</v>
      </c>
      <c r="J35" s="15"/>
      <c r="K35" s="16" t="s">
        <v>78</v>
      </c>
      <c r="L35" s="15"/>
      <c r="M35" s="15"/>
      <c r="N35" s="15"/>
      <c r="O35" s="15"/>
    </row>
    <row r="36" customFormat="false" ht="120" hidden="false" customHeight="true" outlineLevel="0" collapsed="false">
      <c r="A36" s="7" t="s">
        <v>584</v>
      </c>
      <c r="B36" s="7" t="s">
        <v>88</v>
      </c>
      <c r="C36" s="7" t="s">
        <v>585</v>
      </c>
      <c r="D36" s="7" t="s">
        <v>586</v>
      </c>
      <c r="E36" s="8" t="s">
        <v>71</v>
      </c>
      <c r="F36" s="8" t="s">
        <v>73</v>
      </c>
      <c r="G36" s="7" t="s">
        <v>426</v>
      </c>
      <c r="H36" s="7" t="s">
        <v>587</v>
      </c>
      <c r="I36" s="7" t="s">
        <v>588</v>
      </c>
      <c r="J36" s="15"/>
      <c r="K36" s="16" t="s">
        <v>78</v>
      </c>
      <c r="L36" s="15"/>
      <c r="M36" s="15"/>
      <c r="N36" s="15"/>
      <c r="O36" s="15"/>
    </row>
    <row r="37" customFormat="false" ht="120" hidden="false" customHeight="true" outlineLevel="0" collapsed="false">
      <c r="A37" s="7" t="s">
        <v>589</v>
      </c>
      <c r="B37" s="7" t="s">
        <v>88</v>
      </c>
      <c r="C37" s="7" t="s">
        <v>590</v>
      </c>
      <c r="D37" s="7" t="s">
        <v>591</v>
      </c>
      <c r="E37" s="8" t="s">
        <v>71</v>
      </c>
      <c r="F37" s="8" t="s">
        <v>73</v>
      </c>
      <c r="G37" s="7" t="s">
        <v>426</v>
      </c>
      <c r="H37" s="7" t="s">
        <v>592</v>
      </c>
      <c r="I37" s="7" t="s">
        <v>593</v>
      </c>
      <c r="J37" s="15"/>
      <c r="K37" s="16" t="s">
        <v>78</v>
      </c>
      <c r="L37" s="15"/>
      <c r="M37" s="15"/>
      <c r="N37" s="15"/>
      <c r="O37" s="15"/>
    </row>
    <row r="38" customFormat="false" ht="120" hidden="false" customHeight="true" outlineLevel="0" collapsed="false">
      <c r="A38" s="7" t="s">
        <v>594</v>
      </c>
      <c r="B38" s="7" t="s">
        <v>89</v>
      </c>
      <c r="C38" s="7" t="s">
        <v>595</v>
      </c>
      <c r="D38" s="7" t="s">
        <v>596</v>
      </c>
      <c r="E38" s="8" t="s">
        <v>71</v>
      </c>
      <c r="F38" s="8" t="s">
        <v>73</v>
      </c>
      <c r="G38" s="7" t="s">
        <v>480</v>
      </c>
      <c r="H38" s="7" t="s">
        <v>597</v>
      </c>
      <c r="I38" s="7" t="s">
        <v>598</v>
      </c>
      <c r="J38" s="15"/>
      <c r="K38" s="16" t="s">
        <v>78</v>
      </c>
      <c r="L38" s="15"/>
      <c r="M38" s="15"/>
      <c r="N38" s="15"/>
      <c r="O38" s="15"/>
    </row>
    <row r="39" customFormat="false" ht="120" hidden="false" customHeight="true" outlineLevel="0" collapsed="false">
      <c r="A39" s="7" t="s">
        <v>599</v>
      </c>
      <c r="B39" s="7" t="s">
        <v>89</v>
      </c>
      <c r="C39" s="7" t="s">
        <v>600</v>
      </c>
      <c r="D39" s="7" t="s">
        <v>601</v>
      </c>
      <c r="E39" s="17" t="s">
        <v>72</v>
      </c>
      <c r="F39" s="8" t="s">
        <v>73</v>
      </c>
      <c r="G39" s="7" t="s">
        <v>480</v>
      </c>
      <c r="H39" s="7" t="s">
        <v>602</v>
      </c>
      <c r="I39" s="7" t="s">
        <v>603</v>
      </c>
      <c r="J39" s="15"/>
      <c r="K39" s="16" t="s">
        <v>78</v>
      </c>
      <c r="L39" s="15"/>
      <c r="M39" s="15"/>
      <c r="N39" s="15"/>
      <c r="O39" s="15"/>
    </row>
    <row r="40" customFormat="false" ht="120" hidden="false" customHeight="true" outlineLevel="0" collapsed="false">
      <c r="A40" s="7" t="s">
        <v>604</v>
      </c>
      <c r="B40" s="7" t="s">
        <v>89</v>
      </c>
      <c r="C40" s="7" t="s">
        <v>605</v>
      </c>
      <c r="D40" s="7" t="s">
        <v>606</v>
      </c>
      <c r="E40" s="8" t="s">
        <v>71</v>
      </c>
      <c r="F40" s="8" t="s">
        <v>73</v>
      </c>
      <c r="G40" s="7" t="s">
        <v>426</v>
      </c>
      <c r="H40" s="7" t="s">
        <v>607</v>
      </c>
      <c r="I40" s="7" t="s">
        <v>608</v>
      </c>
      <c r="J40" s="15"/>
      <c r="K40" s="16" t="s">
        <v>78</v>
      </c>
      <c r="L40" s="15"/>
      <c r="M40" s="15"/>
      <c r="N40" s="15"/>
      <c r="O40" s="15"/>
    </row>
    <row r="41" customFormat="false" ht="120" hidden="false" customHeight="true" outlineLevel="0" collapsed="false">
      <c r="A41" s="7" t="s">
        <v>609</v>
      </c>
      <c r="B41" s="7" t="s">
        <v>89</v>
      </c>
      <c r="C41" s="7" t="s">
        <v>610</v>
      </c>
      <c r="D41" s="7" t="s">
        <v>611</v>
      </c>
      <c r="E41" s="17" t="s">
        <v>72</v>
      </c>
      <c r="F41" s="8" t="s">
        <v>73</v>
      </c>
      <c r="G41" s="7" t="s">
        <v>480</v>
      </c>
      <c r="H41" s="7" t="s">
        <v>612</v>
      </c>
      <c r="I41" s="7" t="s">
        <v>613</v>
      </c>
      <c r="J41" s="15"/>
      <c r="K41" s="16" t="s">
        <v>78</v>
      </c>
      <c r="L41" s="15"/>
      <c r="M41" s="15"/>
      <c r="N41" s="15"/>
      <c r="O41" s="15"/>
    </row>
    <row r="42" customFormat="false" ht="120" hidden="false" customHeight="true" outlineLevel="0" collapsed="false">
      <c r="A42" s="7" t="s">
        <v>614</v>
      </c>
      <c r="B42" s="7" t="s">
        <v>90</v>
      </c>
      <c r="C42" s="7" t="s">
        <v>615</v>
      </c>
      <c r="D42" s="7" t="s">
        <v>616</v>
      </c>
      <c r="E42" s="8" t="s">
        <v>71</v>
      </c>
      <c r="F42" s="8" t="s">
        <v>73</v>
      </c>
      <c r="G42" s="7" t="s">
        <v>480</v>
      </c>
      <c r="H42" s="7" t="s">
        <v>617</v>
      </c>
      <c r="I42" s="7" t="s">
        <v>618</v>
      </c>
      <c r="J42" s="15"/>
      <c r="K42" s="16" t="s">
        <v>78</v>
      </c>
      <c r="L42" s="15"/>
      <c r="M42" s="15"/>
      <c r="N42" s="15"/>
      <c r="O42" s="15"/>
    </row>
    <row r="43" customFormat="false" ht="120" hidden="false" customHeight="true" outlineLevel="0" collapsed="false">
      <c r="A43" s="7" t="s">
        <v>619</v>
      </c>
      <c r="B43" s="7" t="s">
        <v>90</v>
      </c>
      <c r="C43" s="7" t="s">
        <v>620</v>
      </c>
      <c r="D43" s="7" t="s">
        <v>621</v>
      </c>
      <c r="E43" s="8" t="s">
        <v>71</v>
      </c>
      <c r="F43" s="8" t="s">
        <v>73</v>
      </c>
      <c r="G43" s="7" t="s">
        <v>426</v>
      </c>
      <c r="H43" s="7" t="s">
        <v>622</v>
      </c>
      <c r="I43" s="7" t="s">
        <v>623</v>
      </c>
      <c r="J43" s="15"/>
      <c r="K43" s="16" t="s">
        <v>78</v>
      </c>
      <c r="L43" s="15"/>
      <c r="M43" s="15"/>
      <c r="N43" s="15"/>
      <c r="O43" s="15"/>
    </row>
    <row r="44" customFormat="false" ht="120" hidden="false" customHeight="true" outlineLevel="0" collapsed="false">
      <c r="A44" s="7" t="s">
        <v>624</v>
      </c>
      <c r="B44" s="7" t="s">
        <v>90</v>
      </c>
      <c r="C44" s="7" t="s">
        <v>625</v>
      </c>
      <c r="D44" s="7" t="s">
        <v>626</v>
      </c>
      <c r="E44" s="17" t="s">
        <v>72</v>
      </c>
      <c r="F44" s="8" t="s">
        <v>73</v>
      </c>
      <c r="G44" s="7" t="s">
        <v>426</v>
      </c>
      <c r="H44" s="7" t="s">
        <v>627</v>
      </c>
      <c r="I44" s="7" t="s">
        <v>628</v>
      </c>
      <c r="J44" s="15"/>
      <c r="K44" s="16" t="s">
        <v>78</v>
      </c>
      <c r="L44" s="15"/>
      <c r="M44" s="15"/>
      <c r="N44" s="15"/>
      <c r="O44" s="15"/>
    </row>
    <row r="45" customFormat="false" ht="120" hidden="false" customHeight="true" outlineLevel="0" collapsed="false">
      <c r="A45" s="7" t="s">
        <v>629</v>
      </c>
      <c r="B45" s="7" t="s">
        <v>91</v>
      </c>
      <c r="C45" s="7" t="s">
        <v>630</v>
      </c>
      <c r="D45" s="7" t="s">
        <v>631</v>
      </c>
      <c r="E45" s="8" t="s">
        <v>71</v>
      </c>
      <c r="F45" s="8" t="s">
        <v>73</v>
      </c>
      <c r="G45" s="7" t="s">
        <v>426</v>
      </c>
      <c r="H45" s="7" t="s">
        <v>632</v>
      </c>
      <c r="I45" s="7" t="s">
        <v>633</v>
      </c>
      <c r="J45" s="15"/>
      <c r="K45" s="16" t="s">
        <v>78</v>
      </c>
      <c r="L45" s="15"/>
      <c r="M45" s="15"/>
      <c r="N45" s="15"/>
      <c r="O45" s="15"/>
    </row>
    <row r="46" customFormat="false" ht="120" hidden="false" customHeight="true" outlineLevel="0" collapsed="false">
      <c r="A46" s="7" t="s">
        <v>634</v>
      </c>
      <c r="B46" s="7" t="s">
        <v>91</v>
      </c>
      <c r="C46" s="7" t="s">
        <v>635</v>
      </c>
      <c r="D46" s="7" t="s">
        <v>636</v>
      </c>
      <c r="E46" s="17" t="s">
        <v>72</v>
      </c>
      <c r="F46" s="8" t="s">
        <v>73</v>
      </c>
      <c r="G46" s="7" t="s">
        <v>426</v>
      </c>
      <c r="H46" s="7" t="s">
        <v>637</v>
      </c>
      <c r="I46" s="7" t="s">
        <v>638</v>
      </c>
      <c r="J46" s="15"/>
      <c r="K46" s="16" t="s">
        <v>78</v>
      </c>
      <c r="L46" s="15"/>
      <c r="M46" s="15"/>
      <c r="N46" s="15"/>
      <c r="O46" s="15"/>
    </row>
    <row r="47" customFormat="false" ht="120" hidden="false" customHeight="true" outlineLevel="0" collapsed="false">
      <c r="A47" s="7" t="s">
        <v>639</v>
      </c>
      <c r="B47" s="7" t="s">
        <v>91</v>
      </c>
      <c r="C47" s="7" t="s">
        <v>640</v>
      </c>
      <c r="D47" s="7" t="s">
        <v>641</v>
      </c>
      <c r="E47" s="17" t="s">
        <v>72</v>
      </c>
      <c r="F47" s="8" t="s">
        <v>73</v>
      </c>
      <c r="G47" s="7" t="s">
        <v>426</v>
      </c>
      <c r="H47" s="7" t="s">
        <v>642</v>
      </c>
      <c r="I47" s="7" t="s">
        <v>643</v>
      </c>
      <c r="J47" s="15"/>
      <c r="K47" s="16" t="s">
        <v>78</v>
      </c>
      <c r="L47" s="15"/>
      <c r="M47" s="15"/>
      <c r="N47" s="15"/>
      <c r="O47" s="15"/>
    </row>
    <row r="48" customFormat="false" ht="120" hidden="false" customHeight="true" outlineLevel="0" collapsed="false">
      <c r="A48" s="7" t="s">
        <v>644</v>
      </c>
      <c r="B48" s="7" t="s">
        <v>92</v>
      </c>
      <c r="C48" s="7" t="s">
        <v>645</v>
      </c>
      <c r="D48" s="7" t="s">
        <v>646</v>
      </c>
      <c r="E48" s="8" t="s">
        <v>71</v>
      </c>
      <c r="F48" s="8" t="s">
        <v>73</v>
      </c>
      <c r="G48" s="7" t="s">
        <v>426</v>
      </c>
      <c r="H48" s="7" t="s">
        <v>647</v>
      </c>
      <c r="I48" s="7" t="s">
        <v>648</v>
      </c>
      <c r="J48" s="15"/>
      <c r="K48" s="16" t="s">
        <v>78</v>
      </c>
      <c r="L48" s="15"/>
      <c r="M48" s="15"/>
      <c r="N48" s="15"/>
      <c r="O48" s="15"/>
    </row>
    <row r="49" customFormat="false" ht="120" hidden="false" customHeight="true" outlineLevel="0" collapsed="false">
      <c r="A49" s="7" t="s">
        <v>649</v>
      </c>
      <c r="B49" s="7" t="s">
        <v>92</v>
      </c>
      <c r="C49" s="7" t="s">
        <v>645</v>
      </c>
      <c r="D49" s="7" t="s">
        <v>650</v>
      </c>
      <c r="E49" s="17" t="s">
        <v>72</v>
      </c>
      <c r="F49" s="8" t="s">
        <v>73</v>
      </c>
      <c r="G49" s="7" t="s">
        <v>426</v>
      </c>
      <c r="H49" s="7" t="s">
        <v>651</v>
      </c>
      <c r="I49" s="7" t="s">
        <v>652</v>
      </c>
      <c r="J49" s="15"/>
      <c r="K49" s="16" t="s">
        <v>78</v>
      </c>
      <c r="L49" s="15"/>
      <c r="M49" s="15"/>
      <c r="N49" s="15"/>
      <c r="O49" s="15"/>
    </row>
    <row r="50" customFormat="false" ht="120" hidden="false" customHeight="true" outlineLevel="0" collapsed="false">
      <c r="A50" s="7" t="s">
        <v>653</v>
      </c>
      <c r="B50" s="7" t="s">
        <v>93</v>
      </c>
      <c r="C50" s="7" t="s">
        <v>654</v>
      </c>
      <c r="D50" s="7" t="s">
        <v>655</v>
      </c>
      <c r="E50" s="8" t="s">
        <v>71</v>
      </c>
      <c r="F50" s="8" t="s">
        <v>73</v>
      </c>
      <c r="G50" s="7" t="s">
        <v>426</v>
      </c>
      <c r="H50" s="7" t="s">
        <v>656</v>
      </c>
      <c r="I50" s="7" t="s">
        <v>657</v>
      </c>
      <c r="J50" s="15"/>
      <c r="K50" s="16" t="s">
        <v>78</v>
      </c>
      <c r="L50" s="15"/>
      <c r="M50" s="15"/>
      <c r="N50" s="15"/>
      <c r="O50" s="15"/>
    </row>
    <row r="51" customFormat="false" ht="120" hidden="false" customHeight="true" outlineLevel="0" collapsed="false">
      <c r="A51" s="7" t="s">
        <v>658</v>
      </c>
      <c r="B51" s="7" t="s">
        <v>93</v>
      </c>
      <c r="C51" s="7" t="s">
        <v>659</v>
      </c>
      <c r="D51" s="7" t="s">
        <v>660</v>
      </c>
      <c r="E51" s="17" t="s">
        <v>72</v>
      </c>
      <c r="F51" s="8" t="s">
        <v>73</v>
      </c>
      <c r="G51" s="7" t="s">
        <v>426</v>
      </c>
      <c r="H51" s="7" t="s">
        <v>661</v>
      </c>
      <c r="I51" s="7" t="s">
        <v>662</v>
      </c>
      <c r="J51" s="15"/>
      <c r="K51" s="16" t="s">
        <v>78</v>
      </c>
      <c r="L51" s="15"/>
      <c r="M51" s="15"/>
      <c r="N51" s="15"/>
      <c r="O51" s="15"/>
    </row>
    <row r="52" customFormat="false" ht="120" hidden="false" customHeight="true" outlineLevel="0" collapsed="false">
      <c r="A52" s="7" t="s">
        <v>663</v>
      </c>
      <c r="B52" s="7" t="s">
        <v>94</v>
      </c>
      <c r="C52" s="7" t="s">
        <v>664</v>
      </c>
      <c r="D52" s="7" t="s">
        <v>665</v>
      </c>
      <c r="E52" s="8" t="s">
        <v>71</v>
      </c>
      <c r="F52" s="8" t="s">
        <v>73</v>
      </c>
      <c r="G52" s="7" t="s">
        <v>426</v>
      </c>
      <c r="H52" s="7" t="s">
        <v>666</v>
      </c>
      <c r="I52" s="7" t="s">
        <v>667</v>
      </c>
      <c r="J52" s="15"/>
      <c r="K52" s="16" t="s">
        <v>78</v>
      </c>
      <c r="L52" s="15"/>
      <c r="M52" s="15"/>
      <c r="N52" s="15"/>
      <c r="O52" s="15"/>
    </row>
    <row r="53" customFormat="false" ht="120" hidden="false" customHeight="true" outlineLevel="0" collapsed="false">
      <c r="A53" s="7" t="s">
        <v>668</v>
      </c>
      <c r="B53" s="7" t="s">
        <v>95</v>
      </c>
      <c r="C53" s="7" t="s">
        <v>669</v>
      </c>
      <c r="D53" s="7" t="s">
        <v>670</v>
      </c>
      <c r="E53" s="17" t="s">
        <v>72</v>
      </c>
      <c r="F53" s="8" t="s">
        <v>73</v>
      </c>
      <c r="G53" s="7" t="s">
        <v>426</v>
      </c>
      <c r="H53" s="7" t="s">
        <v>671</v>
      </c>
      <c r="I53" s="7" t="s">
        <v>672</v>
      </c>
      <c r="J53" s="15"/>
      <c r="K53" s="16" t="s">
        <v>78</v>
      </c>
      <c r="L53" s="15"/>
      <c r="M53" s="15"/>
      <c r="N53" s="15"/>
      <c r="O53" s="15"/>
    </row>
    <row r="54" customFormat="false" ht="120" hidden="false" customHeight="true" outlineLevel="0" collapsed="false">
      <c r="A54" s="7" t="s">
        <v>673</v>
      </c>
      <c r="B54" s="7" t="s">
        <v>96</v>
      </c>
      <c r="C54" s="7" t="s">
        <v>674</v>
      </c>
      <c r="D54" s="7" t="s">
        <v>675</v>
      </c>
      <c r="E54" s="8" t="s">
        <v>71</v>
      </c>
      <c r="F54" s="8" t="s">
        <v>73</v>
      </c>
      <c r="G54" s="7" t="s">
        <v>426</v>
      </c>
      <c r="H54" s="7" t="s">
        <v>676</v>
      </c>
      <c r="I54" s="7" t="s">
        <v>677</v>
      </c>
      <c r="J54" s="15"/>
      <c r="K54" s="16" t="s">
        <v>78</v>
      </c>
      <c r="L54" s="15"/>
      <c r="M54" s="15"/>
      <c r="N54" s="15"/>
      <c r="O54" s="15"/>
    </row>
    <row r="55" customFormat="false" ht="120" hidden="false" customHeight="true" outlineLevel="0" collapsed="false">
      <c r="A55" s="7" t="s">
        <v>678</v>
      </c>
      <c r="B55" s="7" t="s">
        <v>96</v>
      </c>
      <c r="C55" s="7" t="s">
        <v>679</v>
      </c>
      <c r="D55" s="7" t="s">
        <v>680</v>
      </c>
      <c r="E55" s="17" t="s">
        <v>72</v>
      </c>
      <c r="F55" s="8" t="s">
        <v>73</v>
      </c>
      <c r="G55" s="7" t="s">
        <v>426</v>
      </c>
      <c r="H55" s="7" t="s">
        <v>681</v>
      </c>
      <c r="I55" s="7" t="s">
        <v>682</v>
      </c>
      <c r="J55" s="15"/>
      <c r="K55" s="16" t="s">
        <v>78</v>
      </c>
      <c r="L55" s="15"/>
      <c r="M55" s="15"/>
      <c r="N55" s="15"/>
      <c r="O55" s="15"/>
    </row>
    <row r="56" customFormat="false" ht="120" hidden="false" customHeight="true" outlineLevel="0" collapsed="false">
      <c r="A56" s="7" t="s">
        <v>683</v>
      </c>
      <c r="B56" s="7" t="s">
        <v>97</v>
      </c>
      <c r="C56" s="7" t="s">
        <v>684</v>
      </c>
      <c r="D56" s="7" t="s">
        <v>685</v>
      </c>
      <c r="E56" s="8" t="s">
        <v>71</v>
      </c>
      <c r="F56" s="16" t="s">
        <v>457</v>
      </c>
      <c r="G56" s="7" t="s">
        <v>686</v>
      </c>
      <c r="H56" s="7" t="s">
        <v>687</v>
      </c>
      <c r="I56" s="7" t="s">
        <v>688</v>
      </c>
      <c r="J56" s="15"/>
      <c r="K56" s="16" t="s">
        <v>78</v>
      </c>
      <c r="L56" s="15"/>
      <c r="M56" s="15"/>
      <c r="N56" s="15"/>
      <c r="O56" s="15"/>
    </row>
    <row r="57" customFormat="false" ht="120" hidden="false" customHeight="true" outlineLevel="0" collapsed="false">
      <c r="A57" s="7" t="s">
        <v>689</v>
      </c>
      <c r="B57" s="7" t="s">
        <v>98</v>
      </c>
      <c r="C57" s="7" t="s">
        <v>690</v>
      </c>
      <c r="D57" s="7" t="s">
        <v>691</v>
      </c>
      <c r="E57" s="8" t="s">
        <v>71</v>
      </c>
      <c r="F57" s="8" t="s">
        <v>73</v>
      </c>
      <c r="G57" s="7" t="s">
        <v>426</v>
      </c>
      <c r="H57" s="7" t="s">
        <v>692</v>
      </c>
      <c r="I57" s="7" t="s">
        <v>693</v>
      </c>
      <c r="J57" s="15"/>
      <c r="K57" s="16" t="s">
        <v>78</v>
      </c>
      <c r="L57" s="15"/>
      <c r="M57" s="15"/>
      <c r="N57" s="15"/>
      <c r="O57" s="15"/>
    </row>
    <row r="58" customFormat="false" ht="120" hidden="false" customHeight="true" outlineLevel="0" collapsed="false">
      <c r="A58" s="7" t="s">
        <v>694</v>
      </c>
      <c r="B58" s="7" t="s">
        <v>98</v>
      </c>
      <c r="C58" s="7" t="s">
        <v>695</v>
      </c>
      <c r="D58" s="7" t="s">
        <v>696</v>
      </c>
      <c r="E58" s="8" t="s">
        <v>71</v>
      </c>
      <c r="F58" s="9" t="s">
        <v>74</v>
      </c>
      <c r="G58" s="7" t="s">
        <v>697</v>
      </c>
      <c r="H58" s="7" t="s">
        <v>698</v>
      </c>
      <c r="I58" s="7" t="s">
        <v>699</v>
      </c>
      <c r="J58" s="15"/>
      <c r="K58" s="16" t="s">
        <v>78</v>
      </c>
      <c r="L58" s="15"/>
      <c r="M58" s="15"/>
      <c r="N58" s="15"/>
      <c r="O58" s="15"/>
    </row>
    <row r="59" customFormat="false" ht="120" hidden="false" customHeight="true" outlineLevel="0" collapsed="false">
      <c r="A59" s="7" t="s">
        <v>700</v>
      </c>
      <c r="B59" s="7" t="s">
        <v>99</v>
      </c>
      <c r="C59" s="7" t="s">
        <v>701</v>
      </c>
      <c r="D59" s="7" t="s">
        <v>702</v>
      </c>
      <c r="E59" s="8" t="s">
        <v>71</v>
      </c>
      <c r="F59" s="8" t="s">
        <v>73</v>
      </c>
      <c r="G59" s="7" t="s">
        <v>426</v>
      </c>
      <c r="H59" s="7" t="s">
        <v>703</v>
      </c>
      <c r="I59" s="7" t="s">
        <v>704</v>
      </c>
      <c r="J59" s="15"/>
      <c r="K59" s="16" t="s">
        <v>78</v>
      </c>
      <c r="L59" s="15"/>
      <c r="M59" s="15"/>
      <c r="N59" s="15"/>
      <c r="O59" s="15"/>
    </row>
    <row r="60" customFormat="false" ht="120" hidden="false" customHeight="true" outlineLevel="0" collapsed="false">
      <c r="A60" s="7" t="s">
        <v>705</v>
      </c>
      <c r="B60" s="7" t="s">
        <v>99</v>
      </c>
      <c r="C60" s="7" t="s">
        <v>701</v>
      </c>
      <c r="D60" s="7" t="s">
        <v>706</v>
      </c>
      <c r="E60" s="8" t="s">
        <v>71</v>
      </c>
      <c r="F60" s="9" t="s">
        <v>74</v>
      </c>
      <c r="G60" s="7" t="s">
        <v>707</v>
      </c>
      <c r="H60" s="7" t="s">
        <v>708</v>
      </c>
      <c r="I60" s="7" t="s">
        <v>709</v>
      </c>
      <c r="J60" s="15"/>
      <c r="K60" s="16" t="s">
        <v>78</v>
      </c>
      <c r="L60" s="15"/>
      <c r="M60" s="15"/>
      <c r="N60" s="15"/>
      <c r="O60" s="15"/>
    </row>
    <row r="61" customFormat="false" ht="120" hidden="false" customHeight="true" outlineLevel="0" collapsed="false">
      <c r="A61" s="7" t="s">
        <v>710</v>
      </c>
      <c r="B61" s="7" t="s">
        <v>100</v>
      </c>
      <c r="C61" s="7" t="s">
        <v>711</v>
      </c>
      <c r="D61" s="7" t="s">
        <v>712</v>
      </c>
      <c r="E61" s="8" t="s">
        <v>71</v>
      </c>
      <c r="F61" s="8" t="s">
        <v>73</v>
      </c>
      <c r="G61" s="7" t="s">
        <v>480</v>
      </c>
      <c r="H61" s="7" t="s">
        <v>713</v>
      </c>
      <c r="I61" s="7" t="s">
        <v>714</v>
      </c>
      <c r="J61" s="15"/>
      <c r="K61" s="16" t="s">
        <v>78</v>
      </c>
      <c r="L61" s="15"/>
      <c r="M61" s="15"/>
      <c r="N61" s="15"/>
      <c r="O61" s="15"/>
    </row>
    <row r="62" customFormat="false" ht="120" hidden="false" customHeight="true" outlineLevel="0" collapsed="false">
      <c r="A62" s="7" t="s">
        <v>715</v>
      </c>
      <c r="B62" s="7" t="s">
        <v>100</v>
      </c>
      <c r="C62" s="7" t="s">
        <v>716</v>
      </c>
      <c r="D62" s="7" t="s">
        <v>717</v>
      </c>
      <c r="E62" s="17" t="s">
        <v>72</v>
      </c>
      <c r="F62" s="8" t="s">
        <v>73</v>
      </c>
      <c r="G62" s="7" t="s">
        <v>426</v>
      </c>
      <c r="H62" s="7" t="s">
        <v>718</v>
      </c>
      <c r="I62" s="7" t="s">
        <v>719</v>
      </c>
      <c r="J62" s="15"/>
      <c r="K62" s="16" t="s">
        <v>78</v>
      </c>
      <c r="L62" s="15"/>
      <c r="M62" s="15"/>
      <c r="N62" s="15"/>
      <c r="O62" s="15"/>
    </row>
    <row r="63" customFormat="false" ht="120" hidden="false" customHeight="true" outlineLevel="0" collapsed="false">
      <c r="A63" s="7" t="s">
        <v>720</v>
      </c>
      <c r="B63" s="7" t="s">
        <v>101</v>
      </c>
      <c r="C63" s="7" t="s">
        <v>721</v>
      </c>
      <c r="D63" s="7" t="s">
        <v>722</v>
      </c>
      <c r="E63" s="17" t="s">
        <v>72</v>
      </c>
      <c r="F63" s="8" t="s">
        <v>73</v>
      </c>
      <c r="G63" s="7" t="s">
        <v>426</v>
      </c>
      <c r="H63" s="7" t="s">
        <v>469</v>
      </c>
      <c r="I63" s="7" t="s">
        <v>723</v>
      </c>
      <c r="J63" s="15"/>
      <c r="K63" s="16" t="s">
        <v>78</v>
      </c>
      <c r="L63" s="15"/>
      <c r="M63" s="15"/>
      <c r="N63" s="15"/>
      <c r="O63" s="15"/>
    </row>
    <row r="64" customFormat="false" ht="120" hidden="false" customHeight="true" outlineLevel="0" collapsed="false">
      <c r="A64" s="7" t="s">
        <v>724</v>
      </c>
      <c r="B64" s="7" t="s">
        <v>102</v>
      </c>
      <c r="C64" s="7" t="s">
        <v>725</v>
      </c>
      <c r="D64" s="7" t="s">
        <v>726</v>
      </c>
      <c r="E64" s="8" t="s">
        <v>71</v>
      </c>
      <c r="F64" s="8" t="s">
        <v>73</v>
      </c>
      <c r="G64" s="7" t="s">
        <v>426</v>
      </c>
      <c r="H64" s="7" t="s">
        <v>727</v>
      </c>
      <c r="I64" s="7" t="s">
        <v>728</v>
      </c>
      <c r="J64" s="15"/>
      <c r="K64" s="16" t="s">
        <v>78</v>
      </c>
      <c r="L64" s="15"/>
      <c r="M64" s="15"/>
      <c r="N64" s="15"/>
      <c r="O64" s="15"/>
    </row>
    <row r="65" customFormat="false" ht="120" hidden="false" customHeight="true" outlineLevel="0" collapsed="false">
      <c r="A65" s="7" t="s">
        <v>729</v>
      </c>
      <c r="B65" s="7" t="s">
        <v>102</v>
      </c>
      <c r="C65" s="7" t="s">
        <v>725</v>
      </c>
      <c r="D65" s="7" t="s">
        <v>730</v>
      </c>
      <c r="E65" s="17" t="s">
        <v>72</v>
      </c>
      <c r="F65" s="8" t="s">
        <v>73</v>
      </c>
      <c r="G65" s="7" t="s">
        <v>426</v>
      </c>
      <c r="H65" s="7" t="s">
        <v>731</v>
      </c>
      <c r="I65" s="7" t="s">
        <v>732</v>
      </c>
      <c r="J65" s="15"/>
      <c r="K65" s="16" t="s">
        <v>78</v>
      </c>
      <c r="L65" s="15"/>
      <c r="M65" s="15"/>
      <c r="N65" s="15"/>
      <c r="O65" s="15"/>
    </row>
    <row r="66" customFormat="false" ht="120" hidden="false" customHeight="true" outlineLevel="0" collapsed="false">
      <c r="A66" s="7" t="s">
        <v>733</v>
      </c>
      <c r="B66" s="7" t="s">
        <v>103</v>
      </c>
      <c r="C66" s="7" t="s">
        <v>734</v>
      </c>
      <c r="D66" s="7" t="s">
        <v>735</v>
      </c>
      <c r="E66" s="8" t="s">
        <v>71</v>
      </c>
      <c r="F66" s="8" t="s">
        <v>73</v>
      </c>
      <c r="G66" s="7" t="s">
        <v>426</v>
      </c>
      <c r="H66" s="7" t="s">
        <v>736</v>
      </c>
      <c r="I66" s="7" t="s">
        <v>737</v>
      </c>
      <c r="J66" s="15"/>
      <c r="K66" s="16" t="s">
        <v>78</v>
      </c>
      <c r="L66" s="15"/>
      <c r="M66" s="15"/>
      <c r="N66" s="15"/>
      <c r="O66" s="15"/>
    </row>
    <row r="67" customFormat="false" ht="120" hidden="false" customHeight="true" outlineLevel="0" collapsed="false">
      <c r="A67" s="7" t="s">
        <v>738</v>
      </c>
      <c r="B67" s="7" t="s">
        <v>104</v>
      </c>
      <c r="C67" s="7" t="s">
        <v>739</v>
      </c>
      <c r="D67" s="7" t="s">
        <v>740</v>
      </c>
      <c r="E67" s="8" t="s">
        <v>71</v>
      </c>
      <c r="F67" s="8" t="s">
        <v>73</v>
      </c>
      <c r="G67" s="7" t="s">
        <v>426</v>
      </c>
      <c r="H67" s="7" t="s">
        <v>741</v>
      </c>
      <c r="I67" s="7" t="s">
        <v>742</v>
      </c>
      <c r="J67" s="15"/>
      <c r="K67" s="16" t="s">
        <v>78</v>
      </c>
      <c r="L67" s="15"/>
      <c r="M67" s="15"/>
      <c r="N67" s="15"/>
      <c r="O67" s="15"/>
    </row>
    <row r="68" customFormat="false" ht="120" hidden="false" customHeight="true" outlineLevel="0" collapsed="false">
      <c r="A68" s="7" t="s">
        <v>743</v>
      </c>
      <c r="B68" s="7" t="s">
        <v>104</v>
      </c>
      <c r="C68" s="7" t="s">
        <v>744</v>
      </c>
      <c r="D68" s="7" t="s">
        <v>745</v>
      </c>
      <c r="E68" s="8" t="s">
        <v>71</v>
      </c>
      <c r="F68" s="8" t="s">
        <v>73</v>
      </c>
      <c r="G68" s="7" t="s">
        <v>426</v>
      </c>
      <c r="H68" s="7" t="s">
        <v>746</v>
      </c>
      <c r="I68" s="7" t="s">
        <v>747</v>
      </c>
      <c r="J68" s="15"/>
      <c r="K68" s="16" t="s">
        <v>78</v>
      </c>
      <c r="L68" s="15"/>
      <c r="M68" s="15"/>
      <c r="N68" s="15"/>
      <c r="O68" s="15"/>
    </row>
    <row r="69" customFormat="false" ht="120" hidden="false" customHeight="true" outlineLevel="0" collapsed="false">
      <c r="A69" s="7" t="s">
        <v>748</v>
      </c>
      <c r="B69" s="7" t="s">
        <v>104</v>
      </c>
      <c r="C69" s="7" t="s">
        <v>749</v>
      </c>
      <c r="D69" s="7" t="s">
        <v>750</v>
      </c>
      <c r="E69" s="8" t="s">
        <v>71</v>
      </c>
      <c r="F69" s="8" t="s">
        <v>73</v>
      </c>
      <c r="G69" s="7" t="s">
        <v>426</v>
      </c>
      <c r="H69" s="7" t="s">
        <v>751</v>
      </c>
      <c r="I69" s="7" t="s">
        <v>752</v>
      </c>
      <c r="J69" s="15"/>
      <c r="K69" s="16" t="s">
        <v>78</v>
      </c>
      <c r="L69" s="15"/>
      <c r="M69" s="15"/>
      <c r="N69" s="15"/>
      <c r="O69" s="15"/>
    </row>
    <row r="70" customFormat="false" ht="120" hidden="false" customHeight="true" outlineLevel="0" collapsed="false">
      <c r="A70" s="7" t="s">
        <v>753</v>
      </c>
      <c r="B70" s="7" t="s">
        <v>104</v>
      </c>
      <c r="C70" s="7" t="s">
        <v>754</v>
      </c>
      <c r="D70" s="7" t="s">
        <v>755</v>
      </c>
      <c r="E70" s="8" t="s">
        <v>71</v>
      </c>
      <c r="F70" s="8" t="s">
        <v>73</v>
      </c>
      <c r="G70" s="7" t="s">
        <v>426</v>
      </c>
      <c r="H70" s="7" t="s">
        <v>756</v>
      </c>
      <c r="I70" s="7" t="s">
        <v>757</v>
      </c>
      <c r="J70" s="15"/>
      <c r="K70" s="16" t="s">
        <v>78</v>
      </c>
      <c r="L70" s="15"/>
      <c r="M70" s="15"/>
      <c r="N70" s="15"/>
      <c r="O70" s="15"/>
    </row>
    <row r="71" customFormat="false" ht="120" hidden="false" customHeight="true" outlineLevel="0" collapsed="false">
      <c r="A71" s="7" t="s">
        <v>758</v>
      </c>
      <c r="B71" s="7" t="s">
        <v>104</v>
      </c>
      <c r="C71" s="7" t="s">
        <v>759</v>
      </c>
      <c r="D71" s="7" t="s">
        <v>760</v>
      </c>
      <c r="E71" s="8" t="s">
        <v>71</v>
      </c>
      <c r="F71" s="8" t="s">
        <v>73</v>
      </c>
      <c r="G71" s="7" t="s">
        <v>761</v>
      </c>
      <c r="H71" s="7" t="s">
        <v>762</v>
      </c>
      <c r="I71" s="7" t="s">
        <v>763</v>
      </c>
      <c r="J71" s="15"/>
      <c r="K71" s="16" t="s">
        <v>78</v>
      </c>
      <c r="L71" s="15"/>
      <c r="M71" s="15"/>
      <c r="N71" s="15"/>
      <c r="O71" s="15"/>
    </row>
    <row r="72" customFormat="false" ht="120" hidden="false" customHeight="true" outlineLevel="0" collapsed="false">
      <c r="A72" s="7" t="s">
        <v>764</v>
      </c>
      <c r="B72" s="7" t="s">
        <v>104</v>
      </c>
      <c r="C72" s="7" t="s">
        <v>765</v>
      </c>
      <c r="D72" s="7" t="s">
        <v>766</v>
      </c>
      <c r="E72" s="17" t="s">
        <v>72</v>
      </c>
      <c r="F72" s="8" t="s">
        <v>73</v>
      </c>
      <c r="G72" s="7" t="s">
        <v>767</v>
      </c>
      <c r="H72" s="7" t="s">
        <v>768</v>
      </c>
      <c r="I72" s="7" t="s">
        <v>769</v>
      </c>
      <c r="J72" s="15"/>
      <c r="K72" s="16" t="s">
        <v>78</v>
      </c>
      <c r="L72" s="15"/>
      <c r="M72" s="15"/>
      <c r="N72" s="15"/>
      <c r="O72" s="15"/>
    </row>
    <row r="73" customFormat="false" ht="120" hidden="false" customHeight="true" outlineLevel="0" collapsed="false">
      <c r="A73" s="7" t="s">
        <v>770</v>
      </c>
      <c r="B73" s="7" t="s">
        <v>105</v>
      </c>
      <c r="C73" s="7" t="s">
        <v>771</v>
      </c>
      <c r="D73" s="7" t="s">
        <v>772</v>
      </c>
      <c r="E73" s="17" t="s">
        <v>72</v>
      </c>
      <c r="F73" s="8" t="s">
        <v>73</v>
      </c>
      <c r="G73" s="7" t="s">
        <v>426</v>
      </c>
      <c r="H73" s="7" t="s">
        <v>773</v>
      </c>
      <c r="I73" s="7" t="s">
        <v>774</v>
      </c>
      <c r="J73" s="15"/>
      <c r="K73" s="16" t="s">
        <v>78</v>
      </c>
      <c r="L73" s="15"/>
      <c r="M73" s="15"/>
      <c r="N73" s="15"/>
      <c r="O73" s="15"/>
    </row>
    <row r="74" customFormat="false" ht="120" hidden="false" customHeight="true" outlineLevel="0" collapsed="false">
      <c r="A74" s="7" t="s">
        <v>775</v>
      </c>
      <c r="B74" s="7" t="s">
        <v>105</v>
      </c>
      <c r="C74" s="7" t="s">
        <v>776</v>
      </c>
      <c r="D74" s="7" t="s">
        <v>777</v>
      </c>
      <c r="E74" s="8" t="s">
        <v>71</v>
      </c>
      <c r="F74" s="8" t="s">
        <v>73</v>
      </c>
      <c r="G74" s="7" t="s">
        <v>426</v>
      </c>
      <c r="H74" s="7" t="s">
        <v>778</v>
      </c>
      <c r="I74" s="7" t="s">
        <v>779</v>
      </c>
      <c r="J74" s="15"/>
      <c r="K74" s="16" t="s">
        <v>78</v>
      </c>
      <c r="L74" s="15"/>
      <c r="M74" s="15"/>
      <c r="N74" s="15"/>
      <c r="O74" s="15"/>
    </row>
    <row r="75" customFormat="false" ht="120" hidden="false" customHeight="true" outlineLevel="0" collapsed="false">
      <c r="A75" s="7" t="s">
        <v>780</v>
      </c>
      <c r="B75" s="7" t="s">
        <v>106</v>
      </c>
      <c r="C75" s="7" t="s">
        <v>781</v>
      </c>
      <c r="D75" s="7" t="s">
        <v>782</v>
      </c>
      <c r="E75" s="8" t="s">
        <v>71</v>
      </c>
      <c r="F75" s="8" t="s">
        <v>73</v>
      </c>
      <c r="G75" s="7" t="s">
        <v>426</v>
      </c>
      <c r="H75" s="7" t="s">
        <v>783</v>
      </c>
      <c r="I75" s="7" t="s">
        <v>784</v>
      </c>
      <c r="J75" s="15"/>
      <c r="K75" s="16" t="s">
        <v>78</v>
      </c>
      <c r="L75" s="15"/>
      <c r="M75" s="15"/>
      <c r="N75" s="15"/>
      <c r="O75" s="15"/>
    </row>
    <row r="76" customFormat="false" ht="120" hidden="false" customHeight="true" outlineLevel="0" collapsed="false">
      <c r="A76" s="7" t="s">
        <v>785</v>
      </c>
      <c r="B76" s="7" t="s">
        <v>106</v>
      </c>
      <c r="C76" s="7" t="s">
        <v>786</v>
      </c>
      <c r="D76" s="7" t="s">
        <v>787</v>
      </c>
      <c r="E76" s="17" t="s">
        <v>72</v>
      </c>
      <c r="F76" s="8" t="s">
        <v>73</v>
      </c>
      <c r="G76" s="7" t="s">
        <v>426</v>
      </c>
      <c r="H76" s="7" t="s">
        <v>788</v>
      </c>
      <c r="I76" s="7" t="s">
        <v>789</v>
      </c>
      <c r="J76" s="15"/>
      <c r="K76" s="16" t="s">
        <v>78</v>
      </c>
      <c r="L76" s="15"/>
      <c r="M76" s="15"/>
      <c r="N76" s="15"/>
      <c r="O76" s="15"/>
    </row>
    <row r="77" customFormat="false" ht="120" hidden="false" customHeight="true" outlineLevel="0" collapsed="false">
      <c r="A77" s="7" t="s">
        <v>790</v>
      </c>
      <c r="B77" s="7" t="s">
        <v>106</v>
      </c>
      <c r="C77" s="7" t="s">
        <v>791</v>
      </c>
      <c r="D77" s="7" t="s">
        <v>792</v>
      </c>
      <c r="E77" s="17" t="s">
        <v>72</v>
      </c>
      <c r="F77" s="8" t="s">
        <v>73</v>
      </c>
      <c r="G77" s="7" t="s">
        <v>480</v>
      </c>
      <c r="H77" s="7" t="s">
        <v>793</v>
      </c>
      <c r="I77" s="7" t="s">
        <v>794</v>
      </c>
      <c r="J77" s="15"/>
      <c r="K77" s="16" t="s">
        <v>78</v>
      </c>
      <c r="L77" s="15"/>
      <c r="M77" s="15"/>
      <c r="N77" s="15"/>
      <c r="O77" s="15"/>
    </row>
    <row r="78" customFormat="false" ht="120" hidden="false" customHeight="true" outlineLevel="0" collapsed="false">
      <c r="A78" s="7" t="s">
        <v>795</v>
      </c>
      <c r="B78" s="7" t="s">
        <v>106</v>
      </c>
      <c r="C78" s="7" t="s">
        <v>791</v>
      </c>
      <c r="D78" s="7" t="s">
        <v>796</v>
      </c>
      <c r="E78" s="8" t="s">
        <v>71</v>
      </c>
      <c r="F78" s="8" t="s">
        <v>73</v>
      </c>
      <c r="G78" s="7" t="s">
        <v>426</v>
      </c>
      <c r="H78" s="7" t="s">
        <v>797</v>
      </c>
      <c r="I78" s="7" t="s">
        <v>798</v>
      </c>
      <c r="J78" s="15"/>
      <c r="K78" s="16" t="s">
        <v>78</v>
      </c>
      <c r="L78" s="15"/>
      <c r="M78" s="15"/>
      <c r="N78" s="15"/>
      <c r="O78" s="15"/>
    </row>
    <row r="79" customFormat="false" ht="120" hidden="false" customHeight="true" outlineLevel="0" collapsed="false">
      <c r="A79" s="7" t="s">
        <v>799</v>
      </c>
      <c r="B79" s="7" t="s">
        <v>106</v>
      </c>
      <c r="C79" s="7" t="s">
        <v>800</v>
      </c>
      <c r="D79" s="7" t="s">
        <v>801</v>
      </c>
      <c r="E79" s="17" t="s">
        <v>72</v>
      </c>
      <c r="F79" s="8" t="s">
        <v>73</v>
      </c>
      <c r="G79" s="7" t="s">
        <v>426</v>
      </c>
      <c r="H79" s="7" t="s">
        <v>802</v>
      </c>
      <c r="I79" s="7" t="s">
        <v>803</v>
      </c>
      <c r="J79" s="15"/>
      <c r="K79" s="16" t="s">
        <v>78</v>
      </c>
      <c r="L79" s="15"/>
      <c r="M79" s="15"/>
      <c r="N79" s="15"/>
      <c r="O79" s="15"/>
    </row>
    <row r="80" customFormat="false" ht="120" hidden="false" customHeight="true" outlineLevel="0" collapsed="false">
      <c r="A80" s="7" t="s">
        <v>804</v>
      </c>
      <c r="B80" s="7" t="s">
        <v>106</v>
      </c>
      <c r="C80" s="7" t="s">
        <v>805</v>
      </c>
      <c r="D80" s="7" t="s">
        <v>806</v>
      </c>
      <c r="E80" s="8" t="s">
        <v>71</v>
      </c>
      <c r="F80" s="8" t="s">
        <v>73</v>
      </c>
      <c r="G80" s="7" t="s">
        <v>426</v>
      </c>
      <c r="H80" s="7" t="s">
        <v>807</v>
      </c>
      <c r="I80" s="7" t="s">
        <v>808</v>
      </c>
      <c r="J80" s="15"/>
      <c r="K80" s="16" t="s">
        <v>78</v>
      </c>
      <c r="L80" s="15"/>
      <c r="M80" s="15"/>
      <c r="N80" s="15"/>
      <c r="O80" s="15"/>
    </row>
    <row r="81" customFormat="false" ht="120" hidden="false" customHeight="true" outlineLevel="0" collapsed="false">
      <c r="A81" s="7" t="s">
        <v>809</v>
      </c>
      <c r="B81" s="7" t="s">
        <v>106</v>
      </c>
      <c r="C81" s="7" t="s">
        <v>810</v>
      </c>
      <c r="D81" s="7" t="s">
        <v>811</v>
      </c>
      <c r="E81" s="8" t="s">
        <v>71</v>
      </c>
      <c r="F81" s="8" t="s">
        <v>73</v>
      </c>
      <c r="G81" s="7" t="s">
        <v>426</v>
      </c>
      <c r="H81" s="7" t="s">
        <v>812</v>
      </c>
      <c r="I81" s="7" t="s">
        <v>813</v>
      </c>
      <c r="J81" s="15"/>
      <c r="K81" s="16" t="s">
        <v>78</v>
      </c>
      <c r="L81" s="15"/>
      <c r="M81" s="15"/>
      <c r="N81" s="15"/>
      <c r="O81" s="15"/>
    </row>
    <row r="82" customFormat="false" ht="120" hidden="false" customHeight="true" outlineLevel="0" collapsed="false">
      <c r="A82" s="7" t="s">
        <v>814</v>
      </c>
      <c r="B82" s="7" t="s">
        <v>106</v>
      </c>
      <c r="C82" s="7" t="s">
        <v>815</v>
      </c>
      <c r="D82" s="7" t="s">
        <v>816</v>
      </c>
      <c r="E82" s="17" t="s">
        <v>72</v>
      </c>
      <c r="F82" s="8" t="s">
        <v>73</v>
      </c>
      <c r="G82" s="7" t="s">
        <v>426</v>
      </c>
      <c r="H82" s="7" t="s">
        <v>817</v>
      </c>
      <c r="I82" s="7" t="s">
        <v>818</v>
      </c>
      <c r="J82" s="15"/>
      <c r="K82" s="16" t="s">
        <v>78</v>
      </c>
      <c r="L82" s="15"/>
      <c r="M82" s="15"/>
      <c r="N82" s="15"/>
      <c r="O82" s="15"/>
    </row>
    <row r="83" customFormat="false" ht="120" hidden="false" customHeight="true" outlineLevel="0" collapsed="false">
      <c r="A83" s="7" t="s">
        <v>819</v>
      </c>
      <c r="B83" s="7" t="s">
        <v>106</v>
      </c>
      <c r="C83" s="7" t="s">
        <v>820</v>
      </c>
      <c r="D83" s="7" t="s">
        <v>821</v>
      </c>
      <c r="E83" s="17" t="s">
        <v>72</v>
      </c>
      <c r="F83" s="8" t="s">
        <v>73</v>
      </c>
      <c r="G83" s="7" t="s">
        <v>426</v>
      </c>
      <c r="H83" s="7" t="s">
        <v>822</v>
      </c>
      <c r="I83" s="7" t="s">
        <v>823</v>
      </c>
      <c r="J83" s="15"/>
      <c r="K83" s="16" t="s">
        <v>78</v>
      </c>
      <c r="L83" s="15"/>
      <c r="M83" s="15"/>
      <c r="N83" s="15"/>
      <c r="O83" s="15"/>
    </row>
    <row r="84" customFormat="false" ht="120" hidden="false" customHeight="true" outlineLevel="0" collapsed="false">
      <c r="A84" s="7" t="s">
        <v>824</v>
      </c>
      <c r="B84" s="7" t="s">
        <v>106</v>
      </c>
      <c r="C84" s="7" t="s">
        <v>825</v>
      </c>
      <c r="D84" s="7" t="s">
        <v>826</v>
      </c>
      <c r="E84" s="8" t="s">
        <v>71</v>
      </c>
      <c r="F84" s="8" t="s">
        <v>73</v>
      </c>
      <c r="G84" s="7" t="s">
        <v>426</v>
      </c>
      <c r="H84" s="7" t="s">
        <v>827</v>
      </c>
      <c r="I84" s="7" t="s">
        <v>828</v>
      </c>
      <c r="J84" s="15"/>
      <c r="K84" s="16" t="s">
        <v>78</v>
      </c>
      <c r="L84" s="15"/>
      <c r="M84" s="15"/>
      <c r="N84" s="15"/>
      <c r="O84" s="15"/>
    </row>
    <row r="85" customFormat="false" ht="120" hidden="false" customHeight="true" outlineLevel="0" collapsed="false">
      <c r="A85" s="7" t="s">
        <v>829</v>
      </c>
      <c r="B85" s="7" t="s">
        <v>106</v>
      </c>
      <c r="C85" s="7" t="s">
        <v>825</v>
      </c>
      <c r="D85" s="7" t="s">
        <v>830</v>
      </c>
      <c r="E85" s="8" t="s">
        <v>71</v>
      </c>
      <c r="F85" s="8" t="s">
        <v>73</v>
      </c>
      <c r="G85" s="7" t="s">
        <v>426</v>
      </c>
      <c r="H85" s="7" t="s">
        <v>831</v>
      </c>
      <c r="I85" s="7" t="s">
        <v>832</v>
      </c>
      <c r="J85" s="15"/>
      <c r="K85" s="16" t="s">
        <v>78</v>
      </c>
      <c r="L85" s="15"/>
      <c r="M85" s="15"/>
      <c r="N85" s="15"/>
      <c r="O85" s="15"/>
    </row>
    <row r="86" customFormat="false" ht="120" hidden="false" customHeight="true" outlineLevel="0" collapsed="false">
      <c r="A86" s="7" t="s">
        <v>833</v>
      </c>
      <c r="B86" s="7" t="s">
        <v>106</v>
      </c>
      <c r="C86" s="7" t="s">
        <v>834</v>
      </c>
      <c r="D86" s="7" t="s">
        <v>835</v>
      </c>
      <c r="E86" s="8" t="s">
        <v>71</v>
      </c>
      <c r="F86" s="8" t="s">
        <v>73</v>
      </c>
      <c r="G86" s="7" t="s">
        <v>426</v>
      </c>
      <c r="H86" s="7" t="s">
        <v>836</v>
      </c>
      <c r="I86" s="7" t="s">
        <v>837</v>
      </c>
      <c r="J86" s="15"/>
      <c r="K86" s="16" t="s">
        <v>78</v>
      </c>
      <c r="L86" s="15"/>
      <c r="M86" s="15"/>
      <c r="N86" s="15"/>
      <c r="O86" s="15"/>
    </row>
    <row r="87" customFormat="false" ht="120" hidden="false" customHeight="true" outlineLevel="0" collapsed="false">
      <c r="A87" s="7" t="s">
        <v>838</v>
      </c>
      <c r="B87" s="7" t="s">
        <v>106</v>
      </c>
      <c r="C87" s="7" t="s">
        <v>839</v>
      </c>
      <c r="D87" s="7" t="s">
        <v>840</v>
      </c>
      <c r="E87" s="17" t="s">
        <v>72</v>
      </c>
      <c r="F87" s="8" t="s">
        <v>73</v>
      </c>
      <c r="G87" s="7" t="s">
        <v>426</v>
      </c>
      <c r="H87" s="7" t="s">
        <v>841</v>
      </c>
      <c r="I87" s="7" t="s">
        <v>842</v>
      </c>
      <c r="J87" s="15"/>
      <c r="K87" s="16" t="s">
        <v>78</v>
      </c>
      <c r="L87" s="15"/>
      <c r="M87" s="15"/>
      <c r="N87" s="15"/>
      <c r="O87" s="15"/>
    </row>
    <row r="88" customFormat="false" ht="120" hidden="false" customHeight="true" outlineLevel="0" collapsed="false">
      <c r="A88" s="7" t="s">
        <v>843</v>
      </c>
      <c r="B88" s="7" t="s">
        <v>106</v>
      </c>
      <c r="C88" s="7" t="s">
        <v>844</v>
      </c>
      <c r="D88" s="7" t="s">
        <v>845</v>
      </c>
      <c r="E88" s="8" t="s">
        <v>71</v>
      </c>
      <c r="F88" s="8" t="s">
        <v>73</v>
      </c>
      <c r="G88" s="7" t="s">
        <v>426</v>
      </c>
      <c r="H88" s="7" t="s">
        <v>846</v>
      </c>
      <c r="I88" s="7" t="s">
        <v>847</v>
      </c>
      <c r="J88" s="15"/>
      <c r="K88" s="16" t="s">
        <v>78</v>
      </c>
      <c r="L88" s="15"/>
      <c r="M88" s="15"/>
      <c r="N88" s="15"/>
      <c r="O88" s="15"/>
    </row>
    <row r="89" customFormat="false" ht="120" hidden="false" customHeight="true" outlineLevel="0" collapsed="false">
      <c r="A89" s="7" t="s">
        <v>848</v>
      </c>
      <c r="B89" s="7" t="s">
        <v>106</v>
      </c>
      <c r="C89" s="7" t="s">
        <v>849</v>
      </c>
      <c r="D89" s="7" t="s">
        <v>850</v>
      </c>
      <c r="E89" s="17" t="s">
        <v>72</v>
      </c>
      <c r="F89" s="8" t="s">
        <v>73</v>
      </c>
      <c r="G89" s="7" t="s">
        <v>426</v>
      </c>
      <c r="H89" s="7" t="s">
        <v>851</v>
      </c>
      <c r="I89" s="7" t="s">
        <v>852</v>
      </c>
      <c r="J89" s="15"/>
      <c r="K89" s="16" t="s">
        <v>78</v>
      </c>
      <c r="L89" s="15"/>
      <c r="M89" s="15"/>
      <c r="N89" s="15"/>
      <c r="O89" s="15"/>
    </row>
    <row r="90" customFormat="false" ht="120" hidden="false" customHeight="true" outlineLevel="0" collapsed="false">
      <c r="A90" s="7" t="s">
        <v>853</v>
      </c>
      <c r="B90" s="7" t="s">
        <v>106</v>
      </c>
      <c r="C90" s="7" t="s">
        <v>854</v>
      </c>
      <c r="D90" s="7" t="s">
        <v>855</v>
      </c>
      <c r="E90" s="8" t="s">
        <v>71</v>
      </c>
      <c r="F90" s="8" t="s">
        <v>73</v>
      </c>
      <c r="G90" s="7" t="s">
        <v>426</v>
      </c>
      <c r="H90" s="7" t="s">
        <v>856</v>
      </c>
      <c r="I90" s="7" t="s">
        <v>857</v>
      </c>
      <c r="J90" s="15"/>
      <c r="K90" s="16" t="s">
        <v>78</v>
      </c>
      <c r="L90" s="15"/>
      <c r="M90" s="15"/>
      <c r="N90" s="15"/>
      <c r="O90" s="15"/>
    </row>
    <row r="91" customFormat="false" ht="120" hidden="false" customHeight="true" outlineLevel="0" collapsed="false">
      <c r="A91" s="7" t="s">
        <v>858</v>
      </c>
      <c r="B91" s="7" t="s">
        <v>106</v>
      </c>
      <c r="C91" s="7" t="s">
        <v>859</v>
      </c>
      <c r="D91" s="7" t="s">
        <v>860</v>
      </c>
      <c r="E91" s="8" t="s">
        <v>71</v>
      </c>
      <c r="F91" s="8" t="s">
        <v>73</v>
      </c>
      <c r="G91" s="7" t="s">
        <v>426</v>
      </c>
      <c r="H91" s="7" t="s">
        <v>861</v>
      </c>
      <c r="I91" s="7" t="s">
        <v>862</v>
      </c>
      <c r="J91" s="15"/>
      <c r="K91" s="16" t="s">
        <v>78</v>
      </c>
      <c r="L91" s="15"/>
      <c r="M91" s="15"/>
      <c r="N91" s="15"/>
      <c r="O91" s="15"/>
    </row>
    <row r="92" customFormat="false" ht="120" hidden="false" customHeight="true" outlineLevel="0" collapsed="false">
      <c r="A92" s="7" t="s">
        <v>863</v>
      </c>
      <c r="B92" s="7" t="s">
        <v>106</v>
      </c>
      <c r="C92" s="7" t="s">
        <v>864</v>
      </c>
      <c r="D92" s="7" t="s">
        <v>865</v>
      </c>
      <c r="E92" s="8" t="s">
        <v>71</v>
      </c>
      <c r="F92" s="8" t="s">
        <v>73</v>
      </c>
      <c r="G92" s="7" t="s">
        <v>426</v>
      </c>
      <c r="H92" s="7" t="s">
        <v>866</v>
      </c>
      <c r="I92" s="7" t="s">
        <v>867</v>
      </c>
      <c r="J92" s="15"/>
      <c r="K92" s="16" t="s">
        <v>78</v>
      </c>
      <c r="L92" s="15"/>
      <c r="M92" s="15"/>
      <c r="N92" s="15"/>
      <c r="O92" s="15"/>
    </row>
    <row r="93" customFormat="false" ht="120" hidden="false" customHeight="true" outlineLevel="0" collapsed="false">
      <c r="A93" s="7" t="s">
        <v>868</v>
      </c>
      <c r="B93" s="7" t="s">
        <v>106</v>
      </c>
      <c r="C93" s="7" t="s">
        <v>869</v>
      </c>
      <c r="D93" s="7" t="s">
        <v>870</v>
      </c>
      <c r="E93" s="8" t="s">
        <v>71</v>
      </c>
      <c r="F93" s="9" t="s">
        <v>74</v>
      </c>
      <c r="G93" s="7" t="s">
        <v>496</v>
      </c>
      <c r="H93" s="7" t="s">
        <v>871</v>
      </c>
      <c r="I93" s="7" t="s">
        <v>872</v>
      </c>
      <c r="J93" s="15"/>
      <c r="K93" s="16" t="s">
        <v>78</v>
      </c>
      <c r="L93" s="15"/>
      <c r="M93" s="15"/>
      <c r="N93" s="15"/>
      <c r="O93" s="15"/>
    </row>
    <row r="94" customFormat="false" ht="120" hidden="false" customHeight="true" outlineLevel="0" collapsed="false">
      <c r="A94" s="7" t="s">
        <v>873</v>
      </c>
      <c r="B94" s="7" t="s">
        <v>106</v>
      </c>
      <c r="C94" s="7" t="s">
        <v>874</v>
      </c>
      <c r="D94" s="7" t="s">
        <v>875</v>
      </c>
      <c r="E94" s="8" t="s">
        <v>71</v>
      </c>
      <c r="F94" s="9" t="s">
        <v>74</v>
      </c>
      <c r="G94" s="7" t="s">
        <v>496</v>
      </c>
      <c r="H94" s="7" t="s">
        <v>876</v>
      </c>
      <c r="I94" s="7" t="s">
        <v>877</v>
      </c>
      <c r="J94" s="15"/>
      <c r="K94" s="16" t="s">
        <v>78</v>
      </c>
      <c r="L94" s="15"/>
      <c r="M94" s="15"/>
      <c r="N94" s="15"/>
      <c r="O94" s="15"/>
    </row>
    <row r="95" customFormat="false" ht="120" hidden="false" customHeight="true" outlineLevel="0" collapsed="false">
      <c r="A95" s="7" t="s">
        <v>878</v>
      </c>
      <c r="B95" s="7" t="s">
        <v>106</v>
      </c>
      <c r="C95" s="7" t="s">
        <v>879</v>
      </c>
      <c r="D95" s="7" t="s">
        <v>880</v>
      </c>
      <c r="E95" s="8" t="s">
        <v>71</v>
      </c>
      <c r="F95" s="9" t="s">
        <v>74</v>
      </c>
      <c r="G95" s="7" t="s">
        <v>881</v>
      </c>
      <c r="H95" s="7" t="s">
        <v>882</v>
      </c>
      <c r="I95" s="7" t="s">
        <v>883</v>
      </c>
      <c r="J95" s="15"/>
      <c r="K95" s="16" t="s">
        <v>78</v>
      </c>
      <c r="L95" s="15"/>
      <c r="M95" s="15"/>
      <c r="N95" s="15"/>
      <c r="O95" s="15"/>
    </row>
  </sheetData>
  <autoFilter ref="A4:O95"/>
  <dataValidations count="1">
    <dataValidation allowBlank="true" errorStyle="stop" operator="between" showDropDown="false" showErrorMessage="false" showInputMessage="false" sqref="K5:K95" type="list">
      <formula1>"Pass,Fail,Blocked,Not run"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8"/>
    <col collapsed="false" customWidth="true" hidden="false" outlineLevel="0" max="4" min="3" style="0" width="14"/>
    <col collapsed="false" customWidth="true" hidden="false" outlineLevel="0" max="5" min="5" style="0" width="22"/>
    <col collapsed="false" customWidth="true" hidden="false" outlineLevel="0" max="6" min="6" style="0" width="14"/>
    <col collapsed="false" customWidth="true" hidden="false" outlineLevel="0" max="7" min="7" style="0" width="11"/>
    <col collapsed="false" customWidth="true" hidden="false" outlineLevel="0" max="8" min="8" style="0" width="60"/>
    <col collapsed="false" customWidth="true" hidden="false" outlineLevel="0" max="9" min="9" style="0" width="11"/>
    <col collapsed="false" customWidth="true" hidden="false" outlineLevel="0" max="10" min="10" style="0" width="12"/>
  </cols>
  <sheetData>
    <row r="1" customFormat="false" ht="19.7" hidden="false" customHeight="false" outlineLevel="0" collapsed="false">
      <c r="A1" s="4" t="s">
        <v>884</v>
      </c>
    </row>
    <row r="2" customFormat="false" ht="15" hidden="false" customHeight="false" outlineLevel="0" collapsed="false">
      <c r="A2" s="5" t="s">
        <v>885</v>
      </c>
    </row>
    <row r="4" customFormat="false" ht="23.85" hidden="false" customHeight="false" outlineLevel="0" collapsed="false">
      <c r="A4" s="6" t="s">
        <v>886</v>
      </c>
      <c r="B4" s="6" t="s">
        <v>28</v>
      </c>
      <c r="C4" s="6" t="s">
        <v>410</v>
      </c>
      <c r="D4" s="6" t="s">
        <v>887</v>
      </c>
      <c r="E4" s="6" t="s">
        <v>389</v>
      </c>
      <c r="F4" s="6" t="s">
        <v>419</v>
      </c>
      <c r="G4" s="6" t="s">
        <v>418</v>
      </c>
      <c r="H4" s="6" t="s">
        <v>888</v>
      </c>
      <c r="I4" s="6" t="s">
        <v>421</v>
      </c>
      <c r="J4" s="6" t="s">
        <v>889</v>
      </c>
    </row>
    <row r="5" customFormat="false" ht="23.85" hidden="false" customHeight="false" outlineLevel="0" collapsed="false">
      <c r="A5" s="15" t="s">
        <v>890</v>
      </c>
      <c r="B5" s="15" t="s">
        <v>891</v>
      </c>
      <c r="C5" s="15" t="s">
        <v>439</v>
      </c>
      <c r="D5" s="15" t="s">
        <v>892</v>
      </c>
      <c r="E5" s="15" t="s">
        <v>893</v>
      </c>
      <c r="F5" s="15" t="s">
        <v>894</v>
      </c>
      <c r="G5" s="15" t="s">
        <v>78</v>
      </c>
      <c r="H5" s="15" t="s">
        <v>895</v>
      </c>
      <c r="I5" s="15"/>
      <c r="J5" s="15" t="n">
        <v>3</v>
      </c>
    </row>
  </sheetData>
  <autoFilter ref="A4:J5"/>
  <dataValidations count="1">
    <dataValidation allowBlank="true" errorStyle="stop" operator="between" showDropDown="false" showErrorMessage="false" showInputMessage="false" sqref="G5:G500" type="list">
      <formula1>"Pass,Fail,Blocked,Not run"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9"/>
    <col collapsed="false" customWidth="true" hidden="false" outlineLevel="0" max="3" min="3" style="0" width="22"/>
    <col collapsed="false" customWidth="true" hidden="false" outlineLevel="0" max="4" min="4" style="0" width="46"/>
    <col collapsed="false" customWidth="true" hidden="false" outlineLevel="0" max="5" min="5" style="0" width="15"/>
    <col collapsed="false" customWidth="true" hidden="false" outlineLevel="0" max="6" min="6" style="0" width="34"/>
    <col collapsed="false" customWidth="true" hidden="false" outlineLevel="0" max="7" min="7" style="0" width="16"/>
  </cols>
  <sheetData>
    <row r="1" customFormat="false" ht="19.7" hidden="false" customHeight="false" outlineLevel="0" collapsed="false">
      <c r="A1" s="4" t="s">
        <v>896</v>
      </c>
    </row>
    <row r="2" customFormat="false" ht="15" hidden="false" customHeight="false" outlineLevel="0" collapsed="false">
      <c r="A2" s="5" t="s">
        <v>897</v>
      </c>
    </row>
    <row r="4" customFormat="false" ht="15" hidden="false" customHeight="false" outlineLevel="0" collapsed="false">
      <c r="A4" s="6" t="s">
        <v>410</v>
      </c>
      <c r="B4" s="6" t="s">
        <v>27</v>
      </c>
      <c r="C4" s="6" t="s">
        <v>898</v>
      </c>
      <c r="D4" s="6" t="s">
        <v>412</v>
      </c>
      <c r="E4" s="6" t="s">
        <v>413</v>
      </c>
      <c r="F4" s="6" t="s">
        <v>899</v>
      </c>
      <c r="G4" s="6" t="s">
        <v>900</v>
      </c>
    </row>
    <row r="5" customFormat="false" ht="15" hidden="false" customHeight="false" outlineLevel="0" collapsed="false">
      <c r="A5" s="7" t="s">
        <v>423</v>
      </c>
      <c r="B5" s="7" t="s">
        <v>79</v>
      </c>
      <c r="C5" s="7" t="s">
        <v>424</v>
      </c>
      <c r="D5" s="7" t="s">
        <v>425</v>
      </c>
      <c r="E5" s="8" t="s">
        <v>73</v>
      </c>
      <c r="F5" s="7" t="s">
        <v>35</v>
      </c>
      <c r="G5" s="7" t="s">
        <v>901</v>
      </c>
    </row>
    <row r="6" customFormat="false" ht="23.85" hidden="false" customHeight="false" outlineLevel="0" collapsed="false">
      <c r="A6" s="7" t="s">
        <v>429</v>
      </c>
      <c r="B6" s="7" t="s">
        <v>79</v>
      </c>
      <c r="C6" s="7" t="s">
        <v>430</v>
      </c>
      <c r="D6" s="7" t="s">
        <v>431</v>
      </c>
      <c r="E6" s="8" t="s">
        <v>73</v>
      </c>
      <c r="F6" s="7" t="s">
        <v>35</v>
      </c>
      <c r="G6" s="7" t="s">
        <v>901</v>
      </c>
    </row>
    <row r="7" customFormat="false" ht="15" hidden="false" customHeight="false" outlineLevel="0" collapsed="false">
      <c r="A7" s="7" t="s">
        <v>434</v>
      </c>
      <c r="B7" s="7" t="s">
        <v>79</v>
      </c>
      <c r="C7" s="7" t="s">
        <v>435</v>
      </c>
      <c r="D7" s="7" t="s">
        <v>436</v>
      </c>
      <c r="E7" s="8" t="s">
        <v>73</v>
      </c>
      <c r="F7" s="7" t="s">
        <v>35</v>
      </c>
      <c r="G7" s="7" t="s">
        <v>901</v>
      </c>
    </row>
    <row r="8" customFormat="false" ht="23.85" hidden="false" customHeight="false" outlineLevel="0" collapsed="false">
      <c r="A8" s="7" t="s">
        <v>439</v>
      </c>
      <c r="B8" s="7" t="s">
        <v>79</v>
      </c>
      <c r="C8" s="7" t="s">
        <v>440</v>
      </c>
      <c r="D8" s="7" t="s">
        <v>441</v>
      </c>
      <c r="E8" s="8" t="s">
        <v>73</v>
      </c>
      <c r="F8" s="7" t="s">
        <v>35</v>
      </c>
      <c r="G8" s="7" t="s">
        <v>901</v>
      </c>
    </row>
    <row r="9" customFormat="false" ht="23.85" hidden="false" customHeight="false" outlineLevel="0" collapsed="false">
      <c r="A9" s="7" t="s">
        <v>444</v>
      </c>
      <c r="B9" s="7" t="s">
        <v>80</v>
      </c>
      <c r="C9" s="7" t="s">
        <v>445</v>
      </c>
      <c r="D9" s="7" t="s">
        <v>446</v>
      </c>
      <c r="E9" s="8" t="s">
        <v>73</v>
      </c>
      <c r="F9" s="7" t="s">
        <v>35</v>
      </c>
      <c r="G9" s="7" t="s">
        <v>901</v>
      </c>
    </row>
    <row r="10" customFormat="false" ht="15" hidden="false" customHeight="false" outlineLevel="0" collapsed="false">
      <c r="A10" s="7" t="s">
        <v>449</v>
      </c>
      <c r="B10" s="7" t="s">
        <v>80</v>
      </c>
      <c r="C10" s="7" t="s">
        <v>450</v>
      </c>
      <c r="D10" s="7" t="s">
        <v>451</v>
      </c>
      <c r="E10" s="8" t="s">
        <v>73</v>
      </c>
      <c r="F10" s="7" t="s">
        <v>35</v>
      </c>
      <c r="G10" s="7" t="s">
        <v>901</v>
      </c>
    </row>
    <row r="11" customFormat="false" ht="15" hidden="false" customHeight="false" outlineLevel="0" collapsed="false">
      <c r="A11" s="7" t="s">
        <v>454</v>
      </c>
      <c r="B11" s="7" t="s">
        <v>80</v>
      </c>
      <c r="C11" s="7" t="s">
        <v>455</v>
      </c>
      <c r="D11" s="7" t="s">
        <v>456</v>
      </c>
      <c r="E11" s="16" t="s">
        <v>457</v>
      </c>
      <c r="F11" s="7" t="s">
        <v>35</v>
      </c>
      <c r="G11" s="7" t="s">
        <v>1</v>
      </c>
    </row>
    <row r="12" customFormat="false" ht="23.85" hidden="false" customHeight="false" outlineLevel="0" collapsed="false">
      <c r="A12" s="7" t="s">
        <v>461</v>
      </c>
      <c r="B12" s="7" t="s">
        <v>81</v>
      </c>
      <c r="C12" s="7" t="s">
        <v>462</v>
      </c>
      <c r="D12" s="7" t="s">
        <v>463</v>
      </c>
      <c r="E12" s="8" t="s">
        <v>73</v>
      </c>
      <c r="F12" s="7" t="s">
        <v>35</v>
      </c>
      <c r="G12" s="7" t="s">
        <v>901</v>
      </c>
    </row>
    <row r="13" customFormat="false" ht="15" hidden="false" customHeight="false" outlineLevel="0" collapsed="false">
      <c r="A13" s="7" t="s">
        <v>466</v>
      </c>
      <c r="B13" s="7" t="s">
        <v>81</v>
      </c>
      <c r="C13" s="7" t="s">
        <v>467</v>
      </c>
      <c r="D13" s="7" t="s">
        <v>468</v>
      </c>
      <c r="E13" s="8" t="s">
        <v>73</v>
      </c>
      <c r="F13" s="7" t="s">
        <v>35</v>
      </c>
      <c r="G13" s="7" t="s">
        <v>901</v>
      </c>
    </row>
    <row r="14" customFormat="false" ht="15" hidden="false" customHeight="false" outlineLevel="0" collapsed="false">
      <c r="A14" s="7" t="s">
        <v>471</v>
      </c>
      <c r="B14" s="7" t="s">
        <v>81</v>
      </c>
      <c r="C14" s="7" t="s">
        <v>472</v>
      </c>
      <c r="D14" s="7" t="s">
        <v>473</v>
      </c>
      <c r="E14" s="8" t="s">
        <v>73</v>
      </c>
      <c r="F14" s="7" t="s">
        <v>35</v>
      </c>
      <c r="G14" s="7" t="s">
        <v>901</v>
      </c>
    </row>
    <row r="15" customFormat="false" ht="23.85" hidden="false" customHeight="false" outlineLevel="0" collapsed="false">
      <c r="A15" s="7" t="s">
        <v>477</v>
      </c>
      <c r="B15" s="7" t="s">
        <v>82</v>
      </c>
      <c r="C15" s="7" t="s">
        <v>478</v>
      </c>
      <c r="D15" s="7" t="s">
        <v>479</v>
      </c>
      <c r="E15" s="8" t="s">
        <v>73</v>
      </c>
      <c r="F15" s="7" t="s">
        <v>902</v>
      </c>
      <c r="G15" s="7" t="s">
        <v>901</v>
      </c>
    </row>
    <row r="16" customFormat="false" ht="23.85" hidden="false" customHeight="false" outlineLevel="0" collapsed="false">
      <c r="A16" s="7" t="s">
        <v>483</v>
      </c>
      <c r="B16" s="7" t="s">
        <v>82</v>
      </c>
      <c r="C16" s="7" t="s">
        <v>484</v>
      </c>
      <c r="D16" s="7" t="s">
        <v>485</v>
      </c>
      <c r="E16" s="8" t="s">
        <v>73</v>
      </c>
      <c r="F16" s="7" t="s">
        <v>35</v>
      </c>
      <c r="G16" s="7" t="s">
        <v>901</v>
      </c>
    </row>
    <row r="17" customFormat="false" ht="23.85" hidden="false" customHeight="false" outlineLevel="0" collapsed="false">
      <c r="A17" s="7" t="s">
        <v>488</v>
      </c>
      <c r="B17" s="7" t="s">
        <v>82</v>
      </c>
      <c r="C17" s="7" t="s">
        <v>489</v>
      </c>
      <c r="D17" s="7" t="s">
        <v>490</v>
      </c>
      <c r="E17" s="8" t="s">
        <v>73</v>
      </c>
      <c r="F17" s="7" t="s">
        <v>35</v>
      </c>
      <c r="G17" s="7" t="s">
        <v>901</v>
      </c>
    </row>
    <row r="18" customFormat="false" ht="23.85" hidden="false" customHeight="false" outlineLevel="0" collapsed="false">
      <c r="A18" s="7" t="s">
        <v>493</v>
      </c>
      <c r="B18" s="7" t="s">
        <v>82</v>
      </c>
      <c r="C18" s="7" t="s">
        <v>494</v>
      </c>
      <c r="D18" s="7" t="s">
        <v>495</v>
      </c>
      <c r="E18" s="9" t="s">
        <v>74</v>
      </c>
      <c r="F18" s="7" t="s">
        <v>35</v>
      </c>
      <c r="G18" s="7" t="s">
        <v>903</v>
      </c>
    </row>
    <row r="19" customFormat="false" ht="23.85" hidden="false" customHeight="false" outlineLevel="0" collapsed="false">
      <c r="A19" s="7" t="s">
        <v>499</v>
      </c>
      <c r="B19" s="7" t="s">
        <v>83</v>
      </c>
      <c r="C19" s="7" t="s">
        <v>500</v>
      </c>
      <c r="D19" s="7" t="s">
        <v>501</v>
      </c>
      <c r="E19" s="8" t="s">
        <v>73</v>
      </c>
      <c r="F19" s="7" t="s">
        <v>904</v>
      </c>
      <c r="G19" s="7" t="s">
        <v>901</v>
      </c>
    </row>
    <row r="20" customFormat="false" ht="23.85" hidden="false" customHeight="false" outlineLevel="0" collapsed="false">
      <c r="A20" s="7" t="s">
        <v>504</v>
      </c>
      <c r="B20" s="7" t="s">
        <v>83</v>
      </c>
      <c r="C20" s="7" t="s">
        <v>505</v>
      </c>
      <c r="D20" s="7" t="s">
        <v>506</v>
      </c>
      <c r="E20" s="8" t="s">
        <v>73</v>
      </c>
      <c r="F20" s="7" t="s">
        <v>35</v>
      </c>
      <c r="G20" s="7" t="s">
        <v>901</v>
      </c>
    </row>
    <row r="21" customFormat="false" ht="23.85" hidden="false" customHeight="false" outlineLevel="0" collapsed="false">
      <c r="A21" s="7" t="s">
        <v>509</v>
      </c>
      <c r="B21" s="7" t="s">
        <v>83</v>
      </c>
      <c r="C21" s="7" t="s">
        <v>510</v>
      </c>
      <c r="D21" s="7" t="s">
        <v>511</v>
      </c>
      <c r="E21" s="9" t="s">
        <v>74</v>
      </c>
      <c r="F21" s="7" t="s">
        <v>35</v>
      </c>
      <c r="G21" s="7" t="s">
        <v>903</v>
      </c>
    </row>
    <row r="22" customFormat="false" ht="15" hidden="false" customHeight="false" outlineLevel="0" collapsed="false">
      <c r="A22" s="7" t="s">
        <v>515</v>
      </c>
      <c r="B22" s="7" t="s">
        <v>84</v>
      </c>
      <c r="C22" s="7" t="s">
        <v>516</v>
      </c>
      <c r="D22" s="7" t="s">
        <v>517</v>
      </c>
      <c r="E22" s="8" t="s">
        <v>73</v>
      </c>
      <c r="F22" s="7" t="s">
        <v>35</v>
      </c>
      <c r="G22" s="7" t="s">
        <v>901</v>
      </c>
    </row>
    <row r="23" customFormat="false" ht="15" hidden="false" customHeight="false" outlineLevel="0" collapsed="false">
      <c r="A23" s="7" t="s">
        <v>520</v>
      </c>
      <c r="B23" s="7" t="s">
        <v>84</v>
      </c>
      <c r="C23" s="7" t="s">
        <v>516</v>
      </c>
      <c r="D23" s="7" t="s">
        <v>521</v>
      </c>
      <c r="E23" s="8" t="s">
        <v>73</v>
      </c>
      <c r="F23" s="7" t="s">
        <v>35</v>
      </c>
      <c r="G23" s="7" t="s">
        <v>901</v>
      </c>
    </row>
    <row r="24" customFormat="false" ht="23.85" hidden="false" customHeight="false" outlineLevel="0" collapsed="false">
      <c r="A24" s="7" t="s">
        <v>524</v>
      </c>
      <c r="B24" s="7" t="s">
        <v>84</v>
      </c>
      <c r="C24" s="7" t="s">
        <v>525</v>
      </c>
      <c r="D24" s="7" t="s">
        <v>526</v>
      </c>
      <c r="E24" s="9" t="s">
        <v>74</v>
      </c>
      <c r="F24" s="7" t="s">
        <v>35</v>
      </c>
      <c r="G24" s="7" t="s">
        <v>903</v>
      </c>
    </row>
    <row r="25" customFormat="false" ht="15" hidden="false" customHeight="false" outlineLevel="0" collapsed="false">
      <c r="A25" s="7" t="s">
        <v>529</v>
      </c>
      <c r="B25" s="7" t="s">
        <v>85</v>
      </c>
      <c r="C25" s="7" t="s">
        <v>530</v>
      </c>
      <c r="D25" s="7" t="s">
        <v>531</v>
      </c>
      <c r="E25" s="8" t="s">
        <v>73</v>
      </c>
      <c r="F25" s="7" t="s">
        <v>35</v>
      </c>
      <c r="G25" s="7" t="s">
        <v>901</v>
      </c>
    </row>
    <row r="26" customFormat="false" ht="15" hidden="false" customHeight="false" outlineLevel="0" collapsed="false">
      <c r="A26" s="7" t="s">
        <v>534</v>
      </c>
      <c r="B26" s="7" t="s">
        <v>85</v>
      </c>
      <c r="C26" s="7" t="s">
        <v>535</v>
      </c>
      <c r="D26" s="7" t="s">
        <v>536</v>
      </c>
      <c r="E26" s="8" t="s">
        <v>73</v>
      </c>
      <c r="F26" s="7" t="s">
        <v>35</v>
      </c>
      <c r="G26" s="7" t="s">
        <v>901</v>
      </c>
    </row>
    <row r="27" customFormat="false" ht="15" hidden="false" customHeight="false" outlineLevel="0" collapsed="false">
      <c r="A27" s="7" t="s">
        <v>539</v>
      </c>
      <c r="B27" s="7" t="s">
        <v>85</v>
      </c>
      <c r="C27" s="7" t="s">
        <v>540</v>
      </c>
      <c r="D27" s="7" t="s">
        <v>541</v>
      </c>
      <c r="E27" s="8" t="s">
        <v>73</v>
      </c>
      <c r="F27" s="7" t="s">
        <v>905</v>
      </c>
      <c r="G27" s="7" t="s">
        <v>901</v>
      </c>
    </row>
    <row r="28" customFormat="false" ht="23.85" hidden="false" customHeight="false" outlineLevel="0" collapsed="false">
      <c r="A28" s="7" t="s">
        <v>544</v>
      </c>
      <c r="B28" s="7" t="s">
        <v>85</v>
      </c>
      <c r="C28" s="7" t="s">
        <v>545</v>
      </c>
      <c r="D28" s="7" t="s">
        <v>546</v>
      </c>
      <c r="E28" s="8" t="s">
        <v>73</v>
      </c>
      <c r="F28" s="7" t="s">
        <v>35</v>
      </c>
      <c r="G28" s="7" t="s">
        <v>901</v>
      </c>
    </row>
    <row r="29" customFormat="false" ht="15" hidden="false" customHeight="false" outlineLevel="0" collapsed="false">
      <c r="A29" s="7" t="s">
        <v>549</v>
      </c>
      <c r="B29" s="7" t="s">
        <v>86</v>
      </c>
      <c r="C29" s="7" t="s">
        <v>550</v>
      </c>
      <c r="D29" s="7" t="s">
        <v>551</v>
      </c>
      <c r="E29" s="8" t="s">
        <v>73</v>
      </c>
      <c r="F29" s="7" t="s">
        <v>35</v>
      </c>
      <c r="G29" s="7" t="s">
        <v>901</v>
      </c>
    </row>
    <row r="30" customFormat="false" ht="15" hidden="false" customHeight="false" outlineLevel="0" collapsed="false">
      <c r="A30" s="7" t="s">
        <v>554</v>
      </c>
      <c r="B30" s="7" t="s">
        <v>86</v>
      </c>
      <c r="C30" s="7" t="s">
        <v>555</v>
      </c>
      <c r="D30" s="7" t="s">
        <v>556</v>
      </c>
      <c r="E30" s="8" t="s">
        <v>73</v>
      </c>
      <c r="F30" s="7" t="s">
        <v>35</v>
      </c>
      <c r="G30" s="7" t="s">
        <v>901</v>
      </c>
    </row>
    <row r="31" customFormat="false" ht="15" hidden="false" customHeight="false" outlineLevel="0" collapsed="false">
      <c r="A31" s="7" t="s">
        <v>559</v>
      </c>
      <c r="B31" s="7" t="s">
        <v>86</v>
      </c>
      <c r="C31" s="7" t="s">
        <v>560</v>
      </c>
      <c r="D31" s="7" t="s">
        <v>561</v>
      </c>
      <c r="E31" s="8" t="s">
        <v>73</v>
      </c>
      <c r="F31" s="7" t="s">
        <v>35</v>
      </c>
      <c r="G31" s="7" t="s">
        <v>901</v>
      </c>
    </row>
    <row r="32" customFormat="false" ht="15" hidden="false" customHeight="false" outlineLevel="0" collapsed="false">
      <c r="A32" s="7" t="s">
        <v>564</v>
      </c>
      <c r="B32" s="7" t="s">
        <v>86</v>
      </c>
      <c r="C32" s="7" t="s">
        <v>565</v>
      </c>
      <c r="D32" s="7" t="s">
        <v>566</v>
      </c>
      <c r="E32" s="8" t="s">
        <v>73</v>
      </c>
      <c r="F32" s="7" t="s">
        <v>35</v>
      </c>
      <c r="G32" s="7" t="s">
        <v>901</v>
      </c>
    </row>
    <row r="33" customFormat="false" ht="15" hidden="false" customHeight="false" outlineLevel="0" collapsed="false">
      <c r="A33" s="7" t="s">
        <v>569</v>
      </c>
      <c r="B33" s="7" t="s">
        <v>87</v>
      </c>
      <c r="C33" s="7" t="s">
        <v>570</v>
      </c>
      <c r="D33" s="7" t="s">
        <v>571</v>
      </c>
      <c r="E33" s="8" t="s">
        <v>73</v>
      </c>
      <c r="F33" s="7" t="s">
        <v>35</v>
      </c>
      <c r="G33" s="7" t="s">
        <v>901</v>
      </c>
    </row>
    <row r="34" customFormat="false" ht="15" hidden="false" customHeight="false" outlineLevel="0" collapsed="false">
      <c r="A34" s="7" t="s">
        <v>574</v>
      </c>
      <c r="B34" s="7" t="s">
        <v>87</v>
      </c>
      <c r="C34" s="7" t="s">
        <v>575</v>
      </c>
      <c r="D34" s="7" t="s">
        <v>576</v>
      </c>
      <c r="E34" s="8" t="s">
        <v>73</v>
      </c>
      <c r="F34" s="7" t="s">
        <v>35</v>
      </c>
      <c r="G34" s="7" t="s">
        <v>901</v>
      </c>
    </row>
    <row r="35" customFormat="false" ht="15" hidden="false" customHeight="false" outlineLevel="0" collapsed="false">
      <c r="A35" s="7" t="s">
        <v>579</v>
      </c>
      <c r="B35" s="7" t="s">
        <v>87</v>
      </c>
      <c r="C35" s="7" t="s">
        <v>580</v>
      </c>
      <c r="D35" s="7" t="s">
        <v>581</v>
      </c>
      <c r="E35" s="8" t="s">
        <v>73</v>
      </c>
      <c r="F35" s="7" t="s">
        <v>35</v>
      </c>
      <c r="G35" s="7" t="s">
        <v>901</v>
      </c>
    </row>
    <row r="36" customFormat="false" ht="15" hidden="false" customHeight="false" outlineLevel="0" collapsed="false">
      <c r="A36" s="7" t="s">
        <v>584</v>
      </c>
      <c r="B36" s="7" t="s">
        <v>88</v>
      </c>
      <c r="C36" s="7" t="s">
        <v>585</v>
      </c>
      <c r="D36" s="7" t="s">
        <v>586</v>
      </c>
      <c r="E36" s="8" t="s">
        <v>73</v>
      </c>
      <c r="F36" s="7" t="s">
        <v>902</v>
      </c>
      <c r="G36" s="7" t="s">
        <v>901</v>
      </c>
    </row>
    <row r="37" customFormat="false" ht="15" hidden="false" customHeight="false" outlineLevel="0" collapsed="false">
      <c r="A37" s="7" t="s">
        <v>589</v>
      </c>
      <c r="B37" s="7" t="s">
        <v>88</v>
      </c>
      <c r="C37" s="7" t="s">
        <v>590</v>
      </c>
      <c r="D37" s="7" t="s">
        <v>591</v>
      </c>
      <c r="E37" s="8" t="s">
        <v>73</v>
      </c>
      <c r="F37" s="7" t="s">
        <v>35</v>
      </c>
      <c r="G37" s="7" t="s">
        <v>901</v>
      </c>
    </row>
    <row r="38" customFormat="false" ht="15" hidden="false" customHeight="false" outlineLevel="0" collapsed="false">
      <c r="A38" s="7" t="s">
        <v>594</v>
      </c>
      <c r="B38" s="7" t="s">
        <v>89</v>
      </c>
      <c r="C38" s="7" t="s">
        <v>595</v>
      </c>
      <c r="D38" s="7" t="s">
        <v>596</v>
      </c>
      <c r="E38" s="8" t="s">
        <v>73</v>
      </c>
      <c r="F38" s="7" t="s">
        <v>35</v>
      </c>
      <c r="G38" s="7" t="s">
        <v>901</v>
      </c>
    </row>
    <row r="39" customFormat="false" ht="15" hidden="false" customHeight="false" outlineLevel="0" collapsed="false">
      <c r="A39" s="7" t="s">
        <v>599</v>
      </c>
      <c r="B39" s="7" t="s">
        <v>89</v>
      </c>
      <c r="C39" s="7" t="s">
        <v>600</v>
      </c>
      <c r="D39" s="7" t="s">
        <v>601</v>
      </c>
      <c r="E39" s="8" t="s">
        <v>73</v>
      </c>
      <c r="F39" s="7" t="s">
        <v>35</v>
      </c>
      <c r="G39" s="7" t="s">
        <v>901</v>
      </c>
    </row>
    <row r="40" customFormat="false" ht="23.85" hidden="false" customHeight="false" outlineLevel="0" collapsed="false">
      <c r="A40" s="7" t="s">
        <v>604</v>
      </c>
      <c r="B40" s="7" t="s">
        <v>89</v>
      </c>
      <c r="C40" s="7" t="s">
        <v>605</v>
      </c>
      <c r="D40" s="7" t="s">
        <v>606</v>
      </c>
      <c r="E40" s="8" t="s">
        <v>73</v>
      </c>
      <c r="F40" s="7" t="s">
        <v>906</v>
      </c>
      <c r="G40" s="7" t="s">
        <v>901</v>
      </c>
    </row>
    <row r="41" customFormat="false" ht="23.85" hidden="false" customHeight="false" outlineLevel="0" collapsed="false">
      <c r="A41" s="7" t="s">
        <v>609</v>
      </c>
      <c r="B41" s="7" t="s">
        <v>89</v>
      </c>
      <c r="C41" s="7" t="s">
        <v>610</v>
      </c>
      <c r="D41" s="7" t="s">
        <v>611</v>
      </c>
      <c r="E41" s="8" t="s">
        <v>73</v>
      </c>
      <c r="F41" s="7" t="s">
        <v>35</v>
      </c>
      <c r="G41" s="7" t="s">
        <v>901</v>
      </c>
    </row>
    <row r="42" customFormat="false" ht="23.85" hidden="false" customHeight="false" outlineLevel="0" collapsed="false">
      <c r="A42" s="7" t="s">
        <v>614</v>
      </c>
      <c r="B42" s="7" t="s">
        <v>90</v>
      </c>
      <c r="C42" s="7" t="s">
        <v>615</v>
      </c>
      <c r="D42" s="7" t="s">
        <v>616</v>
      </c>
      <c r="E42" s="8" t="s">
        <v>73</v>
      </c>
      <c r="F42" s="7" t="s">
        <v>35</v>
      </c>
      <c r="G42" s="7" t="s">
        <v>901</v>
      </c>
    </row>
    <row r="43" customFormat="false" ht="23.85" hidden="false" customHeight="false" outlineLevel="0" collapsed="false">
      <c r="A43" s="7" t="s">
        <v>619</v>
      </c>
      <c r="B43" s="7" t="s">
        <v>90</v>
      </c>
      <c r="C43" s="7" t="s">
        <v>620</v>
      </c>
      <c r="D43" s="7" t="s">
        <v>621</v>
      </c>
      <c r="E43" s="8" t="s">
        <v>73</v>
      </c>
      <c r="F43" s="7" t="s">
        <v>906</v>
      </c>
      <c r="G43" s="7" t="s">
        <v>901</v>
      </c>
    </row>
    <row r="44" customFormat="false" ht="15" hidden="false" customHeight="false" outlineLevel="0" collapsed="false">
      <c r="A44" s="7" t="s">
        <v>624</v>
      </c>
      <c r="B44" s="7" t="s">
        <v>90</v>
      </c>
      <c r="C44" s="7" t="s">
        <v>625</v>
      </c>
      <c r="D44" s="7" t="s">
        <v>626</v>
      </c>
      <c r="E44" s="8" t="s">
        <v>73</v>
      </c>
      <c r="F44" s="7" t="s">
        <v>35</v>
      </c>
      <c r="G44" s="7" t="s">
        <v>901</v>
      </c>
    </row>
    <row r="45" customFormat="false" ht="23.85" hidden="false" customHeight="false" outlineLevel="0" collapsed="false">
      <c r="A45" s="7" t="s">
        <v>629</v>
      </c>
      <c r="B45" s="7" t="s">
        <v>91</v>
      </c>
      <c r="C45" s="7" t="s">
        <v>630</v>
      </c>
      <c r="D45" s="7" t="s">
        <v>631</v>
      </c>
      <c r="E45" s="8" t="s">
        <v>73</v>
      </c>
      <c r="F45" s="7" t="s">
        <v>906</v>
      </c>
      <c r="G45" s="7" t="s">
        <v>901</v>
      </c>
    </row>
    <row r="46" customFormat="false" ht="15" hidden="false" customHeight="false" outlineLevel="0" collapsed="false">
      <c r="A46" s="7" t="s">
        <v>634</v>
      </c>
      <c r="B46" s="7" t="s">
        <v>91</v>
      </c>
      <c r="C46" s="7" t="s">
        <v>635</v>
      </c>
      <c r="D46" s="7" t="s">
        <v>636</v>
      </c>
      <c r="E46" s="8" t="s">
        <v>73</v>
      </c>
      <c r="F46" s="7" t="s">
        <v>35</v>
      </c>
      <c r="G46" s="7" t="s">
        <v>901</v>
      </c>
    </row>
    <row r="47" customFormat="false" ht="15" hidden="false" customHeight="false" outlineLevel="0" collapsed="false">
      <c r="A47" s="7" t="s">
        <v>639</v>
      </c>
      <c r="B47" s="7" t="s">
        <v>91</v>
      </c>
      <c r="C47" s="7" t="s">
        <v>640</v>
      </c>
      <c r="D47" s="7" t="s">
        <v>641</v>
      </c>
      <c r="E47" s="8" t="s">
        <v>73</v>
      </c>
      <c r="F47" s="7" t="s">
        <v>35</v>
      </c>
      <c r="G47" s="7" t="s">
        <v>901</v>
      </c>
    </row>
    <row r="48" customFormat="false" ht="15" hidden="false" customHeight="false" outlineLevel="0" collapsed="false">
      <c r="A48" s="7" t="s">
        <v>644</v>
      </c>
      <c r="B48" s="7" t="s">
        <v>92</v>
      </c>
      <c r="C48" s="7" t="s">
        <v>645</v>
      </c>
      <c r="D48" s="7" t="s">
        <v>646</v>
      </c>
      <c r="E48" s="8" t="s">
        <v>73</v>
      </c>
      <c r="F48" s="7" t="s">
        <v>35</v>
      </c>
      <c r="G48" s="7" t="s">
        <v>901</v>
      </c>
    </row>
    <row r="49" customFormat="false" ht="23.85" hidden="false" customHeight="false" outlineLevel="0" collapsed="false">
      <c r="A49" s="7" t="s">
        <v>649</v>
      </c>
      <c r="B49" s="7" t="s">
        <v>92</v>
      </c>
      <c r="C49" s="7" t="s">
        <v>645</v>
      </c>
      <c r="D49" s="7" t="s">
        <v>650</v>
      </c>
      <c r="E49" s="8" t="s">
        <v>73</v>
      </c>
      <c r="F49" s="7" t="s">
        <v>35</v>
      </c>
      <c r="G49" s="7" t="s">
        <v>901</v>
      </c>
    </row>
    <row r="50" customFormat="false" ht="15" hidden="false" customHeight="false" outlineLevel="0" collapsed="false">
      <c r="A50" s="7" t="s">
        <v>653</v>
      </c>
      <c r="B50" s="7" t="s">
        <v>93</v>
      </c>
      <c r="C50" s="7" t="s">
        <v>654</v>
      </c>
      <c r="D50" s="7" t="s">
        <v>655</v>
      </c>
      <c r="E50" s="8" t="s">
        <v>73</v>
      </c>
      <c r="F50" s="7" t="s">
        <v>907</v>
      </c>
      <c r="G50" s="7" t="s">
        <v>901</v>
      </c>
    </row>
    <row r="51" customFormat="false" ht="15" hidden="false" customHeight="false" outlineLevel="0" collapsed="false">
      <c r="A51" s="7" t="s">
        <v>658</v>
      </c>
      <c r="B51" s="7" t="s">
        <v>93</v>
      </c>
      <c r="C51" s="7" t="s">
        <v>659</v>
      </c>
      <c r="D51" s="7" t="s">
        <v>660</v>
      </c>
      <c r="E51" s="8" t="s">
        <v>73</v>
      </c>
      <c r="F51" s="7" t="s">
        <v>35</v>
      </c>
      <c r="G51" s="7" t="s">
        <v>901</v>
      </c>
    </row>
    <row r="52" customFormat="false" ht="15" hidden="false" customHeight="false" outlineLevel="0" collapsed="false">
      <c r="A52" s="7" t="s">
        <v>663</v>
      </c>
      <c r="B52" s="7" t="s">
        <v>94</v>
      </c>
      <c r="C52" s="7" t="s">
        <v>664</v>
      </c>
      <c r="D52" s="7" t="s">
        <v>665</v>
      </c>
      <c r="E52" s="8" t="s">
        <v>73</v>
      </c>
      <c r="F52" s="7" t="s">
        <v>907</v>
      </c>
      <c r="G52" s="7" t="s">
        <v>901</v>
      </c>
    </row>
    <row r="53" customFormat="false" ht="23.85" hidden="false" customHeight="false" outlineLevel="0" collapsed="false">
      <c r="A53" s="7" t="s">
        <v>668</v>
      </c>
      <c r="B53" s="7" t="s">
        <v>95</v>
      </c>
      <c r="C53" s="7" t="s">
        <v>669</v>
      </c>
      <c r="D53" s="7" t="s">
        <v>670</v>
      </c>
      <c r="E53" s="8" t="s">
        <v>73</v>
      </c>
      <c r="F53" s="7" t="s">
        <v>35</v>
      </c>
      <c r="G53" s="7" t="s">
        <v>901</v>
      </c>
    </row>
    <row r="54" customFormat="false" ht="15" hidden="false" customHeight="false" outlineLevel="0" collapsed="false">
      <c r="A54" s="7" t="s">
        <v>673</v>
      </c>
      <c r="B54" s="7" t="s">
        <v>96</v>
      </c>
      <c r="C54" s="7" t="s">
        <v>674</v>
      </c>
      <c r="D54" s="7" t="s">
        <v>675</v>
      </c>
      <c r="E54" s="8" t="s">
        <v>73</v>
      </c>
      <c r="F54" s="7" t="s">
        <v>35</v>
      </c>
      <c r="G54" s="7" t="s">
        <v>901</v>
      </c>
    </row>
    <row r="55" customFormat="false" ht="15" hidden="false" customHeight="false" outlineLevel="0" collapsed="false">
      <c r="A55" s="7" t="s">
        <v>678</v>
      </c>
      <c r="B55" s="7" t="s">
        <v>96</v>
      </c>
      <c r="C55" s="7" t="s">
        <v>679</v>
      </c>
      <c r="D55" s="7" t="s">
        <v>680</v>
      </c>
      <c r="E55" s="8" t="s">
        <v>73</v>
      </c>
      <c r="F55" s="7" t="s">
        <v>35</v>
      </c>
      <c r="G55" s="7" t="s">
        <v>901</v>
      </c>
    </row>
    <row r="56" customFormat="false" ht="23.85" hidden="false" customHeight="false" outlineLevel="0" collapsed="false">
      <c r="A56" s="7" t="s">
        <v>683</v>
      </c>
      <c r="B56" s="7" t="s">
        <v>97</v>
      </c>
      <c r="C56" s="7" t="s">
        <v>684</v>
      </c>
      <c r="D56" s="7" t="s">
        <v>685</v>
      </c>
      <c r="E56" s="16" t="s">
        <v>457</v>
      </c>
      <c r="F56" s="7" t="s">
        <v>35</v>
      </c>
      <c r="G56" s="7" t="s">
        <v>1</v>
      </c>
    </row>
    <row r="57" customFormat="false" ht="23.85" hidden="false" customHeight="false" outlineLevel="0" collapsed="false">
      <c r="A57" s="7" t="s">
        <v>689</v>
      </c>
      <c r="B57" s="7" t="s">
        <v>98</v>
      </c>
      <c r="C57" s="7" t="s">
        <v>690</v>
      </c>
      <c r="D57" s="7" t="s">
        <v>691</v>
      </c>
      <c r="E57" s="8" t="s">
        <v>73</v>
      </c>
      <c r="F57" s="7" t="s">
        <v>35</v>
      </c>
      <c r="G57" s="7" t="s">
        <v>901</v>
      </c>
    </row>
    <row r="58" customFormat="false" ht="23.85" hidden="false" customHeight="false" outlineLevel="0" collapsed="false">
      <c r="A58" s="7" t="s">
        <v>694</v>
      </c>
      <c r="B58" s="7" t="s">
        <v>98</v>
      </c>
      <c r="C58" s="7" t="s">
        <v>695</v>
      </c>
      <c r="D58" s="7" t="s">
        <v>696</v>
      </c>
      <c r="E58" s="9" t="s">
        <v>74</v>
      </c>
      <c r="F58" s="7" t="s">
        <v>35</v>
      </c>
      <c r="G58" s="7" t="s">
        <v>903</v>
      </c>
    </row>
    <row r="59" customFormat="false" ht="23.85" hidden="false" customHeight="false" outlineLevel="0" collapsed="false">
      <c r="A59" s="7" t="s">
        <v>700</v>
      </c>
      <c r="B59" s="7" t="s">
        <v>99</v>
      </c>
      <c r="C59" s="7" t="s">
        <v>701</v>
      </c>
      <c r="D59" s="7" t="s">
        <v>702</v>
      </c>
      <c r="E59" s="8" t="s">
        <v>73</v>
      </c>
      <c r="F59" s="7" t="s">
        <v>35</v>
      </c>
      <c r="G59" s="7" t="s">
        <v>901</v>
      </c>
    </row>
    <row r="60" customFormat="false" ht="23.85" hidden="false" customHeight="false" outlineLevel="0" collapsed="false">
      <c r="A60" s="7" t="s">
        <v>705</v>
      </c>
      <c r="B60" s="7" t="s">
        <v>99</v>
      </c>
      <c r="C60" s="7" t="s">
        <v>701</v>
      </c>
      <c r="D60" s="7" t="s">
        <v>706</v>
      </c>
      <c r="E60" s="9" t="s">
        <v>74</v>
      </c>
      <c r="F60" s="7" t="s">
        <v>35</v>
      </c>
      <c r="G60" s="7" t="s">
        <v>903</v>
      </c>
    </row>
    <row r="61" customFormat="false" ht="15" hidden="false" customHeight="false" outlineLevel="0" collapsed="false">
      <c r="A61" s="7" t="s">
        <v>710</v>
      </c>
      <c r="B61" s="7" t="s">
        <v>100</v>
      </c>
      <c r="C61" s="7" t="s">
        <v>711</v>
      </c>
      <c r="D61" s="7" t="s">
        <v>712</v>
      </c>
      <c r="E61" s="8" t="s">
        <v>73</v>
      </c>
      <c r="F61" s="7" t="s">
        <v>908</v>
      </c>
      <c r="G61" s="7" t="s">
        <v>901</v>
      </c>
    </row>
    <row r="62" customFormat="false" ht="15" hidden="false" customHeight="false" outlineLevel="0" collapsed="false">
      <c r="A62" s="7" t="s">
        <v>715</v>
      </c>
      <c r="B62" s="7" t="s">
        <v>100</v>
      </c>
      <c r="C62" s="7" t="s">
        <v>716</v>
      </c>
      <c r="D62" s="7" t="s">
        <v>717</v>
      </c>
      <c r="E62" s="8" t="s">
        <v>73</v>
      </c>
      <c r="F62" s="7" t="s">
        <v>35</v>
      </c>
      <c r="G62" s="7" t="s">
        <v>901</v>
      </c>
    </row>
    <row r="63" customFormat="false" ht="23.85" hidden="false" customHeight="false" outlineLevel="0" collapsed="false">
      <c r="A63" s="7" t="s">
        <v>720</v>
      </c>
      <c r="B63" s="7" t="s">
        <v>101</v>
      </c>
      <c r="C63" s="7" t="s">
        <v>721</v>
      </c>
      <c r="D63" s="7" t="s">
        <v>722</v>
      </c>
      <c r="E63" s="8" t="s">
        <v>73</v>
      </c>
      <c r="F63" s="7" t="s">
        <v>909</v>
      </c>
      <c r="G63" s="7" t="s">
        <v>901</v>
      </c>
    </row>
    <row r="64" customFormat="false" ht="23.85" hidden="false" customHeight="false" outlineLevel="0" collapsed="false">
      <c r="A64" s="7" t="s">
        <v>724</v>
      </c>
      <c r="B64" s="7" t="s">
        <v>102</v>
      </c>
      <c r="C64" s="7" t="s">
        <v>725</v>
      </c>
      <c r="D64" s="7" t="s">
        <v>726</v>
      </c>
      <c r="E64" s="8" t="s">
        <v>73</v>
      </c>
      <c r="F64" s="7" t="s">
        <v>910</v>
      </c>
      <c r="G64" s="7" t="s">
        <v>901</v>
      </c>
    </row>
    <row r="65" customFormat="false" ht="15" hidden="false" customHeight="false" outlineLevel="0" collapsed="false">
      <c r="A65" s="7" t="s">
        <v>729</v>
      </c>
      <c r="B65" s="7" t="s">
        <v>102</v>
      </c>
      <c r="C65" s="7" t="s">
        <v>725</v>
      </c>
      <c r="D65" s="7" t="s">
        <v>730</v>
      </c>
      <c r="E65" s="8" t="s">
        <v>73</v>
      </c>
      <c r="F65" s="7" t="s">
        <v>910</v>
      </c>
      <c r="G65" s="7" t="s">
        <v>901</v>
      </c>
    </row>
    <row r="66" customFormat="false" ht="23.85" hidden="false" customHeight="false" outlineLevel="0" collapsed="false">
      <c r="A66" s="7" t="s">
        <v>733</v>
      </c>
      <c r="B66" s="7" t="s">
        <v>103</v>
      </c>
      <c r="C66" s="7" t="s">
        <v>734</v>
      </c>
      <c r="D66" s="7" t="s">
        <v>735</v>
      </c>
      <c r="E66" s="8" t="s">
        <v>73</v>
      </c>
      <c r="F66" s="7" t="s">
        <v>909</v>
      </c>
      <c r="G66" s="7" t="s">
        <v>901</v>
      </c>
    </row>
    <row r="67" customFormat="false" ht="15" hidden="false" customHeight="false" outlineLevel="0" collapsed="false">
      <c r="A67" s="7" t="s">
        <v>738</v>
      </c>
      <c r="B67" s="7" t="s">
        <v>104</v>
      </c>
      <c r="C67" s="7" t="s">
        <v>739</v>
      </c>
      <c r="D67" s="7" t="s">
        <v>740</v>
      </c>
      <c r="E67" s="8" t="s">
        <v>73</v>
      </c>
      <c r="F67" s="7" t="s">
        <v>35</v>
      </c>
      <c r="G67" s="7" t="s">
        <v>901</v>
      </c>
    </row>
    <row r="68" customFormat="false" ht="23.85" hidden="false" customHeight="false" outlineLevel="0" collapsed="false">
      <c r="A68" s="7" t="s">
        <v>743</v>
      </c>
      <c r="B68" s="7" t="s">
        <v>104</v>
      </c>
      <c r="C68" s="7" t="s">
        <v>744</v>
      </c>
      <c r="D68" s="7" t="s">
        <v>745</v>
      </c>
      <c r="E68" s="8" t="s">
        <v>73</v>
      </c>
      <c r="F68" s="7" t="s">
        <v>35</v>
      </c>
      <c r="G68" s="7" t="s">
        <v>901</v>
      </c>
    </row>
    <row r="69" customFormat="false" ht="15" hidden="false" customHeight="false" outlineLevel="0" collapsed="false">
      <c r="A69" s="7" t="s">
        <v>748</v>
      </c>
      <c r="B69" s="7" t="s">
        <v>104</v>
      </c>
      <c r="C69" s="7" t="s">
        <v>749</v>
      </c>
      <c r="D69" s="7" t="s">
        <v>750</v>
      </c>
      <c r="E69" s="8" t="s">
        <v>73</v>
      </c>
      <c r="F69" s="7" t="s">
        <v>35</v>
      </c>
      <c r="G69" s="7" t="s">
        <v>901</v>
      </c>
    </row>
    <row r="70" customFormat="false" ht="15" hidden="false" customHeight="false" outlineLevel="0" collapsed="false">
      <c r="A70" s="7" t="s">
        <v>753</v>
      </c>
      <c r="B70" s="7" t="s">
        <v>104</v>
      </c>
      <c r="C70" s="7" t="s">
        <v>754</v>
      </c>
      <c r="D70" s="7" t="s">
        <v>755</v>
      </c>
      <c r="E70" s="8" t="s">
        <v>73</v>
      </c>
      <c r="F70" s="7" t="s">
        <v>911</v>
      </c>
      <c r="G70" s="7" t="s">
        <v>901</v>
      </c>
    </row>
    <row r="71" customFormat="false" ht="15" hidden="false" customHeight="false" outlineLevel="0" collapsed="false">
      <c r="A71" s="7" t="s">
        <v>758</v>
      </c>
      <c r="B71" s="7" t="s">
        <v>104</v>
      </c>
      <c r="C71" s="7" t="s">
        <v>759</v>
      </c>
      <c r="D71" s="7" t="s">
        <v>760</v>
      </c>
      <c r="E71" s="8" t="s">
        <v>73</v>
      </c>
      <c r="F71" s="7" t="s">
        <v>912</v>
      </c>
      <c r="G71" s="7" t="s">
        <v>901</v>
      </c>
    </row>
    <row r="72" customFormat="false" ht="15" hidden="false" customHeight="false" outlineLevel="0" collapsed="false">
      <c r="A72" s="7" t="s">
        <v>764</v>
      </c>
      <c r="B72" s="7" t="s">
        <v>104</v>
      </c>
      <c r="C72" s="7" t="s">
        <v>765</v>
      </c>
      <c r="D72" s="7" t="s">
        <v>766</v>
      </c>
      <c r="E72" s="8" t="s">
        <v>73</v>
      </c>
      <c r="F72" s="7" t="s">
        <v>912</v>
      </c>
      <c r="G72" s="7" t="s">
        <v>901</v>
      </c>
    </row>
    <row r="73" customFormat="false" ht="15" hidden="false" customHeight="false" outlineLevel="0" collapsed="false">
      <c r="A73" s="7" t="s">
        <v>770</v>
      </c>
      <c r="B73" s="7" t="s">
        <v>105</v>
      </c>
      <c r="C73" s="7" t="s">
        <v>771</v>
      </c>
      <c r="D73" s="7" t="s">
        <v>772</v>
      </c>
      <c r="E73" s="8" t="s">
        <v>73</v>
      </c>
      <c r="F73" s="7" t="s">
        <v>913</v>
      </c>
      <c r="G73" s="7" t="s">
        <v>901</v>
      </c>
    </row>
    <row r="74" customFormat="false" ht="23.85" hidden="false" customHeight="false" outlineLevel="0" collapsed="false">
      <c r="A74" s="7" t="s">
        <v>775</v>
      </c>
      <c r="B74" s="7" t="s">
        <v>105</v>
      </c>
      <c r="C74" s="7" t="s">
        <v>776</v>
      </c>
      <c r="D74" s="7" t="s">
        <v>777</v>
      </c>
      <c r="E74" s="8" t="s">
        <v>73</v>
      </c>
      <c r="F74" s="7" t="s">
        <v>35</v>
      </c>
      <c r="G74" s="7" t="s">
        <v>901</v>
      </c>
    </row>
    <row r="75" customFormat="false" ht="15" hidden="false" customHeight="false" outlineLevel="0" collapsed="false">
      <c r="A75" s="7" t="s">
        <v>780</v>
      </c>
      <c r="B75" s="7" t="s">
        <v>106</v>
      </c>
      <c r="C75" s="7" t="s">
        <v>781</v>
      </c>
      <c r="D75" s="7" t="s">
        <v>782</v>
      </c>
      <c r="E75" s="8" t="s">
        <v>73</v>
      </c>
      <c r="F75" s="7" t="s">
        <v>914</v>
      </c>
      <c r="G75" s="7" t="s">
        <v>901</v>
      </c>
    </row>
    <row r="76" customFormat="false" ht="15" hidden="false" customHeight="false" outlineLevel="0" collapsed="false">
      <c r="A76" s="7" t="s">
        <v>785</v>
      </c>
      <c r="B76" s="7" t="s">
        <v>106</v>
      </c>
      <c r="C76" s="7" t="s">
        <v>786</v>
      </c>
      <c r="D76" s="7" t="s">
        <v>787</v>
      </c>
      <c r="E76" s="8" t="s">
        <v>73</v>
      </c>
      <c r="F76" s="7" t="s">
        <v>914</v>
      </c>
      <c r="G76" s="7" t="s">
        <v>901</v>
      </c>
    </row>
    <row r="77" customFormat="false" ht="23.85" hidden="false" customHeight="false" outlineLevel="0" collapsed="false">
      <c r="A77" s="7" t="s">
        <v>790</v>
      </c>
      <c r="B77" s="7" t="s">
        <v>106</v>
      </c>
      <c r="C77" s="7" t="s">
        <v>791</v>
      </c>
      <c r="D77" s="7" t="s">
        <v>792</v>
      </c>
      <c r="E77" s="8" t="s">
        <v>73</v>
      </c>
      <c r="F77" s="7" t="s">
        <v>915</v>
      </c>
      <c r="G77" s="7" t="s">
        <v>901</v>
      </c>
    </row>
    <row r="78" customFormat="false" ht="23.85" hidden="false" customHeight="false" outlineLevel="0" collapsed="false">
      <c r="A78" s="7" t="s">
        <v>795</v>
      </c>
      <c r="B78" s="7" t="s">
        <v>106</v>
      </c>
      <c r="C78" s="7" t="s">
        <v>791</v>
      </c>
      <c r="D78" s="7" t="s">
        <v>796</v>
      </c>
      <c r="E78" s="8" t="s">
        <v>73</v>
      </c>
      <c r="F78" s="7" t="s">
        <v>915</v>
      </c>
      <c r="G78" s="7" t="s">
        <v>901</v>
      </c>
    </row>
    <row r="79" customFormat="false" ht="23.85" hidden="false" customHeight="false" outlineLevel="0" collapsed="false">
      <c r="A79" s="7" t="s">
        <v>799</v>
      </c>
      <c r="B79" s="7" t="s">
        <v>106</v>
      </c>
      <c r="C79" s="7" t="s">
        <v>800</v>
      </c>
      <c r="D79" s="7" t="s">
        <v>801</v>
      </c>
      <c r="E79" s="8" t="s">
        <v>73</v>
      </c>
      <c r="F79" s="7" t="s">
        <v>915</v>
      </c>
      <c r="G79" s="7" t="s">
        <v>901</v>
      </c>
    </row>
    <row r="80" customFormat="false" ht="23.85" hidden="false" customHeight="false" outlineLevel="0" collapsed="false">
      <c r="A80" s="7" t="s">
        <v>804</v>
      </c>
      <c r="B80" s="7" t="s">
        <v>106</v>
      </c>
      <c r="C80" s="7" t="s">
        <v>805</v>
      </c>
      <c r="D80" s="7" t="s">
        <v>806</v>
      </c>
      <c r="E80" s="8" t="s">
        <v>73</v>
      </c>
      <c r="F80" s="7" t="s">
        <v>915</v>
      </c>
      <c r="G80" s="7" t="s">
        <v>901</v>
      </c>
    </row>
    <row r="81" customFormat="false" ht="23.85" hidden="false" customHeight="false" outlineLevel="0" collapsed="false">
      <c r="A81" s="7" t="s">
        <v>809</v>
      </c>
      <c r="B81" s="7" t="s">
        <v>106</v>
      </c>
      <c r="C81" s="7" t="s">
        <v>810</v>
      </c>
      <c r="D81" s="7" t="s">
        <v>811</v>
      </c>
      <c r="E81" s="8" t="s">
        <v>73</v>
      </c>
      <c r="F81" s="7" t="s">
        <v>916</v>
      </c>
      <c r="G81" s="7" t="s">
        <v>901</v>
      </c>
    </row>
    <row r="82" customFormat="false" ht="15" hidden="false" customHeight="false" outlineLevel="0" collapsed="false">
      <c r="A82" s="7" t="s">
        <v>814</v>
      </c>
      <c r="B82" s="7" t="s">
        <v>106</v>
      </c>
      <c r="C82" s="7" t="s">
        <v>815</v>
      </c>
      <c r="D82" s="7" t="s">
        <v>816</v>
      </c>
      <c r="E82" s="8" t="s">
        <v>73</v>
      </c>
      <c r="F82" s="7" t="s">
        <v>916</v>
      </c>
      <c r="G82" s="7" t="s">
        <v>901</v>
      </c>
    </row>
    <row r="83" customFormat="false" ht="23.85" hidden="false" customHeight="false" outlineLevel="0" collapsed="false">
      <c r="A83" s="7" t="s">
        <v>819</v>
      </c>
      <c r="B83" s="7" t="s">
        <v>106</v>
      </c>
      <c r="C83" s="7" t="s">
        <v>820</v>
      </c>
      <c r="D83" s="7" t="s">
        <v>821</v>
      </c>
      <c r="E83" s="8" t="s">
        <v>73</v>
      </c>
      <c r="F83" s="7" t="s">
        <v>904</v>
      </c>
      <c r="G83" s="7" t="s">
        <v>901</v>
      </c>
    </row>
    <row r="84" customFormat="false" ht="23.85" hidden="false" customHeight="false" outlineLevel="0" collapsed="false">
      <c r="A84" s="7" t="s">
        <v>824</v>
      </c>
      <c r="B84" s="7" t="s">
        <v>106</v>
      </c>
      <c r="C84" s="7" t="s">
        <v>825</v>
      </c>
      <c r="D84" s="7" t="s">
        <v>826</v>
      </c>
      <c r="E84" s="8" t="s">
        <v>73</v>
      </c>
      <c r="F84" s="7" t="s">
        <v>904</v>
      </c>
      <c r="G84" s="7" t="s">
        <v>901</v>
      </c>
    </row>
    <row r="85" customFormat="false" ht="15" hidden="false" customHeight="false" outlineLevel="0" collapsed="false">
      <c r="A85" s="7" t="s">
        <v>829</v>
      </c>
      <c r="B85" s="7" t="s">
        <v>106</v>
      </c>
      <c r="C85" s="7" t="s">
        <v>825</v>
      </c>
      <c r="D85" s="7" t="s">
        <v>830</v>
      </c>
      <c r="E85" s="8" t="s">
        <v>73</v>
      </c>
      <c r="F85" s="7" t="s">
        <v>904</v>
      </c>
      <c r="G85" s="7" t="s">
        <v>901</v>
      </c>
    </row>
    <row r="86" customFormat="false" ht="23.85" hidden="false" customHeight="false" outlineLevel="0" collapsed="false">
      <c r="A86" s="7" t="s">
        <v>833</v>
      </c>
      <c r="B86" s="7" t="s">
        <v>106</v>
      </c>
      <c r="C86" s="7" t="s">
        <v>834</v>
      </c>
      <c r="D86" s="7" t="s">
        <v>835</v>
      </c>
      <c r="E86" s="8" t="s">
        <v>73</v>
      </c>
      <c r="F86" s="7" t="s">
        <v>917</v>
      </c>
      <c r="G86" s="7" t="s">
        <v>901</v>
      </c>
    </row>
    <row r="87" customFormat="false" ht="15" hidden="false" customHeight="false" outlineLevel="0" collapsed="false">
      <c r="A87" s="7" t="s">
        <v>838</v>
      </c>
      <c r="B87" s="7" t="s">
        <v>106</v>
      </c>
      <c r="C87" s="7" t="s">
        <v>839</v>
      </c>
      <c r="D87" s="7" t="s">
        <v>840</v>
      </c>
      <c r="E87" s="8" t="s">
        <v>73</v>
      </c>
      <c r="F87" s="7" t="s">
        <v>917</v>
      </c>
      <c r="G87" s="7" t="s">
        <v>901</v>
      </c>
    </row>
    <row r="88" customFormat="false" ht="23.85" hidden="false" customHeight="false" outlineLevel="0" collapsed="false">
      <c r="A88" s="7" t="s">
        <v>843</v>
      </c>
      <c r="B88" s="7" t="s">
        <v>106</v>
      </c>
      <c r="C88" s="7" t="s">
        <v>844</v>
      </c>
      <c r="D88" s="7" t="s">
        <v>845</v>
      </c>
      <c r="E88" s="8" t="s">
        <v>73</v>
      </c>
      <c r="F88" s="7" t="s">
        <v>918</v>
      </c>
      <c r="G88" s="7" t="s">
        <v>901</v>
      </c>
    </row>
    <row r="89" customFormat="false" ht="15" hidden="false" customHeight="false" outlineLevel="0" collapsed="false">
      <c r="A89" s="7" t="s">
        <v>848</v>
      </c>
      <c r="B89" s="7" t="s">
        <v>106</v>
      </c>
      <c r="C89" s="7" t="s">
        <v>849</v>
      </c>
      <c r="D89" s="7" t="s">
        <v>850</v>
      </c>
      <c r="E89" s="8" t="s">
        <v>73</v>
      </c>
      <c r="F89" s="7" t="s">
        <v>918</v>
      </c>
      <c r="G89" s="7" t="s">
        <v>901</v>
      </c>
    </row>
    <row r="90" customFormat="false" ht="23.85" hidden="false" customHeight="false" outlineLevel="0" collapsed="false">
      <c r="A90" s="7" t="s">
        <v>853</v>
      </c>
      <c r="B90" s="7" t="s">
        <v>106</v>
      </c>
      <c r="C90" s="7" t="s">
        <v>854</v>
      </c>
      <c r="D90" s="7" t="s">
        <v>855</v>
      </c>
      <c r="E90" s="8" t="s">
        <v>73</v>
      </c>
      <c r="F90" s="7" t="s">
        <v>35</v>
      </c>
      <c r="G90" s="7" t="s">
        <v>901</v>
      </c>
    </row>
    <row r="91" customFormat="false" ht="15" hidden="false" customHeight="false" outlineLevel="0" collapsed="false">
      <c r="A91" s="7" t="s">
        <v>858</v>
      </c>
      <c r="B91" s="7" t="s">
        <v>106</v>
      </c>
      <c r="C91" s="7" t="s">
        <v>859</v>
      </c>
      <c r="D91" s="7" t="s">
        <v>860</v>
      </c>
      <c r="E91" s="8" t="s">
        <v>73</v>
      </c>
      <c r="F91" s="7" t="s">
        <v>906</v>
      </c>
      <c r="G91" s="7" t="s">
        <v>901</v>
      </c>
    </row>
    <row r="92" customFormat="false" ht="23.85" hidden="false" customHeight="false" outlineLevel="0" collapsed="false">
      <c r="A92" s="7" t="s">
        <v>863</v>
      </c>
      <c r="B92" s="7" t="s">
        <v>106</v>
      </c>
      <c r="C92" s="7" t="s">
        <v>864</v>
      </c>
      <c r="D92" s="7" t="s">
        <v>865</v>
      </c>
      <c r="E92" s="8" t="s">
        <v>73</v>
      </c>
      <c r="F92" s="7" t="s">
        <v>35</v>
      </c>
      <c r="G92" s="7" t="s">
        <v>901</v>
      </c>
    </row>
    <row r="93" customFormat="false" ht="23.85" hidden="false" customHeight="false" outlineLevel="0" collapsed="false">
      <c r="A93" s="7" t="s">
        <v>868</v>
      </c>
      <c r="B93" s="7" t="s">
        <v>106</v>
      </c>
      <c r="C93" s="7" t="s">
        <v>869</v>
      </c>
      <c r="D93" s="7" t="s">
        <v>870</v>
      </c>
      <c r="E93" s="9" t="s">
        <v>74</v>
      </c>
      <c r="F93" s="7" t="s">
        <v>915</v>
      </c>
      <c r="G93" s="7" t="s">
        <v>903</v>
      </c>
    </row>
    <row r="94" customFormat="false" ht="23.85" hidden="false" customHeight="false" outlineLevel="0" collapsed="false">
      <c r="A94" s="7" t="s">
        <v>873</v>
      </c>
      <c r="B94" s="7" t="s">
        <v>106</v>
      </c>
      <c r="C94" s="7" t="s">
        <v>874</v>
      </c>
      <c r="D94" s="7" t="s">
        <v>875</v>
      </c>
      <c r="E94" s="9" t="s">
        <v>74</v>
      </c>
      <c r="F94" s="7" t="s">
        <v>904</v>
      </c>
      <c r="G94" s="7" t="s">
        <v>903</v>
      </c>
    </row>
    <row r="95" customFormat="false" ht="23.85" hidden="false" customHeight="false" outlineLevel="0" collapsed="false">
      <c r="A95" s="7" t="s">
        <v>878</v>
      </c>
      <c r="B95" s="7" t="s">
        <v>106</v>
      </c>
      <c r="C95" s="7" t="s">
        <v>879</v>
      </c>
      <c r="D95" s="7" t="s">
        <v>880</v>
      </c>
      <c r="E95" s="9" t="s">
        <v>74</v>
      </c>
      <c r="F95" s="7" t="s">
        <v>917</v>
      </c>
      <c r="G95" s="7" t="s">
        <v>903</v>
      </c>
    </row>
  </sheetData>
  <autoFilter ref="A4:G9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4"/>
    <col collapsed="false" customWidth="true" hidden="false" outlineLevel="0" max="4" min="3" style="0" width="12"/>
    <col collapsed="false" customWidth="true" hidden="false" outlineLevel="0" max="5" min="5" style="0" width="10"/>
    <col collapsed="false" customWidth="true" hidden="false" outlineLevel="0" max="6" min="6" style="0" width="50"/>
    <col collapsed="false" customWidth="true" hidden="false" outlineLevel="0" max="7" min="7" style="0" width="40"/>
    <col collapsed="false" customWidth="true" hidden="false" outlineLevel="0" max="8" min="8" style="0" width="12"/>
    <col collapsed="false" customWidth="true" hidden="false" outlineLevel="0" max="9" min="9" style="0" width="14"/>
    <col collapsed="false" customWidth="true" hidden="false" outlineLevel="0" max="11" min="10" style="0" width="30"/>
  </cols>
  <sheetData>
    <row r="1" customFormat="false" ht="19.7" hidden="false" customHeight="false" outlineLevel="0" collapsed="false">
      <c r="A1" s="4" t="s">
        <v>919</v>
      </c>
    </row>
    <row r="2" customFormat="false" ht="15" hidden="false" customHeight="false" outlineLevel="0" collapsed="false">
      <c r="A2" s="5" t="s">
        <v>920</v>
      </c>
    </row>
    <row r="4" customFormat="false" ht="23.85" hidden="false" customHeight="false" outlineLevel="0" collapsed="false">
      <c r="A4" s="6" t="s">
        <v>421</v>
      </c>
      <c r="B4" s="6" t="s">
        <v>921</v>
      </c>
      <c r="C4" s="6" t="s">
        <v>420</v>
      </c>
      <c r="D4" s="6" t="s">
        <v>922</v>
      </c>
      <c r="E4" s="6" t="s">
        <v>923</v>
      </c>
      <c r="F4" s="6" t="s">
        <v>924</v>
      </c>
      <c r="G4" s="6" t="s">
        <v>925</v>
      </c>
      <c r="H4" s="6" t="s">
        <v>11</v>
      </c>
      <c r="I4" s="6" t="s">
        <v>926</v>
      </c>
      <c r="J4" s="6" t="s">
        <v>927</v>
      </c>
      <c r="K4" s="6" t="s">
        <v>422</v>
      </c>
    </row>
    <row r="5" customFormat="false" ht="35.05" hidden="false" customHeight="false" outlineLevel="0" collapsed="false">
      <c r="A5" s="15" t="s">
        <v>928</v>
      </c>
      <c r="B5" s="15" t="s">
        <v>790</v>
      </c>
      <c r="C5" s="15" t="s">
        <v>929</v>
      </c>
      <c r="D5" s="15" t="s">
        <v>106</v>
      </c>
      <c r="E5" s="15" t="s">
        <v>930</v>
      </c>
      <c r="F5" s="15" t="s">
        <v>931</v>
      </c>
      <c r="G5" s="15" t="s">
        <v>932</v>
      </c>
      <c r="H5" s="15" t="s">
        <v>933</v>
      </c>
      <c r="I5" s="15" t="s">
        <v>35</v>
      </c>
      <c r="J5" s="15" t="s">
        <v>934</v>
      </c>
      <c r="K5" s="15" t="s">
        <v>935</v>
      </c>
    </row>
  </sheetData>
  <autoFilter ref="A4:K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4" min="3" style="0" width="26"/>
    <col collapsed="false" customWidth="true" hidden="false" outlineLevel="0" max="5" min="5" style="0" width="22"/>
    <col collapsed="false" customWidth="true" hidden="false" outlineLevel="0" max="6" min="6" style="0" width="60"/>
  </cols>
  <sheetData>
    <row r="1" customFormat="false" ht="19.7" hidden="false" customHeight="false" outlineLevel="0" collapsed="false">
      <c r="A1" s="4" t="s">
        <v>936</v>
      </c>
    </row>
    <row r="2" customFormat="false" ht="15" hidden="false" customHeight="false" outlineLevel="0" collapsed="false">
      <c r="A2" s="5" t="s">
        <v>937</v>
      </c>
    </row>
    <row r="4" customFormat="false" ht="15" hidden="false" customHeight="false" outlineLevel="0" collapsed="false">
      <c r="A4" s="6" t="s">
        <v>27</v>
      </c>
      <c r="B4" s="6" t="s">
        <v>938</v>
      </c>
      <c r="C4" s="6" t="s">
        <v>939</v>
      </c>
      <c r="D4" s="6" t="s">
        <v>940</v>
      </c>
      <c r="E4" s="6" t="s">
        <v>941</v>
      </c>
      <c r="F4" s="6" t="s">
        <v>942</v>
      </c>
    </row>
    <row r="5" customFormat="false" ht="15" hidden="false" customHeight="false" outlineLevel="0" collapsed="false">
      <c r="A5" s="7" t="s">
        <v>79</v>
      </c>
      <c r="B5" s="15"/>
      <c r="C5" s="15"/>
      <c r="D5" s="15"/>
      <c r="E5" s="15"/>
      <c r="F5" s="15"/>
    </row>
    <row r="6" customFormat="false" ht="15" hidden="false" customHeight="false" outlineLevel="0" collapsed="false">
      <c r="A6" s="7" t="s">
        <v>80</v>
      </c>
      <c r="B6" s="15"/>
      <c r="C6" s="15"/>
      <c r="D6" s="15"/>
      <c r="E6" s="15"/>
      <c r="F6" s="15"/>
    </row>
    <row r="7" customFormat="false" ht="15" hidden="false" customHeight="false" outlineLevel="0" collapsed="false">
      <c r="A7" s="7" t="s">
        <v>81</v>
      </c>
      <c r="B7" s="15"/>
      <c r="C7" s="15"/>
      <c r="D7" s="15"/>
      <c r="E7" s="15"/>
      <c r="F7" s="15"/>
    </row>
    <row r="8" customFormat="false" ht="15" hidden="false" customHeight="false" outlineLevel="0" collapsed="false">
      <c r="A8" s="7" t="s">
        <v>82</v>
      </c>
      <c r="B8" s="15"/>
      <c r="C8" s="15"/>
      <c r="D8" s="15"/>
      <c r="E8" s="15"/>
      <c r="F8" s="15"/>
    </row>
    <row r="9" customFormat="false" ht="15" hidden="false" customHeight="false" outlineLevel="0" collapsed="false">
      <c r="A9" s="7" t="s">
        <v>83</v>
      </c>
      <c r="B9" s="15"/>
      <c r="C9" s="15"/>
      <c r="D9" s="15"/>
      <c r="E9" s="15"/>
      <c r="F9" s="15"/>
    </row>
    <row r="10" customFormat="false" ht="15" hidden="false" customHeight="false" outlineLevel="0" collapsed="false">
      <c r="A10" s="7" t="s">
        <v>84</v>
      </c>
      <c r="B10" s="15"/>
      <c r="C10" s="15"/>
      <c r="D10" s="15"/>
      <c r="E10" s="15"/>
      <c r="F10" s="15"/>
    </row>
    <row r="11" customFormat="false" ht="15" hidden="false" customHeight="false" outlineLevel="0" collapsed="false">
      <c r="A11" s="7" t="s">
        <v>85</v>
      </c>
      <c r="B11" s="15"/>
      <c r="C11" s="15"/>
      <c r="D11" s="15"/>
      <c r="E11" s="15"/>
      <c r="F11" s="15"/>
    </row>
    <row r="12" customFormat="false" ht="15" hidden="false" customHeight="false" outlineLevel="0" collapsed="false">
      <c r="A12" s="7" t="s">
        <v>86</v>
      </c>
      <c r="B12" s="15"/>
      <c r="C12" s="15"/>
      <c r="D12" s="15"/>
      <c r="E12" s="15"/>
      <c r="F12" s="15"/>
    </row>
    <row r="13" customFormat="false" ht="15" hidden="false" customHeight="false" outlineLevel="0" collapsed="false">
      <c r="A13" s="7" t="s">
        <v>87</v>
      </c>
      <c r="B13" s="15"/>
      <c r="C13" s="15"/>
      <c r="D13" s="15"/>
      <c r="E13" s="15"/>
      <c r="F13" s="15"/>
    </row>
    <row r="14" customFormat="false" ht="15" hidden="false" customHeight="false" outlineLevel="0" collapsed="false">
      <c r="A14" s="7" t="s">
        <v>88</v>
      </c>
      <c r="B14" s="15"/>
      <c r="C14" s="15"/>
      <c r="D14" s="15"/>
      <c r="E14" s="15"/>
      <c r="F14" s="15"/>
    </row>
    <row r="15" customFormat="false" ht="15" hidden="false" customHeight="false" outlineLevel="0" collapsed="false">
      <c r="A15" s="7" t="s">
        <v>89</v>
      </c>
      <c r="B15" s="15"/>
      <c r="C15" s="15"/>
      <c r="D15" s="15"/>
      <c r="E15" s="15"/>
      <c r="F15" s="15"/>
    </row>
    <row r="16" customFormat="false" ht="15" hidden="false" customHeight="false" outlineLevel="0" collapsed="false">
      <c r="A16" s="7" t="s">
        <v>90</v>
      </c>
      <c r="B16" s="15"/>
      <c r="C16" s="15"/>
      <c r="D16" s="15"/>
      <c r="E16" s="15"/>
      <c r="F16" s="15"/>
    </row>
    <row r="17" customFormat="false" ht="15" hidden="false" customHeight="false" outlineLevel="0" collapsed="false">
      <c r="A17" s="7" t="s">
        <v>91</v>
      </c>
      <c r="B17" s="15"/>
      <c r="C17" s="15"/>
      <c r="D17" s="15"/>
      <c r="E17" s="15"/>
      <c r="F17" s="15"/>
    </row>
    <row r="18" customFormat="false" ht="15" hidden="false" customHeight="false" outlineLevel="0" collapsed="false">
      <c r="A18" s="7" t="s">
        <v>92</v>
      </c>
      <c r="B18" s="15"/>
      <c r="C18" s="15"/>
      <c r="D18" s="15"/>
      <c r="E18" s="15"/>
      <c r="F18" s="15"/>
    </row>
    <row r="19" customFormat="false" ht="15" hidden="false" customHeight="false" outlineLevel="0" collapsed="false">
      <c r="A19" s="7" t="s">
        <v>93</v>
      </c>
      <c r="B19" s="15"/>
      <c r="C19" s="15"/>
      <c r="D19" s="15"/>
      <c r="E19" s="15"/>
      <c r="F19" s="15"/>
    </row>
    <row r="20" customFormat="false" ht="15" hidden="false" customHeight="false" outlineLevel="0" collapsed="false">
      <c r="A20" s="7" t="s">
        <v>94</v>
      </c>
      <c r="B20" s="15"/>
      <c r="C20" s="15"/>
      <c r="D20" s="15"/>
      <c r="E20" s="15"/>
      <c r="F20" s="15"/>
    </row>
    <row r="21" customFormat="false" ht="15" hidden="false" customHeight="false" outlineLevel="0" collapsed="false">
      <c r="A21" s="7" t="s">
        <v>95</v>
      </c>
      <c r="B21" s="15"/>
      <c r="C21" s="15"/>
      <c r="D21" s="15"/>
      <c r="E21" s="15"/>
      <c r="F21" s="15"/>
    </row>
    <row r="22" customFormat="false" ht="15" hidden="false" customHeight="false" outlineLevel="0" collapsed="false">
      <c r="A22" s="7" t="s">
        <v>96</v>
      </c>
      <c r="B22" s="15"/>
      <c r="C22" s="15"/>
      <c r="D22" s="15"/>
      <c r="E22" s="15"/>
      <c r="F22" s="15"/>
    </row>
    <row r="23" customFormat="false" ht="15" hidden="false" customHeight="false" outlineLevel="0" collapsed="false">
      <c r="A23" s="7" t="s">
        <v>97</v>
      </c>
      <c r="B23" s="15"/>
      <c r="C23" s="15"/>
      <c r="D23" s="15"/>
      <c r="E23" s="15"/>
      <c r="F23" s="15"/>
    </row>
    <row r="24" customFormat="false" ht="15" hidden="false" customHeight="false" outlineLevel="0" collapsed="false">
      <c r="A24" s="7" t="s">
        <v>98</v>
      </c>
      <c r="B24" s="15"/>
      <c r="C24" s="15"/>
      <c r="D24" s="15"/>
      <c r="E24" s="15"/>
      <c r="F24" s="15"/>
    </row>
    <row r="25" customFormat="false" ht="15" hidden="false" customHeight="false" outlineLevel="0" collapsed="false">
      <c r="A25" s="7" t="s">
        <v>99</v>
      </c>
      <c r="B25" s="15"/>
      <c r="C25" s="15"/>
      <c r="D25" s="15"/>
      <c r="E25" s="15"/>
      <c r="F25" s="15"/>
    </row>
    <row r="26" customFormat="false" ht="15" hidden="false" customHeight="false" outlineLevel="0" collapsed="false">
      <c r="A26" s="7" t="s">
        <v>100</v>
      </c>
      <c r="B26" s="15"/>
      <c r="C26" s="15"/>
      <c r="D26" s="15"/>
      <c r="E26" s="15"/>
      <c r="F26" s="15"/>
    </row>
    <row r="27" customFormat="false" ht="15" hidden="false" customHeight="false" outlineLevel="0" collapsed="false">
      <c r="A27" s="7" t="s">
        <v>101</v>
      </c>
      <c r="B27" s="15"/>
      <c r="C27" s="15"/>
      <c r="D27" s="15"/>
      <c r="E27" s="15"/>
      <c r="F27" s="15"/>
    </row>
    <row r="28" customFormat="false" ht="15" hidden="false" customHeight="false" outlineLevel="0" collapsed="false">
      <c r="A28" s="7" t="s">
        <v>102</v>
      </c>
      <c r="B28" s="15"/>
      <c r="C28" s="15"/>
      <c r="D28" s="15"/>
      <c r="E28" s="15"/>
      <c r="F28" s="15"/>
    </row>
    <row r="29" customFormat="false" ht="15" hidden="false" customHeight="false" outlineLevel="0" collapsed="false">
      <c r="A29" s="7" t="s">
        <v>103</v>
      </c>
      <c r="B29" s="15"/>
      <c r="C29" s="15"/>
      <c r="D29" s="15"/>
      <c r="E29" s="15"/>
      <c r="F29" s="15"/>
    </row>
    <row r="30" customFormat="false" ht="15" hidden="false" customHeight="false" outlineLevel="0" collapsed="false">
      <c r="A30" s="7" t="s">
        <v>104</v>
      </c>
      <c r="B30" s="15"/>
      <c r="C30" s="15"/>
      <c r="D30" s="15"/>
      <c r="E30" s="15"/>
      <c r="F30" s="15"/>
    </row>
    <row r="31" customFormat="false" ht="15" hidden="false" customHeight="false" outlineLevel="0" collapsed="false">
      <c r="A31" s="7" t="s">
        <v>105</v>
      </c>
      <c r="B31" s="15"/>
      <c r="C31" s="15"/>
      <c r="D31" s="15"/>
      <c r="E31" s="15"/>
      <c r="F31" s="15"/>
    </row>
    <row r="32" customFormat="false" ht="15" hidden="false" customHeight="false" outlineLevel="0" collapsed="false">
      <c r="A32" s="7" t="s">
        <v>106</v>
      </c>
      <c r="B32" s="15"/>
      <c r="C32" s="15"/>
      <c r="D32" s="15"/>
      <c r="E32" s="15"/>
      <c r="F32" s="15"/>
    </row>
  </sheetData>
  <autoFilter ref="A4:F3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20"/>
  </cols>
  <sheetData>
    <row r="1" customFormat="false" ht="19.7" hidden="false" customHeight="false" outlineLevel="0" collapsed="false">
      <c r="A1" s="4" t="s">
        <v>943</v>
      </c>
    </row>
    <row r="2" customFormat="false" ht="15" hidden="false" customHeight="false" outlineLevel="0" collapsed="false">
      <c r="A2" s="5"/>
    </row>
    <row r="4" customFormat="false" ht="15" hidden="false" customHeight="false" outlineLevel="0" collapsed="false">
      <c r="A4" s="6" t="s">
        <v>944</v>
      </c>
      <c r="B4" s="6" t="s">
        <v>945</v>
      </c>
    </row>
    <row r="5" customFormat="false" ht="15" hidden="false" customHeight="false" outlineLevel="0" collapsed="false">
      <c r="A5" s="7" t="s">
        <v>946</v>
      </c>
      <c r="B5" s="7" t="s">
        <v>947</v>
      </c>
    </row>
    <row r="6" customFormat="false" ht="15" hidden="false" customHeight="false" outlineLevel="0" collapsed="false">
      <c r="A6" s="7" t="s">
        <v>948</v>
      </c>
      <c r="B6" s="7" t="s">
        <v>949</v>
      </c>
    </row>
    <row r="7" customFormat="false" ht="23.85" hidden="false" customHeight="false" outlineLevel="0" collapsed="false">
      <c r="A7" s="7" t="s">
        <v>218</v>
      </c>
      <c r="B7" s="7" t="s">
        <v>950</v>
      </c>
    </row>
    <row r="8" customFormat="false" ht="15" hidden="false" customHeight="false" outlineLevel="0" collapsed="false">
      <c r="A8" s="7" t="s">
        <v>951</v>
      </c>
      <c r="B8" s="7" t="s">
        <v>952</v>
      </c>
    </row>
    <row r="9" customFormat="false" ht="15" hidden="false" customHeight="false" outlineLevel="0" collapsed="false">
      <c r="A9" s="7" t="s">
        <v>953</v>
      </c>
      <c r="B9" s="7" t="s">
        <v>954</v>
      </c>
    </row>
    <row r="10" customFormat="false" ht="15" hidden="false" customHeight="false" outlineLevel="0" collapsed="false">
      <c r="A10" s="7" t="s">
        <v>955</v>
      </c>
      <c r="B10" s="7" t="s">
        <v>956</v>
      </c>
    </row>
    <row r="11" customFormat="false" ht="15" hidden="false" customHeight="false" outlineLevel="0" collapsed="false">
      <c r="A11" s="7" t="s">
        <v>957</v>
      </c>
      <c r="B11" s="7" t="s">
        <v>958</v>
      </c>
    </row>
    <row r="12" customFormat="false" ht="15" hidden="false" customHeight="false" outlineLevel="0" collapsed="false">
      <c r="A12" s="7" t="s">
        <v>903</v>
      </c>
      <c r="B12" s="7" t="s">
        <v>959</v>
      </c>
    </row>
    <row r="13" customFormat="false" ht="23.85" hidden="false" customHeight="false" outlineLevel="0" collapsed="false">
      <c r="A13" s="7" t="s">
        <v>960</v>
      </c>
      <c r="B13" s="7" t="s">
        <v>961</v>
      </c>
    </row>
    <row r="14" customFormat="false" ht="15" hidden="false" customHeight="false" outlineLevel="0" collapsed="false">
      <c r="A14" s="7" t="s">
        <v>962</v>
      </c>
      <c r="B14" s="7" t="s">
        <v>963</v>
      </c>
    </row>
    <row r="15" customFormat="false" ht="23.85" hidden="false" customHeight="false" outlineLevel="0" collapsed="false">
      <c r="A15" s="7" t="s">
        <v>964</v>
      </c>
      <c r="B15" s="7" t="s">
        <v>965</v>
      </c>
    </row>
  </sheetData>
  <autoFilter ref="A4:B1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2026-09-20T10:41:08Z</dcterms:created>
  <dc:creator>openpyxl</dc:creator>
  <dc:description/>
  <dc:language>en-US</dc:language>
  <cp:lastModifiedBy/>
  <dcterms:modified xsi:type="dcterms:W3CDTF">2026-09-20T10:41:08Z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