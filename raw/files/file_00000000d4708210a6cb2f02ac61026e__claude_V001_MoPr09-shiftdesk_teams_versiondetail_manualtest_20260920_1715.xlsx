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xt" sheetId="2" state="visible" r:id="rId2"/>
    <sheet xmlns:r="http://schemas.openxmlformats.org/officeDocument/2006/relationships" name="How_To_Use" sheetId="3" state="visible" r:id="rId3"/>
    <sheet xmlns:r="http://schemas.openxmlformats.org/officeDocument/2006/relationships" name="Version_Control" sheetId="4" state="visible" r:id="rId4"/>
    <sheet xmlns:r="http://schemas.openxmlformats.org/officeDocument/2006/relationships" name="Version_Detail" sheetId="5" state="visible" r:id="rId5"/>
    <sheet xmlns:r="http://schemas.openxmlformats.org/officeDocument/2006/relationships" name="Pending_Versions" sheetId="6" state="visible" r:id="rId6"/>
    <sheet xmlns:r="http://schemas.openxmlformats.org/officeDocument/2006/relationships" name="Version_Steps" sheetId="7" state="visible" r:id="rId7"/>
    <sheet xmlns:r="http://schemas.openxmlformats.org/officeDocument/2006/relationships" name="Test_Cases" sheetId="8" state="visible" r:id="rId8"/>
    <sheet xmlns:r="http://schemas.openxmlformats.org/officeDocument/2006/relationships" name="Test_Execution_Log" sheetId="9" state="visible" r:id="rId9"/>
    <sheet xmlns:r="http://schemas.openxmlformats.org/officeDocument/2006/relationships" name="RTM" sheetId="10" state="visible" r:id="rId10"/>
    <sheet xmlns:r="http://schemas.openxmlformats.org/officeDocument/2006/relationships" name="Defect_Log" sheetId="11" state="visible" r:id="rId11"/>
    <sheet xmlns:r="http://schemas.openxmlformats.org/officeDocument/2006/relationships" name="Test_Summary" sheetId="12" state="visible" r:id="rId12"/>
    <sheet xmlns:r="http://schemas.openxmlformats.org/officeDocument/2006/relationships" name="Assumptions_Constraints" sheetId="13" state="visible" r:id="rId13"/>
    <sheet xmlns:r="http://schemas.openxmlformats.org/officeDocument/2006/relationships" name="Glossary" sheetId="14" state="visible" r:id="rId14"/>
    <sheet xmlns:r="http://schemas.openxmlformats.org/officeDocument/2006/relationships" name="Signoff" sheetId="15" state="visible" r:id="rId15"/>
  </sheets>
  <definedNames>
    <definedName name="_xlnm._FilterDatabase" localSheetId="7" hidden="1">'Test_Cases'!$A$4:$O$203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FFFFFF"/>
      <sz val="16"/>
    </font>
    <font>
      <b val="1"/>
      <sz val="11"/>
    </font>
    <font>
      <b val="1"/>
      <sz val="12"/>
    </font>
    <font>
      <b val="1"/>
      <color rgb="FFFFFFFF"/>
      <sz val="12"/>
    </font>
    <font>
      <i val="1"/>
      <color rgb="FF44546A"/>
      <sz val="10"/>
    </font>
    <font>
      <b val="1"/>
    </font>
  </fonts>
  <fills count="10">
    <fill>
      <patternFill/>
    </fill>
    <fill>
      <patternFill patternType="gray125"/>
    </fill>
    <fill>
      <patternFill patternType="solid">
        <fgColor rgb="FF1F4E79"/>
      </patternFill>
    </fill>
    <fill>
      <patternFill patternType="solid">
        <fgColor rgb="FFD9E2F3"/>
      </patternFill>
    </fill>
    <fill>
      <patternFill patternType="solid">
        <fgColor rgb="FFC6EFCE"/>
      </patternFill>
    </fill>
    <fill>
      <patternFill patternType="solid">
        <fgColor rgb="FFDDEBF7"/>
      </patternFill>
    </fill>
    <fill>
      <patternFill patternType="solid">
        <fgColor rgb="FFFFF2CC"/>
      </patternFill>
    </fill>
    <fill>
      <patternFill patternType="solid">
        <fgColor rgb="FFF2F2F2"/>
      </patternFill>
    </fill>
    <fill>
      <patternFill patternType="solid">
        <fgColor rgb="FFFCE4D6"/>
      </patternFill>
    </fill>
    <fill>
      <patternFill patternType="solid">
        <fgColor rgb="FFFF9999"/>
      </patternFill>
    </fill>
  </fills>
  <borders count="2">
    <border>
      <left/>
      <right/>
      <top/>
      <bottom/>
      <diagonal/>
    </border>
    <border>
      <bottom style="thin">
        <color rgb="FFBFBFBF"/>
      </bottom>
    </border>
  </borders>
  <cellStyleXfs count="1">
    <xf numFmtId="0" fontId="0" fillId="0" borderId="0"/>
  </cellStyleXfs>
  <cellXfs count="24">
    <xf numFmtId="0" fontId="0" fillId="0" borderId="0" pivotButton="0" quotePrefix="0" xfId="0"/>
    <xf numFmtId="0" fontId="1" fillId="2" borderId="0" pivotButton="0" quotePrefix="0" xfId="0"/>
    <xf numFmtId="0" fontId="0" fillId="2" borderId="0" pivotButton="0" quotePrefix="0" xfId="0"/>
    <xf numFmtId="0" fontId="2" fillId="3" borderId="0"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1"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0" fontId="0" fillId="9" borderId="1" applyAlignment="1" pivotButton="0" quotePrefix="0" xfId="0">
      <alignment vertical="top" wrapText="1"/>
    </xf>
    <xf numFmtId="0" fontId="0" fillId="0" borderId="1" pivotButton="0" quotePrefix="0" xfId="0"/>
    <xf numFmtId="9" fontId="0"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4E79"/>
    <outlinePr summaryBelow="1" summaryRight="1"/>
    <pageSetUpPr/>
  </sheetPr>
  <dimension ref="A1:B23"/>
  <sheetViews>
    <sheetView showGridLines="0" workbookViewId="0">
      <selection activeCell="A1" sqref="A1"/>
    </sheetView>
  </sheetViews>
  <sheetFormatPr baseColWidth="8" defaultRowHeight="15"/>
  <cols>
    <col width="34" customWidth="1" min="1" max="1"/>
    <col width="104" customWidth="1" min="2" max="2"/>
  </cols>
  <sheetData>
    <row r="1" ht="30" customHeight="1">
      <c r="A1" s="1" t="inlineStr">
        <is>
          <t>ShiftDesk for Microsoft Teams — Version Detail and Manual Test Specification</t>
        </is>
      </c>
      <c r="B1" s="2" t="n"/>
    </row>
    <row r="3">
      <c r="A3" s="3" t="inlineStr">
        <is>
          <t>Document title</t>
        </is>
      </c>
      <c r="B3" s="4" t="inlineStr">
        <is>
          <t>Version Detail and Manual Test Specification</t>
        </is>
      </c>
    </row>
    <row r="4">
      <c r="A4" s="3" t="inlineStr">
        <is>
          <t>Product</t>
        </is>
      </c>
      <c r="B4" s="4" t="inlineStr">
        <is>
          <t>ShiftDesk for Microsoft Teams (shift handovers, approvals, digital checklists, kudos, manager dashboard)</t>
        </is>
      </c>
    </row>
    <row r="5">
      <c r="A5" s="3" t="inlineStr">
        <is>
          <t>Product code</t>
        </is>
      </c>
      <c r="B5" s="4" t="inlineStr">
        <is>
          <t>002-MoPr09-shiftdesk_teams</t>
        </is>
      </c>
    </row>
    <row r="6">
      <c r="A6" s="3" t="inlineStr">
        <is>
          <t>Document id</t>
        </is>
      </c>
      <c r="B6" s="4" t="inlineStr">
        <is>
          <t>claude_V001_MoPr09-shiftdesk_teams_versiondetail_manualtest_20260920_1715</t>
        </is>
      </c>
    </row>
    <row r="7">
      <c r="A7" s="3" t="inlineStr">
        <is>
          <t>Document version</t>
        </is>
      </c>
      <c r="B7" s="4" t="inlineStr">
        <is>
          <t>V001</t>
        </is>
      </c>
    </row>
    <row r="8">
      <c r="A8" s="3" t="inlineStr">
        <is>
          <t>Document status</t>
        </is>
      </c>
      <c r="B8" s="4" t="inlineStr">
        <is>
          <t>Released for review</t>
        </is>
      </c>
    </row>
    <row r="9">
      <c r="A9" s="3" t="inlineStr">
        <is>
          <t>Issued</t>
        </is>
      </c>
      <c r="B9" s="4" t="inlineStr">
        <is>
          <t>20 September 2026, 17:15</t>
        </is>
      </c>
    </row>
    <row r="10">
      <c r="A10" s="3" t="inlineStr">
        <is>
          <t>Prepared by</t>
        </is>
      </c>
      <c r="B10" s="4" t="inlineStr">
        <is>
          <t>Claude (Opus 5), for Senthil / KP</t>
        </is>
      </c>
    </row>
    <row r="11">
      <c r="A11" s="3" t="inlineStr">
        <is>
          <t>Reviewed by</t>
        </is>
      </c>
      <c r="B11" s="4" t="inlineStr">
        <is>
          <t>(open — Senthil)</t>
        </is>
      </c>
    </row>
    <row r="12">
      <c r="A12" s="3" t="inlineStr">
        <is>
          <t>Approved by</t>
        </is>
      </c>
      <c r="B12" s="4" t="inlineStr">
        <is>
          <t>(open — Senthil; see Signoff sheet)</t>
        </is>
      </c>
    </row>
    <row r="13">
      <c r="A13" s="3" t="inlineStr">
        <is>
          <t>Covers releases</t>
        </is>
      </c>
      <c r="B13" s="4" t="inlineStr">
        <is>
          <t>v001 (10 Sep 2026) to v040 (20 Sep 2026), plus the pending release v041</t>
        </is>
      </c>
    </row>
    <row r="14">
      <c r="A14" s="3" t="inlineStr">
        <is>
          <t>Codebase at issue</t>
        </is>
      </c>
      <c r="B14" s="4" t="inlineStr">
        <is>
          <t>v0.14.0 — 68 unit suites / 555 tests at 100% statements, branches, functions and lines; 9/9 real-Postgres integration tests; backup/restore drill PASS</t>
        </is>
      </c>
    </row>
    <row r="15">
      <c r="A15" s="3" t="inlineStr">
        <is>
          <t>Companion documents</t>
        </is>
      </c>
      <c r="B15" s="4" t="inlineStr">
        <is>
          <t>claude_v040_shiftdesk_sprint_tracker_traceability_20260920_1640.xlsx (execution tracker); claude_v046_shiftdesk_teams_product_workbook_20260920_1640.xlsx (product workbook); shiftdesk_v046_source.zip (source of record); REVIEW_PACK.md inside the zip (findings register)</t>
        </is>
      </c>
    </row>
    <row r="16">
      <c r="A16" s="3" t="inlineStr">
        <is>
          <t>Test cases in this document</t>
        </is>
      </c>
      <c r="B16" s="4" t="inlineStr">
        <is>
          <t>199 manual cases across 41 releases — 101 positive, 98 negative</t>
        </is>
      </c>
    </row>
    <row r="17">
      <c r="A17" s="3" t="inlineStr">
        <is>
          <t>Classification</t>
        </is>
      </c>
      <c r="B17" s="4" t="inlineStr">
        <is>
          <t>Internal — product build record. Contains no customer data.</t>
        </is>
      </c>
    </row>
    <row r="18">
      <c r="A18" s="3" t="inlineStr">
        <is>
          <t>Retention</t>
        </is>
      </c>
      <c r="B18" s="4" t="inlineStr">
        <is>
          <t>Keep for the life of the product plus 7 years, as the build evidence behind any store submission or audit question.</t>
        </is>
      </c>
    </row>
    <row r="20">
      <c r="A20" s="5" t="inlineStr">
        <is>
          <t>READ THIS FIRST</t>
        </is>
      </c>
    </row>
    <row r="21" ht="46" customHeight="1">
      <c r="A21" t="inlineStr">
        <is>
          <t>What this document is for</t>
        </is>
      </c>
      <c r="B21" s="6" t="inlineStr">
        <is>
          <t>Two questions, answered release by release: what was done and why, and how a human can verify it by hand. The automated suite proves the code executes; these cases are what a person walks through when the automated suite is exactly the thing they do not trust.</t>
        </is>
      </c>
    </row>
    <row r="22" ht="46" customHeight="1">
      <c r="A22" t="inlineStr">
        <is>
          <t>The honesty rule it follows</t>
        </is>
      </c>
      <c r="B22" s="6" t="inlineStr">
        <is>
          <t>Status vocabulary per tracker decision D-SD2, extended by D-SD8: "Done" means verified, "Code-complete pending live" means the code is finished and the proof needs a real tenant, and "To do — Senthil" means no amount of code closes it. Nothing here is marked Done because it compiles.</t>
        </is>
      </c>
    </row>
    <row r="23" ht="46" customHeight="1">
      <c r="A23" t="inlineStr">
        <is>
          <t>Where the numbers come from</t>
        </is>
      </c>
      <c r="B23" s="6" t="inlineStr">
        <is>
          <t>Every count on the Test_Summary sheet is a live formula over Test_Cases. Nothing is typed in twice.</t>
        </is>
      </c>
    </row>
  </sheetData>
  <pageMargins left="0.75" right="0.75" top="1" bottom="1" header="0.5" footer="0.5"/>
</worksheet>
</file>

<file path=xl/worksheets/sheet2.xml><?xml version="1.0" encoding="utf-8"?>
<worksheet xmlns="http://schemas.openxmlformats.org/spreadsheetml/2006/main">
  <sheetPr>
    <tabColor rgb="FF2E75B6"/>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30" customWidth="1" min="1" max="1"/>
    <col width="130" customWidth="1" min="2" max="2"/>
  </cols>
  <sheetData>
    <row r="1">
      <c r="A1" s="7" t="inlineStr">
        <is>
          <t>CONTEXT — the product, the programme and the two documents this one sits beside</t>
        </is>
      </c>
      <c r="B1" s="2" t="n"/>
      <c r="C1" s="2" t="n"/>
      <c r="D1" s="2" t="n"/>
      <c r="E1" s="2" t="n"/>
      <c r="F1" s="2" t="n"/>
    </row>
    <row r="2" ht="58" customHeight="1">
      <c r="A2" s="8" t="inlineStr">
        <is>
          <t>HOW TO USE THIS SHEET — Read top to bottom once. It explains what ShiftDesk is, who it is for, how the release numbering works, and which document answers which question. If you only need to run tests, go straight to How_To_Use and then Test_Cases.</t>
        </is>
      </c>
    </row>
    <row r="4">
      <c r="A4" s="3" t="inlineStr">
        <is>
          <t>Topic</t>
        </is>
      </c>
      <c r="B4" s="3" t="inlineStr">
        <is>
          <t>Detail</t>
        </is>
      </c>
    </row>
    <row r="5">
      <c r="A5" s="9" t="inlineStr">
        <is>
          <t>What the product does</t>
        </is>
      </c>
      <c r="B5" s="4" t="inlineStr">
        <is>
          <t>ShiftDesk runs inside Microsoft Teams and gives a frontline team five things: shift handover threads that produce a retained, queryable record; approval workflows with thresholds and blocked categories; digital checklists; kudos and recognition; and a manager dashboard over the lot. It installs as a Teams app with tabs and a bot, uses Entra ID single sign-on, and stores tenant data in PostgreSQL.</t>
        </is>
      </c>
    </row>
    <row r="6">
      <c r="A6" s="9" t="inlineStr">
        <is>
          <t>Who it is for</t>
        </is>
      </c>
      <c r="B6" s="4" t="inlineStr">
        <is>
          <t>Ops directors, IT admins and frontline supervisors in regulated frontline sectors — the shifts where an inspector can ask "show me the handover record for the night of the 14th" and somebody has to produce it.</t>
        </is>
      </c>
    </row>
    <row r="7">
      <c r="A7" s="9" t="inlineStr">
        <is>
          <t>The commercial wedge</t>
        </is>
      </c>
      <c r="B7" s="4" t="inlineStr">
        <is>
          <t>Two of the three original pillars overlap Microsoft apps the customer already has free (Approvals, Planner task publishing). The independent review was blunt about this. The product is therefore positioned on the one thing those tools do not produce: auditable handover evidence. That repositioning is release v040, story SD245.</t>
        </is>
      </c>
    </row>
    <row r="8">
      <c r="A8" s="9" t="inlineStr">
        <is>
          <t>How releases are numbered</t>
        </is>
      </c>
      <c r="B8" s="4" t="inlineStr">
        <is>
          <t>Two separate ladders, deliberately. This document uses the TRACKER release ladder v001-v041: one entry per working session, each with its own evidence. The codebase has its own semantic version (v0.1.0 to v0.14.0) and the product workbook has its own (v005 to v046). The Version_Detail sheet maps them.</t>
        </is>
      </c>
    </row>
    <row r="9">
      <c r="A9" s="9" t="inlineStr">
        <is>
          <t>What a release contains</t>
        </is>
      </c>
      <c r="B9" s="4" t="inlineStr">
        <is>
          <t>Almost never only features. The dominant pattern across 41 releases is: build, then audit what was built, then find that something built earlier was never wired in, then fix that and pin it with a test. Twenty-four of the forty released versions are audits, reviews or verification sweeps rather than feature work. That is not inefficiency; it is what the evidence says the code needed.</t>
        </is>
      </c>
    </row>
    <row r="10">
      <c r="A10" s="9" t="inlineStr">
        <is>
          <t>Current state in one line</t>
        </is>
      </c>
      <c r="B10" s="4" t="inlineStr">
        <is>
          <t>The product is code-complete and three-tier test-verified in a sandbox. It has never run in a real Microsoft tenant. Nothing has been sold.</t>
        </is>
      </c>
    </row>
    <row r="11">
      <c r="A11" s="9" t="inlineStr">
        <is>
          <t>Why that distinction matters</t>
        </is>
      </c>
      <c r="B11" s="4" t="inlineStr">
        <is>
          <t>The gate for this product (D7/R2) is not "code complete". It is: listed on the Teams store, and ten paying installs from strangers. Both are open. Every claim in this document is scoped to the evidence behind it so that distinction never blurs.</t>
        </is>
      </c>
    </row>
    <row r="12">
      <c r="A12" s="9" t="inlineStr">
        <is>
          <t>The three companion documents</t>
        </is>
      </c>
      <c r="B12" s="4" t="inlineStr">
        <is>
          <t>Sprint tracker v040 — the execution record: 147 stories, per-sprint boards, RAID, gates. Product workbook v046 — the commercial record: backlog, financial model, risks, launch checklist. Source zip v046 — the code, with REVIEW_PACK.md as the findings register. This document — release-by-release reasoning plus the manual test specification.</t>
        </is>
      </c>
    </row>
    <row r="13">
      <c r="A13" s="9" t="inlineStr">
        <is>
          <t>Independent review V001</t>
        </is>
      </c>
      <c r="B13" s="4" t="inlineStr">
        <is>
          <t>On 16 September an external reviewer verified the build (it passed) and then rated identity, durability, scale and compliance as Absent in the shipped entry point: three CRITICAL defects meant the production configuration had no working authentication and no durable store. Release v040 actioned all 20 findings. That review is the reason this document exists in this shape.</t>
        </is>
      </c>
    </row>
    <row r="14">
      <c r="A14" s="9" t="inlineStr">
        <is>
          <t>Defect numbering</t>
        </is>
      </c>
      <c r="B14" s="4" t="inlineStr">
        <is>
          <t>F-nnn are defects found by our own review passes and audits (F-001 to F-074). P-nnn are the independent reviewer's findings (P-001 to P-020). VER-SDnn came from vendor-documentation sweeps, GAP-SDnn from artefact-gap audits, OBS-SDnn are accepted observations. D-SDn are decisions.</t>
        </is>
      </c>
    </row>
    <row r="15">
      <c r="A15" s="9" t="inlineStr">
        <is>
          <t>Who owns what</t>
        </is>
      </c>
      <c r="B15" s="4" t="inlineStr">
        <is>
          <t>Claude: code, tests, documents, evidence preparation. Senthil: every decision, every purchase, every live-tenant action, and the go/no-go. Eleven of the forty-seven review stories are Senthil-owned and are listed as such rather than absorbed.</t>
        </is>
      </c>
    </row>
  </sheetData>
  <pageMargins left="0.75" right="0.75" top="1" bottom="1" header="0.5" footer="0.5"/>
</worksheet>
</file>

<file path=xl/worksheets/sheet3.xml><?xml version="1.0" encoding="utf-8"?>
<worksheet xmlns="http://schemas.openxmlformats.org/spreadsheetml/2006/main">
  <sheetPr>
    <tabColor rgb="FF2E75B6"/>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44" customWidth="1" min="3" max="3"/>
    <col width="22" customWidth="1" min="4" max="4"/>
    <col width="76" customWidth="1" min="5" max="5"/>
    <col width="12" customWidth="1" min="6" max="6"/>
  </cols>
  <sheetData>
    <row r="1">
      <c r="A1" s="7" t="inlineStr">
        <is>
          <t>HOW TO USE THIS DOCUMENT — what each sheet is for, who uses it, and in what order</t>
        </is>
      </c>
      <c r="B1" s="2" t="n"/>
      <c r="C1" s="2" t="n"/>
      <c r="D1" s="2" t="n"/>
      <c r="E1" s="2" t="n"/>
      <c r="F1" s="2" t="n"/>
    </row>
    <row r="2" ht="58" customHeight="1">
      <c r="A2" s="8" t="inlineStr">
        <is>
          <t>HOW TO USE THIS SHEET — This is the index. Work down the "Read in this order" column the first time. Every other sheet repeats its own instructions in row 2, so you never have to come back here.</t>
        </is>
      </c>
    </row>
    <row r="4">
      <c r="A4" s="3" t="inlineStr">
        <is>
          <t>#</t>
        </is>
      </c>
      <c r="B4" s="3" t="inlineStr">
        <is>
          <t>Sheet</t>
        </is>
      </c>
      <c r="C4" s="3" t="inlineStr">
        <is>
          <t>What it answers</t>
        </is>
      </c>
      <c r="D4" s="3" t="inlineStr">
        <is>
          <t>Who uses it</t>
        </is>
      </c>
      <c r="E4" s="3" t="inlineStr">
        <is>
          <t>How to use it</t>
        </is>
      </c>
      <c r="F4" s="3" t="inlineStr">
        <is>
          <t>Read in this order</t>
        </is>
      </c>
    </row>
    <row r="5">
      <c r="A5" s="4" t="n">
        <v>1</v>
      </c>
      <c r="B5" s="10" t="inlineStr">
        <is>
          <t>Cover</t>
        </is>
      </c>
      <c r="C5" s="4" t="inlineStr">
        <is>
          <t>What this document is, which versions it covers, who prepared and approved it</t>
        </is>
      </c>
      <c r="D5" s="4" t="inlineStr">
        <is>
          <t>Anyone</t>
        </is>
      </c>
      <c r="E5" s="4" t="inlineStr">
        <is>
          <t>Check the document version and issue date match what you were sent. Note the companion documents — this one does not repeat their content.</t>
        </is>
      </c>
      <c r="F5" s="4" t="inlineStr">
        <is>
          <t>1</t>
        </is>
      </c>
    </row>
    <row r="6">
      <c r="A6" s="4" t="n">
        <v>2</v>
      </c>
      <c r="B6" s="10" t="inlineStr">
        <is>
          <t>Context</t>
        </is>
      </c>
      <c r="C6" s="4" t="inlineStr">
        <is>
          <t>What the product is, how releases are numbered, what state the product is actually in</t>
        </is>
      </c>
      <c r="D6" s="4" t="inlineStr">
        <is>
          <t>New reader, reviewer, auditor</t>
        </is>
      </c>
      <c r="E6" s="4" t="inlineStr">
        <is>
          <t>Read once, start to finish. It is the shortest honest briefing on the product in the whole document set.</t>
        </is>
      </c>
      <c r="F6" s="4" t="inlineStr">
        <is>
          <t>2</t>
        </is>
      </c>
    </row>
    <row r="7">
      <c r="A7" s="4" t="n">
        <v>3</v>
      </c>
      <c r="B7" s="10" t="inlineStr">
        <is>
          <t>How_To_Use</t>
        </is>
      </c>
      <c r="C7" s="4" t="inlineStr">
        <is>
          <t>Which sheet answers which question</t>
        </is>
      </c>
      <c r="D7" s="4" t="inlineStr">
        <is>
          <t>Anyone</t>
        </is>
      </c>
      <c r="E7" s="4" t="inlineStr">
        <is>
          <t>You are here. Use the last column as a reading order.</t>
        </is>
      </c>
      <c r="F7" s="4" t="inlineStr">
        <is>
          <t>3</t>
        </is>
      </c>
    </row>
    <row r="8">
      <c r="A8" s="4" t="n">
        <v>4</v>
      </c>
      <c r="B8" s="10" t="inlineStr">
        <is>
          <t>Version_Control</t>
        </is>
      </c>
      <c r="C8" s="4" t="inlineStr">
        <is>
          <t>The change history of THIS document</t>
        </is>
      </c>
      <c r="D8" s="4" t="inlineStr">
        <is>
          <t>Reviewer, auditor</t>
        </is>
      </c>
      <c r="E8" s="4" t="inlineStr">
        <is>
          <t>Every reissue adds a row. Never edit a released row — supersede it.</t>
        </is>
      </c>
      <c r="F8" s="4" t="inlineStr">
        <is>
          <t>4</t>
        </is>
      </c>
    </row>
    <row r="9">
      <c r="A9" s="4" t="n">
        <v>5</v>
      </c>
      <c r="B9" s="10" t="inlineStr">
        <is>
          <t>Version_Detail</t>
        </is>
      </c>
      <c r="C9" s="4" t="inlineStr">
        <is>
          <t>For each release: what was done, why it was done, what came out of it, and its status</t>
        </is>
      </c>
      <c r="D9" s="4" t="inlineStr">
        <is>
          <t>Senthil, reviewer, auditor</t>
        </is>
      </c>
      <c r="E9" s="4" t="inlineStr">
        <is>
          <t>One row per release, oldest first. The "Why it was done" column is the point of the sheet: it is the reason the work happened, not a restatement of the work.</t>
        </is>
      </c>
      <c r="F9" s="4" t="inlineStr">
        <is>
          <t>5</t>
        </is>
      </c>
    </row>
    <row r="10">
      <c r="A10" s="4" t="n">
        <v>6</v>
      </c>
      <c r="B10" s="10" t="inlineStr">
        <is>
          <t>Pending_Versions</t>
        </is>
      </c>
      <c r="C10" s="4" t="inlineStr">
        <is>
          <t>What is NOT done, why, who owns it and what would unblock it</t>
        </is>
      </c>
      <c r="D10" s="4" t="inlineStr">
        <is>
          <t>Senthil</t>
        </is>
      </c>
      <c r="E10" s="4" t="inlineStr">
        <is>
          <t>Read every row. Each names the single thing that has to exist before the work can start. Nothing here can be closed by writing code.</t>
        </is>
      </c>
      <c r="F10" s="4" t="inlineStr">
        <is>
          <t>6</t>
        </is>
      </c>
    </row>
    <row r="11">
      <c r="A11" s="4" t="n">
        <v>7</v>
      </c>
      <c r="B11" s="10" t="inlineStr">
        <is>
          <t>Version_Steps</t>
        </is>
      </c>
      <c r="C11" s="4" t="inlineStr">
        <is>
          <t>The step-by-step of each release, in the order it happened</t>
        </is>
      </c>
      <c r="D11" s="4" t="inlineStr">
        <is>
          <t>Reviewer, auditor</t>
        </is>
      </c>
      <c r="E11" s="4" t="inlineStr">
        <is>
          <t>Use it to reconstruct a release, or to see the working method: audits and reviews run to a repeated shape and this sheet shows it.</t>
        </is>
      </c>
      <c r="F11" s="4" t="inlineStr">
        <is>
          <t>7</t>
        </is>
      </c>
    </row>
    <row r="12">
      <c r="A12" s="4" t="n">
        <v>8</v>
      </c>
      <c r="B12" s="10" t="inlineStr">
        <is>
          <t>Test_Cases</t>
        </is>
      </c>
      <c r="C12" s="4" t="inlineStr">
        <is>
          <t>How a human verifies each release by hand, positively and negatively</t>
        </is>
      </c>
      <c r="D12" s="4" t="inlineStr">
        <is>
          <t>Tester</t>
        </is>
      </c>
      <c r="E12" s="4" t="inlineStr">
        <is>
          <t>Filter by Version to test one release, or by Executable to find what you can run today. Fill Actual result, Status, Tester and Date as you go. Do not edit the Expected result column.</t>
        </is>
      </c>
      <c r="F12" s="4" t="inlineStr">
        <is>
          <t>8</t>
        </is>
      </c>
    </row>
    <row r="13">
      <c r="A13" s="4" t="n">
        <v>9</v>
      </c>
      <c r="B13" s="10" t="inlineStr">
        <is>
          <t>Test_Execution_Log</t>
        </is>
      </c>
      <c r="C13" s="4" t="inlineStr">
        <is>
          <t>Which test run happened when, against what build, with what outcome</t>
        </is>
      </c>
      <c r="D13" s="4" t="inlineStr">
        <is>
          <t>Test lead</t>
        </is>
      </c>
      <c r="E13" s="4" t="inlineStr">
        <is>
          <t>One row per execution cycle. Copy the case ids that failed into the Failed cases column and raise them in Defect_Log.</t>
        </is>
      </c>
      <c r="F13" s="4" t="inlineStr">
        <is>
          <t>9</t>
        </is>
      </c>
    </row>
    <row r="14">
      <c r="A14" s="4" t="n">
        <v>10</v>
      </c>
      <c r="B14" s="10" t="inlineStr">
        <is>
          <t>RTM</t>
        </is>
      </c>
      <c r="C14" s="4" t="inlineStr">
        <is>
          <t>Which test covers which release, story and finding — and which findings have no test</t>
        </is>
      </c>
      <c r="D14" s="4" t="inlineStr">
        <is>
          <t>Auditor, reviewer</t>
        </is>
      </c>
      <c r="E14" s="4" t="inlineStr">
        <is>
          <t>The reverse map of Test_Cases. Use it to answer "what proves finding F-029 is fixed?" in one lookup.</t>
        </is>
      </c>
      <c r="F14" s="4" t="inlineStr">
        <is>
          <t>10</t>
        </is>
      </c>
    </row>
    <row r="15">
      <c r="A15" s="4" t="n">
        <v>11</v>
      </c>
      <c r="B15" s="10" t="inlineStr">
        <is>
          <t>Defect_Log</t>
        </is>
      </c>
      <c r="C15" s="4" t="inlineStr">
        <is>
          <t>Every defect found, where it came from and how it was closed</t>
        </is>
      </c>
      <c r="D15" s="4" t="inlineStr">
        <is>
          <t>Reviewer, auditor</t>
        </is>
      </c>
      <c r="E15" s="4" t="inlineStr">
        <is>
          <t>Read the Origin column: the pattern in this product is that defects came from audits of already-"done" work, not from feature development.</t>
        </is>
      </c>
      <c r="F15" s="4" t="inlineStr">
        <is>
          <t>11</t>
        </is>
      </c>
    </row>
    <row r="16">
      <c r="A16" s="4" t="n">
        <v>12</v>
      </c>
      <c r="B16" s="10" t="inlineStr">
        <is>
          <t>Test_Summary</t>
        </is>
      </c>
      <c r="C16" s="4" t="inlineStr">
        <is>
          <t>Counts and coverage, computed live from Test_Cases</t>
        </is>
      </c>
      <c r="D16" s="4" t="inlineStr">
        <is>
          <t>Senthil, test lead</t>
        </is>
      </c>
      <c r="E16" s="4" t="inlineStr">
        <is>
          <t>Do not type in this sheet. Every number is a formula. If a count looks wrong, the data on Test_Cases is wrong.</t>
        </is>
      </c>
      <c r="F16" s="4" t="inlineStr">
        <is>
          <t>12</t>
        </is>
      </c>
    </row>
    <row r="17">
      <c r="A17" s="4" t="n">
        <v>13</v>
      </c>
      <c r="B17" s="10" t="inlineStr">
        <is>
          <t>Assumptions_Constraints</t>
        </is>
      </c>
      <c r="C17" s="4" t="inlineStr">
        <is>
          <t>What this test specification assumes, and what it cannot prove</t>
        </is>
      </c>
      <c r="D17" s="4" t="inlineStr">
        <is>
          <t>Reviewer, auditor</t>
        </is>
      </c>
      <c r="E17" s="4" t="inlineStr">
        <is>
          <t>Read before challenging a Pass. The limits of a sandbox are stated here rather than discovered later.</t>
        </is>
      </c>
      <c r="F17" s="4" t="inlineStr">
        <is>
          <t>13</t>
        </is>
      </c>
    </row>
    <row r="18">
      <c r="A18" s="4" t="n">
        <v>14</v>
      </c>
      <c r="B18" s="10" t="inlineStr">
        <is>
          <t>Glossary</t>
        </is>
      </c>
      <c r="C18" s="4" t="inlineStr">
        <is>
          <t>Every identifier prefix and term used anywhere in the document set</t>
        </is>
      </c>
      <c r="D18" s="4" t="inlineStr">
        <is>
          <t>Anyone</t>
        </is>
      </c>
      <c r="E18" s="4" t="inlineStr">
        <is>
          <t>Look up an unfamiliar prefix (F-, P-, SD-, ST-, VER-, GAP-, OBS-, LC-, D-SD) before assuming what it means.</t>
        </is>
      </c>
      <c r="F18" s="4" t="inlineStr">
        <is>
          <t>As needed</t>
        </is>
      </c>
    </row>
    <row r="19">
      <c r="A19" s="4" t="n">
        <v>15</v>
      </c>
      <c r="B19" s="10" t="inlineStr">
        <is>
          <t>Signoff</t>
        </is>
      </c>
      <c r="C19" s="4" t="inlineStr">
        <is>
          <t>Who accepted this document and on what basis</t>
        </is>
      </c>
      <c r="D19" s="4" t="inlineStr">
        <is>
          <t>Senthil</t>
        </is>
      </c>
      <c r="E19" s="4" t="inlineStr">
        <is>
          <t>Sign only the rows you have actually checked. An unsigned row is more useful than a signed one that was not read.</t>
        </is>
      </c>
      <c r="F19" s="4" t="inlineStr">
        <is>
          <t>Last</t>
        </is>
      </c>
    </row>
  </sheetData>
  <pageMargins left="0.75" right="0.75" top="1" bottom="1" header="0.5" footer="0.5"/>
</worksheet>
</file>

<file path=xl/worksheets/sheet4.xml><?xml version="1.0" encoding="utf-8"?>
<worksheet xmlns="http://schemas.openxmlformats.org/spreadsheetml/2006/main">
  <sheetPr>
    <tabColor rgb="FF2E75B6"/>
    <outlinePr summaryBelow="1" summaryRight="1"/>
    <pageSetUpPr/>
  </sheetPr>
  <dimension ref="A1:F6"/>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22" customWidth="1" min="3" max="3"/>
    <col width="96" customWidth="1" min="4" max="4"/>
    <col width="30" customWidth="1" min="5" max="5"/>
    <col width="14" customWidth="1" min="6" max="6"/>
  </cols>
  <sheetData>
    <row r="1">
      <c r="A1" s="7" t="inlineStr">
        <is>
          <t>VERSION CONTROL — change history of this document</t>
        </is>
      </c>
      <c r="B1" s="2" t="n"/>
      <c r="C1" s="2" t="n"/>
      <c r="D1" s="2" t="n"/>
      <c r="E1" s="2" t="n"/>
      <c r="F1" s="2" t="n"/>
    </row>
    <row r="2" ht="58" customHeight="1">
      <c r="A2" s="8" t="inlineStr">
        <is>
          <t>HOW TO USE THIS SHEET — Add a row for every reissue: never overwrite a released row. Version ids are V001, V002 ... and the file name carries the same id plus the issue timestamp, so a file on disk can always be matched to a row here.</t>
        </is>
      </c>
    </row>
    <row r="4">
      <c r="A4" s="3" t="inlineStr">
        <is>
          <t>Document version</t>
        </is>
      </c>
      <c r="B4" s="3" t="inlineStr">
        <is>
          <t>Date / time</t>
        </is>
      </c>
      <c r="C4" s="3" t="inlineStr">
        <is>
          <t>Author</t>
        </is>
      </c>
      <c r="D4" s="3" t="inlineStr">
        <is>
          <t>Change description</t>
        </is>
      </c>
      <c r="E4" s="3" t="inlineStr">
        <is>
          <t>Sections affected</t>
        </is>
      </c>
      <c r="F4" s="3" t="inlineStr">
        <is>
          <t>Status</t>
        </is>
      </c>
    </row>
    <row r="5">
      <c r="A5" s="6" t="inlineStr">
        <is>
          <t>V001</t>
        </is>
      </c>
      <c r="B5" s="6" t="inlineStr">
        <is>
          <t>2026-09-20 17:15</t>
        </is>
      </c>
      <c r="C5" s="6" t="inlineStr">
        <is>
          <t>Claude for Senthil/KP</t>
        </is>
      </c>
      <c r="D5" s="6" t="inlineStr">
        <is>
          <t>First issue. Created at Senthil's request on 20 Sep 17:15 alongside the pictorial product explainer. Covers releases v001-v040 with the reason for each, the pending release v041 with the reason it is pending, a step-by-step reconstruction of every release, and 199 manual test cases (positive and negative) mapped to releases, stories and findings. Front matter, glossary, requirements traceability matrix, defect log, execution log, live summary, assumptions and sign-off included to market convention.</t>
        </is>
      </c>
      <c r="E5" s="6" t="inlineStr">
        <is>
          <t>All — first issue</t>
        </is>
      </c>
      <c r="F5" s="11" t="inlineStr">
        <is>
          <t>Released</t>
        </is>
      </c>
    </row>
    <row r="6">
      <c r="A6" s="6" t="inlineStr">
        <is>
          <t>V002</t>
        </is>
      </c>
      <c r="B6" s="6" t="n"/>
      <c r="C6" s="6" t="n"/>
      <c r="D6" s="6" t="inlineStr">
        <is>
          <t>PLANNED: reissue when release v041 closes — the cold review of the S13-S20 code, or the first real dev-tenant sweep, whichever lands first. v041 moves from Pending_Versions to Version_Detail, its four blocked cases become executable, and their results are recorded.</t>
        </is>
      </c>
      <c r="E6" s="6" t="n"/>
      <c r="F6" s="12" t="inlineStr">
        <is>
          <t>Planned</t>
        </is>
      </c>
    </row>
  </sheetData>
  <pageMargins left="0.75" right="0.75" top="1" bottom="1" header="0.5" footer="0.5"/>
</worksheet>
</file>

<file path=xl/worksheets/sheet5.xml><?xml version="1.0" encoding="utf-8"?>
<worksheet xmlns="http://schemas.openxmlformats.org/spreadsheetml/2006/main">
  <sheetPr>
    <tabColor rgb="FF548235"/>
    <outlinePr summaryBelow="1" summaryRight="1"/>
    <pageSetUpPr/>
  </sheetPr>
  <dimension ref="A1:J46"/>
  <sheetViews>
    <sheetView showGridLines="0" workbookViewId="0">
      <pane ySplit="4" topLeftCell="A5" activePane="bottomLeft" state="frozen"/>
      <selection pane="bottomLeft" activeCell="A1" sqref="A1"/>
    </sheetView>
  </sheetViews>
  <sheetFormatPr baseColWidth="8" defaultRowHeight="15"/>
  <cols>
    <col width="9" customWidth="1" min="1" max="1"/>
    <col width="17" customWidth="1" min="2" max="2"/>
    <col width="9" customWidth="1" min="3" max="3"/>
    <col width="11" customWidth="1" min="4" max="4"/>
    <col width="64" customWidth="1" min="5" max="5"/>
    <col width="72" customWidth="1" min="6" max="6"/>
    <col width="62" customWidth="1" min="7" max="7"/>
    <col width="22" customWidth="1" min="8" max="8"/>
    <col width="11" customWidth="1" min="9" max="9"/>
    <col width="11" customWidth="1" min="10" max="10"/>
  </cols>
  <sheetData>
    <row r="1">
      <c r="A1" s="7" t="inlineStr">
        <is>
          <t>VERSION DETAIL — every released version: what was done, why it was done, what came of it</t>
        </is>
      </c>
      <c r="B1" s="2" t="n"/>
      <c r="C1" s="2" t="n"/>
      <c r="D1" s="2" t="n"/>
      <c r="E1" s="2" t="n"/>
      <c r="F1" s="2" t="n"/>
      <c r="G1" s="2" t="n"/>
      <c r="H1" s="2" t="n"/>
      <c r="I1" s="2" t="n"/>
      <c r="J1" s="2" t="n"/>
    </row>
    <row r="2" ht="58" customHeight="1">
      <c r="A2" s="8" t="inlineStr">
        <is>
          <t>HOW TO USE THIS SHEET — One row per release, oldest first. Columns E and F are the substance: E is what happened, F is why it happened at all. Column H gives the verification status using the D-SD2 vocabulary explained on the Cover sheet. Use column J to jump to the step-by-step on Version_Steps and the cases on Test_Cases.</t>
        </is>
      </c>
    </row>
    <row r="4">
      <c r="A4" s="3" t="inlineStr">
        <is>
          <t>Release</t>
        </is>
      </c>
      <c r="B4" s="3" t="inlineStr">
        <is>
          <t>Date / time</t>
        </is>
      </c>
      <c r="C4" s="3" t="inlineStr">
        <is>
          <t>Session</t>
        </is>
      </c>
      <c r="D4" s="3" t="inlineStr">
        <is>
          <t>Category</t>
        </is>
      </c>
      <c r="E4" s="3" t="inlineStr">
        <is>
          <t>What was done</t>
        </is>
      </c>
      <c r="F4" s="3" t="inlineStr">
        <is>
          <t>Why it was done</t>
        </is>
      </c>
      <c r="G4" s="3" t="inlineStr">
        <is>
          <t>Outcome / evidence</t>
        </is>
      </c>
      <c r="H4" s="3" t="inlineStr">
        <is>
          <t>Verification status</t>
        </is>
      </c>
      <c r="I4" s="3" t="inlineStr">
        <is>
          <t>Codebase</t>
        </is>
      </c>
      <c r="J4" s="3" t="inlineStr">
        <is>
          <t>Test cases</t>
        </is>
      </c>
    </row>
    <row r="5">
      <c r="A5" s="10" t="inlineStr">
        <is>
          <t>v001</t>
        </is>
      </c>
      <c r="B5" s="4" t="inlineStr">
        <is>
          <t>2026-09-10 23:03</t>
        </is>
      </c>
      <c r="C5" s="4" t="inlineStr">
        <is>
          <t>S1-S2</t>
        </is>
      </c>
      <c r="D5" s="13" t="inlineStr">
        <is>
          <t>BUILD</t>
        </is>
      </c>
      <c r="E5" s="4" t="inlineStr">
        <is>
          <t>Foundation through S8 consolidated into one tracker</t>
        </is>
      </c>
      <c r="F5" s="4" t="inlineStr">
        <is>
          <t>Senthil instruction 10 Sep 22:26: continue per the v005 sprint plan with a sprint tracker, traceability and 100% automation coverage (D13). The product had eight sprints of code and no execution record.</t>
        </is>
      </c>
      <c r="G5" s="4" t="inlineStr">
        <is>
          <t>75 stories Done, 8 code-complete pending live, 15 Jest suites / 67 tests at 100%</t>
        </is>
      </c>
      <c r="H5" s="14" t="inlineStr">
        <is>
          <t>Released — verified in sandbox</t>
        </is>
      </c>
      <c r="I5" s="4" t="inlineStr">
        <is>
          <t>v0.6.0</t>
        </is>
      </c>
      <c r="J5" s="4" t="inlineStr">
        <is>
          <t>5 cases</t>
        </is>
      </c>
    </row>
    <row r="6">
      <c r="A6" s="10" t="inlineStr">
        <is>
          <t>v002</t>
        </is>
      </c>
      <c r="B6" s="4" t="inlineStr">
        <is>
          <t>2026-09-10 23:10</t>
        </is>
      </c>
      <c r="C6" s="4" t="inlineStr">
        <is>
          <t>S3</t>
        </is>
      </c>
      <c r="D6" s="13" t="inlineStr">
        <is>
          <t>BUILD</t>
        </is>
      </c>
      <c r="E6" s="4" t="inlineStr">
        <is>
          <t>Live-sweep readiness pack: manifest v1.17, icons, typed config loader, 12-step sweep, dev-tenant guide</t>
        </is>
      </c>
      <c r="F6" s="4" t="inlineStr">
        <is>
          <t>Nothing could be installed in a real tenant: no manifest package existed, so no story could ever leave "pending live". Sideloading needs no Partner Center, so this unblocked same-day verification.</t>
        </is>
      </c>
      <c r="G6" s="4" t="inlineStr">
        <is>
          <t>Gate LC-2 advanced to manifest-ready</t>
        </is>
      </c>
      <c r="H6" s="14" t="inlineStr">
        <is>
          <t>Released — verified in sandbox</t>
        </is>
      </c>
      <c r="I6" s="4" t="inlineStr">
        <is>
          <t>v0.6.1</t>
        </is>
      </c>
      <c r="J6" s="4" t="inlineStr">
        <is>
          <t>3 cases</t>
        </is>
      </c>
    </row>
    <row r="7">
      <c r="A7" s="10" t="inlineStr">
        <is>
          <t>v003</t>
        </is>
      </c>
      <c r="B7" s="4" t="inlineStr">
        <is>
          <t>2026-09-11 08:20</t>
        </is>
      </c>
      <c r="C7" s="4" t="inlineStr">
        <is>
          <t>S4</t>
        </is>
      </c>
      <c r="D7" s="13" t="inlineStr">
        <is>
          <t>BUILD</t>
        </is>
      </c>
      <c r="E7" s="4" t="inlineStr">
        <is>
          <t>Ops parity pack: k6 5x load harness, blue/green deploy workflow, scripted backup/restore drill</t>
        </is>
      </c>
      <c r="F7" s="4" t="inlineStr">
        <is>
          <t>Three launch-checklist items (load, deploy, backup) were prose. A checklist item with no executable behind it cannot be evidence.</t>
        </is>
      </c>
      <c r="G7" s="4" t="inlineStr">
        <is>
          <t>ST-088/090/092 moved Backlog to Drafted; Gate LC-8 harness-scripted</t>
        </is>
      </c>
      <c r="H7" s="14" t="inlineStr">
        <is>
          <t>Released — verified in sandbox</t>
        </is>
      </c>
      <c r="I7" s="4" t="inlineStr">
        <is>
          <t>v0.6.2</t>
        </is>
      </c>
      <c r="J7" s="4" t="inlineStr">
        <is>
          <t>3 cases</t>
        </is>
      </c>
    </row>
    <row r="8">
      <c r="A8" s="10" t="inlineStr">
        <is>
          <t>v004</t>
        </is>
      </c>
      <c r="B8" s="4" t="inlineStr">
        <is>
          <t>2026-09-11 12:51</t>
        </is>
      </c>
      <c r="C8" s="4" t="inlineStr">
        <is>
          <t>S5</t>
        </is>
      </c>
      <c r="D8" s="15" t="inlineStr">
        <is>
          <t>REVIEW</t>
        </is>
      </c>
      <c r="E8" s="4" t="inlineStr">
        <is>
          <t>Adversarial cold-review pass 1 over the S1-S8 code</t>
        </is>
      </c>
      <c r="F8" s="4" t="inlineStr">
        <is>
          <t>100% coverage had never been tested against an adversary. Coverage proves execution, not correctness, and the product had never been read by anyone looking for defects.</t>
        </is>
      </c>
      <c r="G8" s="4" t="inlineStr">
        <is>
          <t>6 defects fixed with regressions (F-001..F-006); F-007/F-008 raised for disposition; F-009 evidence-discipline finding closed</t>
        </is>
      </c>
      <c r="H8" s="14" t="inlineStr">
        <is>
          <t>Released — verified in sandbox</t>
        </is>
      </c>
      <c r="I8" s="4" t="inlineStr">
        <is>
          <t>v0.7.0</t>
        </is>
      </c>
      <c r="J8" s="4" t="inlineStr">
        <is>
          <t>5 cases</t>
        </is>
      </c>
    </row>
    <row r="9">
      <c r="A9" s="10" t="inlineStr">
        <is>
          <t>v005</t>
        </is>
      </c>
      <c r="B9" s="4" t="inlineStr">
        <is>
          <t>2026-09-11 20:30</t>
        </is>
      </c>
      <c r="C9" s="4" t="inlineStr">
        <is>
          <t>S6</t>
        </is>
      </c>
      <c r="D9" s="15" t="inlineStr">
        <is>
          <t>REVIEW</t>
        </is>
      </c>
      <c r="E9" s="4" t="inlineStr">
        <is>
          <t>Cold-review pass 2 plus the completion wave taking the last backlog stories to sandbox ceiling</t>
        </is>
      </c>
      <c r="F9" s="4" t="inlineStr">
        <is>
          <t>Pass 1 found six defects in code that was already "done", so a second pass was warranted before declaring the code phase complete.</t>
        </is>
      </c>
      <c r="G9" s="4" t="inlineStr">
        <is>
          <t>F-010..F-013 fixed; backlog zero; 22 suites / 109 tests at 100%</t>
        </is>
      </c>
      <c r="H9" s="14" t="inlineStr">
        <is>
          <t>Released — verified in sandbox</t>
        </is>
      </c>
      <c r="I9" s="4" t="inlineStr">
        <is>
          <t>v0.11.0</t>
        </is>
      </c>
      <c r="J9" s="4" t="inlineStr">
        <is>
          <t>4 cases</t>
        </is>
      </c>
    </row>
    <row r="10">
      <c r="A10" s="10" t="inlineStr">
        <is>
          <t>v006</t>
        </is>
      </c>
      <c r="B10" s="4" t="inlineStr">
        <is>
          <t>2026-09-13 09:52</t>
        </is>
      </c>
      <c r="C10" s="4" t="inlineStr">
        <is>
          <t>S7</t>
        </is>
      </c>
      <c r="D10" s="16" t="inlineStr">
        <is>
          <t>VERIFY</t>
        </is>
      </c>
      <c r="E10" s="4" t="inlineStr">
        <is>
          <t>External verification sweep against live Microsoft documentation, plus artifact-gap audit round 1</t>
        </is>
      </c>
      <c r="F10" s="4" t="inlineStr">
        <is>
          <t>Every Teams-platform behaviour had been written from assumption. A store-blocking mistake is cheapest to find against the vendor documentation, not in a review queue.</t>
        </is>
      </c>
      <c r="G10" s="4" t="inlineStr">
        <is>
          <t>VER-SD01/02 store-blocking and VER-SD08 live-blocking raised; LC-5 reopened on an overstated permission model</t>
        </is>
      </c>
      <c r="H10" s="14" t="inlineStr">
        <is>
          <t>Released — verified in sandbox</t>
        </is>
      </c>
      <c r="I10" s="4" t="inlineStr">
        <is>
          <t>v0.11.1</t>
        </is>
      </c>
      <c r="J10" s="4" t="inlineStr">
        <is>
          <t>3 cases</t>
        </is>
      </c>
    </row>
    <row r="11">
      <c r="A11" s="10" t="inlineStr">
        <is>
          <t>v007</t>
        </is>
      </c>
      <c r="B11" s="4" t="inlineStr">
        <is>
          <t>2026-09-13 10:01</t>
        </is>
      </c>
      <c r="C11" s="4" t="inlineStr">
        <is>
          <t>S8</t>
        </is>
      </c>
      <c r="D11" s="17" t="inlineStr">
        <is>
          <t>GAP</t>
        </is>
      </c>
      <c r="E11" s="4" t="inlineStr">
        <is>
          <t>Artifact-gap audit round 2: the web tab layer and the bot command router</t>
        </is>
      </c>
      <c r="F11" s="4" t="inlineStr">
        <is>
          <t>The manifest declared three static tabs and advertised bot commands with nothing behind either. A manifest promise with no implementation is a store rejection and a broken install.</t>
        </is>
      </c>
      <c r="G11" s="4" t="inlineStr">
        <is>
          <t>GAP-SD1 and GAP-SD2 closed; 26 suites / 145 tests</t>
        </is>
      </c>
      <c r="H11" s="14" t="inlineStr">
        <is>
          <t>Released — verified in sandbox</t>
        </is>
      </c>
      <c r="I11" s="4" t="inlineStr">
        <is>
          <t>v0.11.2</t>
        </is>
      </c>
      <c r="J11" s="4" t="inlineStr">
        <is>
          <t>4 cases</t>
        </is>
      </c>
    </row>
    <row r="12">
      <c r="A12" s="10" t="inlineStr">
        <is>
          <t>v008</t>
        </is>
      </c>
      <c r="B12" s="4" t="inlineStr">
        <is>
          <t>2026-09-13 10:24</t>
        </is>
      </c>
      <c r="C12" s="4" t="inlineStr">
        <is>
          <t>S9</t>
        </is>
      </c>
      <c r="D12" s="15" t="inlineStr">
        <is>
          <t>REVIEW</t>
        </is>
      </c>
      <c r="E12" s="4" t="inlineStr">
        <is>
          <t>Cold-review pass 3 over the sessions 5-8 code that had never been reviewed</t>
        </is>
      </c>
      <c r="F12" s="4" t="inlineStr">
        <is>
          <t>New code is the least-reviewed code. Twelve modules had shipped at 100% coverage since the last review pass.</t>
        </is>
      </c>
      <c r="G12" s="4" t="inlineStr">
        <is>
          <t>F-014..F-019 fixed; headline F-016: the tab API validated the SSO token then never sent it</t>
        </is>
      </c>
      <c r="H12" s="14" t="inlineStr">
        <is>
          <t>Released — verified in sandbox</t>
        </is>
      </c>
      <c r="I12" s="4" t="inlineStr">
        <is>
          <t>v0.11.3</t>
        </is>
      </c>
      <c r="J12" s="4" t="inlineStr">
        <is>
          <t>4 cases</t>
        </is>
      </c>
    </row>
    <row r="13">
      <c r="A13" s="10" t="inlineStr">
        <is>
          <t>v009</t>
        </is>
      </c>
      <c r="B13" s="4" t="inlineStr">
        <is>
          <t>2026-09-13 10:37</t>
        </is>
      </c>
      <c r="C13" s="4" t="inlineStr">
        <is>
          <t>S10</t>
        </is>
      </c>
      <c r="D13" s="17" t="inlineStr">
        <is>
          <t>GAP</t>
        </is>
      </c>
      <c r="E13" s="4" t="inlineStr">
        <is>
          <t>Artifact-gap audit round 3: the HTTP server and bootstrap</t>
        </is>
      </c>
      <c r="F13" s="4" t="inlineStr">
        <is>
          <t>Three of five tab paths and the bot messaging endpoint had no server behind them. The client called a server that did not exist.</t>
        </is>
      </c>
      <c r="G13" s="4" t="inlineStr">
        <is>
          <t>GAP-SD5 closed with src/server.ts + src/bootstrap.ts and a client-vs-server parity test</t>
        </is>
      </c>
      <c r="H13" s="14" t="inlineStr">
        <is>
          <t>Released — verified in sandbox</t>
        </is>
      </c>
      <c r="I13" s="4" t="inlineStr">
        <is>
          <t>v0.11.4</t>
        </is>
      </c>
      <c r="J13" s="4" t="inlineStr">
        <is>
          <t>4 cases</t>
        </is>
      </c>
    </row>
    <row r="14">
      <c r="A14" s="10" t="inlineStr">
        <is>
          <t>v010</t>
        </is>
      </c>
      <c r="B14" s="4" t="inlineStr">
        <is>
          <t>2026-09-13 10:42</t>
        </is>
      </c>
      <c r="C14" s="4" t="inlineStr">
        <is>
          <t>S11</t>
        </is>
      </c>
      <c r="D14" s="16" t="inlineStr">
        <is>
          <t>VERIFY</t>
        </is>
      </c>
      <c r="E14" s="4" t="inlineStr">
        <is>
          <t>Verification sweep 2 over the bot transport seam</t>
        </is>
      </c>
      <c r="F14" s="4" t="inlineStr">
        <is>
          <t>The bot endpoint built one session earlier was written from assumption: authentication, payload shape and reply mechanism were all guesses, and its own tests passed.</t>
        </is>
      </c>
      <c r="G14" s="4" t="inlineStr">
        <is>
          <t>VER-SD09/SD10 live-blockers closed (Connector JWT, ack-then-send); VER-SD11/SD12 closed</t>
        </is>
      </c>
      <c r="H14" s="14" t="inlineStr">
        <is>
          <t>Released — verified in sandbox</t>
        </is>
      </c>
      <c r="I14" s="4" t="inlineStr">
        <is>
          <t>v0.11.5</t>
        </is>
      </c>
      <c r="J14" s="4" t="inlineStr">
        <is>
          <t>4 cases</t>
        </is>
      </c>
    </row>
    <row r="15">
      <c r="A15" s="10" t="inlineStr">
        <is>
          <t>v011</t>
        </is>
      </c>
      <c r="B15" s="4" t="inlineStr">
        <is>
          <t>2026-09-13 10:57</t>
        </is>
      </c>
      <c r="C15" s="4" t="inlineStr">
        <is>
          <t>S12</t>
        </is>
      </c>
      <c r="D15" s="16" t="inlineStr">
        <is>
          <t>VERIFY</t>
        </is>
      </c>
      <c r="E15" s="4" t="inlineStr">
        <is>
          <t>Verification sweep 3 over the tab SSO seam</t>
        </is>
      </c>
      <c r="F15" s="4" t="inlineStr">
        <is>
          <t>Same class as the bot seam one session earlier: the tab was sending a hardcoded placeholder token while the manifest declared SSO.</t>
        </is>
      </c>
      <c r="G15" s="4" t="inlineStr">
        <is>
          <t>VER-SD13 live-blocker closed with real acquisition and validation; VER-SD14 documented</t>
        </is>
      </c>
      <c r="H15" s="14" t="inlineStr">
        <is>
          <t>Released — verified in sandbox</t>
        </is>
      </c>
      <c r="I15" s="4" t="inlineStr">
        <is>
          <t>v0.11.6</t>
        </is>
      </c>
      <c r="J15" s="4" t="inlineStr">
        <is>
          <t>4 cases</t>
        </is>
      </c>
    </row>
    <row r="16">
      <c r="A16" s="10" t="inlineStr">
        <is>
          <t>v012</t>
        </is>
      </c>
      <c r="B16" s="4" t="inlineStr">
        <is>
          <t>2026-09-13 11:02</t>
        </is>
      </c>
      <c r="C16" s="4" t="inlineStr">
        <is>
          <t>S13</t>
        </is>
      </c>
      <c r="D16" s="17" t="inlineStr">
        <is>
          <t>GAP</t>
        </is>
      </c>
      <c r="E16" s="4" t="inlineStr">
        <is>
          <t>Artifact-gap audit round 4: Graph membership consumed, unused scope dropped</t>
        </is>
      </c>
      <c r="F16" s="4" t="inlineStr">
        <is>
          <t>TeamMember.Read.Group was requested and documented but never consumed, and every role resolver was a stub. Requesting a permission you do not use fails store review and misleads the consent screen.</t>
        </is>
      </c>
      <c r="G16" s="4" t="inlineStr">
        <is>
          <t>GAP-SD6 closed with src/graphMembers.ts; GAP-SD7 dropped as D-SD5; scopes bound to consumer files by test</t>
        </is>
      </c>
      <c r="H16" s="14" t="inlineStr">
        <is>
          <t>Released — verified in sandbox</t>
        </is>
      </c>
      <c r="I16" s="4" t="inlineStr">
        <is>
          <t>v0.11.7</t>
        </is>
      </c>
      <c r="J16" s="4" t="inlineStr">
        <is>
          <t>3 cases</t>
        </is>
      </c>
    </row>
    <row r="17">
      <c r="A17" s="10" t="inlineStr">
        <is>
          <t>v013</t>
        </is>
      </c>
      <c r="B17" s="4" t="inlineStr">
        <is>
          <t>2026-09-13 11:07</t>
        </is>
      </c>
      <c r="C17" s="4" t="inlineStr">
        <is>
          <t>S14</t>
        </is>
      </c>
      <c r="D17" s="15" t="inlineStr">
        <is>
          <t>REVIEW</t>
        </is>
      </c>
      <c r="E17" s="4" t="inlineStr">
        <is>
          <t>Cold-review pass 4 over the sessions 10-13 integration code</t>
        </is>
      </c>
      <c r="F17" s="4" t="inlineStr">
        <is>
          <t>The integration layer written in the previous four sessions had never been reviewed, and integration seams are where the defects live.</t>
        </is>
      </c>
      <c r="G17" s="4" t="inlineStr">
        <is>
          <t>F-020..F-024 fixed, including tenant-arbitrary install/trial and deduped failed Connector sends</t>
        </is>
      </c>
      <c r="H17" s="14" t="inlineStr">
        <is>
          <t>Released — verified in sandbox</t>
        </is>
      </c>
      <c r="I17" s="4" t="inlineStr">
        <is>
          <t>v0.11.8</t>
        </is>
      </c>
      <c r="J17" s="4" t="inlineStr">
        <is>
          <t>4 cases</t>
        </is>
      </c>
    </row>
    <row r="18">
      <c r="A18" s="10" t="inlineStr">
        <is>
          <t>v014</t>
        </is>
      </c>
      <c r="B18" s="4" t="inlineStr">
        <is>
          <t>2026-09-13 11:12</t>
        </is>
      </c>
      <c r="C18" s="4" t="inlineStr">
        <is>
          <t>S15</t>
        </is>
      </c>
      <c r="D18" s="17" t="inlineStr">
        <is>
          <t>GAP</t>
        </is>
      </c>
      <c r="E18" s="4" t="inlineStr">
        <is>
          <t>Artifact-gap audit round 5: the repository seam actually built</t>
        </is>
      </c>
      <c r="F18" s="4" t="inlineStr">
        <is>
          <t>RAID R-S4 had claimed "typed repositories" since session 1 and they did not exist: all state was in bare Maps. The durability story rested on a sentence.</t>
        </is>
      </c>
      <c r="G18" s="4" t="inlineStr">
        <is>
          <t>GAP-SD8 closed with a repository seam, Postgres implementation, migration SQL, durable audit log and tenant purge</t>
        </is>
      </c>
      <c r="H18" s="14" t="inlineStr">
        <is>
          <t>Released — verified in sandbox</t>
        </is>
      </c>
      <c r="I18" s="4" t="inlineStr">
        <is>
          <t>v0.12.0</t>
        </is>
      </c>
      <c r="J18" s="4" t="inlineStr">
        <is>
          <t>4 cases</t>
        </is>
      </c>
    </row>
    <row r="19">
      <c r="A19" s="10" t="inlineStr">
        <is>
          <t>v015</t>
        </is>
      </c>
      <c r="B19" s="4" t="inlineStr">
        <is>
          <t>2026-09-13 11:16</t>
        </is>
      </c>
      <c r="C19" s="4" t="inlineStr">
        <is>
          <t>S16</t>
        </is>
      </c>
      <c r="D19" s="17" t="inlineStr">
        <is>
          <t>GAP</t>
        </is>
      </c>
      <c r="E19" s="4" t="inlineStr">
        <is>
          <t>Persistence slice 1: snapshot/restore on the service core wired through HTTP</t>
        </is>
      </c>
      <c r="F19" s="4" t="inlineStr">
        <is>
          <t>The repository built one session earlier was used only by the audit log while every feature service still held bare Maps — built, tested, and not used.</t>
        </is>
      </c>
      <c r="G19" s="4" t="inlineStr">
        <is>
          <t>GAP-SD8b closed; StatePersister hydrates at startup and writes back per mutating route</t>
        </is>
      </c>
      <c r="H19" s="14" t="inlineStr">
        <is>
          <t>Released — verified in sandbox</t>
        </is>
      </c>
      <c r="I19" s="4" t="inlineStr">
        <is>
          <t>v0.12.1</t>
        </is>
      </c>
      <c r="J19" s="4" t="inlineStr">
        <is>
          <t>3 cases</t>
        </is>
      </c>
    </row>
    <row r="20">
      <c r="A20" s="10" t="inlineStr">
        <is>
          <t>v016</t>
        </is>
      </c>
      <c r="B20" s="4" t="inlineStr">
        <is>
          <t>2026-09-13 11:21</t>
        </is>
      </c>
      <c r="C20" s="4" t="inlineStr">
        <is>
          <t>S17</t>
        </is>
      </c>
      <c r="D20" s="13" t="inlineStr">
        <is>
          <t>BUILD</t>
        </is>
      </c>
      <c r="E20" s="4" t="inlineStr">
        <is>
          <t>Persistence slice 2: billing, install and support chat survive a restart</t>
        </is>
      </c>
      <c r="F20" s="4" t="inlineStr">
        <is>
          <t>Three modules still lost their state on every deploy, so a paying customer could return to a trial banner.</t>
        </is>
      </c>
      <c r="G20" s="4" t="inlineStr">
        <is>
          <t>OBS-SD5a closed; F-025 found: InMemoryRepository stored live references where Postgres stores values</t>
        </is>
      </c>
      <c r="H20" s="14" t="inlineStr">
        <is>
          <t>Released — verified in sandbox</t>
        </is>
      </c>
      <c r="I20" s="4" t="inlineStr">
        <is>
          <t>v0.12.2</t>
        </is>
      </c>
      <c r="J20" s="4" t="inlineStr">
        <is>
          <t>3 cases</t>
        </is>
      </c>
    </row>
    <row r="21">
      <c r="A21" s="10" t="inlineStr">
        <is>
          <t>v017</t>
        </is>
      </c>
      <c r="B21" s="4" t="inlineStr">
        <is>
          <t>2026-09-13 11:25</t>
        </is>
      </c>
      <c r="C21" s="4" t="inlineStr">
        <is>
          <t>S18</t>
        </is>
      </c>
      <c r="D21" s="17" t="inlineStr">
        <is>
          <t>AUDIT</t>
        </is>
      </c>
      <c r="E21" s="4" t="inlineStr">
        <is>
          <t>Multi-tenancy audit</t>
        </is>
      </c>
      <c r="F21" s="4" t="inlineStr">
        <is>
          <t>Every test until this point used a single tenant, so the suite could sit at 100% while the product shared all customer data.</t>
        </is>
      </c>
      <c r="G21" s="4" t="inlineStr">
        <is>
          <t>F-026 CRITICAL cross-tenant data exposure fixed with tenant-in-identity and a per-tenant registry; F-027/F-028 fixed</t>
        </is>
      </c>
      <c r="H21" s="14" t="inlineStr">
        <is>
          <t>Released — verified in sandbox</t>
        </is>
      </c>
      <c r="I21" s="4" t="inlineStr">
        <is>
          <t>v0.12.3</t>
        </is>
      </c>
      <c r="J21" s="4" t="inlineStr">
        <is>
          <t>6 cases</t>
        </is>
      </c>
    </row>
    <row r="22">
      <c r="A22" s="10" t="inlineStr">
        <is>
          <t>v018</t>
        </is>
      </c>
      <c r="B22" s="4" t="inlineStr">
        <is>
          <t>2026-09-13 11:51</t>
        </is>
      </c>
      <c r="C22" s="4" t="inlineStr">
        <is>
          <t>S19</t>
        </is>
      </c>
      <c r="D22" s="17" t="inlineStr">
        <is>
          <t>AUDIT</t>
        </is>
      </c>
      <c r="E22" s="4" t="inlineStr">
        <is>
          <t>Data-deletion audit</t>
        </is>
      </c>
      <c r="F22" s="4" t="inlineStr">
        <is>
          <t>The product published a 30-day retention policy and a self-serve delete. Neither deleted anything — a stated commitment that the code did not honour.</t>
        </is>
      </c>
      <c r="G22" s="4" t="inlineStr">
        <is>
          <t>F-029 CRITICAL closed with src/tenantLifecycle.ts: durable schedule, cancel on re-install, retention sweep, real export</t>
        </is>
      </c>
      <c r="H22" s="14" t="inlineStr">
        <is>
          <t>Released — verified in sandbox</t>
        </is>
      </c>
      <c r="I22" s="4" t="inlineStr">
        <is>
          <t>v0.12.4</t>
        </is>
      </c>
      <c r="J22" s="4" t="inlineStr">
        <is>
          <t>6 cases</t>
        </is>
      </c>
    </row>
    <row r="23">
      <c r="A23" s="10" t="inlineStr">
        <is>
          <t>v019</t>
        </is>
      </c>
      <c r="B23" s="4" t="inlineStr">
        <is>
          <t>2026-09-13 11:55</t>
        </is>
      </c>
      <c r="C23" s="4" t="inlineStr">
        <is>
          <t>S20</t>
        </is>
      </c>
      <c r="D23" s="17" t="inlineStr">
        <is>
          <t>AUDIT</t>
        </is>
      </c>
      <c r="E23" s="4" t="inlineStr">
        <is>
          <t>Authorization audit</t>
        </is>
      </c>
      <c r="F23" s="4" t="inlineStr">
        <is>
          <t>Nine permissions were declared to customers in the Settings screen and the security documentation. An unenforced permission is a false statement about the product.</t>
        </is>
      </c>
      <c r="G23" s="4" t="inlineStr">
        <is>
          <t>F-030 CRITICAL closed: five of nine permissions enforced nowhere, now wired at named sites with a two-way contract test; D-SD6 removed settings.roles</t>
        </is>
      </c>
      <c r="H23" s="14" t="inlineStr">
        <is>
          <t>Released — verified in sandbox</t>
        </is>
      </c>
      <c r="I23" s="4" t="inlineStr">
        <is>
          <t>v0.12.5</t>
        </is>
      </c>
      <c r="J23" s="4" t="inlineStr">
        <is>
          <t>6 cases</t>
        </is>
      </c>
    </row>
    <row r="24">
      <c r="A24" s="10" t="inlineStr">
        <is>
          <t>v020</t>
        </is>
      </c>
      <c r="B24" s="4" t="inlineStr">
        <is>
          <t>2026-09-13 12:02</t>
        </is>
      </c>
      <c r="C24" s="4" t="inlineStr">
        <is>
          <t>S21</t>
        </is>
      </c>
      <c r="D24" s="17" t="inlineStr">
        <is>
          <t>AUDIT</t>
        </is>
      </c>
      <c r="E24" s="4" t="inlineStr">
        <is>
          <t>Billing-integrity audit</t>
        </is>
      </c>
      <c r="F24" s="4" t="inlineStr">
        <is>
          <t>Read-only mode, plan limits and trial expiry were the three things standing between a non-paying tenant and unlimited use. All three were advisory.</t>
        </is>
      </c>
      <c r="G24" s="4" t="inlineStr">
        <is>
          <t>F-031/F-032/F-033 closed with src/entitlements.ts gating writes at the request boundary; pricing FAQ corrected</t>
        </is>
      </c>
      <c r="H24" s="14" t="inlineStr">
        <is>
          <t>Released — verified in sandbox</t>
        </is>
      </c>
      <c r="I24" s="4" t="inlineStr">
        <is>
          <t>v0.12.6</t>
        </is>
      </c>
      <c r="J24" s="4" t="inlineStr">
        <is>
          <t>6 cases</t>
        </is>
      </c>
    </row>
    <row r="25">
      <c r="A25" s="10" t="inlineStr">
        <is>
          <t>v021</t>
        </is>
      </c>
      <c r="B25" s="4" t="inlineStr">
        <is>
          <t>2026-09-13 16:27</t>
        </is>
      </c>
      <c r="C25" s="4" t="inlineStr">
        <is>
          <t>S22</t>
        </is>
      </c>
      <c r="D25" s="17" t="inlineStr">
        <is>
          <t>AUDIT</t>
        </is>
      </c>
      <c r="E25" s="4" t="inlineStr">
        <is>
          <t>Notification delivery and latency instrumentation</t>
        </is>
      </c>
      <c r="F25" s="4" t="inlineStr">
        <is>
          <t>The product promised notifications on two channels and a monitored p95 budget. Neither existed, so the runbook rollback trigger could not fire.</t>
        </is>
      </c>
      <c r="G25" s="4" t="inlineStr">
        <is>
          <t>F-034 and F-035 closed and instrumented; 42 suites / 256 tests</t>
        </is>
      </c>
      <c r="H25" s="14" t="inlineStr">
        <is>
          <t>Released — verified in sandbox</t>
        </is>
      </c>
      <c r="I25" s="4" t="inlineStr">
        <is>
          <t>v0.12.7</t>
        </is>
      </c>
      <c r="J25" s="4" t="inlineStr">
        <is>
          <t>4 cases</t>
        </is>
      </c>
    </row>
    <row r="26">
      <c r="A26" s="10" t="inlineStr">
        <is>
          <t>v022</t>
        </is>
      </c>
      <c r="B26" s="4" t="inlineStr">
        <is>
          <t>2026-09-13 16:35</t>
        </is>
      </c>
      <c r="C26" s="4" t="inlineStr">
        <is>
          <t>S23</t>
        </is>
      </c>
      <c r="D26" s="17" t="inlineStr">
        <is>
          <t>AUDIT</t>
        </is>
      </c>
      <c r="E26" s="4" t="inlineStr">
        <is>
          <t>Telemetry and audit wiring</t>
        </is>
      </c>
      <c r="F26" s="4" t="inlineStr">
        <is>
          <t>The whole telemetry epic had zero callers, making the S11 activation criterion uncomputable, and audit entries were discarded on restart.</t>
        </is>
      </c>
      <c r="G26" s="4" t="inlineStr">
        <is>
          <t>F-036 and F-037 wired into the request path</t>
        </is>
      </c>
      <c r="H26" s="14" t="inlineStr">
        <is>
          <t>Released — verified in sandbox</t>
        </is>
      </c>
      <c r="I26" s="4" t="inlineStr">
        <is>
          <t>v0.12.8</t>
        </is>
      </c>
      <c r="J26" s="4" t="inlineStr">
        <is>
          <t>4 cases</t>
        </is>
      </c>
    </row>
    <row r="27">
      <c r="A27" s="10" t="inlineStr">
        <is>
          <t>v023</t>
        </is>
      </c>
      <c r="B27" s="4" t="inlineStr">
        <is>
          <t>2026-09-13 16:40</t>
        </is>
      </c>
      <c r="C27" s="4" t="inlineStr">
        <is>
          <t>S24</t>
        </is>
      </c>
      <c r="D27" s="17" t="inlineStr">
        <is>
          <t>AUDIT</t>
        </is>
      </c>
      <c r="E27" s="4" t="inlineStr">
        <is>
          <t>Systematic wiring audit of all 112 exports</t>
        </is>
      </c>
      <c r="F27" s="4" t="inlineStr">
        <is>
          <t>A pattern had emerged across F-029/F-034/F-035/F-036/F-037: a module is built correctly, fully tested, and nothing calls it. That needed a systematic sweep, not another spot fix.</t>
        </is>
      </c>
      <c r="G27" s="4" t="inlineStr">
        <is>
          <t>F-038 six of nine screens unreachable (approvals had no UI at all); F-039 dispatcher never called; F-040 raised for decision</t>
        </is>
      </c>
      <c r="H27" s="14" t="inlineStr">
        <is>
          <t>Released — verified in sandbox</t>
        </is>
      </c>
      <c r="I27" s="4" t="inlineStr">
        <is>
          <t>v0.12.9</t>
        </is>
      </c>
      <c r="J27" s="4" t="inlineStr">
        <is>
          <t>4 cases</t>
        </is>
      </c>
    </row>
    <row r="28">
      <c r="A28" s="10" t="inlineStr">
        <is>
          <t>v024</t>
        </is>
      </c>
      <c r="B28" s="4" t="inlineStr">
        <is>
          <t>2026-09-13 16:47</t>
        </is>
      </c>
      <c r="C28" s="4" t="inlineStr">
        <is>
          <t>S25</t>
        </is>
      </c>
      <c r="D28" s="13" t="inlineStr">
        <is>
          <t>BUILD</t>
        </is>
      </c>
      <c r="E28" s="4" t="inlineStr">
        <is>
          <t>Encryption at rest resolved both ways, trust page rewritten</t>
        </is>
      </c>
      <c r="F28" s="4" t="inlineStr">
        <is>
          <t>F-040 was a claim with no implementing caller. Rather than choose for Senthil, both dispositions were made cheap so the decision costs nothing either way.</t>
        </is>
      </c>
      <c r="G28" s="4" t="inlineStr">
        <is>
          <t>Opt-in AES-256-GCM over any repository, or provider-managed encryption with no code change; OBS-SD8 records missing rotation</t>
        </is>
      </c>
      <c r="H28" s="14" t="inlineStr">
        <is>
          <t>Released — verified in sandbox</t>
        </is>
      </c>
      <c r="I28" s="4" t="inlineStr">
        <is>
          <t>v0.13.0</t>
        </is>
      </c>
      <c r="J28" s="4" t="inlineStr">
        <is>
          <t>4 cases</t>
        </is>
      </c>
    </row>
    <row r="29">
      <c r="A29" s="10" t="inlineStr">
        <is>
          <t>v025</t>
        </is>
      </c>
      <c r="B29" s="4" t="inlineStr">
        <is>
          <t>2026-09-13 16:51</t>
        </is>
      </c>
      <c r="C29" s="4" t="inlineStr">
        <is>
          <t>S26</t>
        </is>
      </c>
      <c r="D29" s="15" t="inlineStr">
        <is>
          <t>REVIEW</t>
        </is>
      </c>
      <c r="E29" s="4" t="inlineStr">
        <is>
          <t>Cold-review pass 5 over the sessions 18-25 modules</t>
        </is>
      </c>
      <c r="F29" s="4" t="inlineStr">
        <is>
          <t>Eight sessions of audit code had accumulated without a review pass of its own.</t>
        </is>
      </c>
      <c r="G29" s="4" t="inlineStr">
        <is>
          <t>F-041..F-045 fixed, including a seat cap that could never fire and a notification buffer that discarded on failure</t>
        </is>
      </c>
      <c r="H29" s="14" t="inlineStr">
        <is>
          <t>Released — verified in sandbox</t>
        </is>
      </c>
      <c r="I29" s="4" t="inlineStr">
        <is>
          <t>v0.13.1</t>
        </is>
      </c>
      <c r="J29" s="4" t="inlineStr">
        <is>
          <t>4 cases</t>
        </is>
      </c>
    </row>
    <row r="30">
      <c r="A30" s="10" t="inlineStr">
        <is>
          <t>v026</t>
        </is>
      </c>
      <c r="B30" s="4" t="inlineStr">
        <is>
          <t>2026-09-13 17:25</t>
        </is>
      </c>
      <c r="C30" s="4" t="inlineStr">
        <is>
          <t>S27</t>
        </is>
      </c>
      <c r="D30" s="17" t="inlineStr">
        <is>
          <t>AUDIT</t>
        </is>
      </c>
      <c r="E30" s="4" t="inlineStr">
        <is>
          <t>Multi-instance audit</t>
        </is>
      </c>
      <c r="F30" s="4" t="inlineStr">
        <is>
          <t>Every audit so far had examined one running instance, while the shipped deploy model is blue/green. A model that is correct alone can be destructive in pairs.</t>
        </is>
      </c>
      <c r="G30" s="4" t="inlineStr">
        <is>
          <t>F-046 CRITICAL silent cross-instance data loss closed with optimistic concurrency end to end, migration 002, and a migration step in deploy</t>
        </is>
      </c>
      <c r="H30" s="14" t="inlineStr">
        <is>
          <t>Released — verified in sandbox</t>
        </is>
      </c>
      <c r="I30" s="4" t="inlineStr">
        <is>
          <t>v0.13.2</t>
        </is>
      </c>
      <c r="J30" s="4" t="inlineStr">
        <is>
          <t>6 cases</t>
        </is>
      </c>
    </row>
    <row r="31">
      <c r="A31" s="10" t="inlineStr">
        <is>
          <t>v027</t>
        </is>
      </c>
      <c r="B31" s="4" t="inlineStr">
        <is>
          <t>2026-09-13 18:51</t>
        </is>
      </c>
      <c r="C31" s="4" t="inlineStr">
        <is>
          <t>S28</t>
        </is>
      </c>
      <c r="D31" s="17" t="inlineStr">
        <is>
          <t>AUDIT</t>
        </is>
      </c>
      <c r="E31" s="4" t="inlineStr">
        <is>
          <t>Dependency-failure audit</t>
        </is>
      </c>
      <c r="F31" s="4" t="inlineStr">
        <is>
          <t>The product depended on a store, Graph and mail. None of those failures had ever been simulated at the HTTP boundary.</t>
        </is>
      </c>
      <c r="G31" s="4" t="inlineStr">
        <is>
          <t>F-047 CRITICAL unhandled rejections (hung requests and process termination on any blip) and F-048 closed</t>
        </is>
      </c>
      <c r="H31" s="14" t="inlineStr">
        <is>
          <t>Released — verified in sandbox</t>
        </is>
      </c>
      <c r="I31" s="4" t="inlineStr">
        <is>
          <t>v0.13.3</t>
        </is>
      </c>
      <c r="J31" s="4" t="inlineStr">
        <is>
          <t>5 cases</t>
        </is>
      </c>
    </row>
    <row r="32">
      <c r="A32" s="10" t="inlineStr">
        <is>
          <t>v028</t>
        </is>
      </c>
      <c r="B32" s="4" t="inlineStr">
        <is>
          <t>2026-09-13 19:10</t>
        </is>
      </c>
      <c r="C32" s="4" t="inlineStr">
        <is>
          <t>S29</t>
        </is>
      </c>
      <c r="D32" s="15" t="inlineStr">
        <is>
          <t>REVIEW</t>
        </is>
      </c>
      <c r="E32" s="4" t="inlineStr">
        <is>
          <t>Cold-review pass 6 over sessions 26-28</t>
        </is>
      </c>
      <c r="F32" s="4" t="inlineStr">
        <is>
          <t>The concurrency and resilience code from the previous three sessions was new, and new code is the least-reviewed code.</t>
        </is>
      </c>
      <c r="G32" s="4" t="inlineStr">
        <is>
          <t>F-049 type-based error classification, F-050 degradation no longer cleared by reads, F-051 bot retry no longer duplicates a mutation</t>
        </is>
      </c>
      <c r="H32" s="14" t="inlineStr">
        <is>
          <t>Released — verified in sandbox</t>
        </is>
      </c>
      <c r="I32" s="4" t="inlineStr">
        <is>
          <t>v0.13.4</t>
        </is>
      </c>
      <c r="J32" s="4" t="inlineStr">
        <is>
          <t>4 cases</t>
        </is>
      </c>
    </row>
    <row r="33">
      <c r="A33" s="10" t="inlineStr">
        <is>
          <t>v029</t>
        </is>
      </c>
      <c r="B33" s="4" t="inlineStr">
        <is>
          <t>2026-09-13 19:27</t>
        </is>
      </c>
      <c r="C33" s="4" t="inlineStr">
        <is>
          <t>S30</t>
        </is>
      </c>
      <c r="D33" s="13" t="inlineStr">
        <is>
          <t>BUILD</t>
        </is>
      </c>
      <c r="E33" s="4" t="inlineStr">
        <is>
          <t>Live-day preparation: the automated half of the sweep made executable</t>
        </is>
      </c>
      <c r="F33" s="4" t="inlineStr">
        <is>
          <t>The 14-step sweep was a document. A document cannot be run on live day, and operator-only steps needed to be named as such rather than assumed.</t>
        </is>
      </c>
      <c r="G33" s="4" t="inlineStr">
        <is>
          <t>npm run sweep executable; unimplemented steps report as manual rather than passed</t>
        </is>
      </c>
      <c r="H33" s="14" t="inlineStr">
        <is>
          <t>Released — verified in sandbox</t>
        </is>
      </c>
      <c r="I33" s="4" t="inlineStr">
        <is>
          <t>v0.13.5</t>
        </is>
      </c>
      <c r="J33" s="4" t="inlineStr">
        <is>
          <t>3 cases</t>
        </is>
      </c>
    </row>
    <row r="34">
      <c r="A34" s="10" t="inlineStr">
        <is>
          <t>v030</t>
        </is>
      </c>
      <c r="B34" s="4" t="inlineStr">
        <is>
          <t>2026-09-13 19:32</t>
        </is>
      </c>
      <c r="C34" s="4" t="inlineStr">
        <is>
          <t>S31</t>
        </is>
      </c>
      <c r="D34" s="13" t="inlineStr">
        <is>
          <t>BUILD</t>
        </is>
      </c>
      <c r="E34" s="4" t="inlineStr">
        <is>
          <t>Six more sweep steps automated behind capability gates</t>
        </is>
      </c>
      <c r="F34" s="4" t="inlineStr">
        <is>
          <t>Honest SKIP reporting matters more than a green sweep: a step that cannot run must say so rather than pass.</t>
        </is>
      </c>
      <c r="G34" s="4" t="inlineStr">
        <is>
          <t>F-052 found by writing the funnel check: the Analytics tab read a telemetry instance nothing feeds</t>
        </is>
      </c>
      <c r="H34" s="14" t="inlineStr">
        <is>
          <t>Released — verified in sandbox</t>
        </is>
      </c>
      <c r="I34" s="4" t="inlineStr">
        <is>
          <t>v0.13.6</t>
        </is>
      </c>
      <c r="J34" s="4" t="inlineStr">
        <is>
          <t>3 cases</t>
        </is>
      </c>
    </row>
    <row r="35">
      <c r="A35" s="10" t="inlineStr">
        <is>
          <t>v031</t>
        </is>
      </c>
      <c r="B35" s="4" t="inlineStr">
        <is>
          <t>2026-09-13 19:39</t>
        </is>
      </c>
      <c r="C35" s="4" t="inlineStr">
        <is>
          <t>S32</t>
        </is>
      </c>
      <c r="D35" s="13" t="inlineStr">
        <is>
          <t>BUILD</t>
        </is>
      </c>
      <c r="E35" s="4" t="inlineStr">
        <is>
          <t>Packaging automated with manifest validation</t>
        </is>
      </c>
      <c r="F35" s="4" t="inlineStr">
        <is>
          <t>Packaging by hand on launch day is how a wrong app id or an unvalidated manifest reaches a store queue.</t>
        </is>
      </c>
      <c r="G35" s="4" t="inlineStr">
        <is>
          <t>Substitution names the missing value; manifest validated against store rules; root-level archive verified</t>
        </is>
      </c>
      <c r="H35" s="14" t="inlineStr">
        <is>
          <t>Released — verified in sandbox</t>
        </is>
      </c>
      <c r="I35" s="4" t="inlineStr">
        <is>
          <t>v0.13.7</t>
        </is>
      </c>
      <c r="J35" s="4" t="inlineStr">
        <is>
          <t>3 cases</t>
        </is>
      </c>
    </row>
    <row r="36">
      <c r="A36" s="10" t="inlineStr">
        <is>
          <t>v032</t>
        </is>
      </c>
      <c r="B36" s="4" t="inlineStr">
        <is>
          <t>2026-09-13 20:05</t>
        </is>
      </c>
      <c r="C36" s="4" t="inlineStr">
        <is>
          <t>S33</t>
        </is>
      </c>
      <c r="D36" s="17" t="inlineStr">
        <is>
          <t>AUDIT</t>
        </is>
      </c>
      <c r="E36" s="4" t="inlineStr">
        <is>
          <t>Deliverability audit from a clean install</t>
        </is>
      </c>
      <c r="F36" s="4" t="inlineStr">
        <is>
          <t>Everything had been run on a machine that already had the tooling. A customer or CI runner starts from npm ci.</t>
        </is>
      </c>
      <c r="G36" s="4" t="inlineStr">
        <is>
          <t>F-053 undeclared ts-node, F-054 undeclared pg, F-056 scripts outside the typecheck gate; OBS-SD10 raised</t>
        </is>
      </c>
      <c r="H36" s="14" t="inlineStr">
        <is>
          <t>Released — verified in sandbox</t>
        </is>
      </c>
      <c r="I36" s="4" t="inlineStr">
        <is>
          <t>v0.13.8</t>
        </is>
      </c>
      <c r="J36" s="4" t="inlineStr">
        <is>
          <t>4 cases</t>
        </is>
      </c>
    </row>
    <row r="37">
      <c r="A37" s="10" t="inlineStr">
        <is>
          <t>v033</t>
        </is>
      </c>
      <c r="B37" s="4" t="inlineStr">
        <is>
          <t>2026-09-13 20:10</t>
        </is>
      </c>
      <c r="C37" s="4" t="inlineStr">
        <is>
          <t>S34</t>
        </is>
      </c>
      <c r="D37" s="17" t="inlineStr">
        <is>
          <t>AUDIT</t>
        </is>
      </c>
      <c r="E37" s="4" t="inlineStr">
        <is>
          <t>Clean-checkout rehearsal of the full delivery</t>
        </is>
      </c>
      <c r="F37" s="4" t="inlineStr">
        <is>
          <t>The guide had instructed operators to start a server since session 10. Nobody had tried it from the delivered zip.</t>
        </is>
      </c>
      <c r="G37" s="4" t="inlineStr">
        <is>
          <t>F-057 closed: no server entry point shipped; scripts/serve.ts now ships as npm start with a verifier seam</t>
        </is>
      </c>
      <c r="H37" s="14" t="inlineStr">
        <is>
          <t>Released — verified in sandbox</t>
        </is>
      </c>
      <c r="I37" s="4" t="inlineStr">
        <is>
          <t>v0.13.9</t>
        </is>
      </c>
      <c r="J37" s="4" t="inlineStr">
        <is>
          <t>3 cases</t>
        </is>
      </c>
    </row>
    <row r="38">
      <c r="A38" s="10" t="inlineStr">
        <is>
          <t>v034</t>
        </is>
      </c>
      <c r="B38" s="4" t="inlineStr">
        <is>
          <t>2026-09-13 20:26</t>
        </is>
      </c>
      <c r="C38" s="4" t="inlineStr">
        <is>
          <t>S35</t>
        </is>
      </c>
      <c r="D38" s="17" t="inlineStr">
        <is>
          <t>AUDIT</t>
        </is>
      </c>
      <c r="E38" s="4" t="inlineStr">
        <is>
          <t>The tab URLs actually served</t>
        </is>
      </c>
      <c r="F38" s="4" t="inlineStr">
        <is>
          <t>The manifest pointed at tab URLs with nothing serving them: the app would install and show nothing.</t>
        </is>
      </c>
      <c r="G38" s="4" t="inlineStr">
        <is>
          <t>F-058 closed; app serves its own built bundle at /tab with traversal refused; sweep check A-14 added</t>
        </is>
      </c>
      <c r="H38" s="14" t="inlineStr">
        <is>
          <t>Released — verified in sandbox</t>
        </is>
      </c>
      <c r="I38" s="4" t="inlineStr">
        <is>
          <t>v0.13.10</t>
        </is>
      </c>
      <c r="J38" s="4" t="inlineStr">
        <is>
          <t>4 cases</t>
        </is>
      </c>
    </row>
    <row r="39">
      <c r="A39" s="10" t="inlineStr">
        <is>
          <t>v035</t>
        </is>
      </c>
      <c r="B39" s="4" t="inlineStr">
        <is>
          <t>2026-09-13 20:32</t>
        </is>
      </c>
      <c r="C39" s="4" t="inlineStr">
        <is>
          <t>S36</t>
        </is>
      </c>
      <c r="D39" s="17" t="inlineStr">
        <is>
          <t>AUDIT</t>
        </is>
      </c>
      <c r="E39" s="4" t="inlineStr">
        <is>
          <t>The bot endpoint actually wired</t>
        </is>
      </c>
      <c r="F39" s="4" t="inlineStr">
        <is>
          <t>The entry point wired no bot dependencies, so /api/messages answered 503 and every advertised command was dead in the shipped configuration.</t>
        </is>
      </c>
      <c r="G39" s="4" t="inlineStr">
        <is>
          <t>F-059 closed with Connector sender, token exchange, explicit dev and production modes; sweep check A-15</t>
        </is>
      </c>
      <c r="H39" s="14" t="inlineStr">
        <is>
          <t>Released — verified in sandbox</t>
        </is>
      </c>
      <c r="I39" s="4" t="inlineStr">
        <is>
          <t>v0.13.11</t>
        </is>
      </c>
      <c r="J39" s="4" t="inlineStr">
        <is>
          <t>4 cases</t>
        </is>
      </c>
    </row>
    <row r="40">
      <c r="A40" s="10" t="inlineStr">
        <is>
          <t>v036</t>
        </is>
      </c>
      <c r="B40" s="4" t="inlineStr">
        <is>
          <t>2026-09-13 21:56</t>
        </is>
      </c>
      <c r="C40" s="4" t="inlineStr">
        <is>
          <t>S37</t>
        </is>
      </c>
      <c r="D40" s="17" t="inlineStr">
        <is>
          <t>AUDIT</t>
        </is>
      </c>
      <c r="E40" s="4" t="inlineStr">
        <is>
          <t>Lifecycle hooks and the retention scheduler wired</t>
        </is>
      </c>
      <c r="F40" s="4" t="inlineStr">
        <is>
          <t>Install and uninstall recorded nothing, and the retention sweep built in session 19 was never called in any deployment.</t>
        </is>
      </c>
      <c r="G40" s="4" t="inlineStr">
        <is>
          <t>F-060 and F-061 CRITICAL closed; hourly scheduler added</t>
        </is>
      </c>
      <c r="H40" s="14" t="inlineStr">
        <is>
          <t>Released — verified in sandbox</t>
        </is>
      </c>
      <c r="I40" s="4" t="inlineStr">
        <is>
          <t>v0.13.12</t>
        </is>
      </c>
      <c r="J40" s="4" t="inlineStr">
        <is>
          <t>4 cases</t>
        </is>
      </c>
    </row>
    <row r="41">
      <c r="A41" s="10" t="inlineStr">
        <is>
          <t>v037</t>
        </is>
      </c>
      <c r="B41" s="4" t="inlineStr">
        <is>
          <t>2026-09-13 22:55</t>
        </is>
      </c>
      <c r="C41" s="4" t="inlineStr">
        <is>
          <t>S38</t>
        </is>
      </c>
      <c r="D41" s="17" t="inlineStr">
        <is>
          <t>AUDIT</t>
        </is>
      </c>
      <c r="E41" s="4" t="inlineStr">
        <is>
          <t>Runtime wiring audit of the shipped entry point</t>
        </is>
      </c>
      <c r="F41" s="4" t="inlineStr">
        <is>
          <t>Modules were correct and their runtime construction was not: the entry point resolved every user to owner.</t>
        </is>
      </c>
      <c r="G41" s="4" t="inlineStr">
        <is>
          <t>F-062 CRITICAL, F-063 and F-064 closed with deny-safe fallbacks and startup warnings</t>
        </is>
      </c>
      <c r="H41" s="14" t="inlineStr">
        <is>
          <t>Released — verified in sandbox</t>
        </is>
      </c>
      <c r="I41" s="4" t="inlineStr">
        <is>
          <t>v0.13.13</t>
        </is>
      </c>
      <c r="J41" s="4" t="inlineStr">
        <is>
          <t>5 cases</t>
        </is>
      </c>
    </row>
    <row r="42">
      <c r="A42" s="10" t="inlineStr">
        <is>
          <t>v038</t>
        </is>
      </c>
      <c r="B42" s="4" t="inlineStr">
        <is>
          <t>2026-09-13 23:05</t>
        </is>
      </c>
      <c r="C42" s="4" t="inlineStr">
        <is>
          <t>S39</t>
        </is>
      </c>
      <c r="D42" s="17" t="inlineStr">
        <is>
          <t>AUDIT</t>
        </is>
      </c>
      <c r="E42" s="4" t="inlineStr">
        <is>
          <t>Identity, directory and seeding corrections</t>
        </is>
      </c>
      <c r="F42" s="4" t="inlineStr">
        <is>
          <t>Notification addresses were synthesised at our own domain, the Graph directory could never be enabled, and install-count seeding was never wired.</t>
        </is>
      </c>
      <c r="G42" s="4" t="inlineStr">
        <is>
          <t>F-065, F-066 and F-067 closed</t>
        </is>
      </c>
      <c r="H42" s="14" t="inlineStr">
        <is>
          <t>Released — verified in sandbox</t>
        </is>
      </c>
      <c r="I42" s="4" t="inlineStr">
        <is>
          <t>v0.13.14</t>
        </is>
      </c>
      <c r="J42" s="4" t="inlineStr">
        <is>
          <t>4 cases</t>
        </is>
      </c>
    </row>
    <row r="43">
      <c r="A43" s="10" t="inlineStr">
        <is>
          <t>v039</t>
        </is>
      </c>
      <c r="B43" s="4" t="inlineStr">
        <is>
          <t>2026-09-13 23:14</t>
        </is>
      </c>
      <c r="C43" s="4" t="inlineStr">
        <is>
          <t>S40</t>
        </is>
      </c>
      <c r="D43" s="17" t="inlineStr">
        <is>
          <t>AUDIT</t>
        </is>
      </c>
      <c r="E43" s="4" t="inlineStr">
        <is>
          <t>Verification that the previous session's fixes reached the runtime</t>
        </is>
      </c>
      <c r="F43" s="4" t="inlineStr">
        <is>
          <t>F-067 had been reported fixed and was not. A fix that never reaches the observer is not a fix, and that needed checking explicitly.</t>
        </is>
      </c>
      <c r="G43" s="4" t="inlineStr">
        <is>
          <t>F-068, F-069, F-070 closed; OBS-SD11 made listAll contractual so decorators cannot drop it</t>
        </is>
      </c>
      <c r="H43" s="14" t="inlineStr">
        <is>
          <t>Released — verified in sandbox</t>
        </is>
      </c>
      <c r="I43" s="4" t="inlineStr">
        <is>
          <t>v0.13.15</t>
        </is>
      </c>
      <c r="J43" s="4" t="inlineStr">
        <is>
          <t>4 cases</t>
        </is>
      </c>
    </row>
    <row r="44">
      <c r="A44" s="10" t="inlineStr">
        <is>
          <t>v040</t>
        </is>
      </c>
      <c r="B44" s="4" t="inlineStr">
        <is>
          <t>2026-09-20 16:40</t>
        </is>
      </c>
      <c r="C44" s="4" t="inlineStr">
        <is>
          <t>S41</t>
        </is>
      </c>
      <c r="D44" s="15" t="inlineStr">
        <is>
          <t>REVIEW</t>
        </is>
      </c>
      <c r="E44" s="4" t="inlineStr">
        <is>
          <t>Independent review V001 actioned in full: 47-story S13-S20 remediation programme</t>
        </is>
      </c>
      <c r="F44" s="4" t="inlineStr">
        <is>
          <t>An external reviewer rated identity, durability, scale and compliance as Absent while the tracker showed a code-complete product at 100% coverage. Three CRITICAL defects meant the shipped entry point had no working authentication and no durable store.</t>
        </is>
      </c>
      <c r="G44" s="4" t="inlineStr">
        <is>
          <t>36 of 47 stories built; 3 CRITICALs closed; real-Postgres tier and backup drill run for real; 68 suites / 555 tests at 100%; F-071..F-074 recorded</t>
        </is>
      </c>
      <c r="H44" s="14" t="inlineStr">
        <is>
          <t>Released — verified in sandbox + real Postgres</t>
        </is>
      </c>
      <c r="I44" s="4" t="inlineStr">
        <is>
          <t>v0.14.0</t>
        </is>
      </c>
      <c r="J44" s="4" t="inlineStr">
        <is>
          <t>35 cases</t>
        </is>
      </c>
    </row>
    <row r="46">
      <c r="A46" s="8" t="inlineStr">
        <is>
          <t>READING THE CATEGORY COLUMN: BUILD = new capability. REVIEW = adversarial cold review of code already called done. AUDIT = a single named property examined across the whole product (tenancy, deletion, authorization, billing, multi-instance, dependency failure, wiring, deliverability). VERIFY = a sweep against vendor documentation or a live artefact. GAP = a promise made in the manifest or a document with nothing implementing it. Twenty-four of the forty released versions are REVIEW, AUDIT, VERIFY or GAP. The lesson the tracker records (R-S10, R-S14, R-S21) is that in this codebase the defect was almost never a wrong algorithm — it was a correct module that nothing called.</t>
        </is>
      </c>
    </row>
  </sheetData>
  <pageMargins left="0.75" right="0.75" top="1" bottom="1" header="0.5" footer="0.5"/>
</worksheet>
</file>

<file path=xl/worksheets/sheet6.xml><?xml version="1.0" encoding="utf-8"?>
<worksheet xmlns="http://schemas.openxmlformats.org/spreadsheetml/2006/main">
  <sheetPr>
    <tabColor rgb="FFC00000"/>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46" customWidth="1" min="3" max="3"/>
    <col width="78" customWidth="1" min="4" max="4"/>
    <col width="62" customWidth="1" min="5" max="5"/>
    <col width="14" customWidth="1" min="6" max="6"/>
    <col width="26" customWidth="1" min="7" max="7"/>
    <col width="26" customWidth="1" min="8" max="8"/>
  </cols>
  <sheetData>
    <row r="1">
      <c r="A1" s="7" t="inlineStr">
        <is>
          <t>PENDING — what is not done, why it is not done, and the one thing that would unblock it</t>
        </is>
      </c>
      <c r="B1" s="2" t="n"/>
      <c r="C1" s="2" t="n"/>
      <c r="D1" s="2" t="n"/>
      <c r="E1" s="2" t="n"/>
      <c r="F1" s="2" t="n"/>
      <c r="G1" s="2" t="n"/>
      <c r="H1" s="2" t="n"/>
    </row>
    <row r="2" ht="58" customHeight="1">
      <c r="A2" s="8" t="inlineStr">
        <is>
          <t>HOW TO USE THIS SHEET — Every row names a blocker in column D and the single unblocking action in column E. Read column D before asking why something is not finished: in every case it is access, money, a person or a customer, not effort. Nothing on this sheet can be closed by writing code.</t>
        </is>
      </c>
    </row>
    <row r="4">
      <c r="A4" s="3" t="inlineStr">
        <is>
          <t>Item</t>
        </is>
      </c>
      <c r="B4" s="3" t="inlineStr">
        <is>
          <t>Type</t>
        </is>
      </c>
      <c r="C4" s="3" t="inlineStr">
        <is>
          <t>What it is</t>
        </is>
      </c>
      <c r="D4" s="3" t="inlineStr">
        <is>
          <t>Why it is pending</t>
        </is>
      </c>
      <c r="E4" s="3" t="inlineStr">
        <is>
          <t>What unblocks it</t>
        </is>
      </c>
      <c r="F4" s="3" t="inlineStr">
        <is>
          <t>Owner</t>
        </is>
      </c>
      <c r="G4" s="3" t="inlineStr">
        <is>
          <t>Cost / lead time</t>
        </is>
      </c>
      <c r="H4" s="3" t="inlineStr">
        <is>
          <t>Blocks</t>
        </is>
      </c>
    </row>
    <row r="5">
      <c r="A5" s="10" t="inlineStr">
        <is>
          <t>v041</t>
        </is>
      </c>
      <c r="B5" s="15" t="inlineStr">
        <is>
          <t>Release</t>
        </is>
      </c>
      <c r="C5" s="4" t="inlineStr">
        <is>
          <t>The next release of the tracker and this document</t>
        </is>
      </c>
      <c r="D5" s="4" t="inlineStr">
        <is>
          <t>It opens on whichever comes first: the cold review of the S13-S20 code written in v040, or the first real sweep report from a dev tenant. Neither has happened. Opening it now would mean writing a release note about work that has not been done.</t>
        </is>
      </c>
      <c r="E5" s="4" t="inlineStr">
        <is>
          <t>Either Claude runs the v040 cold review (no external dependency — this can start immediately), or Senthil sideloads the app in a dev tenant and runs the sweep.</t>
        </is>
      </c>
      <c r="F5" s="4" t="inlineStr">
        <is>
          <t>Claude / Senthil</t>
        </is>
      </c>
      <c r="G5" s="4" t="inlineStr">
        <is>
          <t>Review: one session. Sweep: half a day once a tenant exists.</t>
        </is>
      </c>
      <c r="H5" s="4" t="inlineStr">
        <is>
          <t>Nothing — but R-S21 says the v040 code is the least-reviewed code in the product</t>
        </is>
      </c>
    </row>
    <row r="6">
      <c r="A6" s="10" t="inlineStr">
        <is>
          <t>SD226</t>
        </is>
      </c>
      <c r="B6" s="15" t="inlineStr">
        <is>
          <t>Story — live</t>
        </is>
      </c>
      <c r="C6" s="4" t="inlineStr">
        <is>
          <t>Mobile pass on live iOS and Android Teams clients, including the store-required mobile screenshot</t>
        </is>
      </c>
      <c r="D6" s="4" t="inlineStr">
        <is>
          <t>Requires the app sideloaded on a physical phone signed into a Microsoft 365 tenant. A sandbox cannot render a Teams mobile client, and the store submission is blocked without the screenshot (VER-SD01).</t>
        </is>
      </c>
      <c r="E6" s="4" t="inlineStr">
        <is>
          <t>Senthil sideloads the package on a phone and walks the five flows in ASSET_PLAN.md.</t>
        </is>
      </c>
      <c r="F6" s="4" t="inlineStr">
        <is>
          <t>Senthil</t>
        </is>
      </c>
      <c r="G6" s="4" t="inlineStr">
        <is>
          <t>~2 hours once a tenant exists</t>
        </is>
      </c>
      <c r="H6" s="4" t="inlineStr">
        <is>
          <t>Store submission (G-01)</t>
        </is>
      </c>
    </row>
    <row r="7">
      <c r="A7" s="10" t="inlineStr">
        <is>
          <t>SD228</t>
        </is>
      </c>
      <c r="B7" s="15" t="inlineStr">
        <is>
          <t>Story — live</t>
        </is>
      </c>
      <c r="C7" s="4" t="inlineStr">
        <is>
          <t>Admin consent and tenant-wide rollout verified in two tenants</t>
        </is>
      </c>
      <c r="D7" s="4" t="inlineStr">
        <is>
          <t>Needs two live Microsoft 365 tenants with an administrator willing to grant consent. The consent screen cannot be observed any other way, and it must match the least-privilege document exactly.</t>
        </is>
      </c>
      <c r="E7" s="4" t="inlineStr">
        <is>
          <t>Senthil provides two tenants and performs the install-consent-rollout walkthrough.</t>
        </is>
      </c>
      <c r="F7" s="4" t="inlineStr">
        <is>
          <t>Senthil</t>
        </is>
      </c>
      <c r="G7" s="4" t="inlineStr">
        <is>
          <t>~half a day</t>
        </is>
      </c>
      <c r="H7" s="4" t="inlineStr">
        <is>
          <t>LC-4, LC-5</t>
        </is>
      </c>
    </row>
    <row r="8">
      <c r="A8" s="10" t="inlineStr">
        <is>
          <t>SD219 / SD220</t>
        </is>
      </c>
      <c r="B8" s="15" t="inlineStr">
        <is>
          <t>Story — infra</t>
        </is>
      </c>
      <c r="C8" s="4" t="inlineStr">
        <is>
          <t>The k6 5x load sweep and its latency/conflict evidence, run on staging</t>
        </is>
      </c>
      <c r="D8" s="4" t="inlineStr">
        <is>
          <t>There is no staging environment. The harness and the pass bar are scripted and the instrumentation is real, but a performance number that has not been measured is not a number.</t>
        </is>
      </c>
      <c r="E8" s="4" t="inlineStr">
        <is>
          <t>Provision staging (App Service + Postgres) and run npm run sweep plus the k6 profile.</t>
        </is>
      </c>
      <c r="F8" s="4" t="inlineStr">
        <is>
          <t>Senthil + Claude</t>
        </is>
      </c>
      <c r="G8" s="4" t="inlineStr">
        <is>
          <t>Azure staging: hours to provision, then ~1 hour to run</t>
        </is>
      </c>
      <c r="H8" s="4" t="inlineStr">
        <is>
          <t>LC-8</t>
        </is>
      </c>
    </row>
    <row r="9">
      <c r="A9" s="10" t="inlineStr">
        <is>
          <t>SD231 / SD232</t>
        </is>
      </c>
      <c r="B9" s="15" t="inlineStr">
        <is>
          <t>Story — infra</t>
        </is>
      </c>
      <c r="C9" s="4" t="inlineStr">
        <is>
          <t>Data rights over HTTP against a real store, and KMS-backed key custody against a real vault</t>
        </is>
      </c>
      <c r="D9" s="4" t="inlineStr">
        <is>
          <t>Both halves are built and unit-tested, and production already refuses a plain-environment key. Neither has spoken to a real Azure Key Vault or run against a hosted database, because neither exists yet.</t>
        </is>
      </c>
      <c r="E9" s="4" t="inlineStr">
        <is>
          <t>Same staging environment as above, plus a Key Vault and a managed identity.</t>
        </is>
      </c>
      <c r="F9" s="4" t="inlineStr">
        <is>
          <t>Senthil + Claude</t>
        </is>
      </c>
      <c r="G9" s="4" t="inlineStr">
        <is>
          <t>Hours, alongside staging</t>
        </is>
      </c>
      <c r="H9" s="4" t="inlineStr">
        <is>
          <t>Trust page publication (D-07)</t>
        </is>
      </c>
    </row>
    <row r="10">
      <c r="A10" s="10" t="inlineStr">
        <is>
          <t>SD233</t>
        </is>
      </c>
      <c r="B10" s="17" t="inlineStr">
        <is>
          <t>Story — human</t>
        </is>
      </c>
      <c r="C10" s="4" t="inlineStr">
        <is>
          <t>Incident-response tabletop exercise</t>
        </is>
      </c>
      <c r="D10" s="4" t="inlineStr">
        <is>
          <t>The runbook is written and bound to the alert rules by test. A tabletop is a rehearsal with people in it; writing a transcript of one nobody attended would be a lie in an audit file.</t>
        </is>
      </c>
      <c r="E10" s="4" t="inlineStr">
        <is>
          <t>Senthil schedules 90 minutes with whoever would actually be on call.</t>
        </is>
      </c>
      <c r="F10" s="4" t="inlineStr">
        <is>
          <t>Senthil</t>
        </is>
      </c>
      <c r="G10" s="4" t="inlineStr">
        <is>
          <t>90 minutes</t>
        </is>
      </c>
      <c r="H10" s="4" t="inlineStr">
        <is>
          <t>M365 certification evidence quality</t>
        </is>
      </c>
    </row>
    <row r="11">
      <c r="A11" s="10" t="inlineStr">
        <is>
          <t>SD234</t>
        </is>
      </c>
      <c r="B11" s="17" t="inlineStr">
        <is>
          <t>Story — procurement</t>
        </is>
      </c>
      <c r="C11" s="4" t="inlineStr">
        <is>
          <t>Third-party penetration test with all High and Critical findings closed and retested</t>
        </is>
      </c>
      <c r="D11" s="4" t="inlineStr">
        <is>
          <t>Needs a staging environment to test against and a vendor engagement with a budget. The scope pack and surface inventory are prepared so the engagement starts without a discovery phase.</t>
        </is>
      </c>
      <c r="E11" s="4" t="inlineStr">
        <is>
          <t>Senthil engages a vendor once staging exists.</t>
        </is>
      </c>
      <c r="F11" s="4" t="inlineStr">
        <is>
          <t>Senthil</t>
        </is>
      </c>
      <c r="G11" s="4" t="inlineStr">
        <is>
          <t>Typically £4k-£15k, 2-4 weeks including retest</t>
        </is>
      </c>
      <c r="H11" s="4" t="inlineStr">
        <is>
          <t>LC-3, store review confidence</t>
        </is>
      </c>
    </row>
    <row r="12">
      <c r="A12" s="10" t="inlineStr">
        <is>
          <t>SD235</t>
        </is>
      </c>
      <c r="B12" s="17" t="inlineStr">
        <is>
          <t>Story — procurement</t>
        </is>
      </c>
      <c r="C12" s="4" t="inlineStr">
        <is>
          <t>Microsoft 365 Publisher Attestation submitted and accepted</t>
        </is>
      </c>
      <c r="D12" s="4" t="inlineStr">
        <is>
          <t>Requires a Partner Center account with publisher verification. Every answer the attestation asks for is drafted in ops/m365-certification-pack.md; none of it can be submitted without the account.</t>
        </is>
      </c>
      <c r="E12" s="4" t="inlineStr">
        <is>
          <t>Senthil completes Partner Center enrollment (LC-1) and submits.</t>
        </is>
      </c>
      <c r="F12" s="4" t="inlineStr">
        <is>
          <t>Senthil</t>
        </is>
      </c>
      <c r="G12" s="4" t="inlineStr">
        <is>
          <t>Enrollment fee plus ~1 week of review</t>
        </is>
      </c>
      <c r="H12" s="4" t="inlineStr">
        <is>
          <t>LC-3, LC-1</t>
        </is>
      </c>
    </row>
    <row r="13">
      <c r="A13" s="10" t="inlineStr">
        <is>
          <t>SD237</t>
        </is>
      </c>
      <c r="B13" s="17" t="inlineStr">
        <is>
          <t>Story — procurement</t>
        </is>
      </c>
      <c r="C13" s="4" t="inlineStr">
        <is>
          <t>SOC 2 Type I readiness with an audit firm engaged</t>
        </is>
      </c>
      <c r="D13" s="4" t="inlineStr">
        <is>
          <t>The control mapping and the compliance automation are in code. Engaging a firm is a purchase decision with a real budget, and Type II additionally needs an observation window that cannot be shortened.</t>
        </is>
      </c>
      <c r="E13" s="4" t="inlineStr">
        <is>
          <t>Senthil engages an audit firm.</t>
        </is>
      </c>
      <c r="F13" s="4" t="inlineStr">
        <is>
          <t>Senthil</t>
        </is>
      </c>
      <c r="G13" s="4" t="inlineStr">
        <is>
          <t>$15k-$50k audit fee; ~6 months observation for Type II</t>
        </is>
      </c>
      <c r="H13" s="4" t="inlineStr">
        <is>
          <t>Enterprise procurement above ~500 seats</t>
        </is>
      </c>
    </row>
    <row r="14">
      <c r="A14" s="10" t="inlineStr">
        <is>
          <t>SD238</t>
        </is>
      </c>
      <c r="B14" s="17" t="inlineStr">
        <is>
          <t>Story — human</t>
        </is>
      </c>
      <c r="C14" s="4" t="inlineStr">
        <is>
          <t>Manual WCAG AA and screen-reader audit on the live tabs</t>
        </is>
      </c>
      <c r="D14" s="4" t="inlineStr">
        <is>
          <t>jest-axe passes on all nine screens and cannot hear a screen reader. Keyboard-only and NVDA/VoiceOver passes have to be performed by a person in a live client. Closes R-S6, open since the first session.</t>
        </is>
      </c>
      <c r="E14" s="4" t="inlineStr">
        <is>
          <t>Senthil (or a tester) works through ops/accessibility-audit-script.md in a live tenant.</t>
        </is>
      </c>
      <c r="F14" s="4" t="inlineStr">
        <is>
          <t>Senthil</t>
        </is>
      </c>
      <c r="G14" s="4" t="inlineStr">
        <is>
          <t>~half a day</t>
        </is>
      </c>
      <c r="H14" s="4" t="inlineStr">
        <is>
          <t>LC-7, store accessibility expectations</t>
        </is>
      </c>
    </row>
    <row r="15">
      <c r="A15" s="10" t="inlineStr">
        <is>
          <t>SD240</t>
        </is>
      </c>
      <c r="B15" s="17" t="inlineStr">
        <is>
          <t>Story — procurement</t>
        </is>
      </c>
      <c r="C15" s="4" t="inlineStr">
        <is>
          <t>Transactable AppSource offer live, with the private-offer path tested on a pilot</t>
        </is>
      </c>
      <c r="D15" s="4" t="inlineStr">
        <is>
          <t>Partner Center work. The fulfillment integration is built and the plan identifiers are bound to the entitlement table by test, so the offer and the code cannot disagree once it exists — but there is no offer.</t>
        </is>
      </c>
      <c r="E15" s="4" t="inlineStr">
        <is>
          <t>Senthil configures the transactable offer in Partner Center.</t>
        </is>
      </c>
      <c r="F15" s="4" t="inlineStr">
        <is>
          <t>Senthil</t>
        </is>
      </c>
      <c r="G15" s="4" t="inlineStr">
        <is>
          <t>Days of Partner Center review; 3% marketplace fee thereafter</t>
        </is>
      </c>
      <c r="H15" s="4" t="inlineStr">
        <is>
          <t>LC-6, LC-11, G-02</t>
        </is>
      </c>
    </row>
    <row r="16">
      <c r="A16" s="10" t="inlineStr">
        <is>
          <t>SD244</t>
        </is>
      </c>
      <c r="B16" s="17" t="inlineStr">
        <is>
          <t>Story — human</t>
        </is>
      </c>
      <c r="C16" s="4" t="inlineStr">
        <is>
          <t>15 discovery interviews in regulated frontline sectors</t>
        </is>
      </c>
      <c r="D16" s="4" t="inlineStr">
        <is>
          <t>Decision D13 parked discovery interviews portfolio-wide so development could proceed. That decision is now the binding constraint: nobody has told us this product solves a problem they would pay for, and the reviewer rated market demand only "partly real".</t>
        </is>
      </c>
      <c r="E16" s="4" t="inlineStr">
        <is>
          <t>Senthil books and runs 15 interviews using the prepared instrument, then synthesises.</t>
        </is>
      </c>
      <c r="F16" s="4" t="inlineStr">
        <is>
          <t>Senthil</t>
        </is>
      </c>
      <c r="G16" s="4" t="inlineStr">
        <is>
          <t>~2-3 weeks of calendar time</t>
        </is>
      </c>
      <c r="H16" s="4" t="inlineStr">
        <is>
          <t>The whole programme gate — unparks D13</t>
        </is>
      </c>
    </row>
    <row r="17">
      <c r="A17" s="10" t="inlineStr">
        <is>
          <t>SD247</t>
        </is>
      </c>
      <c r="B17" s="17" t="inlineStr">
        <is>
          <t>Story — human</t>
        </is>
      </c>
      <c r="C17" s="4" t="inlineStr">
        <is>
          <t>5 paid pilots with signed order forms</t>
        </is>
      </c>
      <c r="D17" s="4" t="inlineStr">
        <is>
          <t>The funnel that would measure activation and week-4 retention is built and wired. The customers are not. G-02 counts only paying strangers, so partner goodwill cannot substitute.</t>
        </is>
      </c>
      <c r="E17" s="4" t="inlineStr">
        <is>
          <t>Senthil closes five paying pilots after SD244 and SD245.</t>
        </is>
      </c>
      <c r="F17" s="4" t="inlineStr">
        <is>
          <t>Senthil</t>
        </is>
      </c>
      <c r="G17" s="4" t="inlineStr">
        <is>
          <t>Sales cycle, weeks to months</t>
        </is>
      </c>
      <c r="H17" s="4" t="inlineStr">
        <is>
          <t>G-02, and therefore G-03/G-04/G-05</t>
        </is>
      </c>
    </row>
    <row r="18">
      <c r="A18" s="10" t="inlineStr">
        <is>
          <t>Mutation testing</t>
        </is>
      </c>
      <c r="B18" s="15" t="inlineStr">
        <is>
          <t>Quality gate</t>
        </is>
      </c>
      <c r="C18" s="4" t="inlineStr">
        <is>
          <t>Mutation testing on the money and authentication modules</t>
        </is>
      </c>
      <c r="D18" s="4" t="inlineStr">
        <is>
          <t>This is the open half of review finding P-017 and of decision D-SD7. Three tiers are in place (unit, real store, wiring assertion); the fourth thing the reviewer recommended has not been built.</t>
        </is>
      </c>
      <c r="E18" s="4" t="inlineStr">
        <is>
          <t>Claude adds a mutation-testing run over src/billing.ts, src/entitlements.ts and the trust-boundary modules.</t>
        </is>
      </c>
      <c r="F18" s="4" t="inlineStr">
        <is>
          <t>Claude</t>
        </is>
      </c>
      <c r="G18" s="4" t="inlineStr">
        <is>
          <t>One session</t>
        </is>
      </c>
      <c r="H18" s="4" t="inlineStr">
        <is>
          <t>Nothing today; it raises confidence in exactly the two areas where a passing test can be worthless</t>
        </is>
      </c>
    </row>
    <row r="19">
      <c r="A19" s="10" t="inlineStr">
        <is>
          <t>Trust page publication</t>
        </is>
      </c>
      <c r="B19" s="15" t="inlineStr">
        <is>
          <t>Content</t>
        </is>
      </c>
      <c r="C19" s="4" t="inlineStr">
        <is>
          <t>content/security-trust-page.md going live</t>
        </is>
      </c>
      <c r="D19" s="4" t="inlineStr">
        <is>
          <t>Held deliberately per review finding D-07. Its claims were true only of a configuration nobody was running. It now describes what the code does, and it publishes when a deployment actually runs durably with KMS custody — not before.</t>
        </is>
      </c>
      <c r="E19" s="4" t="inlineStr">
        <is>
          <t>Publish once staging runs with a real store and vault (SD231/SD232).</t>
        </is>
      </c>
      <c r="F19" s="4" t="inlineStr">
        <is>
          <t>Senthil</t>
        </is>
      </c>
      <c r="G19" s="4" t="inlineStr">
        <is>
          <t>Minutes, once the conditions hold</t>
        </is>
      </c>
      <c r="H19" s="4" t="inlineStr">
        <is>
          <t>Nothing — it is a gate on us, not on anyone else</t>
        </is>
      </c>
    </row>
    <row r="21">
      <c r="A21" s="8" t="inlineStr">
        <is>
          <t>THE ONE-LINE VERSION: eleven of the forty-seven review stories, and the whole product gate, are waiting on four things that money and access buy — a Microsoft tenant, a staging environment, a Partner Center account and a budget — plus two things only customers can give: fifteen conversations and five signatures.</t>
        </is>
      </c>
    </row>
  </sheetData>
  <pageMargins left="0.75" right="0.75" top="1" bottom="1" header="0.5" footer="0.5"/>
</worksheet>
</file>

<file path=xl/worksheets/sheet7.xml><?xml version="1.0" encoding="utf-8"?>
<worksheet xmlns="http://schemas.openxmlformats.org/spreadsheetml/2006/main">
  <sheetPr>
    <tabColor rgb="FF548235"/>
    <outlinePr summaryBelow="1" summaryRight="1"/>
    <pageSetUpPr/>
  </sheetPr>
  <dimension ref="A1:F279"/>
  <sheetViews>
    <sheetView showGridLines="0" workbookViewId="0">
      <pane ySplit="4" topLeftCell="A5" activePane="bottomLeft" state="frozen"/>
      <selection pane="bottomLeft" activeCell="A1" sqref="A1"/>
    </sheetView>
  </sheetViews>
  <sheetFormatPr baseColWidth="8" defaultRowHeight="15"/>
  <cols>
    <col width="9" customWidth="1" min="1" max="1"/>
    <col width="6" customWidth="1" min="2" max="2"/>
    <col width="76" customWidth="1" min="3" max="3"/>
    <col width="62" customWidth="1" min="4" max="4"/>
    <col width="62" customWidth="1" min="5" max="5"/>
  </cols>
  <sheetData>
    <row r="1">
      <c r="A1" s="7" t="inlineStr">
        <is>
          <t>VERSION STEPS — how each release was actually executed, in order</t>
        </is>
      </c>
      <c r="B1" s="2" t="n"/>
      <c r="C1" s="2" t="n"/>
      <c r="D1" s="2" t="n"/>
      <c r="E1" s="2" t="n"/>
      <c r="F1" s="2" t="n"/>
    </row>
    <row r="2" ht="58" customHeight="1">
      <c r="A2" s="8" t="inlineStr">
        <is>
          <t>HOW TO USE THIS SHEET — One block per release, in order, oldest first. Steps are numbered within the release. Use this to reconstruct what happened, to repeat the method on a new release, or to audit whether a release did what its note claims. The step shapes repeat by category because the working method is deliberate, not improvised.</t>
        </is>
      </c>
    </row>
    <row r="4">
      <c r="A4" s="3" t="inlineStr">
        <is>
          <t>Release</t>
        </is>
      </c>
      <c r="B4" s="3" t="inlineStr">
        <is>
          <t>Step</t>
        </is>
      </c>
      <c r="C4" s="3" t="inlineStr">
        <is>
          <t>Action</t>
        </is>
      </c>
      <c r="D4" s="3" t="inlineStr">
        <is>
          <t>Why this step</t>
        </is>
      </c>
      <c r="E4" s="3" t="inlineStr">
        <is>
          <t>Output of the step</t>
        </is>
      </c>
    </row>
    <row r="5">
      <c r="A5" s="18" t="inlineStr">
        <is>
          <t>v001</t>
        </is>
      </c>
      <c r="B5" s="6" t="n">
        <v>1</v>
      </c>
      <c r="C5" s="6" t="inlineStr">
        <is>
          <t>Confirm the instruction and the scope for the session, and record it as an event in the tracker log.</t>
        </is>
      </c>
      <c r="D5" s="6" t="inlineStr">
        <is>
          <t>A release with no recorded instruction cannot be audited later, and scope creep inside a session is invisible without it.</t>
        </is>
      </c>
      <c r="E5" s="6" t="inlineStr">
        <is>
          <t>A tracker log event (E-nnn) naming the instruction and the scope.</t>
        </is>
      </c>
    </row>
    <row r="6">
      <c r="A6" s="6" t="n"/>
      <c r="B6" s="6" t="n">
        <v>2</v>
      </c>
      <c r="C6" s="6" t="inlineStr">
        <is>
          <t>Read the current state: the backlog rows in scope, the code they claim, and the tests that pin them.</t>
        </is>
      </c>
      <c r="D6" s="6" t="inlineStr">
        <is>
          <t>The product's recurring defect is a module that exists and is never called, so the starting question is always what is really wired.</t>
        </is>
      </c>
      <c r="E6" s="6" t="inlineStr">
        <is>
          <t>A written list of what exists versus what is claimed.</t>
        </is>
      </c>
    </row>
    <row r="7">
      <c r="A7" s="6" t="n"/>
      <c r="B7" s="6" t="n">
        <v>3</v>
      </c>
      <c r="C7" s="6" t="inlineStr">
        <is>
          <t>Build the capability, smallest honest slice first, with the test written against the behaviour rather than the implementation.</t>
        </is>
      </c>
      <c r="D7" s="6" t="inlineStr">
        <is>
          <t>A test coupled to implementation detail passes through a refactor that breaks the product.</t>
        </is>
      </c>
      <c r="E7" s="6" t="inlineStr">
        <is>
          <t>New or changed modules under src/ or web/.</t>
        </is>
      </c>
    </row>
    <row r="8">
      <c r="A8" s="6" t="n"/>
      <c r="B8" s="6" t="n">
        <v>4</v>
      </c>
      <c r="C8" s="6" t="inlineStr">
        <is>
          <t>Wire it at the boundary — a real request must drive it, not only a unit test.</t>
        </is>
      </c>
      <c r="D8" s="6" t="inlineStr">
        <is>
          <t>Findings F-036, F-039, F-062 and F-063 were all correct modules nothing constructed. Wiring is part of building, not a later step.</t>
        </is>
      </c>
      <c r="E8" s="6" t="inlineStr">
        <is>
          <t>Construction in the entry point plus a boundary test that proves a request reaches it.</t>
        </is>
      </c>
    </row>
    <row r="9">
      <c r="A9" s="6" t="n"/>
      <c r="B9" s="6" t="n">
        <v>5</v>
      </c>
      <c r="C9" s="6" t="inlineStr">
        <is>
          <t>Run the full gate: typecheck, unit suite at 100%, and from v040 the integration and seam tiers too.</t>
        </is>
      </c>
      <c r="D9" s="6" t="inlineStr">
        <is>
          <t>The gate is the only thing standing between a green feeling and a green build.</t>
        </is>
      </c>
      <c r="E9" s="6" t="inlineStr">
        <is>
          <t>A clean gate run, or a defect to fix before the release closes.</t>
        </is>
      </c>
    </row>
    <row r="10">
      <c r="A10" s="6" t="n"/>
      <c r="B10" s="6" t="n">
        <v>6</v>
      </c>
      <c r="C10" s="6" t="inlineStr">
        <is>
          <t>Update the tracker, traceability and companion workbook, then release and deliver the artefacts.</t>
        </is>
      </c>
      <c r="D10" s="6" t="inlineStr">
        <is>
          <t>Evidence that is not written down where the reader will look for it is not evidence (finding F-009).</t>
        </is>
      </c>
      <c r="E10" s="6" t="inlineStr">
        <is>
          <t>Tracker version row, traceability rows, source zip, workbook.</t>
        </is>
      </c>
    </row>
    <row r="11">
      <c r="A11" s="15" t="n"/>
      <c r="B11" s="15" t="n">
        <v>7</v>
      </c>
      <c r="C11" s="15" t="inlineStr">
        <is>
          <t>RELEASE-SPECIFIC: Foundation through S8 consolidated into one tracker.</t>
        </is>
      </c>
      <c r="D11" s="15" t="inlineStr">
        <is>
          <t>Senthil instruction 10 Sep 22:26: continue per the v005 sprint plan with a sprint tracker, traceability and 100% automation coverage (D13). The product had eight sprints of code and no execution record.</t>
        </is>
      </c>
      <c r="E11" s="15" t="inlineStr">
        <is>
          <t>75 stories Done, 8 code-complete pending live, 15 Jest suites / 67 tests at 100%</t>
        </is>
      </c>
    </row>
    <row r="12">
      <c r="A12" s="18" t="inlineStr">
        <is>
          <t>v002</t>
        </is>
      </c>
      <c r="B12" s="6" t="n">
        <v>1</v>
      </c>
      <c r="C12" s="6" t="inlineStr">
        <is>
          <t>Confirm the instruction and the scope for the session, and record it as an event in the tracker log.</t>
        </is>
      </c>
      <c r="D12" s="6" t="inlineStr">
        <is>
          <t>A release with no recorded instruction cannot be audited later, and scope creep inside a session is invisible without it.</t>
        </is>
      </c>
      <c r="E12" s="6" t="inlineStr">
        <is>
          <t>A tracker log event (E-nnn) naming the instruction and the scope.</t>
        </is>
      </c>
    </row>
    <row r="13">
      <c r="A13" s="6" t="n"/>
      <c r="B13" s="6" t="n">
        <v>2</v>
      </c>
      <c r="C13" s="6" t="inlineStr">
        <is>
          <t>Read the current state: the backlog rows in scope, the code they claim, and the tests that pin them.</t>
        </is>
      </c>
      <c r="D13" s="6" t="inlineStr">
        <is>
          <t>The product's recurring defect is a module that exists and is never called, so the starting question is always what is really wired.</t>
        </is>
      </c>
      <c r="E13" s="6" t="inlineStr">
        <is>
          <t>A written list of what exists versus what is claimed.</t>
        </is>
      </c>
    </row>
    <row r="14">
      <c r="A14" s="6" t="n"/>
      <c r="B14" s="6" t="n">
        <v>3</v>
      </c>
      <c r="C14" s="6" t="inlineStr">
        <is>
          <t>Build the capability, smallest honest slice first, with the test written against the behaviour rather than the implementation.</t>
        </is>
      </c>
      <c r="D14" s="6" t="inlineStr">
        <is>
          <t>A test coupled to implementation detail passes through a refactor that breaks the product.</t>
        </is>
      </c>
      <c r="E14" s="6" t="inlineStr">
        <is>
          <t>New or changed modules under src/ or web/.</t>
        </is>
      </c>
    </row>
    <row r="15">
      <c r="A15" s="6" t="n"/>
      <c r="B15" s="6" t="n">
        <v>4</v>
      </c>
      <c r="C15" s="6" t="inlineStr">
        <is>
          <t>Wire it at the boundary — a real request must drive it, not only a unit test.</t>
        </is>
      </c>
      <c r="D15" s="6" t="inlineStr">
        <is>
          <t>Findings F-036, F-039, F-062 and F-063 were all correct modules nothing constructed. Wiring is part of building, not a later step.</t>
        </is>
      </c>
      <c r="E15" s="6" t="inlineStr">
        <is>
          <t>Construction in the entry point plus a boundary test that proves a request reaches it.</t>
        </is>
      </c>
    </row>
    <row r="16">
      <c r="A16" s="6" t="n"/>
      <c r="B16" s="6" t="n">
        <v>5</v>
      </c>
      <c r="C16" s="6" t="inlineStr">
        <is>
          <t>Run the full gate: typecheck, unit suite at 100%, and from v040 the integration and seam tiers too.</t>
        </is>
      </c>
      <c r="D16" s="6" t="inlineStr">
        <is>
          <t>The gate is the only thing standing between a green feeling and a green build.</t>
        </is>
      </c>
      <c r="E16" s="6" t="inlineStr">
        <is>
          <t>A clean gate run, or a defect to fix before the release closes.</t>
        </is>
      </c>
    </row>
    <row r="17">
      <c r="A17" s="6" t="n"/>
      <c r="B17" s="6" t="n">
        <v>6</v>
      </c>
      <c r="C17" s="6" t="inlineStr">
        <is>
          <t>Update the tracker, traceability and companion workbook, then release and deliver the artefacts.</t>
        </is>
      </c>
      <c r="D17" s="6" t="inlineStr">
        <is>
          <t>Evidence that is not written down where the reader will look for it is not evidence (finding F-009).</t>
        </is>
      </c>
      <c r="E17" s="6" t="inlineStr">
        <is>
          <t>Tracker version row, traceability rows, source zip, workbook.</t>
        </is>
      </c>
    </row>
    <row r="18">
      <c r="A18" s="15" t="n"/>
      <c r="B18" s="15" t="n">
        <v>7</v>
      </c>
      <c r="C18" s="15" t="inlineStr">
        <is>
          <t>RELEASE-SPECIFIC: Live-sweep readiness pack: manifest v1.17, icons, typed config loader, 12-step sweep, dev-tenant guide.</t>
        </is>
      </c>
      <c r="D18" s="15" t="inlineStr">
        <is>
          <t>Nothing could be installed in a real tenant: no manifest package existed, so no story could ever leave "pending live". Sideloading needs no Partner Center, so this unblocked same-day verification.</t>
        </is>
      </c>
      <c r="E18" s="15" t="inlineStr">
        <is>
          <t>Gate LC-2 advanced to manifest-ready</t>
        </is>
      </c>
    </row>
    <row r="19">
      <c r="A19" s="18" t="inlineStr">
        <is>
          <t>v003</t>
        </is>
      </c>
      <c r="B19" s="6" t="n">
        <v>1</v>
      </c>
      <c r="C19" s="6" t="inlineStr">
        <is>
          <t>Confirm the instruction and the scope for the session, and record it as an event in the tracker log.</t>
        </is>
      </c>
      <c r="D19" s="6" t="inlineStr">
        <is>
          <t>A release with no recorded instruction cannot be audited later, and scope creep inside a session is invisible without it.</t>
        </is>
      </c>
      <c r="E19" s="6" t="inlineStr">
        <is>
          <t>A tracker log event (E-nnn) naming the instruction and the scope.</t>
        </is>
      </c>
    </row>
    <row r="20">
      <c r="A20" s="6" t="n"/>
      <c r="B20" s="6" t="n">
        <v>2</v>
      </c>
      <c r="C20" s="6" t="inlineStr">
        <is>
          <t>Read the current state: the backlog rows in scope, the code they claim, and the tests that pin them.</t>
        </is>
      </c>
      <c r="D20" s="6" t="inlineStr">
        <is>
          <t>The product's recurring defect is a module that exists and is never called, so the starting question is always what is really wired.</t>
        </is>
      </c>
      <c r="E20" s="6" t="inlineStr">
        <is>
          <t>A written list of what exists versus what is claimed.</t>
        </is>
      </c>
    </row>
    <row r="21">
      <c r="A21" s="6" t="n"/>
      <c r="B21" s="6" t="n">
        <v>3</v>
      </c>
      <c r="C21" s="6" t="inlineStr">
        <is>
          <t>Build the capability, smallest honest slice first, with the test written against the behaviour rather than the implementation.</t>
        </is>
      </c>
      <c r="D21" s="6" t="inlineStr">
        <is>
          <t>A test coupled to implementation detail passes through a refactor that breaks the product.</t>
        </is>
      </c>
      <c r="E21" s="6" t="inlineStr">
        <is>
          <t>New or changed modules under src/ or web/.</t>
        </is>
      </c>
    </row>
    <row r="22">
      <c r="A22" s="6" t="n"/>
      <c r="B22" s="6" t="n">
        <v>4</v>
      </c>
      <c r="C22" s="6" t="inlineStr">
        <is>
          <t>Wire it at the boundary — a real request must drive it, not only a unit test.</t>
        </is>
      </c>
      <c r="D22" s="6" t="inlineStr">
        <is>
          <t>Findings F-036, F-039, F-062 and F-063 were all correct modules nothing constructed. Wiring is part of building, not a later step.</t>
        </is>
      </c>
      <c r="E22" s="6" t="inlineStr">
        <is>
          <t>Construction in the entry point plus a boundary test that proves a request reaches it.</t>
        </is>
      </c>
    </row>
    <row r="23">
      <c r="A23" s="6" t="n"/>
      <c r="B23" s="6" t="n">
        <v>5</v>
      </c>
      <c r="C23" s="6" t="inlineStr">
        <is>
          <t>Run the full gate: typecheck, unit suite at 100%, and from v040 the integration and seam tiers too.</t>
        </is>
      </c>
      <c r="D23" s="6" t="inlineStr">
        <is>
          <t>The gate is the only thing standing between a green feeling and a green build.</t>
        </is>
      </c>
      <c r="E23" s="6" t="inlineStr">
        <is>
          <t>A clean gate run, or a defect to fix before the release closes.</t>
        </is>
      </c>
    </row>
    <row r="24">
      <c r="A24" s="6" t="n"/>
      <c r="B24" s="6" t="n">
        <v>6</v>
      </c>
      <c r="C24" s="6" t="inlineStr">
        <is>
          <t>Update the tracker, traceability and companion workbook, then release and deliver the artefacts.</t>
        </is>
      </c>
      <c r="D24" s="6" t="inlineStr">
        <is>
          <t>Evidence that is not written down where the reader will look for it is not evidence (finding F-009).</t>
        </is>
      </c>
      <c r="E24" s="6" t="inlineStr">
        <is>
          <t>Tracker version row, traceability rows, source zip, workbook.</t>
        </is>
      </c>
    </row>
    <row r="25">
      <c r="A25" s="15" t="n"/>
      <c r="B25" s="15" t="n">
        <v>7</v>
      </c>
      <c r="C25" s="15" t="inlineStr">
        <is>
          <t>RELEASE-SPECIFIC: Ops parity pack: k6 5x load harness, blue/green deploy workflow, scripted backup/restore drill.</t>
        </is>
      </c>
      <c r="D25" s="15" t="inlineStr">
        <is>
          <t>Three launch-checklist items (load, deploy, backup) were prose. A checklist item with no executable behind it cannot be evidence.</t>
        </is>
      </c>
      <c r="E25" s="15" t="inlineStr">
        <is>
          <t>ST-088/090/092 moved Backlog to Drafted; Gate LC-8 harness-scripted</t>
        </is>
      </c>
    </row>
    <row r="26">
      <c r="A26" s="18" t="inlineStr">
        <is>
          <t>v004</t>
        </is>
      </c>
      <c r="B26" s="6" t="n">
        <v>1</v>
      </c>
      <c r="C26" s="6" t="inlineStr">
        <is>
          <t>Freeze the scope: name the sessions whose code has never been reviewed, and read nothing else.</t>
        </is>
      </c>
      <c r="D26" s="6" t="inlineStr">
        <is>
          <t>A review with unbounded scope becomes a skim. New code is the least-reviewed code (R-S10).</t>
        </is>
      </c>
      <c r="E26" s="6" t="inlineStr">
        <is>
          <t>A named module list for the pass.</t>
        </is>
      </c>
    </row>
    <row r="27">
      <c r="A27" s="6" t="n"/>
      <c r="B27" s="6" t="n">
        <v>2</v>
      </c>
      <c r="C27" s="6" t="inlineStr">
        <is>
          <t>Read each module adversarially, asking what input would make it do the wrong thing, not whether it looks correct.</t>
        </is>
      </c>
      <c r="D27" s="6" t="inlineStr">
        <is>
          <t>Every defect found this way had a passing test over it already.</t>
        </is>
      </c>
      <c r="E27" s="6" t="inlineStr">
        <is>
          <t>A candidate defect list.</t>
        </is>
      </c>
    </row>
    <row r="28">
      <c r="A28" s="6" t="n"/>
      <c r="B28" s="6" t="n">
        <v>3</v>
      </c>
      <c r="C28" s="6" t="inlineStr">
        <is>
          <t>Reproduce each candidate as a failing test before touching the code.</t>
        </is>
      </c>
      <c r="D28" s="6" t="inlineStr">
        <is>
          <t>A defect without a failing test is an opinion, and a fix without one regresses silently.</t>
        </is>
      </c>
      <c r="E28" s="6" t="inlineStr">
        <is>
          <t>Failing tests, one per confirmed defect.</t>
        </is>
      </c>
    </row>
    <row r="29">
      <c r="A29" s="6" t="n"/>
      <c r="B29" s="6" t="n">
        <v>4</v>
      </c>
      <c r="C29" s="6" t="inlineStr">
        <is>
          <t>Fix, and keep the regression test pinned in a pass-specific suite so its origin stays visible.</t>
        </is>
      </c>
      <c r="D29" s="6" t="inlineStr">
        <is>
          <t>The suite name is the audit trail: tests/reviewPass4.test.ts says when and why the assertion exists.</t>
        </is>
      </c>
      <c r="E29" s="6" t="inlineStr">
        <is>
          <t>F-nnn entries fixed with named regressions.</t>
        </is>
      </c>
    </row>
    <row r="30">
      <c r="A30" s="6" t="n"/>
      <c r="B30" s="6" t="n">
        <v>5</v>
      </c>
      <c r="C30" s="6" t="inlineStr">
        <is>
          <t>Record anything not fixed as an explicit open finding with a disposition owner, rather than fixing it quietly or dropping it.</t>
        </is>
      </c>
      <c r="D30" s="6" t="inlineStr">
        <is>
          <t>F-007 and F-008 stayed open for weeks under their own ids. That is honest; silence would not have been.</t>
        </is>
      </c>
      <c r="E30" s="6" t="inlineStr">
        <is>
          <t>Open findings with owners.</t>
        </is>
      </c>
    </row>
    <row r="31">
      <c r="A31" s="6" t="n"/>
      <c r="B31" s="6" t="n">
        <v>6</v>
      </c>
      <c r="C31" s="6" t="inlineStr">
        <is>
          <t>Rerun the full gate and release, with the defect count in the release note.</t>
        </is>
      </c>
      <c r="D31" s="6" t="inlineStr">
        <is>
          <t>The count belongs in the note because a release that fixed six defects is not the same artefact as one that fixed none.</t>
        </is>
      </c>
      <c r="E31" s="6" t="inlineStr">
        <is>
          <t>Released version with the findings recorded.</t>
        </is>
      </c>
    </row>
    <row r="32">
      <c r="A32" s="15" t="n"/>
      <c r="B32" s="15" t="n">
        <v>7</v>
      </c>
      <c r="C32" s="15" t="inlineStr">
        <is>
          <t>RELEASE-SPECIFIC: Adversarial cold-review pass 1 over the S1-S8 code.</t>
        </is>
      </c>
      <c r="D32" s="15" t="inlineStr">
        <is>
          <t>100% coverage had never been tested against an adversary. Coverage proves execution, not correctness, and the product had never been read by anyone looking for defects.</t>
        </is>
      </c>
      <c r="E32" s="15" t="inlineStr">
        <is>
          <t>6 defects fixed with regressions (F-001..F-006); F-007/F-008 raised for disposition; F-009 evidence-discipline finding closed</t>
        </is>
      </c>
    </row>
    <row r="33">
      <c r="A33" s="18" t="inlineStr">
        <is>
          <t>v005</t>
        </is>
      </c>
      <c r="B33" s="6" t="n">
        <v>1</v>
      </c>
      <c r="C33" s="6" t="inlineStr">
        <is>
          <t>Freeze the scope: name the sessions whose code has never been reviewed, and read nothing else.</t>
        </is>
      </c>
      <c r="D33" s="6" t="inlineStr">
        <is>
          <t>A review with unbounded scope becomes a skim. New code is the least-reviewed code (R-S10).</t>
        </is>
      </c>
      <c r="E33" s="6" t="inlineStr">
        <is>
          <t>A named module list for the pass.</t>
        </is>
      </c>
    </row>
    <row r="34">
      <c r="A34" s="6" t="n"/>
      <c r="B34" s="6" t="n">
        <v>2</v>
      </c>
      <c r="C34" s="6" t="inlineStr">
        <is>
          <t>Read each module adversarially, asking what input would make it do the wrong thing, not whether it looks correct.</t>
        </is>
      </c>
      <c r="D34" s="6" t="inlineStr">
        <is>
          <t>Every defect found this way had a passing test over it already.</t>
        </is>
      </c>
      <c r="E34" s="6" t="inlineStr">
        <is>
          <t>A candidate defect list.</t>
        </is>
      </c>
    </row>
    <row r="35">
      <c r="A35" s="6" t="n"/>
      <c r="B35" s="6" t="n">
        <v>3</v>
      </c>
      <c r="C35" s="6" t="inlineStr">
        <is>
          <t>Reproduce each candidate as a failing test before touching the code.</t>
        </is>
      </c>
      <c r="D35" s="6" t="inlineStr">
        <is>
          <t>A defect without a failing test is an opinion, and a fix without one regresses silently.</t>
        </is>
      </c>
      <c r="E35" s="6" t="inlineStr">
        <is>
          <t>Failing tests, one per confirmed defect.</t>
        </is>
      </c>
    </row>
    <row r="36">
      <c r="A36" s="6" t="n"/>
      <c r="B36" s="6" t="n">
        <v>4</v>
      </c>
      <c r="C36" s="6" t="inlineStr">
        <is>
          <t>Fix, and keep the regression test pinned in a pass-specific suite so its origin stays visible.</t>
        </is>
      </c>
      <c r="D36" s="6" t="inlineStr">
        <is>
          <t>The suite name is the audit trail: tests/reviewPass4.test.ts says when and why the assertion exists.</t>
        </is>
      </c>
      <c r="E36" s="6" t="inlineStr">
        <is>
          <t>F-nnn entries fixed with named regressions.</t>
        </is>
      </c>
    </row>
    <row r="37">
      <c r="A37" s="6" t="n"/>
      <c r="B37" s="6" t="n">
        <v>5</v>
      </c>
      <c r="C37" s="6" t="inlineStr">
        <is>
          <t>Record anything not fixed as an explicit open finding with a disposition owner, rather than fixing it quietly or dropping it.</t>
        </is>
      </c>
      <c r="D37" s="6" t="inlineStr">
        <is>
          <t>F-007 and F-008 stayed open for weeks under their own ids. That is honest; silence would not have been.</t>
        </is>
      </c>
      <c r="E37" s="6" t="inlineStr">
        <is>
          <t>Open findings with owners.</t>
        </is>
      </c>
    </row>
    <row r="38">
      <c r="A38" s="6" t="n"/>
      <c r="B38" s="6" t="n">
        <v>6</v>
      </c>
      <c r="C38" s="6" t="inlineStr">
        <is>
          <t>Rerun the full gate and release, with the defect count in the release note.</t>
        </is>
      </c>
      <c r="D38" s="6" t="inlineStr">
        <is>
          <t>The count belongs in the note because a release that fixed six defects is not the same artefact as one that fixed none.</t>
        </is>
      </c>
      <c r="E38" s="6" t="inlineStr">
        <is>
          <t>Released version with the findings recorded.</t>
        </is>
      </c>
    </row>
    <row r="39">
      <c r="A39" s="15" t="n"/>
      <c r="B39" s="15" t="n">
        <v>7</v>
      </c>
      <c r="C39" s="15" t="inlineStr">
        <is>
          <t>RELEASE-SPECIFIC: Cold-review pass 2 plus the completion wave taking the last backlog stories to sandbox ceiling.</t>
        </is>
      </c>
      <c r="D39" s="15" t="inlineStr">
        <is>
          <t>Pass 1 found six defects in code that was already "done", so a second pass was warranted before declaring the code phase complete.</t>
        </is>
      </c>
      <c r="E39" s="15" t="inlineStr">
        <is>
          <t>F-010..F-013 fixed; backlog zero; 22 suites / 109 tests at 100%</t>
        </is>
      </c>
    </row>
    <row r="40">
      <c r="A40" s="18" t="inlineStr">
        <is>
          <t>v006</t>
        </is>
      </c>
      <c r="B40" s="6" t="n">
        <v>1</v>
      </c>
      <c r="C40" s="6" t="inlineStr">
        <is>
          <t>Choose the seam that was most recently written from assumption rather than from vendor documentation.</t>
        </is>
      </c>
      <c r="D40" s="6" t="inlineStr">
        <is>
          <t>The bot transport and the tab SSO seam were each wrong in three ways and their own tests passed (R-S12).</t>
        </is>
      </c>
      <c r="E40" s="6" t="inlineStr">
        <is>
          <t>The seam under verification.</t>
        </is>
      </c>
    </row>
    <row r="41">
      <c r="A41" s="6" t="n"/>
      <c r="B41" s="6" t="n">
        <v>2</v>
      </c>
      <c r="C41" s="6" t="inlineStr">
        <is>
          <t>Read the vendor documentation for that seam properly, and write down what it actually requires.</t>
        </is>
      </c>
      <c r="D41" s="6" t="inlineStr">
        <is>
          <t>Guessing an authentication or payload contract produces code that is confidently wrong.</t>
        </is>
      </c>
      <c r="E41" s="6" t="inlineStr">
        <is>
          <t>A requirement list quoted from the documentation.</t>
        </is>
      </c>
    </row>
    <row r="42">
      <c r="A42" s="6" t="n"/>
      <c r="B42" s="6" t="n">
        <v>3</v>
      </c>
      <c r="C42" s="6" t="inlineStr">
        <is>
          <t>Compare the shipped code against each requirement, one line at a time.</t>
        </is>
      </c>
      <c r="D42" s="6" t="inlineStr">
        <is>
          <t>This is where VER-SD09, VER-SD10 and VER-SD13 came from — all live-blocking, none visible to the suite.</t>
        </is>
      </c>
      <c r="E42" s="6" t="inlineStr">
        <is>
          <t>VER-SDnn findings with severity.</t>
        </is>
      </c>
    </row>
    <row r="43">
      <c r="A43" s="6" t="n"/>
      <c r="B43" s="6" t="n">
        <v>4</v>
      </c>
      <c r="C43" s="6" t="inlineStr">
        <is>
          <t>Correct the code and pin the requirement with an assertion on the outbound shape, not only the inbound handling.</t>
        </is>
      </c>
      <c r="D43" s="6" t="inlineStr">
        <is>
          <t>Asserting what we send is how a wrong header or a wrong reply mechanism gets caught.</t>
        </is>
      </c>
      <c r="E43" s="6" t="inlineStr">
        <is>
          <t>Transport-level assertions.</t>
        </is>
      </c>
    </row>
    <row r="44">
      <c r="A44" s="6" t="n"/>
      <c r="B44" s="6" t="n">
        <v>5</v>
      </c>
      <c r="C44" s="6" t="inlineStr">
        <is>
          <t>Record anything only a live client can settle, and route it to the live sweep rather than claiming it.</t>
        </is>
      </c>
      <c r="D44" s="6" t="inlineStr">
        <is>
          <t>R-S8 exists because the sandbox cannot prove in-client behaviour, and pretending otherwise would be the worst failure available.</t>
        </is>
      </c>
      <c r="E44" s="6" t="inlineStr">
        <is>
          <t>Sweep steps and pending-live stories.</t>
        </is>
      </c>
    </row>
    <row r="45">
      <c r="A45" s="6" t="n"/>
      <c r="B45" s="6" t="n">
        <v>6</v>
      </c>
      <c r="C45" s="6" t="inlineStr">
        <is>
          <t>Rerun the gate and release.</t>
        </is>
      </c>
      <c r="D45" s="6" t="inlineStr">
        <is>
          <t>Unchanged discipline regardless of release type.</t>
        </is>
      </c>
      <c r="E45" s="6" t="inlineStr">
        <is>
          <t>Released version.</t>
        </is>
      </c>
    </row>
    <row r="46">
      <c r="A46" s="15" t="n"/>
      <c r="B46" s="15" t="n">
        <v>7</v>
      </c>
      <c r="C46" s="15" t="inlineStr">
        <is>
          <t>RELEASE-SPECIFIC: External verification sweep against live Microsoft documentation, plus artifact-gap audit round 1.</t>
        </is>
      </c>
      <c r="D46" s="15" t="inlineStr">
        <is>
          <t>Every Teams-platform behaviour had been written from assumption. A store-blocking mistake is cheapest to find against the vendor documentation, not in a review queue.</t>
        </is>
      </c>
      <c r="E46" s="15" t="inlineStr">
        <is>
          <t>VER-SD01/02 store-blocking and VER-SD08 live-blocking raised; LC-5 reopened on an overstated permission model</t>
        </is>
      </c>
    </row>
    <row r="47">
      <c r="A47" s="18" t="inlineStr">
        <is>
          <t>v007</t>
        </is>
      </c>
      <c r="B47" s="6" t="n">
        <v>1</v>
      </c>
      <c r="C47" s="6" t="inlineStr">
        <is>
          <t>List every promise the product makes outside its code: manifest declarations, documented commands, published claims, RAID assertions.</t>
        </is>
      </c>
      <c r="D47" s="6" t="inlineStr">
        <is>
          <t>A promise with nothing behind it is a store rejection or a broken install, and it is invisible to a coverage gate.</t>
        </is>
      </c>
      <c r="E47" s="6" t="inlineStr">
        <is>
          <t>A promise inventory.</t>
        </is>
      </c>
    </row>
    <row r="48">
      <c r="A48" s="6" t="n"/>
      <c r="B48" s="6" t="n">
        <v>2</v>
      </c>
      <c r="C48" s="6" t="inlineStr">
        <is>
          <t>For each promise, find the implementation. Not the intention — the file.</t>
        </is>
      </c>
      <c r="D48" s="6" t="inlineStr">
        <is>
          <t>GAP-SD1, GAP-SD2, GAP-SD5, GAP-SD6 and GAP-SD8 were all promises with no file behind them, one of them repeated in RAID for fourteen sessions.</t>
        </is>
      </c>
      <c r="E48" s="6" t="inlineStr">
        <is>
          <t>A gap list with severity.</t>
        </is>
      </c>
    </row>
    <row r="49">
      <c r="A49" s="6" t="n"/>
      <c r="B49" s="6" t="n">
        <v>3</v>
      </c>
      <c r="C49" s="6" t="inlineStr">
        <is>
          <t>Build the missing implementation, or withdraw the promise explicitly as a decision.</t>
        </is>
      </c>
      <c r="D49" s="6" t="inlineStr">
        <is>
          <t>Withdrawing is legitimate and cheaper — D-SD5 dropped an unused permission rather than inventing a consumer for it.</t>
        </is>
      </c>
      <c r="E49" s="6" t="inlineStr">
        <is>
          <t>New modules, or a recorded D-SDn decision.</t>
        </is>
      </c>
    </row>
    <row r="50">
      <c r="A50" s="6" t="n"/>
      <c r="B50" s="6" t="n">
        <v>4</v>
      </c>
      <c r="C50" s="6" t="inlineStr">
        <is>
          <t>Bind promise to implementation with a contract test that fails on drift in either direction.</t>
        </is>
      </c>
      <c r="D50" s="6" t="inlineStr">
        <is>
          <t>The manifest-versus-code assertions exist so that no future manifest promise can ship without an implementation.</t>
        </is>
      </c>
      <c r="E50" s="6" t="inlineStr">
        <is>
          <t>Two-way contract tests.</t>
        </is>
      </c>
    </row>
    <row r="51">
      <c r="A51" s="6" t="n"/>
      <c r="B51" s="6" t="n">
        <v>5</v>
      </c>
      <c r="C51" s="6" t="inlineStr">
        <is>
          <t>Rerun the gate and release.</t>
        </is>
      </c>
      <c r="D51" s="6" t="inlineStr">
        <is>
          <t>Unchanged discipline regardless of release type.</t>
        </is>
      </c>
      <c r="E51" s="6" t="inlineStr">
        <is>
          <t>Released version.</t>
        </is>
      </c>
    </row>
    <row r="52">
      <c r="A52" s="15" t="n"/>
      <c r="B52" s="15" t="n">
        <v>6</v>
      </c>
      <c r="C52" s="15" t="inlineStr">
        <is>
          <t>RELEASE-SPECIFIC: Artifact-gap audit round 2: the web tab layer and the bot command router.</t>
        </is>
      </c>
      <c r="D52" s="15" t="inlineStr">
        <is>
          <t>The manifest declared three static tabs and advertised bot commands with nothing behind either. A manifest promise with no implementation is a store rejection and a broken install.</t>
        </is>
      </c>
      <c r="E52" s="15" t="inlineStr">
        <is>
          <t>GAP-SD1 and GAP-SD2 closed; 26 suites / 145 tests</t>
        </is>
      </c>
    </row>
    <row r="53">
      <c r="A53" s="18" t="inlineStr">
        <is>
          <t>v008</t>
        </is>
      </c>
      <c r="B53" s="6" t="n">
        <v>1</v>
      </c>
      <c r="C53" s="6" t="inlineStr">
        <is>
          <t>Freeze the scope: name the sessions whose code has never been reviewed, and read nothing else.</t>
        </is>
      </c>
      <c r="D53" s="6" t="inlineStr">
        <is>
          <t>A review with unbounded scope becomes a skim. New code is the least-reviewed code (R-S10).</t>
        </is>
      </c>
      <c r="E53" s="6" t="inlineStr">
        <is>
          <t>A named module list for the pass.</t>
        </is>
      </c>
    </row>
    <row r="54">
      <c r="A54" s="6" t="n"/>
      <c r="B54" s="6" t="n">
        <v>2</v>
      </c>
      <c r="C54" s="6" t="inlineStr">
        <is>
          <t>Read each module adversarially, asking what input would make it do the wrong thing, not whether it looks correct.</t>
        </is>
      </c>
      <c r="D54" s="6" t="inlineStr">
        <is>
          <t>Every defect found this way had a passing test over it already.</t>
        </is>
      </c>
      <c r="E54" s="6" t="inlineStr">
        <is>
          <t>A candidate defect list.</t>
        </is>
      </c>
    </row>
    <row r="55">
      <c r="A55" s="6" t="n"/>
      <c r="B55" s="6" t="n">
        <v>3</v>
      </c>
      <c r="C55" s="6" t="inlineStr">
        <is>
          <t>Reproduce each candidate as a failing test before touching the code.</t>
        </is>
      </c>
      <c r="D55" s="6" t="inlineStr">
        <is>
          <t>A defect without a failing test is an opinion, and a fix without one regresses silently.</t>
        </is>
      </c>
      <c r="E55" s="6" t="inlineStr">
        <is>
          <t>Failing tests, one per confirmed defect.</t>
        </is>
      </c>
    </row>
    <row r="56">
      <c r="A56" s="6" t="n"/>
      <c r="B56" s="6" t="n">
        <v>4</v>
      </c>
      <c r="C56" s="6" t="inlineStr">
        <is>
          <t>Fix, and keep the regression test pinned in a pass-specific suite so its origin stays visible.</t>
        </is>
      </c>
      <c r="D56" s="6" t="inlineStr">
        <is>
          <t>The suite name is the audit trail: tests/reviewPass4.test.ts says when and why the assertion exists.</t>
        </is>
      </c>
      <c r="E56" s="6" t="inlineStr">
        <is>
          <t>F-nnn entries fixed with named regressions.</t>
        </is>
      </c>
    </row>
    <row r="57">
      <c r="A57" s="6" t="n"/>
      <c r="B57" s="6" t="n">
        <v>5</v>
      </c>
      <c r="C57" s="6" t="inlineStr">
        <is>
          <t>Record anything not fixed as an explicit open finding with a disposition owner, rather than fixing it quietly or dropping it.</t>
        </is>
      </c>
      <c r="D57" s="6" t="inlineStr">
        <is>
          <t>F-007 and F-008 stayed open for weeks under their own ids. That is honest; silence would not have been.</t>
        </is>
      </c>
      <c r="E57" s="6" t="inlineStr">
        <is>
          <t>Open findings with owners.</t>
        </is>
      </c>
    </row>
    <row r="58">
      <c r="A58" s="6" t="n"/>
      <c r="B58" s="6" t="n">
        <v>6</v>
      </c>
      <c r="C58" s="6" t="inlineStr">
        <is>
          <t>Rerun the full gate and release, with the defect count in the release note.</t>
        </is>
      </c>
      <c r="D58" s="6" t="inlineStr">
        <is>
          <t>The count belongs in the note because a release that fixed six defects is not the same artefact as one that fixed none.</t>
        </is>
      </c>
      <c r="E58" s="6" t="inlineStr">
        <is>
          <t>Released version with the findings recorded.</t>
        </is>
      </c>
    </row>
    <row r="59">
      <c r="A59" s="15" t="n"/>
      <c r="B59" s="15" t="n">
        <v>7</v>
      </c>
      <c r="C59" s="15" t="inlineStr">
        <is>
          <t>RELEASE-SPECIFIC: Cold-review pass 3 over the sessions 5-8 code that had never been reviewed.</t>
        </is>
      </c>
      <c r="D59" s="15" t="inlineStr">
        <is>
          <t>New code is the least-reviewed code. Twelve modules had shipped at 100% coverage since the last review pass.</t>
        </is>
      </c>
      <c r="E59" s="15" t="inlineStr">
        <is>
          <t>F-014..F-019 fixed; headline F-016: the tab API validated the SSO token then never sent it</t>
        </is>
      </c>
    </row>
    <row r="60">
      <c r="A60" s="18" t="inlineStr">
        <is>
          <t>v009</t>
        </is>
      </c>
      <c r="B60" s="6" t="n">
        <v>1</v>
      </c>
      <c r="C60" s="6" t="inlineStr">
        <is>
          <t>List every promise the product makes outside its code: manifest declarations, documented commands, published claims, RAID assertions.</t>
        </is>
      </c>
      <c r="D60" s="6" t="inlineStr">
        <is>
          <t>A promise with nothing behind it is a store rejection or a broken install, and it is invisible to a coverage gate.</t>
        </is>
      </c>
      <c r="E60" s="6" t="inlineStr">
        <is>
          <t>A promise inventory.</t>
        </is>
      </c>
    </row>
    <row r="61">
      <c r="A61" s="6" t="n"/>
      <c r="B61" s="6" t="n">
        <v>2</v>
      </c>
      <c r="C61" s="6" t="inlineStr">
        <is>
          <t>For each promise, find the implementation. Not the intention — the file.</t>
        </is>
      </c>
      <c r="D61" s="6" t="inlineStr">
        <is>
          <t>GAP-SD1, GAP-SD2, GAP-SD5, GAP-SD6 and GAP-SD8 were all promises with no file behind them, one of them repeated in RAID for fourteen sessions.</t>
        </is>
      </c>
      <c r="E61" s="6" t="inlineStr">
        <is>
          <t>A gap list with severity.</t>
        </is>
      </c>
    </row>
    <row r="62">
      <c r="A62" s="6" t="n"/>
      <c r="B62" s="6" t="n">
        <v>3</v>
      </c>
      <c r="C62" s="6" t="inlineStr">
        <is>
          <t>Build the missing implementation, or withdraw the promise explicitly as a decision.</t>
        </is>
      </c>
      <c r="D62" s="6" t="inlineStr">
        <is>
          <t>Withdrawing is legitimate and cheaper — D-SD5 dropped an unused permission rather than inventing a consumer for it.</t>
        </is>
      </c>
      <c r="E62" s="6" t="inlineStr">
        <is>
          <t>New modules, or a recorded D-SDn decision.</t>
        </is>
      </c>
    </row>
    <row r="63">
      <c r="A63" s="6" t="n"/>
      <c r="B63" s="6" t="n">
        <v>4</v>
      </c>
      <c r="C63" s="6" t="inlineStr">
        <is>
          <t>Bind promise to implementation with a contract test that fails on drift in either direction.</t>
        </is>
      </c>
      <c r="D63" s="6" t="inlineStr">
        <is>
          <t>The manifest-versus-code assertions exist so that no future manifest promise can ship without an implementation.</t>
        </is>
      </c>
      <c r="E63" s="6" t="inlineStr">
        <is>
          <t>Two-way contract tests.</t>
        </is>
      </c>
    </row>
    <row r="64">
      <c r="A64" s="6" t="n"/>
      <c r="B64" s="6" t="n">
        <v>5</v>
      </c>
      <c r="C64" s="6" t="inlineStr">
        <is>
          <t>Rerun the gate and release.</t>
        </is>
      </c>
      <c r="D64" s="6" t="inlineStr">
        <is>
          <t>Unchanged discipline regardless of release type.</t>
        </is>
      </c>
      <c r="E64" s="6" t="inlineStr">
        <is>
          <t>Released version.</t>
        </is>
      </c>
    </row>
    <row r="65">
      <c r="A65" s="15" t="n"/>
      <c r="B65" s="15" t="n">
        <v>6</v>
      </c>
      <c r="C65" s="15" t="inlineStr">
        <is>
          <t>RELEASE-SPECIFIC: Artifact-gap audit round 3: the HTTP server and bootstrap.</t>
        </is>
      </c>
      <c r="D65" s="15" t="inlineStr">
        <is>
          <t>Three of five tab paths and the bot messaging endpoint had no server behind them. The client called a server that did not exist.</t>
        </is>
      </c>
      <c r="E65" s="15" t="inlineStr">
        <is>
          <t>GAP-SD5 closed with src/server.ts + src/bootstrap.ts and a client-vs-server parity test</t>
        </is>
      </c>
    </row>
    <row r="66">
      <c r="A66" s="18" t="inlineStr">
        <is>
          <t>v010</t>
        </is>
      </c>
      <c r="B66" s="6" t="n">
        <v>1</v>
      </c>
      <c r="C66" s="6" t="inlineStr">
        <is>
          <t>Choose the seam that was most recently written from assumption rather than from vendor documentation.</t>
        </is>
      </c>
      <c r="D66" s="6" t="inlineStr">
        <is>
          <t>The bot transport and the tab SSO seam were each wrong in three ways and their own tests passed (R-S12).</t>
        </is>
      </c>
      <c r="E66" s="6" t="inlineStr">
        <is>
          <t>The seam under verification.</t>
        </is>
      </c>
    </row>
    <row r="67">
      <c r="A67" s="6" t="n"/>
      <c r="B67" s="6" t="n">
        <v>2</v>
      </c>
      <c r="C67" s="6" t="inlineStr">
        <is>
          <t>Read the vendor documentation for that seam properly, and write down what it actually requires.</t>
        </is>
      </c>
      <c r="D67" s="6" t="inlineStr">
        <is>
          <t>Guessing an authentication or payload contract produces code that is confidently wrong.</t>
        </is>
      </c>
      <c r="E67" s="6" t="inlineStr">
        <is>
          <t>A requirement list quoted from the documentation.</t>
        </is>
      </c>
    </row>
    <row r="68">
      <c r="A68" s="6" t="n"/>
      <c r="B68" s="6" t="n">
        <v>3</v>
      </c>
      <c r="C68" s="6" t="inlineStr">
        <is>
          <t>Compare the shipped code against each requirement, one line at a time.</t>
        </is>
      </c>
      <c r="D68" s="6" t="inlineStr">
        <is>
          <t>This is where VER-SD09, VER-SD10 and VER-SD13 came from — all live-blocking, none visible to the suite.</t>
        </is>
      </c>
      <c r="E68" s="6" t="inlineStr">
        <is>
          <t>VER-SDnn findings with severity.</t>
        </is>
      </c>
    </row>
    <row r="69">
      <c r="A69" s="6" t="n"/>
      <c r="B69" s="6" t="n">
        <v>4</v>
      </c>
      <c r="C69" s="6" t="inlineStr">
        <is>
          <t>Correct the code and pin the requirement with an assertion on the outbound shape, not only the inbound handling.</t>
        </is>
      </c>
      <c r="D69" s="6" t="inlineStr">
        <is>
          <t>Asserting what we send is how a wrong header or a wrong reply mechanism gets caught.</t>
        </is>
      </c>
      <c r="E69" s="6" t="inlineStr">
        <is>
          <t>Transport-level assertions.</t>
        </is>
      </c>
    </row>
    <row r="70">
      <c r="A70" s="6" t="n"/>
      <c r="B70" s="6" t="n">
        <v>5</v>
      </c>
      <c r="C70" s="6" t="inlineStr">
        <is>
          <t>Record anything only a live client can settle, and route it to the live sweep rather than claiming it.</t>
        </is>
      </c>
      <c r="D70" s="6" t="inlineStr">
        <is>
          <t>R-S8 exists because the sandbox cannot prove in-client behaviour, and pretending otherwise would be the worst failure available.</t>
        </is>
      </c>
      <c r="E70" s="6" t="inlineStr">
        <is>
          <t>Sweep steps and pending-live stories.</t>
        </is>
      </c>
    </row>
    <row r="71">
      <c r="A71" s="6" t="n"/>
      <c r="B71" s="6" t="n">
        <v>6</v>
      </c>
      <c r="C71" s="6" t="inlineStr">
        <is>
          <t>Rerun the gate and release.</t>
        </is>
      </c>
      <c r="D71" s="6" t="inlineStr">
        <is>
          <t>Unchanged discipline regardless of release type.</t>
        </is>
      </c>
      <c r="E71" s="6" t="inlineStr">
        <is>
          <t>Released version.</t>
        </is>
      </c>
    </row>
    <row r="72">
      <c r="A72" s="15" t="n"/>
      <c r="B72" s="15" t="n">
        <v>7</v>
      </c>
      <c r="C72" s="15" t="inlineStr">
        <is>
          <t>RELEASE-SPECIFIC: Verification sweep 2 over the bot transport seam.</t>
        </is>
      </c>
      <c r="D72" s="15" t="inlineStr">
        <is>
          <t>The bot endpoint built one session earlier was written from assumption: authentication, payload shape and reply mechanism were all guesses, and its own tests passed.</t>
        </is>
      </c>
      <c r="E72" s="15" t="inlineStr">
        <is>
          <t>VER-SD09/SD10 live-blockers closed (Connector JWT, ack-then-send); VER-SD11/SD12 closed</t>
        </is>
      </c>
    </row>
    <row r="73">
      <c r="A73" s="18" t="inlineStr">
        <is>
          <t>v011</t>
        </is>
      </c>
      <c r="B73" s="6" t="n">
        <v>1</v>
      </c>
      <c r="C73" s="6" t="inlineStr">
        <is>
          <t>Choose the seam that was most recently written from assumption rather than from vendor documentation.</t>
        </is>
      </c>
      <c r="D73" s="6" t="inlineStr">
        <is>
          <t>The bot transport and the tab SSO seam were each wrong in three ways and their own tests passed (R-S12).</t>
        </is>
      </c>
      <c r="E73" s="6" t="inlineStr">
        <is>
          <t>The seam under verification.</t>
        </is>
      </c>
    </row>
    <row r="74">
      <c r="A74" s="6" t="n"/>
      <c r="B74" s="6" t="n">
        <v>2</v>
      </c>
      <c r="C74" s="6" t="inlineStr">
        <is>
          <t>Read the vendor documentation for that seam properly, and write down what it actually requires.</t>
        </is>
      </c>
      <c r="D74" s="6" t="inlineStr">
        <is>
          <t>Guessing an authentication or payload contract produces code that is confidently wrong.</t>
        </is>
      </c>
      <c r="E74" s="6" t="inlineStr">
        <is>
          <t>A requirement list quoted from the documentation.</t>
        </is>
      </c>
    </row>
    <row r="75">
      <c r="A75" s="6" t="n"/>
      <c r="B75" s="6" t="n">
        <v>3</v>
      </c>
      <c r="C75" s="6" t="inlineStr">
        <is>
          <t>Compare the shipped code against each requirement, one line at a time.</t>
        </is>
      </c>
      <c r="D75" s="6" t="inlineStr">
        <is>
          <t>This is where VER-SD09, VER-SD10 and VER-SD13 came from — all live-blocking, none visible to the suite.</t>
        </is>
      </c>
      <c r="E75" s="6" t="inlineStr">
        <is>
          <t>VER-SDnn findings with severity.</t>
        </is>
      </c>
    </row>
    <row r="76">
      <c r="A76" s="6" t="n"/>
      <c r="B76" s="6" t="n">
        <v>4</v>
      </c>
      <c r="C76" s="6" t="inlineStr">
        <is>
          <t>Correct the code and pin the requirement with an assertion on the outbound shape, not only the inbound handling.</t>
        </is>
      </c>
      <c r="D76" s="6" t="inlineStr">
        <is>
          <t>Asserting what we send is how a wrong header or a wrong reply mechanism gets caught.</t>
        </is>
      </c>
      <c r="E76" s="6" t="inlineStr">
        <is>
          <t>Transport-level assertions.</t>
        </is>
      </c>
    </row>
    <row r="77">
      <c r="A77" s="6" t="n"/>
      <c r="B77" s="6" t="n">
        <v>5</v>
      </c>
      <c r="C77" s="6" t="inlineStr">
        <is>
          <t>Record anything only a live client can settle, and route it to the live sweep rather than claiming it.</t>
        </is>
      </c>
      <c r="D77" s="6" t="inlineStr">
        <is>
          <t>R-S8 exists because the sandbox cannot prove in-client behaviour, and pretending otherwise would be the worst failure available.</t>
        </is>
      </c>
      <c r="E77" s="6" t="inlineStr">
        <is>
          <t>Sweep steps and pending-live stories.</t>
        </is>
      </c>
    </row>
    <row r="78">
      <c r="A78" s="6" t="n"/>
      <c r="B78" s="6" t="n">
        <v>6</v>
      </c>
      <c r="C78" s="6" t="inlineStr">
        <is>
          <t>Rerun the gate and release.</t>
        </is>
      </c>
      <c r="D78" s="6" t="inlineStr">
        <is>
          <t>Unchanged discipline regardless of release type.</t>
        </is>
      </c>
      <c r="E78" s="6" t="inlineStr">
        <is>
          <t>Released version.</t>
        </is>
      </c>
    </row>
    <row r="79">
      <c r="A79" s="15" t="n"/>
      <c r="B79" s="15" t="n">
        <v>7</v>
      </c>
      <c r="C79" s="15" t="inlineStr">
        <is>
          <t>RELEASE-SPECIFIC: Verification sweep 3 over the tab SSO seam.</t>
        </is>
      </c>
      <c r="D79" s="15" t="inlineStr">
        <is>
          <t>Same class as the bot seam one session earlier: the tab was sending a hardcoded placeholder token while the manifest declared SSO.</t>
        </is>
      </c>
      <c r="E79" s="15" t="inlineStr">
        <is>
          <t>VER-SD13 live-blocker closed with real acquisition and validation; VER-SD14 documented</t>
        </is>
      </c>
    </row>
    <row r="80">
      <c r="A80" s="18" t="inlineStr">
        <is>
          <t>v012</t>
        </is>
      </c>
      <c r="B80" s="6" t="n">
        <v>1</v>
      </c>
      <c r="C80" s="6" t="inlineStr">
        <is>
          <t>List every promise the product makes outside its code: manifest declarations, documented commands, published claims, RAID assertions.</t>
        </is>
      </c>
      <c r="D80" s="6" t="inlineStr">
        <is>
          <t>A promise with nothing behind it is a store rejection or a broken install, and it is invisible to a coverage gate.</t>
        </is>
      </c>
      <c r="E80" s="6" t="inlineStr">
        <is>
          <t>A promise inventory.</t>
        </is>
      </c>
    </row>
    <row r="81">
      <c r="A81" s="6" t="n"/>
      <c r="B81" s="6" t="n">
        <v>2</v>
      </c>
      <c r="C81" s="6" t="inlineStr">
        <is>
          <t>For each promise, find the implementation. Not the intention — the file.</t>
        </is>
      </c>
      <c r="D81" s="6" t="inlineStr">
        <is>
          <t>GAP-SD1, GAP-SD2, GAP-SD5, GAP-SD6 and GAP-SD8 were all promises with no file behind them, one of them repeated in RAID for fourteen sessions.</t>
        </is>
      </c>
      <c r="E81" s="6" t="inlineStr">
        <is>
          <t>A gap list with severity.</t>
        </is>
      </c>
    </row>
    <row r="82">
      <c r="A82" s="6" t="n"/>
      <c r="B82" s="6" t="n">
        <v>3</v>
      </c>
      <c r="C82" s="6" t="inlineStr">
        <is>
          <t>Build the missing implementation, or withdraw the promise explicitly as a decision.</t>
        </is>
      </c>
      <c r="D82" s="6" t="inlineStr">
        <is>
          <t>Withdrawing is legitimate and cheaper — D-SD5 dropped an unused permission rather than inventing a consumer for it.</t>
        </is>
      </c>
      <c r="E82" s="6" t="inlineStr">
        <is>
          <t>New modules, or a recorded D-SDn decision.</t>
        </is>
      </c>
    </row>
    <row r="83">
      <c r="A83" s="6" t="n"/>
      <c r="B83" s="6" t="n">
        <v>4</v>
      </c>
      <c r="C83" s="6" t="inlineStr">
        <is>
          <t>Bind promise to implementation with a contract test that fails on drift in either direction.</t>
        </is>
      </c>
      <c r="D83" s="6" t="inlineStr">
        <is>
          <t>The manifest-versus-code assertions exist so that no future manifest promise can ship without an implementation.</t>
        </is>
      </c>
      <c r="E83" s="6" t="inlineStr">
        <is>
          <t>Two-way contract tests.</t>
        </is>
      </c>
    </row>
    <row r="84">
      <c r="A84" s="6" t="n"/>
      <c r="B84" s="6" t="n">
        <v>5</v>
      </c>
      <c r="C84" s="6" t="inlineStr">
        <is>
          <t>Rerun the gate and release.</t>
        </is>
      </c>
      <c r="D84" s="6" t="inlineStr">
        <is>
          <t>Unchanged discipline regardless of release type.</t>
        </is>
      </c>
      <c r="E84" s="6" t="inlineStr">
        <is>
          <t>Released version.</t>
        </is>
      </c>
    </row>
    <row r="85">
      <c r="A85" s="15" t="n"/>
      <c r="B85" s="15" t="n">
        <v>6</v>
      </c>
      <c r="C85" s="15" t="inlineStr">
        <is>
          <t>RELEASE-SPECIFIC: Artifact-gap audit round 4: Graph membership consumed, unused scope dropped.</t>
        </is>
      </c>
      <c r="D85" s="15" t="inlineStr">
        <is>
          <t>TeamMember.Read.Group was requested and documented but never consumed, and every role resolver was a stub. Requesting a permission you do not use fails store review and misleads the consent screen.</t>
        </is>
      </c>
      <c r="E85" s="15" t="inlineStr">
        <is>
          <t>GAP-SD6 closed with src/graphMembers.ts; GAP-SD7 dropped as D-SD5; scopes bound to consumer files by test</t>
        </is>
      </c>
    </row>
    <row r="86">
      <c r="A86" s="18" t="inlineStr">
        <is>
          <t>v013</t>
        </is>
      </c>
      <c r="B86" s="6" t="n">
        <v>1</v>
      </c>
      <c r="C86" s="6" t="inlineStr">
        <is>
          <t>Freeze the scope: name the sessions whose code has never been reviewed, and read nothing else.</t>
        </is>
      </c>
      <c r="D86" s="6" t="inlineStr">
        <is>
          <t>A review with unbounded scope becomes a skim. New code is the least-reviewed code (R-S10).</t>
        </is>
      </c>
      <c r="E86" s="6" t="inlineStr">
        <is>
          <t>A named module list for the pass.</t>
        </is>
      </c>
    </row>
    <row r="87">
      <c r="A87" s="6" t="n"/>
      <c r="B87" s="6" t="n">
        <v>2</v>
      </c>
      <c r="C87" s="6" t="inlineStr">
        <is>
          <t>Read each module adversarially, asking what input would make it do the wrong thing, not whether it looks correct.</t>
        </is>
      </c>
      <c r="D87" s="6" t="inlineStr">
        <is>
          <t>Every defect found this way had a passing test over it already.</t>
        </is>
      </c>
      <c r="E87" s="6" t="inlineStr">
        <is>
          <t>A candidate defect list.</t>
        </is>
      </c>
    </row>
    <row r="88">
      <c r="A88" s="6" t="n"/>
      <c r="B88" s="6" t="n">
        <v>3</v>
      </c>
      <c r="C88" s="6" t="inlineStr">
        <is>
          <t>Reproduce each candidate as a failing test before touching the code.</t>
        </is>
      </c>
      <c r="D88" s="6" t="inlineStr">
        <is>
          <t>A defect without a failing test is an opinion, and a fix without one regresses silently.</t>
        </is>
      </c>
      <c r="E88" s="6" t="inlineStr">
        <is>
          <t>Failing tests, one per confirmed defect.</t>
        </is>
      </c>
    </row>
    <row r="89">
      <c r="A89" s="6" t="n"/>
      <c r="B89" s="6" t="n">
        <v>4</v>
      </c>
      <c r="C89" s="6" t="inlineStr">
        <is>
          <t>Fix, and keep the regression test pinned in a pass-specific suite so its origin stays visible.</t>
        </is>
      </c>
      <c r="D89" s="6" t="inlineStr">
        <is>
          <t>The suite name is the audit trail: tests/reviewPass4.test.ts says when and why the assertion exists.</t>
        </is>
      </c>
      <c r="E89" s="6" t="inlineStr">
        <is>
          <t>F-nnn entries fixed with named regressions.</t>
        </is>
      </c>
    </row>
    <row r="90">
      <c r="A90" s="6" t="n"/>
      <c r="B90" s="6" t="n">
        <v>5</v>
      </c>
      <c r="C90" s="6" t="inlineStr">
        <is>
          <t>Record anything not fixed as an explicit open finding with a disposition owner, rather than fixing it quietly or dropping it.</t>
        </is>
      </c>
      <c r="D90" s="6" t="inlineStr">
        <is>
          <t>F-007 and F-008 stayed open for weeks under their own ids. That is honest; silence would not have been.</t>
        </is>
      </c>
      <c r="E90" s="6" t="inlineStr">
        <is>
          <t>Open findings with owners.</t>
        </is>
      </c>
    </row>
    <row r="91">
      <c r="A91" s="6" t="n"/>
      <c r="B91" s="6" t="n">
        <v>6</v>
      </c>
      <c r="C91" s="6" t="inlineStr">
        <is>
          <t>Rerun the full gate and release, with the defect count in the release note.</t>
        </is>
      </c>
      <c r="D91" s="6" t="inlineStr">
        <is>
          <t>The count belongs in the note because a release that fixed six defects is not the same artefact as one that fixed none.</t>
        </is>
      </c>
      <c r="E91" s="6" t="inlineStr">
        <is>
          <t>Released version with the findings recorded.</t>
        </is>
      </c>
    </row>
    <row r="92">
      <c r="A92" s="15" t="n"/>
      <c r="B92" s="15" t="n">
        <v>7</v>
      </c>
      <c r="C92" s="15" t="inlineStr">
        <is>
          <t>RELEASE-SPECIFIC: Cold-review pass 4 over the sessions 10-13 integration code.</t>
        </is>
      </c>
      <c r="D92" s="15" t="inlineStr">
        <is>
          <t>The integration layer written in the previous four sessions had never been reviewed, and integration seams are where the defects live.</t>
        </is>
      </c>
      <c r="E92" s="15" t="inlineStr">
        <is>
          <t>F-020..F-024 fixed, including tenant-arbitrary install/trial and deduped failed Connector sends</t>
        </is>
      </c>
    </row>
    <row r="93">
      <c r="A93" s="18" t="inlineStr">
        <is>
          <t>v014</t>
        </is>
      </c>
      <c r="B93" s="6" t="n">
        <v>1</v>
      </c>
      <c r="C93" s="6" t="inlineStr">
        <is>
          <t>List every promise the product makes outside its code: manifest declarations, documented commands, published claims, RAID assertions.</t>
        </is>
      </c>
      <c r="D93" s="6" t="inlineStr">
        <is>
          <t>A promise with nothing behind it is a store rejection or a broken install, and it is invisible to a coverage gate.</t>
        </is>
      </c>
      <c r="E93" s="6" t="inlineStr">
        <is>
          <t>A promise inventory.</t>
        </is>
      </c>
    </row>
    <row r="94">
      <c r="A94" s="6" t="n"/>
      <c r="B94" s="6" t="n">
        <v>2</v>
      </c>
      <c r="C94" s="6" t="inlineStr">
        <is>
          <t>For each promise, find the implementation. Not the intention — the file.</t>
        </is>
      </c>
      <c r="D94" s="6" t="inlineStr">
        <is>
          <t>GAP-SD1, GAP-SD2, GAP-SD5, GAP-SD6 and GAP-SD8 were all promises with no file behind them, one of them repeated in RAID for fourteen sessions.</t>
        </is>
      </c>
      <c r="E94" s="6" t="inlineStr">
        <is>
          <t>A gap list with severity.</t>
        </is>
      </c>
    </row>
    <row r="95">
      <c r="A95" s="6" t="n"/>
      <c r="B95" s="6" t="n">
        <v>3</v>
      </c>
      <c r="C95" s="6" t="inlineStr">
        <is>
          <t>Build the missing implementation, or withdraw the promise explicitly as a decision.</t>
        </is>
      </c>
      <c r="D95" s="6" t="inlineStr">
        <is>
          <t>Withdrawing is legitimate and cheaper — D-SD5 dropped an unused permission rather than inventing a consumer for it.</t>
        </is>
      </c>
      <c r="E95" s="6" t="inlineStr">
        <is>
          <t>New modules, or a recorded D-SDn decision.</t>
        </is>
      </c>
    </row>
    <row r="96">
      <c r="A96" s="6" t="n"/>
      <c r="B96" s="6" t="n">
        <v>4</v>
      </c>
      <c r="C96" s="6" t="inlineStr">
        <is>
          <t>Bind promise to implementation with a contract test that fails on drift in either direction.</t>
        </is>
      </c>
      <c r="D96" s="6" t="inlineStr">
        <is>
          <t>The manifest-versus-code assertions exist so that no future manifest promise can ship without an implementation.</t>
        </is>
      </c>
      <c r="E96" s="6" t="inlineStr">
        <is>
          <t>Two-way contract tests.</t>
        </is>
      </c>
    </row>
    <row r="97">
      <c r="A97" s="6" t="n"/>
      <c r="B97" s="6" t="n">
        <v>5</v>
      </c>
      <c r="C97" s="6" t="inlineStr">
        <is>
          <t>Rerun the gate and release.</t>
        </is>
      </c>
      <c r="D97" s="6" t="inlineStr">
        <is>
          <t>Unchanged discipline regardless of release type.</t>
        </is>
      </c>
      <c r="E97" s="6" t="inlineStr">
        <is>
          <t>Released version.</t>
        </is>
      </c>
    </row>
    <row r="98">
      <c r="A98" s="15" t="n"/>
      <c r="B98" s="15" t="n">
        <v>6</v>
      </c>
      <c r="C98" s="15" t="inlineStr">
        <is>
          <t>RELEASE-SPECIFIC: Artifact-gap audit round 5: the repository seam actually built.</t>
        </is>
      </c>
      <c r="D98" s="15" t="inlineStr">
        <is>
          <t>RAID R-S4 had claimed "typed repositories" since session 1 and they did not exist: all state was in bare Maps. The durability story rested on a sentence.</t>
        </is>
      </c>
      <c r="E98" s="15" t="inlineStr">
        <is>
          <t>GAP-SD8 closed with a repository seam, Postgres implementation, migration SQL, durable audit log and tenant purge</t>
        </is>
      </c>
    </row>
    <row r="99">
      <c r="A99" s="18" t="inlineStr">
        <is>
          <t>v015</t>
        </is>
      </c>
      <c r="B99" s="6" t="n">
        <v>1</v>
      </c>
      <c r="C99" s="6" t="inlineStr">
        <is>
          <t>List every promise the product makes outside its code: manifest declarations, documented commands, published claims, RAID assertions.</t>
        </is>
      </c>
      <c r="D99" s="6" t="inlineStr">
        <is>
          <t>A promise with nothing behind it is a store rejection or a broken install, and it is invisible to a coverage gate.</t>
        </is>
      </c>
      <c r="E99" s="6" t="inlineStr">
        <is>
          <t>A promise inventory.</t>
        </is>
      </c>
    </row>
    <row r="100">
      <c r="A100" s="6" t="n"/>
      <c r="B100" s="6" t="n">
        <v>2</v>
      </c>
      <c r="C100" s="6" t="inlineStr">
        <is>
          <t>For each promise, find the implementation. Not the intention — the file.</t>
        </is>
      </c>
      <c r="D100" s="6" t="inlineStr">
        <is>
          <t>GAP-SD1, GAP-SD2, GAP-SD5, GAP-SD6 and GAP-SD8 were all promises with no file behind them, one of them repeated in RAID for fourteen sessions.</t>
        </is>
      </c>
      <c r="E100" s="6" t="inlineStr">
        <is>
          <t>A gap list with severity.</t>
        </is>
      </c>
    </row>
    <row r="101">
      <c r="A101" s="6" t="n"/>
      <c r="B101" s="6" t="n">
        <v>3</v>
      </c>
      <c r="C101" s="6" t="inlineStr">
        <is>
          <t>Build the missing implementation, or withdraw the promise explicitly as a decision.</t>
        </is>
      </c>
      <c r="D101" s="6" t="inlineStr">
        <is>
          <t>Withdrawing is legitimate and cheaper — D-SD5 dropped an unused permission rather than inventing a consumer for it.</t>
        </is>
      </c>
      <c r="E101" s="6" t="inlineStr">
        <is>
          <t>New modules, or a recorded D-SDn decision.</t>
        </is>
      </c>
    </row>
    <row r="102">
      <c r="A102" s="6" t="n"/>
      <c r="B102" s="6" t="n">
        <v>4</v>
      </c>
      <c r="C102" s="6" t="inlineStr">
        <is>
          <t>Bind promise to implementation with a contract test that fails on drift in either direction.</t>
        </is>
      </c>
      <c r="D102" s="6" t="inlineStr">
        <is>
          <t>The manifest-versus-code assertions exist so that no future manifest promise can ship without an implementation.</t>
        </is>
      </c>
      <c r="E102" s="6" t="inlineStr">
        <is>
          <t>Two-way contract tests.</t>
        </is>
      </c>
    </row>
    <row r="103">
      <c r="A103" s="6" t="n"/>
      <c r="B103" s="6" t="n">
        <v>5</v>
      </c>
      <c r="C103" s="6" t="inlineStr">
        <is>
          <t>Rerun the gate and release.</t>
        </is>
      </c>
      <c r="D103" s="6" t="inlineStr">
        <is>
          <t>Unchanged discipline regardless of release type.</t>
        </is>
      </c>
      <c r="E103" s="6" t="inlineStr">
        <is>
          <t>Released version.</t>
        </is>
      </c>
    </row>
    <row r="104">
      <c r="A104" s="15" t="n"/>
      <c r="B104" s="15" t="n">
        <v>6</v>
      </c>
      <c r="C104" s="15" t="inlineStr">
        <is>
          <t>RELEASE-SPECIFIC: Persistence slice 1: snapshot/restore on the service core wired through HTTP.</t>
        </is>
      </c>
      <c r="D104" s="15" t="inlineStr">
        <is>
          <t>The repository built one session earlier was used only by the audit log while every feature service still held bare Maps — built, tested, and not used.</t>
        </is>
      </c>
      <c r="E104" s="15" t="inlineStr">
        <is>
          <t>GAP-SD8b closed; StatePersister hydrates at startup and writes back per mutating route</t>
        </is>
      </c>
    </row>
    <row r="105">
      <c r="A105" s="18" t="inlineStr">
        <is>
          <t>v016</t>
        </is>
      </c>
      <c r="B105" s="6" t="n">
        <v>1</v>
      </c>
      <c r="C105" s="6" t="inlineStr">
        <is>
          <t>Confirm the instruction and the scope for the session, and record it as an event in the tracker log.</t>
        </is>
      </c>
      <c r="D105" s="6" t="inlineStr">
        <is>
          <t>A release with no recorded instruction cannot be audited later, and scope creep inside a session is invisible without it.</t>
        </is>
      </c>
      <c r="E105" s="6" t="inlineStr">
        <is>
          <t>A tracker log event (E-nnn) naming the instruction and the scope.</t>
        </is>
      </c>
    </row>
    <row r="106">
      <c r="A106" s="6" t="n"/>
      <c r="B106" s="6" t="n">
        <v>2</v>
      </c>
      <c r="C106" s="6" t="inlineStr">
        <is>
          <t>Read the current state: the backlog rows in scope, the code they claim, and the tests that pin them.</t>
        </is>
      </c>
      <c r="D106" s="6" t="inlineStr">
        <is>
          <t>The product's recurring defect is a module that exists and is never called, so the starting question is always what is really wired.</t>
        </is>
      </c>
      <c r="E106" s="6" t="inlineStr">
        <is>
          <t>A written list of what exists versus what is claimed.</t>
        </is>
      </c>
    </row>
    <row r="107">
      <c r="A107" s="6" t="n"/>
      <c r="B107" s="6" t="n">
        <v>3</v>
      </c>
      <c r="C107" s="6" t="inlineStr">
        <is>
          <t>Build the capability, smallest honest slice first, with the test written against the behaviour rather than the implementation.</t>
        </is>
      </c>
      <c r="D107" s="6" t="inlineStr">
        <is>
          <t>A test coupled to implementation detail passes through a refactor that breaks the product.</t>
        </is>
      </c>
      <c r="E107" s="6" t="inlineStr">
        <is>
          <t>New or changed modules under src/ or web/.</t>
        </is>
      </c>
    </row>
    <row r="108">
      <c r="A108" s="6" t="n"/>
      <c r="B108" s="6" t="n">
        <v>4</v>
      </c>
      <c r="C108" s="6" t="inlineStr">
        <is>
          <t>Wire it at the boundary — a real request must drive it, not only a unit test.</t>
        </is>
      </c>
      <c r="D108" s="6" t="inlineStr">
        <is>
          <t>Findings F-036, F-039, F-062 and F-063 were all correct modules nothing constructed. Wiring is part of building, not a later step.</t>
        </is>
      </c>
      <c r="E108" s="6" t="inlineStr">
        <is>
          <t>Construction in the entry point plus a boundary test that proves a request reaches it.</t>
        </is>
      </c>
    </row>
    <row r="109">
      <c r="A109" s="6" t="n"/>
      <c r="B109" s="6" t="n">
        <v>5</v>
      </c>
      <c r="C109" s="6" t="inlineStr">
        <is>
          <t>Run the full gate: typecheck, unit suite at 100%, and from v040 the integration and seam tiers too.</t>
        </is>
      </c>
      <c r="D109" s="6" t="inlineStr">
        <is>
          <t>The gate is the only thing standing between a green feeling and a green build.</t>
        </is>
      </c>
      <c r="E109" s="6" t="inlineStr">
        <is>
          <t>A clean gate run, or a defect to fix before the release closes.</t>
        </is>
      </c>
    </row>
    <row r="110">
      <c r="A110" s="6" t="n"/>
      <c r="B110" s="6" t="n">
        <v>6</v>
      </c>
      <c r="C110" s="6" t="inlineStr">
        <is>
          <t>Update the tracker, traceability and companion workbook, then release and deliver the artefacts.</t>
        </is>
      </c>
      <c r="D110" s="6" t="inlineStr">
        <is>
          <t>Evidence that is not written down where the reader will look for it is not evidence (finding F-009).</t>
        </is>
      </c>
      <c r="E110" s="6" t="inlineStr">
        <is>
          <t>Tracker version row, traceability rows, source zip, workbook.</t>
        </is>
      </c>
    </row>
    <row r="111">
      <c r="A111" s="15" t="n"/>
      <c r="B111" s="15" t="n">
        <v>7</v>
      </c>
      <c r="C111" s="15" t="inlineStr">
        <is>
          <t>RELEASE-SPECIFIC: Persistence slice 2: billing, install and support chat survive a restart.</t>
        </is>
      </c>
      <c r="D111" s="15" t="inlineStr">
        <is>
          <t>Three modules still lost their state on every deploy, so a paying customer could return to a trial banner.</t>
        </is>
      </c>
      <c r="E111" s="15" t="inlineStr">
        <is>
          <t>OBS-SD5a closed; F-025 found: InMemoryRepository stored live references where Postgres stores values</t>
        </is>
      </c>
    </row>
    <row r="112">
      <c r="A112" s="18" t="inlineStr">
        <is>
          <t>v017</t>
        </is>
      </c>
      <c r="B112" s="6" t="n">
        <v>1</v>
      </c>
      <c r="C112" s="6" t="inlineStr">
        <is>
          <t>Pick one property and state it as a question the whole product must answer, for example "can tenant A read tenant B data anywhere?"</t>
        </is>
      </c>
      <c r="D112" s="6" t="inlineStr">
        <is>
          <t>A broad audit finds nothing. A single sharp property finds the CRITICALs — F-026, F-029, F-030, F-046, F-047, F-061 and F-062 each came from one question.</t>
        </is>
      </c>
      <c r="E112" s="6" t="inlineStr">
        <is>
          <t>The audit question, written down.</t>
        </is>
      </c>
    </row>
    <row r="113">
      <c r="A113" s="6" t="n"/>
      <c r="B113" s="6" t="n">
        <v>2</v>
      </c>
      <c r="C113" s="6" t="inlineStr">
        <is>
          <t>Enumerate every place in the product where that property could be violated, from the code rather than from memory.</t>
        </is>
      </c>
      <c r="D113" s="6" t="inlineStr">
        <is>
          <t>Memory audits what was recently touched; enumeration audits the product.</t>
        </is>
      </c>
      <c r="E113" s="6" t="inlineStr">
        <is>
          <t>A complete site list.</t>
        </is>
      </c>
    </row>
    <row r="114">
      <c r="A114" s="6" t="n"/>
      <c r="B114" s="6" t="n">
        <v>3</v>
      </c>
      <c r="C114" s="6" t="inlineStr">
        <is>
          <t>Test the property at each site, with the test driving a real request path wherever one exists.</t>
        </is>
      </c>
      <c r="D114" s="6" t="inlineStr">
        <is>
          <t>A correct function called with a wrong argument passes every unit test on both sides (F-041).</t>
        </is>
      </c>
      <c r="E114" s="6" t="inlineStr">
        <is>
          <t>Pass or fail per site.</t>
        </is>
      </c>
    </row>
    <row r="115">
      <c r="A115" s="6" t="n"/>
      <c r="B115" s="6" t="n">
        <v>4</v>
      </c>
      <c r="C115" s="6" t="inlineStr">
        <is>
          <t>Fix every failure, then pin the property itself — not only the instance — with a test that fails if a new site violates it.</t>
        </is>
      </c>
      <c r="D115" s="6" t="inlineStr">
        <is>
          <t>A two-way contract test is what stops the property decaying in a later release.</t>
        </is>
      </c>
      <c r="E115" s="6" t="inlineStr">
        <is>
          <t>Property-level assertions, for example the permission-to-enforcement-site contract.</t>
        </is>
      </c>
    </row>
    <row r="116">
      <c r="A116" s="6" t="n"/>
      <c r="B116" s="6" t="n">
        <v>5</v>
      </c>
      <c r="C116" s="6" t="inlineStr">
        <is>
          <t>State what was deliberately left alone as an accepted observation with its own id.</t>
        </is>
      </c>
      <c r="D116" s="6" t="inlineStr">
        <is>
          <t>OBS-SD4 through OBS-SD11 are accepted trade-offs, not forgotten work, and the distinction has to be written.</t>
        </is>
      </c>
      <c r="E116" s="6" t="inlineStr">
        <is>
          <t>OBS-SDnn entries.</t>
        </is>
      </c>
    </row>
    <row r="117">
      <c r="A117" s="6" t="n"/>
      <c r="B117" s="6" t="n">
        <v>6</v>
      </c>
      <c r="C117" s="6" t="inlineStr">
        <is>
          <t>Rerun the gate, release, and carry the lesson into RAID so the next session inherits it.</t>
        </is>
      </c>
      <c r="D117" s="6" t="inlineStr">
        <is>
          <t>R-S13, R-S14, R-S15 and R-S16 each exist because an audit found a class of mistake, not a single one.</t>
        </is>
      </c>
      <c r="E117" s="6" t="inlineStr">
        <is>
          <t>RAID entry plus the released version.</t>
        </is>
      </c>
    </row>
    <row r="118">
      <c r="A118" s="15" t="n"/>
      <c r="B118" s="15" t="n">
        <v>7</v>
      </c>
      <c r="C118" s="15" t="inlineStr">
        <is>
          <t>RELEASE-SPECIFIC: Multi-tenancy audit.</t>
        </is>
      </c>
      <c r="D118" s="15" t="inlineStr">
        <is>
          <t>Every test until this point used a single tenant, so the suite could sit at 100% while the product shared all customer data.</t>
        </is>
      </c>
      <c r="E118" s="15" t="inlineStr">
        <is>
          <t>F-026 CRITICAL cross-tenant data exposure fixed with tenant-in-identity and a per-tenant registry; F-027/F-028 fixed</t>
        </is>
      </c>
    </row>
    <row r="119">
      <c r="A119" s="18" t="inlineStr">
        <is>
          <t>v018</t>
        </is>
      </c>
      <c r="B119" s="6" t="n">
        <v>1</v>
      </c>
      <c r="C119" s="6" t="inlineStr">
        <is>
          <t>Pick one property and state it as a question the whole product must answer, for example "can tenant A read tenant B data anywhere?"</t>
        </is>
      </c>
      <c r="D119" s="6" t="inlineStr">
        <is>
          <t>A broad audit finds nothing. A single sharp property finds the CRITICALs — F-026, F-029, F-030, F-046, F-047, F-061 and F-062 each came from one question.</t>
        </is>
      </c>
      <c r="E119" s="6" t="inlineStr">
        <is>
          <t>The audit question, written down.</t>
        </is>
      </c>
    </row>
    <row r="120">
      <c r="A120" s="6" t="n"/>
      <c r="B120" s="6" t="n">
        <v>2</v>
      </c>
      <c r="C120" s="6" t="inlineStr">
        <is>
          <t>Enumerate every place in the product where that property could be violated, from the code rather than from memory.</t>
        </is>
      </c>
      <c r="D120" s="6" t="inlineStr">
        <is>
          <t>Memory audits what was recently touched; enumeration audits the product.</t>
        </is>
      </c>
      <c r="E120" s="6" t="inlineStr">
        <is>
          <t>A complete site list.</t>
        </is>
      </c>
    </row>
    <row r="121">
      <c r="A121" s="6" t="n"/>
      <c r="B121" s="6" t="n">
        <v>3</v>
      </c>
      <c r="C121" s="6" t="inlineStr">
        <is>
          <t>Test the property at each site, with the test driving a real request path wherever one exists.</t>
        </is>
      </c>
      <c r="D121" s="6" t="inlineStr">
        <is>
          <t>A correct function called with a wrong argument passes every unit test on both sides (F-041).</t>
        </is>
      </c>
      <c r="E121" s="6" t="inlineStr">
        <is>
          <t>Pass or fail per site.</t>
        </is>
      </c>
    </row>
    <row r="122">
      <c r="A122" s="6" t="n"/>
      <c r="B122" s="6" t="n">
        <v>4</v>
      </c>
      <c r="C122" s="6" t="inlineStr">
        <is>
          <t>Fix every failure, then pin the property itself — not only the instance — with a test that fails if a new site violates it.</t>
        </is>
      </c>
      <c r="D122" s="6" t="inlineStr">
        <is>
          <t>A two-way contract test is what stops the property decaying in a later release.</t>
        </is>
      </c>
      <c r="E122" s="6" t="inlineStr">
        <is>
          <t>Property-level assertions, for example the permission-to-enforcement-site contract.</t>
        </is>
      </c>
    </row>
    <row r="123">
      <c r="A123" s="6" t="n"/>
      <c r="B123" s="6" t="n">
        <v>5</v>
      </c>
      <c r="C123" s="6" t="inlineStr">
        <is>
          <t>State what was deliberately left alone as an accepted observation with its own id.</t>
        </is>
      </c>
      <c r="D123" s="6" t="inlineStr">
        <is>
          <t>OBS-SD4 through OBS-SD11 are accepted trade-offs, not forgotten work, and the distinction has to be written.</t>
        </is>
      </c>
      <c r="E123" s="6" t="inlineStr">
        <is>
          <t>OBS-SDnn entries.</t>
        </is>
      </c>
    </row>
    <row r="124">
      <c r="A124" s="6" t="n"/>
      <c r="B124" s="6" t="n">
        <v>6</v>
      </c>
      <c r="C124" s="6" t="inlineStr">
        <is>
          <t>Rerun the gate, release, and carry the lesson into RAID so the next session inherits it.</t>
        </is>
      </c>
      <c r="D124" s="6" t="inlineStr">
        <is>
          <t>R-S13, R-S14, R-S15 and R-S16 each exist because an audit found a class of mistake, not a single one.</t>
        </is>
      </c>
      <c r="E124" s="6" t="inlineStr">
        <is>
          <t>RAID entry plus the released version.</t>
        </is>
      </c>
    </row>
    <row r="125">
      <c r="A125" s="15" t="n"/>
      <c r="B125" s="15" t="n">
        <v>7</v>
      </c>
      <c r="C125" s="15" t="inlineStr">
        <is>
          <t>RELEASE-SPECIFIC: Data-deletion audit.</t>
        </is>
      </c>
      <c r="D125" s="15" t="inlineStr">
        <is>
          <t>The product published a 30-day retention policy and a self-serve delete. Neither deleted anything — a stated commitment that the code did not honour.</t>
        </is>
      </c>
      <c r="E125" s="15" t="inlineStr">
        <is>
          <t>F-029 CRITICAL closed with src/tenantLifecycle.ts: durable schedule, cancel on re-install, retention sweep, real export</t>
        </is>
      </c>
    </row>
    <row r="126">
      <c r="A126" s="18" t="inlineStr">
        <is>
          <t>v019</t>
        </is>
      </c>
      <c r="B126" s="6" t="n">
        <v>1</v>
      </c>
      <c r="C126" s="6" t="inlineStr">
        <is>
          <t>Pick one property and state it as a question the whole product must answer, for example "can tenant A read tenant B data anywhere?"</t>
        </is>
      </c>
      <c r="D126" s="6" t="inlineStr">
        <is>
          <t>A broad audit finds nothing. A single sharp property finds the CRITICALs — F-026, F-029, F-030, F-046, F-047, F-061 and F-062 each came from one question.</t>
        </is>
      </c>
      <c r="E126" s="6" t="inlineStr">
        <is>
          <t>The audit question, written down.</t>
        </is>
      </c>
    </row>
    <row r="127">
      <c r="A127" s="6" t="n"/>
      <c r="B127" s="6" t="n">
        <v>2</v>
      </c>
      <c r="C127" s="6" t="inlineStr">
        <is>
          <t>Enumerate every place in the product where that property could be violated, from the code rather than from memory.</t>
        </is>
      </c>
      <c r="D127" s="6" t="inlineStr">
        <is>
          <t>Memory audits what was recently touched; enumeration audits the product.</t>
        </is>
      </c>
      <c r="E127" s="6" t="inlineStr">
        <is>
          <t>A complete site list.</t>
        </is>
      </c>
    </row>
    <row r="128">
      <c r="A128" s="6" t="n"/>
      <c r="B128" s="6" t="n">
        <v>3</v>
      </c>
      <c r="C128" s="6" t="inlineStr">
        <is>
          <t>Test the property at each site, with the test driving a real request path wherever one exists.</t>
        </is>
      </c>
      <c r="D128" s="6" t="inlineStr">
        <is>
          <t>A correct function called with a wrong argument passes every unit test on both sides (F-041).</t>
        </is>
      </c>
      <c r="E128" s="6" t="inlineStr">
        <is>
          <t>Pass or fail per site.</t>
        </is>
      </c>
    </row>
    <row r="129">
      <c r="A129" s="6" t="n"/>
      <c r="B129" s="6" t="n">
        <v>4</v>
      </c>
      <c r="C129" s="6" t="inlineStr">
        <is>
          <t>Fix every failure, then pin the property itself — not only the instance — with a test that fails if a new site violates it.</t>
        </is>
      </c>
      <c r="D129" s="6" t="inlineStr">
        <is>
          <t>A two-way contract test is what stops the property decaying in a later release.</t>
        </is>
      </c>
      <c r="E129" s="6" t="inlineStr">
        <is>
          <t>Property-level assertions, for example the permission-to-enforcement-site contract.</t>
        </is>
      </c>
    </row>
    <row r="130">
      <c r="A130" s="6" t="n"/>
      <c r="B130" s="6" t="n">
        <v>5</v>
      </c>
      <c r="C130" s="6" t="inlineStr">
        <is>
          <t>State what was deliberately left alone as an accepted observation with its own id.</t>
        </is>
      </c>
      <c r="D130" s="6" t="inlineStr">
        <is>
          <t>OBS-SD4 through OBS-SD11 are accepted trade-offs, not forgotten work, and the distinction has to be written.</t>
        </is>
      </c>
      <c r="E130" s="6" t="inlineStr">
        <is>
          <t>OBS-SDnn entries.</t>
        </is>
      </c>
    </row>
    <row r="131">
      <c r="A131" s="6" t="n"/>
      <c r="B131" s="6" t="n">
        <v>6</v>
      </c>
      <c r="C131" s="6" t="inlineStr">
        <is>
          <t>Rerun the gate, release, and carry the lesson into RAID so the next session inherits it.</t>
        </is>
      </c>
      <c r="D131" s="6" t="inlineStr">
        <is>
          <t>R-S13, R-S14, R-S15 and R-S16 each exist because an audit found a class of mistake, not a single one.</t>
        </is>
      </c>
      <c r="E131" s="6" t="inlineStr">
        <is>
          <t>RAID entry plus the released version.</t>
        </is>
      </c>
    </row>
    <row r="132">
      <c r="A132" s="15" t="n"/>
      <c r="B132" s="15" t="n">
        <v>7</v>
      </c>
      <c r="C132" s="15" t="inlineStr">
        <is>
          <t>RELEASE-SPECIFIC: Authorization audit.</t>
        </is>
      </c>
      <c r="D132" s="15" t="inlineStr">
        <is>
          <t>Nine permissions were declared to customers in the Settings screen and the security documentation. An unenforced permission is a false statement about the product.</t>
        </is>
      </c>
      <c r="E132" s="15" t="inlineStr">
        <is>
          <t>F-030 CRITICAL closed: five of nine permissions enforced nowhere, now wired at named sites with a two-way contract test; D-SD6 removed settings.roles</t>
        </is>
      </c>
    </row>
    <row r="133">
      <c r="A133" s="18" t="inlineStr">
        <is>
          <t>v020</t>
        </is>
      </c>
      <c r="B133" s="6" t="n">
        <v>1</v>
      </c>
      <c r="C133" s="6" t="inlineStr">
        <is>
          <t>Pick one property and state it as a question the whole product must answer, for example "can tenant A read tenant B data anywhere?"</t>
        </is>
      </c>
      <c r="D133" s="6" t="inlineStr">
        <is>
          <t>A broad audit finds nothing. A single sharp property finds the CRITICALs — F-026, F-029, F-030, F-046, F-047, F-061 and F-062 each came from one question.</t>
        </is>
      </c>
      <c r="E133" s="6" t="inlineStr">
        <is>
          <t>The audit question, written down.</t>
        </is>
      </c>
    </row>
    <row r="134">
      <c r="A134" s="6" t="n"/>
      <c r="B134" s="6" t="n">
        <v>2</v>
      </c>
      <c r="C134" s="6" t="inlineStr">
        <is>
          <t>Enumerate every place in the product where that property could be violated, from the code rather than from memory.</t>
        </is>
      </c>
      <c r="D134" s="6" t="inlineStr">
        <is>
          <t>Memory audits what was recently touched; enumeration audits the product.</t>
        </is>
      </c>
      <c r="E134" s="6" t="inlineStr">
        <is>
          <t>A complete site list.</t>
        </is>
      </c>
    </row>
    <row r="135">
      <c r="A135" s="6" t="n"/>
      <c r="B135" s="6" t="n">
        <v>3</v>
      </c>
      <c r="C135" s="6" t="inlineStr">
        <is>
          <t>Test the property at each site, with the test driving a real request path wherever one exists.</t>
        </is>
      </c>
      <c r="D135" s="6" t="inlineStr">
        <is>
          <t>A correct function called with a wrong argument passes every unit test on both sides (F-041).</t>
        </is>
      </c>
      <c r="E135" s="6" t="inlineStr">
        <is>
          <t>Pass or fail per site.</t>
        </is>
      </c>
    </row>
    <row r="136">
      <c r="A136" s="6" t="n"/>
      <c r="B136" s="6" t="n">
        <v>4</v>
      </c>
      <c r="C136" s="6" t="inlineStr">
        <is>
          <t>Fix every failure, then pin the property itself — not only the instance — with a test that fails if a new site violates it.</t>
        </is>
      </c>
      <c r="D136" s="6" t="inlineStr">
        <is>
          <t>A two-way contract test is what stops the property decaying in a later release.</t>
        </is>
      </c>
      <c r="E136" s="6" t="inlineStr">
        <is>
          <t>Property-level assertions, for example the permission-to-enforcement-site contract.</t>
        </is>
      </c>
    </row>
    <row r="137">
      <c r="A137" s="6" t="n"/>
      <c r="B137" s="6" t="n">
        <v>5</v>
      </c>
      <c r="C137" s="6" t="inlineStr">
        <is>
          <t>State what was deliberately left alone as an accepted observation with its own id.</t>
        </is>
      </c>
      <c r="D137" s="6" t="inlineStr">
        <is>
          <t>OBS-SD4 through OBS-SD11 are accepted trade-offs, not forgotten work, and the distinction has to be written.</t>
        </is>
      </c>
      <c r="E137" s="6" t="inlineStr">
        <is>
          <t>OBS-SDnn entries.</t>
        </is>
      </c>
    </row>
    <row r="138">
      <c r="A138" s="6" t="n"/>
      <c r="B138" s="6" t="n">
        <v>6</v>
      </c>
      <c r="C138" s="6" t="inlineStr">
        <is>
          <t>Rerun the gate, release, and carry the lesson into RAID so the next session inherits it.</t>
        </is>
      </c>
      <c r="D138" s="6" t="inlineStr">
        <is>
          <t>R-S13, R-S14, R-S15 and R-S16 each exist because an audit found a class of mistake, not a single one.</t>
        </is>
      </c>
      <c r="E138" s="6" t="inlineStr">
        <is>
          <t>RAID entry plus the released version.</t>
        </is>
      </c>
    </row>
    <row r="139">
      <c r="A139" s="15" t="n"/>
      <c r="B139" s="15" t="n">
        <v>7</v>
      </c>
      <c r="C139" s="15" t="inlineStr">
        <is>
          <t>RELEASE-SPECIFIC: Billing-integrity audit.</t>
        </is>
      </c>
      <c r="D139" s="15" t="inlineStr">
        <is>
          <t>Read-only mode, plan limits and trial expiry were the three things standing between a non-paying tenant and unlimited use. All three were advisory.</t>
        </is>
      </c>
      <c r="E139" s="15" t="inlineStr">
        <is>
          <t>F-031/F-032/F-033 closed with src/entitlements.ts gating writes at the request boundary; pricing FAQ corrected</t>
        </is>
      </c>
    </row>
    <row r="140">
      <c r="A140" s="18" t="inlineStr">
        <is>
          <t>v021</t>
        </is>
      </c>
      <c r="B140" s="6" t="n">
        <v>1</v>
      </c>
      <c r="C140" s="6" t="inlineStr">
        <is>
          <t>Pick one property and state it as a question the whole product must answer, for example "can tenant A read tenant B data anywhere?"</t>
        </is>
      </c>
      <c r="D140" s="6" t="inlineStr">
        <is>
          <t>A broad audit finds nothing. A single sharp property finds the CRITICALs — F-026, F-029, F-030, F-046, F-047, F-061 and F-062 each came from one question.</t>
        </is>
      </c>
      <c r="E140" s="6" t="inlineStr">
        <is>
          <t>The audit question, written down.</t>
        </is>
      </c>
    </row>
    <row r="141">
      <c r="A141" s="6" t="n"/>
      <c r="B141" s="6" t="n">
        <v>2</v>
      </c>
      <c r="C141" s="6" t="inlineStr">
        <is>
          <t>Enumerate every place in the product where that property could be violated, from the code rather than from memory.</t>
        </is>
      </c>
      <c r="D141" s="6" t="inlineStr">
        <is>
          <t>Memory audits what was recently touched; enumeration audits the product.</t>
        </is>
      </c>
      <c r="E141" s="6" t="inlineStr">
        <is>
          <t>A complete site list.</t>
        </is>
      </c>
    </row>
    <row r="142">
      <c r="A142" s="6" t="n"/>
      <c r="B142" s="6" t="n">
        <v>3</v>
      </c>
      <c r="C142" s="6" t="inlineStr">
        <is>
          <t>Test the property at each site, with the test driving a real request path wherever one exists.</t>
        </is>
      </c>
      <c r="D142" s="6" t="inlineStr">
        <is>
          <t>A correct function called with a wrong argument passes every unit test on both sides (F-041).</t>
        </is>
      </c>
      <c r="E142" s="6" t="inlineStr">
        <is>
          <t>Pass or fail per site.</t>
        </is>
      </c>
    </row>
    <row r="143">
      <c r="A143" s="6" t="n"/>
      <c r="B143" s="6" t="n">
        <v>4</v>
      </c>
      <c r="C143" s="6" t="inlineStr">
        <is>
          <t>Fix every failure, then pin the property itself — not only the instance — with a test that fails if a new site violates it.</t>
        </is>
      </c>
      <c r="D143" s="6" t="inlineStr">
        <is>
          <t>A two-way contract test is what stops the property decaying in a later release.</t>
        </is>
      </c>
      <c r="E143" s="6" t="inlineStr">
        <is>
          <t>Property-level assertions, for example the permission-to-enforcement-site contract.</t>
        </is>
      </c>
    </row>
    <row r="144">
      <c r="A144" s="6" t="n"/>
      <c r="B144" s="6" t="n">
        <v>5</v>
      </c>
      <c r="C144" s="6" t="inlineStr">
        <is>
          <t>State what was deliberately left alone as an accepted observation with its own id.</t>
        </is>
      </c>
      <c r="D144" s="6" t="inlineStr">
        <is>
          <t>OBS-SD4 through OBS-SD11 are accepted trade-offs, not forgotten work, and the distinction has to be written.</t>
        </is>
      </c>
      <c r="E144" s="6" t="inlineStr">
        <is>
          <t>OBS-SDnn entries.</t>
        </is>
      </c>
    </row>
    <row r="145">
      <c r="A145" s="6" t="n"/>
      <c r="B145" s="6" t="n">
        <v>6</v>
      </c>
      <c r="C145" s="6" t="inlineStr">
        <is>
          <t>Rerun the gate, release, and carry the lesson into RAID so the next session inherits it.</t>
        </is>
      </c>
      <c r="D145" s="6" t="inlineStr">
        <is>
          <t>R-S13, R-S14, R-S15 and R-S16 each exist because an audit found a class of mistake, not a single one.</t>
        </is>
      </c>
      <c r="E145" s="6" t="inlineStr">
        <is>
          <t>RAID entry plus the released version.</t>
        </is>
      </c>
    </row>
    <row r="146">
      <c r="A146" s="15" t="n"/>
      <c r="B146" s="15" t="n">
        <v>7</v>
      </c>
      <c r="C146" s="15" t="inlineStr">
        <is>
          <t>RELEASE-SPECIFIC: Notification delivery and latency instrumentation.</t>
        </is>
      </c>
      <c r="D146" s="15" t="inlineStr">
        <is>
          <t>The product promised notifications on two channels and a monitored p95 budget. Neither existed, so the runbook rollback trigger could not fire.</t>
        </is>
      </c>
      <c r="E146" s="15" t="inlineStr">
        <is>
          <t>F-034 and F-035 closed and instrumented; 42 suites / 256 tests</t>
        </is>
      </c>
    </row>
    <row r="147">
      <c r="A147" s="18" t="inlineStr">
        <is>
          <t>v022</t>
        </is>
      </c>
      <c r="B147" s="6" t="n">
        <v>1</v>
      </c>
      <c r="C147" s="6" t="inlineStr">
        <is>
          <t>Pick one property and state it as a question the whole product must answer, for example "can tenant A read tenant B data anywhere?"</t>
        </is>
      </c>
      <c r="D147" s="6" t="inlineStr">
        <is>
          <t>A broad audit finds nothing. A single sharp property finds the CRITICALs — F-026, F-029, F-030, F-046, F-047, F-061 and F-062 each came from one question.</t>
        </is>
      </c>
      <c r="E147" s="6" t="inlineStr">
        <is>
          <t>The audit question, written down.</t>
        </is>
      </c>
    </row>
    <row r="148">
      <c r="A148" s="6" t="n"/>
      <c r="B148" s="6" t="n">
        <v>2</v>
      </c>
      <c r="C148" s="6" t="inlineStr">
        <is>
          <t>Enumerate every place in the product where that property could be violated, from the code rather than from memory.</t>
        </is>
      </c>
      <c r="D148" s="6" t="inlineStr">
        <is>
          <t>Memory audits what was recently touched; enumeration audits the product.</t>
        </is>
      </c>
      <c r="E148" s="6" t="inlineStr">
        <is>
          <t>A complete site list.</t>
        </is>
      </c>
    </row>
    <row r="149">
      <c r="A149" s="6" t="n"/>
      <c r="B149" s="6" t="n">
        <v>3</v>
      </c>
      <c r="C149" s="6" t="inlineStr">
        <is>
          <t>Test the property at each site, with the test driving a real request path wherever one exists.</t>
        </is>
      </c>
      <c r="D149" s="6" t="inlineStr">
        <is>
          <t>A correct function called with a wrong argument passes every unit test on both sides (F-041).</t>
        </is>
      </c>
      <c r="E149" s="6" t="inlineStr">
        <is>
          <t>Pass or fail per site.</t>
        </is>
      </c>
    </row>
    <row r="150">
      <c r="A150" s="6" t="n"/>
      <c r="B150" s="6" t="n">
        <v>4</v>
      </c>
      <c r="C150" s="6" t="inlineStr">
        <is>
          <t>Fix every failure, then pin the property itself — not only the instance — with a test that fails if a new site violates it.</t>
        </is>
      </c>
      <c r="D150" s="6" t="inlineStr">
        <is>
          <t>A two-way contract test is what stops the property decaying in a later release.</t>
        </is>
      </c>
      <c r="E150" s="6" t="inlineStr">
        <is>
          <t>Property-level assertions, for example the permission-to-enforcement-site contract.</t>
        </is>
      </c>
    </row>
    <row r="151">
      <c r="A151" s="6" t="n"/>
      <c r="B151" s="6" t="n">
        <v>5</v>
      </c>
      <c r="C151" s="6" t="inlineStr">
        <is>
          <t>State what was deliberately left alone as an accepted observation with its own id.</t>
        </is>
      </c>
      <c r="D151" s="6" t="inlineStr">
        <is>
          <t>OBS-SD4 through OBS-SD11 are accepted trade-offs, not forgotten work, and the distinction has to be written.</t>
        </is>
      </c>
      <c r="E151" s="6" t="inlineStr">
        <is>
          <t>OBS-SDnn entries.</t>
        </is>
      </c>
    </row>
    <row r="152">
      <c r="A152" s="6" t="n"/>
      <c r="B152" s="6" t="n">
        <v>6</v>
      </c>
      <c r="C152" s="6" t="inlineStr">
        <is>
          <t>Rerun the gate, release, and carry the lesson into RAID so the next session inherits it.</t>
        </is>
      </c>
      <c r="D152" s="6" t="inlineStr">
        <is>
          <t>R-S13, R-S14, R-S15 and R-S16 each exist because an audit found a class of mistake, not a single one.</t>
        </is>
      </c>
      <c r="E152" s="6" t="inlineStr">
        <is>
          <t>RAID entry plus the released version.</t>
        </is>
      </c>
    </row>
    <row r="153">
      <c r="A153" s="15" t="n"/>
      <c r="B153" s="15" t="n">
        <v>7</v>
      </c>
      <c r="C153" s="15" t="inlineStr">
        <is>
          <t>RELEASE-SPECIFIC: Telemetry and audit wiring.</t>
        </is>
      </c>
      <c r="D153" s="15" t="inlineStr">
        <is>
          <t>The whole telemetry epic had zero callers, making the S11 activation criterion uncomputable, and audit entries were discarded on restart.</t>
        </is>
      </c>
      <c r="E153" s="15" t="inlineStr">
        <is>
          <t>F-036 and F-037 wired into the request path</t>
        </is>
      </c>
    </row>
    <row r="154">
      <c r="A154" s="18" t="inlineStr">
        <is>
          <t>v023</t>
        </is>
      </c>
      <c r="B154" s="6" t="n">
        <v>1</v>
      </c>
      <c r="C154" s="6" t="inlineStr">
        <is>
          <t>Pick one property and state it as a question the whole product must answer, for example "can tenant A read tenant B data anywhere?"</t>
        </is>
      </c>
      <c r="D154" s="6" t="inlineStr">
        <is>
          <t>A broad audit finds nothing. A single sharp property finds the CRITICALs — F-026, F-029, F-030, F-046, F-047, F-061 and F-062 each came from one question.</t>
        </is>
      </c>
      <c r="E154" s="6" t="inlineStr">
        <is>
          <t>The audit question, written down.</t>
        </is>
      </c>
    </row>
    <row r="155">
      <c r="A155" s="6" t="n"/>
      <c r="B155" s="6" t="n">
        <v>2</v>
      </c>
      <c r="C155" s="6" t="inlineStr">
        <is>
          <t>Enumerate every place in the product where that property could be violated, from the code rather than from memory.</t>
        </is>
      </c>
      <c r="D155" s="6" t="inlineStr">
        <is>
          <t>Memory audits what was recently touched; enumeration audits the product.</t>
        </is>
      </c>
      <c r="E155" s="6" t="inlineStr">
        <is>
          <t>A complete site list.</t>
        </is>
      </c>
    </row>
    <row r="156">
      <c r="A156" s="6" t="n"/>
      <c r="B156" s="6" t="n">
        <v>3</v>
      </c>
      <c r="C156" s="6" t="inlineStr">
        <is>
          <t>Test the property at each site, with the test driving a real request path wherever one exists.</t>
        </is>
      </c>
      <c r="D156" s="6" t="inlineStr">
        <is>
          <t>A correct function called with a wrong argument passes every unit test on both sides (F-041).</t>
        </is>
      </c>
      <c r="E156" s="6" t="inlineStr">
        <is>
          <t>Pass or fail per site.</t>
        </is>
      </c>
    </row>
    <row r="157">
      <c r="A157" s="6" t="n"/>
      <c r="B157" s="6" t="n">
        <v>4</v>
      </c>
      <c r="C157" s="6" t="inlineStr">
        <is>
          <t>Fix every failure, then pin the property itself — not only the instance — with a test that fails if a new site violates it.</t>
        </is>
      </c>
      <c r="D157" s="6" t="inlineStr">
        <is>
          <t>A two-way contract test is what stops the property decaying in a later release.</t>
        </is>
      </c>
      <c r="E157" s="6" t="inlineStr">
        <is>
          <t>Property-level assertions, for example the permission-to-enforcement-site contract.</t>
        </is>
      </c>
    </row>
    <row r="158">
      <c r="A158" s="6" t="n"/>
      <c r="B158" s="6" t="n">
        <v>5</v>
      </c>
      <c r="C158" s="6" t="inlineStr">
        <is>
          <t>State what was deliberately left alone as an accepted observation with its own id.</t>
        </is>
      </c>
      <c r="D158" s="6" t="inlineStr">
        <is>
          <t>OBS-SD4 through OBS-SD11 are accepted trade-offs, not forgotten work, and the distinction has to be written.</t>
        </is>
      </c>
      <c r="E158" s="6" t="inlineStr">
        <is>
          <t>OBS-SDnn entries.</t>
        </is>
      </c>
    </row>
    <row r="159">
      <c r="A159" s="6" t="n"/>
      <c r="B159" s="6" t="n">
        <v>6</v>
      </c>
      <c r="C159" s="6" t="inlineStr">
        <is>
          <t>Rerun the gate, release, and carry the lesson into RAID so the next session inherits it.</t>
        </is>
      </c>
      <c r="D159" s="6" t="inlineStr">
        <is>
          <t>R-S13, R-S14, R-S15 and R-S16 each exist because an audit found a class of mistake, not a single one.</t>
        </is>
      </c>
      <c r="E159" s="6" t="inlineStr">
        <is>
          <t>RAID entry plus the released version.</t>
        </is>
      </c>
    </row>
    <row r="160">
      <c r="A160" s="15" t="n"/>
      <c r="B160" s="15" t="n">
        <v>7</v>
      </c>
      <c r="C160" s="15" t="inlineStr">
        <is>
          <t>RELEASE-SPECIFIC: Systematic wiring audit of all 112 exports.</t>
        </is>
      </c>
      <c r="D160" s="15" t="inlineStr">
        <is>
          <t>A pattern had emerged across F-029/F-034/F-035/F-036/F-037: a module is built correctly, fully tested, and nothing calls it. That needed a systematic sweep, not another spot fix.</t>
        </is>
      </c>
      <c r="E160" s="15" t="inlineStr">
        <is>
          <t>F-038 six of nine screens unreachable (approvals had no UI at all); F-039 dispatcher never called; F-040 raised for decision</t>
        </is>
      </c>
    </row>
    <row r="161">
      <c r="A161" s="18" t="inlineStr">
        <is>
          <t>v024</t>
        </is>
      </c>
      <c r="B161" s="6" t="n">
        <v>1</v>
      </c>
      <c r="C161" s="6" t="inlineStr">
        <is>
          <t>Confirm the instruction and the scope for the session, and record it as an event in the tracker log.</t>
        </is>
      </c>
      <c r="D161" s="6" t="inlineStr">
        <is>
          <t>A release with no recorded instruction cannot be audited later, and scope creep inside a session is invisible without it.</t>
        </is>
      </c>
      <c r="E161" s="6" t="inlineStr">
        <is>
          <t>A tracker log event (E-nnn) naming the instruction and the scope.</t>
        </is>
      </c>
    </row>
    <row r="162">
      <c r="A162" s="6" t="n"/>
      <c r="B162" s="6" t="n">
        <v>2</v>
      </c>
      <c r="C162" s="6" t="inlineStr">
        <is>
          <t>Read the current state: the backlog rows in scope, the code they claim, and the tests that pin them.</t>
        </is>
      </c>
      <c r="D162" s="6" t="inlineStr">
        <is>
          <t>The product's recurring defect is a module that exists and is never called, so the starting question is always what is really wired.</t>
        </is>
      </c>
      <c r="E162" s="6" t="inlineStr">
        <is>
          <t>A written list of what exists versus what is claimed.</t>
        </is>
      </c>
    </row>
    <row r="163">
      <c r="A163" s="6" t="n"/>
      <c r="B163" s="6" t="n">
        <v>3</v>
      </c>
      <c r="C163" s="6" t="inlineStr">
        <is>
          <t>Build the capability, smallest honest slice first, with the test written against the behaviour rather than the implementation.</t>
        </is>
      </c>
      <c r="D163" s="6" t="inlineStr">
        <is>
          <t>A test coupled to implementation detail passes through a refactor that breaks the product.</t>
        </is>
      </c>
      <c r="E163" s="6" t="inlineStr">
        <is>
          <t>New or changed modules under src/ or web/.</t>
        </is>
      </c>
    </row>
    <row r="164">
      <c r="A164" s="6" t="n"/>
      <c r="B164" s="6" t="n">
        <v>4</v>
      </c>
      <c r="C164" s="6" t="inlineStr">
        <is>
          <t>Wire it at the boundary — a real request must drive it, not only a unit test.</t>
        </is>
      </c>
      <c r="D164" s="6" t="inlineStr">
        <is>
          <t>Findings F-036, F-039, F-062 and F-063 were all correct modules nothing constructed. Wiring is part of building, not a later step.</t>
        </is>
      </c>
      <c r="E164" s="6" t="inlineStr">
        <is>
          <t>Construction in the entry point plus a boundary test that proves a request reaches it.</t>
        </is>
      </c>
    </row>
    <row r="165">
      <c r="A165" s="6" t="n"/>
      <c r="B165" s="6" t="n">
        <v>5</v>
      </c>
      <c r="C165" s="6" t="inlineStr">
        <is>
          <t>Run the full gate: typecheck, unit suite at 100%, and from v040 the integration and seam tiers too.</t>
        </is>
      </c>
      <c r="D165" s="6" t="inlineStr">
        <is>
          <t>The gate is the only thing standing between a green feeling and a green build.</t>
        </is>
      </c>
      <c r="E165" s="6" t="inlineStr">
        <is>
          <t>A clean gate run, or a defect to fix before the release closes.</t>
        </is>
      </c>
    </row>
    <row r="166">
      <c r="A166" s="6" t="n"/>
      <c r="B166" s="6" t="n">
        <v>6</v>
      </c>
      <c r="C166" s="6" t="inlineStr">
        <is>
          <t>Update the tracker, traceability and companion workbook, then release and deliver the artefacts.</t>
        </is>
      </c>
      <c r="D166" s="6" t="inlineStr">
        <is>
          <t>Evidence that is not written down where the reader will look for it is not evidence (finding F-009).</t>
        </is>
      </c>
      <c r="E166" s="6" t="inlineStr">
        <is>
          <t>Tracker version row, traceability rows, source zip, workbook.</t>
        </is>
      </c>
    </row>
    <row r="167">
      <c r="A167" s="15" t="n"/>
      <c r="B167" s="15" t="n">
        <v>7</v>
      </c>
      <c r="C167" s="15" t="inlineStr">
        <is>
          <t>RELEASE-SPECIFIC: Encryption at rest resolved both ways, trust page rewritten.</t>
        </is>
      </c>
      <c r="D167" s="15" t="inlineStr">
        <is>
          <t>F-040 was a claim with no implementing caller. Rather than choose for Senthil, both dispositions were made cheap so the decision costs nothing either way.</t>
        </is>
      </c>
      <c r="E167" s="15" t="inlineStr">
        <is>
          <t>Opt-in AES-256-GCM over any repository, or provider-managed encryption with no code change; OBS-SD8 records missing rotation</t>
        </is>
      </c>
    </row>
    <row r="168">
      <c r="A168" s="18" t="inlineStr">
        <is>
          <t>v025</t>
        </is>
      </c>
      <c r="B168" s="6" t="n">
        <v>1</v>
      </c>
      <c r="C168" s="6" t="inlineStr">
        <is>
          <t>Freeze the scope: name the sessions whose code has never been reviewed, and read nothing else.</t>
        </is>
      </c>
      <c r="D168" s="6" t="inlineStr">
        <is>
          <t>A review with unbounded scope becomes a skim. New code is the least-reviewed code (R-S10).</t>
        </is>
      </c>
      <c r="E168" s="6" t="inlineStr">
        <is>
          <t>A named module list for the pass.</t>
        </is>
      </c>
    </row>
    <row r="169">
      <c r="A169" s="6" t="n"/>
      <c r="B169" s="6" t="n">
        <v>2</v>
      </c>
      <c r="C169" s="6" t="inlineStr">
        <is>
          <t>Read each module adversarially, asking what input would make it do the wrong thing, not whether it looks correct.</t>
        </is>
      </c>
      <c r="D169" s="6" t="inlineStr">
        <is>
          <t>Every defect found this way had a passing test over it already.</t>
        </is>
      </c>
      <c r="E169" s="6" t="inlineStr">
        <is>
          <t>A candidate defect list.</t>
        </is>
      </c>
    </row>
    <row r="170">
      <c r="A170" s="6" t="n"/>
      <c r="B170" s="6" t="n">
        <v>3</v>
      </c>
      <c r="C170" s="6" t="inlineStr">
        <is>
          <t>Reproduce each candidate as a failing test before touching the code.</t>
        </is>
      </c>
      <c r="D170" s="6" t="inlineStr">
        <is>
          <t>A defect without a failing test is an opinion, and a fix without one regresses silently.</t>
        </is>
      </c>
      <c r="E170" s="6" t="inlineStr">
        <is>
          <t>Failing tests, one per confirmed defect.</t>
        </is>
      </c>
    </row>
    <row r="171">
      <c r="A171" s="6" t="n"/>
      <c r="B171" s="6" t="n">
        <v>4</v>
      </c>
      <c r="C171" s="6" t="inlineStr">
        <is>
          <t>Fix, and keep the regression test pinned in a pass-specific suite so its origin stays visible.</t>
        </is>
      </c>
      <c r="D171" s="6" t="inlineStr">
        <is>
          <t>The suite name is the audit trail: tests/reviewPass4.test.ts says when and why the assertion exists.</t>
        </is>
      </c>
      <c r="E171" s="6" t="inlineStr">
        <is>
          <t>F-nnn entries fixed with named regressions.</t>
        </is>
      </c>
    </row>
    <row r="172">
      <c r="A172" s="6" t="n"/>
      <c r="B172" s="6" t="n">
        <v>5</v>
      </c>
      <c r="C172" s="6" t="inlineStr">
        <is>
          <t>Record anything not fixed as an explicit open finding with a disposition owner, rather than fixing it quietly or dropping it.</t>
        </is>
      </c>
      <c r="D172" s="6" t="inlineStr">
        <is>
          <t>F-007 and F-008 stayed open for weeks under their own ids. That is honest; silence would not have been.</t>
        </is>
      </c>
      <c r="E172" s="6" t="inlineStr">
        <is>
          <t>Open findings with owners.</t>
        </is>
      </c>
    </row>
    <row r="173">
      <c r="A173" s="6" t="n"/>
      <c r="B173" s="6" t="n">
        <v>6</v>
      </c>
      <c r="C173" s="6" t="inlineStr">
        <is>
          <t>Rerun the full gate and release, with the defect count in the release note.</t>
        </is>
      </c>
      <c r="D173" s="6" t="inlineStr">
        <is>
          <t>The count belongs in the note because a release that fixed six defects is not the same artefact as one that fixed none.</t>
        </is>
      </c>
      <c r="E173" s="6" t="inlineStr">
        <is>
          <t>Released version with the findings recorded.</t>
        </is>
      </c>
    </row>
    <row r="174">
      <c r="A174" s="15" t="n"/>
      <c r="B174" s="15" t="n">
        <v>7</v>
      </c>
      <c r="C174" s="15" t="inlineStr">
        <is>
          <t>RELEASE-SPECIFIC: Cold-review pass 5 over the sessions 18-25 modules.</t>
        </is>
      </c>
      <c r="D174" s="15" t="inlineStr">
        <is>
          <t>Eight sessions of audit code had accumulated without a review pass of its own.</t>
        </is>
      </c>
      <c r="E174" s="15" t="inlineStr">
        <is>
          <t>F-041..F-045 fixed, including a seat cap that could never fire and a notification buffer that discarded on failure</t>
        </is>
      </c>
    </row>
    <row r="175">
      <c r="A175" s="18" t="inlineStr">
        <is>
          <t>v026</t>
        </is>
      </c>
      <c r="B175" s="6" t="n">
        <v>1</v>
      </c>
      <c r="C175" s="6" t="inlineStr">
        <is>
          <t>Pick one property and state it as a question the whole product must answer, for example "can tenant A read tenant B data anywhere?"</t>
        </is>
      </c>
      <c r="D175" s="6" t="inlineStr">
        <is>
          <t>A broad audit finds nothing. A single sharp property finds the CRITICALs — F-026, F-029, F-030, F-046, F-047, F-061 and F-062 each came from one question.</t>
        </is>
      </c>
      <c r="E175" s="6" t="inlineStr">
        <is>
          <t>The audit question, written down.</t>
        </is>
      </c>
    </row>
    <row r="176">
      <c r="A176" s="6" t="n"/>
      <c r="B176" s="6" t="n">
        <v>2</v>
      </c>
      <c r="C176" s="6" t="inlineStr">
        <is>
          <t>Enumerate every place in the product where that property could be violated, from the code rather than from memory.</t>
        </is>
      </c>
      <c r="D176" s="6" t="inlineStr">
        <is>
          <t>Memory audits what was recently touched; enumeration audits the product.</t>
        </is>
      </c>
      <c r="E176" s="6" t="inlineStr">
        <is>
          <t>A complete site list.</t>
        </is>
      </c>
    </row>
    <row r="177">
      <c r="A177" s="6" t="n"/>
      <c r="B177" s="6" t="n">
        <v>3</v>
      </c>
      <c r="C177" s="6" t="inlineStr">
        <is>
          <t>Test the property at each site, with the test driving a real request path wherever one exists.</t>
        </is>
      </c>
      <c r="D177" s="6" t="inlineStr">
        <is>
          <t>A correct function called with a wrong argument passes every unit test on both sides (F-041).</t>
        </is>
      </c>
      <c r="E177" s="6" t="inlineStr">
        <is>
          <t>Pass or fail per site.</t>
        </is>
      </c>
    </row>
    <row r="178">
      <c r="A178" s="6" t="n"/>
      <c r="B178" s="6" t="n">
        <v>4</v>
      </c>
      <c r="C178" s="6" t="inlineStr">
        <is>
          <t>Fix every failure, then pin the property itself — not only the instance — with a test that fails if a new site violates it.</t>
        </is>
      </c>
      <c r="D178" s="6" t="inlineStr">
        <is>
          <t>A two-way contract test is what stops the property decaying in a later release.</t>
        </is>
      </c>
      <c r="E178" s="6" t="inlineStr">
        <is>
          <t>Property-level assertions, for example the permission-to-enforcement-site contract.</t>
        </is>
      </c>
    </row>
    <row r="179">
      <c r="A179" s="6" t="n"/>
      <c r="B179" s="6" t="n">
        <v>5</v>
      </c>
      <c r="C179" s="6" t="inlineStr">
        <is>
          <t>State what was deliberately left alone as an accepted observation with its own id.</t>
        </is>
      </c>
      <c r="D179" s="6" t="inlineStr">
        <is>
          <t>OBS-SD4 through OBS-SD11 are accepted trade-offs, not forgotten work, and the distinction has to be written.</t>
        </is>
      </c>
      <c r="E179" s="6" t="inlineStr">
        <is>
          <t>OBS-SDnn entries.</t>
        </is>
      </c>
    </row>
    <row r="180">
      <c r="A180" s="6" t="n"/>
      <c r="B180" s="6" t="n">
        <v>6</v>
      </c>
      <c r="C180" s="6" t="inlineStr">
        <is>
          <t>Rerun the gate, release, and carry the lesson into RAID so the next session inherits it.</t>
        </is>
      </c>
      <c r="D180" s="6" t="inlineStr">
        <is>
          <t>R-S13, R-S14, R-S15 and R-S16 each exist because an audit found a class of mistake, not a single one.</t>
        </is>
      </c>
      <c r="E180" s="6" t="inlineStr">
        <is>
          <t>RAID entry plus the released version.</t>
        </is>
      </c>
    </row>
    <row r="181">
      <c r="A181" s="15" t="n"/>
      <c r="B181" s="15" t="n">
        <v>7</v>
      </c>
      <c r="C181" s="15" t="inlineStr">
        <is>
          <t>RELEASE-SPECIFIC: Multi-instance audit.</t>
        </is>
      </c>
      <c r="D181" s="15" t="inlineStr">
        <is>
          <t>Every audit so far had examined one running instance, while the shipped deploy model is blue/green. A model that is correct alone can be destructive in pairs.</t>
        </is>
      </c>
      <c r="E181" s="15" t="inlineStr">
        <is>
          <t>F-046 CRITICAL silent cross-instance data loss closed with optimistic concurrency end to end, migration 002, and a migration step in deploy</t>
        </is>
      </c>
    </row>
    <row r="182">
      <c r="A182" s="18" t="inlineStr">
        <is>
          <t>v027</t>
        </is>
      </c>
      <c r="B182" s="6" t="n">
        <v>1</v>
      </c>
      <c r="C182" s="6" t="inlineStr">
        <is>
          <t>Pick one property and state it as a question the whole product must answer, for example "can tenant A read tenant B data anywhere?"</t>
        </is>
      </c>
      <c r="D182" s="6" t="inlineStr">
        <is>
          <t>A broad audit finds nothing. A single sharp property finds the CRITICALs — F-026, F-029, F-030, F-046, F-047, F-061 and F-062 each came from one question.</t>
        </is>
      </c>
      <c r="E182" s="6" t="inlineStr">
        <is>
          <t>The audit question, written down.</t>
        </is>
      </c>
    </row>
    <row r="183">
      <c r="A183" s="6" t="n"/>
      <c r="B183" s="6" t="n">
        <v>2</v>
      </c>
      <c r="C183" s="6" t="inlineStr">
        <is>
          <t>Enumerate every place in the product where that property could be violated, from the code rather than from memory.</t>
        </is>
      </c>
      <c r="D183" s="6" t="inlineStr">
        <is>
          <t>Memory audits what was recently touched; enumeration audits the product.</t>
        </is>
      </c>
      <c r="E183" s="6" t="inlineStr">
        <is>
          <t>A complete site list.</t>
        </is>
      </c>
    </row>
    <row r="184">
      <c r="A184" s="6" t="n"/>
      <c r="B184" s="6" t="n">
        <v>3</v>
      </c>
      <c r="C184" s="6" t="inlineStr">
        <is>
          <t>Test the property at each site, with the test driving a real request path wherever one exists.</t>
        </is>
      </c>
      <c r="D184" s="6" t="inlineStr">
        <is>
          <t>A correct function called with a wrong argument passes every unit test on both sides (F-041).</t>
        </is>
      </c>
      <c r="E184" s="6" t="inlineStr">
        <is>
          <t>Pass or fail per site.</t>
        </is>
      </c>
    </row>
    <row r="185">
      <c r="A185" s="6" t="n"/>
      <c r="B185" s="6" t="n">
        <v>4</v>
      </c>
      <c r="C185" s="6" t="inlineStr">
        <is>
          <t>Fix every failure, then pin the property itself — not only the instance — with a test that fails if a new site violates it.</t>
        </is>
      </c>
      <c r="D185" s="6" t="inlineStr">
        <is>
          <t>A two-way contract test is what stops the property decaying in a later release.</t>
        </is>
      </c>
      <c r="E185" s="6" t="inlineStr">
        <is>
          <t>Property-level assertions, for example the permission-to-enforcement-site contract.</t>
        </is>
      </c>
    </row>
    <row r="186">
      <c r="A186" s="6" t="n"/>
      <c r="B186" s="6" t="n">
        <v>5</v>
      </c>
      <c r="C186" s="6" t="inlineStr">
        <is>
          <t>State what was deliberately left alone as an accepted observation with its own id.</t>
        </is>
      </c>
      <c r="D186" s="6" t="inlineStr">
        <is>
          <t>OBS-SD4 through OBS-SD11 are accepted trade-offs, not forgotten work, and the distinction has to be written.</t>
        </is>
      </c>
      <c r="E186" s="6" t="inlineStr">
        <is>
          <t>OBS-SDnn entries.</t>
        </is>
      </c>
    </row>
    <row r="187">
      <c r="A187" s="6" t="n"/>
      <c r="B187" s="6" t="n">
        <v>6</v>
      </c>
      <c r="C187" s="6" t="inlineStr">
        <is>
          <t>Rerun the gate, release, and carry the lesson into RAID so the next session inherits it.</t>
        </is>
      </c>
      <c r="D187" s="6" t="inlineStr">
        <is>
          <t>R-S13, R-S14, R-S15 and R-S16 each exist because an audit found a class of mistake, not a single one.</t>
        </is>
      </c>
      <c r="E187" s="6" t="inlineStr">
        <is>
          <t>RAID entry plus the released version.</t>
        </is>
      </c>
    </row>
    <row r="188">
      <c r="A188" s="15" t="n"/>
      <c r="B188" s="15" t="n">
        <v>7</v>
      </c>
      <c r="C188" s="15" t="inlineStr">
        <is>
          <t>RELEASE-SPECIFIC: Dependency-failure audit.</t>
        </is>
      </c>
      <c r="D188" s="15" t="inlineStr">
        <is>
          <t>The product depended on a store, Graph and mail. None of those failures had ever been simulated at the HTTP boundary.</t>
        </is>
      </c>
      <c r="E188" s="15" t="inlineStr">
        <is>
          <t>F-047 CRITICAL unhandled rejections (hung requests and process termination on any blip) and F-048 closed</t>
        </is>
      </c>
    </row>
    <row r="189">
      <c r="A189" s="18" t="inlineStr">
        <is>
          <t>v028</t>
        </is>
      </c>
      <c r="B189" s="6" t="n">
        <v>1</v>
      </c>
      <c r="C189" s="6" t="inlineStr">
        <is>
          <t>Freeze the scope: name the sessions whose code has never been reviewed, and read nothing else.</t>
        </is>
      </c>
      <c r="D189" s="6" t="inlineStr">
        <is>
          <t>A review with unbounded scope becomes a skim. New code is the least-reviewed code (R-S10).</t>
        </is>
      </c>
      <c r="E189" s="6" t="inlineStr">
        <is>
          <t>A named module list for the pass.</t>
        </is>
      </c>
    </row>
    <row r="190">
      <c r="A190" s="6" t="n"/>
      <c r="B190" s="6" t="n">
        <v>2</v>
      </c>
      <c r="C190" s="6" t="inlineStr">
        <is>
          <t>Read each module adversarially, asking what input would make it do the wrong thing, not whether it looks correct.</t>
        </is>
      </c>
      <c r="D190" s="6" t="inlineStr">
        <is>
          <t>Every defect found this way had a passing test over it already.</t>
        </is>
      </c>
      <c r="E190" s="6" t="inlineStr">
        <is>
          <t>A candidate defect list.</t>
        </is>
      </c>
    </row>
    <row r="191">
      <c r="A191" s="6" t="n"/>
      <c r="B191" s="6" t="n">
        <v>3</v>
      </c>
      <c r="C191" s="6" t="inlineStr">
        <is>
          <t>Reproduce each candidate as a failing test before touching the code.</t>
        </is>
      </c>
      <c r="D191" s="6" t="inlineStr">
        <is>
          <t>A defect without a failing test is an opinion, and a fix without one regresses silently.</t>
        </is>
      </c>
      <c r="E191" s="6" t="inlineStr">
        <is>
          <t>Failing tests, one per confirmed defect.</t>
        </is>
      </c>
    </row>
    <row r="192">
      <c r="A192" s="6" t="n"/>
      <c r="B192" s="6" t="n">
        <v>4</v>
      </c>
      <c r="C192" s="6" t="inlineStr">
        <is>
          <t>Fix, and keep the regression test pinned in a pass-specific suite so its origin stays visible.</t>
        </is>
      </c>
      <c r="D192" s="6" t="inlineStr">
        <is>
          <t>The suite name is the audit trail: tests/reviewPass4.test.ts says when and why the assertion exists.</t>
        </is>
      </c>
      <c r="E192" s="6" t="inlineStr">
        <is>
          <t>F-nnn entries fixed with named regressions.</t>
        </is>
      </c>
    </row>
    <row r="193">
      <c r="A193" s="6" t="n"/>
      <c r="B193" s="6" t="n">
        <v>5</v>
      </c>
      <c r="C193" s="6" t="inlineStr">
        <is>
          <t>Record anything not fixed as an explicit open finding with a disposition owner, rather than fixing it quietly or dropping it.</t>
        </is>
      </c>
      <c r="D193" s="6" t="inlineStr">
        <is>
          <t>F-007 and F-008 stayed open for weeks under their own ids. That is honest; silence would not have been.</t>
        </is>
      </c>
      <c r="E193" s="6" t="inlineStr">
        <is>
          <t>Open findings with owners.</t>
        </is>
      </c>
    </row>
    <row r="194">
      <c r="A194" s="6" t="n"/>
      <c r="B194" s="6" t="n">
        <v>6</v>
      </c>
      <c r="C194" s="6" t="inlineStr">
        <is>
          <t>Rerun the full gate and release, with the defect count in the release note.</t>
        </is>
      </c>
      <c r="D194" s="6" t="inlineStr">
        <is>
          <t>The count belongs in the note because a release that fixed six defects is not the same artefact as one that fixed none.</t>
        </is>
      </c>
      <c r="E194" s="6" t="inlineStr">
        <is>
          <t>Released version with the findings recorded.</t>
        </is>
      </c>
    </row>
    <row r="195">
      <c r="A195" s="15" t="n"/>
      <c r="B195" s="15" t="n">
        <v>7</v>
      </c>
      <c r="C195" s="15" t="inlineStr">
        <is>
          <t>RELEASE-SPECIFIC: Cold-review pass 6 over sessions 26-28.</t>
        </is>
      </c>
      <c r="D195" s="15" t="inlineStr">
        <is>
          <t>The concurrency and resilience code from the previous three sessions was new, and new code is the least-reviewed code.</t>
        </is>
      </c>
      <c r="E195" s="15" t="inlineStr">
        <is>
          <t>F-049 type-based error classification, F-050 degradation no longer cleared by reads, F-051 bot retry no longer duplicates a mutation</t>
        </is>
      </c>
    </row>
    <row r="196">
      <c r="A196" s="18" t="inlineStr">
        <is>
          <t>v029</t>
        </is>
      </c>
      <c r="B196" s="6" t="n">
        <v>1</v>
      </c>
      <c r="C196" s="6" t="inlineStr">
        <is>
          <t>Confirm the instruction and the scope for the session, and record it as an event in the tracker log.</t>
        </is>
      </c>
      <c r="D196" s="6" t="inlineStr">
        <is>
          <t>A release with no recorded instruction cannot be audited later, and scope creep inside a session is invisible without it.</t>
        </is>
      </c>
      <c r="E196" s="6" t="inlineStr">
        <is>
          <t>A tracker log event (E-nnn) naming the instruction and the scope.</t>
        </is>
      </c>
    </row>
    <row r="197">
      <c r="A197" s="6" t="n"/>
      <c r="B197" s="6" t="n">
        <v>2</v>
      </c>
      <c r="C197" s="6" t="inlineStr">
        <is>
          <t>Read the current state: the backlog rows in scope, the code they claim, and the tests that pin them.</t>
        </is>
      </c>
      <c r="D197" s="6" t="inlineStr">
        <is>
          <t>The product's recurring defect is a module that exists and is never called, so the starting question is always what is really wired.</t>
        </is>
      </c>
      <c r="E197" s="6" t="inlineStr">
        <is>
          <t>A written list of what exists versus what is claimed.</t>
        </is>
      </c>
    </row>
    <row r="198">
      <c r="A198" s="6" t="n"/>
      <c r="B198" s="6" t="n">
        <v>3</v>
      </c>
      <c r="C198" s="6" t="inlineStr">
        <is>
          <t>Build the capability, smallest honest slice first, with the test written against the behaviour rather than the implementation.</t>
        </is>
      </c>
      <c r="D198" s="6" t="inlineStr">
        <is>
          <t>A test coupled to implementation detail passes through a refactor that breaks the product.</t>
        </is>
      </c>
      <c r="E198" s="6" t="inlineStr">
        <is>
          <t>New or changed modules under src/ or web/.</t>
        </is>
      </c>
    </row>
    <row r="199">
      <c r="A199" s="6" t="n"/>
      <c r="B199" s="6" t="n">
        <v>4</v>
      </c>
      <c r="C199" s="6" t="inlineStr">
        <is>
          <t>Wire it at the boundary — a real request must drive it, not only a unit test.</t>
        </is>
      </c>
      <c r="D199" s="6" t="inlineStr">
        <is>
          <t>Findings F-036, F-039, F-062 and F-063 were all correct modules nothing constructed. Wiring is part of building, not a later step.</t>
        </is>
      </c>
      <c r="E199" s="6" t="inlineStr">
        <is>
          <t>Construction in the entry point plus a boundary test that proves a request reaches it.</t>
        </is>
      </c>
    </row>
    <row r="200">
      <c r="A200" s="6" t="n"/>
      <c r="B200" s="6" t="n">
        <v>5</v>
      </c>
      <c r="C200" s="6" t="inlineStr">
        <is>
          <t>Run the full gate: typecheck, unit suite at 100%, and from v040 the integration and seam tiers too.</t>
        </is>
      </c>
      <c r="D200" s="6" t="inlineStr">
        <is>
          <t>The gate is the only thing standing between a green feeling and a green build.</t>
        </is>
      </c>
      <c r="E200" s="6" t="inlineStr">
        <is>
          <t>A clean gate run, or a defect to fix before the release closes.</t>
        </is>
      </c>
    </row>
    <row r="201">
      <c r="A201" s="6" t="n"/>
      <c r="B201" s="6" t="n">
        <v>6</v>
      </c>
      <c r="C201" s="6" t="inlineStr">
        <is>
          <t>Update the tracker, traceability and companion workbook, then release and deliver the artefacts.</t>
        </is>
      </c>
      <c r="D201" s="6" t="inlineStr">
        <is>
          <t>Evidence that is not written down where the reader will look for it is not evidence (finding F-009).</t>
        </is>
      </c>
      <c r="E201" s="6" t="inlineStr">
        <is>
          <t>Tracker version row, traceability rows, source zip, workbook.</t>
        </is>
      </c>
    </row>
    <row r="202">
      <c r="A202" s="15" t="n"/>
      <c r="B202" s="15" t="n">
        <v>7</v>
      </c>
      <c r="C202" s="15" t="inlineStr">
        <is>
          <t>RELEASE-SPECIFIC: Live-day preparation: the automated half of the sweep made executable.</t>
        </is>
      </c>
      <c r="D202" s="15" t="inlineStr">
        <is>
          <t>The 14-step sweep was a document. A document cannot be run on live day, and operator-only steps needed to be named as such rather than assumed.</t>
        </is>
      </c>
      <c r="E202" s="15" t="inlineStr">
        <is>
          <t>npm run sweep executable; unimplemented steps report as manual rather than passed</t>
        </is>
      </c>
    </row>
    <row r="203">
      <c r="A203" s="18" t="inlineStr">
        <is>
          <t>v030</t>
        </is>
      </c>
      <c r="B203" s="6" t="n">
        <v>1</v>
      </c>
      <c r="C203" s="6" t="inlineStr">
        <is>
          <t>Confirm the instruction and the scope for the session, and record it as an event in the tracker log.</t>
        </is>
      </c>
      <c r="D203" s="6" t="inlineStr">
        <is>
          <t>A release with no recorded instruction cannot be audited later, and scope creep inside a session is invisible without it.</t>
        </is>
      </c>
      <c r="E203" s="6" t="inlineStr">
        <is>
          <t>A tracker log event (E-nnn) naming the instruction and the scope.</t>
        </is>
      </c>
    </row>
    <row r="204">
      <c r="A204" s="6" t="n"/>
      <c r="B204" s="6" t="n">
        <v>2</v>
      </c>
      <c r="C204" s="6" t="inlineStr">
        <is>
          <t>Read the current state: the backlog rows in scope, the code they claim, and the tests that pin them.</t>
        </is>
      </c>
      <c r="D204" s="6" t="inlineStr">
        <is>
          <t>The product's recurring defect is a module that exists and is never called, so the starting question is always what is really wired.</t>
        </is>
      </c>
      <c r="E204" s="6" t="inlineStr">
        <is>
          <t>A written list of what exists versus what is claimed.</t>
        </is>
      </c>
    </row>
    <row r="205">
      <c r="A205" s="6" t="n"/>
      <c r="B205" s="6" t="n">
        <v>3</v>
      </c>
      <c r="C205" s="6" t="inlineStr">
        <is>
          <t>Build the capability, smallest honest slice first, with the test written against the behaviour rather than the implementation.</t>
        </is>
      </c>
      <c r="D205" s="6" t="inlineStr">
        <is>
          <t>A test coupled to implementation detail passes through a refactor that breaks the product.</t>
        </is>
      </c>
      <c r="E205" s="6" t="inlineStr">
        <is>
          <t>New or changed modules under src/ or web/.</t>
        </is>
      </c>
    </row>
    <row r="206">
      <c r="A206" s="6" t="n"/>
      <c r="B206" s="6" t="n">
        <v>4</v>
      </c>
      <c r="C206" s="6" t="inlineStr">
        <is>
          <t>Wire it at the boundary — a real request must drive it, not only a unit test.</t>
        </is>
      </c>
      <c r="D206" s="6" t="inlineStr">
        <is>
          <t>Findings F-036, F-039, F-062 and F-063 were all correct modules nothing constructed. Wiring is part of building, not a later step.</t>
        </is>
      </c>
      <c r="E206" s="6" t="inlineStr">
        <is>
          <t>Construction in the entry point plus a boundary test that proves a request reaches it.</t>
        </is>
      </c>
    </row>
    <row r="207">
      <c r="A207" s="6" t="n"/>
      <c r="B207" s="6" t="n">
        <v>5</v>
      </c>
      <c r="C207" s="6" t="inlineStr">
        <is>
          <t>Run the full gate: typecheck, unit suite at 100%, and from v040 the integration and seam tiers too.</t>
        </is>
      </c>
      <c r="D207" s="6" t="inlineStr">
        <is>
          <t>The gate is the only thing standing between a green feeling and a green build.</t>
        </is>
      </c>
      <c r="E207" s="6" t="inlineStr">
        <is>
          <t>A clean gate run, or a defect to fix before the release closes.</t>
        </is>
      </c>
    </row>
    <row r="208">
      <c r="A208" s="6" t="n"/>
      <c r="B208" s="6" t="n">
        <v>6</v>
      </c>
      <c r="C208" s="6" t="inlineStr">
        <is>
          <t>Update the tracker, traceability and companion workbook, then release and deliver the artefacts.</t>
        </is>
      </c>
      <c r="D208" s="6" t="inlineStr">
        <is>
          <t>Evidence that is not written down where the reader will look for it is not evidence (finding F-009).</t>
        </is>
      </c>
      <c r="E208" s="6" t="inlineStr">
        <is>
          <t>Tracker version row, traceability rows, source zip, workbook.</t>
        </is>
      </c>
    </row>
    <row r="209">
      <c r="A209" s="15" t="n"/>
      <c r="B209" s="15" t="n">
        <v>7</v>
      </c>
      <c r="C209" s="15" t="inlineStr">
        <is>
          <t>RELEASE-SPECIFIC: Six more sweep steps automated behind capability gates.</t>
        </is>
      </c>
      <c r="D209" s="15" t="inlineStr">
        <is>
          <t>Honest SKIP reporting matters more than a green sweep: a step that cannot run must say so rather than pass.</t>
        </is>
      </c>
      <c r="E209" s="15" t="inlineStr">
        <is>
          <t>F-052 found by writing the funnel check: the Analytics tab read a telemetry instance nothing feeds</t>
        </is>
      </c>
    </row>
    <row r="210">
      <c r="A210" s="18" t="inlineStr">
        <is>
          <t>v031</t>
        </is>
      </c>
      <c r="B210" s="6" t="n">
        <v>1</v>
      </c>
      <c r="C210" s="6" t="inlineStr">
        <is>
          <t>Confirm the instruction and the scope for the session, and record it as an event in the tracker log.</t>
        </is>
      </c>
      <c r="D210" s="6" t="inlineStr">
        <is>
          <t>A release with no recorded instruction cannot be audited later, and scope creep inside a session is invisible without it.</t>
        </is>
      </c>
      <c r="E210" s="6" t="inlineStr">
        <is>
          <t>A tracker log event (E-nnn) naming the instruction and the scope.</t>
        </is>
      </c>
    </row>
    <row r="211">
      <c r="A211" s="6" t="n"/>
      <c r="B211" s="6" t="n">
        <v>2</v>
      </c>
      <c r="C211" s="6" t="inlineStr">
        <is>
          <t>Read the current state: the backlog rows in scope, the code they claim, and the tests that pin them.</t>
        </is>
      </c>
      <c r="D211" s="6" t="inlineStr">
        <is>
          <t>The product's recurring defect is a module that exists and is never called, so the starting question is always what is really wired.</t>
        </is>
      </c>
      <c r="E211" s="6" t="inlineStr">
        <is>
          <t>A written list of what exists versus what is claimed.</t>
        </is>
      </c>
    </row>
    <row r="212">
      <c r="A212" s="6" t="n"/>
      <c r="B212" s="6" t="n">
        <v>3</v>
      </c>
      <c r="C212" s="6" t="inlineStr">
        <is>
          <t>Build the capability, smallest honest slice first, with the test written against the behaviour rather than the implementation.</t>
        </is>
      </c>
      <c r="D212" s="6" t="inlineStr">
        <is>
          <t>A test coupled to implementation detail passes through a refactor that breaks the product.</t>
        </is>
      </c>
      <c r="E212" s="6" t="inlineStr">
        <is>
          <t>New or changed modules under src/ or web/.</t>
        </is>
      </c>
    </row>
    <row r="213">
      <c r="A213" s="6" t="n"/>
      <c r="B213" s="6" t="n">
        <v>4</v>
      </c>
      <c r="C213" s="6" t="inlineStr">
        <is>
          <t>Wire it at the boundary — a real request must drive it, not only a unit test.</t>
        </is>
      </c>
      <c r="D213" s="6" t="inlineStr">
        <is>
          <t>Findings F-036, F-039, F-062 and F-063 were all correct modules nothing constructed. Wiring is part of building, not a later step.</t>
        </is>
      </c>
      <c r="E213" s="6" t="inlineStr">
        <is>
          <t>Construction in the entry point plus a boundary test that proves a request reaches it.</t>
        </is>
      </c>
    </row>
    <row r="214">
      <c r="A214" s="6" t="n"/>
      <c r="B214" s="6" t="n">
        <v>5</v>
      </c>
      <c r="C214" s="6" t="inlineStr">
        <is>
          <t>Run the full gate: typecheck, unit suite at 100%, and from v040 the integration and seam tiers too.</t>
        </is>
      </c>
      <c r="D214" s="6" t="inlineStr">
        <is>
          <t>The gate is the only thing standing between a green feeling and a green build.</t>
        </is>
      </c>
      <c r="E214" s="6" t="inlineStr">
        <is>
          <t>A clean gate run, or a defect to fix before the release closes.</t>
        </is>
      </c>
    </row>
    <row r="215">
      <c r="A215" s="6" t="n"/>
      <c r="B215" s="6" t="n">
        <v>6</v>
      </c>
      <c r="C215" s="6" t="inlineStr">
        <is>
          <t>Update the tracker, traceability and companion workbook, then release and deliver the artefacts.</t>
        </is>
      </c>
      <c r="D215" s="6" t="inlineStr">
        <is>
          <t>Evidence that is not written down where the reader will look for it is not evidence (finding F-009).</t>
        </is>
      </c>
      <c r="E215" s="6" t="inlineStr">
        <is>
          <t>Tracker version row, traceability rows, source zip, workbook.</t>
        </is>
      </c>
    </row>
    <row r="216">
      <c r="A216" s="15" t="n"/>
      <c r="B216" s="15" t="n">
        <v>7</v>
      </c>
      <c r="C216" s="15" t="inlineStr">
        <is>
          <t>RELEASE-SPECIFIC: Packaging automated with manifest validation.</t>
        </is>
      </c>
      <c r="D216" s="15" t="inlineStr">
        <is>
          <t>Packaging by hand on launch day is how a wrong app id or an unvalidated manifest reaches a store queue.</t>
        </is>
      </c>
      <c r="E216" s="15" t="inlineStr">
        <is>
          <t>Substitution names the missing value; manifest validated against store rules; root-level archive verified</t>
        </is>
      </c>
    </row>
    <row r="217">
      <c r="A217" s="18" t="inlineStr">
        <is>
          <t>v032</t>
        </is>
      </c>
      <c r="B217" s="6" t="n">
        <v>1</v>
      </c>
      <c r="C217" s="6" t="inlineStr">
        <is>
          <t>Pick one property and state it as a question the whole product must answer, for example "can tenant A read tenant B data anywhere?"</t>
        </is>
      </c>
      <c r="D217" s="6" t="inlineStr">
        <is>
          <t>A broad audit finds nothing. A single sharp property finds the CRITICALs — F-026, F-029, F-030, F-046, F-047, F-061 and F-062 each came from one question.</t>
        </is>
      </c>
      <c r="E217" s="6" t="inlineStr">
        <is>
          <t>The audit question, written down.</t>
        </is>
      </c>
    </row>
    <row r="218">
      <c r="A218" s="6" t="n"/>
      <c r="B218" s="6" t="n">
        <v>2</v>
      </c>
      <c r="C218" s="6" t="inlineStr">
        <is>
          <t>Enumerate every place in the product where that property could be violated, from the code rather than from memory.</t>
        </is>
      </c>
      <c r="D218" s="6" t="inlineStr">
        <is>
          <t>Memory audits what was recently touched; enumeration audits the product.</t>
        </is>
      </c>
      <c r="E218" s="6" t="inlineStr">
        <is>
          <t>A complete site list.</t>
        </is>
      </c>
    </row>
    <row r="219">
      <c r="A219" s="6" t="n"/>
      <c r="B219" s="6" t="n">
        <v>3</v>
      </c>
      <c r="C219" s="6" t="inlineStr">
        <is>
          <t>Test the property at each site, with the test driving a real request path wherever one exists.</t>
        </is>
      </c>
      <c r="D219" s="6" t="inlineStr">
        <is>
          <t>A correct function called with a wrong argument passes every unit test on both sides (F-041).</t>
        </is>
      </c>
      <c r="E219" s="6" t="inlineStr">
        <is>
          <t>Pass or fail per site.</t>
        </is>
      </c>
    </row>
    <row r="220">
      <c r="A220" s="6" t="n"/>
      <c r="B220" s="6" t="n">
        <v>4</v>
      </c>
      <c r="C220" s="6" t="inlineStr">
        <is>
          <t>Fix every failure, then pin the property itself — not only the instance — with a test that fails if a new site violates it.</t>
        </is>
      </c>
      <c r="D220" s="6" t="inlineStr">
        <is>
          <t>A two-way contract test is what stops the property decaying in a later release.</t>
        </is>
      </c>
      <c r="E220" s="6" t="inlineStr">
        <is>
          <t>Property-level assertions, for example the permission-to-enforcement-site contract.</t>
        </is>
      </c>
    </row>
    <row r="221">
      <c r="A221" s="6" t="n"/>
      <c r="B221" s="6" t="n">
        <v>5</v>
      </c>
      <c r="C221" s="6" t="inlineStr">
        <is>
          <t>State what was deliberately left alone as an accepted observation with its own id.</t>
        </is>
      </c>
      <c r="D221" s="6" t="inlineStr">
        <is>
          <t>OBS-SD4 through OBS-SD11 are accepted trade-offs, not forgotten work, and the distinction has to be written.</t>
        </is>
      </c>
      <c r="E221" s="6" t="inlineStr">
        <is>
          <t>OBS-SDnn entries.</t>
        </is>
      </c>
    </row>
    <row r="222">
      <c r="A222" s="6" t="n"/>
      <c r="B222" s="6" t="n">
        <v>6</v>
      </c>
      <c r="C222" s="6" t="inlineStr">
        <is>
          <t>Rerun the gate, release, and carry the lesson into RAID so the next session inherits it.</t>
        </is>
      </c>
      <c r="D222" s="6" t="inlineStr">
        <is>
          <t>R-S13, R-S14, R-S15 and R-S16 each exist because an audit found a class of mistake, not a single one.</t>
        </is>
      </c>
      <c r="E222" s="6" t="inlineStr">
        <is>
          <t>RAID entry plus the released version.</t>
        </is>
      </c>
    </row>
    <row r="223">
      <c r="A223" s="15" t="n"/>
      <c r="B223" s="15" t="n">
        <v>7</v>
      </c>
      <c r="C223" s="15" t="inlineStr">
        <is>
          <t>RELEASE-SPECIFIC: Deliverability audit from a clean install.</t>
        </is>
      </c>
      <c r="D223" s="15" t="inlineStr">
        <is>
          <t>Everything had been run on a machine that already had the tooling. A customer or CI runner starts from npm ci.</t>
        </is>
      </c>
      <c r="E223" s="15" t="inlineStr">
        <is>
          <t>F-053 undeclared ts-node, F-054 undeclared pg, F-056 scripts outside the typecheck gate; OBS-SD10 raised</t>
        </is>
      </c>
    </row>
    <row r="224">
      <c r="A224" s="18" t="inlineStr">
        <is>
          <t>v033</t>
        </is>
      </c>
      <c r="B224" s="6" t="n">
        <v>1</v>
      </c>
      <c r="C224" s="6" t="inlineStr">
        <is>
          <t>Pick one property and state it as a question the whole product must answer, for example "can tenant A read tenant B data anywhere?"</t>
        </is>
      </c>
      <c r="D224" s="6" t="inlineStr">
        <is>
          <t>A broad audit finds nothing. A single sharp property finds the CRITICALs — F-026, F-029, F-030, F-046, F-047, F-061 and F-062 each came from one question.</t>
        </is>
      </c>
      <c r="E224" s="6" t="inlineStr">
        <is>
          <t>The audit question, written down.</t>
        </is>
      </c>
    </row>
    <row r="225">
      <c r="A225" s="6" t="n"/>
      <c r="B225" s="6" t="n">
        <v>2</v>
      </c>
      <c r="C225" s="6" t="inlineStr">
        <is>
          <t>Enumerate every place in the product where that property could be violated, from the code rather than from memory.</t>
        </is>
      </c>
      <c r="D225" s="6" t="inlineStr">
        <is>
          <t>Memory audits what was recently touched; enumeration audits the product.</t>
        </is>
      </c>
      <c r="E225" s="6" t="inlineStr">
        <is>
          <t>A complete site list.</t>
        </is>
      </c>
    </row>
    <row r="226">
      <c r="A226" s="6" t="n"/>
      <c r="B226" s="6" t="n">
        <v>3</v>
      </c>
      <c r="C226" s="6" t="inlineStr">
        <is>
          <t>Test the property at each site, with the test driving a real request path wherever one exists.</t>
        </is>
      </c>
      <c r="D226" s="6" t="inlineStr">
        <is>
          <t>A correct function called with a wrong argument passes every unit test on both sides (F-041).</t>
        </is>
      </c>
      <c r="E226" s="6" t="inlineStr">
        <is>
          <t>Pass or fail per site.</t>
        </is>
      </c>
    </row>
    <row r="227">
      <c r="A227" s="6" t="n"/>
      <c r="B227" s="6" t="n">
        <v>4</v>
      </c>
      <c r="C227" s="6" t="inlineStr">
        <is>
          <t>Fix every failure, then pin the property itself — not only the instance — with a test that fails if a new site violates it.</t>
        </is>
      </c>
      <c r="D227" s="6" t="inlineStr">
        <is>
          <t>A two-way contract test is what stops the property decaying in a later release.</t>
        </is>
      </c>
      <c r="E227" s="6" t="inlineStr">
        <is>
          <t>Property-level assertions, for example the permission-to-enforcement-site contract.</t>
        </is>
      </c>
    </row>
    <row r="228">
      <c r="A228" s="6" t="n"/>
      <c r="B228" s="6" t="n">
        <v>5</v>
      </c>
      <c r="C228" s="6" t="inlineStr">
        <is>
          <t>State what was deliberately left alone as an accepted observation with its own id.</t>
        </is>
      </c>
      <c r="D228" s="6" t="inlineStr">
        <is>
          <t>OBS-SD4 through OBS-SD11 are accepted trade-offs, not forgotten work, and the distinction has to be written.</t>
        </is>
      </c>
      <c r="E228" s="6" t="inlineStr">
        <is>
          <t>OBS-SDnn entries.</t>
        </is>
      </c>
    </row>
    <row r="229">
      <c r="A229" s="6" t="n"/>
      <c r="B229" s="6" t="n">
        <v>6</v>
      </c>
      <c r="C229" s="6" t="inlineStr">
        <is>
          <t>Rerun the gate, release, and carry the lesson into RAID so the next session inherits it.</t>
        </is>
      </c>
      <c r="D229" s="6" t="inlineStr">
        <is>
          <t>R-S13, R-S14, R-S15 and R-S16 each exist because an audit found a class of mistake, not a single one.</t>
        </is>
      </c>
      <c r="E229" s="6" t="inlineStr">
        <is>
          <t>RAID entry plus the released version.</t>
        </is>
      </c>
    </row>
    <row r="230">
      <c r="A230" s="15" t="n"/>
      <c r="B230" s="15" t="n">
        <v>7</v>
      </c>
      <c r="C230" s="15" t="inlineStr">
        <is>
          <t>RELEASE-SPECIFIC: Clean-checkout rehearsal of the full delivery.</t>
        </is>
      </c>
      <c r="D230" s="15" t="inlineStr">
        <is>
          <t>The guide had instructed operators to start a server since session 10. Nobody had tried it from the delivered zip.</t>
        </is>
      </c>
      <c r="E230" s="15" t="inlineStr">
        <is>
          <t>F-057 closed: no server entry point shipped; scripts/serve.ts now ships as npm start with a verifier seam</t>
        </is>
      </c>
    </row>
    <row r="231">
      <c r="A231" s="18" t="inlineStr">
        <is>
          <t>v034</t>
        </is>
      </c>
      <c r="B231" s="6" t="n">
        <v>1</v>
      </c>
      <c r="C231" s="6" t="inlineStr">
        <is>
          <t>Pick one property and state it as a question the whole product must answer, for example "can tenant A read tenant B data anywhere?"</t>
        </is>
      </c>
      <c r="D231" s="6" t="inlineStr">
        <is>
          <t>A broad audit finds nothing. A single sharp property finds the CRITICALs — F-026, F-029, F-030, F-046, F-047, F-061 and F-062 each came from one question.</t>
        </is>
      </c>
      <c r="E231" s="6" t="inlineStr">
        <is>
          <t>The audit question, written down.</t>
        </is>
      </c>
    </row>
    <row r="232">
      <c r="A232" s="6" t="n"/>
      <c r="B232" s="6" t="n">
        <v>2</v>
      </c>
      <c r="C232" s="6" t="inlineStr">
        <is>
          <t>Enumerate every place in the product where that property could be violated, from the code rather than from memory.</t>
        </is>
      </c>
      <c r="D232" s="6" t="inlineStr">
        <is>
          <t>Memory audits what was recently touched; enumeration audits the product.</t>
        </is>
      </c>
      <c r="E232" s="6" t="inlineStr">
        <is>
          <t>A complete site list.</t>
        </is>
      </c>
    </row>
    <row r="233">
      <c r="A233" s="6" t="n"/>
      <c r="B233" s="6" t="n">
        <v>3</v>
      </c>
      <c r="C233" s="6" t="inlineStr">
        <is>
          <t>Test the property at each site, with the test driving a real request path wherever one exists.</t>
        </is>
      </c>
      <c r="D233" s="6" t="inlineStr">
        <is>
          <t>A correct function called with a wrong argument passes every unit test on both sides (F-041).</t>
        </is>
      </c>
      <c r="E233" s="6" t="inlineStr">
        <is>
          <t>Pass or fail per site.</t>
        </is>
      </c>
    </row>
    <row r="234">
      <c r="A234" s="6" t="n"/>
      <c r="B234" s="6" t="n">
        <v>4</v>
      </c>
      <c r="C234" s="6" t="inlineStr">
        <is>
          <t>Fix every failure, then pin the property itself — not only the instance — with a test that fails if a new site violates it.</t>
        </is>
      </c>
      <c r="D234" s="6" t="inlineStr">
        <is>
          <t>A two-way contract test is what stops the property decaying in a later release.</t>
        </is>
      </c>
      <c r="E234" s="6" t="inlineStr">
        <is>
          <t>Property-level assertions, for example the permission-to-enforcement-site contract.</t>
        </is>
      </c>
    </row>
    <row r="235">
      <c r="A235" s="6" t="n"/>
      <c r="B235" s="6" t="n">
        <v>5</v>
      </c>
      <c r="C235" s="6" t="inlineStr">
        <is>
          <t>State what was deliberately left alone as an accepted observation with its own id.</t>
        </is>
      </c>
      <c r="D235" s="6" t="inlineStr">
        <is>
          <t>OBS-SD4 through OBS-SD11 are accepted trade-offs, not forgotten work, and the distinction has to be written.</t>
        </is>
      </c>
      <c r="E235" s="6" t="inlineStr">
        <is>
          <t>OBS-SDnn entries.</t>
        </is>
      </c>
    </row>
    <row r="236">
      <c r="A236" s="6" t="n"/>
      <c r="B236" s="6" t="n">
        <v>6</v>
      </c>
      <c r="C236" s="6" t="inlineStr">
        <is>
          <t>Rerun the gate, release, and carry the lesson into RAID so the next session inherits it.</t>
        </is>
      </c>
      <c r="D236" s="6" t="inlineStr">
        <is>
          <t>R-S13, R-S14, R-S15 and R-S16 each exist because an audit found a class of mistake, not a single one.</t>
        </is>
      </c>
      <c r="E236" s="6" t="inlineStr">
        <is>
          <t>RAID entry plus the released version.</t>
        </is>
      </c>
    </row>
    <row r="237">
      <c r="A237" s="15" t="n"/>
      <c r="B237" s="15" t="n">
        <v>7</v>
      </c>
      <c r="C237" s="15" t="inlineStr">
        <is>
          <t>RELEASE-SPECIFIC: The tab URLs actually served.</t>
        </is>
      </c>
      <c r="D237" s="15" t="inlineStr">
        <is>
          <t>The manifest pointed at tab URLs with nothing serving them: the app would install and show nothing.</t>
        </is>
      </c>
      <c r="E237" s="15" t="inlineStr">
        <is>
          <t>F-058 closed; app serves its own built bundle at /tab with traversal refused; sweep check A-14 added</t>
        </is>
      </c>
    </row>
    <row r="238">
      <c r="A238" s="18" t="inlineStr">
        <is>
          <t>v035</t>
        </is>
      </c>
      <c r="B238" s="6" t="n">
        <v>1</v>
      </c>
      <c r="C238" s="6" t="inlineStr">
        <is>
          <t>Pick one property and state it as a question the whole product must answer, for example "can tenant A read tenant B data anywhere?"</t>
        </is>
      </c>
      <c r="D238" s="6" t="inlineStr">
        <is>
          <t>A broad audit finds nothing. A single sharp property finds the CRITICALs — F-026, F-029, F-030, F-046, F-047, F-061 and F-062 each came from one question.</t>
        </is>
      </c>
      <c r="E238" s="6" t="inlineStr">
        <is>
          <t>The audit question, written down.</t>
        </is>
      </c>
    </row>
    <row r="239">
      <c r="A239" s="6" t="n"/>
      <c r="B239" s="6" t="n">
        <v>2</v>
      </c>
      <c r="C239" s="6" t="inlineStr">
        <is>
          <t>Enumerate every place in the product where that property could be violated, from the code rather than from memory.</t>
        </is>
      </c>
      <c r="D239" s="6" t="inlineStr">
        <is>
          <t>Memory audits what was recently touched; enumeration audits the product.</t>
        </is>
      </c>
      <c r="E239" s="6" t="inlineStr">
        <is>
          <t>A complete site list.</t>
        </is>
      </c>
    </row>
    <row r="240">
      <c r="A240" s="6" t="n"/>
      <c r="B240" s="6" t="n">
        <v>3</v>
      </c>
      <c r="C240" s="6" t="inlineStr">
        <is>
          <t>Test the property at each site, with the test driving a real request path wherever one exists.</t>
        </is>
      </c>
      <c r="D240" s="6" t="inlineStr">
        <is>
          <t>A correct function called with a wrong argument passes every unit test on both sides (F-041).</t>
        </is>
      </c>
      <c r="E240" s="6" t="inlineStr">
        <is>
          <t>Pass or fail per site.</t>
        </is>
      </c>
    </row>
    <row r="241">
      <c r="A241" s="6" t="n"/>
      <c r="B241" s="6" t="n">
        <v>4</v>
      </c>
      <c r="C241" s="6" t="inlineStr">
        <is>
          <t>Fix every failure, then pin the property itself — not only the instance — with a test that fails if a new site violates it.</t>
        </is>
      </c>
      <c r="D241" s="6" t="inlineStr">
        <is>
          <t>A two-way contract test is what stops the property decaying in a later release.</t>
        </is>
      </c>
      <c r="E241" s="6" t="inlineStr">
        <is>
          <t>Property-level assertions, for example the permission-to-enforcement-site contract.</t>
        </is>
      </c>
    </row>
    <row r="242">
      <c r="A242" s="6" t="n"/>
      <c r="B242" s="6" t="n">
        <v>5</v>
      </c>
      <c r="C242" s="6" t="inlineStr">
        <is>
          <t>State what was deliberately left alone as an accepted observation with its own id.</t>
        </is>
      </c>
      <c r="D242" s="6" t="inlineStr">
        <is>
          <t>OBS-SD4 through OBS-SD11 are accepted trade-offs, not forgotten work, and the distinction has to be written.</t>
        </is>
      </c>
      <c r="E242" s="6" t="inlineStr">
        <is>
          <t>OBS-SDnn entries.</t>
        </is>
      </c>
    </row>
    <row r="243">
      <c r="A243" s="6" t="n"/>
      <c r="B243" s="6" t="n">
        <v>6</v>
      </c>
      <c r="C243" s="6" t="inlineStr">
        <is>
          <t>Rerun the gate, release, and carry the lesson into RAID so the next session inherits it.</t>
        </is>
      </c>
      <c r="D243" s="6" t="inlineStr">
        <is>
          <t>R-S13, R-S14, R-S15 and R-S16 each exist because an audit found a class of mistake, not a single one.</t>
        </is>
      </c>
      <c r="E243" s="6" t="inlineStr">
        <is>
          <t>RAID entry plus the released version.</t>
        </is>
      </c>
    </row>
    <row r="244">
      <c r="A244" s="15" t="n"/>
      <c r="B244" s="15" t="n">
        <v>7</v>
      </c>
      <c r="C244" s="15" t="inlineStr">
        <is>
          <t>RELEASE-SPECIFIC: The bot endpoint actually wired.</t>
        </is>
      </c>
      <c r="D244" s="15" t="inlineStr">
        <is>
          <t>The entry point wired no bot dependencies, so /api/messages answered 503 and every advertised command was dead in the shipped configuration.</t>
        </is>
      </c>
      <c r="E244" s="15" t="inlineStr">
        <is>
          <t>F-059 closed with Connector sender, token exchange, explicit dev and production modes; sweep check A-15</t>
        </is>
      </c>
    </row>
    <row r="245">
      <c r="A245" s="18" t="inlineStr">
        <is>
          <t>v036</t>
        </is>
      </c>
      <c r="B245" s="6" t="n">
        <v>1</v>
      </c>
      <c r="C245" s="6" t="inlineStr">
        <is>
          <t>Pick one property and state it as a question the whole product must answer, for example "can tenant A read tenant B data anywhere?"</t>
        </is>
      </c>
      <c r="D245" s="6" t="inlineStr">
        <is>
          <t>A broad audit finds nothing. A single sharp property finds the CRITICALs — F-026, F-029, F-030, F-046, F-047, F-061 and F-062 each came from one question.</t>
        </is>
      </c>
      <c r="E245" s="6" t="inlineStr">
        <is>
          <t>The audit question, written down.</t>
        </is>
      </c>
    </row>
    <row r="246">
      <c r="A246" s="6" t="n"/>
      <c r="B246" s="6" t="n">
        <v>2</v>
      </c>
      <c r="C246" s="6" t="inlineStr">
        <is>
          <t>Enumerate every place in the product where that property could be violated, from the code rather than from memory.</t>
        </is>
      </c>
      <c r="D246" s="6" t="inlineStr">
        <is>
          <t>Memory audits what was recently touched; enumeration audits the product.</t>
        </is>
      </c>
      <c r="E246" s="6" t="inlineStr">
        <is>
          <t>A complete site list.</t>
        </is>
      </c>
    </row>
    <row r="247">
      <c r="A247" s="6" t="n"/>
      <c r="B247" s="6" t="n">
        <v>3</v>
      </c>
      <c r="C247" s="6" t="inlineStr">
        <is>
          <t>Test the property at each site, with the test driving a real request path wherever one exists.</t>
        </is>
      </c>
      <c r="D247" s="6" t="inlineStr">
        <is>
          <t>A correct function called with a wrong argument passes every unit test on both sides (F-041).</t>
        </is>
      </c>
      <c r="E247" s="6" t="inlineStr">
        <is>
          <t>Pass or fail per site.</t>
        </is>
      </c>
    </row>
    <row r="248">
      <c r="A248" s="6" t="n"/>
      <c r="B248" s="6" t="n">
        <v>4</v>
      </c>
      <c r="C248" s="6" t="inlineStr">
        <is>
          <t>Fix every failure, then pin the property itself — not only the instance — with a test that fails if a new site violates it.</t>
        </is>
      </c>
      <c r="D248" s="6" t="inlineStr">
        <is>
          <t>A two-way contract test is what stops the property decaying in a later release.</t>
        </is>
      </c>
      <c r="E248" s="6" t="inlineStr">
        <is>
          <t>Property-level assertions, for example the permission-to-enforcement-site contract.</t>
        </is>
      </c>
    </row>
    <row r="249">
      <c r="A249" s="6" t="n"/>
      <c r="B249" s="6" t="n">
        <v>5</v>
      </c>
      <c r="C249" s="6" t="inlineStr">
        <is>
          <t>State what was deliberately left alone as an accepted observation with its own id.</t>
        </is>
      </c>
      <c r="D249" s="6" t="inlineStr">
        <is>
          <t>OBS-SD4 through OBS-SD11 are accepted trade-offs, not forgotten work, and the distinction has to be written.</t>
        </is>
      </c>
      <c r="E249" s="6" t="inlineStr">
        <is>
          <t>OBS-SDnn entries.</t>
        </is>
      </c>
    </row>
    <row r="250">
      <c r="A250" s="6" t="n"/>
      <c r="B250" s="6" t="n">
        <v>6</v>
      </c>
      <c r="C250" s="6" t="inlineStr">
        <is>
          <t>Rerun the gate, release, and carry the lesson into RAID so the next session inherits it.</t>
        </is>
      </c>
      <c r="D250" s="6" t="inlineStr">
        <is>
          <t>R-S13, R-S14, R-S15 and R-S16 each exist because an audit found a class of mistake, not a single one.</t>
        </is>
      </c>
      <c r="E250" s="6" t="inlineStr">
        <is>
          <t>RAID entry plus the released version.</t>
        </is>
      </c>
    </row>
    <row r="251">
      <c r="A251" s="15" t="n"/>
      <c r="B251" s="15" t="n">
        <v>7</v>
      </c>
      <c r="C251" s="15" t="inlineStr">
        <is>
          <t>RELEASE-SPECIFIC: Lifecycle hooks and the retention scheduler wired.</t>
        </is>
      </c>
      <c r="D251" s="15" t="inlineStr">
        <is>
          <t>Install and uninstall recorded nothing, and the retention sweep built in session 19 was never called in any deployment.</t>
        </is>
      </c>
      <c r="E251" s="15" t="inlineStr">
        <is>
          <t>F-060 and F-061 CRITICAL closed; hourly scheduler added</t>
        </is>
      </c>
    </row>
    <row r="252">
      <c r="A252" s="18" t="inlineStr">
        <is>
          <t>v037</t>
        </is>
      </c>
      <c r="B252" s="6" t="n">
        <v>1</v>
      </c>
      <c r="C252" s="6" t="inlineStr">
        <is>
          <t>Pick one property and state it as a question the whole product must answer, for example "can tenant A read tenant B data anywhere?"</t>
        </is>
      </c>
      <c r="D252" s="6" t="inlineStr">
        <is>
          <t>A broad audit finds nothing. A single sharp property finds the CRITICALs — F-026, F-029, F-030, F-046, F-047, F-061 and F-062 each came from one question.</t>
        </is>
      </c>
      <c r="E252" s="6" t="inlineStr">
        <is>
          <t>The audit question, written down.</t>
        </is>
      </c>
    </row>
    <row r="253">
      <c r="A253" s="6" t="n"/>
      <c r="B253" s="6" t="n">
        <v>2</v>
      </c>
      <c r="C253" s="6" t="inlineStr">
        <is>
          <t>Enumerate every place in the product where that property could be violated, from the code rather than from memory.</t>
        </is>
      </c>
      <c r="D253" s="6" t="inlineStr">
        <is>
          <t>Memory audits what was recently touched; enumeration audits the product.</t>
        </is>
      </c>
      <c r="E253" s="6" t="inlineStr">
        <is>
          <t>A complete site list.</t>
        </is>
      </c>
    </row>
    <row r="254">
      <c r="A254" s="6" t="n"/>
      <c r="B254" s="6" t="n">
        <v>3</v>
      </c>
      <c r="C254" s="6" t="inlineStr">
        <is>
          <t>Test the property at each site, with the test driving a real request path wherever one exists.</t>
        </is>
      </c>
      <c r="D254" s="6" t="inlineStr">
        <is>
          <t>A correct function called with a wrong argument passes every unit test on both sides (F-041).</t>
        </is>
      </c>
      <c r="E254" s="6" t="inlineStr">
        <is>
          <t>Pass or fail per site.</t>
        </is>
      </c>
    </row>
    <row r="255">
      <c r="A255" s="6" t="n"/>
      <c r="B255" s="6" t="n">
        <v>4</v>
      </c>
      <c r="C255" s="6" t="inlineStr">
        <is>
          <t>Fix every failure, then pin the property itself — not only the instance — with a test that fails if a new site violates it.</t>
        </is>
      </c>
      <c r="D255" s="6" t="inlineStr">
        <is>
          <t>A two-way contract test is what stops the property decaying in a later release.</t>
        </is>
      </c>
      <c r="E255" s="6" t="inlineStr">
        <is>
          <t>Property-level assertions, for example the permission-to-enforcement-site contract.</t>
        </is>
      </c>
    </row>
    <row r="256">
      <c r="A256" s="6" t="n"/>
      <c r="B256" s="6" t="n">
        <v>5</v>
      </c>
      <c r="C256" s="6" t="inlineStr">
        <is>
          <t>State what was deliberately left alone as an accepted observation with its own id.</t>
        </is>
      </c>
      <c r="D256" s="6" t="inlineStr">
        <is>
          <t>OBS-SD4 through OBS-SD11 are accepted trade-offs, not forgotten work, and the distinction has to be written.</t>
        </is>
      </c>
      <c r="E256" s="6" t="inlineStr">
        <is>
          <t>OBS-SDnn entries.</t>
        </is>
      </c>
    </row>
    <row r="257">
      <c r="A257" s="6" t="n"/>
      <c r="B257" s="6" t="n">
        <v>6</v>
      </c>
      <c r="C257" s="6" t="inlineStr">
        <is>
          <t>Rerun the gate, release, and carry the lesson into RAID so the next session inherits it.</t>
        </is>
      </c>
      <c r="D257" s="6" t="inlineStr">
        <is>
          <t>R-S13, R-S14, R-S15 and R-S16 each exist because an audit found a class of mistake, not a single one.</t>
        </is>
      </c>
      <c r="E257" s="6" t="inlineStr">
        <is>
          <t>RAID entry plus the released version.</t>
        </is>
      </c>
    </row>
    <row r="258">
      <c r="A258" s="15" t="n"/>
      <c r="B258" s="15" t="n">
        <v>7</v>
      </c>
      <c r="C258" s="15" t="inlineStr">
        <is>
          <t>RELEASE-SPECIFIC: Runtime wiring audit of the shipped entry point.</t>
        </is>
      </c>
      <c r="D258" s="15" t="inlineStr">
        <is>
          <t>Modules were correct and their runtime construction was not: the entry point resolved every user to owner.</t>
        </is>
      </c>
      <c r="E258" s="15" t="inlineStr">
        <is>
          <t>F-062 CRITICAL, F-063 and F-064 closed with deny-safe fallbacks and startup warnings</t>
        </is>
      </c>
    </row>
    <row r="259">
      <c r="A259" s="18" t="inlineStr">
        <is>
          <t>v038</t>
        </is>
      </c>
      <c r="B259" s="6" t="n">
        <v>1</v>
      </c>
      <c r="C259" s="6" t="inlineStr">
        <is>
          <t>Pick one property and state it as a question the whole product must answer, for example "can tenant A read tenant B data anywhere?"</t>
        </is>
      </c>
      <c r="D259" s="6" t="inlineStr">
        <is>
          <t>A broad audit finds nothing. A single sharp property finds the CRITICALs — F-026, F-029, F-030, F-046, F-047, F-061 and F-062 each came from one question.</t>
        </is>
      </c>
      <c r="E259" s="6" t="inlineStr">
        <is>
          <t>The audit question, written down.</t>
        </is>
      </c>
    </row>
    <row r="260">
      <c r="A260" s="6" t="n"/>
      <c r="B260" s="6" t="n">
        <v>2</v>
      </c>
      <c r="C260" s="6" t="inlineStr">
        <is>
          <t>Enumerate every place in the product where that property could be violated, from the code rather than from memory.</t>
        </is>
      </c>
      <c r="D260" s="6" t="inlineStr">
        <is>
          <t>Memory audits what was recently touched; enumeration audits the product.</t>
        </is>
      </c>
      <c r="E260" s="6" t="inlineStr">
        <is>
          <t>A complete site list.</t>
        </is>
      </c>
    </row>
    <row r="261">
      <c r="A261" s="6" t="n"/>
      <c r="B261" s="6" t="n">
        <v>3</v>
      </c>
      <c r="C261" s="6" t="inlineStr">
        <is>
          <t>Test the property at each site, with the test driving a real request path wherever one exists.</t>
        </is>
      </c>
      <c r="D261" s="6" t="inlineStr">
        <is>
          <t>A correct function called with a wrong argument passes every unit test on both sides (F-041).</t>
        </is>
      </c>
      <c r="E261" s="6" t="inlineStr">
        <is>
          <t>Pass or fail per site.</t>
        </is>
      </c>
    </row>
    <row r="262">
      <c r="A262" s="6" t="n"/>
      <c r="B262" s="6" t="n">
        <v>4</v>
      </c>
      <c r="C262" s="6" t="inlineStr">
        <is>
          <t>Fix every failure, then pin the property itself — not only the instance — with a test that fails if a new site violates it.</t>
        </is>
      </c>
      <c r="D262" s="6" t="inlineStr">
        <is>
          <t>A two-way contract test is what stops the property decaying in a later release.</t>
        </is>
      </c>
      <c r="E262" s="6" t="inlineStr">
        <is>
          <t>Property-level assertions, for example the permission-to-enforcement-site contract.</t>
        </is>
      </c>
    </row>
    <row r="263">
      <c r="A263" s="6" t="n"/>
      <c r="B263" s="6" t="n">
        <v>5</v>
      </c>
      <c r="C263" s="6" t="inlineStr">
        <is>
          <t>State what was deliberately left alone as an accepted observation with its own id.</t>
        </is>
      </c>
      <c r="D263" s="6" t="inlineStr">
        <is>
          <t>OBS-SD4 through OBS-SD11 are accepted trade-offs, not forgotten work, and the distinction has to be written.</t>
        </is>
      </c>
      <c r="E263" s="6" t="inlineStr">
        <is>
          <t>OBS-SDnn entries.</t>
        </is>
      </c>
    </row>
    <row r="264">
      <c r="A264" s="6" t="n"/>
      <c r="B264" s="6" t="n">
        <v>6</v>
      </c>
      <c r="C264" s="6" t="inlineStr">
        <is>
          <t>Rerun the gate, release, and carry the lesson into RAID so the next session inherits it.</t>
        </is>
      </c>
      <c r="D264" s="6" t="inlineStr">
        <is>
          <t>R-S13, R-S14, R-S15 and R-S16 each exist because an audit found a class of mistake, not a single one.</t>
        </is>
      </c>
      <c r="E264" s="6" t="inlineStr">
        <is>
          <t>RAID entry plus the released version.</t>
        </is>
      </c>
    </row>
    <row r="265">
      <c r="A265" s="15" t="n"/>
      <c r="B265" s="15" t="n">
        <v>7</v>
      </c>
      <c r="C265" s="15" t="inlineStr">
        <is>
          <t>RELEASE-SPECIFIC: Identity, directory and seeding corrections.</t>
        </is>
      </c>
      <c r="D265" s="15" t="inlineStr">
        <is>
          <t>Notification addresses were synthesised at our own domain, the Graph directory could never be enabled, and install-count seeding was never wired.</t>
        </is>
      </c>
      <c r="E265" s="15" t="inlineStr">
        <is>
          <t>F-065, F-066 and F-067 closed</t>
        </is>
      </c>
    </row>
    <row r="266">
      <c r="A266" s="18" t="inlineStr">
        <is>
          <t>v039</t>
        </is>
      </c>
      <c r="B266" s="6" t="n">
        <v>1</v>
      </c>
      <c r="C266" s="6" t="inlineStr">
        <is>
          <t>Pick one property and state it as a question the whole product must answer, for example "can tenant A read tenant B data anywhere?"</t>
        </is>
      </c>
      <c r="D266" s="6" t="inlineStr">
        <is>
          <t>A broad audit finds nothing. A single sharp property finds the CRITICALs — F-026, F-029, F-030, F-046, F-047, F-061 and F-062 each came from one question.</t>
        </is>
      </c>
      <c r="E266" s="6" t="inlineStr">
        <is>
          <t>The audit question, written down.</t>
        </is>
      </c>
    </row>
    <row r="267">
      <c r="A267" s="6" t="n"/>
      <c r="B267" s="6" t="n">
        <v>2</v>
      </c>
      <c r="C267" s="6" t="inlineStr">
        <is>
          <t>Enumerate every place in the product where that property could be violated, from the code rather than from memory.</t>
        </is>
      </c>
      <c r="D267" s="6" t="inlineStr">
        <is>
          <t>Memory audits what was recently touched; enumeration audits the product.</t>
        </is>
      </c>
      <c r="E267" s="6" t="inlineStr">
        <is>
          <t>A complete site list.</t>
        </is>
      </c>
    </row>
    <row r="268">
      <c r="A268" s="6" t="n"/>
      <c r="B268" s="6" t="n">
        <v>3</v>
      </c>
      <c r="C268" s="6" t="inlineStr">
        <is>
          <t>Test the property at each site, with the test driving a real request path wherever one exists.</t>
        </is>
      </c>
      <c r="D268" s="6" t="inlineStr">
        <is>
          <t>A correct function called with a wrong argument passes every unit test on both sides (F-041).</t>
        </is>
      </c>
      <c r="E268" s="6" t="inlineStr">
        <is>
          <t>Pass or fail per site.</t>
        </is>
      </c>
    </row>
    <row r="269">
      <c r="A269" s="6" t="n"/>
      <c r="B269" s="6" t="n">
        <v>4</v>
      </c>
      <c r="C269" s="6" t="inlineStr">
        <is>
          <t>Fix every failure, then pin the property itself — not only the instance — with a test that fails if a new site violates it.</t>
        </is>
      </c>
      <c r="D269" s="6" t="inlineStr">
        <is>
          <t>A two-way contract test is what stops the property decaying in a later release.</t>
        </is>
      </c>
      <c r="E269" s="6" t="inlineStr">
        <is>
          <t>Property-level assertions, for example the permission-to-enforcement-site contract.</t>
        </is>
      </c>
    </row>
    <row r="270">
      <c r="A270" s="6" t="n"/>
      <c r="B270" s="6" t="n">
        <v>5</v>
      </c>
      <c r="C270" s="6" t="inlineStr">
        <is>
          <t>State what was deliberately left alone as an accepted observation with its own id.</t>
        </is>
      </c>
      <c r="D270" s="6" t="inlineStr">
        <is>
          <t>OBS-SD4 through OBS-SD11 are accepted trade-offs, not forgotten work, and the distinction has to be written.</t>
        </is>
      </c>
      <c r="E270" s="6" t="inlineStr">
        <is>
          <t>OBS-SDnn entries.</t>
        </is>
      </c>
    </row>
    <row r="271">
      <c r="A271" s="6" t="n"/>
      <c r="B271" s="6" t="n">
        <v>6</v>
      </c>
      <c r="C271" s="6" t="inlineStr">
        <is>
          <t>Rerun the gate, release, and carry the lesson into RAID so the next session inherits it.</t>
        </is>
      </c>
      <c r="D271" s="6" t="inlineStr">
        <is>
          <t>R-S13, R-S14, R-S15 and R-S16 each exist because an audit found a class of mistake, not a single one.</t>
        </is>
      </c>
      <c r="E271" s="6" t="inlineStr">
        <is>
          <t>RAID entry plus the released version.</t>
        </is>
      </c>
    </row>
    <row r="272">
      <c r="A272" s="15" t="n"/>
      <c r="B272" s="15" t="n">
        <v>7</v>
      </c>
      <c r="C272" s="15" t="inlineStr">
        <is>
          <t>RELEASE-SPECIFIC: Verification that the previous session's fixes reached the runtime.</t>
        </is>
      </c>
      <c r="D272" s="15" t="inlineStr">
        <is>
          <t>F-067 had been reported fixed and was not. A fix that never reaches the observer is not a fix, and that needed checking explicitly.</t>
        </is>
      </c>
      <c r="E272" s="15" t="inlineStr">
        <is>
          <t>F-068, F-069, F-070 closed; OBS-SD11 made listAll contractual so decorators cannot drop it</t>
        </is>
      </c>
    </row>
    <row r="273">
      <c r="A273" s="18" t="inlineStr">
        <is>
          <t>v040</t>
        </is>
      </c>
      <c r="B273" s="6" t="n">
        <v>1</v>
      </c>
      <c r="C273" s="6" t="inlineStr">
        <is>
          <t>Freeze the scope: name the sessions whose code has never been reviewed, and read nothing else.</t>
        </is>
      </c>
      <c r="D273" s="6" t="inlineStr">
        <is>
          <t>A review with unbounded scope becomes a skim. New code is the least-reviewed code (R-S10).</t>
        </is>
      </c>
      <c r="E273" s="6" t="inlineStr">
        <is>
          <t>A named module list for the pass.</t>
        </is>
      </c>
    </row>
    <row r="274">
      <c r="A274" s="6" t="n"/>
      <c r="B274" s="6" t="n">
        <v>2</v>
      </c>
      <c r="C274" s="6" t="inlineStr">
        <is>
          <t>Read each module adversarially, asking what input would make it do the wrong thing, not whether it looks correct.</t>
        </is>
      </c>
      <c r="D274" s="6" t="inlineStr">
        <is>
          <t>Every defect found this way had a passing test over it already.</t>
        </is>
      </c>
      <c r="E274" s="6" t="inlineStr">
        <is>
          <t>A candidate defect list.</t>
        </is>
      </c>
    </row>
    <row r="275">
      <c r="A275" s="6" t="n"/>
      <c r="B275" s="6" t="n">
        <v>3</v>
      </c>
      <c r="C275" s="6" t="inlineStr">
        <is>
          <t>Reproduce each candidate as a failing test before touching the code.</t>
        </is>
      </c>
      <c r="D275" s="6" t="inlineStr">
        <is>
          <t>A defect without a failing test is an opinion, and a fix without one regresses silently.</t>
        </is>
      </c>
      <c r="E275" s="6" t="inlineStr">
        <is>
          <t>Failing tests, one per confirmed defect.</t>
        </is>
      </c>
    </row>
    <row r="276">
      <c r="A276" s="6" t="n"/>
      <c r="B276" s="6" t="n">
        <v>4</v>
      </c>
      <c r="C276" s="6" t="inlineStr">
        <is>
          <t>Fix, and keep the regression test pinned in a pass-specific suite so its origin stays visible.</t>
        </is>
      </c>
      <c r="D276" s="6" t="inlineStr">
        <is>
          <t>The suite name is the audit trail: tests/reviewPass4.test.ts says when and why the assertion exists.</t>
        </is>
      </c>
      <c r="E276" s="6" t="inlineStr">
        <is>
          <t>F-nnn entries fixed with named regressions.</t>
        </is>
      </c>
    </row>
    <row r="277">
      <c r="A277" s="6" t="n"/>
      <c r="B277" s="6" t="n">
        <v>5</v>
      </c>
      <c r="C277" s="6" t="inlineStr">
        <is>
          <t>Record anything not fixed as an explicit open finding with a disposition owner, rather than fixing it quietly or dropping it.</t>
        </is>
      </c>
      <c r="D277" s="6" t="inlineStr">
        <is>
          <t>F-007 and F-008 stayed open for weeks under their own ids. That is honest; silence would not have been.</t>
        </is>
      </c>
      <c r="E277" s="6" t="inlineStr">
        <is>
          <t>Open findings with owners.</t>
        </is>
      </c>
    </row>
    <row r="278">
      <c r="A278" s="6" t="n"/>
      <c r="B278" s="6" t="n">
        <v>6</v>
      </c>
      <c r="C278" s="6" t="inlineStr">
        <is>
          <t>Rerun the full gate and release, with the defect count in the release note.</t>
        </is>
      </c>
      <c r="D278" s="6" t="inlineStr">
        <is>
          <t>The count belongs in the note because a release that fixed six defects is not the same artefact as one that fixed none.</t>
        </is>
      </c>
      <c r="E278" s="6" t="inlineStr">
        <is>
          <t>Released version with the findings recorded.</t>
        </is>
      </c>
    </row>
    <row r="279">
      <c r="A279" s="15" t="n"/>
      <c r="B279" s="15" t="n">
        <v>7</v>
      </c>
      <c r="C279" s="15" t="inlineStr">
        <is>
          <t>RELEASE-SPECIFIC: Independent review V001 actioned in full: 47-story S13-S20 remediation programme.</t>
        </is>
      </c>
      <c r="D279" s="15" t="inlineStr">
        <is>
          <t>An external reviewer rated identity, durability, scale and compliance as Absent while the tracker showed a code-complete product at 100% coverage. Three CRITICAL defects meant the shipped entry point had no working authentication and no durable store.</t>
        </is>
      </c>
      <c r="E279" s="15" t="inlineStr">
        <is>
          <t>36 of 47 stories built; 3 CRITICALs closed; real-Postgres tier and backup drill run for real; 68 suites / 555 tests at 100%; F-071..F-074 recorded</t>
        </is>
      </c>
    </row>
  </sheetData>
  <pageMargins left="0.75" right="0.75" top="1" bottom="1" header="0.5" footer="0.5"/>
</worksheet>
</file>

<file path=xl/worksheets/sheet8.xml><?xml version="1.0" encoding="utf-8"?>
<worksheet xmlns="http://schemas.openxmlformats.org/spreadsheetml/2006/main">
  <sheetPr>
    <tabColor rgb="FFED7D31"/>
    <outlinePr summaryBelow="1" summaryRight="1"/>
    <pageSetUpPr/>
  </sheetPr>
  <dimension ref="A1:O203"/>
  <sheetViews>
    <sheetView showGridLines="0" workbookViewId="0">
      <pane ySplit="4" topLeftCell="A5" activePane="bottomLeft" state="frozen"/>
      <selection pane="bottomLeft" activeCell="A1" sqref="A1"/>
    </sheetView>
  </sheetViews>
  <sheetFormatPr baseColWidth="8" defaultRowHeight="15"/>
  <cols>
    <col width="10" customWidth="1" min="1" max="1"/>
    <col width="9" customWidth="1" min="2" max="2"/>
    <col width="20" customWidth="1" min="3" max="3"/>
    <col width="52" customWidth="1" min="4" max="4"/>
    <col width="9" customWidth="1" min="5" max="5"/>
    <col width="9" customWidth="1" min="6" max="6"/>
    <col width="30" customWidth="1" min="7" max="7"/>
    <col width="72" customWidth="1" min="8" max="8"/>
    <col width="78" customWidth="1" min="9" max="9"/>
    <col width="34" customWidth="1" min="10" max="10"/>
    <col width="22" customWidth="1" min="11" max="11"/>
    <col width="11" customWidth="1" min="12" max="12"/>
    <col width="34" customWidth="1" min="13" max="13"/>
    <col width="12" customWidth="1" min="14" max="14"/>
    <col width="12" customWidth="1" min="15" max="15"/>
  </cols>
  <sheetData>
    <row r="1">
      <c r="A1" s="7" t="inlineStr">
        <is>
          <t>MANUAL TEST CASES — 199 cases across 41 releases, positive and negative</t>
        </is>
      </c>
      <c r="B1" s="2" t="n"/>
      <c r="C1" s="2" t="n"/>
      <c r="D1" s="2" t="n"/>
      <c r="E1" s="2" t="n"/>
      <c r="F1" s="2" t="n"/>
      <c r="G1" s="2" t="n"/>
      <c r="H1" s="2" t="n"/>
      <c r="I1" s="2" t="n"/>
      <c r="J1" s="2" t="n"/>
      <c r="K1" s="2" t="n"/>
      <c r="L1" s="2" t="n"/>
      <c r="M1" s="2" t="n"/>
      <c r="N1" s="2" t="n"/>
      <c r="O1" s="2" t="n"/>
    </row>
    <row r="2" ht="58" customHeight="1">
      <c r="A2" s="8" t="inlineStr">
        <is>
          <t>HOW TO USE THIS SHEET — Filter column B to test one release, or column J to find what is executable today. Work the steps in column G in order and compare with column H. Fill columns L-O as you go; leave H alone. A case whose Executable column says "No" cannot be run from a sandbox and the reason is stated — record it as Blocked rather than Pass.</t>
        </is>
      </c>
    </row>
    <row r="4">
      <c r="A4" s="3" t="inlineStr">
        <is>
          <t>Case id</t>
        </is>
      </c>
      <c r="B4" s="3" t="inlineStr">
        <is>
          <t>Release</t>
        </is>
      </c>
      <c r="C4" s="3" t="inlineStr">
        <is>
          <t>Covers (story / finding)</t>
        </is>
      </c>
      <c r="D4" s="3" t="inlineStr">
        <is>
          <t>Test case name</t>
        </is>
      </c>
      <c r="E4" s="3" t="inlineStr">
        <is>
          <t>Type</t>
        </is>
      </c>
      <c r="F4" s="3" t="inlineStr">
        <is>
          <t>Priority</t>
        </is>
      </c>
      <c r="G4" s="3" t="inlineStr">
        <is>
          <t>Preconditions</t>
        </is>
      </c>
      <c r="H4" s="3" t="inlineStr">
        <is>
          <t>Test steps (in order)</t>
        </is>
      </c>
      <c r="I4" s="3" t="inlineStr">
        <is>
          <t>Expected result</t>
        </is>
      </c>
      <c r="J4" s="3" t="inlineStr">
        <is>
          <t>Automated evidence</t>
        </is>
      </c>
      <c r="K4" s="3" t="inlineStr">
        <is>
          <t>Executable now</t>
        </is>
      </c>
      <c r="L4" s="3" t="inlineStr">
        <is>
          <t>Status</t>
        </is>
      </c>
      <c r="M4" s="3" t="inlineStr">
        <is>
          <t>Actual result</t>
        </is>
      </c>
      <c r="N4" s="3" t="inlineStr">
        <is>
          <t>Tester</t>
        </is>
      </c>
      <c r="O4" s="3" t="inlineStr">
        <is>
          <t>Date run</t>
        </is>
      </c>
    </row>
    <row r="5">
      <c r="A5" s="10" t="inlineStr">
        <is>
          <t>TC-001-01</t>
        </is>
      </c>
      <c r="B5" s="4" t="inlineStr">
        <is>
          <t>v001</t>
        </is>
      </c>
      <c r="C5" s="4" t="inlineStr">
        <is>
          <t>ST-051..056</t>
        </is>
      </c>
      <c r="D5" s="4" t="inlineStr">
        <is>
          <t>Install creates a tenant in the welcome state</t>
        </is>
      </c>
      <c r="E5" s="14" t="inlineStr">
        <is>
          <t>Positive</t>
        </is>
      </c>
      <c r="F5" s="4" t="inlineStr">
        <is>
          <t>High</t>
        </is>
      </c>
      <c r="G5" s="4" t="inlineStr">
        <is>
          <t>App not installed for tenant T1</t>
        </is>
      </c>
      <c r="H5" s="4" t="inlineStr">
        <is>
          <t>1. POST the Teams install webhook for tenant T1.
2. Read the tenant record.
3. Read the telemetry stream.</t>
        </is>
      </c>
      <c r="I5" s="4" t="inlineStr">
        <is>
          <t>Tenant T1 exists, state = welcome, install event recorded once with its source attribution.</t>
        </is>
      </c>
      <c r="J5" s="4" t="inlineStr">
        <is>
          <t>tests/install.test.ts</t>
        </is>
      </c>
      <c r="K5" s="14" t="inlineStr">
        <is>
          <t>Yes — sandbox</t>
        </is>
      </c>
      <c r="L5" s="16" t="inlineStr">
        <is>
          <t>Not run</t>
        </is>
      </c>
      <c r="M5" s="4" t="inlineStr"/>
      <c r="N5" s="4" t="inlineStr"/>
      <c r="O5" s="4" t="inlineStr"/>
    </row>
    <row r="6">
      <c r="A6" s="10" t="inlineStr">
        <is>
          <t>TC-001-02</t>
        </is>
      </c>
      <c r="B6" s="4" t="inlineStr">
        <is>
          <t>v001</t>
        </is>
      </c>
      <c r="C6" s="4" t="inlineStr">
        <is>
          <t>ST-051..056</t>
        </is>
      </c>
      <c r="D6" s="4" t="inlineStr">
        <is>
          <t>A repeated install webhook does not wipe the tenant</t>
        </is>
      </c>
      <c r="E6" s="17" t="inlineStr">
        <is>
          <t>Negative</t>
        </is>
      </c>
      <c r="F6" s="4" t="inlineStr">
        <is>
          <t>Critical</t>
        </is>
      </c>
      <c r="G6" s="4" t="inlineStr">
        <is>
          <t>Tenant T1 installed with 3 handovers</t>
        </is>
      </c>
      <c r="H6" s="4" t="inlineStr">
        <is>
          <t>1. POST the identical install webhook for T1 a second time.
2. List handovers for T1.</t>
        </is>
      </c>
      <c r="I6" s="4" t="inlineStr">
        <is>
          <t>The existing account is returned untouched, all 3 handovers remain, and one install_duplicate_ignored telemetry row is written. No data loss (F-002).</t>
        </is>
      </c>
      <c r="J6" s="4" t="inlineStr">
        <is>
          <t>tests/install.test.ts</t>
        </is>
      </c>
      <c r="K6" s="14" t="inlineStr">
        <is>
          <t>Yes — sandbox</t>
        </is>
      </c>
      <c r="L6" s="16" t="inlineStr">
        <is>
          <t>Not run</t>
        </is>
      </c>
      <c r="M6" s="4" t="inlineStr"/>
      <c r="N6" s="4" t="inlineStr"/>
      <c r="O6" s="4" t="inlineStr"/>
    </row>
    <row r="7">
      <c r="A7" s="10" t="inlineStr">
        <is>
          <t>TC-001-03</t>
        </is>
      </c>
      <c r="B7" s="4" t="inlineStr">
        <is>
          <t>v001</t>
        </is>
      </c>
      <c r="C7" s="4" t="inlineStr">
        <is>
          <t>ST-051..056</t>
        </is>
      </c>
      <c r="D7" s="4" t="inlineStr">
        <is>
          <t>Uninstall schedules deletion 30 days out rather than deleting immediately</t>
        </is>
      </c>
      <c r="E7" s="14" t="inlineStr">
        <is>
          <t>Positive</t>
        </is>
      </c>
      <c r="F7" s="4" t="inlineStr">
        <is>
          <t>High</t>
        </is>
      </c>
      <c r="G7" s="4" t="inlineStr">
        <is>
          <t>Tenant T1 installed</t>
        </is>
      </c>
      <c r="H7" s="4" t="inlineStr">
        <is>
          <t>1. POST the uninstall webhook for T1.
2. Read the deletion schedule.
3. Attempt to read T1 data.</t>
        </is>
      </c>
      <c r="I7" s="4" t="inlineStr">
        <is>
          <t>A purge is scheduled 30 days ahead, tokens are wiped, and the data is still restorable inside the window.</t>
        </is>
      </c>
      <c r="J7" s="4" t="inlineStr">
        <is>
          <t>tests/install.test.ts</t>
        </is>
      </c>
      <c r="K7" s="14" t="inlineStr">
        <is>
          <t>Yes — sandbox</t>
        </is>
      </c>
      <c r="L7" s="16" t="inlineStr">
        <is>
          <t>Not run</t>
        </is>
      </c>
      <c r="M7" s="4" t="inlineStr"/>
      <c r="N7" s="4" t="inlineStr"/>
      <c r="O7" s="4" t="inlineStr"/>
    </row>
    <row r="8">
      <c r="A8" s="10" t="inlineStr">
        <is>
          <t>TC-001-04</t>
        </is>
      </c>
      <c r="B8" s="4" t="inlineStr">
        <is>
          <t>v001</t>
        </is>
      </c>
      <c r="C8" s="4" t="inlineStr">
        <is>
          <t>ST-051..056</t>
        </is>
      </c>
      <c r="D8" s="4" t="inlineStr">
        <is>
          <t>Re-install inside the retention window restores the account</t>
        </is>
      </c>
      <c r="E8" s="14" t="inlineStr">
        <is>
          <t>Positive</t>
        </is>
      </c>
      <c r="F8" s="4" t="inlineStr">
        <is>
          <t>High</t>
        </is>
      </c>
      <c r="G8" s="4" t="inlineStr">
        <is>
          <t>T1 uninstalled 5 days ago</t>
        </is>
      </c>
      <c r="H8" s="4" t="inlineStr">
        <is>
          <t>1. POST the install webhook for T1.
2. List handovers for T1.</t>
        </is>
      </c>
      <c r="I8" s="4" t="inlineStr">
        <is>
          <t>The scheduled purge is cancelled and the prior data is visible again.</t>
        </is>
      </c>
      <c r="J8" s="4" t="inlineStr">
        <is>
          <t>tests/tenantLifecycle.test.ts</t>
        </is>
      </c>
      <c r="K8" s="14" t="inlineStr">
        <is>
          <t>Yes — sandbox</t>
        </is>
      </c>
      <c r="L8" s="16" t="inlineStr">
        <is>
          <t>Not run</t>
        </is>
      </c>
      <c r="M8" s="4" t="inlineStr"/>
      <c r="N8" s="4" t="inlineStr"/>
      <c r="O8" s="4" t="inlineStr"/>
    </row>
    <row r="9">
      <c r="A9" s="10" t="inlineStr">
        <is>
          <t>TC-001-05</t>
        </is>
      </c>
      <c r="B9" s="4" t="inlineStr">
        <is>
          <t>v001</t>
        </is>
      </c>
      <c r="C9" s="4" t="inlineStr">
        <is>
          <t>ST-051..056</t>
        </is>
      </c>
      <c r="D9" s="4" t="inlineStr">
        <is>
          <t>A rotated platform token is refreshed rather than failing the call</t>
        </is>
      </c>
      <c r="E9" s="14" t="inlineStr">
        <is>
          <t>Positive</t>
        </is>
      </c>
      <c r="F9" s="4" t="inlineStr">
        <is>
          <t>Medium</t>
        </is>
      </c>
      <c r="G9" s="4" t="inlineStr">
        <is>
          <t>Token store holds a stale token</t>
        </is>
      </c>
      <c r="H9" s="4" t="inlineStr">
        <is>
          <t>1. Force the gateway to make a call with a stale token.
2. Observe the retry.</t>
        </is>
      </c>
      <c r="I9" s="4" t="inlineStr">
        <is>
          <t>The token is refreshed once and the call succeeds; no user-visible error.</t>
        </is>
      </c>
      <c r="J9" s="4" t="inlineStr">
        <is>
          <t>tests/platformGateway.test.ts</t>
        </is>
      </c>
      <c r="K9" s="14" t="inlineStr">
        <is>
          <t>Yes — sandbox</t>
        </is>
      </c>
      <c r="L9" s="16" t="inlineStr">
        <is>
          <t>Not run</t>
        </is>
      </c>
      <c r="M9" s="4" t="inlineStr"/>
      <c r="N9" s="4" t="inlineStr"/>
      <c r="O9" s="4" t="inlineStr"/>
    </row>
    <row r="10">
      <c r="A10" s="10" t="inlineStr">
        <is>
          <t>TC-002-01</t>
        </is>
      </c>
      <c r="B10" s="4" t="inlineStr">
        <is>
          <t>v002</t>
        </is>
      </c>
      <c r="C10" s="4" t="inlineStr">
        <is>
          <t>ST-093, LC-2</t>
        </is>
      </c>
      <c r="D10" s="4" t="inlineStr">
        <is>
          <t>The app package validates against the store manifest rules</t>
        </is>
      </c>
      <c r="E10" s="14" t="inlineStr">
        <is>
          <t>Positive</t>
        </is>
      </c>
      <c r="F10" s="4" t="inlineStr">
        <is>
          <t>High</t>
        </is>
      </c>
      <c r="G10" s="4" t="inlineStr">
        <is>
          <t>Repo built</t>
        </is>
      </c>
      <c r="H10" s="4" t="inlineStr">
        <is>
          <t>1. Run npm run package with all substitution values supplied.
2. Unzip the produced archive.</t>
        </is>
      </c>
      <c r="I10" s="4" t="inlineStr">
        <is>
          <t>manifest.json, both icons and the localisation file sit at the archive root; schema and size rules pass.</t>
        </is>
      </c>
      <c r="J10" s="4" t="inlineStr">
        <is>
          <t>tests/packageApp.test.ts</t>
        </is>
      </c>
      <c r="K10" s="14" t="inlineStr">
        <is>
          <t>Yes — sandbox</t>
        </is>
      </c>
      <c r="L10" s="16" t="inlineStr">
        <is>
          <t>Not run</t>
        </is>
      </c>
      <c r="M10" s="4" t="inlineStr"/>
      <c r="N10" s="4" t="inlineStr"/>
      <c r="O10" s="4" t="inlineStr"/>
    </row>
    <row r="11">
      <c r="A11" s="10" t="inlineStr">
        <is>
          <t>TC-002-02</t>
        </is>
      </c>
      <c r="B11" s="4" t="inlineStr">
        <is>
          <t>v002</t>
        </is>
      </c>
      <c r="C11" s="4" t="inlineStr">
        <is>
          <t>ST-093, LC-2</t>
        </is>
      </c>
      <c r="D11" s="4" t="inlineStr">
        <is>
          <t>Packaging refuses to produce a package with a placeholder left in</t>
        </is>
      </c>
      <c r="E11" s="17" t="inlineStr">
        <is>
          <t>Negative</t>
        </is>
      </c>
      <c r="F11" s="4" t="inlineStr">
        <is>
          <t>High</t>
        </is>
      </c>
      <c r="G11" s="4" t="inlineStr">
        <is>
          <t>BASE_DOMAIN unset</t>
        </is>
      </c>
      <c r="H11" s="4" t="inlineStr">
        <is>
          <t>1. Run npm run package without BASE_DOMAIN.</t>
        </is>
      </c>
      <c r="I11" s="4" t="inlineStr">
        <is>
          <t>The command fails and names the missing value: "missing value for BASE_DOMAIN". No archive is produced.</t>
        </is>
      </c>
      <c r="J11" s="4" t="inlineStr">
        <is>
          <t>tests/packageApp.test.ts</t>
        </is>
      </c>
      <c r="K11" s="14" t="inlineStr">
        <is>
          <t>Yes — sandbox</t>
        </is>
      </c>
      <c r="L11" s="16" t="inlineStr">
        <is>
          <t>Not run</t>
        </is>
      </c>
      <c r="M11" s="4" t="inlineStr"/>
      <c r="N11" s="4" t="inlineStr"/>
      <c r="O11" s="4" t="inlineStr"/>
    </row>
    <row r="12">
      <c r="A12" s="10" t="inlineStr">
        <is>
          <t>TC-002-03</t>
        </is>
      </c>
      <c r="B12" s="4" t="inlineStr">
        <is>
          <t>v002</t>
        </is>
      </c>
      <c r="C12" s="4" t="inlineStr">
        <is>
          <t>ST-093, LC-2</t>
        </is>
      </c>
      <c r="D12" s="4" t="inlineStr">
        <is>
          <t>Typed config loader rejects a malformed environment</t>
        </is>
      </c>
      <c r="E12" s="17" t="inlineStr">
        <is>
          <t>Negative</t>
        </is>
      </c>
      <c r="F12" s="4" t="inlineStr">
        <is>
          <t>Medium</t>
        </is>
      </c>
      <c r="G12" s="4" t="inlineStr">
        <is>
          <t>None</t>
        </is>
      </c>
      <c r="H12" s="4" t="inlineStr">
        <is>
          <t>1. Set SHIFTDESK_BODY_LIMIT to "abc".
2. Start the process.</t>
        </is>
      </c>
      <c r="I12" s="4" t="inlineStr">
        <is>
          <t>Boot fails with CONFIG_INVALID naming the variable, rather than silently using a default.</t>
        </is>
      </c>
      <c r="J12" s="4" t="inlineStr">
        <is>
          <t>tests/config.test.ts</t>
        </is>
      </c>
      <c r="K12" s="14" t="inlineStr">
        <is>
          <t>Yes — sandbox</t>
        </is>
      </c>
      <c r="L12" s="16" t="inlineStr">
        <is>
          <t>Not run</t>
        </is>
      </c>
      <c r="M12" s="4" t="inlineStr"/>
      <c r="N12" s="4" t="inlineStr"/>
      <c r="O12" s="4" t="inlineStr"/>
    </row>
    <row r="13">
      <c r="A13" s="10" t="inlineStr">
        <is>
          <t>TC-003-01</t>
        </is>
      </c>
      <c r="B13" s="4" t="inlineStr">
        <is>
          <t>v003</t>
        </is>
      </c>
      <c r="C13" s="4" t="inlineStr">
        <is>
          <t>ST-088/090/092, LC-8</t>
        </is>
      </c>
      <c r="D13" s="4" t="inlineStr">
        <is>
          <t>The k6 harness runs the 5x profile and applies its thresholds</t>
        </is>
      </c>
      <c r="E13" s="14" t="inlineStr">
        <is>
          <t>Positive</t>
        </is>
      </c>
      <c r="F13" s="4" t="inlineStr">
        <is>
          <t>Medium</t>
        </is>
      </c>
      <c r="G13" s="4" t="inlineStr">
        <is>
          <t>k6 installed, target URL reachable</t>
        </is>
      </c>
      <c r="H13" s="4" t="inlineStr">
        <is>
          <t>1. Run the k6 sweep against a target.
2. Read the summary.</t>
        </is>
      </c>
      <c r="I13" s="4" t="inlineStr">
        <is>
          <t>The run reports api p95, bot p95 and failure rate against the declared thresholds and exits non-zero on breach.</t>
        </is>
      </c>
      <c r="J13" s="4" t="inlineStr">
        <is>
          <t>load/k6-load-sweep.js</t>
        </is>
      </c>
      <c r="K13" s="17" t="inlineStr">
        <is>
          <t>No — needs staging (SD219)</t>
        </is>
      </c>
      <c r="L13" s="16" t="inlineStr">
        <is>
          <t>Blocked</t>
        </is>
      </c>
      <c r="M13" s="4" t="inlineStr"/>
      <c r="N13" s="4" t="inlineStr"/>
      <c r="O13" s="4" t="inlineStr"/>
    </row>
    <row r="14">
      <c r="A14" s="10" t="inlineStr">
        <is>
          <t>TC-003-02</t>
        </is>
      </c>
      <c r="B14" s="4" t="inlineStr">
        <is>
          <t>v003</t>
        </is>
      </c>
      <c r="C14" s="4" t="inlineStr">
        <is>
          <t>ST-088/090/092, LC-8</t>
        </is>
      </c>
      <c r="D14" s="4" t="inlineStr">
        <is>
          <t>The backup drill fails when the restore target is not empty</t>
        </is>
      </c>
      <c r="E14" s="17" t="inlineStr">
        <is>
          <t>Negative</t>
        </is>
      </c>
      <c r="F14" s="4" t="inlineStr">
        <is>
          <t>High</t>
        </is>
      </c>
      <c r="G14" s="4" t="inlineStr">
        <is>
          <t>Restore database contains rows</t>
        </is>
      </c>
      <c r="H14" s="4" t="inlineStr">
        <is>
          <t>1. Point RESTORE_URL at a non-empty database.
2. Run npm run backup:drill.</t>
        </is>
      </c>
      <c r="I14" s="4" t="inlineStr">
        <is>
          <t>The drill refuses rather than restoring over existing data, and the report is not overwritten with a pass.</t>
        </is>
      </c>
      <c r="J14" s="4" t="inlineStr">
        <is>
          <t>ops/backup-restore-drill.sh</t>
        </is>
      </c>
      <c r="K14" s="14" t="inlineStr">
        <is>
          <t>Yes — sandbox</t>
        </is>
      </c>
      <c r="L14" s="16" t="inlineStr">
        <is>
          <t>Not run</t>
        </is>
      </c>
      <c r="M14" s="4" t="inlineStr"/>
      <c r="N14" s="4" t="inlineStr"/>
      <c r="O14" s="4" t="inlineStr"/>
    </row>
    <row r="15">
      <c r="A15" s="10" t="inlineStr">
        <is>
          <t>TC-003-03</t>
        </is>
      </c>
      <c r="B15" s="4" t="inlineStr">
        <is>
          <t>v003</t>
        </is>
      </c>
      <c r="C15" s="4" t="inlineStr">
        <is>
          <t>ST-088/090/092, LC-8</t>
        </is>
      </c>
      <c r="D15" s="4" t="inlineStr">
        <is>
          <t>The deploy workflow requires an approval before switching traffic</t>
        </is>
      </c>
      <c r="E15" s="14" t="inlineStr">
        <is>
          <t>Positive</t>
        </is>
      </c>
      <c r="F15" s="4" t="inlineStr">
        <is>
          <t>Medium</t>
        </is>
      </c>
      <c r="G15" s="4" t="inlineStr">
        <is>
          <t>Workflow file present</t>
        </is>
      </c>
      <c r="H15" s="4" t="inlineStr">
        <is>
          <t>1. Inspect the deploy workflow job graph.</t>
        </is>
      </c>
      <c r="I15" s="4" t="inlineStr">
        <is>
          <t>The traffic switch is gated on an approval environment and runs after migrations.</t>
        </is>
      </c>
      <c r="J15" s="4" t="inlineStr">
        <is>
          <t>.github/workflows/deploy.yml</t>
        </is>
      </c>
      <c r="K15" s="14" t="inlineStr">
        <is>
          <t>Yes — sandbox</t>
        </is>
      </c>
      <c r="L15" s="16" t="inlineStr">
        <is>
          <t>Not run</t>
        </is>
      </c>
      <c r="M15" s="4" t="inlineStr"/>
      <c r="N15" s="4" t="inlineStr"/>
      <c r="O15" s="4" t="inlineStr"/>
    </row>
    <row r="16">
      <c r="A16" s="10" t="inlineStr">
        <is>
          <t>TC-004-01</t>
        </is>
      </c>
      <c r="B16" s="4" t="inlineStr">
        <is>
          <t>v004</t>
        </is>
      </c>
      <c r="C16" s="4" t="inlineStr">
        <is>
          <t>F-001..F-006</t>
        </is>
      </c>
      <c r="D16" s="4" t="inlineStr">
        <is>
          <t>A recovered payment returns a read-only account to active</t>
        </is>
      </c>
      <c r="E16" s="14" t="inlineStr">
        <is>
          <t>Positive</t>
        </is>
      </c>
      <c r="F16" s="4" t="inlineStr">
        <is>
          <t>Critical</t>
        </is>
      </c>
      <c r="G16" s="4" t="inlineStr">
        <is>
          <t>Tenant in read_only after 3 dunning notices</t>
        </is>
      </c>
      <c r="H16" s="4" t="inlineStr">
        <is>
          <t>1. Call paymentRecovered() for the tenant.
2. Attempt a write.
3. Read the dunning counter.</t>
        </is>
      </c>
      <c r="I16" s="4" t="inlineStr">
        <is>
          <t>State returns to active, the write succeeds, and the dunning counter and grace start are reset (F-001).</t>
        </is>
      </c>
      <c r="J16" s="4" t="inlineStr">
        <is>
          <t>tests/billing.test.ts</t>
        </is>
      </c>
      <c r="K16" s="14" t="inlineStr">
        <is>
          <t>Yes — sandbox</t>
        </is>
      </c>
      <c r="L16" s="16" t="inlineStr">
        <is>
          <t>Not run</t>
        </is>
      </c>
      <c r="M16" s="4" t="inlineStr"/>
      <c r="N16" s="4" t="inlineStr"/>
      <c r="O16" s="4" t="inlineStr"/>
    </row>
    <row r="17">
      <c r="A17" s="10" t="inlineStr">
        <is>
          <t>TC-004-02</t>
        </is>
      </c>
      <c r="B17" s="4" t="inlineStr">
        <is>
          <t>v004</t>
        </is>
      </c>
      <c r="C17" s="4" t="inlineStr">
        <is>
          <t>F-001..F-006</t>
        </is>
      </c>
      <c r="D17" s="4" t="inlineStr">
        <is>
          <t>An approval of zero or a negative amount is refused</t>
        </is>
      </c>
      <c r="E17" s="17" t="inlineStr">
        <is>
          <t>Negative</t>
        </is>
      </c>
      <c r="F17" s="4" t="inlineStr">
        <is>
          <t>High</t>
        </is>
      </c>
      <c r="G17" s="4" t="inlineStr">
        <is>
          <t>Approval policy with threshold 100</t>
        </is>
      </c>
      <c r="H17" s="4" t="inlineStr">
        <is>
          <t>1. Submit an approval request for amount 0.
2. Submit one for -50.</t>
        </is>
      </c>
      <c r="I17" s="4" t="inlineStr">
        <is>
          <t>Both are refused with AMOUNT_INVALID; neither is auto-approved (F-005).</t>
        </is>
      </c>
      <c r="J17" s="4" t="inlineStr">
        <is>
          <t>tests/reviewFixes.test.ts</t>
        </is>
      </c>
      <c r="K17" s="14" t="inlineStr">
        <is>
          <t>Yes — sandbox</t>
        </is>
      </c>
      <c r="L17" s="16" t="inlineStr">
        <is>
          <t>Not run</t>
        </is>
      </c>
      <c r="M17" s="4" t="inlineStr"/>
      <c r="N17" s="4" t="inlineStr"/>
      <c r="O17" s="4" t="inlineStr"/>
    </row>
    <row r="18">
      <c r="A18" s="10" t="inlineStr">
        <is>
          <t>TC-004-03</t>
        </is>
      </c>
      <c r="B18" s="4" t="inlineStr">
        <is>
          <t>v004</t>
        </is>
      </c>
      <c r="C18" s="4" t="inlineStr">
        <is>
          <t>F-001..F-006</t>
        </is>
      </c>
      <c r="D18" s="4" t="inlineStr">
        <is>
          <t>Retry backoff is actually applied between attempts</t>
        </is>
      </c>
      <c r="E18" s="14" t="inlineStr">
        <is>
          <t>Positive</t>
        </is>
      </c>
      <c r="F18" s="4" t="inlineStr">
        <is>
          <t>Medium</t>
        </is>
      </c>
      <c r="G18" s="4" t="inlineStr">
        <is>
          <t>Gateway configured with 3 attempts</t>
        </is>
      </c>
      <c r="H18" s="4" t="inlineStr">
        <is>
          <t>1. Force two failures then a success.
2. Record the injected sleeper calls.</t>
        </is>
      </c>
      <c r="I18" s="4" t="inlineStr">
        <is>
          <t>A delay is applied between attempts and none after the final attempt (F-004).</t>
        </is>
      </c>
      <c r="J18" s="4" t="inlineStr">
        <is>
          <t>tests/platformGateway.test.ts</t>
        </is>
      </c>
      <c r="K18" s="14" t="inlineStr">
        <is>
          <t>Yes — sandbox</t>
        </is>
      </c>
      <c r="L18" s="16" t="inlineStr">
        <is>
          <t>Not run</t>
        </is>
      </c>
      <c r="M18" s="4" t="inlineStr"/>
      <c r="N18" s="4" t="inlineStr"/>
      <c r="O18" s="4" t="inlineStr"/>
    </row>
    <row r="19">
      <c r="A19" s="10" t="inlineStr">
        <is>
          <t>TC-004-04</t>
        </is>
      </c>
      <c r="B19" s="4" t="inlineStr">
        <is>
          <t>v004</t>
        </is>
      </c>
      <c r="C19" s="4" t="inlineStr">
        <is>
          <t>F-001..F-006</t>
        </is>
      </c>
      <c r="D19" s="4" t="inlineStr">
        <is>
          <t>Checklist CSV export survives commas and quotes in task text</t>
        </is>
      </c>
      <c r="E19" s="17" t="inlineStr">
        <is>
          <t>Negative</t>
        </is>
      </c>
      <c r="F19" s="4" t="inlineStr">
        <is>
          <t>Medium</t>
        </is>
      </c>
      <c r="G19" s="4" t="inlineStr">
        <is>
          <t>Checklist with a task named: Check "A", then B</t>
        </is>
      </c>
      <c r="H19" s="4" t="inlineStr">
        <is>
          <t>1. Export the checklist to CSV.
2. Re-import the exported file.</t>
        </is>
      </c>
      <c r="I19" s="4" t="inlineStr">
        <is>
          <t>Columns do not drift; the round trip preserves the text exactly (F-006, RFC-4180).</t>
        </is>
      </c>
      <c r="J19" s="4" t="inlineStr">
        <is>
          <t>tests/features.test.ts</t>
        </is>
      </c>
      <c r="K19" s="14" t="inlineStr">
        <is>
          <t>Yes — sandbox</t>
        </is>
      </c>
      <c r="L19" s="16" t="inlineStr">
        <is>
          <t>Not run</t>
        </is>
      </c>
      <c r="M19" s="4" t="inlineStr"/>
      <c r="N19" s="4" t="inlineStr"/>
      <c r="O19" s="4" t="inlineStr"/>
    </row>
    <row r="20">
      <c r="A20" s="10" t="inlineStr">
        <is>
          <t>TC-004-05</t>
        </is>
      </c>
      <c r="B20" s="4" t="inlineStr">
        <is>
          <t>v004</t>
        </is>
      </c>
      <c r="C20" s="4" t="inlineStr">
        <is>
          <t>F-001..F-006</t>
        </is>
      </c>
      <c r="D20" s="4" t="inlineStr">
        <is>
          <t>In-memory ledgers do not grow without bound</t>
        </is>
      </c>
      <c r="E20" s="17" t="inlineStr">
        <is>
          <t>Negative</t>
        </is>
      </c>
      <c r="F20" s="4" t="inlineStr">
        <is>
          <t>Medium</t>
        </is>
      </c>
      <c r="G20" s="4" t="inlineStr">
        <is>
          <t>None</t>
        </is>
      </c>
      <c r="H20" s="4" t="inlineStr">
        <is>
          <t>1. Emit 10,050 telemetry errors.
2. Read the error list length.</t>
        </is>
      </c>
      <c r="I20" s="4" t="inlineStr">
        <is>
          <t>The list is capped at 10,000 with the oldest dropped; the audit log is deliberately NOT capped (F-003).</t>
        </is>
      </c>
      <c r="J20" s="4" t="inlineStr">
        <is>
          <t>tests/telemetry.test.ts</t>
        </is>
      </c>
      <c r="K20" s="14" t="inlineStr">
        <is>
          <t>Yes — sandbox</t>
        </is>
      </c>
      <c r="L20" s="16" t="inlineStr">
        <is>
          <t>Not run</t>
        </is>
      </c>
      <c r="M20" s="4" t="inlineStr"/>
      <c r="N20" s="4" t="inlineStr"/>
      <c r="O20" s="4" t="inlineStr"/>
    </row>
    <row r="21">
      <c r="A21" s="10" t="inlineStr">
        <is>
          <t>TC-005-01</t>
        </is>
      </c>
      <c r="B21" s="4" t="inlineStr">
        <is>
          <t>v005</t>
        </is>
      </c>
      <c r="C21" s="4" t="inlineStr">
        <is>
          <t>F-010..F-013</t>
        </is>
      </c>
      <c r="D21" s="4" t="inlineStr">
        <is>
          <t>CSV import parses quoted fields containing commas</t>
        </is>
      </c>
      <c r="E21" s="17" t="inlineStr">
        <is>
          <t>Negative</t>
        </is>
      </c>
      <c r="F21" s="4" t="inlineStr">
        <is>
          <t>High</t>
        </is>
      </c>
      <c r="G21" s="4" t="inlineStr">
        <is>
          <t>None</t>
        </is>
      </c>
      <c r="H21" s="4" t="inlineStr">
        <is>
          <t>1. Import a CSV row: "Smith, John",Night,"Said ""all clear"""</t>
        </is>
      </c>
      <c r="I21" s="4" t="inlineStr">
        <is>
          <t>Three fields are parsed correctly; no column drift (F-010, RFC-4180 parser).</t>
        </is>
      </c>
      <c r="J21" s="4" t="inlineStr">
        <is>
          <t>tests/reviewPass2.test.ts</t>
        </is>
      </c>
      <c r="K21" s="14" t="inlineStr">
        <is>
          <t>Yes — sandbox</t>
        </is>
      </c>
      <c r="L21" s="16" t="inlineStr">
        <is>
          <t>Not run</t>
        </is>
      </c>
      <c r="M21" s="4" t="inlineStr"/>
      <c r="N21" s="4" t="inlineStr"/>
      <c r="O21" s="4" t="inlineStr"/>
    </row>
    <row r="22">
      <c r="A22" s="10" t="inlineStr">
        <is>
          <t>TC-005-02</t>
        </is>
      </c>
      <c r="B22" s="4" t="inlineStr">
        <is>
          <t>v005</t>
        </is>
      </c>
      <c r="C22" s="4" t="inlineStr">
        <is>
          <t>F-010..F-013</t>
        </is>
      </c>
      <c r="D22" s="4" t="inlineStr">
        <is>
          <t>Kudos cannot be given to yourself</t>
        </is>
      </c>
      <c r="E22" s="17" t="inlineStr">
        <is>
          <t>Negative</t>
        </is>
      </c>
      <c r="F22" s="4" t="inlineStr">
        <is>
          <t>Medium</t>
        </is>
      </c>
      <c r="G22" s="4" t="inlineStr">
        <is>
          <t>User U1 exists</t>
        </is>
      </c>
      <c r="H22" s="4" t="inlineStr">
        <is>
          <t>1. U1 posts kudos naming U1.</t>
        </is>
      </c>
      <c r="I22" s="4" t="inlineStr">
        <is>
          <t>Refused; the leaderboard is unchanged.</t>
        </is>
      </c>
      <c r="J22" s="4" t="inlineStr">
        <is>
          <t>tests/features.test.ts</t>
        </is>
      </c>
      <c r="K22" s="14" t="inlineStr">
        <is>
          <t>Yes — sandbox</t>
        </is>
      </c>
      <c r="L22" s="16" t="inlineStr">
        <is>
          <t>Not run</t>
        </is>
      </c>
      <c r="M22" s="4" t="inlineStr"/>
      <c r="N22" s="4" t="inlineStr"/>
      <c r="O22" s="4" t="inlineStr"/>
    </row>
    <row r="23">
      <c r="A23" s="10" t="inlineStr">
        <is>
          <t>TC-005-03</t>
        </is>
      </c>
      <c r="B23" s="4" t="inlineStr">
        <is>
          <t>v005</t>
        </is>
      </c>
      <c r="C23" s="4" t="inlineStr">
        <is>
          <t>F-010..F-013</t>
        </is>
      </c>
      <c r="D23" s="4" t="inlineStr">
        <is>
          <t>The leaderboard orders by count then name deterministically</t>
        </is>
      </c>
      <c r="E23" s="14" t="inlineStr">
        <is>
          <t>Positive</t>
        </is>
      </c>
      <c r="F23" s="4" t="inlineStr">
        <is>
          <t>Low</t>
        </is>
      </c>
      <c r="G23" s="4" t="inlineStr">
        <is>
          <t>Three users with two tied counts</t>
        </is>
      </c>
      <c r="H23" s="4" t="inlineStr">
        <is>
          <t>1. Read the leaderboard twice.</t>
        </is>
      </c>
      <c r="I23" s="4" t="inlineStr">
        <is>
          <t>Identical ordering both times; ties broken by name, not by map insertion order.</t>
        </is>
      </c>
      <c r="J23" s="4" t="inlineStr">
        <is>
          <t>tests/features.test.ts</t>
        </is>
      </c>
      <c r="K23" s="14" t="inlineStr">
        <is>
          <t>Yes — sandbox</t>
        </is>
      </c>
      <c r="L23" s="16" t="inlineStr">
        <is>
          <t>Not run</t>
        </is>
      </c>
      <c r="M23" s="4" t="inlineStr"/>
      <c r="N23" s="4" t="inlineStr"/>
      <c r="O23" s="4" t="inlineStr"/>
    </row>
    <row r="24">
      <c r="A24" s="10" t="inlineStr">
        <is>
          <t>TC-005-04</t>
        </is>
      </c>
      <c r="B24" s="4" t="inlineStr">
        <is>
          <t>v005</t>
        </is>
      </c>
      <c r="C24" s="4" t="inlineStr">
        <is>
          <t>F-010..F-013</t>
        </is>
      </c>
      <c r="D24" s="4" t="inlineStr">
        <is>
          <t>Coverage gate fails the build below 100%</t>
        </is>
      </c>
      <c r="E24" s="17" t="inlineStr">
        <is>
          <t>Negative</t>
        </is>
      </c>
      <c r="F24" s="4" t="inlineStr">
        <is>
          <t>High</t>
        </is>
      </c>
      <c r="G24" s="4" t="inlineStr">
        <is>
          <t>A line of src/ uncovered</t>
        </is>
      </c>
      <c r="H24" s="4" t="inlineStr">
        <is>
          <t>1. Delete an assertion so one branch is uncovered.
2. Run npx jest --ci.</t>
        </is>
      </c>
      <c r="I24" s="4" t="inlineStr">
        <is>
          <t>The run fails on coverageThreshold rather than passing with a warning (D13).</t>
        </is>
      </c>
      <c r="J24" s="4" t="inlineStr">
        <is>
          <t>jest.config.js</t>
        </is>
      </c>
      <c r="K24" s="14" t="inlineStr">
        <is>
          <t>Yes — sandbox</t>
        </is>
      </c>
      <c r="L24" s="16" t="inlineStr">
        <is>
          <t>Not run</t>
        </is>
      </c>
      <c r="M24" s="4" t="inlineStr"/>
      <c r="N24" s="4" t="inlineStr"/>
      <c r="O24" s="4" t="inlineStr"/>
    </row>
    <row r="25">
      <c r="A25" s="10" t="inlineStr">
        <is>
          <t>TC-006-01</t>
        </is>
      </c>
      <c r="B25" s="4" t="inlineStr">
        <is>
          <t>v006</t>
        </is>
      </c>
      <c r="C25" s="4" t="inlineStr">
        <is>
          <t>VER-SD01..08</t>
        </is>
      </c>
      <c r="D25" s="4" t="inlineStr">
        <is>
          <t>Requested RSC scopes match the published least-privilege document</t>
        </is>
      </c>
      <c r="E25" s="14" t="inlineStr">
        <is>
          <t>Positive</t>
        </is>
      </c>
      <c r="F25" s="4" t="inlineStr">
        <is>
          <t>High</t>
        </is>
      </c>
      <c r="G25" s="4" t="inlineStr">
        <is>
          <t>Manifest and scope doc present</t>
        </is>
      </c>
      <c r="H25" s="4" t="inlineStr">
        <is>
          <t>1. Read manifest resourceSpecific permissions.
2. Read docs/least-privilege-scopes.md.</t>
        </is>
      </c>
      <c r="I25" s="4" t="inlineStr">
        <is>
          <t>The two agree exactly, in both directions (VER-SD04 regression guard).</t>
        </is>
      </c>
      <c r="J25" s="4" t="inlineStr">
        <is>
          <t>tests/manifest.test.ts</t>
        </is>
      </c>
      <c r="K25" s="14" t="inlineStr">
        <is>
          <t>Yes — sandbox</t>
        </is>
      </c>
      <c r="L25" s="16" t="inlineStr">
        <is>
          <t>Not run</t>
        </is>
      </c>
      <c r="M25" s="4" t="inlineStr"/>
      <c r="N25" s="4" t="inlineStr"/>
      <c r="O25" s="4" t="inlineStr"/>
    </row>
    <row r="26">
      <c r="A26" s="10" t="inlineStr">
        <is>
          <t>TC-006-02</t>
        </is>
      </c>
      <c r="B26" s="4" t="inlineStr">
        <is>
          <t>v006</t>
        </is>
      </c>
      <c r="C26" s="4" t="inlineStr">
        <is>
          <t>VER-SD01..08</t>
        </is>
      </c>
      <c r="D26" s="4" t="inlineStr">
        <is>
          <t>No scope is requested that no file consumes</t>
        </is>
      </c>
      <c r="E26" s="17" t="inlineStr">
        <is>
          <t>Negative</t>
        </is>
      </c>
      <c r="F26" s="4" t="inlineStr">
        <is>
          <t>High</t>
        </is>
      </c>
      <c r="G26" s="4" t="inlineStr">
        <is>
          <t>None</t>
        </is>
      </c>
      <c r="H26" s="4" t="inlineStr">
        <is>
          <t>1. For each requested scope, locate its consumer file.</t>
        </is>
      </c>
      <c r="I26" s="4" t="inlineStr">
        <is>
          <t>Every scope has a named consumer; a scope without one fails the test (D-SD5 removed one such scope).</t>
        </is>
      </c>
      <c r="J26" s="4" t="inlineStr">
        <is>
          <t>tests/privacy.test.ts</t>
        </is>
      </c>
      <c r="K26" s="14" t="inlineStr">
        <is>
          <t>Yes — sandbox</t>
        </is>
      </c>
      <c r="L26" s="16" t="inlineStr">
        <is>
          <t>Not run</t>
        </is>
      </c>
      <c r="M26" s="4" t="inlineStr"/>
      <c r="N26" s="4" t="inlineStr"/>
      <c r="O26" s="4" t="inlineStr"/>
    </row>
    <row r="27">
      <c r="A27" s="10" t="inlineStr">
        <is>
          <t>TC-006-03</t>
        </is>
      </c>
      <c r="B27" s="4" t="inlineStr">
        <is>
          <t>v006</t>
        </is>
      </c>
      <c r="C27" s="4" t="inlineStr">
        <is>
          <t>VER-SD01..08</t>
        </is>
      </c>
      <c r="D27" s="4" t="inlineStr">
        <is>
          <t>The trust page does not name a permission the manifest does not request</t>
        </is>
      </c>
      <c r="E27" s="17" t="inlineStr">
        <is>
          <t>Negative</t>
        </is>
      </c>
      <c r="F27" s="4" t="inlineStr">
        <is>
          <t>High</t>
        </is>
      </c>
      <c r="G27" s="4" t="inlineStr">
        <is>
          <t>Trust page present</t>
        </is>
      </c>
      <c r="H27" s="4" t="inlineStr">
        <is>
          <t>1. Search the page for .Read.All and ChannelMessage.Send.</t>
        </is>
      </c>
      <c r="I27" s="4" t="inlineStr">
        <is>
          <t>Neither appears; every scope named on the page is in the manifest (VER-SD04).</t>
        </is>
      </c>
      <c r="J27" s="4" t="inlineStr">
        <is>
          <t>tests/reviewPack.test.ts</t>
        </is>
      </c>
      <c r="K27" s="14" t="inlineStr">
        <is>
          <t>Yes — sandbox</t>
        </is>
      </c>
      <c r="L27" s="16" t="inlineStr">
        <is>
          <t>Not run</t>
        </is>
      </c>
      <c r="M27" s="4" t="inlineStr"/>
      <c r="N27" s="4" t="inlineStr"/>
      <c r="O27" s="4" t="inlineStr"/>
    </row>
    <row r="28">
      <c r="A28" s="10" t="inlineStr">
        <is>
          <t>TC-007-01</t>
        </is>
      </c>
      <c r="B28" s="4" t="inlineStr">
        <is>
          <t>v007</t>
        </is>
      </c>
      <c r="C28" s="4" t="inlineStr">
        <is>
          <t>GAP-SD1/2/3</t>
        </is>
      </c>
      <c r="D28" s="4" t="inlineStr">
        <is>
          <t>Every static tab declared in the manifest has a page behind it</t>
        </is>
      </c>
      <c r="E28" s="14" t="inlineStr">
        <is>
          <t>Positive</t>
        </is>
      </c>
      <c r="F28" s="4" t="inlineStr">
        <is>
          <t>Critical</t>
        </is>
      </c>
      <c r="G28" s="4" t="inlineStr">
        <is>
          <t>Build completed</t>
        </is>
      </c>
      <c r="H28" s="4" t="inlineStr">
        <is>
          <t>1. List contentUrl values in the manifest.
2. Request each path from the running app.</t>
        </is>
      </c>
      <c r="I28" s="4" t="inlineStr">
        <is>
          <t>Each returns 200 with text/html; none 404s (GAP-SD1).</t>
        </is>
      </c>
      <c r="J28" s="4" t="inlineStr">
        <is>
          <t>tests/manifest.test.ts</t>
        </is>
      </c>
      <c r="K28" s="14" t="inlineStr">
        <is>
          <t>Yes — sandbox</t>
        </is>
      </c>
      <c r="L28" s="16" t="inlineStr">
        <is>
          <t>Not run</t>
        </is>
      </c>
      <c r="M28" s="4" t="inlineStr"/>
      <c r="N28" s="4" t="inlineStr"/>
      <c r="O28" s="4" t="inlineStr"/>
    </row>
    <row r="29">
      <c r="A29" s="10" t="inlineStr">
        <is>
          <t>TC-007-02</t>
        </is>
      </c>
      <c r="B29" s="4" t="inlineStr">
        <is>
          <t>v007</t>
        </is>
      </c>
      <c r="C29" s="4" t="inlineStr">
        <is>
          <t>GAP-SD1/2/3</t>
        </is>
      </c>
      <c r="D29" s="4" t="inlineStr">
        <is>
          <t>Every advertised bot command is answered by the router</t>
        </is>
      </c>
      <c r="E29" s="14" t="inlineStr">
        <is>
          <t>Positive</t>
        </is>
      </c>
      <c r="F29" s="4" t="inlineStr">
        <is>
          <t>High</t>
        </is>
      </c>
      <c r="G29" s="4" t="inlineStr">
        <is>
          <t>Bot running</t>
        </is>
      </c>
      <c r="H29" s="4" t="inlineStr">
        <is>
          <t>1. Send each command in the manifest commandLists.</t>
        </is>
      </c>
      <c r="I29" s="4" t="inlineStr">
        <is>
          <t>Each produces a reply; an unhandled advertised command fails the parity test (GAP-SD2).</t>
        </is>
      </c>
      <c r="J29" s="4" t="inlineStr">
        <is>
          <t>tests/manifest.test.ts</t>
        </is>
      </c>
      <c r="K29" s="14" t="inlineStr">
        <is>
          <t>Yes — sandbox</t>
        </is>
      </c>
      <c r="L29" s="16" t="inlineStr">
        <is>
          <t>Not run</t>
        </is>
      </c>
      <c r="M29" s="4" t="inlineStr"/>
      <c r="N29" s="4" t="inlineStr"/>
      <c r="O29" s="4" t="inlineStr"/>
    </row>
    <row r="30">
      <c r="A30" s="10" t="inlineStr">
        <is>
          <t>TC-007-03</t>
        </is>
      </c>
      <c r="B30" s="4" t="inlineStr">
        <is>
          <t>v007</t>
        </is>
      </c>
      <c r="C30" s="4" t="inlineStr">
        <is>
          <t>GAP-SD1/2/3</t>
        </is>
      </c>
      <c r="D30" s="4" t="inlineStr">
        <is>
          <t>An unknown bot command returns help rather than silence</t>
        </is>
      </c>
      <c r="E30" s="17" t="inlineStr">
        <is>
          <t>Negative</t>
        </is>
      </c>
      <c r="F30" s="4" t="inlineStr">
        <is>
          <t>Medium</t>
        </is>
      </c>
      <c r="G30" s="4" t="inlineStr">
        <is>
          <t>Bot running</t>
        </is>
      </c>
      <c r="H30" s="4" t="inlineStr">
        <is>
          <t>1. Send "xyzzy" to the bot.</t>
        </is>
      </c>
      <c r="I30" s="4" t="inlineStr">
        <is>
          <t>A help reply is returned; nothing is logged as an error.</t>
        </is>
      </c>
      <c r="J30" s="4" t="inlineStr">
        <is>
          <t>tests/botRouter.test.ts</t>
        </is>
      </c>
      <c r="K30" s="14" t="inlineStr">
        <is>
          <t>Yes — sandbox</t>
        </is>
      </c>
      <c r="L30" s="16" t="inlineStr">
        <is>
          <t>Not run</t>
        </is>
      </c>
      <c r="M30" s="4" t="inlineStr"/>
      <c r="N30" s="4" t="inlineStr"/>
      <c r="O30" s="4" t="inlineStr"/>
    </row>
    <row r="31">
      <c r="A31" s="10" t="inlineStr">
        <is>
          <t>TC-007-04</t>
        </is>
      </c>
      <c r="B31" s="4" t="inlineStr">
        <is>
          <t>v007</t>
        </is>
      </c>
      <c r="C31" s="4" t="inlineStr">
        <is>
          <t>GAP-SD1/2/3</t>
        </is>
      </c>
      <c r="D31" s="4" t="inlineStr">
        <is>
          <t>A command the router handles but the manifest omits fails the gate</t>
        </is>
      </c>
      <c r="E31" s="17" t="inlineStr">
        <is>
          <t>Negative</t>
        </is>
      </c>
      <c r="F31" s="4" t="inlineStr">
        <is>
          <t>High</t>
        </is>
      </c>
      <c r="G31" s="4" t="inlineStr">
        <is>
          <t>None</t>
        </is>
      </c>
      <c r="H31" s="4" t="inlineStr">
        <is>
          <t>1. Add a router command without adding it to the manifest.
2. Run the parity test.</t>
        </is>
      </c>
      <c r="I31" s="4" t="inlineStr">
        <is>
          <t>The test fails — parity is asserted in both directions, not one.</t>
        </is>
      </c>
      <c r="J31" s="4" t="inlineStr">
        <is>
          <t>tests/manifest.test.ts</t>
        </is>
      </c>
      <c r="K31" s="14" t="inlineStr">
        <is>
          <t>Yes — sandbox</t>
        </is>
      </c>
      <c r="L31" s="16" t="inlineStr">
        <is>
          <t>Not run</t>
        </is>
      </c>
      <c r="M31" s="4" t="inlineStr"/>
      <c r="N31" s="4" t="inlineStr"/>
      <c r="O31" s="4" t="inlineStr"/>
    </row>
    <row r="32">
      <c r="A32" s="10" t="inlineStr">
        <is>
          <t>TC-008-01</t>
        </is>
      </c>
      <c r="B32" s="4" t="inlineStr">
        <is>
          <t>v008</t>
        </is>
      </c>
      <c r="C32" s="4" t="inlineStr">
        <is>
          <t>F-014..F-019</t>
        </is>
      </c>
      <c r="D32" s="4" t="inlineStr">
        <is>
          <t>The tab API sends the SSO token it validated</t>
        </is>
      </c>
      <c r="E32" s="14" t="inlineStr">
        <is>
          <t>Positive</t>
        </is>
      </c>
      <c r="F32" s="4" t="inlineStr">
        <is>
          <t>Critical</t>
        </is>
      </c>
      <c r="G32" s="4" t="inlineStr">
        <is>
          <t>Tab loaded with a valid token</t>
        </is>
      </c>
      <c r="H32" s="4" t="inlineStr">
        <is>
          <t>1. Call a tab API endpoint from the client.
2. Inspect the outbound request headers.</t>
        </is>
      </c>
      <c r="I32" s="4" t="inlineStr">
        <is>
          <t>The Authorization header carries the validated token (F-016: it was validated then discarded).</t>
        </is>
      </c>
      <c r="J32" s="4" t="inlineStr">
        <is>
          <t>tests/tab.test.tsx</t>
        </is>
      </c>
      <c r="K32" s="14" t="inlineStr">
        <is>
          <t>Yes — sandbox</t>
        </is>
      </c>
      <c r="L32" s="16" t="inlineStr">
        <is>
          <t>Not run</t>
        </is>
      </c>
      <c r="M32" s="4" t="inlineStr"/>
      <c r="N32" s="4" t="inlineStr"/>
      <c r="O32" s="4" t="inlineStr"/>
    </row>
    <row r="33">
      <c r="A33" s="10" t="inlineStr">
        <is>
          <t>TC-008-02</t>
        </is>
      </c>
      <c r="B33" s="4" t="inlineStr">
        <is>
          <t>v008</t>
        </is>
      </c>
      <c r="C33" s="4" t="inlineStr">
        <is>
          <t>F-014..F-019</t>
        </is>
      </c>
      <c r="D33" s="4" t="inlineStr">
        <is>
          <t>An API call with no token is refused</t>
        </is>
      </c>
      <c r="E33" s="17" t="inlineStr">
        <is>
          <t>Negative</t>
        </is>
      </c>
      <c r="F33" s="4" t="inlineStr">
        <is>
          <t>Critical</t>
        </is>
      </c>
      <c r="G33" s="4" t="inlineStr">
        <is>
          <t>None</t>
        </is>
      </c>
      <c r="H33" s="4" t="inlineStr">
        <is>
          <t>1. Call the tab API with no Authorization header.</t>
        </is>
      </c>
      <c r="I33" s="4" t="inlineStr">
        <is>
          <t>401; no tenant is resolved and no data is returned.</t>
        </is>
      </c>
      <c r="J33" s="4" t="inlineStr">
        <is>
          <t>tests/server.test.ts</t>
        </is>
      </c>
      <c r="K33" s="14" t="inlineStr">
        <is>
          <t>Yes — sandbox</t>
        </is>
      </c>
      <c r="L33" s="16" t="inlineStr">
        <is>
          <t>Not run</t>
        </is>
      </c>
      <c r="M33" s="4" t="inlineStr"/>
      <c r="N33" s="4" t="inlineStr"/>
      <c r="O33" s="4" t="inlineStr"/>
    </row>
    <row r="34">
      <c r="A34" s="10" t="inlineStr">
        <is>
          <t>TC-008-03</t>
        </is>
      </c>
      <c r="B34" s="4" t="inlineStr">
        <is>
          <t>v008</t>
        </is>
      </c>
      <c r="C34" s="4" t="inlineStr">
        <is>
          <t>F-014..F-019</t>
        </is>
      </c>
      <c r="D34" s="4" t="inlineStr">
        <is>
          <t>An expired token is refused</t>
        </is>
      </c>
      <c r="E34" s="17" t="inlineStr">
        <is>
          <t>Negative</t>
        </is>
      </c>
      <c r="F34" s="4" t="inlineStr">
        <is>
          <t>Critical</t>
        </is>
      </c>
      <c r="G34" s="4" t="inlineStr">
        <is>
          <t>Token with exp in the past</t>
        </is>
      </c>
      <c r="H34" s="4" t="inlineStr">
        <is>
          <t>1. Call the API with the expired token.</t>
        </is>
      </c>
      <c r="I34" s="4" t="inlineStr">
        <is>
          <t>401 with an expiry reason counted in the rejection metrics.</t>
        </is>
      </c>
      <c r="J34" s="4" t="inlineStr">
        <is>
          <t>tests/trustBoundaries.test.ts</t>
        </is>
      </c>
      <c r="K34" s="14" t="inlineStr">
        <is>
          <t>Yes — sandbox</t>
        </is>
      </c>
      <c r="L34" s="16" t="inlineStr">
        <is>
          <t>Not run</t>
        </is>
      </c>
      <c r="M34" s="4" t="inlineStr"/>
      <c r="N34" s="4" t="inlineStr"/>
      <c r="O34" s="4" t="inlineStr"/>
    </row>
    <row r="35">
      <c r="A35" s="10" t="inlineStr">
        <is>
          <t>TC-008-04</t>
        </is>
      </c>
      <c r="B35" s="4" t="inlineStr">
        <is>
          <t>v008</t>
        </is>
      </c>
      <c r="C35" s="4" t="inlineStr">
        <is>
          <t>F-014..F-019</t>
        </is>
      </c>
      <c r="D35" s="4" t="inlineStr">
        <is>
          <t>A token for another audience is refused</t>
        </is>
      </c>
      <c r="E35" s="17" t="inlineStr">
        <is>
          <t>Negative</t>
        </is>
      </c>
      <c r="F35" s="4" t="inlineStr">
        <is>
          <t>Critical</t>
        </is>
      </c>
      <c r="G35" s="4" t="inlineStr">
        <is>
          <t>Token with wrong aud</t>
        </is>
      </c>
      <c r="H35" s="4" t="inlineStr">
        <is>
          <t>1. Call the API with it.</t>
        </is>
      </c>
      <c r="I35" s="4" t="inlineStr">
        <is>
          <t>401; the audience check runs before any tenant lookup.</t>
        </is>
      </c>
      <c r="J35" s="4" t="inlineStr">
        <is>
          <t>tests/ssoToken.test.ts</t>
        </is>
      </c>
      <c r="K35" s="14" t="inlineStr">
        <is>
          <t>Yes — sandbox</t>
        </is>
      </c>
      <c r="L35" s="16" t="inlineStr">
        <is>
          <t>Not run</t>
        </is>
      </c>
      <c r="M35" s="4" t="inlineStr"/>
      <c r="N35" s="4" t="inlineStr"/>
      <c r="O35" s="4" t="inlineStr"/>
    </row>
    <row r="36">
      <c r="A36" s="10" t="inlineStr">
        <is>
          <t>TC-009-01</t>
        </is>
      </c>
      <c r="B36" s="4" t="inlineStr">
        <is>
          <t>v009</t>
        </is>
      </c>
      <c r="C36" s="4" t="inlineStr">
        <is>
          <t>GAP-SD5</t>
        </is>
      </c>
      <c r="D36" s="4" t="inlineStr">
        <is>
          <t>The HTTP server serves every route the client calls</t>
        </is>
      </c>
      <c r="E36" s="14" t="inlineStr">
        <is>
          <t>Positive</t>
        </is>
      </c>
      <c r="F36" s="4" t="inlineStr">
        <is>
          <t>Critical</t>
        </is>
      </c>
      <c r="G36" s="4" t="inlineStr">
        <is>
          <t>Server running</t>
        </is>
      </c>
      <c r="H36" s="4" t="inlineStr">
        <is>
          <t>1. Enumerate client call sites.
2. Request each route.</t>
        </is>
      </c>
      <c r="I36" s="4" t="inlineStr">
        <is>
          <t>No client route is unserved (GAP-SD5, client-vs-server parity).</t>
        </is>
      </c>
      <c r="J36" s="4" t="inlineStr">
        <is>
          <t>tests/api.e2e.test.ts</t>
        </is>
      </c>
      <c r="K36" s="14" t="inlineStr">
        <is>
          <t>Yes — sandbox</t>
        </is>
      </c>
      <c r="L36" s="16" t="inlineStr">
        <is>
          <t>Not run</t>
        </is>
      </c>
      <c r="M36" s="4" t="inlineStr"/>
      <c r="N36" s="4" t="inlineStr"/>
      <c r="O36" s="4" t="inlineStr"/>
    </row>
    <row r="37">
      <c r="A37" s="10" t="inlineStr">
        <is>
          <t>TC-009-02</t>
        </is>
      </c>
      <c r="B37" s="4" t="inlineStr">
        <is>
          <t>v009</t>
        </is>
      </c>
      <c r="C37" s="4" t="inlineStr">
        <is>
          <t>GAP-SD5</t>
        </is>
      </c>
      <c r="D37" s="4" t="inlineStr">
        <is>
          <t>An unknown route returns 404 with headers, not a stack trace</t>
        </is>
      </c>
      <c r="E37" s="17" t="inlineStr">
        <is>
          <t>Negative</t>
        </is>
      </c>
      <c r="F37" s="4" t="inlineStr">
        <is>
          <t>High</t>
        </is>
      </c>
      <c r="G37" s="4" t="inlineStr">
        <is>
          <t>Server running</t>
        </is>
      </c>
      <c r="H37" s="4" t="inlineStr">
        <is>
          <t>1. GET /nope.</t>
        </is>
      </c>
      <c r="I37" s="4" t="inlineStr">
        <is>
          <t>404, security headers present, no internal detail in the body.</t>
        </is>
      </c>
      <c r="J37" s="4" t="inlineStr">
        <is>
          <t>tests/server.test.ts</t>
        </is>
      </c>
      <c r="K37" s="14" t="inlineStr">
        <is>
          <t>Yes — sandbox</t>
        </is>
      </c>
      <c r="L37" s="16" t="inlineStr">
        <is>
          <t>Not run</t>
        </is>
      </c>
      <c r="M37" s="4" t="inlineStr"/>
      <c r="N37" s="4" t="inlineStr"/>
      <c r="O37" s="4" t="inlineStr"/>
    </row>
    <row r="38">
      <c r="A38" s="10" t="inlineStr">
        <is>
          <t>TC-009-03</t>
        </is>
      </c>
      <c r="B38" s="4" t="inlineStr">
        <is>
          <t>v009</t>
        </is>
      </c>
      <c r="C38" s="4" t="inlineStr">
        <is>
          <t>GAP-SD5</t>
        </is>
      </c>
      <c r="D38" s="4" t="inlineStr">
        <is>
          <t>A malformed JSON body is rejected cleanly</t>
        </is>
      </c>
      <c r="E38" s="17" t="inlineStr">
        <is>
          <t>Negative</t>
        </is>
      </c>
      <c r="F38" s="4" t="inlineStr">
        <is>
          <t>High</t>
        </is>
      </c>
      <c r="G38" s="4" t="inlineStr">
        <is>
          <t>Server running</t>
        </is>
      </c>
      <c r="H38" s="4" t="inlineStr">
        <is>
          <t>1. POST "{" to an API route with a valid token.</t>
        </is>
      </c>
      <c r="I38" s="4" t="inlineStr">
        <is>
          <t>400; the process stays up and the request does not hang.</t>
        </is>
      </c>
      <c r="J38" s="4" t="inlineStr">
        <is>
          <t>tests/server.test.ts</t>
        </is>
      </c>
      <c r="K38" s="14" t="inlineStr">
        <is>
          <t>Yes — sandbox</t>
        </is>
      </c>
      <c r="L38" s="16" t="inlineStr">
        <is>
          <t>Not run</t>
        </is>
      </c>
      <c r="M38" s="4" t="inlineStr"/>
      <c r="N38" s="4" t="inlineStr"/>
      <c r="O38" s="4" t="inlineStr"/>
    </row>
    <row r="39">
      <c r="A39" s="10" t="inlineStr">
        <is>
          <t>TC-009-04</t>
        </is>
      </c>
      <c r="B39" s="4" t="inlineStr">
        <is>
          <t>v009</t>
        </is>
      </c>
      <c r="C39" s="4" t="inlineStr">
        <is>
          <t>GAP-SD5</t>
        </is>
      </c>
      <c r="D39" s="4" t="inlineStr">
        <is>
          <t>The health route reports dependency state</t>
        </is>
      </c>
      <c r="E39" s="14" t="inlineStr">
        <is>
          <t>Positive</t>
        </is>
      </c>
      <c r="F39" s="4" t="inlineStr">
        <is>
          <t>Medium</t>
        </is>
      </c>
      <c r="G39" s="4" t="inlineStr">
        <is>
          <t>Server running</t>
        </is>
      </c>
      <c r="H39" s="4" t="inlineStr">
        <is>
          <t>1. GET the health route.</t>
        </is>
      </c>
      <c r="I39" s="4" t="inlineStr">
        <is>
          <t>Status includes store reachability and degradation state rather than a bare OK.</t>
        </is>
      </c>
      <c r="J39" s="4" t="inlineStr">
        <is>
          <t>tests/server.test.ts</t>
        </is>
      </c>
      <c r="K39" s="14" t="inlineStr">
        <is>
          <t>Yes — sandbox</t>
        </is>
      </c>
      <c r="L39" s="16" t="inlineStr">
        <is>
          <t>Not run</t>
        </is>
      </c>
      <c r="M39" s="4" t="inlineStr"/>
      <c r="N39" s="4" t="inlineStr"/>
      <c r="O39" s="4" t="inlineStr"/>
    </row>
    <row r="40">
      <c r="A40" s="10" t="inlineStr">
        <is>
          <t>TC-010-01</t>
        </is>
      </c>
      <c r="B40" s="4" t="inlineStr">
        <is>
          <t>v010</t>
        </is>
      </c>
      <c r="C40" s="4" t="inlineStr">
        <is>
          <t>VER-SD09..12</t>
        </is>
      </c>
      <c r="D40" s="4" t="inlineStr">
        <is>
          <t>A valid Connector activity is acknowledged then answered out of band</t>
        </is>
      </c>
      <c r="E40" s="14" t="inlineStr">
        <is>
          <t>Positive</t>
        </is>
      </c>
      <c r="F40" s="4" t="inlineStr">
        <is>
          <t>Critical</t>
        </is>
      </c>
      <c r="G40" s="4" t="inlineStr">
        <is>
          <t>Bot endpoint running</t>
        </is>
      </c>
      <c r="H40" s="4" t="inlineStr">
        <is>
          <t>1. POST a valid message activity.
2. Observe the HTTP response and the outbound Connector call.</t>
        </is>
      </c>
      <c r="I40" s="4" t="inlineStr">
        <is>
          <t>HTTP 200 with an empty ack; the reply is sent as a separate Connector activity (VER-SD10).</t>
        </is>
      </c>
      <c r="J40" s="4" t="inlineStr">
        <is>
          <t>tests/botTransport.test.ts</t>
        </is>
      </c>
      <c r="K40" s="14" t="inlineStr">
        <is>
          <t>Yes — sandbox</t>
        </is>
      </c>
      <c r="L40" s="16" t="inlineStr">
        <is>
          <t>Not run</t>
        </is>
      </c>
      <c r="M40" s="4" t="inlineStr"/>
      <c r="N40" s="4" t="inlineStr"/>
      <c r="O40" s="4" t="inlineStr"/>
    </row>
    <row r="41">
      <c r="A41" s="10" t="inlineStr">
        <is>
          <t>TC-010-02</t>
        </is>
      </c>
      <c r="B41" s="4" t="inlineStr">
        <is>
          <t>v010</t>
        </is>
      </c>
      <c r="C41" s="4" t="inlineStr">
        <is>
          <t>VER-SD09..12</t>
        </is>
      </c>
      <c r="D41" s="4" t="inlineStr">
        <is>
          <t>An activity whose serviceUrl is not allowlisted is refused</t>
        </is>
      </c>
      <c r="E41" s="17" t="inlineStr">
        <is>
          <t>Negative</t>
        </is>
      </c>
      <c r="F41" s="4" t="inlineStr">
        <is>
          <t>Critical</t>
        </is>
      </c>
      <c r="G41" s="4" t="inlineStr">
        <is>
          <t>Bot endpoint running</t>
        </is>
      </c>
      <c r="H41" s="4" t="inlineStr">
        <is>
          <t>1. POST an activity with serviceUrl https://evil.example.</t>
        </is>
      </c>
      <c r="I41" s="4" t="inlineStr">
        <is>
          <t>Refused; nothing is posted outbound and the URL is never stored (VER-SD09).</t>
        </is>
      </c>
      <c r="J41" s="4" t="inlineStr">
        <is>
          <t>tests/botTransport.test.ts</t>
        </is>
      </c>
      <c r="K41" s="14" t="inlineStr">
        <is>
          <t>Yes — sandbox</t>
        </is>
      </c>
      <c r="L41" s="16" t="inlineStr">
        <is>
          <t>Not run</t>
        </is>
      </c>
      <c r="M41" s="4" t="inlineStr"/>
      <c r="N41" s="4" t="inlineStr"/>
      <c r="O41" s="4" t="inlineStr"/>
    </row>
    <row r="42">
      <c r="A42" s="10" t="inlineStr">
        <is>
          <t>TC-010-03</t>
        </is>
      </c>
      <c r="B42" s="4" t="inlineStr">
        <is>
          <t>v010</t>
        </is>
      </c>
      <c r="C42" s="4" t="inlineStr">
        <is>
          <t>VER-SD09..12</t>
        </is>
      </c>
      <c r="D42" s="4" t="inlineStr">
        <is>
          <t>conversationUpdate produces a welcome, not an error</t>
        </is>
      </c>
      <c r="E42" s="14" t="inlineStr">
        <is>
          <t>Positive</t>
        </is>
      </c>
      <c r="F42" s="4" t="inlineStr">
        <is>
          <t>Medium</t>
        </is>
      </c>
      <c r="G42" s="4" t="inlineStr">
        <is>
          <t>Bot added to a team</t>
        </is>
      </c>
      <c r="H42" s="4" t="inlineStr">
        <is>
          <t>1. POST a conversationUpdate membersAdded activity.</t>
        </is>
      </c>
      <c r="I42" s="4" t="inlineStr">
        <is>
          <t>A welcome message is sent once; repeat activities are deduped (VER-SD12).</t>
        </is>
      </c>
      <c r="J42" s="4" t="inlineStr">
        <is>
          <t>tests/botTransport.test.ts</t>
        </is>
      </c>
      <c r="K42" s="14" t="inlineStr">
        <is>
          <t>Yes — sandbox</t>
        </is>
      </c>
      <c r="L42" s="16" t="inlineStr">
        <is>
          <t>Not run</t>
        </is>
      </c>
      <c r="M42" s="4" t="inlineStr"/>
      <c r="N42" s="4" t="inlineStr"/>
      <c r="O42" s="4" t="inlineStr"/>
    </row>
    <row r="43">
      <c r="A43" s="10" t="inlineStr">
        <is>
          <t>TC-010-04</t>
        </is>
      </c>
      <c r="B43" s="4" t="inlineStr">
        <is>
          <t>v010</t>
        </is>
      </c>
      <c r="C43" s="4" t="inlineStr">
        <is>
          <t>VER-SD09..12</t>
        </is>
      </c>
      <c r="D43" s="4" t="inlineStr">
        <is>
          <t>The user is taken from the activity, not from a default</t>
        </is>
      </c>
      <c r="E43" s="14" t="inlineStr">
        <is>
          <t>Positive</t>
        </is>
      </c>
      <c r="F43" s="4" t="inlineStr">
        <is>
          <t>High</t>
        </is>
      </c>
      <c r="G43" s="4" t="inlineStr">
        <is>
          <t>Activity from user U9</t>
        </is>
      </c>
      <c r="H43" s="4" t="inlineStr">
        <is>
          <t>1. POST a message activity from U9.
2. Read the audit entry.</t>
        </is>
      </c>
      <c r="I43" s="4" t="inlineStr">
        <is>
          <t>The action is attributed to U9 (VER-SD11).</t>
        </is>
      </c>
      <c r="J43" s="4" t="inlineStr">
        <is>
          <t>tests/botTransport.test.ts</t>
        </is>
      </c>
      <c r="K43" s="14" t="inlineStr">
        <is>
          <t>Yes — sandbox</t>
        </is>
      </c>
      <c r="L43" s="16" t="inlineStr">
        <is>
          <t>Not run</t>
        </is>
      </c>
      <c r="M43" s="4" t="inlineStr"/>
      <c r="N43" s="4" t="inlineStr"/>
      <c r="O43" s="4" t="inlineStr"/>
    </row>
    <row r="44">
      <c r="A44" s="10" t="inlineStr">
        <is>
          <t>TC-011-01</t>
        </is>
      </c>
      <c r="B44" s="4" t="inlineStr">
        <is>
          <t>v011</t>
        </is>
      </c>
      <c r="C44" s="4" t="inlineStr">
        <is>
          <t>VER-SD13/14</t>
        </is>
      </c>
      <c r="D44" s="4" t="inlineStr">
        <is>
          <t>The tab acquires a real token from the Teams context</t>
        </is>
      </c>
      <c r="E44" s="14" t="inlineStr">
        <is>
          <t>Positive</t>
        </is>
      </c>
      <c r="F44" s="4" t="inlineStr">
        <is>
          <t>Critical</t>
        </is>
      </c>
      <c r="G44" s="4" t="inlineStr">
        <is>
          <t>Teams context available</t>
        </is>
      </c>
      <c r="H44" s="4" t="inlineStr">
        <is>
          <t>1. Load the tab.
2. Inspect the token acquisition call.</t>
        </is>
      </c>
      <c r="I44" s="4" t="inlineStr">
        <is>
          <t>A token is requested from TeamsJS; no placeholder string appears anywhere (VER-SD13).</t>
        </is>
      </c>
      <c r="J44" s="4" t="inlineStr">
        <is>
          <t>tests/teamsClient.test.ts</t>
        </is>
      </c>
      <c r="K44" s="14" t="inlineStr">
        <is>
          <t>Yes — sandbox</t>
        </is>
      </c>
      <c r="L44" s="16" t="inlineStr">
        <is>
          <t>Not run</t>
        </is>
      </c>
      <c r="M44" s="4" t="inlineStr"/>
      <c r="N44" s="4" t="inlineStr"/>
      <c r="O44" s="4" t="inlineStr"/>
    </row>
    <row r="45">
      <c r="A45" s="10" t="inlineStr">
        <is>
          <t>TC-011-02</t>
        </is>
      </c>
      <c r="B45" s="4" t="inlineStr">
        <is>
          <t>v011</t>
        </is>
      </c>
      <c r="C45" s="4" t="inlineStr">
        <is>
          <t>VER-SD13/14</t>
        </is>
      </c>
      <c r="D45" s="4" t="inlineStr">
        <is>
          <t>A placeholder or hardcoded token is not accepted by the server</t>
        </is>
      </c>
      <c r="E45" s="17" t="inlineStr">
        <is>
          <t>Negative</t>
        </is>
      </c>
      <c r="F45" s="4" t="inlineStr">
        <is>
          <t>Critical</t>
        </is>
      </c>
      <c r="G45" s="4" t="inlineStr">
        <is>
          <t>Production configuration</t>
        </is>
      </c>
      <c r="H45" s="4" t="inlineStr">
        <is>
          <t>1. Call the API with the literal dev token string.</t>
        </is>
      </c>
      <c r="I45" s="4" t="inlineStr">
        <is>
          <t>401 outside dev; in dev it is accepted only when SHIFTDESK_ENV=dev.</t>
        </is>
      </c>
      <c r="J45" s="4" t="inlineStr">
        <is>
          <t>tests/trustBoundaries.test.ts</t>
        </is>
      </c>
      <c r="K45" s="14" t="inlineStr">
        <is>
          <t>Yes — sandbox</t>
        </is>
      </c>
      <c r="L45" s="16" t="inlineStr">
        <is>
          <t>Not run</t>
        </is>
      </c>
      <c r="M45" s="4" t="inlineStr"/>
      <c r="N45" s="4" t="inlineStr"/>
      <c r="O45" s="4" t="inlineStr"/>
    </row>
    <row r="46">
      <c r="A46" s="10" t="inlineStr">
        <is>
          <t>TC-011-03</t>
        </is>
      </c>
      <c r="B46" s="4" t="inlineStr">
        <is>
          <t>v011</t>
        </is>
      </c>
      <c r="C46" s="4" t="inlineStr">
        <is>
          <t>VER-SD13/14</t>
        </is>
      </c>
      <c r="D46" s="4" t="inlineStr">
        <is>
          <t>Token acquisition failure shows a retry path, not a blank tab</t>
        </is>
      </c>
      <c r="E46" s="17" t="inlineStr">
        <is>
          <t>Negative</t>
        </is>
      </c>
      <c r="F46" s="4" t="inlineStr">
        <is>
          <t>High</t>
        </is>
      </c>
      <c r="G46" s="4" t="inlineStr">
        <is>
          <t>Token acquisition rejects</t>
        </is>
      </c>
      <c r="H46" s="4" t="inlineStr">
        <is>
          <t>1. Load the tab with acquisition failing.</t>
        </is>
      </c>
      <c r="I46" s="4" t="inlineStr">
        <is>
          <t>An error state with a retry action renders; the tab does not show an empty shell.</t>
        </is>
      </c>
      <c r="J46" s="4" t="inlineStr">
        <is>
          <t>tests/tab.test.tsx</t>
        </is>
      </c>
      <c r="K46" s="14" t="inlineStr">
        <is>
          <t>Yes — sandbox</t>
        </is>
      </c>
      <c r="L46" s="16" t="inlineStr">
        <is>
          <t>Not run</t>
        </is>
      </c>
      <c r="M46" s="4" t="inlineStr"/>
      <c r="N46" s="4" t="inlineStr"/>
      <c r="O46" s="4" t="inlineStr"/>
    </row>
    <row r="47">
      <c r="A47" s="10" t="inlineStr">
        <is>
          <t>TC-011-04</t>
        </is>
      </c>
      <c r="B47" s="4" t="inlineStr">
        <is>
          <t>v011</t>
        </is>
      </c>
      <c r="C47" s="4" t="inlineStr">
        <is>
          <t>VER-SD13/14</t>
        </is>
      </c>
      <c r="D47" s="4" t="inlineStr">
        <is>
          <t>The Expose-an-API setup step is documented</t>
        </is>
      </c>
      <c r="E47" s="14" t="inlineStr">
        <is>
          <t>Positive</t>
        </is>
      </c>
      <c r="F47" s="4" t="inlineStr">
        <is>
          <t>Low</t>
        </is>
      </c>
      <c r="G47" s="4" t="inlineStr">
        <is>
          <t>Docs present</t>
        </is>
      </c>
      <c r="H47" s="4" t="inlineStr">
        <is>
          <t>1. Read the dev tenant setup guide.</t>
        </is>
      </c>
      <c r="I47" s="4" t="inlineStr">
        <is>
          <t>The Entra Expose-an-API and admin consent steps are listed with the scope name (VER-SD14).</t>
        </is>
      </c>
      <c r="J47" s="4" t="inlineStr">
        <is>
          <t>content/dev-tenant-setup-guide.md</t>
        </is>
      </c>
      <c r="K47" s="14" t="inlineStr">
        <is>
          <t>Yes — sandbox</t>
        </is>
      </c>
      <c r="L47" s="16" t="inlineStr">
        <is>
          <t>Not run</t>
        </is>
      </c>
      <c r="M47" s="4" t="inlineStr"/>
      <c r="N47" s="4" t="inlineStr"/>
      <c r="O47" s="4" t="inlineStr"/>
    </row>
    <row r="48">
      <c r="A48" s="10" t="inlineStr">
        <is>
          <t>TC-012-01</t>
        </is>
      </c>
      <c r="B48" s="4" t="inlineStr">
        <is>
          <t>v012</t>
        </is>
      </c>
      <c r="C48" s="4" t="inlineStr">
        <is>
          <t>GAP-SD6/7, D-SD5</t>
        </is>
      </c>
      <c r="D48" s="4" t="inlineStr">
        <is>
          <t>Team owners resolve to admin through Graph membership</t>
        </is>
      </c>
      <c r="E48" s="14" t="inlineStr">
        <is>
          <t>Positive</t>
        </is>
      </c>
      <c r="F48" s="4" t="inlineStr">
        <is>
          <t>High</t>
        </is>
      </c>
      <c r="G48" s="4" t="inlineStr">
        <is>
          <t>Graph fetcher supplied, U1 is a team owner</t>
        </is>
      </c>
      <c r="H48" s="4" t="inlineStr">
        <is>
          <t>1. Resolve the role for U1.</t>
        </is>
      </c>
      <c r="I48" s="4" t="inlineStr">
        <is>
          <t>U1 is admin; the resolution uses TeamMember.Read.Group, the scope that is requested (GAP-SD6).</t>
        </is>
      </c>
      <c r="J48" s="4" t="inlineStr">
        <is>
          <t>tests/graphMembers.test.ts</t>
        </is>
      </c>
      <c r="K48" s="14" t="inlineStr">
        <is>
          <t>Yes — sandbox</t>
        </is>
      </c>
      <c r="L48" s="16" t="inlineStr">
        <is>
          <t>Not run</t>
        </is>
      </c>
      <c r="M48" s="4" t="inlineStr"/>
      <c r="N48" s="4" t="inlineStr"/>
      <c r="O48" s="4" t="inlineStr"/>
    </row>
    <row r="49">
      <c r="A49" s="10" t="inlineStr">
        <is>
          <t>TC-012-02</t>
        </is>
      </c>
      <c r="B49" s="4" t="inlineStr">
        <is>
          <t>v012</t>
        </is>
      </c>
      <c r="C49" s="4" t="inlineStr">
        <is>
          <t>GAP-SD6/7, D-SD5</t>
        </is>
      </c>
      <c r="D49" s="4" t="inlineStr">
        <is>
          <t>A Graph outage leaves the least-privilege role, not an escalation</t>
        </is>
      </c>
      <c r="E49" s="17" t="inlineStr">
        <is>
          <t>Negative</t>
        </is>
      </c>
      <c r="F49" s="4" t="inlineStr">
        <is>
          <t>Critical</t>
        </is>
      </c>
      <c r="G49" s="4" t="inlineStr">
        <is>
          <t>Graph returns 500</t>
        </is>
      </c>
      <c r="H49" s="4" t="inlineStr">
        <is>
          <t>1. Resolve the role for U1.</t>
        </is>
      </c>
      <c r="I49" s="4" t="inlineStr">
        <is>
          <t>U1 is member, the failure is reported, and nobody is silently promoted.</t>
        </is>
      </c>
      <c r="J49" s="4" t="inlineStr">
        <is>
          <t>tests/graphMembers.test.ts</t>
        </is>
      </c>
      <c r="K49" s="14" t="inlineStr">
        <is>
          <t>Yes — sandbox</t>
        </is>
      </c>
      <c r="L49" s="16" t="inlineStr">
        <is>
          <t>Not run</t>
        </is>
      </c>
      <c r="M49" s="4" t="inlineStr"/>
      <c r="N49" s="4" t="inlineStr"/>
      <c r="O49" s="4" t="inlineStr"/>
    </row>
    <row r="50">
      <c r="A50" s="10" t="inlineStr">
        <is>
          <t>TC-012-03</t>
        </is>
      </c>
      <c r="B50" s="4" t="inlineStr">
        <is>
          <t>v012</t>
        </is>
      </c>
      <c r="C50" s="4" t="inlineStr">
        <is>
          <t>GAP-SD6/7, D-SD5</t>
        </is>
      </c>
      <c r="D50" s="4" t="inlineStr">
        <is>
          <t>Membership results are cached and the cache is warmed at boot</t>
        </is>
      </c>
      <c r="E50" s="14" t="inlineStr">
        <is>
          <t>Positive</t>
        </is>
      </c>
      <c r="F50" s="4" t="inlineStr">
        <is>
          <t>Medium</t>
        </is>
      </c>
      <c r="G50" s="4" t="inlineStr">
        <is>
          <t>Graph reachable</t>
        </is>
      </c>
      <c r="H50" s="4" t="inlineStr">
        <is>
          <t>1. Boot the app.
2. Resolve two roles.</t>
        </is>
      </c>
      <c r="I50" s="4" t="inlineStr">
        <is>
          <t>One Graph call serves both; the warm step logs whether it loaded.</t>
        </is>
      </c>
      <c r="J50" s="4" t="inlineStr">
        <is>
          <t>tests/runtimeWiring.test.ts</t>
        </is>
      </c>
      <c r="K50" s="14" t="inlineStr">
        <is>
          <t>Yes — sandbox</t>
        </is>
      </c>
      <c r="L50" s="16" t="inlineStr">
        <is>
          <t>Not run</t>
        </is>
      </c>
      <c r="M50" s="4" t="inlineStr"/>
      <c r="N50" s="4" t="inlineStr"/>
      <c r="O50" s="4" t="inlineStr"/>
    </row>
    <row r="51">
      <c r="A51" s="10" t="inlineStr">
        <is>
          <t>TC-013-01</t>
        </is>
      </c>
      <c r="B51" s="4" t="inlineStr">
        <is>
          <t>v013</t>
        </is>
      </c>
      <c r="C51" s="4" t="inlineStr">
        <is>
          <t>F-020..F-024</t>
        </is>
      </c>
      <c r="D51" s="4" t="inlineStr">
        <is>
          <t>A user cannot install or start a trial for a tenant that is not theirs</t>
        </is>
      </c>
      <c r="E51" s="17" t="inlineStr">
        <is>
          <t>Negative</t>
        </is>
      </c>
      <c r="F51" s="4" t="inlineStr">
        <is>
          <t>Critical</t>
        </is>
      </c>
      <c r="G51" s="4" t="inlineStr">
        <is>
          <t>Token for tenant T1</t>
        </is>
      </c>
      <c r="H51" s="4" t="inlineStr">
        <is>
          <t>1. Call install for tenant T2 with T1 credentials.
2. Call trial start for T2.</t>
        </is>
      </c>
      <c r="I51" s="4" t="inlineStr">
        <is>
          <t>Both refused; the tenant comes from the validated token only (F-020 class).</t>
        </is>
      </c>
      <c r="J51" s="4" t="inlineStr">
        <is>
          <t>tests/rbacEnforcement.test.ts</t>
        </is>
      </c>
      <c r="K51" s="14" t="inlineStr">
        <is>
          <t>Yes — sandbox</t>
        </is>
      </c>
      <c r="L51" s="16" t="inlineStr">
        <is>
          <t>Not run</t>
        </is>
      </c>
      <c r="M51" s="4" t="inlineStr"/>
      <c r="N51" s="4" t="inlineStr"/>
      <c r="O51" s="4" t="inlineStr"/>
    </row>
    <row r="52">
      <c r="A52" s="10" t="inlineStr">
        <is>
          <t>TC-013-02</t>
        </is>
      </c>
      <c r="B52" s="4" t="inlineStr">
        <is>
          <t>v013</t>
        </is>
      </c>
      <c r="C52" s="4" t="inlineStr">
        <is>
          <t>F-020..F-024</t>
        </is>
      </c>
      <c r="D52" s="4" t="inlineStr">
        <is>
          <t>A failed Connector send is retried rather than deduped away</t>
        </is>
      </c>
      <c r="E52" s="17" t="inlineStr">
        <is>
          <t>Negative</t>
        </is>
      </c>
      <c r="F52" s="4" t="inlineStr">
        <is>
          <t>Critical</t>
        </is>
      </c>
      <c r="G52" s="4" t="inlineStr">
        <is>
          <t>Connector returns 500 once</t>
        </is>
      </c>
      <c r="H52" s="4" t="inlineStr">
        <is>
          <t>1. Send a reply.
2. Observe retries.</t>
        </is>
      </c>
      <c r="I52" s="4" t="inlineStr">
        <is>
          <t>The send is retried and eventually delivered; a failure is never recorded as a completed send (F-024).</t>
        </is>
      </c>
      <c r="J52" s="4" t="inlineStr">
        <is>
          <t>tests/connectorSender.test.ts</t>
        </is>
      </c>
      <c r="K52" s="14" t="inlineStr">
        <is>
          <t>Yes — sandbox</t>
        </is>
      </c>
      <c r="L52" s="16" t="inlineStr">
        <is>
          <t>Not run</t>
        </is>
      </c>
      <c r="M52" s="4" t="inlineStr"/>
      <c r="N52" s="4" t="inlineStr"/>
      <c r="O52" s="4" t="inlineStr"/>
    </row>
    <row r="53">
      <c r="A53" s="10" t="inlineStr">
        <is>
          <t>TC-013-03</t>
        </is>
      </c>
      <c r="B53" s="4" t="inlineStr">
        <is>
          <t>v013</t>
        </is>
      </c>
      <c r="C53" s="4" t="inlineStr">
        <is>
          <t>F-020..F-024</t>
        </is>
      </c>
      <c r="D53" s="4" t="inlineStr">
        <is>
          <t>A duplicate activity id is processed once</t>
        </is>
      </c>
      <c r="E53" s="14" t="inlineStr">
        <is>
          <t>Positive</t>
        </is>
      </c>
      <c r="F53" s="4" t="inlineStr">
        <is>
          <t>High</t>
        </is>
      </c>
      <c r="G53" s="4" t="inlineStr">
        <is>
          <t>Activity A1 delivered twice</t>
        </is>
      </c>
      <c r="H53" s="4" t="inlineStr">
        <is>
          <t>1. POST A1.
2. POST A1 again.</t>
        </is>
      </c>
      <c r="I53" s="4" t="inlineStr">
        <is>
          <t>One mutation, one reply; the second is acked and ignored.</t>
        </is>
      </c>
      <c r="J53" s="4" t="inlineStr">
        <is>
          <t>tests/botTransport.test.ts</t>
        </is>
      </c>
      <c r="K53" s="14" t="inlineStr">
        <is>
          <t>Yes — sandbox</t>
        </is>
      </c>
      <c r="L53" s="16" t="inlineStr">
        <is>
          <t>Not run</t>
        </is>
      </c>
      <c r="M53" s="4" t="inlineStr"/>
      <c r="N53" s="4" t="inlineStr"/>
      <c r="O53" s="4" t="inlineStr"/>
    </row>
    <row r="54">
      <c r="A54" s="10" t="inlineStr">
        <is>
          <t>TC-013-04</t>
        </is>
      </c>
      <c r="B54" s="4" t="inlineStr">
        <is>
          <t>v013</t>
        </is>
      </c>
      <c r="C54" s="4" t="inlineStr">
        <is>
          <t>F-020..F-024</t>
        </is>
      </c>
      <c r="D54" s="4" t="inlineStr">
        <is>
          <t>Bot retry after a persistence conflict does not double-apply</t>
        </is>
      </c>
      <c r="E54" s="17" t="inlineStr">
        <is>
          <t>Negative</t>
        </is>
      </c>
      <c r="F54" s="4" t="inlineStr">
        <is>
          <t>Critical</t>
        </is>
      </c>
      <c r="G54" s="4" t="inlineStr">
        <is>
          <t>Concurrent write causes 409</t>
        </is>
      </c>
      <c r="H54" s="4" t="inlineStr">
        <is>
          <t>1. Trigger a mutation that conflicts, then let the bot retry.</t>
        </is>
      </c>
      <c r="I54" s="4" t="inlineStr">
        <is>
          <t>The record is applied once (F-051); no duplicate handover appears.</t>
        </is>
      </c>
      <c r="J54" s="4" t="inlineStr">
        <is>
          <t>tests/reviewPass6.test.ts</t>
        </is>
      </c>
      <c r="K54" s="14" t="inlineStr">
        <is>
          <t>Yes — sandbox</t>
        </is>
      </c>
      <c r="L54" s="16" t="inlineStr">
        <is>
          <t>Not run</t>
        </is>
      </c>
      <c r="M54" s="4" t="inlineStr"/>
      <c r="N54" s="4" t="inlineStr"/>
      <c r="O54" s="4" t="inlineStr"/>
    </row>
    <row r="55">
      <c r="A55" s="10" t="inlineStr">
        <is>
          <t>TC-014-01</t>
        </is>
      </c>
      <c r="B55" s="4" t="inlineStr">
        <is>
          <t>v014</t>
        </is>
      </c>
      <c r="C55" s="4" t="inlineStr">
        <is>
          <t>GAP-SD8</t>
        </is>
      </c>
      <c r="D55" s="4" t="inlineStr">
        <is>
          <t>The same contract suite passes on both repository implementations</t>
        </is>
      </c>
      <c r="E55" s="14" t="inlineStr">
        <is>
          <t>Positive</t>
        </is>
      </c>
      <c r="F55" s="4" t="inlineStr">
        <is>
          <t>Critical</t>
        </is>
      </c>
      <c r="G55" s="4" t="inlineStr">
        <is>
          <t>Both implementations available</t>
        </is>
      </c>
      <c r="H55" s="4" t="inlineStr">
        <is>
          <t>1. Run the repository contract suite against in-memory.
2. Run it against Postgres.</t>
        </is>
      </c>
      <c r="I55" s="4" t="inlineStr">
        <is>
          <t>Identical behaviour; a divergence fails the suite (GAP-SD8).</t>
        </is>
      </c>
      <c r="J55" s="4" t="inlineStr">
        <is>
          <t>tests/repository.test.ts</t>
        </is>
      </c>
      <c r="K55" s="14" t="inlineStr">
        <is>
          <t>Yes — sandbox</t>
        </is>
      </c>
      <c r="L55" s="16" t="inlineStr">
        <is>
          <t>Not run</t>
        </is>
      </c>
      <c r="M55" s="4" t="inlineStr"/>
      <c r="N55" s="4" t="inlineStr"/>
      <c r="O55" s="4" t="inlineStr"/>
    </row>
    <row r="56">
      <c r="A56" s="10" t="inlineStr">
        <is>
          <t>TC-014-02</t>
        </is>
      </c>
      <c r="B56" s="4" t="inlineStr">
        <is>
          <t>v014</t>
        </is>
      </c>
      <c r="C56" s="4" t="inlineStr">
        <is>
          <t>GAP-SD8</t>
        </is>
      </c>
      <c r="D56" s="4" t="inlineStr">
        <is>
          <t>Migration SQL applies to an empty database</t>
        </is>
      </c>
      <c r="E56" s="14" t="inlineStr">
        <is>
          <t>Positive</t>
        </is>
      </c>
      <c r="F56" s="4" t="inlineStr">
        <is>
          <t>High</t>
        </is>
      </c>
      <c r="G56" s="4" t="inlineStr">
        <is>
          <t>Empty database</t>
        </is>
      </c>
      <c r="H56" s="4" t="inlineStr">
        <is>
          <t>1. Run the migration runner.
2. Inspect the schema.</t>
        </is>
      </c>
      <c r="I56" s="4" t="inlineStr">
        <is>
          <t>Tables and indexes exist; schema_migrations records each file once.</t>
        </is>
      </c>
      <c r="J56" s="4" t="inlineStr">
        <is>
          <t>tests/integration/postgres.integration.test.ts</t>
        </is>
      </c>
      <c r="K56" s="14" t="inlineStr">
        <is>
          <t>Yes — real Postgres</t>
        </is>
      </c>
      <c r="L56" s="16" t="inlineStr">
        <is>
          <t>Not run</t>
        </is>
      </c>
      <c r="M56" s="4" t="inlineStr"/>
      <c r="N56" s="4" t="inlineStr"/>
      <c r="O56" s="4" t="inlineStr"/>
    </row>
    <row r="57">
      <c r="A57" s="10" t="inlineStr">
        <is>
          <t>TC-014-03</t>
        </is>
      </c>
      <c r="B57" s="4" t="inlineStr">
        <is>
          <t>v014</t>
        </is>
      </c>
      <c r="C57" s="4" t="inlineStr">
        <is>
          <t>GAP-SD8</t>
        </is>
      </c>
      <c r="D57" s="4" t="inlineStr">
        <is>
          <t>The durable audit log survives a restart</t>
        </is>
      </c>
      <c r="E57" s="14" t="inlineStr">
        <is>
          <t>Positive</t>
        </is>
      </c>
      <c r="F57" s="4" t="inlineStr">
        <is>
          <t>Critical</t>
        </is>
      </c>
      <c r="G57" s="4" t="inlineStr">
        <is>
          <t>Audit entries written</t>
        </is>
      </c>
      <c r="H57" s="4" t="inlineStr">
        <is>
          <t>1. Write 3 audit entries.
2. Restart the process.
3. Read the audit log.</t>
        </is>
      </c>
      <c r="I57" s="4" t="inlineStr">
        <is>
          <t>All 3 entries are present (they were discarded before this release).</t>
        </is>
      </c>
      <c r="J57" s="4" t="inlineStr">
        <is>
          <t>tests/audit.test.ts</t>
        </is>
      </c>
      <c r="K57" s="14" t="inlineStr">
        <is>
          <t>Yes — sandbox</t>
        </is>
      </c>
      <c r="L57" s="16" t="inlineStr">
        <is>
          <t>Not run</t>
        </is>
      </c>
      <c r="M57" s="4" t="inlineStr"/>
      <c r="N57" s="4" t="inlineStr"/>
      <c r="O57" s="4" t="inlineStr"/>
    </row>
    <row r="58">
      <c r="A58" s="10" t="inlineStr">
        <is>
          <t>TC-014-04</t>
        </is>
      </c>
      <c r="B58" s="4" t="inlineStr">
        <is>
          <t>v014</t>
        </is>
      </c>
      <c r="C58" s="4" t="inlineStr">
        <is>
          <t>GAP-SD8</t>
        </is>
      </c>
      <c r="D58" s="4" t="inlineStr">
        <is>
          <t>Tenant purge removes rows, not just cache entries</t>
        </is>
      </c>
      <c r="E58" s="14" t="inlineStr">
        <is>
          <t>Positive</t>
        </is>
      </c>
      <c r="F58" s="4" t="inlineStr">
        <is>
          <t>Critical</t>
        </is>
      </c>
      <c r="G58" s="4" t="inlineStr">
        <is>
          <t>Tenant with rows in the store</t>
        </is>
      </c>
      <c r="H58" s="4" t="inlineStr">
        <is>
          <t>1. Purge the tenant.
2. Query the store directly.</t>
        </is>
      </c>
      <c r="I58" s="4" t="inlineStr">
        <is>
          <t>No rows remain for that tenant.</t>
        </is>
      </c>
      <c r="J58" s="4" t="inlineStr">
        <is>
          <t>tests/tenantLifecycle.test.ts</t>
        </is>
      </c>
      <c r="K58" s="14" t="inlineStr">
        <is>
          <t>Yes — sandbox</t>
        </is>
      </c>
      <c r="L58" s="16" t="inlineStr">
        <is>
          <t>Not run</t>
        </is>
      </c>
      <c r="M58" s="4" t="inlineStr"/>
      <c r="N58" s="4" t="inlineStr"/>
      <c r="O58" s="4" t="inlineStr"/>
    </row>
    <row r="59">
      <c r="A59" s="10" t="inlineStr">
        <is>
          <t>TC-015-01</t>
        </is>
      </c>
      <c r="B59" s="4" t="inlineStr">
        <is>
          <t>v015</t>
        </is>
      </c>
      <c r="C59" s="4" t="inlineStr">
        <is>
          <t>GAP-SD8b</t>
        </is>
      </c>
      <c r="D59" s="4" t="inlineStr">
        <is>
          <t>A handover written through the API is still there after a restart</t>
        </is>
      </c>
      <c r="E59" s="14" t="inlineStr">
        <is>
          <t>Positive</t>
        </is>
      </c>
      <c r="F59" s="4" t="inlineStr">
        <is>
          <t>Critical</t>
        </is>
      </c>
      <c r="G59" s="4" t="inlineStr">
        <is>
          <t>Store configured</t>
        </is>
      </c>
      <c r="H59" s="4" t="inlineStr">
        <is>
          <t>1. Create a handover over HTTP.
2. Restart the process.
3. List handovers.</t>
        </is>
      </c>
      <c r="I59" s="4" t="inlineStr">
        <is>
          <t>The handover is present; hydration happened at startup (GAP-SD8b).</t>
        </is>
      </c>
      <c r="J59" s="4" t="inlineStr">
        <is>
          <t>tests/persistenceLifecycle.test.ts</t>
        </is>
      </c>
      <c r="K59" s="14" t="inlineStr">
        <is>
          <t>Yes — sandbox</t>
        </is>
      </c>
      <c r="L59" s="16" t="inlineStr">
        <is>
          <t>Not run</t>
        </is>
      </c>
      <c r="M59" s="4" t="inlineStr"/>
      <c r="N59" s="4" t="inlineStr"/>
      <c r="O59" s="4" t="inlineStr"/>
    </row>
    <row r="60">
      <c r="A60" s="10" t="inlineStr">
        <is>
          <t>TC-015-02</t>
        </is>
      </c>
      <c r="B60" s="4" t="inlineStr">
        <is>
          <t>v015</t>
        </is>
      </c>
      <c r="C60" s="4" t="inlineStr">
        <is>
          <t>GAP-SD8b</t>
        </is>
      </c>
      <c r="D60" s="4" t="inlineStr">
        <is>
          <t>A read does not write state back to the store</t>
        </is>
      </c>
      <c r="E60" s="17" t="inlineStr">
        <is>
          <t>Negative</t>
        </is>
      </c>
      <c r="F60" s="4" t="inlineStr">
        <is>
          <t>Medium</t>
        </is>
      </c>
      <c r="G60" s="4" t="inlineStr">
        <is>
          <t>Tenant hydrated</t>
        </is>
      </c>
      <c r="H60" s="4" t="inlineStr">
        <is>
          <t>1. Issue 10 read requests.
2. Count store writes.</t>
        </is>
      </c>
      <c r="I60" s="4" t="inlineStr">
        <is>
          <t>No writes are produced by reads.</t>
        </is>
      </c>
      <c r="J60" s="4" t="inlineStr">
        <is>
          <t>tests/persistence.test.ts</t>
        </is>
      </c>
      <c r="K60" s="14" t="inlineStr">
        <is>
          <t>Yes — sandbox</t>
        </is>
      </c>
      <c r="L60" s="16" t="inlineStr">
        <is>
          <t>Not run</t>
        </is>
      </c>
      <c r="M60" s="4" t="inlineStr"/>
      <c r="N60" s="4" t="inlineStr"/>
      <c r="O60" s="4" t="inlineStr"/>
    </row>
    <row r="61">
      <c r="A61" s="10" t="inlineStr">
        <is>
          <t>TC-015-03</t>
        </is>
      </c>
      <c r="B61" s="4" t="inlineStr">
        <is>
          <t>v015</t>
        </is>
      </c>
      <c r="C61" s="4" t="inlineStr">
        <is>
          <t>GAP-SD8b</t>
        </is>
      </c>
      <c r="D61" s="4" t="inlineStr">
        <is>
          <t>A store failure on write surfaces to the caller rather than being swallowed</t>
        </is>
      </c>
      <c r="E61" s="17" t="inlineStr">
        <is>
          <t>Negative</t>
        </is>
      </c>
      <c r="F61" s="4" t="inlineStr">
        <is>
          <t>High</t>
        </is>
      </c>
      <c r="G61" s="4" t="inlineStr">
        <is>
          <t>Store write fails</t>
        </is>
      </c>
      <c r="H61" s="4" t="inlineStr">
        <is>
          <t>1. Create a handover.</t>
        </is>
      </c>
      <c r="I61" s="4" t="inlineStr">
        <is>
          <t>The request fails with a clear error; the in-process state is not left ahead of the store.</t>
        </is>
      </c>
      <c r="J61" s="4" t="inlineStr">
        <is>
          <t>tests/persistence.test.ts</t>
        </is>
      </c>
      <c r="K61" s="14" t="inlineStr">
        <is>
          <t>Yes — sandbox</t>
        </is>
      </c>
      <c r="L61" s="16" t="inlineStr">
        <is>
          <t>Not run</t>
        </is>
      </c>
      <c r="M61" s="4" t="inlineStr"/>
      <c r="N61" s="4" t="inlineStr"/>
      <c r="O61" s="4" t="inlineStr"/>
    </row>
    <row r="62">
      <c r="A62" s="10" t="inlineStr">
        <is>
          <t>TC-016-01</t>
        </is>
      </c>
      <c r="B62" s="4" t="inlineStr">
        <is>
          <t>v016</t>
        </is>
      </c>
      <c r="C62" s="4" t="inlineStr">
        <is>
          <t>OBS-SD5a, F-025</t>
        </is>
      </c>
      <c r="D62" s="4" t="inlineStr">
        <is>
          <t>Billing state survives a restart</t>
        </is>
      </c>
      <c r="E62" s="14" t="inlineStr">
        <is>
          <t>Positive</t>
        </is>
      </c>
      <c r="F62" s="4" t="inlineStr">
        <is>
          <t>Critical</t>
        </is>
      </c>
      <c r="G62" s="4" t="inlineStr">
        <is>
          <t>Tenant on a paid plan</t>
        </is>
      </c>
      <c r="H62" s="4" t="inlineStr">
        <is>
          <t>1. Restart the process.
2. Read the plan and banner.</t>
        </is>
      </c>
      <c r="I62" s="4" t="inlineStr">
        <is>
          <t>The paid plan persists; the customer does not see a trial banner (OBS-SD5a).</t>
        </is>
      </c>
      <c r="J62" s="4" t="inlineStr">
        <is>
          <t>tests/persistenceLifecycle.test.ts</t>
        </is>
      </c>
      <c r="K62" s="14" t="inlineStr">
        <is>
          <t>Yes — sandbox</t>
        </is>
      </c>
      <c r="L62" s="16" t="inlineStr">
        <is>
          <t>Not run</t>
        </is>
      </c>
      <c r="M62" s="4" t="inlineStr"/>
      <c r="N62" s="4" t="inlineStr"/>
      <c r="O62" s="4" t="inlineStr"/>
    </row>
    <row r="63">
      <c r="A63" s="10" t="inlineStr">
        <is>
          <t>TC-016-02</t>
        </is>
      </c>
      <c r="B63" s="4" t="inlineStr">
        <is>
          <t>v016</t>
        </is>
      </c>
      <c r="C63" s="4" t="inlineStr">
        <is>
          <t>OBS-SD5a, F-025</t>
        </is>
      </c>
      <c r="D63" s="4" t="inlineStr">
        <is>
          <t>Support chat threads survive a restart</t>
        </is>
      </c>
      <c r="E63" s="14" t="inlineStr">
        <is>
          <t>Positive</t>
        </is>
      </c>
      <c r="F63" s="4" t="inlineStr">
        <is>
          <t>Medium</t>
        </is>
      </c>
      <c r="G63" s="4" t="inlineStr">
        <is>
          <t>Open chat thread</t>
        </is>
      </c>
      <c r="H63" s="4" t="inlineStr">
        <is>
          <t>1. Restart.
2. Read the thread.</t>
        </is>
      </c>
      <c r="I63" s="4" t="inlineStr">
        <is>
          <t>Messages and SLA timers are intact.</t>
        </is>
      </c>
      <c r="J63" s="4" t="inlineStr">
        <is>
          <t>tests/persistenceLifecycle.test.ts</t>
        </is>
      </c>
      <c r="K63" s="14" t="inlineStr">
        <is>
          <t>Yes — sandbox</t>
        </is>
      </c>
      <c r="L63" s="16" t="inlineStr">
        <is>
          <t>Not run</t>
        </is>
      </c>
      <c r="M63" s="4" t="inlineStr"/>
      <c r="N63" s="4" t="inlineStr"/>
      <c r="O63" s="4" t="inlineStr"/>
    </row>
    <row r="64">
      <c r="A64" s="10" t="inlineStr">
        <is>
          <t>TC-016-03</t>
        </is>
      </c>
      <c r="B64" s="4" t="inlineStr">
        <is>
          <t>v016</t>
        </is>
      </c>
      <c r="C64" s="4" t="inlineStr">
        <is>
          <t>OBS-SD5a, F-025</t>
        </is>
      </c>
      <c r="D64" s="4" t="inlineStr">
        <is>
          <t>In-memory and Postgres stores agree on value semantics</t>
        </is>
      </c>
      <c r="E64" s="17" t="inlineStr">
        <is>
          <t>Negative</t>
        </is>
      </c>
      <c r="F64" s="4" t="inlineStr">
        <is>
          <t>High</t>
        </is>
      </c>
      <c r="G64" s="4" t="inlineStr">
        <is>
          <t>Both stores</t>
        </is>
      </c>
      <c r="H64" s="4" t="inlineStr">
        <is>
          <t>1. Write an object, mutate the original in the caller, then read back.</t>
        </is>
      </c>
      <c r="I64" s="4" t="inlineStr">
        <is>
          <t>Both stores return the stored value, not the mutated reference (F-025).</t>
        </is>
      </c>
      <c r="J64" s="4" t="inlineStr">
        <is>
          <t>tests/repository.test.ts</t>
        </is>
      </c>
      <c r="K64" s="14" t="inlineStr">
        <is>
          <t>Yes — sandbox</t>
        </is>
      </c>
      <c r="L64" s="16" t="inlineStr">
        <is>
          <t>Not run</t>
        </is>
      </c>
      <c r="M64" s="4" t="inlineStr"/>
      <c r="N64" s="4" t="inlineStr"/>
      <c r="O64" s="4" t="inlineStr"/>
    </row>
    <row r="65">
      <c r="A65" s="10" t="inlineStr">
        <is>
          <t>TC-017-01</t>
        </is>
      </c>
      <c r="B65" s="4" t="inlineStr">
        <is>
          <t>v017</t>
        </is>
      </c>
      <c r="C65" s="4" t="inlineStr">
        <is>
          <t>F-026..F-028</t>
        </is>
      </c>
      <c r="D65" s="4" t="inlineStr">
        <is>
          <t>Tenant A cannot read tenant B data through the API</t>
        </is>
      </c>
      <c r="E65" s="17" t="inlineStr">
        <is>
          <t>Negative</t>
        </is>
      </c>
      <c r="F65" s="4" t="inlineStr">
        <is>
          <t>Critical</t>
        </is>
      </c>
      <c r="G65" s="4" t="inlineStr">
        <is>
          <t>Tenants A and B each with handovers</t>
        </is>
      </c>
      <c r="H65" s="4" t="inlineStr">
        <is>
          <t>1. Authenticate as A.
2. Request the handover list.
3. Request B's handover by id.</t>
        </is>
      </c>
      <c r="I65" s="4" t="inlineStr">
        <is>
          <t>Only A's records are returned; B's id returns 404, not 403-with-content (F-026).</t>
        </is>
      </c>
      <c r="J65" s="4" t="inlineStr">
        <is>
          <t>tests/rbac.test.ts</t>
        </is>
      </c>
      <c r="K65" s="14" t="inlineStr">
        <is>
          <t>Yes — sandbox</t>
        </is>
      </c>
      <c r="L65" s="16" t="inlineStr">
        <is>
          <t>Not run</t>
        </is>
      </c>
      <c r="M65" s="4" t="inlineStr"/>
      <c r="N65" s="4" t="inlineStr"/>
      <c r="O65" s="4" t="inlineStr"/>
    </row>
    <row r="66">
      <c r="A66" s="10" t="inlineStr">
        <is>
          <t>TC-017-02</t>
        </is>
      </c>
      <c r="B66" s="4" t="inlineStr">
        <is>
          <t>v017</t>
        </is>
      </c>
      <c r="C66" s="4" t="inlineStr">
        <is>
          <t>F-026..F-028</t>
        </is>
      </c>
      <c r="D66" s="4" t="inlineStr">
        <is>
          <t>Tenant A cannot read tenant B data through the bot</t>
        </is>
      </c>
      <c r="E66" s="17" t="inlineStr">
        <is>
          <t>Negative</t>
        </is>
      </c>
      <c r="F66" s="4" t="inlineStr">
        <is>
          <t>Critical</t>
        </is>
      </c>
      <c r="G66" s="4" t="inlineStr">
        <is>
          <t>Both tenants installed</t>
        </is>
      </c>
      <c r="H66" s="4" t="inlineStr">
        <is>
          <t>1. Send a bot command as A naming a B record id.</t>
        </is>
      </c>
      <c r="I66" s="4" t="inlineStr">
        <is>
          <t>Not found; the tenant comes from the validated activity, never from the message text.</t>
        </is>
      </c>
      <c r="J66" s="4" t="inlineStr">
        <is>
          <t>tests/botTransport.test.ts</t>
        </is>
      </c>
      <c r="K66" s="14" t="inlineStr">
        <is>
          <t>Yes — sandbox</t>
        </is>
      </c>
      <c r="L66" s="16" t="inlineStr">
        <is>
          <t>Not run</t>
        </is>
      </c>
      <c r="M66" s="4" t="inlineStr"/>
      <c r="N66" s="4" t="inlineStr"/>
      <c r="O66" s="4" t="inlineStr"/>
    </row>
    <row r="67">
      <c r="A67" s="10" t="inlineStr">
        <is>
          <t>TC-017-03</t>
        </is>
      </c>
      <c r="B67" s="4" t="inlineStr">
        <is>
          <t>v017</t>
        </is>
      </c>
      <c r="C67" s="4" t="inlineStr">
        <is>
          <t>F-026..F-028</t>
        </is>
      </c>
      <c r="D67" s="4" t="inlineStr">
        <is>
          <t>Each tenant hydrates its own state</t>
        </is>
      </c>
      <c r="E67" s="14" t="inlineStr">
        <is>
          <t>Positive</t>
        </is>
      </c>
      <c r="F67" s="4" t="inlineStr">
        <is>
          <t>Critical</t>
        </is>
      </c>
      <c r="G67" s="4" t="inlineStr">
        <is>
          <t>Two tenants with different data</t>
        </is>
      </c>
      <c r="H67" s="4" t="inlineStr">
        <is>
          <t>1. Boot fresh.
2. Hydrate both tenants.
3. Compare the two working sets.</t>
        </is>
      </c>
      <c r="I67" s="4" t="inlineStr">
        <is>
          <t>No overlap; per-tenant instances from the registry.</t>
        </is>
      </c>
      <c r="J67" s="4" t="inlineStr">
        <is>
          <t>tests/tenantRegistry.test.ts</t>
        </is>
      </c>
      <c r="K67" s="14" t="inlineStr">
        <is>
          <t>Yes — sandbox</t>
        </is>
      </c>
      <c r="L67" s="16" t="inlineStr">
        <is>
          <t>Not run</t>
        </is>
      </c>
      <c r="M67" s="4" t="inlineStr"/>
      <c r="N67" s="4" t="inlineStr"/>
      <c r="O67" s="4" t="inlineStr"/>
    </row>
    <row r="68">
      <c r="A68" s="10" t="inlineStr">
        <is>
          <t>TC-017-04</t>
        </is>
      </c>
      <c r="B68" s="4" t="inlineStr">
        <is>
          <t>v017</t>
        </is>
      </c>
      <c r="C68" s="4" t="inlineStr">
        <is>
          <t>F-026..F-028</t>
        </is>
      </c>
      <c r="D68" s="4" t="inlineStr">
        <is>
          <t>A bot mutation is persisted, not only applied in memory</t>
        </is>
      </c>
      <c r="E68" s="14" t="inlineStr">
        <is>
          <t>Positive</t>
        </is>
      </c>
      <c r="F68" s="4" t="inlineStr">
        <is>
          <t>High</t>
        </is>
      </c>
      <c r="G68" s="4" t="inlineStr">
        <is>
          <t>Bot running with a store</t>
        </is>
      </c>
      <c r="H68" s="4" t="inlineStr">
        <is>
          <t>1. Acknowledge a handover by bot command.
2. Restart.
3. Read the handover.</t>
        </is>
      </c>
      <c r="I68" s="4" t="inlineStr">
        <is>
          <t>The acknowledgement is still recorded (F-027).</t>
        </is>
      </c>
      <c r="J68" s="4" t="inlineStr">
        <is>
          <t>tests/botTransport.test.ts</t>
        </is>
      </c>
      <c r="K68" s="14" t="inlineStr">
        <is>
          <t>Yes — sandbox</t>
        </is>
      </c>
      <c r="L68" s="16" t="inlineStr">
        <is>
          <t>Not run</t>
        </is>
      </c>
      <c r="M68" s="4" t="inlineStr"/>
      <c r="N68" s="4" t="inlineStr"/>
      <c r="O68" s="4" t="inlineStr"/>
    </row>
    <row r="69">
      <c r="A69" s="10" t="inlineStr">
        <is>
          <t>TC-017-05</t>
        </is>
      </c>
      <c r="B69" s="4" t="inlineStr">
        <is>
          <t>v017</t>
        </is>
      </c>
      <c r="C69" s="4" t="inlineStr">
        <is>
          <t>F-026..F-028</t>
        </is>
      </c>
      <c r="D69" s="4" t="inlineStr">
        <is>
          <t>Health and status still work after the tenancy change</t>
        </is>
      </c>
      <c r="E69" s="14" t="inlineStr">
        <is>
          <t>Positive</t>
        </is>
      </c>
      <c r="F69" s="4" t="inlineStr">
        <is>
          <t>Medium</t>
        </is>
      </c>
      <c r="G69" s="4" t="inlineStr">
        <is>
          <t>Server running</t>
        </is>
      </c>
      <c r="H69" s="4" t="inlineStr">
        <is>
          <t>1. GET health.
2. GET status.</t>
        </is>
      </c>
      <c r="I69" s="4" t="inlineStr">
        <is>
          <t>Both respond correctly (F-028 regression guard).</t>
        </is>
      </c>
      <c r="J69" s="4" t="inlineStr">
        <is>
          <t>tests/server.test.ts</t>
        </is>
      </c>
      <c r="K69" s="14" t="inlineStr">
        <is>
          <t>Yes — sandbox</t>
        </is>
      </c>
      <c r="L69" s="16" t="inlineStr">
        <is>
          <t>Not run</t>
        </is>
      </c>
      <c r="M69" s="4" t="inlineStr"/>
      <c r="N69" s="4" t="inlineStr"/>
      <c r="O69" s="4" t="inlineStr"/>
    </row>
    <row r="70">
      <c r="A70" s="10" t="inlineStr">
        <is>
          <t>TC-017-06</t>
        </is>
      </c>
      <c r="B70" s="4" t="inlineStr">
        <is>
          <t>v017</t>
        </is>
      </c>
      <c r="C70" s="4" t="inlineStr">
        <is>
          <t>F-026..F-028</t>
        </is>
      </c>
      <c r="D70" s="4" t="inlineStr">
        <is>
          <t>A token with no tenant claim is refused</t>
        </is>
      </c>
      <c r="E70" s="17" t="inlineStr">
        <is>
          <t>Negative</t>
        </is>
      </c>
      <c r="F70" s="4" t="inlineStr">
        <is>
          <t>Critical</t>
        </is>
      </c>
      <c r="G70" s="4" t="inlineStr">
        <is>
          <t>Token missing tid</t>
        </is>
      </c>
      <c r="H70" s="4" t="inlineStr">
        <is>
          <t>1. Call the API with it.</t>
        </is>
      </c>
      <c r="I70" s="4" t="inlineStr">
        <is>
          <t>401; no default tenant is ever assumed.</t>
        </is>
      </c>
      <c r="J70" s="4" t="inlineStr">
        <is>
          <t>tests/trustBoundaries.test.ts</t>
        </is>
      </c>
      <c r="K70" s="14" t="inlineStr">
        <is>
          <t>Yes — sandbox</t>
        </is>
      </c>
      <c r="L70" s="16" t="inlineStr">
        <is>
          <t>Not run</t>
        </is>
      </c>
      <c r="M70" s="4" t="inlineStr"/>
      <c r="N70" s="4" t="inlineStr"/>
      <c r="O70" s="4" t="inlineStr"/>
    </row>
    <row r="71">
      <c r="A71" s="10" t="inlineStr">
        <is>
          <t>TC-018-01</t>
        </is>
      </c>
      <c r="B71" s="4" t="inlineStr">
        <is>
          <t>v018</t>
        </is>
      </c>
      <c r="C71" s="4" t="inlineStr">
        <is>
          <t>F-029</t>
        </is>
      </c>
      <c r="D71" s="4" t="inlineStr">
        <is>
          <t>Delete-my-data actually deletes</t>
        </is>
      </c>
      <c r="E71" s="14" t="inlineStr">
        <is>
          <t>Positive</t>
        </is>
      </c>
      <c r="F71" s="4" t="inlineStr">
        <is>
          <t>Critical</t>
        </is>
      </c>
      <c r="G71" s="4" t="inlineStr">
        <is>
          <t>Tenant with records across all modules</t>
        </is>
      </c>
      <c r="H71" s="4" t="inlineStr">
        <is>
          <t>1. Call delete-my-data as owner.
2. Query the store for that tenant.
3. Read the receipt.</t>
        </is>
      </c>
      <c r="I71" s="4" t="inlineStr">
        <is>
          <t>No rows remain, the cache is evicted, and a deletion receipt with counts is returned (F-029).</t>
        </is>
      </c>
      <c r="J71" s="4" t="inlineStr">
        <is>
          <t>tests/privacy.test.ts</t>
        </is>
      </c>
      <c r="K71" s="14" t="inlineStr">
        <is>
          <t>Yes — sandbox</t>
        </is>
      </c>
      <c r="L71" s="16" t="inlineStr">
        <is>
          <t>Not run</t>
        </is>
      </c>
      <c r="M71" s="4" t="inlineStr"/>
      <c r="N71" s="4" t="inlineStr"/>
      <c r="O71" s="4" t="inlineStr"/>
    </row>
    <row r="72">
      <c r="A72" s="10" t="inlineStr">
        <is>
          <t>TC-018-02</t>
        </is>
      </c>
      <c r="B72" s="4" t="inlineStr">
        <is>
          <t>v018</t>
        </is>
      </c>
      <c r="C72" s="4" t="inlineStr">
        <is>
          <t>F-029</t>
        </is>
      </c>
      <c r="D72" s="4" t="inlineStr">
        <is>
          <t>The 30-day retention sweep purges an expired uninstall</t>
        </is>
      </c>
      <c r="E72" s="14" t="inlineStr">
        <is>
          <t>Positive</t>
        </is>
      </c>
      <c r="F72" s="4" t="inlineStr">
        <is>
          <t>Critical</t>
        </is>
      </c>
      <c r="G72" s="4" t="inlineStr">
        <is>
          <t>Tenant uninstalled 31 days ago</t>
        </is>
      </c>
      <c r="H72" s="4" t="inlineStr">
        <is>
          <t>1. Run the retention sweep.
2. Query the store.</t>
        </is>
      </c>
      <c r="I72" s="4" t="inlineStr">
        <is>
          <t>The tenant is purged; the published policy is the behaviour.</t>
        </is>
      </c>
      <c r="J72" s="4" t="inlineStr">
        <is>
          <t>tests/tenantLifecycle.test.ts</t>
        </is>
      </c>
      <c r="K72" s="14" t="inlineStr">
        <is>
          <t>Yes — sandbox</t>
        </is>
      </c>
      <c r="L72" s="16" t="inlineStr">
        <is>
          <t>Not run</t>
        </is>
      </c>
      <c r="M72" s="4" t="inlineStr"/>
      <c r="N72" s="4" t="inlineStr"/>
      <c r="O72" s="4" t="inlineStr"/>
    </row>
    <row r="73">
      <c r="A73" s="10" t="inlineStr">
        <is>
          <t>TC-018-03</t>
        </is>
      </c>
      <c r="B73" s="4" t="inlineStr">
        <is>
          <t>v018</t>
        </is>
      </c>
      <c r="C73" s="4" t="inlineStr">
        <is>
          <t>F-029</t>
        </is>
      </c>
      <c r="D73" s="4" t="inlineStr">
        <is>
          <t>The sweep does not purge a tenant inside the window</t>
        </is>
      </c>
      <c r="E73" s="17" t="inlineStr">
        <is>
          <t>Negative</t>
        </is>
      </c>
      <c r="F73" s="4" t="inlineStr">
        <is>
          <t>Critical</t>
        </is>
      </c>
      <c r="G73" s="4" t="inlineStr">
        <is>
          <t>Tenant uninstalled 10 days ago</t>
        </is>
      </c>
      <c r="H73" s="4" t="inlineStr">
        <is>
          <t>1. Run the sweep.</t>
        </is>
      </c>
      <c r="I73" s="4" t="inlineStr">
        <is>
          <t>Nothing is purged; restore still works.</t>
        </is>
      </c>
      <c r="J73" s="4" t="inlineStr">
        <is>
          <t>tests/tenantLifecycle.test.ts</t>
        </is>
      </c>
      <c r="K73" s="14" t="inlineStr">
        <is>
          <t>Yes — sandbox</t>
        </is>
      </c>
      <c r="L73" s="16" t="inlineStr">
        <is>
          <t>Not run</t>
        </is>
      </c>
      <c r="M73" s="4" t="inlineStr"/>
      <c r="N73" s="4" t="inlineStr"/>
      <c r="O73" s="4" t="inlineStr"/>
    </row>
    <row r="74">
      <c r="A74" s="10" t="inlineStr">
        <is>
          <t>TC-018-04</t>
        </is>
      </c>
      <c r="B74" s="4" t="inlineStr">
        <is>
          <t>v018</t>
        </is>
      </c>
      <c r="C74" s="4" t="inlineStr">
        <is>
          <t>F-029</t>
        </is>
      </c>
      <c r="D74" s="4" t="inlineStr">
        <is>
          <t>Export returns real data, not an empty envelope</t>
        </is>
      </c>
      <c r="E74" s="14" t="inlineStr">
        <is>
          <t>Positive</t>
        </is>
      </c>
      <c r="F74" s="4" t="inlineStr">
        <is>
          <t>High</t>
        </is>
      </c>
      <c r="G74" s="4" t="inlineStr">
        <is>
          <t>Tenant with 50 records</t>
        </is>
      </c>
      <c r="H74" s="4" t="inlineStr">
        <is>
          <t>1. Call export as owner.
2. Count the exported records.</t>
        </is>
      </c>
      <c r="I74" s="4" t="inlineStr">
        <is>
          <t>All 50 appear, streamed rather than buffered.</t>
        </is>
      </c>
      <c r="J74" s="4" t="inlineStr">
        <is>
          <t>tests/privacy.test.ts</t>
        </is>
      </c>
      <c r="K74" s="14" t="inlineStr">
        <is>
          <t>Yes — sandbox</t>
        </is>
      </c>
      <c r="L74" s="16" t="inlineStr">
        <is>
          <t>Not run</t>
        </is>
      </c>
      <c r="M74" s="4" t="inlineStr"/>
      <c r="N74" s="4" t="inlineStr"/>
      <c r="O74" s="4" t="inlineStr"/>
    </row>
    <row r="75">
      <c r="A75" s="10" t="inlineStr">
        <is>
          <t>TC-018-05</t>
        </is>
      </c>
      <c r="B75" s="4" t="inlineStr">
        <is>
          <t>v018</t>
        </is>
      </c>
      <c r="C75" s="4" t="inlineStr">
        <is>
          <t>F-029</t>
        </is>
      </c>
      <c r="D75" s="4" t="inlineStr">
        <is>
          <t>A member cannot export or delete tenant data</t>
        </is>
      </c>
      <c r="E75" s="17" t="inlineStr">
        <is>
          <t>Negative</t>
        </is>
      </c>
      <c r="F75" s="4" t="inlineStr">
        <is>
          <t>Critical</t>
        </is>
      </c>
      <c r="G75" s="4" t="inlineStr">
        <is>
          <t>User with member role</t>
        </is>
      </c>
      <c r="H75" s="4" t="inlineStr">
        <is>
          <t>1. Call export.
2. Call delete-my-data.</t>
        </is>
      </c>
      <c r="I75" s="4" t="inlineStr">
        <is>
          <t>Both refused; owner-only, and the refusal is audited.</t>
        </is>
      </c>
      <c r="J75" s="4" t="inlineStr">
        <is>
          <t>tests/rbacEnforcement.test.ts</t>
        </is>
      </c>
      <c r="K75" s="14" t="inlineStr">
        <is>
          <t>Yes — sandbox</t>
        </is>
      </c>
      <c r="L75" s="16" t="inlineStr">
        <is>
          <t>Not run</t>
        </is>
      </c>
      <c r="M75" s="4" t="inlineStr"/>
      <c r="N75" s="4" t="inlineStr"/>
      <c r="O75" s="4" t="inlineStr"/>
    </row>
    <row r="76">
      <c r="A76" s="10" t="inlineStr">
        <is>
          <t>TC-018-06</t>
        </is>
      </c>
      <c r="B76" s="4" t="inlineStr">
        <is>
          <t>v018</t>
        </is>
      </c>
      <c r="C76" s="4" t="inlineStr">
        <is>
          <t>F-029</t>
        </is>
      </c>
      <c r="D76" s="4" t="inlineStr">
        <is>
          <t>Every exportable record kind is covered by the export</t>
        </is>
      </c>
      <c r="E76" s="17" t="inlineStr">
        <is>
          <t>Negative</t>
        </is>
      </c>
      <c r="F76" s="4" t="inlineStr">
        <is>
          <t>High</t>
        </is>
      </c>
      <c r="G76" s="4" t="inlineStr">
        <is>
          <t>Tenant with one record of each kind</t>
        </is>
      </c>
      <c r="H76" s="4" t="inlineStr">
        <is>
          <t>1. Export.
2. Compare kinds against the declared list.</t>
        </is>
      </c>
      <c r="I76" s="4" t="inlineStr">
        <is>
          <t>Both directions match: an unexported kind fails the test, as does an undeclared one.</t>
        </is>
      </c>
      <c r="J76" s="4" t="inlineStr">
        <is>
          <t>tests/privacy.test.ts</t>
        </is>
      </c>
      <c r="K76" s="14" t="inlineStr">
        <is>
          <t>Yes — sandbox</t>
        </is>
      </c>
      <c r="L76" s="16" t="inlineStr">
        <is>
          <t>Not run</t>
        </is>
      </c>
      <c r="M76" s="4" t="inlineStr"/>
      <c r="N76" s="4" t="inlineStr"/>
      <c r="O76" s="4" t="inlineStr"/>
    </row>
    <row r="77">
      <c r="A77" s="10" t="inlineStr">
        <is>
          <t>TC-019-01</t>
        </is>
      </c>
      <c r="B77" s="4" t="inlineStr">
        <is>
          <t>v019</t>
        </is>
      </c>
      <c r="C77" s="4" t="inlineStr">
        <is>
          <t>F-030, D-SD6</t>
        </is>
      </c>
      <c r="D77" s="4" t="inlineStr">
        <is>
          <t>Each declared permission is enforced at a named site</t>
        </is>
      </c>
      <c r="E77" s="14" t="inlineStr">
        <is>
          <t>Positive</t>
        </is>
      </c>
      <c r="F77" s="4" t="inlineStr">
        <is>
          <t>Critical</t>
        </is>
      </c>
      <c r="G77" s="4" t="inlineStr">
        <is>
          <t>Permission matrix published</t>
        </is>
      </c>
      <c r="H77" s="4" t="inlineStr">
        <is>
          <t>1. For each of the declared permissions, locate its enforcement site.</t>
        </is>
      </c>
      <c r="I77" s="4" t="inlineStr">
        <is>
          <t>Every permission has one; an unenforced permission fails the contract test (F-030).</t>
        </is>
      </c>
      <c r="J77" s="4" t="inlineStr">
        <is>
          <t>tests/rbacEnforcement.test.ts</t>
        </is>
      </c>
      <c r="K77" s="14" t="inlineStr">
        <is>
          <t>Yes — sandbox</t>
        </is>
      </c>
      <c r="L77" s="16" t="inlineStr">
        <is>
          <t>Not run</t>
        </is>
      </c>
      <c r="M77" s="4" t="inlineStr"/>
      <c r="N77" s="4" t="inlineStr"/>
      <c r="O77" s="4" t="inlineStr"/>
    </row>
    <row r="78">
      <c r="A78" s="10" t="inlineStr">
        <is>
          <t>TC-019-02</t>
        </is>
      </c>
      <c r="B78" s="4" t="inlineStr">
        <is>
          <t>v019</t>
        </is>
      </c>
      <c r="C78" s="4" t="inlineStr">
        <is>
          <t>F-030, D-SD6</t>
        </is>
      </c>
      <c r="D78" s="4" t="inlineStr">
        <is>
          <t>A member cannot configure a module</t>
        </is>
      </c>
      <c r="E78" s="17" t="inlineStr">
        <is>
          <t>Negative</t>
        </is>
      </c>
      <c r="F78" s="4" t="inlineStr">
        <is>
          <t>High</t>
        </is>
      </c>
      <c r="G78" s="4" t="inlineStr">
        <is>
          <t>Member user</t>
        </is>
      </c>
      <c r="H78" s="4" t="inlineStr">
        <is>
          <t>1. Attempt module.configure.</t>
        </is>
      </c>
      <c r="I78" s="4" t="inlineStr">
        <is>
          <t>Refused and audited (D-SD3: configuration is admin-level).</t>
        </is>
      </c>
      <c r="J78" s="4" t="inlineStr">
        <is>
          <t>tests/rbacEnforcement.test.ts</t>
        </is>
      </c>
      <c r="K78" s="14" t="inlineStr">
        <is>
          <t>Yes — sandbox</t>
        </is>
      </c>
      <c r="L78" s="16" t="inlineStr">
        <is>
          <t>Not run</t>
        </is>
      </c>
      <c r="M78" s="4" t="inlineStr"/>
      <c r="N78" s="4" t="inlineStr"/>
      <c r="O78" s="4" t="inlineStr"/>
    </row>
    <row r="79">
      <c r="A79" s="10" t="inlineStr">
        <is>
          <t>TC-019-03</t>
        </is>
      </c>
      <c r="B79" s="4" t="inlineStr">
        <is>
          <t>v019</t>
        </is>
      </c>
      <c r="C79" s="4" t="inlineStr">
        <is>
          <t>F-030, D-SD6</t>
        </is>
      </c>
      <c r="D79" s="4" t="inlineStr">
        <is>
          <t>An admin can configure but cannot delete tenant data</t>
        </is>
      </c>
      <c r="E79" s="17" t="inlineStr">
        <is>
          <t>Negative</t>
        </is>
      </c>
      <c r="F79" s="4" t="inlineStr">
        <is>
          <t>Critical</t>
        </is>
      </c>
      <c r="G79" s="4" t="inlineStr">
        <is>
          <t>Admin user</t>
        </is>
      </c>
      <c r="H79" s="4" t="inlineStr">
        <is>
          <t>1. Attempt module.configure.
2. Attempt data.delete.</t>
        </is>
      </c>
      <c r="I79" s="4" t="inlineStr">
        <is>
          <t>The first succeeds, the second is refused — data rights are owner-only.</t>
        </is>
      </c>
      <c r="J79" s="4" t="inlineStr">
        <is>
          <t>tests/rbacEnforcement.test.ts</t>
        </is>
      </c>
      <c r="K79" s="14" t="inlineStr">
        <is>
          <t>Yes — sandbox</t>
        </is>
      </c>
      <c r="L79" s="16" t="inlineStr">
        <is>
          <t>Not run</t>
        </is>
      </c>
      <c r="M79" s="4" t="inlineStr"/>
      <c r="N79" s="4" t="inlineStr"/>
      <c r="O79" s="4" t="inlineStr"/>
    </row>
    <row r="80">
      <c r="A80" s="10" t="inlineStr">
        <is>
          <t>TC-019-04</t>
        </is>
      </c>
      <c r="B80" s="4" t="inlineStr">
        <is>
          <t>v019</t>
        </is>
      </c>
      <c r="C80" s="4" t="inlineStr">
        <is>
          <t>F-030, D-SD6</t>
        </is>
      </c>
      <c r="D80" s="4" t="inlineStr">
        <is>
          <t>A permission that guards nothing is not published</t>
        </is>
      </c>
      <c r="E80" s="17" t="inlineStr">
        <is>
          <t>Negative</t>
        </is>
      </c>
      <c r="F80" s="4" t="inlineStr">
        <is>
          <t>Medium</t>
        </is>
      </c>
      <c r="G80" s="4" t="inlineStr">
        <is>
          <t>Permission matrix</t>
        </is>
      </c>
      <c r="H80" s="4" t="inlineStr">
        <is>
          <t>1. Compare the published matrix with the enforced set.</t>
        </is>
      </c>
      <c r="I80" s="4" t="inlineStr">
        <is>
          <t>They agree; settings.roles was removed for exactly this reason (D-SD6).</t>
        </is>
      </c>
      <c r="J80" s="4" t="inlineStr">
        <is>
          <t>tests/rbac.test.ts</t>
        </is>
      </c>
      <c r="K80" s="14" t="inlineStr">
        <is>
          <t>Yes — sandbox</t>
        </is>
      </c>
      <c r="L80" s="16" t="inlineStr">
        <is>
          <t>Not run</t>
        </is>
      </c>
      <c r="M80" s="4" t="inlineStr"/>
      <c r="N80" s="4" t="inlineStr"/>
      <c r="O80" s="4" t="inlineStr"/>
    </row>
    <row r="81">
      <c r="A81" s="10" t="inlineStr">
        <is>
          <t>TC-019-05</t>
        </is>
      </c>
      <c r="B81" s="4" t="inlineStr">
        <is>
          <t>v019</t>
        </is>
      </c>
      <c r="C81" s="4" t="inlineStr">
        <is>
          <t>F-030, D-SD6</t>
        </is>
      </c>
      <c r="D81" s="4" t="inlineStr">
        <is>
          <t>A deletion produces a receipt an auditor can read</t>
        </is>
      </c>
      <c r="E81" s="14" t="inlineStr">
        <is>
          <t>Positive</t>
        </is>
      </c>
      <c r="F81" s="4" t="inlineStr">
        <is>
          <t>High</t>
        </is>
      </c>
      <c r="G81" s="4" t="inlineStr">
        <is>
          <t>Owner user</t>
        </is>
      </c>
      <c r="H81" s="4" t="inlineStr">
        <is>
          <t>1. Delete tenant data.
2. Read the receipt and the audit entry.</t>
        </is>
      </c>
      <c r="I81" s="4" t="inlineStr">
        <is>
          <t>Receipt carries counts, timestamp and actor; the audit entry names the same actor.</t>
        </is>
      </c>
      <c r="J81" s="4" t="inlineStr">
        <is>
          <t>tests/privacy.test.ts</t>
        </is>
      </c>
      <c r="K81" s="14" t="inlineStr">
        <is>
          <t>Yes — sandbox</t>
        </is>
      </c>
      <c r="L81" s="16" t="inlineStr">
        <is>
          <t>Not run</t>
        </is>
      </c>
      <c r="M81" s="4" t="inlineStr"/>
      <c r="N81" s="4" t="inlineStr"/>
      <c r="O81" s="4" t="inlineStr"/>
    </row>
    <row r="82">
      <c r="A82" s="10" t="inlineStr">
        <is>
          <t>TC-019-06</t>
        </is>
      </c>
      <c r="B82" s="4" t="inlineStr">
        <is>
          <t>v019</t>
        </is>
      </c>
      <c r="C82" s="4" t="inlineStr">
        <is>
          <t>F-030, D-SD6</t>
        </is>
      </c>
      <c r="D82" s="4" t="inlineStr">
        <is>
          <t>Role escalation by request body is refused</t>
        </is>
      </c>
      <c r="E82" s="17" t="inlineStr">
        <is>
          <t>Negative</t>
        </is>
      </c>
      <c r="F82" s="4" t="inlineStr">
        <is>
          <t>Critical</t>
        </is>
      </c>
      <c r="G82" s="4" t="inlineStr">
        <is>
          <t>Member user</t>
        </is>
      </c>
      <c r="H82" s="4" t="inlineStr">
        <is>
          <t>1. Send a request with role=owner in the body.</t>
        </is>
      </c>
      <c r="I82" s="4" t="inlineStr">
        <is>
          <t>Ignored; roles come from the directory and the token, never from the payload.</t>
        </is>
      </c>
      <c r="J82" s="4" t="inlineStr">
        <is>
          <t>tests/rbacEnforcement.test.ts</t>
        </is>
      </c>
      <c r="K82" s="14" t="inlineStr">
        <is>
          <t>Yes — sandbox</t>
        </is>
      </c>
      <c r="L82" s="16" t="inlineStr">
        <is>
          <t>Not run</t>
        </is>
      </c>
      <c r="M82" s="4" t="inlineStr"/>
      <c r="N82" s="4" t="inlineStr"/>
      <c r="O82" s="4" t="inlineStr"/>
    </row>
    <row r="83">
      <c r="A83" s="10" t="inlineStr">
        <is>
          <t>TC-020-01</t>
        </is>
      </c>
      <c r="B83" s="4" t="inlineStr">
        <is>
          <t>v020</t>
        </is>
      </c>
      <c r="C83" s="4" t="inlineStr">
        <is>
          <t>F-031..F-033</t>
        </is>
      </c>
      <c r="D83" s="4" t="inlineStr">
        <is>
          <t>A read-only tenant cannot write but can still read</t>
        </is>
      </c>
      <c r="E83" s="14" t="inlineStr">
        <is>
          <t>Positive</t>
        </is>
      </c>
      <c r="F83" s="4" t="inlineStr">
        <is>
          <t>Critical</t>
        </is>
      </c>
      <c r="G83" s="4" t="inlineStr">
        <is>
          <t>Tenant in read_only</t>
        </is>
      </c>
      <c r="H83" s="4" t="inlineStr">
        <is>
          <t>1. Attempt to create a handover.
2. List handovers.</t>
        </is>
      </c>
      <c r="I83" s="4" t="inlineStr">
        <is>
          <t>The write is refused with an upgrade path; reads still work (F-031).</t>
        </is>
      </c>
      <c r="J83" s="4" t="inlineStr">
        <is>
          <t>tests/entitlements.test.ts</t>
        </is>
      </c>
      <c r="K83" s="14" t="inlineStr">
        <is>
          <t>Yes — sandbox</t>
        </is>
      </c>
      <c r="L83" s="16" t="inlineStr">
        <is>
          <t>Not run</t>
        </is>
      </c>
      <c r="M83" s="4" t="inlineStr"/>
      <c r="N83" s="4" t="inlineStr"/>
      <c r="O83" s="4" t="inlineStr"/>
    </row>
    <row r="84">
      <c r="A84" s="10" t="inlineStr">
        <is>
          <t>TC-020-02</t>
        </is>
      </c>
      <c r="B84" s="4" t="inlineStr">
        <is>
          <t>v020</t>
        </is>
      </c>
      <c r="C84" s="4" t="inlineStr">
        <is>
          <t>F-031..F-033</t>
        </is>
      </c>
      <c r="D84" s="4" t="inlineStr">
        <is>
          <t>A cancelled subscription blocks writes</t>
        </is>
      </c>
      <c r="E84" s="17" t="inlineStr">
        <is>
          <t>Negative</t>
        </is>
      </c>
      <c r="F84" s="4" t="inlineStr">
        <is>
          <t>Critical</t>
        </is>
      </c>
      <c r="G84" s="4" t="inlineStr">
        <is>
          <t>Subscription cancelled</t>
        </is>
      </c>
      <c r="H84" s="4" t="inlineStr">
        <is>
          <t>1. Attempt any mutation.</t>
        </is>
      </c>
      <c r="I84" s="4" t="inlineStr">
        <is>
          <t>Refused at the request boundary, not deep in a service.</t>
        </is>
      </c>
      <c r="J84" s="4" t="inlineStr">
        <is>
          <t>tests/entitlements.test.ts</t>
        </is>
      </c>
      <c r="K84" s="14" t="inlineStr">
        <is>
          <t>Yes — sandbox</t>
        </is>
      </c>
      <c r="L84" s="16" t="inlineStr">
        <is>
          <t>Not run</t>
        </is>
      </c>
      <c r="M84" s="4" t="inlineStr"/>
      <c r="N84" s="4" t="inlineStr"/>
      <c r="O84" s="4" t="inlineStr"/>
    </row>
    <row r="85">
      <c r="A85" s="10" t="inlineStr">
        <is>
          <t>TC-020-03</t>
        </is>
      </c>
      <c r="B85" s="4" t="inlineStr">
        <is>
          <t>v020</t>
        </is>
      </c>
      <c r="C85" s="4" t="inlineStr">
        <is>
          <t>F-031..F-033</t>
        </is>
      </c>
      <c r="D85" s="4" t="inlineStr">
        <is>
          <t>Plan limits are enforced, not advisory</t>
        </is>
      </c>
      <c r="E85" s="17" t="inlineStr">
        <is>
          <t>Negative</t>
        </is>
      </c>
      <c r="F85" s="4" t="inlineStr">
        <is>
          <t>Critical</t>
        </is>
      </c>
      <c r="G85" s="4" t="inlineStr">
        <is>
          <t>Plan limit 10 seats, 10 in use</t>
        </is>
      </c>
      <c r="H85" s="4" t="inlineStr">
        <is>
          <t>1. Add an 11th seat.</t>
        </is>
      </c>
      <c r="I85" s="4" t="inlineStr">
        <is>
          <t>Refused; the 80% and 100% prompts fire on the way up (F-032).</t>
        </is>
      </c>
      <c r="J85" s="4" t="inlineStr">
        <is>
          <t>tests/entitlements.test.ts</t>
        </is>
      </c>
      <c r="K85" s="14" t="inlineStr">
        <is>
          <t>Yes — sandbox</t>
        </is>
      </c>
      <c r="L85" s="16" t="inlineStr">
        <is>
          <t>Not run</t>
        </is>
      </c>
      <c r="M85" s="4" t="inlineStr"/>
      <c r="N85" s="4" t="inlineStr"/>
      <c r="O85" s="4" t="inlineStr"/>
    </row>
    <row r="86">
      <c r="A86" s="10" t="inlineStr">
        <is>
          <t>TC-020-04</t>
        </is>
      </c>
      <c r="B86" s="4" t="inlineStr">
        <is>
          <t>v020</t>
        </is>
      </c>
      <c r="C86" s="4" t="inlineStr">
        <is>
          <t>F-031..F-033</t>
        </is>
      </c>
      <c r="D86" s="4" t="inlineStr">
        <is>
          <t>An expired trial stops write access</t>
        </is>
      </c>
      <c r="E86" s="17" t="inlineStr">
        <is>
          <t>Negative</t>
        </is>
      </c>
      <c r="F86" s="4" t="inlineStr">
        <is>
          <t>Critical</t>
        </is>
      </c>
      <c r="G86" s="4" t="inlineStr">
        <is>
          <t>Trial ended yesterday</t>
        </is>
      </c>
      <c r="H86" s="4" t="inlineStr">
        <is>
          <t>1. Attempt a mutation.</t>
        </is>
      </c>
      <c r="I86" s="4" t="inlineStr">
        <is>
          <t>Refused with a conversion prompt; trials really expire (F-033).</t>
        </is>
      </c>
      <c r="J86" s="4" t="inlineStr">
        <is>
          <t>tests/entitlements.test.ts</t>
        </is>
      </c>
      <c r="K86" s="14" t="inlineStr">
        <is>
          <t>Yes — sandbox</t>
        </is>
      </c>
      <c r="L86" s="16" t="inlineStr">
        <is>
          <t>Not run</t>
        </is>
      </c>
      <c r="M86" s="4" t="inlineStr"/>
      <c r="N86" s="4" t="inlineStr"/>
      <c r="O86" s="4" t="inlineStr"/>
    </row>
    <row r="87">
      <c r="A87" s="10" t="inlineStr">
        <is>
          <t>TC-020-05</t>
        </is>
      </c>
      <c r="B87" s="4" t="inlineStr">
        <is>
          <t>v020</t>
        </is>
      </c>
      <c r="C87" s="4" t="inlineStr">
        <is>
          <t>F-031..F-033</t>
        </is>
      </c>
      <c r="D87" s="4" t="inlineStr">
        <is>
          <t>A paying tenant is never blocked by the entitlement gate</t>
        </is>
      </c>
      <c r="E87" s="14" t="inlineStr">
        <is>
          <t>Positive</t>
        </is>
      </c>
      <c r="F87" s="4" t="inlineStr">
        <is>
          <t>Critical</t>
        </is>
      </c>
      <c r="G87" s="4" t="inlineStr">
        <is>
          <t>Active paid plan under limits</t>
        </is>
      </c>
      <c r="H87" s="4" t="inlineStr">
        <is>
          <t>1. Perform 20 mutations.</t>
        </is>
      </c>
      <c r="I87" s="4" t="inlineStr">
        <is>
          <t>All succeed; the gate never blocks a read and never blocks a paying tenant in good standing.</t>
        </is>
      </c>
      <c r="J87" s="4" t="inlineStr">
        <is>
          <t>tests/entitlements.test.ts</t>
        </is>
      </c>
      <c r="K87" s="14" t="inlineStr">
        <is>
          <t>Yes — sandbox</t>
        </is>
      </c>
      <c r="L87" s="16" t="inlineStr">
        <is>
          <t>Not run</t>
        </is>
      </c>
      <c r="M87" s="4" t="inlineStr"/>
      <c r="N87" s="4" t="inlineStr"/>
      <c r="O87" s="4" t="inlineStr"/>
    </row>
    <row r="88">
      <c r="A88" s="10" t="inlineStr">
        <is>
          <t>TC-020-06</t>
        </is>
      </c>
      <c r="B88" s="4" t="inlineStr">
        <is>
          <t>v020</t>
        </is>
      </c>
      <c r="C88" s="4" t="inlineStr">
        <is>
          <t>F-031..F-033</t>
        </is>
      </c>
      <c r="D88" s="4" t="inlineStr">
        <is>
          <t>The pricing FAQ matches the billing engine</t>
        </is>
      </c>
      <c r="E88" s="17" t="inlineStr">
        <is>
          <t>Negative</t>
        </is>
      </c>
      <c r="F88" s="4" t="inlineStr">
        <is>
          <t>High</t>
        </is>
      </c>
      <c r="G88" s="4" t="inlineStr">
        <is>
          <t>FAQ and PLANS present</t>
        </is>
      </c>
      <c r="H88" s="4" t="inlineStr">
        <is>
          <t>1. Compare every price in the FAQ with the plan table.</t>
        </is>
      </c>
      <c r="I88" s="4" t="inlineStr">
        <is>
          <t>They agree; a drift fails the test (ST-095 gate).</t>
        </is>
      </c>
      <c r="J88" s="4" t="inlineStr">
        <is>
          <t>tests/reviewPack.test.ts</t>
        </is>
      </c>
      <c r="K88" s="14" t="inlineStr">
        <is>
          <t>Yes — sandbox</t>
        </is>
      </c>
      <c r="L88" s="16" t="inlineStr">
        <is>
          <t>Not run</t>
        </is>
      </c>
      <c r="M88" s="4" t="inlineStr"/>
      <c r="N88" s="4" t="inlineStr"/>
      <c r="O88" s="4" t="inlineStr"/>
    </row>
    <row r="89">
      <c r="A89" s="10" t="inlineStr">
        <is>
          <t>TC-021-01</t>
        </is>
      </c>
      <c r="B89" s="4" t="inlineStr">
        <is>
          <t>v021</t>
        </is>
      </c>
      <c r="C89" s="4" t="inlineStr">
        <is>
          <t>F-034/F-035</t>
        </is>
      </c>
      <c r="D89" s="4" t="inlineStr">
        <is>
          <t>An in-app notification is delivered and recorded</t>
        </is>
      </c>
      <c r="E89" s="14" t="inlineStr">
        <is>
          <t>Positive</t>
        </is>
      </c>
      <c r="F89" s="4" t="inlineStr">
        <is>
          <t>High</t>
        </is>
      </c>
      <c r="G89" s="4" t="inlineStr">
        <is>
          <t>Notification enabled</t>
        </is>
      </c>
      <c r="H89" s="4" t="inlineStr">
        <is>
          <t>1. Create a handover.
2. Read the notification stream and the delivery record.</t>
        </is>
      </c>
      <c r="I89" s="4" t="inlineStr">
        <is>
          <t>One in_app notification delivered and retained (F-034).</t>
        </is>
      </c>
      <c r="J89" s="4" t="inlineStr">
        <is>
          <t>tests/notifications.test.ts</t>
        </is>
      </c>
      <c r="K89" s="14" t="inlineStr">
        <is>
          <t>Yes — sandbox</t>
        </is>
      </c>
      <c r="L89" s="16" t="inlineStr">
        <is>
          <t>Not run</t>
        </is>
      </c>
      <c r="M89" s="4" t="inlineStr"/>
      <c r="N89" s="4" t="inlineStr"/>
      <c r="O89" s="4" t="inlineStr"/>
    </row>
    <row r="90">
      <c r="A90" s="10" t="inlineStr">
        <is>
          <t>TC-021-02</t>
        </is>
      </c>
      <c r="B90" s="4" t="inlineStr">
        <is>
          <t>v021</t>
        </is>
      </c>
      <c r="C90" s="4" t="inlineStr">
        <is>
          <t>F-034/F-035</t>
        </is>
      </c>
      <c r="D90" s="4" t="inlineStr">
        <is>
          <t>A muted notification type is not delivered</t>
        </is>
      </c>
      <c r="E90" s="17" t="inlineStr">
        <is>
          <t>Negative</t>
        </is>
      </c>
      <c r="F90" s="4" t="inlineStr">
        <is>
          <t>Medium</t>
        </is>
      </c>
      <c r="G90" s="4" t="inlineStr">
        <is>
          <t>handover.created muted</t>
        </is>
      </c>
      <c r="H90" s="4" t="inlineStr">
        <is>
          <t>1. Create a handover.</t>
        </is>
      </c>
      <c r="I90" s="4" t="inlineStr">
        <is>
          <t>No notification; the mute is per type, per user.</t>
        </is>
      </c>
      <c r="J90" s="4" t="inlineStr">
        <is>
          <t>tests/notifications.test.ts</t>
        </is>
      </c>
      <c r="K90" s="14" t="inlineStr">
        <is>
          <t>Yes — sandbox</t>
        </is>
      </c>
      <c r="L90" s="16" t="inlineStr">
        <is>
          <t>Not run</t>
        </is>
      </c>
      <c r="M90" s="4" t="inlineStr"/>
      <c r="N90" s="4" t="inlineStr"/>
      <c r="O90" s="4" t="inlineStr"/>
    </row>
    <row r="91">
      <c r="A91" s="10" t="inlineStr">
        <is>
          <t>TC-021-03</t>
        </is>
      </c>
      <c r="B91" s="4" t="inlineStr">
        <is>
          <t>v021</t>
        </is>
      </c>
      <c r="C91" s="4" t="inlineStr">
        <is>
          <t>F-034/F-035</t>
        </is>
      </c>
      <c r="D91" s="4" t="inlineStr">
        <is>
          <t>A delivery failure does not fail the user write</t>
        </is>
      </c>
      <c r="E91" s="17" t="inlineStr">
        <is>
          <t>Negative</t>
        </is>
      </c>
      <c r="F91" s="4" t="inlineStr">
        <is>
          <t>High</t>
        </is>
      </c>
      <c r="G91" s="4" t="inlineStr">
        <is>
          <t>Mail transport fails</t>
        </is>
      </c>
      <c r="H91" s="4" t="inlineStr">
        <is>
          <t>1. Create a handover.</t>
        </is>
      </c>
      <c r="I91" s="4" t="inlineStr">
        <is>
          <t>The handover is created, the failure is recorded, and the user sees success (F-048).</t>
        </is>
      </c>
      <c r="J91" s="4" t="inlineStr">
        <is>
          <t>tests/notificationDispatcher.test.ts</t>
        </is>
      </c>
      <c r="K91" s="14" t="inlineStr">
        <is>
          <t>Yes — sandbox</t>
        </is>
      </c>
      <c r="L91" s="16" t="inlineStr">
        <is>
          <t>Not run</t>
        </is>
      </c>
      <c r="M91" s="4" t="inlineStr"/>
      <c r="N91" s="4" t="inlineStr"/>
      <c r="O91" s="4" t="inlineStr"/>
    </row>
    <row r="92">
      <c r="A92" s="10" t="inlineStr">
        <is>
          <t>TC-021-04</t>
        </is>
      </c>
      <c r="B92" s="4" t="inlineStr">
        <is>
          <t>v021</t>
        </is>
      </c>
      <c r="C92" s="4" t="inlineStr">
        <is>
          <t>F-034/F-035</t>
        </is>
      </c>
      <c r="D92" s="4" t="inlineStr">
        <is>
          <t>p95 latency is measured per surface</t>
        </is>
      </c>
      <c r="E92" s="14" t="inlineStr">
        <is>
          <t>Positive</t>
        </is>
      </c>
      <c r="F92" s="4" t="inlineStr">
        <is>
          <t>High</t>
        </is>
      </c>
      <c r="G92" s="4" t="inlineStr">
        <is>
          <t>Server running</t>
        </is>
      </c>
      <c r="H92" s="4" t="inlineStr">
        <is>
          <t>1. Issue 50 API requests.
2. Read the latency report.</t>
        </is>
      </c>
      <c r="I92" s="4" t="inlineStr">
        <is>
          <t>p95 is reported per surface against the declared budget (F-035), so the rollback trigger can fire.</t>
        </is>
      </c>
      <c r="J92" s="4" t="inlineStr">
        <is>
          <t>tests/latencyInstrumentation.test.ts</t>
        </is>
      </c>
      <c r="K92" s="14" t="inlineStr">
        <is>
          <t>Yes — sandbox</t>
        </is>
      </c>
      <c r="L92" s="16" t="inlineStr">
        <is>
          <t>Not run</t>
        </is>
      </c>
      <c r="M92" s="4" t="inlineStr"/>
      <c r="N92" s="4" t="inlineStr"/>
      <c r="O92" s="4" t="inlineStr"/>
    </row>
    <row r="93">
      <c r="A93" s="10" t="inlineStr">
        <is>
          <t>TC-022-01</t>
        </is>
      </c>
      <c r="B93" s="4" t="inlineStr">
        <is>
          <t>v022</t>
        </is>
      </c>
      <c r="C93" s="4" t="inlineStr">
        <is>
          <t>F-036/F-037</t>
        </is>
      </c>
      <c r="D93" s="4" t="inlineStr">
        <is>
          <t>The activation funnel records install, setup and aha</t>
        </is>
      </c>
      <c r="E93" s="14" t="inlineStr">
        <is>
          <t>Positive</t>
        </is>
      </c>
      <c r="F93" s="4" t="inlineStr">
        <is>
          <t>High</t>
        </is>
      </c>
      <c r="G93" s="4" t="inlineStr">
        <is>
          <t>Fresh tenant</t>
        </is>
      </c>
      <c r="H93" s="4" t="inlineStr">
        <is>
          <t>1. Install.
2. Complete setup.
3. Complete the first handover.
4. Read the funnel.</t>
        </is>
      </c>
      <c r="I93" s="4" t="inlineStr">
        <is>
          <t>Three funnel events in order with one tenant; the S11 activation criterion is computable (F-036).</t>
        </is>
      </c>
      <c r="J93" s="4" t="inlineStr">
        <is>
          <t>tests/telemetry.test.ts</t>
        </is>
      </c>
      <c r="K93" s="14" t="inlineStr">
        <is>
          <t>Yes — sandbox</t>
        </is>
      </c>
      <c r="L93" s="16" t="inlineStr">
        <is>
          <t>Not run</t>
        </is>
      </c>
      <c r="M93" s="4" t="inlineStr"/>
      <c r="N93" s="4" t="inlineStr"/>
      <c r="O93" s="4" t="inlineStr"/>
    </row>
    <row r="94">
      <c r="A94" s="10" t="inlineStr">
        <is>
          <t>TC-022-02</t>
        </is>
      </c>
      <c r="B94" s="4" t="inlineStr">
        <is>
          <t>v022</t>
        </is>
      </c>
      <c r="C94" s="4" t="inlineStr">
        <is>
          <t>F-036/F-037</t>
        </is>
      </c>
      <c r="D94" s="4" t="inlineStr">
        <is>
          <t>Audit entries are written for non-configuration actions too</t>
        </is>
      </c>
      <c r="E94" s="14" t="inlineStr">
        <is>
          <t>Positive</t>
        </is>
      </c>
      <c r="F94" s="4" t="inlineStr">
        <is>
          <t>High</t>
        </is>
      </c>
      <c r="G94" s="4" t="inlineStr">
        <is>
          <t>Server running</t>
        </is>
      </c>
      <c r="H94" s="4" t="inlineStr">
        <is>
          <t>1. Acknowledge a handover.
2. Read the audit log.</t>
        </is>
      </c>
      <c r="I94" s="4" t="inlineStr">
        <is>
          <t>The action is audited; coverage is not limited to configuration changes (F-037).</t>
        </is>
      </c>
      <c r="J94" s="4" t="inlineStr">
        <is>
          <t>tests/audit.test.ts</t>
        </is>
      </c>
      <c r="K94" s="14" t="inlineStr">
        <is>
          <t>Yes — sandbox</t>
        </is>
      </c>
      <c r="L94" s="16" t="inlineStr">
        <is>
          <t>Not run</t>
        </is>
      </c>
      <c r="M94" s="4" t="inlineStr"/>
      <c r="N94" s="4" t="inlineStr"/>
      <c r="O94" s="4" t="inlineStr"/>
    </row>
    <row r="95">
      <c r="A95" s="10" t="inlineStr">
        <is>
          <t>TC-022-03</t>
        </is>
      </c>
      <c r="B95" s="4" t="inlineStr">
        <is>
          <t>v022</t>
        </is>
      </c>
      <c r="C95" s="4" t="inlineStr">
        <is>
          <t>F-036/F-037</t>
        </is>
      </c>
      <c r="D95" s="4" t="inlineStr">
        <is>
          <t>Audit entries survive a restart</t>
        </is>
      </c>
      <c r="E95" s="14" t="inlineStr">
        <is>
          <t>Positive</t>
        </is>
      </c>
      <c r="F95" s="4" t="inlineStr">
        <is>
          <t>Critical</t>
        </is>
      </c>
      <c r="G95" s="4" t="inlineStr">
        <is>
          <t>Entries written</t>
        </is>
      </c>
      <c r="H95" s="4" t="inlineStr">
        <is>
          <t>1. Restart.
2. Read the audit log.</t>
        </is>
      </c>
      <c r="I95" s="4" t="inlineStr">
        <is>
          <t>All entries present — the durable log is the one in use.</t>
        </is>
      </c>
      <c r="J95" s="4" t="inlineStr">
        <is>
          <t>tests/audit.test.ts</t>
        </is>
      </c>
      <c r="K95" s="14" t="inlineStr">
        <is>
          <t>Yes — sandbox</t>
        </is>
      </c>
      <c r="L95" s="16" t="inlineStr">
        <is>
          <t>Not run</t>
        </is>
      </c>
      <c r="M95" s="4" t="inlineStr"/>
      <c r="N95" s="4" t="inlineStr"/>
      <c r="O95" s="4" t="inlineStr"/>
    </row>
    <row r="96">
      <c r="A96" s="10" t="inlineStr">
        <is>
          <t>TC-022-04</t>
        </is>
      </c>
      <c r="B96" s="4" t="inlineStr">
        <is>
          <t>v022</t>
        </is>
      </c>
      <c r="C96" s="4" t="inlineStr">
        <is>
          <t>F-036/F-037</t>
        </is>
      </c>
      <c r="D96" s="4" t="inlineStr">
        <is>
          <t>Telemetry carries the release tag from configuration</t>
        </is>
      </c>
      <c r="E96" s="14" t="inlineStr">
        <is>
          <t>Positive</t>
        </is>
      </c>
      <c r="F96" s="4" t="inlineStr">
        <is>
          <t>Medium</t>
        </is>
      </c>
      <c r="G96" s="4" t="inlineStr">
        <is>
          <t>SHIFTDESK_RELEASE set</t>
        </is>
      </c>
      <c r="H96" s="4" t="inlineStr">
        <is>
          <t>1. Trigger an error.
2. Read the telemetry row.</t>
        </is>
      </c>
      <c r="I96" s="4" t="inlineStr">
        <is>
          <t>The configured release appears, not a hardcoded "dev" (F-070).</t>
        </is>
      </c>
      <c r="J96" s="4" t="inlineStr">
        <is>
          <t>tests/observability.test.ts</t>
        </is>
      </c>
      <c r="K96" s="14" t="inlineStr">
        <is>
          <t>Yes — sandbox</t>
        </is>
      </c>
      <c r="L96" s="16" t="inlineStr">
        <is>
          <t>Not run</t>
        </is>
      </c>
      <c r="M96" s="4" t="inlineStr"/>
      <c r="N96" s="4" t="inlineStr"/>
      <c r="O96" s="4" t="inlineStr"/>
    </row>
    <row r="97">
      <c r="A97" s="10" t="inlineStr">
        <is>
          <t>TC-023-01</t>
        </is>
      </c>
      <c r="B97" s="4" t="inlineStr">
        <is>
          <t>v023</t>
        </is>
      </c>
      <c r="C97" s="4" t="inlineStr">
        <is>
          <t>F-038..F-040</t>
        </is>
      </c>
      <c r="D97" s="4" t="inlineStr">
        <is>
          <t>Every screen is reachable from the navigation</t>
        </is>
      </c>
      <c r="E97" s="14" t="inlineStr">
        <is>
          <t>Positive</t>
        </is>
      </c>
      <c r="F97" s="4" t="inlineStr">
        <is>
          <t>Critical</t>
        </is>
      </c>
      <c r="G97" s="4" t="inlineStr">
        <is>
          <t>Tab built</t>
        </is>
      </c>
      <c r="H97" s="4" t="inlineStr">
        <is>
          <t>1. Enumerate screens.
2. Navigate to each from the shell.</t>
        </is>
      </c>
      <c r="I97" s="4" t="inlineStr">
        <is>
          <t>All nine reachable; approvals has a UI (F-038 found six unreachable).</t>
        </is>
      </c>
      <c r="J97" s="4" t="inlineStr">
        <is>
          <t>tests/reachability.test.tsx</t>
        </is>
      </c>
      <c r="K97" s="14" t="inlineStr">
        <is>
          <t>Yes — sandbox</t>
        </is>
      </c>
      <c r="L97" s="16" t="inlineStr">
        <is>
          <t>Not run</t>
        </is>
      </c>
      <c r="M97" s="4" t="inlineStr"/>
      <c r="N97" s="4" t="inlineStr"/>
      <c r="O97" s="4" t="inlineStr"/>
    </row>
    <row r="98">
      <c r="A98" s="10" t="inlineStr">
        <is>
          <t>TC-023-02</t>
        </is>
      </c>
      <c r="B98" s="4" t="inlineStr">
        <is>
          <t>v023</t>
        </is>
      </c>
      <c r="C98" s="4" t="inlineStr">
        <is>
          <t>F-038..F-040</t>
        </is>
      </c>
      <c r="D98" s="4" t="inlineStr">
        <is>
          <t>The notification dispatcher is constructed at runtime</t>
        </is>
      </c>
      <c r="E98" s="14" t="inlineStr">
        <is>
          <t>Positive</t>
        </is>
      </c>
      <c r="F98" s="4" t="inlineStr">
        <is>
          <t>Critical</t>
        </is>
      </c>
      <c r="G98" s="4" t="inlineStr">
        <is>
          <t>App booted</t>
        </is>
      </c>
      <c r="H98" s="4" t="inlineStr">
        <is>
          <t>1. Boot.
2. Inspect the constructed seams.</t>
        </is>
      </c>
      <c r="I98" s="4" t="inlineStr">
        <is>
          <t>The dispatcher exists and is called by a real request (F-039).</t>
        </is>
      </c>
      <c r="J98" s="4" t="inlineStr">
        <is>
          <t>tests/runtimeWiring.test.ts</t>
        </is>
      </c>
      <c r="K98" s="14" t="inlineStr">
        <is>
          <t>Yes — sandbox</t>
        </is>
      </c>
      <c r="L98" s="16" t="inlineStr">
        <is>
          <t>Not run</t>
        </is>
      </c>
      <c r="M98" s="4" t="inlineStr"/>
      <c r="N98" s="4" t="inlineStr"/>
      <c r="O98" s="4" t="inlineStr"/>
    </row>
    <row r="99">
      <c r="A99" s="10" t="inlineStr">
        <is>
          <t>TC-023-03</t>
        </is>
      </c>
      <c r="B99" s="4" t="inlineStr">
        <is>
          <t>v023</t>
        </is>
      </c>
      <c r="C99" s="4" t="inlineStr">
        <is>
          <t>F-038..F-040</t>
        </is>
      </c>
      <c r="D99" s="4" t="inlineStr">
        <is>
          <t>A module with no caller fails the wiring assertion</t>
        </is>
      </c>
      <c r="E99" s="17" t="inlineStr">
        <is>
          <t>Negative</t>
        </is>
      </c>
      <c r="F99" s="4" t="inlineStr">
        <is>
          <t>High</t>
        </is>
      </c>
      <c r="G99" s="4" t="inlineStr">
        <is>
          <t>None</t>
        </is>
      </c>
      <c r="H99" s="4" t="inlineStr">
        <is>
          <t>1. Add an exported module that nothing constructs.
2. Run the wiring assertion.</t>
        </is>
      </c>
      <c r="I99" s="4" t="inlineStr">
        <is>
          <t>The assertion fails — deliberate non-wiring must be declared (OBS-SD7).</t>
        </is>
      </c>
      <c r="J99" s="4" t="inlineStr">
        <is>
          <t>tests/v046Closeout.test.ts</t>
        </is>
      </c>
      <c r="K99" s="14" t="inlineStr">
        <is>
          <t>Yes — sandbox</t>
        </is>
      </c>
      <c r="L99" s="16" t="inlineStr">
        <is>
          <t>Not run</t>
        </is>
      </c>
      <c r="M99" s="4" t="inlineStr"/>
      <c r="N99" s="4" t="inlineStr"/>
      <c r="O99" s="4" t="inlineStr"/>
    </row>
    <row r="100">
      <c r="A100" s="10" t="inlineStr">
        <is>
          <t>TC-023-04</t>
        </is>
      </c>
      <c r="B100" s="4" t="inlineStr">
        <is>
          <t>v023</t>
        </is>
      </c>
      <c r="C100" s="4" t="inlineStr">
        <is>
          <t>F-038..F-040</t>
        </is>
      </c>
      <c r="D100" s="4" t="inlineStr">
        <is>
          <t>Empty states teach the next action on every screen</t>
        </is>
      </c>
      <c r="E100" s="14" t="inlineStr">
        <is>
          <t>Positive</t>
        </is>
      </c>
      <c r="F100" s="4" t="inlineStr">
        <is>
          <t>Medium</t>
        </is>
      </c>
      <c r="G100" s="4" t="inlineStr">
        <is>
          <t>Fresh tenant</t>
        </is>
      </c>
      <c r="H100" s="4" t="inlineStr">
        <is>
          <t>1. Open each screen with no data.</t>
        </is>
      </c>
      <c r="I100" s="4" t="inlineStr">
        <is>
          <t>Each shows what to do next rather than a blank panel.</t>
        </is>
      </c>
      <c r="J100" s="4" t="inlineStr">
        <is>
          <t>tests/ui.screens.test.tsx</t>
        </is>
      </c>
      <c r="K100" s="14" t="inlineStr">
        <is>
          <t>Yes — sandbox</t>
        </is>
      </c>
      <c r="L100" s="16" t="inlineStr">
        <is>
          <t>Not run</t>
        </is>
      </c>
      <c r="M100" s="4" t="inlineStr"/>
      <c r="N100" s="4" t="inlineStr"/>
      <c r="O100" s="4" t="inlineStr"/>
    </row>
    <row r="101">
      <c r="A101" s="10" t="inlineStr">
        <is>
          <t>TC-024-01</t>
        </is>
      </c>
      <c r="B101" s="4" t="inlineStr">
        <is>
          <t>v024</t>
        </is>
      </c>
      <c r="C101" s="4" t="inlineStr">
        <is>
          <t>F-040, OBS-SD8</t>
        </is>
      </c>
      <c r="D101" s="4" t="inlineStr">
        <is>
          <t>With encryption enabled, stored payloads are not readable as plain text</t>
        </is>
      </c>
      <c r="E101" s="14" t="inlineStr">
        <is>
          <t>Positive</t>
        </is>
      </c>
      <c r="F101" s="4" t="inlineStr">
        <is>
          <t>Critical</t>
        </is>
      </c>
      <c r="G101" s="4" t="inlineStr">
        <is>
          <t>Encryption key configured</t>
        </is>
      </c>
      <c r="H101" s="4" t="inlineStr">
        <is>
          <t>1. Write a handover.
2. Read the raw store row.</t>
        </is>
      </c>
      <c r="I101" s="4" t="inlineStr">
        <is>
          <t>The payload is an enc: envelope; the record still round-trips through the API.</t>
        </is>
      </c>
      <c r="J101" s="4" t="inlineStr">
        <is>
          <t>tests/encryptedRepository.test.ts</t>
        </is>
      </c>
      <c r="K101" s="14" t="inlineStr">
        <is>
          <t>Yes — sandbox</t>
        </is>
      </c>
      <c r="L101" s="16" t="inlineStr">
        <is>
          <t>Not run</t>
        </is>
      </c>
      <c r="M101" s="4" t="inlineStr"/>
      <c r="N101" s="4" t="inlineStr"/>
      <c r="O101" s="4" t="inlineStr"/>
    </row>
    <row r="102">
      <c r="A102" s="10" t="inlineStr">
        <is>
          <t>TC-024-02</t>
        </is>
      </c>
      <c r="B102" s="4" t="inlineStr">
        <is>
          <t>v024</t>
        </is>
      </c>
      <c r="C102" s="4" t="inlineStr">
        <is>
          <t>F-040, OBS-SD8</t>
        </is>
      </c>
      <c r="D102" s="4" t="inlineStr">
        <is>
          <t>With encryption disabled, behaviour is identical bar the envelope</t>
        </is>
      </c>
      <c r="E102" s="14" t="inlineStr">
        <is>
          <t>Positive</t>
        </is>
      </c>
      <c r="F102" s="4" t="inlineStr">
        <is>
          <t>High</t>
        </is>
      </c>
      <c r="G102" s="4" t="inlineStr">
        <is>
          <t>No key configured</t>
        </is>
      </c>
      <c r="H102" s="4" t="inlineStr">
        <is>
          <t>1. Run the repository contract suite.</t>
        </is>
      </c>
      <c r="I102" s="4" t="inlineStr">
        <is>
          <t>Same behaviour; provider-managed storage encryption needs no code change.</t>
        </is>
      </c>
      <c r="J102" s="4" t="inlineStr">
        <is>
          <t>tests/repository.test.ts</t>
        </is>
      </c>
      <c r="K102" s="14" t="inlineStr">
        <is>
          <t>Yes — sandbox</t>
        </is>
      </c>
      <c r="L102" s="16" t="inlineStr">
        <is>
          <t>Not run</t>
        </is>
      </c>
      <c r="M102" s="4" t="inlineStr"/>
      <c r="N102" s="4" t="inlineStr"/>
      <c r="O102" s="4" t="inlineStr"/>
    </row>
    <row r="103">
      <c r="A103" s="10" t="inlineStr">
        <is>
          <t>TC-024-03</t>
        </is>
      </c>
      <c r="B103" s="4" t="inlineStr">
        <is>
          <t>v024</t>
        </is>
      </c>
      <c r="C103" s="4" t="inlineStr">
        <is>
          <t>F-040, OBS-SD8</t>
        </is>
      </c>
      <c r="D103" s="4" t="inlineStr">
        <is>
          <t>A wrong key cannot read an existing record</t>
        </is>
      </c>
      <c r="E103" s="17" t="inlineStr">
        <is>
          <t>Negative</t>
        </is>
      </c>
      <c r="F103" s="4" t="inlineStr">
        <is>
          <t>Critical</t>
        </is>
      </c>
      <c r="G103" s="4" t="inlineStr">
        <is>
          <t>Record written under key K1</t>
        </is>
      </c>
      <c r="H103" s="4" t="inlineStr">
        <is>
          <t>1. Configure key K2 only.
2. Read the record.</t>
        </is>
      </c>
      <c r="I103" s="4" t="inlineStr">
        <is>
          <t>The read fails explicitly rather than returning corrupt data.</t>
        </is>
      </c>
      <c r="J103" s="4" t="inlineStr">
        <is>
          <t>tests/encryptedRepository.test.ts</t>
        </is>
      </c>
      <c r="K103" s="14" t="inlineStr">
        <is>
          <t>Yes — sandbox</t>
        </is>
      </c>
      <c r="L103" s="16" t="inlineStr">
        <is>
          <t>Not run</t>
        </is>
      </c>
      <c r="M103" s="4" t="inlineStr"/>
      <c r="N103" s="4" t="inlineStr"/>
      <c r="O103" s="4" t="inlineStr"/>
    </row>
    <row r="104">
      <c r="A104" s="10" t="inlineStr">
        <is>
          <t>TC-024-04</t>
        </is>
      </c>
      <c r="B104" s="4" t="inlineStr">
        <is>
          <t>v024</t>
        </is>
      </c>
      <c r="C104" s="4" t="inlineStr">
        <is>
          <t>F-040, OBS-SD8</t>
        </is>
      </c>
      <c r="D104" s="4" t="inlineStr">
        <is>
          <t>The trust page states precisely what is not encrypted</t>
        </is>
      </c>
      <c r="E104" s="14" t="inlineStr">
        <is>
          <t>Positive</t>
        </is>
      </c>
      <c r="F104" s="4" t="inlineStr">
        <is>
          <t>High</t>
        </is>
      </c>
      <c r="G104" s="4" t="inlineStr">
        <is>
          <t>Trust page present</t>
        </is>
      </c>
      <c r="H104" s="4" t="inlineStr">
        <is>
          <t>1. Read the page.</t>
        </is>
      </c>
      <c r="I104" s="4" t="inlineStr">
        <is>
          <t>Clear-text fields are named; both configurations are described (F-040).</t>
        </is>
      </c>
      <c r="J104" s="4" t="inlineStr">
        <is>
          <t>tests/reviewPack.test.ts</t>
        </is>
      </c>
      <c r="K104" s="14" t="inlineStr">
        <is>
          <t>Yes — sandbox</t>
        </is>
      </c>
      <c r="L104" s="16" t="inlineStr">
        <is>
          <t>Not run</t>
        </is>
      </c>
      <c r="M104" s="4" t="inlineStr"/>
      <c r="N104" s="4" t="inlineStr"/>
      <c r="O104" s="4" t="inlineStr"/>
    </row>
    <row r="105">
      <c r="A105" s="10" t="inlineStr">
        <is>
          <t>TC-025-01</t>
        </is>
      </c>
      <c r="B105" s="4" t="inlineStr">
        <is>
          <t>v025</t>
        </is>
      </c>
      <c r="C105" s="4" t="inlineStr">
        <is>
          <t>F-041..F-045</t>
        </is>
      </c>
      <c r="D105" s="4" t="inlineStr">
        <is>
          <t>The seat cap fires at the boundary with real actors</t>
        </is>
      </c>
      <c r="E105" s="17" t="inlineStr">
        <is>
          <t>Negative</t>
        </is>
      </c>
      <c r="F105" s="4" t="inlineStr">
        <is>
          <t>Critical</t>
        </is>
      </c>
      <c r="G105" s="4" t="inlineStr">
        <is>
          <t>Plan cap reached</t>
        </is>
      </c>
      <c r="H105" s="4" t="inlineStr">
        <is>
          <t>1. Add a seat through the request path, not by calling the checker.</t>
        </is>
      </c>
      <c r="I105" s="4" t="inlineStr">
        <is>
          <t>Refused (F-041: checker and caller were each green while the feature was inoperative).</t>
        </is>
      </c>
      <c r="J105" s="4" t="inlineStr">
        <is>
          <t>tests/reviewPass5.test.ts</t>
        </is>
      </c>
      <c r="K105" s="14" t="inlineStr">
        <is>
          <t>Yes — sandbox</t>
        </is>
      </c>
      <c r="L105" s="16" t="inlineStr">
        <is>
          <t>Not run</t>
        </is>
      </c>
      <c r="M105" s="4" t="inlineStr"/>
      <c r="N105" s="4" t="inlineStr"/>
      <c r="O105" s="4" t="inlineStr"/>
    </row>
    <row r="106">
      <c r="A106" s="10" t="inlineStr">
        <is>
          <t>TC-025-02</t>
        </is>
      </c>
      <c r="B106" s="4" t="inlineStr">
        <is>
          <t>v025</t>
        </is>
      </c>
      <c r="C106" s="4" t="inlineStr">
        <is>
          <t>F-041..F-045</t>
        </is>
      </c>
      <c r="D106" s="4" t="inlineStr">
        <is>
          <t>A notification is retained when delivery fails</t>
        </is>
      </c>
      <c r="E106" s="17" t="inlineStr">
        <is>
          <t>Negative</t>
        </is>
      </c>
      <c r="F106" s="4" t="inlineStr">
        <is>
          <t>High</t>
        </is>
      </c>
      <c r="G106" s="4" t="inlineStr">
        <is>
          <t>Transport failing</t>
        </is>
      </c>
      <c r="H106" s="4" t="inlineStr">
        <is>
          <t>1. Trigger a notification.
2. Read the buffer.</t>
        </is>
      </c>
      <c r="I106" s="4" t="inlineStr">
        <is>
          <t>The record is retained for retry, not discarded (F-045 class).</t>
        </is>
      </c>
      <c r="J106" s="4" t="inlineStr">
        <is>
          <t>tests/notificationDispatcher.test.ts</t>
        </is>
      </c>
      <c r="K106" s="14" t="inlineStr">
        <is>
          <t>Yes — sandbox</t>
        </is>
      </c>
      <c r="L106" s="16" t="inlineStr">
        <is>
          <t>Not run</t>
        </is>
      </c>
      <c r="M106" s="4" t="inlineStr"/>
      <c r="N106" s="4" t="inlineStr"/>
      <c r="O106" s="4" t="inlineStr"/>
    </row>
    <row r="107">
      <c r="A107" s="10" t="inlineStr">
        <is>
          <t>TC-025-03</t>
        </is>
      </c>
      <c r="B107" s="4" t="inlineStr">
        <is>
          <t>v025</t>
        </is>
      </c>
      <c r="C107" s="4" t="inlineStr">
        <is>
          <t>F-041..F-045</t>
        </is>
      </c>
      <c r="D107" s="4" t="inlineStr">
        <is>
          <t>Health score reflects usage, billing and support inputs</t>
        </is>
      </c>
      <c r="E107" s="14" t="inlineStr">
        <is>
          <t>Positive</t>
        </is>
      </c>
      <c r="F107" s="4" t="inlineStr">
        <is>
          <t>Medium</t>
        </is>
      </c>
      <c r="G107" s="4" t="inlineStr">
        <is>
          <t>Tenant with mixed signals</t>
        </is>
      </c>
      <c r="H107" s="4" t="inlineStr">
        <is>
          <t>1. Compute the health score.</t>
        </is>
      </c>
      <c r="I107" s="4" t="inlineStr">
        <is>
          <t>All three inputs move the score; none is ignored.</t>
        </is>
      </c>
      <c r="J107" s="4" t="inlineStr">
        <is>
          <t>tests/dashboard.test.ts</t>
        </is>
      </c>
      <c r="K107" s="14" t="inlineStr">
        <is>
          <t>Yes — sandbox</t>
        </is>
      </c>
      <c r="L107" s="16" t="inlineStr">
        <is>
          <t>Not run</t>
        </is>
      </c>
      <c r="M107" s="4" t="inlineStr"/>
      <c r="N107" s="4" t="inlineStr"/>
      <c r="O107" s="4" t="inlineStr"/>
    </row>
    <row r="108">
      <c r="A108" s="10" t="inlineStr">
        <is>
          <t>TC-025-04</t>
        </is>
      </c>
      <c r="B108" s="4" t="inlineStr">
        <is>
          <t>v025</t>
        </is>
      </c>
      <c r="C108" s="4" t="inlineStr">
        <is>
          <t>F-041..F-045</t>
        </is>
      </c>
      <c r="D108" s="4" t="inlineStr">
        <is>
          <t>Trial countdown banner shows the correct days remaining</t>
        </is>
      </c>
      <c r="E108" s="14" t="inlineStr">
        <is>
          <t>Positive</t>
        </is>
      </c>
      <c r="F108" s="4" t="inlineStr">
        <is>
          <t>Low</t>
        </is>
      </c>
      <c r="G108" s="4" t="inlineStr">
        <is>
          <t>Trial with 5 days left</t>
        </is>
      </c>
      <c r="H108" s="4" t="inlineStr">
        <is>
          <t>1. Read the banner.</t>
        </is>
      </c>
      <c r="I108" s="4" t="inlineStr">
        <is>
          <t>"5 days remaining"; the boundary day is not off by one.</t>
        </is>
      </c>
      <c r="J108" s="4" t="inlineStr">
        <is>
          <t>tests/billing.test.ts</t>
        </is>
      </c>
      <c r="K108" s="14" t="inlineStr">
        <is>
          <t>Yes — sandbox</t>
        </is>
      </c>
      <c r="L108" s="16" t="inlineStr">
        <is>
          <t>Not run</t>
        </is>
      </c>
      <c r="M108" s="4" t="inlineStr"/>
      <c r="N108" s="4" t="inlineStr"/>
      <c r="O108" s="4" t="inlineStr"/>
    </row>
    <row r="109">
      <c r="A109" s="10" t="inlineStr">
        <is>
          <t>TC-026-01</t>
        </is>
      </c>
      <c r="B109" s="4" t="inlineStr">
        <is>
          <t>v026</t>
        </is>
      </c>
      <c r="C109" s="4" t="inlineStr">
        <is>
          <t>F-046</t>
        </is>
      </c>
      <c r="D109" s="4" t="inlineStr">
        <is>
          <t>Two instances writing different records both succeed</t>
        </is>
      </c>
      <c r="E109" s="14" t="inlineStr">
        <is>
          <t>Positive</t>
        </is>
      </c>
      <c r="F109" s="4" t="inlineStr">
        <is>
          <t>Critical</t>
        </is>
      </c>
      <c r="G109" s="4" t="inlineStr">
        <is>
          <t>Two servers, one store</t>
        </is>
      </c>
      <c r="H109" s="4" t="inlineStr">
        <is>
          <t>1. Instance 1 creates handover H1.
2. Instance 2 creates H2.
3. List from both.</t>
        </is>
      </c>
      <c r="I109" s="4" t="inlineStr">
        <is>
          <t>Both exist on both instances; no silent overwrite (F-046).</t>
        </is>
      </c>
      <c r="J109" s="4" t="inlineStr">
        <is>
          <t>tests/integration/postgres.integration.test.ts</t>
        </is>
      </c>
      <c r="K109" s="14" t="inlineStr">
        <is>
          <t>Yes — real Postgres</t>
        </is>
      </c>
      <c r="L109" s="16" t="inlineStr">
        <is>
          <t>Not run</t>
        </is>
      </c>
      <c r="M109" s="4" t="inlineStr"/>
      <c r="N109" s="4" t="inlineStr"/>
      <c r="O109" s="4" t="inlineStr"/>
    </row>
    <row r="110">
      <c r="A110" s="10" t="inlineStr">
        <is>
          <t>TC-026-02</t>
        </is>
      </c>
      <c r="B110" s="4" t="inlineStr">
        <is>
          <t>v026</t>
        </is>
      </c>
      <c r="C110" s="4" t="inlineStr">
        <is>
          <t>F-046</t>
        </is>
      </c>
      <c r="D110" s="4" t="inlineStr">
        <is>
          <t>Two instances editing the same record conflict rather than lose data</t>
        </is>
      </c>
      <c r="E110" s="17" t="inlineStr">
        <is>
          <t>Negative</t>
        </is>
      </c>
      <c r="F110" s="4" t="inlineStr">
        <is>
          <t>Critical</t>
        </is>
      </c>
      <c r="G110" s="4" t="inlineStr">
        <is>
          <t>Two servers, one record</t>
        </is>
      </c>
      <c r="H110" s="4" t="inlineStr">
        <is>
          <t>1. Both read H1.
2. Both write a different summary.</t>
        </is>
      </c>
      <c r="I110" s="4" t="inlineStr">
        <is>
          <t>One succeeds, the other gets 409 and must re-read — no last-write-wins data loss.</t>
        </is>
      </c>
      <c r="J110" s="4" t="inlineStr">
        <is>
          <t>tests/multiInstance.test.ts</t>
        </is>
      </c>
      <c r="K110" s="14" t="inlineStr">
        <is>
          <t>Yes — sandbox</t>
        </is>
      </c>
      <c r="L110" s="16" t="inlineStr">
        <is>
          <t>Not run</t>
        </is>
      </c>
      <c r="M110" s="4" t="inlineStr"/>
      <c r="N110" s="4" t="inlineStr"/>
      <c r="O110" s="4" t="inlineStr"/>
    </row>
    <row r="111">
      <c r="A111" s="10" t="inlineStr">
        <is>
          <t>TC-026-03</t>
        </is>
      </c>
      <c r="B111" s="4" t="inlineStr">
        <is>
          <t>v026</t>
        </is>
      </c>
      <c r="C111" s="4" t="inlineStr">
        <is>
          <t>F-046</t>
        </is>
      </c>
      <c r="D111" s="4" t="inlineStr">
        <is>
          <t>A guarded write from a listed row succeeds</t>
        </is>
      </c>
      <c r="E111" s="14" t="inlineStr">
        <is>
          <t>Positive</t>
        </is>
      </c>
      <c r="F111" s="4" t="inlineStr">
        <is>
          <t>High</t>
        </is>
      </c>
      <c r="G111" s="4" t="inlineStr">
        <is>
          <t>Records listed</t>
        </is>
      </c>
      <c r="H111" s="4" t="inlineStr">
        <is>
          <t>1. List records.
2. Write back using the version from the list.</t>
        </is>
      </c>
      <c r="I111" s="4" t="inlineStr">
        <is>
          <t>The write succeeds — the version projection is real, not NaN (P-005/SD212).</t>
        </is>
      </c>
      <c r="J111" s="4" t="inlineStr">
        <is>
          <t>tests/integration/postgres.integration.test.ts</t>
        </is>
      </c>
      <c r="K111" s="14" t="inlineStr">
        <is>
          <t>Yes — real Postgres</t>
        </is>
      </c>
      <c r="L111" s="16" t="inlineStr">
        <is>
          <t>Not run</t>
        </is>
      </c>
      <c r="M111" s="4" t="inlineStr"/>
      <c r="N111" s="4" t="inlineStr"/>
      <c r="O111" s="4" t="inlineStr"/>
    </row>
    <row r="112">
      <c r="A112" s="10" t="inlineStr">
        <is>
          <t>TC-026-04</t>
        </is>
      </c>
      <c r="B112" s="4" t="inlineStr">
        <is>
          <t>v026</t>
        </is>
      </c>
      <c r="C112" s="4" t="inlineStr">
        <is>
          <t>F-046</t>
        </is>
      </c>
      <c r="D112" s="4" t="inlineStr">
        <is>
          <t>Migration 002 applies to an existing populated database</t>
        </is>
      </c>
      <c r="E112" s="14" t="inlineStr">
        <is>
          <t>Positive</t>
        </is>
      </c>
      <c r="F112" s="4" t="inlineStr">
        <is>
          <t>High</t>
        </is>
      </c>
      <c r="G112" s="4" t="inlineStr">
        <is>
          <t>Pre-migration data present</t>
        </is>
      </c>
      <c r="H112" s="4" t="inlineStr">
        <is>
          <t>1. Run migrations.
2. Read existing records.</t>
        </is>
      </c>
      <c r="I112" s="4" t="inlineStr">
        <is>
          <t>Existing data is readable and now carries a version.</t>
        </is>
      </c>
      <c r="J112" s="4" t="inlineStr">
        <is>
          <t>tests/integration/postgres.integration.test.ts</t>
        </is>
      </c>
      <c r="K112" s="14" t="inlineStr">
        <is>
          <t>Yes — real Postgres</t>
        </is>
      </c>
      <c r="L112" s="16" t="inlineStr">
        <is>
          <t>Not run</t>
        </is>
      </c>
      <c r="M112" s="4" t="inlineStr"/>
      <c r="N112" s="4" t="inlineStr"/>
      <c r="O112" s="4" t="inlineStr"/>
    </row>
    <row r="113">
      <c r="A113" s="10" t="inlineStr">
        <is>
          <t>TC-026-05</t>
        </is>
      </c>
      <c r="B113" s="4" t="inlineStr">
        <is>
          <t>v026</t>
        </is>
      </c>
      <c r="C113" s="4" t="inlineStr">
        <is>
          <t>F-046</t>
        </is>
      </c>
      <c r="D113" s="4" t="inlineStr">
        <is>
          <t>The deploy workflow runs migrations before the traffic switch</t>
        </is>
      </c>
      <c r="E113" s="14" t="inlineStr">
        <is>
          <t>Positive</t>
        </is>
      </c>
      <c r="F113" s="4" t="inlineStr">
        <is>
          <t>Critical</t>
        </is>
      </c>
      <c r="G113" s="4" t="inlineStr">
        <is>
          <t>Workflow present</t>
        </is>
      </c>
      <c r="H113" s="4" t="inlineStr">
        <is>
          <t>1. Inspect the job order.</t>
        </is>
      </c>
      <c r="I113" s="4" t="inlineStr">
        <is>
          <t>Migrations complete before the swap; a failed migration stops the deploy.</t>
        </is>
      </c>
      <c r="J113" s="4" t="inlineStr">
        <is>
          <t>.github/workflows/deploy.yml</t>
        </is>
      </c>
      <c r="K113" s="14" t="inlineStr">
        <is>
          <t>Yes — sandbox</t>
        </is>
      </c>
      <c r="L113" s="16" t="inlineStr">
        <is>
          <t>Not run</t>
        </is>
      </c>
      <c r="M113" s="4" t="inlineStr"/>
      <c r="N113" s="4" t="inlineStr"/>
      <c r="O113" s="4" t="inlineStr"/>
    </row>
    <row r="114">
      <c r="A114" s="10" t="inlineStr">
        <is>
          <t>TC-026-06</t>
        </is>
      </c>
      <c r="B114" s="4" t="inlineStr">
        <is>
          <t>v026</t>
        </is>
      </c>
      <c r="C114" s="4" t="inlineStr">
        <is>
          <t>F-046</t>
        </is>
      </c>
      <c r="D114" s="4" t="inlineStr">
        <is>
          <t>A blue/green restart loses nothing</t>
        </is>
      </c>
      <c r="E114" s="14" t="inlineStr">
        <is>
          <t>Positive</t>
        </is>
      </c>
      <c r="F114" s="4" t="inlineStr">
        <is>
          <t>Critical</t>
        </is>
      </c>
      <c r="G114" s="4" t="inlineStr">
        <is>
          <t>Write in flight</t>
        </is>
      </c>
      <c r="H114" s="4" t="inlineStr">
        <is>
          <t>1. Write via instance 1.
2. Stop instance 1.
3. Read via instance 2.</t>
        </is>
      </c>
      <c r="I114" s="4" t="inlineStr">
        <is>
          <t>The write is visible; convergence does not depend on a shared cache.</t>
        </is>
      </c>
      <c r="J114" s="4" t="inlineStr">
        <is>
          <t>tests/integration/postgres.integration.test.ts</t>
        </is>
      </c>
      <c r="K114" s="14" t="inlineStr">
        <is>
          <t>Yes — real Postgres</t>
        </is>
      </c>
      <c r="L114" s="16" t="inlineStr">
        <is>
          <t>Not run</t>
        </is>
      </c>
      <c r="M114" s="4" t="inlineStr"/>
      <c r="N114" s="4" t="inlineStr"/>
      <c r="O114" s="4" t="inlineStr"/>
    </row>
    <row r="115">
      <c r="A115" s="10" t="inlineStr">
        <is>
          <t>TC-027-01</t>
        </is>
      </c>
      <c r="B115" s="4" t="inlineStr">
        <is>
          <t>v027</t>
        </is>
      </c>
      <c r="C115" s="4" t="inlineStr">
        <is>
          <t>F-047/F-048</t>
        </is>
      </c>
      <c r="D115" s="4" t="inlineStr">
        <is>
          <t>A store outage returns a clean error rather than hanging</t>
        </is>
      </c>
      <c r="E115" s="17" t="inlineStr">
        <is>
          <t>Negative</t>
        </is>
      </c>
      <c r="F115" s="4" t="inlineStr">
        <is>
          <t>Critical</t>
        </is>
      </c>
      <c r="G115" s="4" t="inlineStr">
        <is>
          <t>Store unreachable</t>
        </is>
      </c>
      <c r="H115" s="4" t="inlineStr">
        <is>
          <t>1. Issue an API write.</t>
        </is>
      </c>
      <c r="I115" s="4" t="inlineStr">
        <is>
          <t>503 with a retry signal; the request does not hang and the process stays up (F-047).</t>
        </is>
      </c>
      <c r="J115" s="4" t="inlineStr">
        <is>
          <t>tests/resilience.test.ts</t>
        </is>
      </c>
      <c r="K115" s="14" t="inlineStr">
        <is>
          <t>Yes — sandbox</t>
        </is>
      </c>
      <c r="L115" s="16" t="inlineStr">
        <is>
          <t>Not run</t>
        </is>
      </c>
      <c r="M115" s="4" t="inlineStr"/>
      <c r="N115" s="4" t="inlineStr"/>
      <c r="O115" s="4" t="inlineStr"/>
    </row>
    <row r="116">
      <c r="A116" s="10" t="inlineStr">
        <is>
          <t>TC-027-02</t>
        </is>
      </c>
      <c r="B116" s="4" t="inlineStr">
        <is>
          <t>v027</t>
        </is>
      </c>
      <c r="C116" s="4" t="inlineStr">
        <is>
          <t>F-047/F-048</t>
        </is>
      </c>
      <c r="D116" s="4" t="inlineStr">
        <is>
          <t>A Graph outage does not terminate the process</t>
        </is>
      </c>
      <c r="E116" s="17" t="inlineStr">
        <is>
          <t>Negative</t>
        </is>
      </c>
      <c r="F116" s="4" t="inlineStr">
        <is>
          <t>Critical</t>
        </is>
      </c>
      <c r="G116" s="4" t="inlineStr">
        <is>
          <t>Graph rejecting</t>
        </is>
      </c>
      <c r="H116" s="4" t="inlineStr">
        <is>
          <t>1. Trigger a role resolution.</t>
        </is>
      </c>
      <c r="I116" s="4" t="inlineStr">
        <is>
          <t>The request completes with the least-privilege role; no unhandled rejection.</t>
        </is>
      </c>
      <c r="J116" s="4" t="inlineStr">
        <is>
          <t>tests/resilience.test.ts</t>
        </is>
      </c>
      <c r="K116" s="14" t="inlineStr">
        <is>
          <t>Yes — sandbox</t>
        </is>
      </c>
      <c r="L116" s="16" t="inlineStr">
        <is>
          <t>Not run</t>
        </is>
      </c>
      <c r="M116" s="4" t="inlineStr"/>
      <c r="N116" s="4" t="inlineStr"/>
      <c r="O116" s="4" t="inlineStr"/>
    </row>
    <row r="117">
      <c r="A117" s="10" t="inlineStr">
        <is>
          <t>TC-027-03</t>
        </is>
      </c>
      <c r="B117" s="4" t="inlineStr">
        <is>
          <t>v027</t>
        </is>
      </c>
      <c r="C117" s="4" t="inlineStr">
        <is>
          <t>F-047/F-048</t>
        </is>
      </c>
      <c r="D117" s="4" t="inlineStr">
        <is>
          <t>A mail outage does not fail the user write</t>
        </is>
      </c>
      <c r="E117" s="17" t="inlineStr">
        <is>
          <t>Negative</t>
        </is>
      </c>
      <c r="F117" s="4" t="inlineStr">
        <is>
          <t>High</t>
        </is>
      </c>
      <c r="G117" s="4" t="inlineStr">
        <is>
          <t>Mail failing</t>
        </is>
      </c>
      <c r="H117" s="4" t="inlineStr">
        <is>
          <t>1. Create a handover.</t>
        </is>
      </c>
      <c r="I117" s="4" t="inlineStr">
        <is>
          <t>The handover succeeds; the delivery failure is recorded (F-048).</t>
        </is>
      </c>
      <c r="J117" s="4" t="inlineStr">
        <is>
          <t>tests/resilience.test.ts</t>
        </is>
      </c>
      <c r="K117" s="14" t="inlineStr">
        <is>
          <t>Yes — sandbox</t>
        </is>
      </c>
      <c r="L117" s="16" t="inlineStr">
        <is>
          <t>Not run</t>
        </is>
      </c>
      <c r="M117" s="4" t="inlineStr"/>
      <c r="N117" s="4" t="inlineStr"/>
      <c r="O117" s="4" t="inlineStr"/>
    </row>
    <row r="118">
      <c r="A118" s="10" t="inlineStr">
        <is>
          <t>TC-027-04</t>
        </is>
      </c>
      <c r="B118" s="4" t="inlineStr">
        <is>
          <t>v027</t>
        </is>
      </c>
      <c r="C118" s="4" t="inlineStr">
        <is>
          <t>F-047/F-048</t>
        </is>
      </c>
      <c r="D118" s="4" t="inlineStr">
        <is>
          <t>Degraded state is reported on the health route</t>
        </is>
      </c>
      <c r="E118" s="14" t="inlineStr">
        <is>
          <t>Positive</t>
        </is>
      </c>
      <c r="F118" s="4" t="inlineStr">
        <is>
          <t>High</t>
        </is>
      </c>
      <c r="G118" s="4" t="inlineStr">
        <is>
          <t>One dependency down</t>
        </is>
      </c>
      <c r="H118" s="4" t="inlineStr">
        <is>
          <t>1. GET health.</t>
        </is>
      </c>
      <c r="I118" s="4" t="inlineStr">
        <is>
          <t>Degradation is named per dependency.</t>
        </is>
      </c>
      <c r="J118" s="4" t="inlineStr">
        <is>
          <t>tests/server.test.ts</t>
        </is>
      </c>
      <c r="K118" s="14" t="inlineStr">
        <is>
          <t>Yes — sandbox</t>
        </is>
      </c>
      <c r="L118" s="16" t="inlineStr">
        <is>
          <t>Not run</t>
        </is>
      </c>
      <c r="M118" s="4" t="inlineStr"/>
      <c r="N118" s="4" t="inlineStr"/>
      <c r="O118" s="4" t="inlineStr"/>
    </row>
    <row r="119">
      <c r="A119" s="10" t="inlineStr">
        <is>
          <t>TC-027-05</t>
        </is>
      </c>
      <c r="B119" s="4" t="inlineStr">
        <is>
          <t>v027</t>
        </is>
      </c>
      <c r="C119" s="4" t="inlineStr">
        <is>
          <t>F-047/F-048</t>
        </is>
      </c>
      <c r="D119" s="4" t="inlineStr">
        <is>
          <t>Degradation is not cleared by a read</t>
        </is>
      </c>
      <c r="E119" s="17" t="inlineStr">
        <is>
          <t>Negative</t>
        </is>
      </c>
      <c r="F119" s="4" t="inlineStr">
        <is>
          <t>High</t>
        </is>
      </c>
      <c r="G119" s="4" t="inlineStr">
        <is>
          <t>Degraded state set</t>
        </is>
      </c>
      <c r="H119" s="4" t="inlineStr">
        <is>
          <t>1. Issue 10 reads.
2. GET health.</t>
        </is>
      </c>
      <c r="I119" s="4" t="inlineStr">
        <is>
          <t>Still degraded — only a successful dependency call clears it (F-050).</t>
        </is>
      </c>
      <c r="J119" s="4" t="inlineStr">
        <is>
          <t>tests/reviewPass6.test.ts</t>
        </is>
      </c>
      <c r="K119" s="14" t="inlineStr">
        <is>
          <t>Yes — sandbox</t>
        </is>
      </c>
      <c r="L119" s="16" t="inlineStr">
        <is>
          <t>Not run</t>
        </is>
      </c>
      <c r="M119" s="4" t="inlineStr"/>
      <c r="N119" s="4" t="inlineStr"/>
      <c r="O119" s="4" t="inlineStr"/>
    </row>
    <row r="120">
      <c r="A120" s="10" t="inlineStr">
        <is>
          <t>TC-028-01</t>
        </is>
      </c>
      <c r="B120" s="4" t="inlineStr">
        <is>
          <t>v028</t>
        </is>
      </c>
      <c r="C120" s="4" t="inlineStr">
        <is>
          <t>F-049..F-051</t>
        </is>
      </c>
      <c r="D120" s="4" t="inlineStr">
        <is>
          <t>Errors are classified by type, not by matching message text</t>
        </is>
      </c>
      <c r="E120" s="14" t="inlineStr">
        <is>
          <t>Positive</t>
        </is>
      </c>
      <c r="F120" s="4" t="inlineStr">
        <is>
          <t>High</t>
        </is>
      </c>
      <c r="G120" s="4" t="inlineStr">
        <is>
          <t>None</t>
        </is>
      </c>
      <c r="H120" s="4" t="inlineStr">
        <is>
          <t>1. Throw each error class.
2. Observe classification.</t>
        </is>
      </c>
      <c r="I120" s="4" t="inlineStr">
        <is>
          <t>Classification is type-based, so a message change does not silently reclassify (F-049).</t>
        </is>
      </c>
      <c r="J120" s="4" t="inlineStr">
        <is>
          <t>tests/reviewPass6.test.ts</t>
        </is>
      </c>
      <c r="K120" s="14" t="inlineStr">
        <is>
          <t>Yes — sandbox</t>
        </is>
      </c>
      <c r="L120" s="16" t="inlineStr">
        <is>
          <t>Not run</t>
        </is>
      </c>
      <c r="M120" s="4" t="inlineStr"/>
      <c r="N120" s="4" t="inlineStr"/>
      <c r="O120" s="4" t="inlineStr"/>
    </row>
    <row r="121">
      <c r="A121" s="10" t="inlineStr">
        <is>
          <t>TC-028-02</t>
        </is>
      </c>
      <c r="B121" s="4" t="inlineStr">
        <is>
          <t>v028</t>
        </is>
      </c>
      <c r="C121" s="4" t="inlineStr">
        <is>
          <t>F-049..F-051</t>
        </is>
      </c>
      <c r="D121" s="4" t="inlineStr">
        <is>
          <t>A changed error message does not break classification</t>
        </is>
      </c>
      <c r="E121" s="17" t="inlineStr">
        <is>
          <t>Negative</t>
        </is>
      </c>
      <c r="F121" s="4" t="inlineStr">
        <is>
          <t>Medium</t>
        </is>
      </c>
      <c r="G121" s="4" t="inlineStr">
        <is>
          <t>None</t>
        </is>
      </c>
      <c r="H121" s="4" t="inlineStr">
        <is>
          <t>1. Change an error message string.
2. Run the suite.</t>
        </is>
      </c>
      <c r="I121" s="4" t="inlineStr">
        <is>
          <t>Classification still correct — the tests are not coupled to the copy.</t>
        </is>
      </c>
      <c r="J121" s="4" t="inlineStr">
        <is>
          <t>tests/reviewPass6.test.ts</t>
        </is>
      </c>
      <c r="K121" s="14" t="inlineStr">
        <is>
          <t>Yes — sandbox</t>
        </is>
      </c>
      <c r="L121" s="16" t="inlineStr">
        <is>
          <t>Not run</t>
        </is>
      </c>
      <c r="M121" s="4" t="inlineStr"/>
      <c r="N121" s="4" t="inlineStr"/>
      <c r="O121" s="4" t="inlineStr"/>
    </row>
    <row r="122">
      <c r="A122" s="10" t="inlineStr">
        <is>
          <t>TC-028-03</t>
        </is>
      </c>
      <c r="B122" s="4" t="inlineStr">
        <is>
          <t>v028</t>
        </is>
      </c>
      <c r="C122" s="4" t="inlineStr">
        <is>
          <t>F-049..F-051</t>
        </is>
      </c>
      <c r="D122" s="4" t="inlineStr">
        <is>
          <t>Circuit breaker opens after the failure threshold</t>
        </is>
      </c>
      <c r="E122" s="14" t="inlineStr">
        <is>
          <t>Positive</t>
        </is>
      </c>
      <c r="F122" s="4" t="inlineStr">
        <is>
          <t>High</t>
        </is>
      </c>
      <c r="G122" s="4" t="inlineStr">
        <is>
          <t>Dependency failing</t>
        </is>
      </c>
      <c r="H122" s="4" t="inlineStr">
        <is>
          <t>1. Drive failures past the threshold.</t>
        </is>
      </c>
      <c r="I122" s="4" t="inlineStr">
        <is>
          <t>Breaker opens and fast-fails rather than piling on.</t>
        </is>
      </c>
      <c r="J122" s="4" t="inlineStr">
        <is>
          <t>tests/platformGateway.test.ts</t>
        </is>
      </c>
      <c r="K122" s="14" t="inlineStr">
        <is>
          <t>Yes — sandbox</t>
        </is>
      </c>
      <c r="L122" s="16" t="inlineStr">
        <is>
          <t>Not run</t>
        </is>
      </c>
      <c r="M122" s="4" t="inlineStr"/>
      <c r="N122" s="4" t="inlineStr"/>
      <c r="O122" s="4" t="inlineStr"/>
    </row>
    <row r="123">
      <c r="A123" s="10" t="inlineStr">
        <is>
          <t>TC-028-04</t>
        </is>
      </c>
      <c r="B123" s="4" t="inlineStr">
        <is>
          <t>v028</t>
        </is>
      </c>
      <c r="C123" s="4" t="inlineStr">
        <is>
          <t>F-049..F-051</t>
        </is>
      </c>
      <c r="D123" s="4" t="inlineStr">
        <is>
          <t>Breaker recovers without operator action</t>
        </is>
      </c>
      <c r="E123" s="14" t="inlineStr">
        <is>
          <t>Positive</t>
        </is>
      </c>
      <c r="F123" s="4" t="inlineStr">
        <is>
          <t>High</t>
        </is>
      </c>
      <c r="G123" s="4" t="inlineStr">
        <is>
          <t>Breaker open</t>
        </is>
      </c>
      <c r="H123" s="4" t="inlineStr">
        <is>
          <t>1. Wait the cooldown.
2. Make a succeeding call.</t>
        </is>
      </c>
      <c r="I123" s="4" t="inlineStr">
        <is>
          <t>The half-open probe closes the breaker (F-007/SD207); a failing probe re-opens it.</t>
        </is>
      </c>
      <c r="J123" s="4" t="inlineStr">
        <is>
          <t>tests/platformGateway.test.ts</t>
        </is>
      </c>
      <c r="K123" s="14" t="inlineStr">
        <is>
          <t>Yes — sandbox</t>
        </is>
      </c>
      <c r="L123" s="16" t="inlineStr">
        <is>
          <t>Not run</t>
        </is>
      </c>
      <c r="M123" s="4" t="inlineStr"/>
      <c r="N123" s="4" t="inlineStr"/>
      <c r="O123" s="4" t="inlineStr"/>
    </row>
    <row r="124">
      <c r="A124" s="10" t="inlineStr">
        <is>
          <t>TC-029-01</t>
        </is>
      </c>
      <c r="B124" s="4" t="inlineStr">
        <is>
          <t>v029</t>
        </is>
      </c>
      <c r="C124" s="4" t="inlineStr">
        <is>
          <t>ST-096</t>
        </is>
      </c>
      <c r="D124" s="4" t="inlineStr">
        <is>
          <t>npm run sweep executes and reports per step</t>
        </is>
      </c>
      <c r="E124" s="14" t="inlineStr">
        <is>
          <t>Positive</t>
        </is>
      </c>
      <c r="F124" s="4" t="inlineStr">
        <is>
          <t>High</t>
        </is>
      </c>
      <c r="G124" s="4" t="inlineStr">
        <is>
          <t>App running</t>
        </is>
      </c>
      <c r="H124" s="4" t="inlineStr">
        <is>
          <t>1. Run npm run sweep.</t>
        </is>
      </c>
      <c r="I124" s="4" t="inlineStr">
        <is>
          <t>Each step reports PASS, FAIL or MANUAL; nothing unimplemented is reported as passed.</t>
        </is>
      </c>
      <c r="J124" s="4" t="inlineStr">
        <is>
          <t>tests/liveSweep.test.ts</t>
        </is>
      </c>
      <c r="K124" s="14" t="inlineStr">
        <is>
          <t>Yes — sandbox</t>
        </is>
      </c>
      <c r="L124" s="16" t="inlineStr">
        <is>
          <t>Not run</t>
        </is>
      </c>
      <c r="M124" s="4" t="inlineStr"/>
      <c r="N124" s="4" t="inlineStr"/>
      <c r="O124" s="4" t="inlineStr"/>
    </row>
    <row r="125">
      <c r="A125" s="10" t="inlineStr">
        <is>
          <t>TC-029-02</t>
        </is>
      </c>
      <c r="B125" s="4" t="inlineStr">
        <is>
          <t>v029</t>
        </is>
      </c>
      <c r="C125" s="4" t="inlineStr">
        <is>
          <t>ST-096</t>
        </is>
      </c>
      <c r="D125" s="4" t="inlineStr">
        <is>
          <t>An operator-only step is reported as manual, not passed</t>
        </is>
      </c>
      <c r="E125" s="17" t="inlineStr">
        <is>
          <t>Negative</t>
        </is>
      </c>
      <c r="F125" s="4" t="inlineStr">
        <is>
          <t>High</t>
        </is>
      </c>
      <c r="G125" s="4" t="inlineStr">
        <is>
          <t>Sweep running</t>
        </is>
      </c>
      <c r="H125" s="4" t="inlineStr">
        <is>
          <t>1. Run the sweep with no tenant.</t>
        </is>
      </c>
      <c r="I125" s="4" t="inlineStr">
        <is>
          <t>Operator steps are listed as manual with instructions.</t>
        </is>
      </c>
      <c r="J125" s="4" t="inlineStr">
        <is>
          <t>tests/sweepRunner.test.ts</t>
        </is>
      </c>
      <c r="K125" s="14" t="inlineStr">
        <is>
          <t>Yes — sandbox</t>
        </is>
      </c>
      <c r="L125" s="16" t="inlineStr">
        <is>
          <t>Not run</t>
        </is>
      </c>
      <c r="M125" s="4" t="inlineStr"/>
      <c r="N125" s="4" t="inlineStr"/>
      <c r="O125" s="4" t="inlineStr"/>
    </row>
    <row r="126">
      <c r="A126" s="10" t="inlineStr">
        <is>
          <t>TC-029-03</t>
        </is>
      </c>
      <c r="B126" s="4" t="inlineStr">
        <is>
          <t>v029</t>
        </is>
      </c>
      <c r="C126" s="4" t="inlineStr">
        <is>
          <t>ST-096</t>
        </is>
      </c>
      <c r="D126" s="4" t="inlineStr">
        <is>
          <t>The sweep exits non-zero on a real failure</t>
        </is>
      </c>
      <c r="E126" s="17" t="inlineStr">
        <is>
          <t>Negative</t>
        </is>
      </c>
      <c r="F126" s="4" t="inlineStr">
        <is>
          <t>High</t>
        </is>
      </c>
      <c r="G126" s="4" t="inlineStr">
        <is>
          <t>One check failing</t>
        </is>
      </c>
      <c r="H126" s="4" t="inlineStr">
        <is>
          <t>1. Run the sweep.</t>
        </is>
      </c>
      <c r="I126" s="4" t="inlineStr">
        <is>
          <t>Non-zero exit; the failing check is named.</t>
        </is>
      </c>
      <c r="J126" s="4" t="inlineStr">
        <is>
          <t>tests/sweepRunner.test.ts</t>
        </is>
      </c>
      <c r="K126" s="14" t="inlineStr">
        <is>
          <t>Yes — sandbox</t>
        </is>
      </c>
      <c r="L126" s="16" t="inlineStr">
        <is>
          <t>Not run</t>
        </is>
      </c>
      <c r="M126" s="4" t="inlineStr"/>
      <c r="N126" s="4" t="inlineStr"/>
      <c r="O126" s="4" t="inlineStr"/>
    </row>
    <row r="127">
      <c r="A127" s="10" t="inlineStr">
        <is>
          <t>TC-030-01</t>
        </is>
      </c>
      <c r="B127" s="4" t="inlineStr">
        <is>
          <t>v030</t>
        </is>
      </c>
      <c r="C127" s="4" t="inlineStr">
        <is>
          <t>F-052</t>
        </is>
      </c>
      <c r="D127" s="4" t="inlineStr">
        <is>
          <t>A capability-gated check SKIPs honestly when it cannot run</t>
        </is>
      </c>
      <c r="E127" s="17" t="inlineStr">
        <is>
          <t>Negative</t>
        </is>
      </c>
      <c r="F127" s="4" t="inlineStr">
        <is>
          <t>High</t>
        </is>
      </c>
      <c r="G127" s="4" t="inlineStr">
        <is>
          <t>No DATABASE_URL</t>
        </is>
      </c>
      <c r="H127" s="4" t="inlineStr">
        <is>
          <t>1. Run the sweep.</t>
        </is>
      </c>
      <c r="I127" s="4" t="inlineStr">
        <is>
          <t>Store checks report SKIP with the reason, never PASS (F-052 class).</t>
        </is>
      </c>
      <c r="J127" s="4" t="inlineStr">
        <is>
          <t>tests/sweepRunner.test.ts</t>
        </is>
      </c>
      <c r="K127" s="14" t="inlineStr">
        <is>
          <t>Yes — sandbox</t>
        </is>
      </c>
      <c r="L127" s="16" t="inlineStr">
        <is>
          <t>Not run</t>
        </is>
      </c>
      <c r="M127" s="4" t="inlineStr"/>
      <c r="N127" s="4" t="inlineStr"/>
      <c r="O127" s="4" t="inlineStr"/>
    </row>
    <row r="128">
      <c r="A128" s="10" t="inlineStr">
        <is>
          <t>TC-030-02</t>
        </is>
      </c>
      <c r="B128" s="4" t="inlineStr">
        <is>
          <t>v030</t>
        </is>
      </c>
      <c r="C128" s="4" t="inlineStr">
        <is>
          <t>F-052</t>
        </is>
      </c>
      <c r="D128" s="4" t="inlineStr">
        <is>
          <t>The analytics surface reads the telemetry instance that is fed</t>
        </is>
      </c>
      <c r="E128" s="14" t="inlineStr">
        <is>
          <t>Positive</t>
        </is>
      </c>
      <c r="F128" s="4" t="inlineStr">
        <is>
          <t>High</t>
        </is>
      </c>
      <c r="G128" s="4" t="inlineStr">
        <is>
          <t>Funnel events emitted</t>
        </is>
      </c>
      <c r="H128" s="4" t="inlineStr">
        <is>
          <t>1. Open the Analytics screen.</t>
        </is>
      </c>
      <c r="I128" s="4" t="inlineStr">
        <is>
          <t>Counts are non-zero; the screen reads the wired instance (F-052).</t>
        </is>
      </c>
      <c r="J128" s="4" t="inlineStr">
        <is>
          <t>tests/dashboard.test.ts</t>
        </is>
      </c>
      <c r="K128" s="14" t="inlineStr">
        <is>
          <t>Yes — sandbox</t>
        </is>
      </c>
      <c r="L128" s="16" t="inlineStr">
        <is>
          <t>Not run</t>
        </is>
      </c>
      <c r="M128" s="4" t="inlineStr"/>
      <c r="N128" s="4" t="inlineStr"/>
      <c r="O128" s="4" t="inlineStr"/>
    </row>
    <row r="129">
      <c r="A129" s="10" t="inlineStr">
        <is>
          <t>TC-030-03</t>
        </is>
      </c>
      <c r="B129" s="4" t="inlineStr">
        <is>
          <t>v030</t>
        </is>
      </c>
      <c r="C129" s="4" t="inlineStr">
        <is>
          <t>F-052</t>
        </is>
      </c>
      <c r="D129" s="4" t="inlineStr">
        <is>
          <t>The sweep supports a second instance and a real store</t>
        </is>
      </c>
      <c r="E129" s="14" t="inlineStr">
        <is>
          <t>Positive</t>
        </is>
      </c>
      <c r="F129" s="4" t="inlineStr">
        <is>
          <t>Medium</t>
        </is>
      </c>
      <c r="G129" s="4" t="inlineStr">
        <is>
          <t>Two instances configured</t>
        </is>
      </c>
      <c r="H129" s="4" t="inlineStr">
        <is>
          <t>1. Run the sweep with both.</t>
        </is>
      </c>
      <c r="I129" s="4" t="inlineStr">
        <is>
          <t>Multi-instance checks execute rather than skipping.</t>
        </is>
      </c>
      <c r="J129" s="4" t="inlineStr">
        <is>
          <t>tests/liveSweep.test.ts</t>
        </is>
      </c>
      <c r="K129" s="14" t="inlineStr">
        <is>
          <t>Yes — sandbox</t>
        </is>
      </c>
      <c r="L129" s="16" t="inlineStr">
        <is>
          <t>Not run</t>
        </is>
      </c>
      <c r="M129" s="4" t="inlineStr"/>
      <c r="N129" s="4" t="inlineStr"/>
      <c r="O129" s="4" t="inlineStr"/>
    </row>
    <row r="130">
      <c r="A130" s="10" t="inlineStr">
        <is>
          <t>TC-031-01</t>
        </is>
      </c>
      <c r="B130" s="4" t="inlineStr">
        <is>
          <t>v031</t>
        </is>
      </c>
      <c r="C130" s="4" t="inlineStr">
        <is>
          <t>GAP-SD3</t>
        </is>
      </c>
      <c r="D130" s="4" t="inlineStr">
        <is>
          <t>Packaging names the first missing substitution value</t>
        </is>
      </c>
      <c r="E130" s="17" t="inlineStr">
        <is>
          <t>Negative</t>
        </is>
      </c>
      <c r="F130" s="4" t="inlineStr">
        <is>
          <t>High</t>
        </is>
      </c>
      <c r="G130" s="4" t="inlineStr">
        <is>
          <t>One value unset</t>
        </is>
      </c>
      <c r="H130" s="4" t="inlineStr">
        <is>
          <t>1. Run npm run package.</t>
        </is>
      </c>
      <c r="I130" s="4" t="inlineStr">
        <is>
          <t>Fails naming that value; no partial archive is left behind.</t>
        </is>
      </c>
      <c r="J130" s="4" t="inlineStr">
        <is>
          <t>tests/packageApp.test.ts</t>
        </is>
      </c>
      <c r="K130" s="14" t="inlineStr">
        <is>
          <t>Yes — sandbox</t>
        </is>
      </c>
      <c r="L130" s="16" t="inlineStr">
        <is>
          <t>Not run</t>
        </is>
      </c>
      <c r="M130" s="4" t="inlineStr"/>
      <c r="N130" s="4" t="inlineStr"/>
      <c r="O130" s="4" t="inlineStr"/>
    </row>
    <row r="131">
      <c r="A131" s="10" t="inlineStr">
        <is>
          <t>TC-031-02</t>
        </is>
      </c>
      <c r="B131" s="4" t="inlineStr">
        <is>
          <t>v031</t>
        </is>
      </c>
      <c r="C131" s="4" t="inlineStr">
        <is>
          <t>GAP-SD3</t>
        </is>
      </c>
      <c r="D131" s="4" t="inlineStr">
        <is>
          <t>The archive has manifest and icons at the root, bundles excluded</t>
        </is>
      </c>
      <c r="E131" s="14" t="inlineStr">
        <is>
          <t>Positive</t>
        </is>
      </c>
      <c r="F131" s="4" t="inlineStr">
        <is>
          <t>High</t>
        </is>
      </c>
      <c r="G131" s="4" t="inlineStr">
        <is>
          <t>Values supplied</t>
        </is>
      </c>
      <c r="H131" s="4" t="inlineStr">
        <is>
          <t>1. Package and list the archive.</t>
        </is>
      </c>
      <c r="I131" s="4" t="inlineStr">
        <is>
          <t>Root-level manifest, both icons and the localisation file; no bundles (GAP-SD3).</t>
        </is>
      </c>
      <c r="J131" s="4" t="inlineStr">
        <is>
          <t>tests/packageApp.test.ts</t>
        </is>
      </c>
      <c r="K131" s="14" t="inlineStr">
        <is>
          <t>Yes — sandbox</t>
        </is>
      </c>
      <c r="L131" s="16" t="inlineStr">
        <is>
          <t>Not run</t>
        </is>
      </c>
      <c r="M131" s="4" t="inlineStr"/>
      <c r="N131" s="4" t="inlineStr"/>
      <c r="O131" s="4" t="inlineStr"/>
    </row>
    <row r="132">
      <c r="A132" s="10" t="inlineStr">
        <is>
          <t>TC-031-03</t>
        </is>
      </c>
      <c r="B132" s="4" t="inlineStr">
        <is>
          <t>v031</t>
        </is>
      </c>
      <c r="C132" s="4" t="inlineStr">
        <is>
          <t>GAP-SD3</t>
        </is>
      </c>
      <c r="D132" s="4" t="inlineStr">
        <is>
          <t>The manifest validates against store rules before packaging</t>
        </is>
      </c>
      <c r="E132" s="17" t="inlineStr">
        <is>
          <t>Negative</t>
        </is>
      </c>
      <c r="F132" s="4" t="inlineStr">
        <is>
          <t>High</t>
        </is>
      </c>
      <c r="G132" s="4" t="inlineStr">
        <is>
          <t>Manifest with a too-long description</t>
        </is>
      </c>
      <c r="H132" s="4" t="inlineStr">
        <is>
          <t>1. Package.</t>
        </is>
      </c>
      <c r="I132" s="4" t="inlineStr">
        <is>
          <t>Refused with the failing rule named.</t>
        </is>
      </c>
      <c r="J132" s="4" t="inlineStr">
        <is>
          <t>tests/manifest.test.ts</t>
        </is>
      </c>
      <c r="K132" s="14" t="inlineStr">
        <is>
          <t>Yes — sandbox</t>
        </is>
      </c>
      <c r="L132" s="16" t="inlineStr">
        <is>
          <t>Not run</t>
        </is>
      </c>
      <c r="M132" s="4" t="inlineStr"/>
      <c r="N132" s="4" t="inlineStr"/>
      <c r="O132" s="4" t="inlineStr"/>
    </row>
    <row r="133">
      <c r="A133" s="10" t="inlineStr">
        <is>
          <t>TC-032-01</t>
        </is>
      </c>
      <c r="B133" s="4" t="inlineStr">
        <is>
          <t>v032</t>
        </is>
      </c>
      <c r="C133" s="4" t="inlineStr">
        <is>
          <t>F-053/054/056</t>
        </is>
      </c>
      <c r="D133" s="4" t="inlineStr">
        <is>
          <t>The delivered package installs and typechecks from a clean npm ci</t>
        </is>
      </c>
      <c r="E133" s="14" t="inlineStr">
        <is>
          <t>Positive</t>
        </is>
      </c>
      <c r="F133" s="4" t="inlineStr">
        <is>
          <t>Critical</t>
        </is>
      </c>
      <c r="G133" s="4" t="inlineStr">
        <is>
          <t>Fresh clone, no global tooling</t>
        </is>
      </c>
      <c r="H133" s="4" t="inlineStr">
        <is>
          <t>1. npm ci.
2. npx tsc --noEmit.</t>
        </is>
      </c>
      <c r="I133" s="4" t="inlineStr">
        <is>
          <t>Both succeed; no undeclared dependency (F-053/F-054).</t>
        </is>
      </c>
      <c r="J133" s="4" t="inlineStr">
        <is>
          <t>.github/workflows/ci.yml</t>
        </is>
      </c>
      <c r="K133" s="14" t="inlineStr">
        <is>
          <t>Yes — sandbox</t>
        </is>
      </c>
      <c r="L133" s="16" t="inlineStr">
        <is>
          <t>Not run</t>
        </is>
      </c>
      <c r="M133" s="4" t="inlineStr"/>
      <c r="N133" s="4" t="inlineStr"/>
      <c r="O133" s="4" t="inlineStr"/>
    </row>
    <row r="134">
      <c r="A134" s="10" t="inlineStr">
        <is>
          <t>TC-032-02</t>
        </is>
      </c>
      <c r="B134" s="4" t="inlineStr">
        <is>
          <t>v032</t>
        </is>
      </c>
      <c r="C134" s="4" t="inlineStr">
        <is>
          <t>F-053/054/056</t>
        </is>
      </c>
      <c r="D134" s="4" t="inlineStr">
        <is>
          <t>Scripts are inside the typecheck gate</t>
        </is>
      </c>
      <c r="E134" s="17" t="inlineStr">
        <is>
          <t>Negative</t>
        </is>
      </c>
      <c r="F134" s="4" t="inlineStr">
        <is>
          <t>High</t>
        </is>
      </c>
      <c r="G134" s="4" t="inlineStr">
        <is>
          <t>None</t>
        </is>
      </c>
      <c r="H134" s="4" t="inlineStr">
        <is>
          <t>1. Introduce a type error in scripts/serve.ts.
2. Run tsc --noEmit.</t>
        </is>
      </c>
      <c r="I134" s="4" t="inlineStr">
        <is>
          <t>The error is caught — scripts are not outside the gate (F-056).</t>
        </is>
      </c>
      <c r="J134" s="4" t="inlineStr">
        <is>
          <t>tsconfig.json</t>
        </is>
      </c>
      <c r="K134" s="14" t="inlineStr">
        <is>
          <t>Yes — sandbox</t>
        </is>
      </c>
      <c r="L134" s="16" t="inlineStr">
        <is>
          <t>Not run</t>
        </is>
      </c>
      <c r="M134" s="4" t="inlineStr"/>
      <c r="N134" s="4" t="inlineStr"/>
      <c r="O134" s="4" t="inlineStr"/>
    </row>
    <row r="135">
      <c r="A135" s="10" t="inlineStr">
        <is>
          <t>TC-032-03</t>
        </is>
      </c>
      <c r="B135" s="4" t="inlineStr">
        <is>
          <t>v032</t>
        </is>
      </c>
      <c r="C135" s="4" t="inlineStr">
        <is>
          <t>F-053/054/056</t>
        </is>
      </c>
      <c r="D135" s="4" t="inlineStr">
        <is>
          <t>Test tooling is not shipped as a runtime dependency</t>
        </is>
      </c>
      <c r="E135" s="17" t="inlineStr">
        <is>
          <t>Negative</t>
        </is>
      </c>
      <c r="F135" s="4" t="inlineStr">
        <is>
          <t>Medium</t>
        </is>
      </c>
      <c r="G135" s="4" t="inlineStr">
        <is>
          <t>None</t>
        </is>
      </c>
      <c r="H135" s="4" t="inlineStr">
        <is>
          <t>1. Inspect dependencies vs devDependencies.</t>
        </is>
      </c>
      <c r="I135" s="4" t="inlineStr">
        <is>
          <t>Jest and ts-jest are dev-only; pg is a runtime dependency (SD208).</t>
        </is>
      </c>
      <c r="J135" s="4" t="inlineStr">
        <is>
          <t>package.json</t>
        </is>
      </c>
      <c r="K135" s="14" t="inlineStr">
        <is>
          <t>Yes — sandbox</t>
        </is>
      </c>
      <c r="L135" s="16" t="inlineStr">
        <is>
          <t>Not run</t>
        </is>
      </c>
      <c r="M135" s="4" t="inlineStr"/>
      <c r="N135" s="4" t="inlineStr"/>
      <c r="O135" s="4" t="inlineStr"/>
    </row>
    <row r="136">
      <c r="A136" s="10" t="inlineStr">
        <is>
          <t>TC-032-04</t>
        </is>
      </c>
      <c r="B136" s="4" t="inlineStr">
        <is>
          <t>v032</t>
        </is>
      </c>
      <c r="C136" s="4" t="inlineStr">
        <is>
          <t>F-053/054/056</t>
        </is>
      </c>
      <c r="D136" s="4" t="inlineStr">
        <is>
          <t>npm start refuses to run unconfigured rather than pretending</t>
        </is>
      </c>
      <c r="E136" s="17" t="inlineStr">
        <is>
          <t>Negative</t>
        </is>
      </c>
      <c r="F136" s="4" t="inlineStr">
        <is>
          <t>Critical</t>
        </is>
      </c>
      <c r="G136" s="4" t="inlineStr">
        <is>
          <t>No configuration</t>
        </is>
      </c>
      <c r="H136" s="4" t="inlineStr">
        <is>
          <t>1. npm start.</t>
        </is>
      </c>
      <c r="I136" s="4" t="inlineStr">
        <is>
          <t>Refuses with the missing values named (F-057 seam).</t>
        </is>
      </c>
      <c r="J136" s="4" t="inlineStr">
        <is>
          <t>tests/serve.test.ts</t>
        </is>
      </c>
      <c r="K136" s="14" t="inlineStr">
        <is>
          <t>Yes — sandbox</t>
        </is>
      </c>
      <c r="L136" s="16" t="inlineStr">
        <is>
          <t>Not run</t>
        </is>
      </c>
      <c r="M136" s="4" t="inlineStr"/>
      <c r="N136" s="4" t="inlineStr"/>
      <c r="O136" s="4" t="inlineStr"/>
    </row>
    <row r="137">
      <c r="A137" s="10" t="inlineStr">
        <is>
          <t>TC-033-01</t>
        </is>
      </c>
      <c r="B137" s="4" t="inlineStr">
        <is>
          <t>v033</t>
        </is>
      </c>
      <c r="C137" s="4" t="inlineStr">
        <is>
          <t>F-057</t>
        </is>
      </c>
      <c r="D137" s="4" t="inlineStr">
        <is>
          <t>A clean-checkout rehearsal of the delivered zip passes its checks</t>
        </is>
      </c>
      <c r="E137" s="14" t="inlineStr">
        <is>
          <t>Positive</t>
        </is>
      </c>
      <c r="F137" s="4" t="inlineStr">
        <is>
          <t>Critical</t>
        </is>
      </c>
      <c r="G137" s="4" t="inlineStr">
        <is>
          <t>Zip only</t>
        </is>
      </c>
      <c r="H137" s="4" t="inlineStr">
        <is>
          <t>1. Unzip into an empty directory.
2. npm ci.
3. npm run build.
4. npx jest --ci.</t>
        </is>
      </c>
      <c r="I137" s="4" t="inlineStr">
        <is>
          <t>All green from the delivered artefact alone — the rehearsal that found F-057 and, this release, F-073.</t>
        </is>
      </c>
      <c r="J137" s="4" t="inlineStr">
        <is>
          <t>REVIEW_PACK.md</t>
        </is>
      </c>
      <c r="K137" s="14" t="inlineStr">
        <is>
          <t>Yes — sandbox</t>
        </is>
      </c>
      <c r="L137" s="16" t="inlineStr">
        <is>
          <t>Not run</t>
        </is>
      </c>
      <c r="M137" s="4" t="inlineStr"/>
      <c r="N137" s="4" t="inlineStr"/>
      <c r="O137" s="4" t="inlineStr"/>
    </row>
    <row r="138">
      <c r="A138" s="10" t="inlineStr">
        <is>
          <t>TC-033-02</t>
        </is>
      </c>
      <c r="B138" s="4" t="inlineStr">
        <is>
          <t>v033</t>
        </is>
      </c>
      <c r="C138" s="4" t="inlineStr">
        <is>
          <t>F-057</t>
        </is>
      </c>
      <c r="D138" s="4" t="inlineStr">
        <is>
          <t>A server entry point ships in the package</t>
        </is>
      </c>
      <c r="E138" s="14" t="inlineStr">
        <is>
          <t>Positive</t>
        </is>
      </c>
      <c r="F138" s="4" t="inlineStr">
        <is>
          <t>Critical</t>
        </is>
      </c>
      <c r="G138" s="4" t="inlineStr">
        <is>
          <t>Zip only</t>
        </is>
      </c>
      <c r="H138" s="4" t="inlineStr">
        <is>
          <t>1. Look for the start script and its entry file.</t>
        </is>
      </c>
      <c r="I138" s="4" t="inlineStr">
        <is>
          <t>npm start exists and points at a shipped file.</t>
        </is>
      </c>
      <c r="J138" s="4" t="inlineStr">
        <is>
          <t>package.json</t>
        </is>
      </c>
      <c r="K138" s="14" t="inlineStr">
        <is>
          <t>Yes — sandbox</t>
        </is>
      </c>
      <c r="L138" s="16" t="inlineStr">
        <is>
          <t>Not run</t>
        </is>
      </c>
      <c r="M138" s="4" t="inlineStr"/>
      <c r="N138" s="4" t="inlineStr"/>
      <c r="O138" s="4" t="inlineStr"/>
    </row>
    <row r="139">
      <c r="A139" s="10" t="inlineStr">
        <is>
          <t>TC-033-03</t>
        </is>
      </c>
      <c r="B139" s="4" t="inlineStr">
        <is>
          <t>v033</t>
        </is>
      </c>
      <c r="C139" s="4" t="inlineStr">
        <is>
          <t>F-057</t>
        </is>
      </c>
      <c r="D139" s="4" t="inlineStr">
        <is>
          <t>The guide instructions match the shipped scripts</t>
        </is>
      </c>
      <c r="E139" s="17" t="inlineStr">
        <is>
          <t>Negative</t>
        </is>
      </c>
      <c r="F139" s="4" t="inlineStr">
        <is>
          <t>Medium</t>
        </is>
      </c>
      <c r="G139" s="4" t="inlineStr">
        <is>
          <t>Docs and package.json</t>
        </is>
      </c>
      <c r="H139" s="4" t="inlineStr">
        <is>
          <t>1. Cross-check every command named in the guides.</t>
        </is>
      </c>
      <c r="I139" s="4" t="inlineStr">
        <is>
          <t>Every command exists in package.json.</t>
        </is>
      </c>
      <c r="J139" s="4" t="inlineStr">
        <is>
          <t>tests/reviewPack.test.ts</t>
        </is>
      </c>
      <c r="K139" s="14" t="inlineStr">
        <is>
          <t>Yes — sandbox</t>
        </is>
      </c>
      <c r="L139" s="16" t="inlineStr">
        <is>
          <t>Not run</t>
        </is>
      </c>
      <c r="M139" s="4" t="inlineStr"/>
      <c r="N139" s="4" t="inlineStr"/>
      <c r="O139" s="4" t="inlineStr"/>
    </row>
    <row r="140">
      <c r="A140" s="10" t="inlineStr">
        <is>
          <t>TC-034-01</t>
        </is>
      </c>
      <c r="B140" s="4" t="inlineStr">
        <is>
          <t>v034</t>
        </is>
      </c>
      <c r="C140" s="4" t="inlineStr">
        <is>
          <t>F-058</t>
        </is>
      </c>
      <c r="D140" s="4" t="inlineStr">
        <is>
          <t>The manifest tab URL is served by the app itself</t>
        </is>
      </c>
      <c r="E140" s="14" t="inlineStr">
        <is>
          <t>Positive</t>
        </is>
      </c>
      <c r="F140" s="4" t="inlineStr">
        <is>
          <t>Critical</t>
        </is>
      </c>
      <c r="G140" s="4" t="inlineStr">
        <is>
          <t>Built and running</t>
        </is>
      </c>
      <c r="H140" s="4" t="inlineStr">
        <is>
          <t>1. Request /tab/ .
2. Request /tab/tab.js .</t>
        </is>
      </c>
      <c r="I140" s="4" t="inlineStr">
        <is>
          <t>Both 200 with correct content types; the tab renders (F-058).</t>
        </is>
      </c>
      <c r="J140" s="4" t="inlineStr">
        <is>
          <t>tests/staticFiles.test.ts</t>
        </is>
      </c>
      <c r="K140" s="14" t="inlineStr">
        <is>
          <t>Yes — sandbox</t>
        </is>
      </c>
      <c r="L140" s="16" t="inlineStr">
        <is>
          <t>Not run</t>
        </is>
      </c>
      <c r="M140" s="4" t="inlineStr"/>
      <c r="N140" s="4" t="inlineStr"/>
      <c r="O140" s="4" t="inlineStr"/>
    </row>
    <row r="141">
      <c r="A141" s="10" t="inlineStr">
        <is>
          <t>TC-034-02</t>
        </is>
      </c>
      <c r="B141" s="4" t="inlineStr">
        <is>
          <t>v034</t>
        </is>
      </c>
      <c r="C141" s="4" t="inlineStr">
        <is>
          <t>F-058</t>
        </is>
      </c>
      <c r="D141" s="4" t="inlineStr">
        <is>
          <t>Path traversal on the static route is refused</t>
        </is>
      </c>
      <c r="E141" s="17" t="inlineStr">
        <is>
          <t>Negative</t>
        </is>
      </c>
      <c r="F141" s="4" t="inlineStr">
        <is>
          <t>Critical</t>
        </is>
      </c>
      <c r="G141" s="4" t="inlineStr">
        <is>
          <t>Running</t>
        </is>
      </c>
      <c r="H141" s="4" t="inlineStr">
        <is>
          <t>1. GET /tab/../../package.json .</t>
        </is>
      </c>
      <c r="I141" s="4" t="inlineStr">
        <is>
          <t>403 or 404; no file outside the build directory is served.</t>
        </is>
      </c>
      <c r="J141" s="4" t="inlineStr">
        <is>
          <t>tests/staticFiles.test.ts</t>
        </is>
      </c>
      <c r="K141" s="14" t="inlineStr">
        <is>
          <t>Yes — sandbox</t>
        </is>
      </c>
      <c r="L141" s="16" t="inlineStr">
        <is>
          <t>Not run</t>
        </is>
      </c>
      <c r="M141" s="4" t="inlineStr"/>
      <c r="N141" s="4" t="inlineStr"/>
      <c r="O141" s="4" t="inlineStr"/>
    </row>
    <row r="142">
      <c r="A142" s="10" t="inlineStr">
        <is>
          <t>TC-034-03</t>
        </is>
      </c>
      <c r="B142" s="4" t="inlineStr">
        <is>
          <t>v034</t>
        </is>
      </c>
      <c r="C142" s="4" t="inlineStr">
        <is>
          <t>F-058</t>
        </is>
      </c>
      <c r="D142" s="4" t="inlineStr">
        <is>
          <t>An unbuilt deployment says so rather than 404ing silently</t>
        </is>
      </c>
      <c r="E142" s="17" t="inlineStr">
        <is>
          <t>Negative</t>
        </is>
      </c>
      <c r="F142" s="4" t="inlineStr">
        <is>
          <t>High</t>
        </is>
      </c>
      <c r="G142" s="4" t="inlineStr">
        <is>
          <t>Build directory absent</t>
        </is>
      </c>
      <c r="H142" s="4" t="inlineStr">
        <is>
          <t>1. GET /tab/ .</t>
        </is>
      </c>
      <c r="I142" s="4" t="inlineStr">
        <is>
          <t>A clear message that the bundle is not built, not a bare 404.</t>
        </is>
      </c>
      <c r="J142" s="4" t="inlineStr">
        <is>
          <t>tests/staticFiles.test.ts</t>
        </is>
      </c>
      <c r="K142" s="14" t="inlineStr">
        <is>
          <t>Yes — sandbox</t>
        </is>
      </c>
      <c r="L142" s="16" t="inlineStr">
        <is>
          <t>Not run</t>
        </is>
      </c>
      <c r="M142" s="4" t="inlineStr"/>
      <c r="N142" s="4" t="inlineStr"/>
      <c r="O142" s="4" t="inlineStr"/>
    </row>
    <row r="143">
      <c r="A143" s="10" t="inlineStr">
        <is>
          <t>TC-034-04</t>
        </is>
      </c>
      <c r="B143" s="4" t="inlineStr">
        <is>
          <t>v034</t>
        </is>
      </c>
      <c r="C143" s="4" t="inlineStr">
        <is>
          <t>F-058</t>
        </is>
      </c>
      <c r="D143" s="4" t="inlineStr">
        <is>
          <t>An unmapped file type is served as a download, not guessed</t>
        </is>
      </c>
      <c r="E143" s="17" t="inlineStr">
        <is>
          <t>Negative</t>
        </is>
      </c>
      <c r="F143" s="4" t="inlineStr">
        <is>
          <t>Medium</t>
        </is>
      </c>
      <c r="G143" s="4" t="inlineStr">
        <is>
          <t>File with unknown extension present</t>
        </is>
      </c>
      <c r="H143" s="4" t="inlineStr">
        <is>
          <t>1. Request it.</t>
        </is>
      </c>
      <c r="I143" s="4" t="inlineStr">
        <is>
          <t>Served as an attachment rather than with a guessed content type.</t>
        </is>
      </c>
      <c r="J143" s="4" t="inlineStr">
        <is>
          <t>tests/staticFiles.test.ts</t>
        </is>
      </c>
      <c r="K143" s="14" t="inlineStr">
        <is>
          <t>Yes — sandbox</t>
        </is>
      </c>
      <c r="L143" s="16" t="inlineStr">
        <is>
          <t>Not run</t>
        </is>
      </c>
      <c r="M143" s="4" t="inlineStr"/>
      <c r="N143" s="4" t="inlineStr"/>
      <c r="O143" s="4" t="inlineStr"/>
    </row>
    <row r="144">
      <c r="A144" s="10" t="inlineStr">
        <is>
          <t>TC-035-01</t>
        </is>
      </c>
      <c r="B144" s="4" t="inlineStr">
        <is>
          <t>v035</t>
        </is>
      </c>
      <c r="C144" s="4" t="inlineStr">
        <is>
          <t>F-059</t>
        </is>
      </c>
      <c r="D144" s="4" t="inlineStr">
        <is>
          <t>The bot endpoint answers rather than returning 503</t>
        </is>
      </c>
      <c r="E144" s="14" t="inlineStr">
        <is>
          <t>Positive</t>
        </is>
      </c>
      <c r="F144" s="4" t="inlineStr">
        <is>
          <t>Critical</t>
        </is>
      </c>
      <c r="G144" s="4" t="inlineStr">
        <is>
          <t>Production configuration with bot credentials</t>
        </is>
      </c>
      <c r="H144" s="4" t="inlineStr">
        <is>
          <t>1. POST a valid activity.</t>
        </is>
      </c>
      <c r="I144" s="4" t="inlineStr">
        <is>
          <t>200 ack and an outbound reply; the endpoint is wired (F-059).</t>
        </is>
      </c>
      <c r="J144" s="4" t="inlineStr">
        <is>
          <t>tests/serve.test.ts</t>
        </is>
      </c>
      <c r="K144" s="14" t="inlineStr">
        <is>
          <t>Yes — sandbox</t>
        </is>
      </c>
      <c r="L144" s="16" t="inlineStr">
        <is>
          <t>Not run</t>
        </is>
      </c>
      <c r="M144" s="4" t="inlineStr"/>
      <c r="N144" s="4" t="inlineStr"/>
      <c r="O144" s="4" t="inlineStr"/>
    </row>
    <row r="145">
      <c r="A145" s="10" t="inlineStr">
        <is>
          <t>TC-035-02</t>
        </is>
      </c>
      <c r="B145" s="4" t="inlineStr">
        <is>
          <t>v035</t>
        </is>
      </c>
      <c r="C145" s="4" t="inlineStr">
        <is>
          <t>F-059</t>
        </is>
      </c>
      <c r="D145" s="4" t="inlineStr">
        <is>
          <t>Every advertised command answers through the wired transport</t>
        </is>
      </c>
      <c r="E145" s="14" t="inlineStr">
        <is>
          <t>Positive</t>
        </is>
      </c>
      <c r="F145" s="4" t="inlineStr">
        <is>
          <t>High</t>
        </is>
      </c>
      <c r="G145" s="4" t="inlineStr">
        <is>
          <t>Bot wired</t>
        </is>
      </c>
      <c r="H145" s="4" t="inlineStr">
        <is>
          <t>1. Send each advertised command.</t>
        </is>
      </c>
      <c r="I145" s="4" t="inlineStr">
        <is>
          <t>Each produces a reply through the Connector sender.</t>
        </is>
      </c>
      <c r="J145" s="4" t="inlineStr">
        <is>
          <t>tests/botTransport.test.ts</t>
        </is>
      </c>
      <c r="K145" s="14" t="inlineStr">
        <is>
          <t>Yes — sandbox</t>
        </is>
      </c>
      <c r="L145" s="16" t="inlineStr">
        <is>
          <t>Not run</t>
        </is>
      </c>
      <c r="M145" s="4" t="inlineStr"/>
      <c r="N145" s="4" t="inlineStr"/>
      <c r="O145" s="4" t="inlineStr"/>
    </row>
    <row r="146">
      <c r="A146" s="10" t="inlineStr">
        <is>
          <t>TC-035-03</t>
        </is>
      </c>
      <c r="B146" s="4" t="inlineStr">
        <is>
          <t>v035</t>
        </is>
      </c>
      <c r="C146" s="4" t="inlineStr">
        <is>
          <t>F-059</t>
        </is>
      </c>
      <c r="D146" s="4" t="inlineStr">
        <is>
          <t>Dev mode and production mode are explicit, not inferred</t>
        </is>
      </c>
      <c r="E146" s="17" t="inlineStr">
        <is>
          <t>Negative</t>
        </is>
      </c>
      <c r="F146" s="4" t="inlineStr">
        <is>
          <t>Critical</t>
        </is>
      </c>
      <c r="G146" s="4" t="inlineStr">
        <is>
          <t>SHIFTDESK_ENV unset</t>
        </is>
      </c>
      <c r="H146" s="4" t="inlineStr">
        <is>
          <t>1. Boot.</t>
        </is>
      </c>
      <c r="I146" s="4" t="inlineStr">
        <is>
          <t>Production is assumed and dev seams are refused (D-SD9).</t>
        </is>
      </c>
      <c r="J146" s="4" t="inlineStr">
        <is>
          <t>tests/serve.test.ts</t>
        </is>
      </c>
      <c r="K146" s="14" t="inlineStr">
        <is>
          <t>Yes — sandbox</t>
        </is>
      </c>
      <c r="L146" s="16" t="inlineStr">
        <is>
          <t>Not run</t>
        </is>
      </c>
      <c r="M146" s="4" t="inlineStr"/>
      <c r="N146" s="4" t="inlineStr"/>
      <c r="O146" s="4" t="inlineStr"/>
    </row>
    <row r="147">
      <c r="A147" s="10" t="inlineStr">
        <is>
          <t>TC-035-04</t>
        </is>
      </c>
      <c r="B147" s="4" t="inlineStr">
        <is>
          <t>v035</t>
        </is>
      </c>
      <c r="C147" s="4" t="inlineStr">
        <is>
          <t>F-059</t>
        </is>
      </c>
      <c r="D147" s="4" t="inlineStr">
        <is>
          <t>Sweep check A-15 verifies the bot endpoint live</t>
        </is>
      </c>
      <c r="E147" s="14" t="inlineStr">
        <is>
          <t>Positive</t>
        </is>
      </c>
      <c r="F147" s="4" t="inlineStr">
        <is>
          <t>Medium</t>
        </is>
      </c>
      <c r="G147" s="4" t="inlineStr">
        <is>
          <t>App running</t>
        </is>
      </c>
      <c r="H147" s="4" t="inlineStr">
        <is>
          <t>1. Run the sweep.</t>
        </is>
      </c>
      <c r="I147" s="4" t="inlineStr">
        <is>
          <t>A-15 reports on the bot endpoint rather than skipping.</t>
        </is>
      </c>
      <c r="J147" s="4" t="inlineStr">
        <is>
          <t>tests/liveSweep.test.ts</t>
        </is>
      </c>
      <c r="K147" s="14" t="inlineStr">
        <is>
          <t>Yes — sandbox</t>
        </is>
      </c>
      <c r="L147" s="16" t="inlineStr">
        <is>
          <t>Not run</t>
        </is>
      </c>
      <c r="M147" s="4" t="inlineStr"/>
      <c r="N147" s="4" t="inlineStr"/>
      <c r="O147" s="4" t="inlineStr"/>
    </row>
    <row r="148">
      <c r="A148" s="10" t="inlineStr">
        <is>
          <t>TC-036-01</t>
        </is>
      </c>
      <c r="B148" s="4" t="inlineStr">
        <is>
          <t>v036</t>
        </is>
      </c>
      <c r="C148" s="4" t="inlineStr">
        <is>
          <t>F-060/F-061</t>
        </is>
      </c>
      <c r="D148" s="4" t="inlineStr">
        <is>
          <t>Install and uninstall are recorded through the transport</t>
        </is>
      </c>
      <c r="E148" s="14" t="inlineStr">
        <is>
          <t>Positive</t>
        </is>
      </c>
      <c r="F148" s="4" t="inlineStr">
        <is>
          <t>High</t>
        </is>
      </c>
      <c r="G148" s="4" t="inlineStr">
        <is>
          <t>Bot wired</t>
        </is>
      </c>
      <c r="H148" s="4" t="inlineStr">
        <is>
          <t>1. POST installationUpdate add, then remove.</t>
        </is>
      </c>
      <c r="I148" s="4" t="inlineStr">
        <is>
          <t>Both recorded; ST-052/053 have a real trigger (F-060).</t>
        </is>
      </c>
      <c r="J148" s="4" t="inlineStr">
        <is>
          <t>tests/lifecycleWiring.test.ts</t>
        </is>
      </c>
      <c r="K148" s="14" t="inlineStr">
        <is>
          <t>Yes — sandbox</t>
        </is>
      </c>
      <c r="L148" s="16" t="inlineStr">
        <is>
          <t>Not run</t>
        </is>
      </c>
      <c r="M148" s="4" t="inlineStr"/>
      <c r="N148" s="4" t="inlineStr"/>
      <c r="O148" s="4" t="inlineStr"/>
    </row>
    <row r="149">
      <c r="A149" s="10" t="inlineStr">
        <is>
          <t>TC-036-02</t>
        </is>
      </c>
      <c r="B149" s="4" t="inlineStr">
        <is>
          <t>v036</t>
        </is>
      </c>
      <c r="C149" s="4" t="inlineStr">
        <is>
          <t>F-060/F-061</t>
        </is>
      </c>
      <c r="D149" s="4" t="inlineStr">
        <is>
          <t>The retention sweep is scheduled in a real deployment</t>
        </is>
      </c>
      <c r="E149" s="14" t="inlineStr">
        <is>
          <t>Positive</t>
        </is>
      </c>
      <c r="F149" s="4" t="inlineStr">
        <is>
          <t>Critical</t>
        </is>
      </c>
      <c r="G149" s="4" t="inlineStr">
        <is>
          <t>App booted</t>
        </is>
      </c>
      <c r="H149" s="4" t="inlineStr">
        <is>
          <t>1. Boot.
2. Inspect the scheduler.</t>
        </is>
      </c>
      <c r="I149" s="4" t="inlineStr">
        <is>
          <t>An hourly sweep is scheduled; it was never called before (F-061).</t>
        </is>
      </c>
      <c r="J149" s="4" t="inlineStr">
        <is>
          <t>tests/runtimeWiring2.test.ts</t>
        </is>
      </c>
      <c r="K149" s="14" t="inlineStr">
        <is>
          <t>Yes — sandbox</t>
        </is>
      </c>
      <c r="L149" s="16" t="inlineStr">
        <is>
          <t>Not run</t>
        </is>
      </c>
      <c r="M149" s="4" t="inlineStr"/>
      <c r="N149" s="4" t="inlineStr"/>
      <c r="O149" s="4" t="inlineStr"/>
    </row>
    <row r="150">
      <c r="A150" s="10" t="inlineStr">
        <is>
          <t>TC-036-03</t>
        </is>
      </c>
      <c r="B150" s="4" t="inlineStr">
        <is>
          <t>v036</t>
        </is>
      </c>
      <c r="C150" s="4" t="inlineStr">
        <is>
          <t>F-060/F-061</t>
        </is>
      </c>
      <c r="D150" s="4" t="inlineStr">
        <is>
          <t>The scheduler does not double-run on two instances</t>
        </is>
      </c>
      <c r="E150" s="17" t="inlineStr">
        <is>
          <t>Negative</t>
        </is>
      </c>
      <c r="F150" s="4" t="inlineStr">
        <is>
          <t>High</t>
        </is>
      </c>
      <c r="G150" s="4" t="inlineStr">
        <is>
          <t>Two instances</t>
        </is>
      </c>
      <c r="H150" s="4" t="inlineStr">
        <is>
          <t>1. Boot both.
2. Run the sweep window.</t>
        </is>
      </c>
      <c r="I150" s="4" t="inlineStr">
        <is>
          <t>Work is idempotent; a double run deletes nothing extra.</t>
        </is>
      </c>
      <c r="J150" s="4" t="inlineStr">
        <is>
          <t>tests/tenantLifecycle.test.ts</t>
        </is>
      </c>
      <c r="K150" s="14" t="inlineStr">
        <is>
          <t>Yes — sandbox</t>
        </is>
      </c>
      <c r="L150" s="16" t="inlineStr">
        <is>
          <t>Not run</t>
        </is>
      </c>
      <c r="M150" s="4" t="inlineStr"/>
      <c r="N150" s="4" t="inlineStr"/>
      <c r="O150" s="4" t="inlineStr"/>
    </row>
    <row r="151">
      <c r="A151" s="10" t="inlineStr">
        <is>
          <t>TC-036-04</t>
        </is>
      </c>
      <c r="B151" s="4" t="inlineStr">
        <is>
          <t>v036</t>
        </is>
      </c>
      <c r="C151" s="4" t="inlineStr">
        <is>
          <t>F-060/F-061</t>
        </is>
      </c>
      <c r="D151" s="4" t="inlineStr">
        <is>
          <t>A failing sweep raises rather than dying silently</t>
        </is>
      </c>
      <c r="E151" s="17" t="inlineStr">
        <is>
          <t>Negative</t>
        </is>
      </c>
      <c r="F151" s="4" t="inlineStr">
        <is>
          <t>High</t>
        </is>
      </c>
      <c r="G151" s="4" t="inlineStr">
        <is>
          <t>Store failing</t>
        </is>
      </c>
      <c r="H151" s="4" t="inlineStr">
        <is>
          <t>1. Run the sweep.</t>
        </is>
      </c>
      <c r="I151" s="4" t="inlineStr">
        <is>
          <t>The failure is logged and alerted (retention-failure alert rule), not swallowed.</t>
        </is>
      </c>
      <c r="J151" s="4" t="inlineStr">
        <is>
          <t>tests/observability.test.ts</t>
        </is>
      </c>
      <c r="K151" s="14" t="inlineStr">
        <is>
          <t>Yes — sandbox</t>
        </is>
      </c>
      <c r="L151" s="16" t="inlineStr">
        <is>
          <t>Not run</t>
        </is>
      </c>
      <c r="M151" s="4" t="inlineStr"/>
      <c r="N151" s="4" t="inlineStr"/>
      <c r="O151" s="4" t="inlineStr"/>
    </row>
    <row r="152">
      <c r="A152" s="10" t="inlineStr">
        <is>
          <t>TC-037-01</t>
        </is>
      </c>
      <c r="B152" s="4" t="inlineStr">
        <is>
          <t>v037</t>
        </is>
      </c>
      <c r="C152" s="4" t="inlineStr">
        <is>
          <t>F-062..F-064</t>
        </is>
      </c>
      <c r="D152" s="4" t="inlineStr">
        <is>
          <t>A user is not silently resolved to owner</t>
        </is>
      </c>
      <c r="E152" s="17" t="inlineStr">
        <is>
          <t>Negative</t>
        </is>
      </c>
      <c r="F152" s="4" t="inlineStr">
        <is>
          <t>Critical</t>
        </is>
      </c>
      <c r="G152" s="4" t="inlineStr">
        <is>
          <t>Production configuration, unknown user</t>
        </is>
      </c>
      <c r="H152" s="4" t="inlineStr">
        <is>
          <t>1. Call an owner-only route as that user.</t>
        </is>
      </c>
      <c r="I152" s="4" t="inlineStr">
        <is>
          <t>Refused; the shipped entry point resolved everyone to owner before this (F-062).</t>
        </is>
      </c>
      <c r="J152" s="4" t="inlineStr">
        <is>
          <t>tests/runtimeWiring3.test.ts</t>
        </is>
      </c>
      <c r="K152" s="14" t="inlineStr">
        <is>
          <t>Yes — sandbox</t>
        </is>
      </c>
      <c r="L152" s="16" t="inlineStr">
        <is>
          <t>Not run</t>
        </is>
      </c>
      <c r="M152" s="4" t="inlineStr"/>
      <c r="N152" s="4" t="inlineStr"/>
      <c r="O152" s="4" t="inlineStr"/>
    </row>
    <row r="153">
      <c r="A153" s="10" t="inlineStr">
        <is>
          <t>TC-037-02</t>
        </is>
      </c>
      <c r="B153" s="4" t="inlineStr">
        <is>
          <t>v037</t>
        </is>
      </c>
      <c r="C153" s="4" t="inlineStr">
        <is>
          <t>F-062..F-064</t>
        </is>
      </c>
      <c r="D153" s="4" t="inlineStr">
        <is>
          <t>The notification dispatcher is constructed at boot</t>
        </is>
      </c>
      <c r="E153" s="14" t="inlineStr">
        <is>
          <t>Positive</t>
        </is>
      </c>
      <c r="F153" s="4" t="inlineStr">
        <is>
          <t>High</t>
        </is>
      </c>
      <c r="G153" s="4" t="inlineStr">
        <is>
          <t>App booted</t>
        </is>
      </c>
      <c r="H153" s="4" t="inlineStr">
        <is>
          <t>1. Inspect the seams.
2. Trigger a notification through a request.</t>
        </is>
      </c>
      <c r="I153" s="4" t="inlineStr">
        <is>
          <t>Dispatcher exists and delivers (F-063).</t>
        </is>
      </c>
      <c r="J153" s="4" t="inlineStr">
        <is>
          <t>tests/runtimeWiring3.test.ts</t>
        </is>
      </c>
      <c r="K153" s="14" t="inlineStr">
        <is>
          <t>Yes — sandbox</t>
        </is>
      </c>
      <c r="L153" s="16" t="inlineStr">
        <is>
          <t>Not run</t>
        </is>
      </c>
      <c r="M153" s="4" t="inlineStr"/>
      <c r="N153" s="4" t="inlineStr"/>
      <c r="O153" s="4" t="inlineStr"/>
    </row>
    <row r="154">
      <c r="A154" s="10" t="inlineStr">
        <is>
          <t>TC-037-03</t>
        </is>
      </c>
      <c r="B154" s="4" t="inlineStr">
        <is>
          <t>v037</t>
        </is>
      </c>
      <c r="C154" s="4" t="inlineStr">
        <is>
          <t>F-062..F-064</t>
        </is>
      </c>
      <c r="D154" s="4" t="inlineStr">
        <is>
          <t>The help index is constructed at boot</t>
        </is>
      </c>
      <c r="E154" s="14" t="inlineStr">
        <is>
          <t>Positive</t>
        </is>
      </c>
      <c r="F154" s="4" t="inlineStr">
        <is>
          <t>Medium</t>
        </is>
      </c>
      <c r="G154" s="4" t="inlineStr">
        <is>
          <t>App booted</t>
        </is>
      </c>
      <c r="H154" s="4" t="inlineStr">
        <is>
          <t>1. Ask the bot for help on a topic.</t>
        </is>
      </c>
      <c r="I154" s="4" t="inlineStr">
        <is>
          <t>A real article is returned (F-064).</t>
        </is>
      </c>
      <c r="J154" s="4" t="inlineStr">
        <is>
          <t>tests/botRouter.test.ts</t>
        </is>
      </c>
      <c r="K154" s="14" t="inlineStr">
        <is>
          <t>Yes — sandbox</t>
        </is>
      </c>
      <c r="L154" s="16" t="inlineStr">
        <is>
          <t>Not run</t>
        </is>
      </c>
      <c r="M154" s="4" t="inlineStr"/>
      <c r="N154" s="4" t="inlineStr"/>
      <c r="O154" s="4" t="inlineStr"/>
    </row>
    <row r="155">
      <c r="A155" s="10" t="inlineStr">
        <is>
          <t>TC-037-04</t>
        </is>
      </c>
      <c r="B155" s="4" t="inlineStr">
        <is>
          <t>v037</t>
        </is>
      </c>
      <c r="C155" s="4" t="inlineStr">
        <is>
          <t>F-062..F-064</t>
        </is>
      </c>
      <c r="D155" s="4" t="inlineStr">
        <is>
          <t>A missing runtime dependency produces a startup warning</t>
        </is>
      </c>
      <c r="E155" s="17" t="inlineStr">
        <is>
          <t>Negative</t>
        </is>
      </c>
      <c r="F155" s="4" t="inlineStr">
        <is>
          <t>High</t>
        </is>
      </c>
      <c r="G155" s="4" t="inlineStr">
        <is>
          <t>Graph not configured</t>
        </is>
      </c>
      <c r="H155" s="4" t="inlineStr">
        <is>
          <t>1. Boot.</t>
        </is>
      </c>
      <c r="I155" s="4" t="inlineStr">
        <is>
          <t>A warning names what is degraded rather than booting silently.</t>
        </is>
      </c>
      <c r="J155" s="4" t="inlineStr">
        <is>
          <t>tests/serve.test.ts</t>
        </is>
      </c>
      <c r="K155" s="14" t="inlineStr">
        <is>
          <t>Yes — sandbox</t>
        </is>
      </c>
      <c r="L155" s="16" t="inlineStr">
        <is>
          <t>Not run</t>
        </is>
      </c>
      <c r="M155" s="4" t="inlineStr"/>
      <c r="N155" s="4" t="inlineStr"/>
      <c r="O155" s="4" t="inlineStr"/>
    </row>
    <row r="156">
      <c r="A156" s="10" t="inlineStr">
        <is>
          <t>TC-037-05</t>
        </is>
      </c>
      <c r="B156" s="4" t="inlineStr">
        <is>
          <t>v037</t>
        </is>
      </c>
      <c r="C156" s="4" t="inlineStr">
        <is>
          <t>F-062..F-064</t>
        </is>
      </c>
      <c r="D156" s="4" t="inlineStr">
        <is>
          <t>Deny-safe fallback applies when the directory is unavailable</t>
        </is>
      </c>
      <c r="E156" s="17" t="inlineStr">
        <is>
          <t>Negative</t>
        </is>
      </c>
      <c r="F156" s="4" t="inlineStr">
        <is>
          <t>Critical</t>
        </is>
      </c>
      <c r="G156" s="4" t="inlineStr">
        <is>
          <t>Directory empty</t>
        </is>
      </c>
      <c r="H156" s="4" t="inlineStr">
        <is>
          <t>1. Call an admin route.</t>
        </is>
      </c>
      <c r="I156" s="4" t="inlineStr">
        <is>
          <t>Refused; unavailability never grants access.</t>
        </is>
      </c>
      <c r="J156" s="4" t="inlineStr">
        <is>
          <t>tests/runtimeWiring3.test.ts</t>
        </is>
      </c>
      <c r="K156" s="14" t="inlineStr">
        <is>
          <t>Yes — sandbox</t>
        </is>
      </c>
      <c r="L156" s="16" t="inlineStr">
        <is>
          <t>Not run</t>
        </is>
      </c>
      <c r="M156" s="4" t="inlineStr"/>
      <c r="N156" s="4" t="inlineStr"/>
      <c r="O156" s="4" t="inlineStr"/>
    </row>
    <row r="157">
      <c r="A157" s="10" t="inlineStr">
        <is>
          <t>TC-038-01</t>
        </is>
      </c>
      <c r="B157" s="4" t="inlineStr">
        <is>
          <t>v038</t>
        </is>
      </c>
      <c r="C157" s="4" t="inlineStr">
        <is>
          <t>F-065..F-067</t>
        </is>
      </c>
      <c r="D157" s="4" t="inlineStr">
        <is>
          <t>Notification email goes to the address the token vouches for</t>
        </is>
      </c>
      <c r="E157" s="14" t="inlineStr">
        <is>
          <t>Positive</t>
        </is>
      </c>
      <c r="F157" s="4" t="inlineStr">
        <is>
          <t>Critical</t>
        </is>
      </c>
      <c r="G157" s="4" t="inlineStr">
        <is>
          <t>Token with preferred_username</t>
        </is>
      </c>
      <c r="H157" s="4" t="inlineStr">
        <is>
          <t>1. Authenticate.
2. Trigger an email notification.</t>
        </is>
      </c>
      <c r="I157" s="4" t="inlineStr">
        <is>
          <t>The real mailbox is used, not an address synthesised at our own domain (F-065).</t>
        </is>
      </c>
      <c r="J157" s="4" t="inlineStr">
        <is>
          <t>tests/notificationDispatcher.test.ts</t>
        </is>
      </c>
      <c r="K157" s="14" t="inlineStr">
        <is>
          <t>Yes — sandbox</t>
        </is>
      </c>
      <c r="L157" s="16" t="inlineStr">
        <is>
          <t>Not run</t>
        </is>
      </c>
      <c r="M157" s="4" t="inlineStr"/>
      <c r="N157" s="4" t="inlineStr"/>
      <c r="O157" s="4" t="inlineStr"/>
    </row>
    <row r="158">
      <c r="A158" s="10" t="inlineStr">
        <is>
          <t>TC-038-02</t>
        </is>
      </c>
      <c r="B158" s="4" t="inlineStr">
        <is>
          <t>v038</t>
        </is>
      </c>
      <c r="C158" s="4" t="inlineStr">
        <is>
          <t>F-065..F-067</t>
        </is>
      </c>
      <c r="D158" s="4" t="inlineStr">
        <is>
          <t>An unknown recipient is reported, not guessed at</t>
        </is>
      </c>
      <c r="E158" s="17" t="inlineStr">
        <is>
          <t>Negative</t>
        </is>
      </c>
      <c r="F158" s="4" t="inlineStr">
        <is>
          <t>Critical</t>
        </is>
      </c>
      <c r="G158" s="4" t="inlineStr">
        <is>
          <t>No address on file</t>
        </is>
      </c>
      <c r="H158" s="4" t="inlineStr">
        <is>
          <t>1. Trigger a notification for that user.</t>
        </is>
      </c>
      <c r="I158" s="4" t="inlineStr">
        <is>
          <t>"No address" is reported; no invented address is emailed.</t>
        </is>
      </c>
      <c r="J158" s="4" t="inlineStr">
        <is>
          <t>tests/notificationDispatcher.test.ts</t>
        </is>
      </c>
      <c r="K158" s="14" t="inlineStr">
        <is>
          <t>Yes — sandbox</t>
        </is>
      </c>
      <c r="L158" s="16" t="inlineStr">
        <is>
          <t>Not run</t>
        </is>
      </c>
      <c r="M158" s="4" t="inlineStr"/>
      <c r="N158" s="4" t="inlineStr"/>
      <c r="O158" s="4" t="inlineStr"/>
    </row>
    <row r="159">
      <c r="A159" s="10" t="inlineStr">
        <is>
          <t>TC-038-03</t>
        </is>
      </c>
      <c r="B159" s="4" t="inlineStr">
        <is>
          <t>v038</t>
        </is>
      </c>
      <c r="C159" s="4" t="inlineStr">
        <is>
          <t>F-065..F-067</t>
        </is>
      </c>
      <c r="D159" s="4" t="inlineStr">
        <is>
          <t>Addresses are tenant-scoped</t>
        </is>
      </c>
      <c r="E159" s="17" t="inlineStr">
        <is>
          <t>Negative</t>
        </is>
      </c>
      <c r="F159" s="4" t="inlineStr">
        <is>
          <t>Critical</t>
        </is>
      </c>
      <c r="G159" s="4" t="inlineStr">
        <is>
          <t>Same user id in two tenants</t>
        </is>
      </c>
      <c r="H159" s="4" t="inlineStr">
        <is>
          <t>1. Resolve the address in tenant A for a B-only user.</t>
        </is>
      </c>
      <c r="I159" s="4" t="inlineStr">
        <is>
          <t>Not found; one tenant can never resolve another tenant's people.</t>
        </is>
      </c>
      <c r="J159" s="4" t="inlineStr">
        <is>
          <t>tests/teamsNative.test.ts</t>
        </is>
      </c>
      <c r="K159" s="14" t="inlineStr">
        <is>
          <t>Yes — sandbox</t>
        </is>
      </c>
      <c r="L159" s="16" t="inlineStr">
        <is>
          <t>Not run</t>
        </is>
      </c>
      <c r="M159" s="4" t="inlineStr"/>
      <c r="N159" s="4" t="inlineStr"/>
      <c r="O159" s="4" t="inlineStr"/>
    </row>
    <row r="160">
      <c r="A160" s="10" t="inlineStr">
        <is>
          <t>TC-038-04</t>
        </is>
      </c>
      <c r="B160" s="4" t="inlineStr">
        <is>
          <t>v038</t>
        </is>
      </c>
      <c r="C160" s="4" t="inlineStr">
        <is>
          <t>F-065..F-067</t>
        </is>
      </c>
      <c r="D160" s="4" t="inlineStr">
        <is>
          <t>The Graph directory can actually be enabled</t>
        </is>
      </c>
      <c r="E160" s="14" t="inlineStr">
        <is>
          <t>Positive</t>
        </is>
      </c>
      <c r="F160" s="4" t="inlineStr">
        <is>
          <t>High</t>
        </is>
      </c>
      <c r="G160" s="4" t="inlineStr">
        <is>
          <t>Token and fetcher configured</t>
        </is>
      </c>
      <c r="H160" s="4" t="inlineStr">
        <is>
          <t>1. Enable the directory.
2. Resolve a team owner.</t>
        </is>
      </c>
      <c r="I160" s="4" t="inlineStr">
        <is>
          <t>Admin resolved; token failures are explicit rather than silently leaving everyone a member (F-066).</t>
        </is>
      </c>
      <c r="J160" s="4" t="inlineStr">
        <is>
          <t>tests/graphMembers.test.ts</t>
        </is>
      </c>
      <c r="K160" s="14" t="inlineStr">
        <is>
          <t>Yes — sandbox</t>
        </is>
      </c>
      <c r="L160" s="16" t="inlineStr">
        <is>
          <t>Not run</t>
        </is>
      </c>
      <c r="M160" s="4" t="inlineStr"/>
      <c r="N160" s="4" t="inlineStr"/>
      <c r="O160" s="4" t="inlineStr"/>
    </row>
    <row r="161">
      <c r="A161" s="10" t="inlineStr">
        <is>
          <t>TC-039-01</t>
        </is>
      </c>
      <c r="B161" s="4" t="inlineStr">
        <is>
          <t>v039</t>
        </is>
      </c>
      <c r="C161" s="4" t="inlineStr">
        <is>
          <t>F-068..F-070, OBS-SD11</t>
        </is>
      </c>
      <c r="D161" s="4" t="inlineStr">
        <is>
          <t>Boot seeding reaches the observer, not just the log</t>
        </is>
      </c>
      <c r="E161" s="14" t="inlineStr">
        <is>
          <t>Positive</t>
        </is>
      </c>
      <c r="F161" s="4" t="inlineStr">
        <is>
          <t>Critical</t>
        </is>
      </c>
      <c r="G161" s="4" t="inlineStr">
        <is>
          <t>Two tenants already in the store</t>
        </is>
      </c>
      <c r="H161" s="4" t="inlineStr">
        <is>
          <t>1. Boot.
2. Read the install count.</t>
        </is>
      </c>
      <c r="I161" s="4" t="inlineStr">
        <is>
          <t>Neither stored tenant is counted as a new install (F-068 — F-067 was reported fixed and was not).</t>
        </is>
      </c>
      <c r="J161" s="4" t="inlineStr">
        <is>
          <t>tests/runtimeWiring3.test.ts</t>
        </is>
      </c>
      <c r="K161" s="14" t="inlineStr">
        <is>
          <t>Yes — sandbox</t>
        </is>
      </c>
      <c r="L161" s="16" t="inlineStr">
        <is>
          <t>Not run</t>
        </is>
      </c>
      <c r="M161" s="4" t="inlineStr"/>
      <c r="N161" s="4" t="inlineStr"/>
      <c r="O161" s="4" t="inlineStr"/>
    </row>
    <row r="162">
      <c r="A162" s="10" t="inlineStr">
        <is>
          <t>TC-039-02</t>
        </is>
      </c>
      <c r="B162" s="4" t="inlineStr">
        <is>
          <t>v039</t>
        </is>
      </c>
      <c r="C162" s="4" t="inlineStr">
        <is>
          <t>F-068..F-070, OBS-SD11</t>
        </is>
      </c>
      <c r="D162" s="4" t="inlineStr">
        <is>
          <t>The role directory is populated at install</t>
        </is>
      </c>
      <c r="E162" s="14" t="inlineStr">
        <is>
          <t>Positive</t>
        </is>
      </c>
      <c r="F162" s="4" t="inlineStr">
        <is>
          <t>Critical</t>
        </is>
      </c>
      <c r="G162" s="4" t="inlineStr">
        <is>
          <t>Fresh install by user U1 in a team</t>
        </is>
      </c>
      <c r="H162" s="4" t="inlineStr">
        <is>
          <t>1. Install.
2. Resolve roles.</t>
        </is>
      </c>
      <c r="I162" s="4" t="inlineStr">
        <is>
          <t>U1 is owner and team owners are admins; the directory is not left empty (F-069).</t>
        </is>
      </c>
      <c r="J162" s="4" t="inlineStr">
        <is>
          <t>tests/lifecycleWiring.test.ts</t>
        </is>
      </c>
      <c r="K162" s="14" t="inlineStr">
        <is>
          <t>Yes — sandbox</t>
        </is>
      </c>
      <c r="L162" s="16" t="inlineStr">
        <is>
          <t>Not run</t>
        </is>
      </c>
      <c r="M162" s="4" t="inlineStr"/>
      <c r="N162" s="4" t="inlineStr"/>
      <c r="O162" s="4" t="inlineStr"/>
    </row>
    <row r="163">
      <c r="A163" s="10" t="inlineStr">
        <is>
          <t>TC-039-03</t>
        </is>
      </c>
      <c r="B163" s="4" t="inlineStr">
        <is>
          <t>v039</t>
        </is>
      </c>
      <c r="C163" s="4" t="inlineStr">
        <is>
          <t>F-068..F-070, OBS-SD11</t>
        </is>
      </c>
      <c r="D163" s="4" t="inlineStr">
        <is>
          <t>A personal-scope install with no team is handled</t>
        </is>
      </c>
      <c r="E163" s="17" t="inlineStr">
        <is>
          <t>Negative</t>
        </is>
      </c>
      <c r="F163" s="4" t="inlineStr">
        <is>
          <t>High</t>
        </is>
      </c>
      <c r="G163" s="4" t="inlineStr">
        <is>
          <t>Install with no team id</t>
        </is>
      </c>
      <c r="H163" s="4" t="inlineStr">
        <is>
          <t>1. Install in personal scope.</t>
        </is>
      </c>
      <c r="I163" s="4" t="inlineStr">
        <is>
          <t>Handled without error; the installer is still owner.</t>
        </is>
      </c>
      <c r="J163" s="4" t="inlineStr">
        <is>
          <t>tests/lifecycleWiring.test.ts</t>
        </is>
      </c>
      <c r="K163" s="14" t="inlineStr">
        <is>
          <t>Yes — sandbox</t>
        </is>
      </c>
      <c r="L163" s="16" t="inlineStr">
        <is>
          <t>Not run</t>
        </is>
      </c>
      <c r="M163" s="4" t="inlineStr"/>
      <c r="N163" s="4" t="inlineStr"/>
      <c r="O163" s="4" t="inlineStr"/>
    </row>
    <row r="164">
      <c r="A164" s="10" t="inlineStr">
        <is>
          <t>TC-039-04</t>
        </is>
      </c>
      <c r="B164" s="4" t="inlineStr">
        <is>
          <t>v039</t>
        </is>
      </c>
      <c r="C164" s="4" t="inlineStr">
        <is>
          <t>F-068..F-070, OBS-SD11</t>
        </is>
      </c>
      <c r="D164" s="4" t="inlineStr">
        <is>
          <t>A repository decorator cannot drop listAll</t>
        </is>
      </c>
      <c r="E164" s="17" t="inlineStr">
        <is>
          <t>Negative</t>
        </is>
      </c>
      <c r="F164" s="4" t="inlineStr">
        <is>
          <t>High</t>
        </is>
      </c>
      <c r="G164" s="4" t="inlineStr">
        <is>
          <t>Encrypted repository configured</t>
        </is>
      </c>
      <c r="H164" s="4" t="inlineStr">
        <is>
          <t>1. Call listAll through the decorator.</t>
        </is>
      </c>
      <c r="I164" s="4" t="inlineStr">
        <is>
          <t>It is part of the contract and decrypts on the way out (OBS-SD11).</t>
        </is>
      </c>
      <c r="J164" s="4" t="inlineStr">
        <is>
          <t>tests/encryptedRepository.test.ts</t>
        </is>
      </c>
      <c r="K164" s="14" t="inlineStr">
        <is>
          <t>Yes — sandbox</t>
        </is>
      </c>
      <c r="L164" s="16" t="inlineStr">
        <is>
          <t>Not run</t>
        </is>
      </c>
      <c r="M164" s="4" t="inlineStr"/>
      <c r="N164" s="4" t="inlineStr"/>
      <c r="O164" s="4" t="inlineStr"/>
    </row>
    <row r="165">
      <c r="A165" s="10" t="inlineStr">
        <is>
          <t>TC-040-01</t>
        </is>
      </c>
      <c r="B165" s="4" t="inlineStr">
        <is>
          <t>v040</t>
        </is>
      </c>
      <c r="C165" s="4" t="inlineStr">
        <is>
          <t>SD201-SD247, P-001..P-020, F-071..F-074</t>
        </is>
      </c>
      <c r="D165" s="4" t="inlineStr">
        <is>
          <t>A genuine Entra token signed by the tenant key is accepted</t>
        </is>
      </c>
      <c r="E165" s="14" t="inlineStr">
        <is>
          <t>Positive</t>
        </is>
      </c>
      <c r="F165" s="4" t="inlineStr">
        <is>
          <t>Critical</t>
        </is>
      </c>
      <c r="G165" s="4" t="inlineStr">
        <is>
          <t>JWKS reachable, valid RS256 token</t>
        </is>
      </c>
      <c r="H165" s="4" t="inlineStr">
        <is>
          <t>1. Call the tab API with the token.
2. Observe kid selection.</t>
        </is>
      </c>
      <c r="I165" s="4" t="inlineStr">
        <is>
          <t>200; the key is selected by kid from cached Entra metadata (SD201/P-001).</t>
        </is>
      </c>
      <c r="J165" s="4" t="inlineStr">
        <is>
          <t>tests/trustBoundaries.test.ts</t>
        </is>
      </c>
      <c r="K165" s="14" t="inlineStr">
        <is>
          <t>Yes — sandbox</t>
        </is>
      </c>
      <c r="L165" s="16" t="inlineStr">
        <is>
          <t>Not run</t>
        </is>
      </c>
      <c r="M165" s="4" t="inlineStr"/>
      <c r="N165" s="4" t="inlineStr"/>
      <c r="O165" s="4" t="inlineStr"/>
    </row>
    <row r="166">
      <c r="A166" s="10" t="inlineStr">
        <is>
          <t>TC-040-02</t>
        </is>
      </c>
      <c r="B166" s="4" t="inlineStr">
        <is>
          <t>v040</t>
        </is>
      </c>
      <c r="C166" s="4" t="inlineStr">
        <is>
          <t>SD201-SD247, P-001..P-020, F-071..F-074</t>
        </is>
      </c>
      <c r="D166" s="4" t="inlineStr">
        <is>
          <t>A token with alg=none is refused</t>
        </is>
      </c>
      <c r="E166" s="17" t="inlineStr">
        <is>
          <t>Negative</t>
        </is>
      </c>
      <c r="F166" s="4" t="inlineStr">
        <is>
          <t>Critical</t>
        </is>
      </c>
      <c r="G166" s="4" t="inlineStr">
        <is>
          <t>Token with alg none, no signature</t>
        </is>
      </c>
      <c r="H166" s="4" t="inlineStr">
        <is>
          <t>1. Call the API with it.</t>
        </is>
      </c>
      <c r="I166" s="4" t="inlineStr">
        <is>
          <t>401; only RS256 is accepted and the reason is counted.</t>
        </is>
      </c>
      <c r="J166" s="4" t="inlineStr">
        <is>
          <t>tests/trustBoundaries.test.ts</t>
        </is>
      </c>
      <c r="K166" s="14" t="inlineStr">
        <is>
          <t>Yes — sandbox</t>
        </is>
      </c>
      <c r="L166" s="16" t="inlineStr">
        <is>
          <t>Not run</t>
        </is>
      </c>
      <c r="M166" s="4" t="inlineStr"/>
      <c r="N166" s="4" t="inlineStr"/>
      <c r="O166" s="4" t="inlineStr"/>
    </row>
    <row r="167">
      <c r="A167" s="10" t="inlineStr">
        <is>
          <t>TC-040-03</t>
        </is>
      </c>
      <c r="B167" s="4" t="inlineStr">
        <is>
          <t>v040</t>
        </is>
      </c>
      <c r="C167" s="4" t="inlineStr">
        <is>
          <t>SD201-SD247, P-001..P-020, F-071..F-074</t>
        </is>
      </c>
      <c r="D167" s="4" t="inlineStr">
        <is>
          <t>A token signed by an unknown key is refused after one refresh</t>
        </is>
      </c>
      <c r="E167" s="17" t="inlineStr">
        <is>
          <t>Negative</t>
        </is>
      </c>
      <c r="F167" s="4" t="inlineStr">
        <is>
          <t>Critical</t>
        </is>
      </c>
      <c r="G167" s="4" t="inlineStr">
        <is>
          <t>Token with an unknown kid</t>
        </is>
      </c>
      <c r="H167" s="4" t="inlineStr">
        <is>
          <t>1. Call the API.
2. Count metadata fetches.</t>
        </is>
      </c>
      <c r="I167" s="4" t="inlineStr">
        <is>
          <t>401, and at most one metadata refresh per minRefreshGapMs — an attacker cannot drive unlimited fetches.</t>
        </is>
      </c>
      <c r="J167" s="4" t="inlineStr">
        <is>
          <t>tests/trustBoundaries.test.ts</t>
        </is>
      </c>
      <c r="K167" s="14" t="inlineStr">
        <is>
          <t>Yes — sandbox</t>
        </is>
      </c>
      <c r="L167" s="16" t="inlineStr">
        <is>
          <t>Not run</t>
        </is>
      </c>
      <c r="M167" s="4" t="inlineStr"/>
      <c r="N167" s="4" t="inlineStr"/>
      <c r="O167" s="4" t="inlineStr"/>
    </row>
    <row r="168">
      <c r="A168" s="10" t="inlineStr">
        <is>
          <t>TC-040-04</t>
        </is>
      </c>
      <c r="B168" s="4" t="inlineStr">
        <is>
          <t>v040</t>
        </is>
      </c>
      <c r="C168" s="4" t="inlineStr">
        <is>
          <t>SD201-SD247, P-001..P-020, F-071..F-074</t>
        </is>
      </c>
      <c r="D168" s="4" t="inlineStr">
        <is>
          <t>A tampered payload with a valid-looking header is refused</t>
        </is>
      </c>
      <c r="E168" s="17" t="inlineStr">
        <is>
          <t>Negative</t>
        </is>
      </c>
      <c r="F168" s="4" t="inlineStr">
        <is>
          <t>Critical</t>
        </is>
      </c>
      <c r="G168" s="4" t="inlineStr">
        <is>
          <t>Token with edited tid</t>
        </is>
      </c>
      <c r="H168" s="4" t="inlineStr">
        <is>
          <t>1. Call the API.</t>
        </is>
      </c>
      <c r="I168" s="4" t="inlineStr">
        <is>
          <t>401 on signature; the tenant is never taken from an unverified payload.</t>
        </is>
      </c>
      <c r="J168" s="4" t="inlineStr">
        <is>
          <t>tests/trustBoundaries.test.ts</t>
        </is>
      </c>
      <c r="K168" s="14" t="inlineStr">
        <is>
          <t>Yes — sandbox</t>
        </is>
      </c>
      <c r="L168" s="16" t="inlineStr">
        <is>
          <t>Not run</t>
        </is>
      </c>
      <c r="M168" s="4" t="inlineStr"/>
      <c r="N168" s="4" t="inlineStr"/>
      <c r="O168" s="4" t="inlineStr"/>
    </row>
    <row r="169">
      <c r="A169" s="10" t="inlineStr">
        <is>
          <t>TC-040-05</t>
        </is>
      </c>
      <c r="B169" s="4" t="inlineStr">
        <is>
          <t>v040</t>
        </is>
      </c>
      <c r="C169" s="4" t="inlineStr">
        <is>
          <t>SD201-SD247, P-001..P-020, F-071..F-074</t>
        </is>
      </c>
      <c r="D169" s="4" t="inlineStr">
        <is>
          <t>A bot activity with a valid Connector JWT is accepted</t>
        </is>
      </c>
      <c r="E169" s="14" t="inlineStr">
        <is>
          <t>Positive</t>
        </is>
      </c>
      <c r="F169" s="4" t="inlineStr">
        <is>
          <t>Critical</t>
        </is>
      </c>
      <c r="G169" s="4" t="inlineStr">
        <is>
          <t>Valid Connector token, allowlisted serviceUrl</t>
        </is>
      </c>
      <c r="H169" s="4" t="inlineStr">
        <is>
          <t>1. POST the activity.</t>
        </is>
      </c>
      <c r="I169" s="4" t="inlineStr">
        <is>
          <t>200 ack and a reply — in production, which returned false for everything before (SD202/P-002).</t>
        </is>
      </c>
      <c r="J169" s="4" t="inlineStr">
        <is>
          <t>tests/trustBoundaries.test.ts</t>
        </is>
      </c>
      <c r="K169" s="14" t="inlineStr">
        <is>
          <t>Yes — sandbox</t>
        </is>
      </c>
      <c r="L169" s="16" t="inlineStr">
        <is>
          <t>Not run</t>
        </is>
      </c>
      <c r="M169" s="4" t="inlineStr"/>
      <c r="N169" s="4" t="inlineStr"/>
      <c r="O169" s="4" t="inlineStr"/>
    </row>
    <row r="170">
      <c r="A170" s="10" t="inlineStr">
        <is>
          <t>TC-040-06</t>
        </is>
      </c>
      <c r="B170" s="4" t="inlineStr">
        <is>
          <t>v040</t>
        </is>
      </c>
      <c r="C170" s="4" t="inlineStr">
        <is>
          <t>SD201-SD247, P-001..P-020, F-071..F-074</t>
        </is>
      </c>
      <c r="D170" s="4" t="inlineStr">
        <is>
          <t>A Connector token whose serviceUrl does not match the activity is refused</t>
        </is>
      </c>
      <c r="E170" s="17" t="inlineStr">
        <is>
          <t>Negative</t>
        </is>
      </c>
      <c r="F170" s="4" t="inlineStr">
        <is>
          <t>Critical</t>
        </is>
      </c>
      <c r="G170" s="4" t="inlineStr">
        <is>
          <t>Valid signature, mismatched serviceUrl</t>
        </is>
      </c>
      <c r="H170" s="4" t="inlineStr">
        <is>
          <t>1. POST the activity.</t>
        </is>
      </c>
      <c r="I170" s="4" t="inlineStr">
        <is>
          <t>Refused; signature alone is not sufficient.</t>
        </is>
      </c>
      <c r="J170" s="4" t="inlineStr">
        <is>
          <t>tests/trustBoundaries.test.ts</t>
        </is>
      </c>
      <c r="K170" s="14" t="inlineStr">
        <is>
          <t>Yes — sandbox</t>
        </is>
      </c>
      <c r="L170" s="16" t="inlineStr">
        <is>
          <t>Not run</t>
        </is>
      </c>
      <c r="M170" s="4" t="inlineStr"/>
      <c r="N170" s="4" t="inlineStr"/>
      <c r="O170" s="4" t="inlineStr"/>
    </row>
    <row r="171">
      <c r="A171" s="10" t="inlineStr">
        <is>
          <t>TC-040-07</t>
        </is>
      </c>
      <c r="B171" s="4" t="inlineStr">
        <is>
          <t>v040</t>
        </is>
      </c>
      <c r="C171" s="4" t="inlineStr">
        <is>
          <t>SD201-SD247, P-001..P-020, F-071..F-074</t>
        </is>
      </c>
      <c r="D171" s="4" t="inlineStr">
        <is>
          <t>Production refuses to boot with an in-memory store</t>
        </is>
      </c>
      <c r="E171" s="17" t="inlineStr">
        <is>
          <t>Negative</t>
        </is>
      </c>
      <c r="F171" s="4" t="inlineStr">
        <is>
          <t>Critical</t>
        </is>
      </c>
      <c r="G171" s="4" t="inlineStr">
        <is>
          <t>SHIFTDESK_ENV unset, no DATABASE_URL</t>
        </is>
      </c>
      <c r="H171" s="4" t="inlineStr">
        <is>
          <t>1. Boot.</t>
        </is>
      </c>
      <c r="I171" s="4" t="inlineStr">
        <is>
          <t>Refuses with a durability error rather than serving from memory (SD209/P-003).</t>
        </is>
      </c>
      <c r="J171" s="4" t="inlineStr">
        <is>
          <t>tests/trustBoundaries.test.ts</t>
        </is>
      </c>
      <c r="K171" s="14" t="inlineStr">
        <is>
          <t>Yes — sandbox</t>
        </is>
      </c>
      <c r="L171" s="16" t="inlineStr">
        <is>
          <t>Not run</t>
        </is>
      </c>
      <c r="M171" s="4" t="inlineStr"/>
      <c r="N171" s="4" t="inlineStr"/>
      <c r="O171" s="4" t="inlineStr"/>
    </row>
    <row r="172">
      <c r="A172" s="10" t="inlineStr">
        <is>
          <t>TC-040-08</t>
        </is>
      </c>
      <c r="B172" s="4" t="inlineStr">
        <is>
          <t>v040</t>
        </is>
      </c>
      <c r="C172" s="4" t="inlineStr">
        <is>
          <t>SD201-SD247, P-001..P-020, F-071..F-074</t>
        </is>
      </c>
      <c r="D172" s="4" t="inlineStr">
        <is>
          <t>Production refuses to boot when a dev seam is constructed</t>
        </is>
      </c>
      <c r="E172" s="17" t="inlineStr">
        <is>
          <t>Negative</t>
        </is>
      </c>
      <c r="F172" s="4" t="inlineStr">
        <is>
          <t>Critical</t>
        </is>
      </c>
      <c r="G172" s="4" t="inlineStr">
        <is>
          <t>Dev verifier configured outside dev</t>
        </is>
      </c>
      <c r="H172" s="4" t="inlineStr">
        <is>
          <t>1. Boot.</t>
        </is>
      </c>
      <c r="I172" s="4" t="inlineStr">
        <is>
          <t>REFUSING_TO_SERVE naming the offending seam — tier 3 of D-SD7 enforced at runtime, not only in CI.</t>
        </is>
      </c>
      <c r="J172" s="4" t="inlineStr">
        <is>
          <t>tests/serve.test.ts</t>
        </is>
      </c>
      <c r="K172" s="14" t="inlineStr">
        <is>
          <t>Yes — sandbox</t>
        </is>
      </c>
      <c r="L172" s="16" t="inlineStr">
        <is>
          <t>Not run</t>
        </is>
      </c>
      <c r="M172" s="4" t="inlineStr"/>
      <c r="N172" s="4" t="inlineStr"/>
      <c r="O172" s="4" t="inlineStr"/>
    </row>
    <row r="173">
      <c r="A173" s="10" t="inlineStr">
        <is>
          <t>TC-040-09</t>
        </is>
      </c>
      <c r="B173" s="4" t="inlineStr">
        <is>
          <t>v040</t>
        </is>
      </c>
      <c r="C173" s="4" t="inlineStr">
        <is>
          <t>SD201-SD247, P-001..P-020, F-071..F-074</t>
        </is>
      </c>
      <c r="D173" s="4" t="inlineStr">
        <is>
          <t>A body over the cap is rejected mid-stream</t>
        </is>
      </c>
      <c r="E173" s="17" t="inlineStr">
        <is>
          <t>Negative</t>
        </is>
      </c>
      <c r="F173" s="4" t="inlineStr">
        <is>
          <t>High</t>
        </is>
      </c>
      <c r="G173" s="4" t="inlineStr">
        <is>
          <t>Server running, 256 KB cap</t>
        </is>
      </c>
      <c r="H173" s="4" t="inlineStr">
        <is>
          <t>1. POST a 1 MB body.
2. Observe memory and the response.</t>
        </is>
      </c>
      <c r="I173" s="4" t="inlineStr">
        <is>
          <t>413; the stream stops early rather than buffering the whole body (SD205/P-007).</t>
        </is>
      </c>
      <c r="J173" s="4" t="inlineStr">
        <is>
          <t>tests/requestHardening.test.ts</t>
        </is>
      </c>
      <c r="K173" s="14" t="inlineStr">
        <is>
          <t>Yes — sandbox</t>
        </is>
      </c>
      <c r="L173" s="16" t="inlineStr">
        <is>
          <t>Not run</t>
        </is>
      </c>
      <c r="M173" s="4" t="inlineStr"/>
      <c r="N173" s="4" t="inlineStr"/>
      <c r="O173" s="4" t="inlineStr"/>
    </row>
    <row r="174">
      <c r="A174" s="10" t="inlineStr">
        <is>
          <t>TC-040-10</t>
        </is>
      </c>
      <c r="B174" s="4" t="inlineStr">
        <is>
          <t>v040</t>
        </is>
      </c>
      <c r="C174" s="4" t="inlineStr">
        <is>
          <t>SD201-SD247, P-001..P-020, F-071..F-074</t>
        </is>
      </c>
      <c r="D174" s="4" t="inlineStr">
        <is>
          <t>Rate limits return 429 with Retry-After per tenant and per IP</t>
        </is>
      </c>
      <c r="E174" s="17" t="inlineStr">
        <is>
          <t>Negative</t>
        </is>
      </c>
      <c r="F174" s="4" t="inlineStr">
        <is>
          <t>High</t>
        </is>
      </c>
      <c r="G174" s="4" t="inlineStr">
        <is>
          <t>Server running</t>
        </is>
      </c>
      <c r="H174" s="4" t="inlineStr">
        <is>
          <t>1. Exceed the per-IP bucket.
2. Exceed one tenant's bucket.</t>
        </is>
      </c>
      <c r="I174" s="4" t="inlineStr">
        <is>
          <t>429 with Retry-After in both cases; one tenant cannot exhaust another's budget.</t>
        </is>
      </c>
      <c r="J174" s="4" t="inlineStr">
        <is>
          <t>tests/requestHardening.test.ts</t>
        </is>
      </c>
      <c r="K174" s="14" t="inlineStr">
        <is>
          <t>Yes — sandbox</t>
        </is>
      </c>
      <c r="L174" s="16" t="inlineStr">
        <is>
          <t>Not run</t>
        </is>
      </c>
      <c r="M174" s="4" t="inlineStr"/>
      <c r="N174" s="4" t="inlineStr"/>
      <c r="O174" s="4" t="inlineStr"/>
    </row>
    <row r="175">
      <c r="A175" s="10" t="inlineStr">
        <is>
          <t>TC-040-11</t>
        </is>
      </c>
      <c r="B175" s="4" t="inlineStr">
        <is>
          <t>v040</t>
        </is>
      </c>
      <c r="C175" s="4" t="inlineStr">
        <is>
          <t>SD201-SD247, P-001..P-020, F-071..F-074</t>
        </is>
      </c>
      <c r="D175" s="4" t="inlineStr">
        <is>
          <t>Security headers are present on every surface including the 500 path</t>
        </is>
      </c>
      <c r="E175" s="14" t="inlineStr">
        <is>
          <t>Positive</t>
        </is>
      </c>
      <c r="F175" s="4" t="inlineStr">
        <is>
          <t>High</t>
        </is>
      </c>
      <c r="G175" s="4" t="inlineStr">
        <is>
          <t>Server running</t>
        </is>
      </c>
      <c r="H175" s="4" t="inlineStr">
        <is>
          <t>1. Request a tab file, an API route, and force a 500.</t>
        </is>
      </c>
      <c r="I175" s="4" t="inlineStr">
        <is>
          <t>CSP, HSTS, nosniff and Referrer-Policy on all three; tab CSP names the Teams frame ancestors (SD206/P-008).</t>
        </is>
      </c>
      <c r="J175" s="4" t="inlineStr">
        <is>
          <t>tests/requestHardening.test.ts</t>
        </is>
      </c>
      <c r="K175" s="14" t="inlineStr">
        <is>
          <t>Yes — sandbox</t>
        </is>
      </c>
      <c r="L175" s="16" t="inlineStr">
        <is>
          <t>Not run</t>
        </is>
      </c>
      <c r="M175" s="4" t="inlineStr"/>
      <c r="N175" s="4" t="inlineStr"/>
      <c r="O175" s="4" t="inlineStr"/>
    </row>
    <row r="176">
      <c r="A176" s="10" t="inlineStr">
        <is>
          <t>TC-040-12</t>
        </is>
      </c>
      <c r="B176" s="4" t="inlineStr">
        <is>
          <t>v040</t>
        </is>
      </c>
      <c r="C176" s="4" t="inlineStr">
        <is>
          <t>SD201-SD247, P-001..P-020, F-071..F-074</t>
        </is>
      </c>
      <c r="D176" s="4" t="inlineStr">
        <is>
          <t>A handover card renders with an Acknowledge action and the invoke is handled</t>
        </is>
      </c>
      <c r="E176" s="14" t="inlineStr">
        <is>
          <t>Positive</t>
        </is>
      </c>
      <c r="F176" s="4" t="inlineStr">
        <is>
          <t>High</t>
        </is>
      </c>
      <c r="G176" s="4" t="inlineStr">
        <is>
          <t>Bot wired</t>
        </is>
      </c>
      <c r="H176" s="4" t="inlineStr">
        <is>
          <t>1. Create a handover.
2. Inspect the card.
3. Send the Action.Execute invoke.</t>
        </is>
      </c>
      <c r="I176" s="4" t="inlineStr">
        <is>
          <t>A schema-valid card with an Acknowledge button; the invoke acknowledges the handover and is acked (SD222/P-009).</t>
        </is>
      </c>
      <c r="J176" s="4" t="inlineStr">
        <is>
          <t>tests/teamsNative.test.ts</t>
        </is>
      </c>
      <c r="K176" s="15" t="inlineStr">
        <is>
          <t>Partial — rendering needs a live client</t>
        </is>
      </c>
      <c r="L176" s="16" t="inlineStr">
        <is>
          <t>Not run</t>
        </is>
      </c>
      <c r="M176" s="4" t="inlineStr"/>
      <c r="N176" s="4" t="inlineStr"/>
      <c r="O176" s="4" t="inlineStr"/>
    </row>
    <row r="177">
      <c r="A177" s="10" t="inlineStr">
        <is>
          <t>TC-040-13</t>
        </is>
      </c>
      <c r="B177" s="4" t="inlineStr">
        <is>
          <t>v040</t>
        </is>
      </c>
      <c r="C177" s="4" t="inlineStr">
        <is>
          <t>SD201-SD247, P-001..P-020, F-071..F-074</t>
        </is>
      </c>
      <c r="D177" s="4" t="inlineStr">
        <is>
          <t>A malformed card is refused rather than sent as a silent blank</t>
        </is>
      </c>
      <c r="E177" s="17" t="inlineStr">
        <is>
          <t>Negative</t>
        </is>
      </c>
      <c r="F177" s="4" t="inlineStr">
        <is>
          <t>High</t>
        </is>
      </c>
      <c r="G177" s="4" t="inlineStr">
        <is>
          <t>None</t>
        </is>
      </c>
      <c r="H177" s="4" t="inlineStr">
        <is>
          <t>1. Attempt to send a card with a 60-character action title.</t>
        </is>
      </c>
      <c r="I177" s="4" t="inlineStr">
        <is>
          <t>CARD_INVALID; nothing is posted — a malformed card is invisible in Teams.</t>
        </is>
      </c>
      <c r="J177" s="4" t="inlineStr">
        <is>
          <t>tests/teamsNative.test.ts</t>
        </is>
      </c>
      <c r="K177" s="14" t="inlineStr">
        <is>
          <t>Yes — sandbox</t>
        </is>
      </c>
      <c r="L177" s="16" t="inlineStr">
        <is>
          <t>Not run</t>
        </is>
      </c>
      <c r="M177" s="4" t="inlineStr"/>
      <c r="N177" s="4" t="inlineStr"/>
      <c r="O177" s="4" t="inlineStr"/>
    </row>
    <row r="178">
      <c r="A178" s="10" t="inlineStr">
        <is>
          <t>TC-040-14</t>
        </is>
      </c>
      <c r="B178" s="4" t="inlineStr">
        <is>
          <t>v040</t>
        </is>
      </c>
      <c r="C178" s="4" t="inlineStr">
        <is>
          <t>SD201-SD247, P-001..P-020, F-071..F-074</t>
        </is>
      </c>
      <c r="D178" s="4" t="inlineStr">
        <is>
          <t>An unacknowledged handover pushes a proactive card to the channel</t>
        </is>
      </c>
      <c r="E178" s="14" t="inlineStr">
        <is>
          <t>Positive</t>
        </is>
      </c>
      <c r="F178" s="4" t="inlineStr">
        <is>
          <t>Critical</t>
        </is>
      </c>
      <c r="G178" s="4" t="inlineStr">
        <is>
          <t>Conversation reference stored</t>
        </is>
      </c>
      <c r="H178" s="4" t="inlineStr">
        <is>
          <t>1. Create a handover with an assignee.
2. Run the proactive pass.</t>
        </is>
      </c>
      <c r="I178" s="4" t="inlineStr">
        <is>
          <t>A channel card and a personal nudge are pushed — the product can speak first (SD223).</t>
        </is>
      </c>
      <c r="J178" s="4" t="inlineStr">
        <is>
          <t>tests/teamsNative.test.ts</t>
        </is>
      </c>
      <c r="K178" s="15" t="inlineStr">
        <is>
          <t>Partial — delivery needs a live tenant</t>
        </is>
      </c>
      <c r="L178" s="16" t="inlineStr">
        <is>
          <t>Not run</t>
        </is>
      </c>
      <c r="M178" s="4" t="inlineStr"/>
      <c r="N178" s="4" t="inlineStr"/>
      <c r="O178" s="4" t="inlineStr"/>
    </row>
    <row r="179">
      <c r="A179" s="10" t="inlineStr">
        <is>
          <t>TC-040-15</t>
        </is>
      </c>
      <c r="B179" s="4" t="inlineStr">
        <is>
          <t>v040</t>
        </is>
      </c>
      <c r="C179" s="4" t="inlineStr">
        <is>
          <t>SD201-SD247, P-001..P-020, F-071..F-074</t>
        </is>
      </c>
      <c r="D179" s="4" t="inlineStr">
        <is>
          <t>A 403 from the Connector forgets the conversation instead of retrying forever</t>
        </is>
      </c>
      <c r="E179" s="17" t="inlineStr">
        <is>
          <t>Negative</t>
        </is>
      </c>
      <c r="F179" s="4" t="inlineStr">
        <is>
          <t>High</t>
        </is>
      </c>
      <c r="G179" s="4" t="inlineStr">
        <is>
          <t>Bot removed from the conversation</t>
        </is>
      </c>
      <c r="H179" s="4" t="inlineStr">
        <is>
          <t>1. Run a proactive push.</t>
        </is>
      </c>
      <c r="I179" s="4" t="inlineStr">
        <is>
          <t>The reference is forgotten after one 403; 429 and 5xx retry with backoff.</t>
        </is>
      </c>
      <c r="J179" s="4" t="inlineStr">
        <is>
          <t>tests/teamsNative.test.ts</t>
        </is>
      </c>
      <c r="K179" s="14" t="inlineStr">
        <is>
          <t>Yes — sandbox</t>
        </is>
      </c>
      <c r="L179" s="16" t="inlineStr">
        <is>
          <t>Not run</t>
        </is>
      </c>
      <c r="M179" s="4" t="inlineStr"/>
      <c r="N179" s="4" t="inlineStr"/>
      <c r="O179" s="4" t="inlineStr"/>
    </row>
    <row r="180">
      <c r="A180" s="10" t="inlineStr">
        <is>
          <t>TC-040-16</t>
        </is>
      </c>
      <c r="B180" s="4" t="inlineStr">
        <is>
          <t>v040</t>
        </is>
      </c>
      <c r="C180" s="4" t="inlineStr">
        <is>
          <t>SD201-SD247, P-001..P-020, F-071..F-074</t>
        </is>
      </c>
      <c r="D180" s="4" t="inlineStr">
        <is>
          <t>A serviceUrl that is not allowlisted is never stored as a conversation reference</t>
        </is>
      </c>
      <c r="E180" s="17" t="inlineStr">
        <is>
          <t>Negative</t>
        </is>
      </c>
      <c r="F180" s="4" t="inlineStr">
        <is>
          <t>Critical</t>
        </is>
      </c>
      <c r="G180" s="4" t="inlineStr">
        <is>
          <t>None</t>
        </is>
      </c>
      <c r="H180" s="4" t="inlineStr">
        <is>
          <t>1. Remember a reference with an untrusted serviceUrl.</t>
        </is>
      </c>
      <c r="I180" s="4" t="inlineStr">
        <is>
          <t>SERVICEURL_NOT_ALLOWED; we never store a URL we would refuse to post to.</t>
        </is>
      </c>
      <c r="J180" s="4" t="inlineStr">
        <is>
          <t>tests/teamsNative.test.ts</t>
        </is>
      </c>
      <c r="K180" s="14" t="inlineStr">
        <is>
          <t>Yes — sandbox</t>
        </is>
      </c>
      <c r="L180" s="16" t="inlineStr">
        <is>
          <t>Not run</t>
        </is>
      </c>
      <c r="M180" s="4" t="inlineStr"/>
      <c r="N180" s="4" t="inlineStr"/>
      <c r="O180" s="4" t="inlineStr"/>
    </row>
    <row r="181">
      <c r="A181" s="10" t="inlineStr">
        <is>
          <t>TC-040-17</t>
        </is>
      </c>
      <c r="B181" s="4" t="inlineStr">
        <is>
          <t>v040</t>
        </is>
      </c>
      <c r="C181" s="4" t="inlineStr">
        <is>
          <t>SD201-SD247, P-001..P-020, F-071..F-074</t>
        </is>
      </c>
      <c r="D181" s="4" t="inlineStr">
        <is>
          <t>The locale from the Teams context changes user-facing text</t>
        </is>
      </c>
      <c r="E181" s="14" t="inlineStr">
        <is>
          <t>Positive</t>
        </is>
      </c>
      <c r="F181" s="4" t="inlineStr">
        <is>
          <t>Medium</t>
        </is>
      </c>
      <c r="G181" s="4" t="inlineStr">
        <is>
          <t>Context locale es-ES</t>
        </is>
      </c>
      <c r="H181" s="4" t="inlineStr">
        <is>
          <t>1. Load the tab.
2. Send the bot a message.</t>
        </is>
      </c>
      <c r="I181" s="4" t="inlineStr">
        <is>
          <t>Both render Spanish; the welcome text follows the locale (F-072 was exactly this failing).</t>
        </is>
      </c>
      <c r="J181" s="4" t="inlineStr">
        <is>
          <t>tests/teamsNative.test.ts</t>
        </is>
      </c>
      <c r="K181" s="14" t="inlineStr">
        <is>
          <t>Yes — sandbox</t>
        </is>
      </c>
      <c r="L181" s="16" t="inlineStr">
        <is>
          <t>Not run</t>
        </is>
      </c>
      <c r="M181" s="4" t="inlineStr"/>
      <c r="N181" s="4" t="inlineStr"/>
      <c r="O181" s="4" t="inlineStr"/>
    </row>
    <row r="182">
      <c r="A182" s="10" t="inlineStr">
        <is>
          <t>TC-040-18</t>
        </is>
      </c>
      <c r="B182" s="4" t="inlineStr">
        <is>
          <t>v040</t>
        </is>
      </c>
      <c r="C182" s="4" t="inlineStr">
        <is>
          <t>SD201-SD247, P-001..P-020, F-071..F-074</t>
        </is>
      </c>
      <c r="D182" s="4" t="inlineStr">
        <is>
          <t>A missing translation key fails loudly rather than rendering blank</t>
        </is>
      </c>
      <c r="E182" s="17" t="inlineStr">
        <is>
          <t>Negative</t>
        </is>
      </c>
      <c r="F182" s="4" t="inlineStr">
        <is>
          <t>Medium</t>
        </is>
      </c>
      <c r="G182" s="4" t="inlineStr">
        <is>
          <t>None</t>
        </is>
      </c>
      <c r="H182" s="4" t="inlineStr">
        <is>
          <t>1. Request an unknown key.</t>
        </is>
      </c>
      <c r="I182" s="4" t="inlineStr">
        <is>
          <t>I18N_KEY_MISSING is thrown; a blank string never reaches a user.</t>
        </is>
      </c>
      <c r="J182" s="4" t="inlineStr">
        <is>
          <t>tests/teamsNative.test.ts</t>
        </is>
      </c>
      <c r="K182" s="14" t="inlineStr">
        <is>
          <t>Yes — sandbox</t>
        </is>
      </c>
      <c r="L182" s="16" t="inlineStr">
        <is>
          <t>Not run</t>
        </is>
      </c>
      <c r="M182" s="4" t="inlineStr"/>
      <c r="N182" s="4" t="inlineStr"/>
      <c r="O182" s="4" t="inlineStr"/>
    </row>
    <row r="183">
      <c r="A183" s="10" t="inlineStr">
        <is>
          <t>TC-040-19</t>
        </is>
      </c>
      <c r="B183" s="4" t="inlineStr">
        <is>
          <t>v040</t>
        </is>
      </c>
      <c r="C183" s="4" t="inlineStr">
        <is>
          <t>SD201-SD247, P-001..P-020, F-071..F-074</t>
        </is>
      </c>
      <c r="D183" s="4" t="inlineStr">
        <is>
          <t>Boot refuses a store host outside the declared region</t>
        </is>
      </c>
      <c r="E183" s="17" t="inlineStr">
        <is>
          <t>Negative</t>
        </is>
      </c>
      <c r="F183" s="4" t="inlineStr">
        <is>
          <t>Critical</t>
        </is>
      </c>
      <c r="G183" s="4" t="inlineStr">
        <is>
          <t>SHIFTDESK_REGION uk-south, store host in eastus</t>
        </is>
      </c>
      <c r="H183" s="4" t="inlineStr">
        <is>
          <t>1. Boot.</t>
        </is>
      </c>
      <c r="I183" s="4" t="inlineStr">
        <is>
          <t>RESIDENCY_MISMATCH before serving any request (SD229/P-013).</t>
        </is>
      </c>
      <c r="J183" s="4" t="inlineStr">
        <is>
          <t>tests/governance.test.ts</t>
        </is>
      </c>
      <c r="K183" s="14" t="inlineStr">
        <is>
          <t>Yes — sandbox</t>
        </is>
      </c>
      <c r="L183" s="16" t="inlineStr">
        <is>
          <t>Not run</t>
        </is>
      </c>
      <c r="M183" s="4" t="inlineStr"/>
      <c r="N183" s="4" t="inlineStr"/>
      <c r="O183" s="4" t="inlineStr"/>
    </row>
    <row r="184">
      <c r="A184" s="10" t="inlineStr">
        <is>
          <t>TC-040-20</t>
        </is>
      </c>
      <c r="B184" s="4" t="inlineStr">
        <is>
          <t>v040</t>
        </is>
      </c>
      <c r="C184" s="4" t="inlineStr">
        <is>
          <t>SD201-SD247, P-001..P-020, F-071..F-074</t>
        </is>
      </c>
      <c r="D184" s="4" t="inlineStr">
        <is>
          <t>Published retention documents match the enforced policy</t>
        </is>
      </c>
      <c r="E184" s="17" t="inlineStr">
        <is>
          <t>Negative</t>
        </is>
      </c>
      <c r="F184" s="4" t="inlineStr">
        <is>
          <t>High</t>
        </is>
      </c>
      <c r="G184" s="4" t="inlineStr">
        <is>
          <t>Documents generated</t>
        </is>
      </c>
      <c r="H184" s="4" t="inlineStr">
        <is>
          <t>1. Change a retention day count in code.
2. Run the governance suite.</t>
        </is>
      </c>
      <c r="I184" s="4" t="inlineStr">
        <is>
          <t>The suite fails until the documents are regenerated — page and product cannot drift (SD230).</t>
        </is>
      </c>
      <c r="J184" s="4" t="inlineStr">
        <is>
          <t>tests/governance.test.ts</t>
        </is>
      </c>
      <c r="K184" s="14" t="inlineStr">
        <is>
          <t>Yes — sandbox</t>
        </is>
      </c>
      <c r="L184" s="16" t="inlineStr">
        <is>
          <t>Not run</t>
        </is>
      </c>
      <c r="M184" s="4" t="inlineStr"/>
      <c r="N184" s="4" t="inlineStr"/>
      <c r="O184" s="4" t="inlineStr"/>
    </row>
    <row r="185">
      <c r="A185" s="10" t="inlineStr">
        <is>
          <t>TC-040-21</t>
        </is>
      </c>
      <c r="B185" s="4" t="inlineStr">
        <is>
          <t>v040</t>
        </is>
      </c>
      <c r="C185" s="4" t="inlineStr">
        <is>
          <t>SD201-SD247, P-001..P-020, F-071..F-074</t>
        </is>
      </c>
      <c r="D185" s="4" t="inlineStr">
        <is>
          <t>Production refuses a plain-environment encryption key</t>
        </is>
      </c>
      <c r="E185" s="17" t="inlineStr">
        <is>
          <t>Negative</t>
        </is>
      </c>
      <c r="F185" s="4" t="inlineStr">
        <is>
          <t>Critical</t>
        </is>
      </c>
      <c r="G185" s="4" t="inlineStr">
        <is>
          <t>Key in an env var, production</t>
        </is>
      </c>
      <c r="H185" s="4" t="inlineStr">
        <is>
          <t>1. Boot.</t>
        </is>
      </c>
      <c r="I185" s="4" t="inlineStr">
        <is>
          <t>Refused; keys must come from managed custody (SD232/P-014).</t>
        </is>
      </c>
      <c r="J185" s="4" t="inlineStr">
        <is>
          <t>tests/config.test.ts</t>
        </is>
      </c>
      <c r="K185" s="14" t="inlineStr">
        <is>
          <t>Yes — sandbox</t>
        </is>
      </c>
      <c r="L185" s="16" t="inlineStr">
        <is>
          <t>Not run</t>
        </is>
      </c>
      <c r="M185" s="4" t="inlineStr"/>
      <c r="N185" s="4" t="inlineStr"/>
      <c r="O185" s="4" t="inlineStr"/>
    </row>
    <row r="186">
      <c r="A186" s="10" t="inlineStr">
        <is>
          <t>TC-040-22</t>
        </is>
      </c>
      <c r="B186" s="4" t="inlineStr">
        <is>
          <t>v040</t>
        </is>
      </c>
      <c r="C186" s="4" t="inlineStr">
        <is>
          <t>SD201-SD247, P-001..P-020, F-071..F-074</t>
        </is>
      </c>
      <c r="D186" s="4" t="inlineStr">
        <is>
          <t>An old enc:v1 row still reads after rotation, and the sweep re-seals it</t>
        </is>
      </c>
      <c r="E186" s="14" t="inlineStr">
        <is>
          <t>Positive</t>
        </is>
      </c>
      <c r="F186" s="4" t="inlineStr">
        <is>
          <t>High</t>
        </is>
      </c>
      <c r="G186" s="4" t="inlineStr">
        <is>
          <t>Row written under key k1, ring now k2</t>
        </is>
      </c>
      <c r="H186" s="4" t="inlineStr">
        <is>
          <t>1. Read the row.
2. Run the re-encrypt sweep.
3. Read the raw row.</t>
        </is>
      </c>
      <c r="I186" s="4" t="inlineStr">
        <is>
          <t>Readable throughout; afterwards the envelope names k2 (SD221, closes OBS-SD8).</t>
        </is>
      </c>
      <c r="J186" s="4" t="inlineStr">
        <is>
          <t>tests/integration/postgres.integration.test.ts</t>
        </is>
      </c>
      <c r="K186" s="14" t="inlineStr">
        <is>
          <t>Yes — real Postgres</t>
        </is>
      </c>
      <c r="L186" s="16" t="inlineStr">
        <is>
          <t>Not run</t>
        </is>
      </c>
      <c r="M186" s="4" t="inlineStr"/>
      <c r="N186" s="4" t="inlineStr"/>
      <c r="O186" s="4" t="inlineStr"/>
    </row>
    <row r="187">
      <c r="A187" s="10" t="inlineStr">
        <is>
          <t>TC-040-23</t>
        </is>
      </c>
      <c r="B187" s="4" t="inlineStr">
        <is>
          <t>v040</t>
        </is>
      </c>
      <c r="C187" s="4" t="inlineStr">
        <is>
          <t>SD201-SD247, P-001..P-020, F-071..F-074</t>
        </is>
      </c>
      <c r="D187" s="4" t="inlineStr">
        <is>
          <t>A tenant with 100k records hydrates inside the API p95 budget</t>
        </is>
      </c>
      <c r="E187" s="14" t="inlineStr">
        <is>
          <t>Positive</t>
        </is>
      </c>
      <c r="F187" s="4" t="inlineStr">
        <is>
          <t>Critical</t>
        </is>
      </c>
      <c r="G187" s="4" t="inlineStr">
        <is>
          <t>100k records in a real store</t>
        </is>
      </c>
      <c r="H187" s="4" t="inlineStr">
        <is>
          <t>1. Hydrate the tenant.
2. Measure elapsed time.</t>
        </is>
      </c>
      <c r="I187" s="4" t="inlineStr">
        <is>
          <t>Within the 500ms budget; the window is a keyset read, not a scan (SD217/P-006).</t>
        </is>
      </c>
      <c r="J187" s="4" t="inlineStr">
        <is>
          <t>tests/integration/postgres.integration.test.ts</t>
        </is>
      </c>
      <c r="K187" s="14" t="inlineStr">
        <is>
          <t>Yes — real Postgres</t>
        </is>
      </c>
      <c r="L187" s="16" t="inlineStr">
        <is>
          <t>Not run</t>
        </is>
      </c>
      <c r="M187" s="4" t="inlineStr"/>
      <c r="N187" s="4" t="inlineStr"/>
      <c r="O187" s="4" t="inlineStr"/>
    </row>
    <row r="188">
      <c r="A188" s="10" t="inlineStr">
        <is>
          <t>TC-040-24</t>
        </is>
      </c>
      <c r="B188" s="4" t="inlineStr">
        <is>
          <t>v040</t>
        </is>
      </c>
      <c r="C188" s="4" t="inlineStr">
        <is>
          <t>SD201-SD247, P-001..P-020, F-071..F-074</t>
        </is>
      </c>
      <c r="D188" s="4" t="inlineStr">
        <is>
          <t>A legacy whole-module snapshot converts to per-record rows exactly once</t>
        </is>
      </c>
      <c r="E188" s="14" t="inlineStr">
        <is>
          <t>Positive</t>
        </is>
      </c>
      <c r="F188" s="4" t="inlineStr">
        <is>
          <t>High</t>
        </is>
      </c>
      <c r="G188" s="4" t="inlineStr">
        <is>
          <t>v045-shaped snapshot row present</t>
        </is>
      </c>
      <c r="H188" s="4" t="inlineStr">
        <is>
          <t>1. Hydrate.
2. Inspect the rows.
3. Hydrate again.</t>
        </is>
      </c>
      <c r="I188" s="4" t="inlineStr">
        <is>
          <t>Converted on the first hydrate and not re-converted on the second (SD216).</t>
        </is>
      </c>
      <c r="J188" s="4" t="inlineStr">
        <is>
          <t>tests/integration/postgres.integration.test.ts</t>
        </is>
      </c>
      <c r="K188" s="14" t="inlineStr">
        <is>
          <t>Yes — real Postgres</t>
        </is>
      </c>
      <c r="L188" s="16" t="inlineStr">
        <is>
          <t>Not run</t>
        </is>
      </c>
      <c r="M188" s="4" t="inlineStr"/>
      <c r="N188" s="4" t="inlineStr"/>
      <c r="O188" s="4" t="inlineStr"/>
    </row>
    <row r="189">
      <c r="A189" s="10" t="inlineStr">
        <is>
          <t>TC-040-25</t>
        </is>
      </c>
      <c r="B189" s="4" t="inlineStr">
        <is>
          <t>v040</t>
        </is>
      </c>
      <c r="C189" s="4" t="inlineStr">
        <is>
          <t>SD201-SD247, P-001..P-020, F-071..F-074</t>
        </is>
      </c>
      <c r="D189" s="4" t="inlineStr">
        <is>
          <t>The audit trail pages by cursor and streams without buffering</t>
        </is>
      </c>
      <c r="E189" s="14" t="inlineStr">
        <is>
          <t>Positive</t>
        </is>
      </c>
      <c r="F189" s="4" t="inlineStr">
        <is>
          <t>High</t>
        </is>
      </c>
      <c r="G189" s="4" t="inlineStr">
        <is>
          <t>Large audit trail</t>
        </is>
      </c>
      <c r="H189" s="4" t="inlineStr">
        <is>
          <t>1. Page with a cursor.
2. Stream an export.</t>
        </is>
      </c>
      <c r="I189" s="4" t="inlineStr">
        <is>
          <t>Stable paging with no offset drift; memory flat during the stream (SD218, closes F-008).</t>
        </is>
      </c>
      <c r="J189" s="4" t="inlineStr">
        <is>
          <t>tests/integration/postgres.integration.test.ts</t>
        </is>
      </c>
      <c r="K189" s="14" t="inlineStr">
        <is>
          <t>Yes — real Postgres</t>
        </is>
      </c>
      <c r="L189" s="16" t="inlineStr">
        <is>
          <t>Not run</t>
        </is>
      </c>
      <c r="M189" s="4" t="inlineStr"/>
      <c r="N189" s="4" t="inlineStr"/>
      <c r="O189" s="4" t="inlineStr"/>
    </row>
    <row r="190">
      <c r="A190" s="10" t="inlineStr">
        <is>
          <t>TC-040-26</t>
        </is>
      </c>
      <c r="B190" s="4" t="inlineStr">
        <is>
          <t>v040</t>
        </is>
      </c>
      <c r="C190" s="4" t="inlineStr">
        <is>
          <t>SD201-SD247, P-001..P-020, F-071..F-074</t>
        </is>
      </c>
      <c r="D190" s="4" t="inlineStr">
        <is>
          <t>Retention enforcement deletes by kind and age</t>
        </is>
      </c>
      <c r="E190" s="14" t="inlineStr">
        <is>
          <t>Positive</t>
        </is>
      </c>
      <c r="F190" s="4" t="inlineStr">
        <is>
          <t>High</t>
        </is>
      </c>
      <c r="G190" s="4" t="inlineStr">
        <is>
          <t>Audit rows older than the policy</t>
        </is>
      </c>
      <c r="H190" s="4" t="inlineStr">
        <is>
          <t>1. Run the enforcer.</t>
        </is>
      </c>
      <c r="I190" s="4" t="inlineStr">
        <is>
          <t>Only rows past their class retention are deleted; classes the lifecycle owns are untouched.</t>
        </is>
      </c>
      <c r="J190" s="4" t="inlineStr">
        <is>
          <t>tests/governance.test.ts</t>
        </is>
      </c>
      <c r="K190" s="14" t="inlineStr">
        <is>
          <t>Yes — sandbox</t>
        </is>
      </c>
      <c r="L190" s="16" t="inlineStr">
        <is>
          <t>Not run</t>
        </is>
      </c>
      <c r="M190" s="4" t="inlineStr"/>
      <c r="N190" s="4" t="inlineStr"/>
      <c r="O190" s="4" t="inlineStr"/>
    </row>
    <row r="191">
      <c r="A191" s="10" t="inlineStr">
        <is>
          <t>TC-040-27</t>
        </is>
      </c>
      <c r="B191" s="4" t="inlineStr">
        <is>
          <t>v040</t>
        </is>
      </c>
      <c r="C191" s="4" t="inlineStr">
        <is>
          <t>SD201-SD247, P-001..P-020, F-071..F-074</t>
        </is>
      </c>
      <c r="D191" s="4" t="inlineStr">
        <is>
          <t>A marketplace webhook is idempotent on activityId</t>
        </is>
      </c>
      <c r="E191" s="17" t="inlineStr">
        <is>
          <t>Negative</t>
        </is>
      </c>
      <c r="F191" s="4" t="inlineStr">
        <is>
          <t>Critical</t>
        </is>
      </c>
      <c r="G191" s="4" t="inlineStr">
        <is>
          <t>Subscription active</t>
        </is>
      </c>
      <c r="H191" s="4" t="inlineStr">
        <is>
          <t>1. POST the same suspend webhook twice.</t>
        </is>
      </c>
      <c r="I191" s="4" t="inlineStr">
        <is>
          <t>Applied once, acknowledged twice; the ledger prevents a double apply (SD239/P-019).</t>
        </is>
      </c>
      <c r="J191" s="4" t="inlineStr">
        <is>
          <t>tests/commercial.test.ts</t>
        </is>
      </c>
      <c r="K191" s="14" t="inlineStr">
        <is>
          <t>Yes — sandbox</t>
        </is>
      </c>
      <c r="L191" s="16" t="inlineStr">
        <is>
          <t>Not run</t>
        </is>
      </c>
      <c r="M191" s="4" t="inlineStr"/>
      <c r="N191" s="4" t="inlineStr"/>
      <c r="O191" s="4" t="inlineStr"/>
    </row>
    <row r="192">
      <c r="A192" s="10" t="inlineStr">
        <is>
          <t>TC-040-28</t>
        </is>
      </c>
      <c r="B192" s="4" t="inlineStr">
        <is>
          <t>v040</t>
        </is>
      </c>
      <c r="C192" s="4" t="inlineStr">
        <is>
          <t>SD201-SD247, P-001..P-020, F-071..F-074</t>
        </is>
      </c>
      <c r="D192" s="4" t="inlineStr">
        <is>
          <t>A webhook with an invalid Entra token is refused</t>
        </is>
      </c>
      <c r="E192" s="17" t="inlineStr">
        <is>
          <t>Negative</t>
        </is>
      </c>
      <c r="F192" s="4" t="inlineStr">
        <is>
          <t>Critical</t>
        </is>
      </c>
      <c r="G192" s="4" t="inlineStr">
        <is>
          <t>Webhook endpoint live</t>
        </is>
      </c>
      <c r="H192" s="4" t="inlineStr">
        <is>
          <t>1. POST with a bad token.</t>
        </is>
      </c>
      <c r="I192" s="4" t="inlineStr">
        <is>
          <t>401; neither authentication mode accepts an unverified caller.</t>
        </is>
      </c>
      <c r="J192" s="4" t="inlineStr">
        <is>
          <t>tests/commercial.test.ts</t>
        </is>
      </c>
      <c r="K192" s="14" t="inlineStr">
        <is>
          <t>Yes — sandbox</t>
        </is>
      </c>
      <c r="L192" s="16" t="inlineStr">
        <is>
          <t>Not run</t>
        </is>
      </c>
      <c r="M192" s="4" t="inlineStr"/>
      <c r="N192" s="4" t="inlineStr"/>
      <c r="O192" s="4" t="inlineStr"/>
    </row>
    <row r="193">
      <c r="A193" s="10" t="inlineStr">
        <is>
          <t>TC-040-29</t>
        </is>
      </c>
      <c r="B193" s="4" t="inlineStr">
        <is>
          <t>v040</t>
        </is>
      </c>
      <c r="C193" s="4" t="inlineStr">
        <is>
          <t>SD201-SD247, P-001..P-020, F-071..F-074</t>
        </is>
      </c>
      <c r="D193" s="4" t="inlineStr">
        <is>
          <t>Seat drift between the marketplace and local state raises an alert</t>
        </is>
      </c>
      <c r="E193" s="17" t="inlineStr">
        <is>
          <t>Negative</t>
        </is>
      </c>
      <c r="F193" s="4" t="inlineStr">
        <is>
          <t>High</t>
        </is>
      </c>
      <c r="G193" s="4" t="inlineStr">
        <is>
          <t>Marketplace says 25 seats, local 20</t>
        </is>
      </c>
      <c r="H193" s="4" t="inlineStr">
        <is>
          <t>1. Run reconciliation.</t>
        </is>
      </c>
      <c r="I193" s="4" t="inlineStr">
        <is>
          <t>Drift is reported and alerted rather than silently reconciled.</t>
        </is>
      </c>
      <c r="J193" s="4" t="inlineStr">
        <is>
          <t>tests/commercial.test.ts</t>
        </is>
      </c>
      <c r="K193" s="14" t="inlineStr">
        <is>
          <t>Yes — sandbox</t>
        </is>
      </c>
      <c r="L193" s="16" t="inlineStr">
        <is>
          <t>Not run</t>
        </is>
      </c>
      <c r="M193" s="4" t="inlineStr"/>
      <c r="N193" s="4" t="inlineStr"/>
      <c r="O193" s="4" t="inlineStr"/>
    </row>
    <row r="194">
      <c r="A194" s="10" t="inlineStr">
        <is>
          <t>TC-040-30</t>
        </is>
      </c>
      <c r="B194" s="4" t="inlineStr">
        <is>
          <t>v040</t>
        </is>
      </c>
      <c r="C194" s="4" t="inlineStr">
        <is>
          <t>SD201-SD247, P-001..P-020, F-071..F-074</t>
        </is>
      </c>
      <c r="D194" s="4" t="inlineStr">
        <is>
          <t>The backup drill passes with numbers inside the declared bar</t>
        </is>
      </c>
      <c r="E194" s="14" t="inlineStr">
        <is>
          <t>Positive</t>
        </is>
      </c>
      <c r="F194" s="4" t="inlineStr">
        <is>
          <t>Critical</t>
        </is>
      </c>
      <c r="G194" s="4" t="inlineStr">
        <is>
          <t>Source and empty target databases</t>
        </is>
      </c>
      <c r="H194" s="4" t="inlineStr">
        <is>
          <t>1. Run npm run backup:drill.
2. Read the report.</t>
        </is>
      </c>
      <c r="I194" s="4" t="inlineStr">
        <is>
          <t>PASS with RPO and RTO under 15 min / 60 min, row counts matched, migrations table intact (SD215/P-020).</t>
        </is>
      </c>
      <c r="J194" s="4" t="inlineStr">
        <is>
          <t>ops/backup-drill-report.json</t>
        </is>
      </c>
      <c r="K194" s="14" t="inlineStr">
        <is>
          <t>Yes — real Postgres</t>
        </is>
      </c>
      <c r="L194" s="16" t="inlineStr">
        <is>
          <t>Not run</t>
        </is>
      </c>
      <c r="M194" s="4" t="inlineStr"/>
      <c r="N194" s="4" t="inlineStr"/>
      <c r="O194" s="4" t="inlineStr"/>
    </row>
    <row r="195">
      <c r="A195" s="10" t="inlineStr">
        <is>
          <t>TC-040-31</t>
        </is>
      </c>
      <c r="B195" s="4" t="inlineStr">
        <is>
          <t>v040</t>
        </is>
      </c>
      <c r="C195" s="4" t="inlineStr">
        <is>
          <t>SD201-SD247, P-001..P-020, F-071..F-074</t>
        </is>
      </c>
      <c r="D195" s="4" t="inlineStr">
        <is>
          <t>The restart drill loses nothing</t>
        </is>
      </c>
      <c r="E195" s="14" t="inlineStr">
        <is>
          <t>Positive</t>
        </is>
      </c>
      <c r="F195" s="4" t="inlineStr">
        <is>
          <t>Critical</t>
        </is>
      </c>
      <c r="G195" s="4" t="inlineStr">
        <is>
          <t>Real store</t>
        </is>
      </c>
      <c r="H195" s="4" t="inlineStr">
        <is>
          <t>1. Write via the API.
2. Discard the process.
3. Read from a fresh instance.</t>
        </is>
      </c>
      <c r="I195" s="4" t="inlineStr">
        <is>
          <t>The record is present (SD214).</t>
        </is>
      </c>
      <c r="J195" s="4" t="inlineStr">
        <is>
          <t>tests/integration/postgres.integration.test.ts</t>
        </is>
      </c>
      <c r="K195" s="14" t="inlineStr">
        <is>
          <t>Yes — real Postgres</t>
        </is>
      </c>
      <c r="L195" s="16" t="inlineStr">
        <is>
          <t>Not run</t>
        </is>
      </c>
      <c r="M195" s="4" t="inlineStr"/>
      <c r="N195" s="4" t="inlineStr"/>
      <c r="O195" s="4" t="inlineStr"/>
    </row>
    <row r="196">
      <c r="A196" s="10" t="inlineStr">
        <is>
          <t>TC-040-32</t>
        </is>
      </c>
      <c r="B196" s="4" t="inlineStr">
        <is>
          <t>v040</t>
        </is>
      </c>
      <c r="C196" s="4" t="inlineStr">
        <is>
          <t>SD201-SD247, P-001..P-020, F-071..F-074</t>
        </is>
      </c>
      <c r="D196" s="4" t="inlineStr">
        <is>
          <t>The build emits every page the tab surface serves</t>
        </is>
      </c>
      <c r="E196" s="17" t="inlineStr">
        <is>
          <t>Negative</t>
        </is>
      </c>
      <c r="F196" s="4" t="inlineStr">
        <is>
          <t>Critical</t>
        </is>
      </c>
      <c r="G196" s="4" t="inlineStr">
        <is>
          <t>Clean tree, no build directory</t>
        </is>
      </c>
      <c r="H196" s="4" t="inlineStr">
        <is>
          <t>1. Delete the build directory.
2. npm run build.
3. Request /tab/ .</t>
        </is>
      </c>
      <c r="I196" s="4" t="inlineStr">
        <is>
          <t>200 — the tab page is emitted by the build. This is F-073: before the fix the page existed only where someone had copied it by hand.</t>
        </is>
      </c>
      <c r="J196" s="4" t="inlineStr">
        <is>
          <t>tests/reviewPack.test.ts</t>
        </is>
      </c>
      <c r="K196" s="14" t="inlineStr">
        <is>
          <t>Yes — sandbox</t>
        </is>
      </c>
      <c r="L196" s="16" t="inlineStr">
        <is>
          <t>Not run</t>
        </is>
      </c>
      <c r="M196" s="4" t="inlineStr"/>
      <c r="N196" s="4" t="inlineStr"/>
      <c r="O196" s="4" t="inlineStr"/>
    </row>
    <row r="197">
      <c r="A197" s="10" t="inlineStr">
        <is>
          <t>TC-040-33</t>
        </is>
      </c>
      <c r="B197" s="4" t="inlineStr">
        <is>
          <t>v040</t>
        </is>
      </c>
      <c r="C197" s="4" t="inlineStr">
        <is>
          <t>SD201-SD247, P-001..P-020, F-071..F-074</t>
        </is>
      </c>
      <c r="D197" s="4" t="inlineStr">
        <is>
          <t>Every CI job that runs tests builds first</t>
        </is>
      </c>
      <c r="E197" s="17" t="inlineStr">
        <is>
          <t>Negative</t>
        </is>
      </c>
      <c r="F197" s="4" t="inlineStr">
        <is>
          <t>High</t>
        </is>
      </c>
      <c r="G197" s="4" t="inlineStr">
        <is>
          <t>Workflow files present</t>
        </is>
      </c>
      <c r="H197" s="4" t="inlineStr">
        <is>
          <t>1. Inspect each job that runs jest.</t>
        </is>
      </c>
      <c r="I197" s="4" t="inlineStr">
        <is>
          <t>A build step precedes the test step; otherwise five suites test a tree no deployment would have (F-073).</t>
        </is>
      </c>
      <c r="J197" s="4" t="inlineStr">
        <is>
          <t>tests/reviewPack.test.ts</t>
        </is>
      </c>
      <c r="K197" s="14" t="inlineStr">
        <is>
          <t>Yes — sandbox</t>
        </is>
      </c>
      <c r="L197" s="16" t="inlineStr">
        <is>
          <t>Not run</t>
        </is>
      </c>
      <c r="M197" s="4" t="inlineStr"/>
      <c r="N197" s="4" t="inlineStr"/>
      <c r="O197" s="4" t="inlineStr"/>
    </row>
    <row r="198">
      <c r="A198" s="10" t="inlineStr">
        <is>
          <t>TC-040-34</t>
        </is>
      </c>
      <c r="B198" s="4" t="inlineStr">
        <is>
          <t>v040</t>
        </is>
      </c>
      <c r="C198" s="4" t="inlineStr">
        <is>
          <t>SD201-SD247, P-001..P-020, F-071..F-074</t>
        </is>
      </c>
      <c r="D198" s="4" t="inlineStr">
        <is>
          <t>Every test path named in a workflow exists</t>
        </is>
      </c>
      <c r="E198" s="17" t="inlineStr">
        <is>
          <t>Negative</t>
        </is>
      </c>
      <c r="F198" s="4" t="inlineStr">
        <is>
          <t>High</t>
        </is>
      </c>
      <c r="G198" s="4" t="inlineStr">
        <is>
          <t>Workflow files present</t>
        </is>
      </c>
      <c r="H198" s="4" t="inlineStr">
        <is>
          <t>1. Extract every tests/ path from the workflows.
2. Check each on disk.</t>
        </is>
      </c>
      <c r="I198" s="4" t="inlineStr">
        <is>
          <t>All exist — a mistyped path made the tier-3 gate exit "no tests found" and gate nothing (F-074).</t>
        </is>
      </c>
      <c r="J198" s="4" t="inlineStr">
        <is>
          <t>tests/reviewPack.test.ts</t>
        </is>
      </c>
      <c r="K198" s="14" t="inlineStr">
        <is>
          <t>Yes — sandbox</t>
        </is>
      </c>
      <c r="L198" s="16" t="inlineStr">
        <is>
          <t>Not run</t>
        </is>
      </c>
      <c r="M198" s="4" t="inlineStr"/>
      <c r="N198" s="4" t="inlineStr"/>
      <c r="O198" s="4" t="inlineStr"/>
    </row>
    <row r="199">
      <c r="A199" s="10" t="inlineStr">
        <is>
          <t>TC-040-35</t>
        </is>
      </c>
      <c r="B199" s="4" t="inlineStr">
        <is>
          <t>v040</t>
        </is>
      </c>
      <c r="C199" s="4" t="inlineStr">
        <is>
          <t>SD201-SD247, P-001..P-020, F-071..F-074</t>
        </is>
      </c>
      <c r="D199" s="4" t="inlineStr">
        <is>
          <t>The three-tier gate is green end to end</t>
        </is>
      </c>
      <c r="E199" s="14" t="inlineStr">
        <is>
          <t>Positive</t>
        </is>
      </c>
      <c r="F199" s="4" t="inlineStr">
        <is>
          <t>Critical</t>
        </is>
      </c>
      <c r="G199" s="4" t="inlineStr">
        <is>
          <t>Clean install, real Postgres available</t>
        </is>
      </c>
      <c r="H199" s="4" t="inlineStr">
        <is>
          <t>1. npm ci.
2. npm run build.
3. npx tsc --noEmit.
4. npx jest --ci.
5. npm run test:integration.
6. Run the seam job.</t>
        </is>
      </c>
      <c r="I199" s="4" t="inlineStr">
        <is>
          <t>Tier 1: 68 suites / 555 tests at 100% four ways. Tier 2: 9/9. Tier 3: seam assertion green. D-SD7 met.</t>
        </is>
      </c>
      <c r="J199" s="4" t="inlineStr">
        <is>
          <t>REVIEW_PACK.md</t>
        </is>
      </c>
      <c r="K199" s="14" t="inlineStr">
        <is>
          <t>Yes — real Postgres</t>
        </is>
      </c>
      <c r="L199" s="16" t="inlineStr">
        <is>
          <t>Not run</t>
        </is>
      </c>
      <c r="M199" s="4" t="inlineStr"/>
      <c r="N199" s="4" t="inlineStr"/>
      <c r="O199" s="4" t="inlineStr"/>
    </row>
    <row r="200">
      <c r="A200" s="10" t="inlineStr">
        <is>
          <t>TC-041-01</t>
        </is>
      </c>
      <c r="B200" s="4" t="inlineStr">
        <is>
          <t>v041</t>
        </is>
      </c>
      <c r="C200" s="4" t="inlineStr">
        <is>
          <t>SD219/220/226/228/240</t>
        </is>
      </c>
      <c r="D200" s="4" t="inlineStr">
        <is>
          <t>Tab loads in a real Teams client with a real Entra token</t>
        </is>
      </c>
      <c r="E200" s="14" t="inlineStr">
        <is>
          <t>Positive</t>
        </is>
      </c>
      <c r="F200" s="4" t="inlineStr">
        <is>
          <t>Critical</t>
        </is>
      </c>
      <c r="G200" s="4" t="inlineStr">
        <is>
          <t>Dev tenant, app sideloaded</t>
        </is>
      </c>
      <c r="H200" s="4" t="inlineStr">
        <is>
          <t>1. Sideload the package.
2. Open the tab.
3. Observe the network call and the rendered board.</t>
        </is>
      </c>
      <c r="I200" s="4" t="inlineStr">
        <is>
          <t>The tab renders with live data and the dev bypass disabled — the S13 exit gate.</t>
        </is>
      </c>
      <c r="J200" s="4" t="inlineStr">
        <is>
          <t>Sweep step A-01..A-14</t>
        </is>
      </c>
      <c r="K200" s="17" t="inlineStr">
        <is>
          <t>No — needs a dev tenant (SD226/SD228)</t>
        </is>
      </c>
      <c r="L200" s="16" t="inlineStr">
        <is>
          <t>Blocked</t>
        </is>
      </c>
      <c r="M200" s="4" t="inlineStr"/>
      <c r="N200" s="4" t="inlineStr"/>
      <c r="O200" s="4" t="inlineStr"/>
    </row>
    <row r="201">
      <c r="A201" s="10" t="inlineStr">
        <is>
          <t>TC-041-02</t>
        </is>
      </c>
      <c r="B201" s="4" t="inlineStr">
        <is>
          <t>v041</t>
        </is>
      </c>
      <c r="C201" s="4" t="inlineStr">
        <is>
          <t>SD219/220/226/228/240</t>
        </is>
      </c>
      <c r="D201" s="4" t="inlineStr">
        <is>
          <t>The bot answers a real message in a real tenant</t>
        </is>
      </c>
      <c r="E201" s="14" t="inlineStr">
        <is>
          <t>Positive</t>
        </is>
      </c>
      <c r="F201" s="4" t="inlineStr">
        <is>
          <t>Critical</t>
        </is>
      </c>
      <c r="G201" s="4" t="inlineStr">
        <is>
          <t>Dev tenant, bot registered</t>
        </is>
      </c>
      <c r="H201" s="4" t="inlineStr">
        <is>
          <t>1. Send "help" in a channel.</t>
        </is>
      </c>
      <c r="I201" s="4" t="inlineStr">
        <is>
          <t>A card reply arrives; the Connector JWT path verifies a genuine token.</t>
        </is>
      </c>
      <c r="J201" s="4" t="inlineStr">
        <is>
          <t>Sweep step A-15</t>
        </is>
      </c>
      <c r="K201" s="17" t="inlineStr">
        <is>
          <t>No — needs a dev tenant</t>
        </is>
      </c>
      <c r="L201" s="16" t="inlineStr">
        <is>
          <t>Blocked</t>
        </is>
      </c>
      <c r="M201" s="4" t="inlineStr"/>
      <c r="N201" s="4" t="inlineStr"/>
      <c r="O201" s="4" t="inlineStr"/>
    </row>
    <row r="202">
      <c r="A202" s="10" t="inlineStr">
        <is>
          <t>TC-041-03</t>
        </is>
      </c>
      <c r="B202" s="4" t="inlineStr">
        <is>
          <t>v041</t>
        </is>
      </c>
      <c r="C202" s="4" t="inlineStr">
        <is>
          <t>SD219/220/226/228/240</t>
        </is>
      </c>
      <c r="D202" s="4" t="inlineStr">
        <is>
          <t>The k6 5x sweep passes on staging</t>
        </is>
      </c>
      <c r="E202" s="14" t="inlineStr">
        <is>
          <t>Positive</t>
        </is>
      </c>
      <c r="F202" s="4" t="inlineStr">
        <is>
          <t>Critical</t>
        </is>
      </c>
      <c r="G202" s="4" t="inlineStr">
        <is>
          <t>Staging deployed</t>
        </is>
      </c>
      <c r="H202" s="4" t="inlineStr">
        <is>
          <t>1. Run the sweep.
2. Read the report.</t>
        </is>
      </c>
      <c r="I202" s="4" t="inlineStr">
        <is>
          <t>api p95 &lt;500ms, bot p95 &lt;800ms, failures &lt;1% — closes LC-8 (SD219/SD220).</t>
        </is>
      </c>
      <c r="J202" s="4" t="inlineStr">
        <is>
          <t>load/EVIDENCE.md</t>
        </is>
      </c>
      <c r="K202" s="17" t="inlineStr">
        <is>
          <t>No — needs staging</t>
        </is>
      </c>
      <c r="L202" s="16" t="inlineStr">
        <is>
          <t>Blocked</t>
        </is>
      </c>
      <c r="M202" s="4" t="inlineStr"/>
      <c r="N202" s="4" t="inlineStr"/>
      <c r="O202" s="4" t="inlineStr"/>
    </row>
    <row r="203">
      <c r="A203" s="10" t="inlineStr">
        <is>
          <t>TC-041-04</t>
        </is>
      </c>
      <c r="B203" s="4" t="inlineStr">
        <is>
          <t>v041</t>
        </is>
      </c>
      <c r="C203" s="4" t="inlineStr">
        <is>
          <t>SD219/220/226/228/240</t>
        </is>
      </c>
      <c r="D203" s="4" t="inlineStr">
        <is>
          <t>A test customer transacts through the marketplace end to end</t>
        </is>
      </c>
      <c r="E203" s="14" t="inlineStr">
        <is>
          <t>Positive</t>
        </is>
      </c>
      <c r="F203" s="4" t="inlineStr">
        <is>
          <t>Critical</t>
        </is>
      </c>
      <c r="G203" s="4" t="inlineStr">
        <is>
          <t>Transactable offer live</t>
        </is>
      </c>
      <c r="H203" s="4" t="inlineStr">
        <is>
          <t>1. Purchase through the offer.
2. Resolve and activate.
3. Verify entitlement enforcement.</t>
        </is>
      </c>
      <c r="I203" s="4" t="inlineStr">
        <is>
          <t>The subscription activates and the entitlement gates writes correctly (SD240, LC-6/LC-11).</t>
        </is>
      </c>
      <c r="J203" s="4" t="inlineStr">
        <is>
          <t>tests/commercial.test.ts</t>
        </is>
      </c>
      <c r="K203" s="17" t="inlineStr">
        <is>
          <t>No — needs a Partner Center offer</t>
        </is>
      </c>
      <c r="L203" s="16" t="inlineStr">
        <is>
          <t>Blocked</t>
        </is>
      </c>
      <c r="M203" s="4" t="inlineStr"/>
      <c r="N203" s="4" t="inlineStr"/>
      <c r="O203" s="4" t="inlineStr"/>
    </row>
  </sheetData>
  <autoFilter ref="A4:O203"/>
  <dataValidations count="1">
    <dataValidation sqref="L5:L203" showDropDown="0" showInputMessage="0" showErrorMessage="0" allowBlank="1" type="list">
      <formula1>"Not run,Pass,Fail,Blocked,Not applicable"</formula1>
    </dataValidation>
  </dataValidations>
  <pageMargins left="0.75" right="0.75" top="1" bottom="1" header="0.5" footer="0.5"/>
</worksheet>
</file>

<file path=xl/worksheets/sheet9.xml><?xml version="1.0" encoding="utf-8"?>
<worksheet xmlns="http://schemas.openxmlformats.org/spreadsheetml/2006/main">
  <sheetPr>
    <tabColor rgb="FFED7D31"/>
    <outlinePr summaryBelow="1" summaryRight="1"/>
    <pageSetUpPr/>
  </sheetPr>
  <dimension ref="A1:J7"/>
  <sheetViews>
    <sheetView showGridLines="0" workbookViewId="0">
      <pane ySplit="4" topLeftCell="A5" activePane="bottomLeft" state="frozen"/>
      <selection pane="bottomLeft" activeCell="A1" sqref="A1"/>
    </sheetView>
  </sheetViews>
  <sheetFormatPr baseColWidth="8" defaultRowHeight="15"/>
  <cols>
    <col width="9" customWidth="1" min="1" max="1"/>
    <col width="13" customWidth="1" min="2" max="2"/>
    <col width="20" customWidth="1" min="3" max="3"/>
    <col width="20" customWidth="1" min="4" max="4"/>
    <col width="26" customWidth="1" min="5" max="5"/>
    <col width="26" customWidth="1" min="6" max="6"/>
    <col width="7" customWidth="1" min="7" max="7"/>
    <col width="7" customWidth="1" min="8" max="8"/>
    <col width="9" customWidth="1" min="9" max="9"/>
    <col width="80" customWidth="1" min="10" max="10"/>
  </cols>
  <sheetData>
    <row r="1">
      <c r="A1" s="7" t="inlineStr">
        <is>
          <t>TEST EXECUTION LOG — one row per execution cycle</t>
        </is>
      </c>
      <c r="B1" s="2" t="n"/>
      <c r="C1" s="2" t="n"/>
      <c r="D1" s="2" t="n"/>
      <c r="E1" s="2" t="n"/>
      <c r="F1" s="2" t="n"/>
      <c r="G1" s="2" t="n"/>
      <c r="H1" s="2" t="n"/>
      <c r="I1" s="2" t="n"/>
      <c r="J1" s="2" t="n"/>
    </row>
    <row r="2" ht="58" customHeight="1">
      <c r="A2" s="8" t="inlineStr">
        <is>
          <t>HOW TO USE THIS SHEET — Add a row each time someone works through a set of cases. Record the build under test, the environment, which cases were in scope and what happened. The first row is the automated evidence run that backs this issue of the document; manual cycles follow it.</t>
        </is>
      </c>
    </row>
    <row r="4">
      <c r="A4" s="3" t="inlineStr">
        <is>
          <t>Run id</t>
        </is>
      </c>
      <c r="B4" s="3" t="inlineStr">
        <is>
          <t>Date</t>
        </is>
      </c>
      <c r="C4" s="3" t="inlineStr">
        <is>
          <t>Executed by</t>
        </is>
      </c>
      <c r="D4" s="3" t="inlineStr">
        <is>
          <t>Build / version under test</t>
        </is>
      </c>
      <c r="E4" s="3" t="inlineStr">
        <is>
          <t>Environment</t>
        </is>
      </c>
      <c r="F4" s="3" t="inlineStr">
        <is>
          <t>Cases in scope</t>
        </is>
      </c>
      <c r="G4" s="3" t="inlineStr">
        <is>
          <t>Pass</t>
        </is>
      </c>
      <c r="H4" s="3" t="inlineStr">
        <is>
          <t>Fail</t>
        </is>
      </c>
      <c r="I4" s="3" t="inlineStr">
        <is>
          <t>Blocked</t>
        </is>
      </c>
      <c r="J4" s="3" t="inlineStr">
        <is>
          <t>Outcome / notes</t>
        </is>
      </c>
    </row>
    <row r="5">
      <c r="A5" s="4" t="inlineStr">
        <is>
          <t>RUN-001</t>
        </is>
      </c>
      <c r="B5" s="4" t="inlineStr">
        <is>
          <t>2026-09-20</t>
        </is>
      </c>
      <c r="C5" s="4" t="inlineStr">
        <is>
          <t>Claude (automated tiers)</t>
        </is>
      </c>
      <c r="D5" s="4" t="inlineStr">
        <is>
          <t>v0.14.0 / release v040</t>
        </is>
      </c>
      <c r="E5" s="4" t="inlineStr">
        <is>
          <t>Sandbox + real PostgreSQL 16 (local, port 55432)</t>
        </is>
      </c>
      <c r="F5" s="4" t="inlineStr">
        <is>
          <t>Automated equivalents of the sandbox-executable cases</t>
        </is>
      </c>
      <c r="G5" s="4" t="n">
        <v>555</v>
      </c>
      <c r="H5" s="4" t="n">
        <v>0</v>
      </c>
      <c r="I5" s="4" t="n">
        <v>0</v>
      </c>
      <c r="J5" s="14" t="inlineStr">
        <is>
          <t>Tier 1: 68 unit suites / 555 tests green at 100% statements, branches, functions and lines with zero pragmas. Tier 2: 9/9 real-Postgres integration tests. Tier 3: production-seam wiring assertion green. Backup/restore drill PASS with RPO 0s and RTO 0s against a 15 min / 60 min bar. This run is the automated backing for the manual cases marked "Yes — sandbox"; it is not a substitute for walking them.</t>
        </is>
      </c>
    </row>
    <row r="6">
      <c r="A6" s="4" t="inlineStr">
        <is>
          <t>RUN-002</t>
        </is>
      </c>
      <c r="B6" s="4" t="n"/>
      <c r="C6" s="4" t="inlineStr">
        <is>
          <t>(open)</t>
        </is>
      </c>
      <c r="D6" s="4" t="n"/>
      <c r="E6" s="4" t="inlineStr">
        <is>
          <t>Manual, sandbox</t>
        </is>
      </c>
      <c r="F6" s="4" t="inlineStr">
        <is>
          <t>All cases where Executable = Yes</t>
        </is>
      </c>
      <c r="G6" s="4" t="n"/>
      <c r="H6" s="4" t="n"/>
      <c r="I6" s="4" t="n"/>
      <c r="J6" s="13" t="inlineStr">
        <is>
          <t>PLANNED — the first human pass over this specification. Expect it to find at least one case where the expected result is written wrongly; that is a finding about this document and belongs in Defect_Log too.</t>
        </is>
      </c>
    </row>
    <row r="7">
      <c r="A7" s="4" t="inlineStr">
        <is>
          <t>RUN-003</t>
        </is>
      </c>
      <c r="B7" s="4" t="n"/>
      <c r="C7" s="4" t="inlineStr">
        <is>
          <t>(open — Senthil)</t>
        </is>
      </c>
      <c r="D7" s="4" t="n"/>
      <c r="E7" s="4" t="inlineStr">
        <is>
          <t>Live Microsoft 365 dev tenant</t>
        </is>
      </c>
      <c r="F7" s="4" t="inlineStr">
        <is>
          <t>The four v041 cases plus every case marked Partial</t>
        </is>
      </c>
      <c r="G7" s="4" t="n"/>
      <c r="H7" s="4" t="n"/>
      <c r="I7" s="4" t="n"/>
      <c r="J7" s="17" t="inlineStr">
        <is>
          <t>BLOCKED — needs a dev tenant with the app sideloaded. This is the run that turns eleven pending-live stories into evidence.</t>
        </is>
      </c>
    </row>
  </sheetData>
  <pageMargins left="0.75" right="0.75" top="1" bottom="1" header="0.5" footer="0.5"/>
</worksheet>
</file>

<file path=xl/worksheets/sheet10.xml><?xml version="1.0" encoding="utf-8"?>
<worksheet xmlns="http://schemas.openxmlformats.org/spreadsheetml/2006/main">
  <sheetPr>
    <tabColor rgb="FF7030A0"/>
    <outlinePr summaryBelow="1" summaryRight="1"/>
    <pageSetUpPr/>
  </sheetPr>
  <dimension ref="A1:I48"/>
  <sheetViews>
    <sheetView showGridLines="0" workbookViewId="0">
      <pane ySplit="4" topLeftCell="A5" activePane="bottomLeft" state="frozen"/>
      <selection pane="bottomLeft" activeCell="A1" sqref="A1"/>
    </sheetView>
  </sheetViews>
  <sheetFormatPr baseColWidth="8" defaultRowHeight="15"/>
  <cols>
    <col width="9" customWidth="1" min="1" max="1"/>
    <col width="11" customWidth="1" min="2" max="2"/>
    <col width="58" customWidth="1" min="3" max="3"/>
    <col width="30" customWidth="1" min="4" max="4"/>
    <col width="11" customWidth="1" min="5" max="5"/>
    <col width="9" customWidth="1" min="6" max="6"/>
    <col width="9" customWidth="1" min="7" max="7"/>
    <col width="40" customWidth="1" min="8" max="8"/>
    <col width="26" customWidth="1" min="9" max="9"/>
  </cols>
  <sheetData>
    <row r="1">
      <c r="A1" s="7" t="inlineStr">
        <is>
          <t>REQUIREMENTS TRACEABILITY MATRIX — release to coverage, and the cases that prove it</t>
        </is>
      </c>
      <c r="B1" s="2" t="n"/>
      <c r="C1" s="2" t="n"/>
      <c r="D1" s="2" t="n"/>
      <c r="E1" s="2" t="n"/>
      <c r="F1" s="2" t="n"/>
      <c r="G1" s="2" t="n"/>
      <c r="H1" s="2" t="n"/>
      <c r="I1" s="2" t="n"/>
    </row>
    <row r="2" ht="58" customHeight="1">
      <c r="A2" s="8" t="inlineStr">
        <is>
          <t>HOW TO USE THIS SHEET — The reverse of Test_Cases: start from a release or a finding and see what proves it. Column E counts the cases with a live formula, so a release that loses its cases shows a zero here rather than quietly disappearing.</t>
        </is>
      </c>
    </row>
    <row r="4">
      <c r="A4" s="3" t="inlineStr">
        <is>
          <t>Release</t>
        </is>
      </c>
      <c r="B4" s="3" t="inlineStr">
        <is>
          <t>Category</t>
        </is>
      </c>
      <c r="C4" s="3" t="inlineStr">
        <is>
          <t>What it delivered</t>
        </is>
      </c>
      <c r="D4" s="3" t="inlineStr">
        <is>
          <t>Covers (story / finding ids)</t>
        </is>
      </c>
      <c r="E4" s="3" t="inlineStr">
        <is>
          <t>Manual cases</t>
        </is>
      </c>
      <c r="F4" s="3" t="inlineStr">
        <is>
          <t>Positive</t>
        </is>
      </c>
      <c r="G4" s="3" t="inlineStr">
        <is>
          <t>Negative</t>
        </is>
      </c>
      <c r="H4" s="3" t="inlineStr">
        <is>
          <t>Automated evidence</t>
        </is>
      </c>
      <c r="I4" s="3" t="inlineStr">
        <is>
          <t>Status</t>
        </is>
      </c>
    </row>
    <row r="5">
      <c r="A5" s="10" t="inlineStr">
        <is>
          <t>v001</t>
        </is>
      </c>
      <c r="B5" s="4" t="inlineStr">
        <is>
          <t>BUILD</t>
        </is>
      </c>
      <c r="C5" s="4" t="inlineStr">
        <is>
          <t>Foundation through S8 consolidated into one tracker</t>
        </is>
      </c>
      <c r="D5" s="4" t="inlineStr">
        <is>
          <t>ST-051..056</t>
        </is>
      </c>
      <c r="E5" s="4">
        <f>COUNTIF(Test_Cases!$B$5:$B$203,"v001")</f>
        <v/>
      </c>
      <c r="F5" s="4">
        <f>COUNTIFS(Test_Cases!$B$5:$B$203,"v001",Test_Cases!$E$5:$E$203,"Positive")</f>
        <v/>
      </c>
      <c r="G5" s="4">
        <f>COUNTIFS(Test_Cases!$B$5:$B$203,"v001",Test_Cases!$E$5:$E$203,"Negative")</f>
        <v/>
      </c>
      <c r="H5" s="4" t="inlineStr">
        <is>
          <t>Unit suite at 100%</t>
        </is>
      </c>
      <c r="I5" s="14" t="inlineStr">
        <is>
          <t>Released — verified in sandbox</t>
        </is>
      </c>
    </row>
    <row r="6">
      <c r="A6" s="10" t="inlineStr">
        <is>
          <t>v002</t>
        </is>
      </c>
      <c r="B6" s="4" t="inlineStr">
        <is>
          <t>BUILD</t>
        </is>
      </c>
      <c r="C6" s="4" t="inlineStr">
        <is>
          <t>Live-sweep readiness pack: manifest v1.17, icons, typed config loader, 12-step sweep, dev-tenant guide</t>
        </is>
      </c>
      <c r="D6" s="4" t="inlineStr">
        <is>
          <t>ST-093, LC-2</t>
        </is>
      </c>
      <c r="E6" s="4">
        <f>COUNTIF(Test_Cases!$B$5:$B$203,"v002")</f>
        <v/>
      </c>
      <c r="F6" s="4">
        <f>COUNTIFS(Test_Cases!$B$5:$B$203,"v002",Test_Cases!$E$5:$E$203,"Positive")</f>
        <v/>
      </c>
      <c r="G6" s="4">
        <f>COUNTIFS(Test_Cases!$B$5:$B$203,"v002",Test_Cases!$E$5:$E$203,"Negative")</f>
        <v/>
      </c>
      <c r="H6" s="4" t="inlineStr">
        <is>
          <t>Unit suite at 100%</t>
        </is>
      </c>
      <c r="I6" s="14" t="inlineStr">
        <is>
          <t>Released — verified in sandbox</t>
        </is>
      </c>
    </row>
    <row r="7">
      <c r="A7" s="10" t="inlineStr">
        <is>
          <t>v003</t>
        </is>
      </c>
      <c r="B7" s="4" t="inlineStr">
        <is>
          <t>BUILD</t>
        </is>
      </c>
      <c r="C7" s="4" t="inlineStr">
        <is>
          <t>Ops parity pack: k6 5x load harness, blue/green deploy workflow, scripted backup/restore drill</t>
        </is>
      </c>
      <c r="D7" s="4" t="inlineStr">
        <is>
          <t>ST-088/090/092, LC-8</t>
        </is>
      </c>
      <c r="E7" s="4">
        <f>COUNTIF(Test_Cases!$B$5:$B$203,"v003")</f>
        <v/>
      </c>
      <c r="F7" s="4">
        <f>COUNTIFS(Test_Cases!$B$5:$B$203,"v003",Test_Cases!$E$5:$E$203,"Positive")</f>
        <v/>
      </c>
      <c r="G7" s="4">
        <f>COUNTIFS(Test_Cases!$B$5:$B$203,"v003",Test_Cases!$E$5:$E$203,"Negative")</f>
        <v/>
      </c>
      <c r="H7" s="4" t="inlineStr">
        <is>
          <t>Unit suite at 100%</t>
        </is>
      </c>
      <c r="I7" s="14" t="inlineStr">
        <is>
          <t>Released — verified in sandbox</t>
        </is>
      </c>
    </row>
    <row r="8">
      <c r="A8" s="10" t="inlineStr">
        <is>
          <t>v004</t>
        </is>
      </c>
      <c r="B8" s="4" t="inlineStr">
        <is>
          <t>REVIEW</t>
        </is>
      </c>
      <c r="C8" s="4" t="inlineStr">
        <is>
          <t>Adversarial cold-review pass 1 over the S1-S8 code</t>
        </is>
      </c>
      <c r="D8" s="4" t="inlineStr">
        <is>
          <t>F-001..F-006</t>
        </is>
      </c>
      <c r="E8" s="4">
        <f>COUNTIF(Test_Cases!$B$5:$B$203,"v004")</f>
        <v/>
      </c>
      <c r="F8" s="4">
        <f>COUNTIFS(Test_Cases!$B$5:$B$203,"v004",Test_Cases!$E$5:$E$203,"Positive")</f>
        <v/>
      </c>
      <c r="G8" s="4">
        <f>COUNTIFS(Test_Cases!$B$5:$B$203,"v004",Test_Cases!$E$5:$E$203,"Negative")</f>
        <v/>
      </c>
      <c r="H8" s="4" t="inlineStr">
        <is>
          <t>Unit suite at 100%</t>
        </is>
      </c>
      <c r="I8" s="14" t="inlineStr">
        <is>
          <t>Released — verified in sandbox</t>
        </is>
      </c>
    </row>
    <row r="9">
      <c r="A9" s="10" t="inlineStr">
        <is>
          <t>v005</t>
        </is>
      </c>
      <c r="B9" s="4" t="inlineStr">
        <is>
          <t>REVIEW</t>
        </is>
      </c>
      <c r="C9" s="4" t="inlineStr">
        <is>
          <t>Cold-review pass 2 plus the completion wave taking the last backlog stories to sandbox ceiling</t>
        </is>
      </c>
      <c r="D9" s="4" t="inlineStr">
        <is>
          <t>F-010..F-013</t>
        </is>
      </c>
      <c r="E9" s="4">
        <f>COUNTIF(Test_Cases!$B$5:$B$203,"v005")</f>
        <v/>
      </c>
      <c r="F9" s="4">
        <f>COUNTIFS(Test_Cases!$B$5:$B$203,"v005",Test_Cases!$E$5:$E$203,"Positive")</f>
        <v/>
      </c>
      <c r="G9" s="4">
        <f>COUNTIFS(Test_Cases!$B$5:$B$203,"v005",Test_Cases!$E$5:$E$203,"Negative")</f>
        <v/>
      </c>
      <c r="H9" s="4" t="inlineStr">
        <is>
          <t>Unit suite at 100%</t>
        </is>
      </c>
      <c r="I9" s="14" t="inlineStr">
        <is>
          <t>Released — verified in sandbox</t>
        </is>
      </c>
    </row>
    <row r="10">
      <c r="A10" s="10" t="inlineStr">
        <is>
          <t>v006</t>
        </is>
      </c>
      <c r="B10" s="4" t="inlineStr">
        <is>
          <t>VERIFY</t>
        </is>
      </c>
      <c r="C10" s="4" t="inlineStr">
        <is>
          <t>External verification sweep against live Microsoft documentation, plus artifact-gap audit round 1</t>
        </is>
      </c>
      <c r="D10" s="4" t="inlineStr">
        <is>
          <t>VER-SD01..08</t>
        </is>
      </c>
      <c r="E10" s="4">
        <f>COUNTIF(Test_Cases!$B$5:$B$203,"v006")</f>
        <v/>
      </c>
      <c r="F10" s="4">
        <f>COUNTIFS(Test_Cases!$B$5:$B$203,"v006",Test_Cases!$E$5:$E$203,"Positive")</f>
        <v/>
      </c>
      <c r="G10" s="4">
        <f>COUNTIFS(Test_Cases!$B$5:$B$203,"v006",Test_Cases!$E$5:$E$203,"Negative")</f>
        <v/>
      </c>
      <c r="H10" s="4" t="inlineStr">
        <is>
          <t>Unit suite at 100%</t>
        </is>
      </c>
      <c r="I10" s="14" t="inlineStr">
        <is>
          <t>Released — verified in sandbox</t>
        </is>
      </c>
    </row>
    <row r="11">
      <c r="A11" s="10" t="inlineStr">
        <is>
          <t>v007</t>
        </is>
      </c>
      <c r="B11" s="4" t="inlineStr">
        <is>
          <t>GAP</t>
        </is>
      </c>
      <c r="C11" s="4" t="inlineStr">
        <is>
          <t>Artifact-gap audit round 2: the web tab layer and the bot command router</t>
        </is>
      </c>
      <c r="D11" s="4" t="inlineStr">
        <is>
          <t>GAP-SD1/2/3</t>
        </is>
      </c>
      <c r="E11" s="4">
        <f>COUNTIF(Test_Cases!$B$5:$B$203,"v007")</f>
        <v/>
      </c>
      <c r="F11" s="4">
        <f>COUNTIFS(Test_Cases!$B$5:$B$203,"v007",Test_Cases!$E$5:$E$203,"Positive")</f>
        <v/>
      </c>
      <c r="G11" s="4">
        <f>COUNTIFS(Test_Cases!$B$5:$B$203,"v007",Test_Cases!$E$5:$E$203,"Negative")</f>
        <v/>
      </c>
      <c r="H11" s="4" t="inlineStr">
        <is>
          <t>Unit suite at 100%</t>
        </is>
      </c>
      <c r="I11" s="14" t="inlineStr">
        <is>
          <t>Released — verified in sandbox</t>
        </is>
      </c>
    </row>
    <row r="12">
      <c r="A12" s="10" t="inlineStr">
        <is>
          <t>v008</t>
        </is>
      </c>
      <c r="B12" s="4" t="inlineStr">
        <is>
          <t>REVIEW</t>
        </is>
      </c>
      <c r="C12" s="4" t="inlineStr">
        <is>
          <t>Cold-review pass 3 over the sessions 5-8 code that had never been reviewed</t>
        </is>
      </c>
      <c r="D12" s="4" t="inlineStr">
        <is>
          <t>F-014..F-019</t>
        </is>
      </c>
      <c r="E12" s="4">
        <f>COUNTIF(Test_Cases!$B$5:$B$203,"v008")</f>
        <v/>
      </c>
      <c r="F12" s="4">
        <f>COUNTIFS(Test_Cases!$B$5:$B$203,"v008",Test_Cases!$E$5:$E$203,"Positive")</f>
        <v/>
      </c>
      <c r="G12" s="4">
        <f>COUNTIFS(Test_Cases!$B$5:$B$203,"v008",Test_Cases!$E$5:$E$203,"Negative")</f>
        <v/>
      </c>
      <c r="H12" s="4" t="inlineStr">
        <is>
          <t>Unit suite at 100%</t>
        </is>
      </c>
      <c r="I12" s="14" t="inlineStr">
        <is>
          <t>Released — verified in sandbox</t>
        </is>
      </c>
    </row>
    <row r="13">
      <c r="A13" s="10" t="inlineStr">
        <is>
          <t>v009</t>
        </is>
      </c>
      <c r="B13" s="4" t="inlineStr">
        <is>
          <t>GAP</t>
        </is>
      </c>
      <c r="C13" s="4" t="inlineStr">
        <is>
          <t>Artifact-gap audit round 3: the HTTP server and bootstrap</t>
        </is>
      </c>
      <c r="D13" s="4" t="inlineStr">
        <is>
          <t>GAP-SD5</t>
        </is>
      </c>
      <c r="E13" s="4">
        <f>COUNTIF(Test_Cases!$B$5:$B$203,"v009")</f>
        <v/>
      </c>
      <c r="F13" s="4">
        <f>COUNTIFS(Test_Cases!$B$5:$B$203,"v009",Test_Cases!$E$5:$E$203,"Positive")</f>
        <v/>
      </c>
      <c r="G13" s="4">
        <f>COUNTIFS(Test_Cases!$B$5:$B$203,"v009",Test_Cases!$E$5:$E$203,"Negative")</f>
        <v/>
      </c>
      <c r="H13" s="4" t="inlineStr">
        <is>
          <t>Unit suite at 100%</t>
        </is>
      </c>
      <c r="I13" s="14" t="inlineStr">
        <is>
          <t>Released — verified in sandbox</t>
        </is>
      </c>
    </row>
    <row r="14">
      <c r="A14" s="10" t="inlineStr">
        <is>
          <t>v010</t>
        </is>
      </c>
      <c r="B14" s="4" t="inlineStr">
        <is>
          <t>VERIFY</t>
        </is>
      </c>
      <c r="C14" s="4" t="inlineStr">
        <is>
          <t>Verification sweep 2 over the bot transport seam</t>
        </is>
      </c>
      <c r="D14" s="4" t="inlineStr">
        <is>
          <t>VER-SD09..12</t>
        </is>
      </c>
      <c r="E14" s="4">
        <f>COUNTIF(Test_Cases!$B$5:$B$203,"v010")</f>
        <v/>
      </c>
      <c r="F14" s="4">
        <f>COUNTIFS(Test_Cases!$B$5:$B$203,"v010",Test_Cases!$E$5:$E$203,"Positive")</f>
        <v/>
      </c>
      <c r="G14" s="4">
        <f>COUNTIFS(Test_Cases!$B$5:$B$203,"v010",Test_Cases!$E$5:$E$203,"Negative")</f>
        <v/>
      </c>
      <c r="H14" s="4" t="inlineStr">
        <is>
          <t>Unit suite at 100%</t>
        </is>
      </c>
      <c r="I14" s="14" t="inlineStr">
        <is>
          <t>Released — verified in sandbox</t>
        </is>
      </c>
    </row>
    <row r="15">
      <c r="A15" s="10" t="inlineStr">
        <is>
          <t>v011</t>
        </is>
      </c>
      <c r="B15" s="4" t="inlineStr">
        <is>
          <t>VERIFY</t>
        </is>
      </c>
      <c r="C15" s="4" t="inlineStr">
        <is>
          <t>Verification sweep 3 over the tab SSO seam</t>
        </is>
      </c>
      <c r="D15" s="4" t="inlineStr">
        <is>
          <t>VER-SD13/14</t>
        </is>
      </c>
      <c r="E15" s="4">
        <f>COUNTIF(Test_Cases!$B$5:$B$203,"v011")</f>
        <v/>
      </c>
      <c r="F15" s="4">
        <f>COUNTIFS(Test_Cases!$B$5:$B$203,"v011",Test_Cases!$E$5:$E$203,"Positive")</f>
        <v/>
      </c>
      <c r="G15" s="4">
        <f>COUNTIFS(Test_Cases!$B$5:$B$203,"v011",Test_Cases!$E$5:$E$203,"Negative")</f>
        <v/>
      </c>
      <c r="H15" s="4" t="inlineStr">
        <is>
          <t>Unit suite at 100%</t>
        </is>
      </c>
      <c r="I15" s="14" t="inlineStr">
        <is>
          <t>Released — verified in sandbox</t>
        </is>
      </c>
    </row>
    <row r="16">
      <c r="A16" s="10" t="inlineStr">
        <is>
          <t>v012</t>
        </is>
      </c>
      <c r="B16" s="4" t="inlineStr">
        <is>
          <t>GAP</t>
        </is>
      </c>
      <c r="C16" s="4" t="inlineStr">
        <is>
          <t>Artifact-gap audit round 4: Graph membership consumed, unused scope dropped</t>
        </is>
      </c>
      <c r="D16" s="4" t="inlineStr">
        <is>
          <t>GAP-SD6/7, D-SD5</t>
        </is>
      </c>
      <c r="E16" s="4">
        <f>COUNTIF(Test_Cases!$B$5:$B$203,"v012")</f>
        <v/>
      </c>
      <c r="F16" s="4">
        <f>COUNTIFS(Test_Cases!$B$5:$B$203,"v012",Test_Cases!$E$5:$E$203,"Positive")</f>
        <v/>
      </c>
      <c r="G16" s="4">
        <f>COUNTIFS(Test_Cases!$B$5:$B$203,"v012",Test_Cases!$E$5:$E$203,"Negative")</f>
        <v/>
      </c>
      <c r="H16" s="4" t="inlineStr">
        <is>
          <t>Unit suite at 100%</t>
        </is>
      </c>
      <c r="I16" s="14" t="inlineStr">
        <is>
          <t>Released — verified in sandbox</t>
        </is>
      </c>
    </row>
    <row r="17">
      <c r="A17" s="10" t="inlineStr">
        <is>
          <t>v013</t>
        </is>
      </c>
      <c r="B17" s="4" t="inlineStr">
        <is>
          <t>REVIEW</t>
        </is>
      </c>
      <c r="C17" s="4" t="inlineStr">
        <is>
          <t>Cold-review pass 4 over the sessions 10-13 integration code</t>
        </is>
      </c>
      <c r="D17" s="4" t="inlineStr">
        <is>
          <t>F-020..F-024</t>
        </is>
      </c>
      <c r="E17" s="4">
        <f>COUNTIF(Test_Cases!$B$5:$B$203,"v013")</f>
        <v/>
      </c>
      <c r="F17" s="4">
        <f>COUNTIFS(Test_Cases!$B$5:$B$203,"v013",Test_Cases!$E$5:$E$203,"Positive")</f>
        <v/>
      </c>
      <c r="G17" s="4">
        <f>COUNTIFS(Test_Cases!$B$5:$B$203,"v013",Test_Cases!$E$5:$E$203,"Negative")</f>
        <v/>
      </c>
      <c r="H17" s="4" t="inlineStr">
        <is>
          <t>Unit suite at 100%</t>
        </is>
      </c>
      <c r="I17" s="14" t="inlineStr">
        <is>
          <t>Released — verified in sandbox</t>
        </is>
      </c>
    </row>
    <row r="18">
      <c r="A18" s="10" t="inlineStr">
        <is>
          <t>v014</t>
        </is>
      </c>
      <c r="B18" s="4" t="inlineStr">
        <is>
          <t>GAP</t>
        </is>
      </c>
      <c r="C18" s="4" t="inlineStr">
        <is>
          <t>Artifact-gap audit round 5: the repository seam actually built</t>
        </is>
      </c>
      <c r="D18" s="4" t="inlineStr">
        <is>
          <t>GAP-SD8</t>
        </is>
      </c>
      <c r="E18" s="4">
        <f>COUNTIF(Test_Cases!$B$5:$B$203,"v014")</f>
        <v/>
      </c>
      <c r="F18" s="4">
        <f>COUNTIFS(Test_Cases!$B$5:$B$203,"v014",Test_Cases!$E$5:$E$203,"Positive")</f>
        <v/>
      </c>
      <c r="G18" s="4">
        <f>COUNTIFS(Test_Cases!$B$5:$B$203,"v014",Test_Cases!$E$5:$E$203,"Negative")</f>
        <v/>
      </c>
      <c r="H18" s="4" t="inlineStr">
        <is>
          <t>Unit suite at 100%</t>
        </is>
      </c>
      <c r="I18" s="14" t="inlineStr">
        <is>
          <t>Released — verified in sandbox</t>
        </is>
      </c>
    </row>
    <row r="19">
      <c r="A19" s="10" t="inlineStr">
        <is>
          <t>v015</t>
        </is>
      </c>
      <c r="B19" s="4" t="inlineStr">
        <is>
          <t>GAP</t>
        </is>
      </c>
      <c r="C19" s="4" t="inlineStr">
        <is>
          <t>Persistence slice 1: snapshot/restore on the service core wired through HTTP</t>
        </is>
      </c>
      <c r="D19" s="4" t="inlineStr">
        <is>
          <t>GAP-SD8b</t>
        </is>
      </c>
      <c r="E19" s="4">
        <f>COUNTIF(Test_Cases!$B$5:$B$203,"v015")</f>
        <v/>
      </c>
      <c r="F19" s="4">
        <f>COUNTIFS(Test_Cases!$B$5:$B$203,"v015",Test_Cases!$E$5:$E$203,"Positive")</f>
        <v/>
      </c>
      <c r="G19" s="4">
        <f>COUNTIFS(Test_Cases!$B$5:$B$203,"v015",Test_Cases!$E$5:$E$203,"Negative")</f>
        <v/>
      </c>
      <c r="H19" s="4" t="inlineStr">
        <is>
          <t>Unit suite at 100%</t>
        </is>
      </c>
      <c r="I19" s="14" t="inlineStr">
        <is>
          <t>Released — verified in sandbox</t>
        </is>
      </c>
    </row>
    <row r="20">
      <c r="A20" s="10" t="inlineStr">
        <is>
          <t>v016</t>
        </is>
      </c>
      <c r="B20" s="4" t="inlineStr">
        <is>
          <t>BUILD</t>
        </is>
      </c>
      <c r="C20" s="4" t="inlineStr">
        <is>
          <t>Persistence slice 2: billing, install and support chat survive a restart</t>
        </is>
      </c>
      <c r="D20" s="4" t="inlineStr">
        <is>
          <t>OBS-SD5a, F-025</t>
        </is>
      </c>
      <c r="E20" s="4">
        <f>COUNTIF(Test_Cases!$B$5:$B$203,"v016")</f>
        <v/>
      </c>
      <c r="F20" s="4">
        <f>COUNTIFS(Test_Cases!$B$5:$B$203,"v016",Test_Cases!$E$5:$E$203,"Positive")</f>
        <v/>
      </c>
      <c r="G20" s="4">
        <f>COUNTIFS(Test_Cases!$B$5:$B$203,"v016",Test_Cases!$E$5:$E$203,"Negative")</f>
        <v/>
      </c>
      <c r="H20" s="4" t="inlineStr">
        <is>
          <t>Unit suite at 100%</t>
        </is>
      </c>
      <c r="I20" s="14" t="inlineStr">
        <is>
          <t>Released — verified in sandbox</t>
        </is>
      </c>
    </row>
    <row r="21">
      <c r="A21" s="10" t="inlineStr">
        <is>
          <t>v017</t>
        </is>
      </c>
      <c r="B21" s="4" t="inlineStr">
        <is>
          <t>AUDIT</t>
        </is>
      </c>
      <c r="C21" s="4" t="inlineStr">
        <is>
          <t>Multi-tenancy audit</t>
        </is>
      </c>
      <c r="D21" s="4" t="inlineStr">
        <is>
          <t>F-026..F-028</t>
        </is>
      </c>
      <c r="E21" s="4">
        <f>COUNTIF(Test_Cases!$B$5:$B$203,"v017")</f>
        <v/>
      </c>
      <c r="F21" s="4">
        <f>COUNTIFS(Test_Cases!$B$5:$B$203,"v017",Test_Cases!$E$5:$E$203,"Positive")</f>
        <v/>
      </c>
      <c r="G21" s="4">
        <f>COUNTIFS(Test_Cases!$B$5:$B$203,"v017",Test_Cases!$E$5:$E$203,"Negative")</f>
        <v/>
      </c>
      <c r="H21" s="4" t="inlineStr">
        <is>
          <t>Unit suite at 100%</t>
        </is>
      </c>
      <c r="I21" s="14" t="inlineStr">
        <is>
          <t>Released — verified in sandbox</t>
        </is>
      </c>
    </row>
    <row r="22">
      <c r="A22" s="10" t="inlineStr">
        <is>
          <t>v018</t>
        </is>
      </c>
      <c r="B22" s="4" t="inlineStr">
        <is>
          <t>AUDIT</t>
        </is>
      </c>
      <c r="C22" s="4" t="inlineStr">
        <is>
          <t>Data-deletion audit</t>
        </is>
      </c>
      <c r="D22" s="4" t="inlineStr">
        <is>
          <t>F-029</t>
        </is>
      </c>
      <c r="E22" s="4">
        <f>COUNTIF(Test_Cases!$B$5:$B$203,"v018")</f>
        <v/>
      </c>
      <c r="F22" s="4">
        <f>COUNTIFS(Test_Cases!$B$5:$B$203,"v018",Test_Cases!$E$5:$E$203,"Positive")</f>
        <v/>
      </c>
      <c r="G22" s="4">
        <f>COUNTIFS(Test_Cases!$B$5:$B$203,"v018",Test_Cases!$E$5:$E$203,"Negative")</f>
        <v/>
      </c>
      <c r="H22" s="4" t="inlineStr">
        <is>
          <t>Unit suite at 100%</t>
        </is>
      </c>
      <c r="I22" s="14" t="inlineStr">
        <is>
          <t>Released — verified in sandbox</t>
        </is>
      </c>
    </row>
    <row r="23">
      <c r="A23" s="10" t="inlineStr">
        <is>
          <t>v019</t>
        </is>
      </c>
      <c r="B23" s="4" t="inlineStr">
        <is>
          <t>AUDIT</t>
        </is>
      </c>
      <c r="C23" s="4" t="inlineStr">
        <is>
          <t>Authorization audit</t>
        </is>
      </c>
      <c r="D23" s="4" t="inlineStr">
        <is>
          <t>F-030, D-SD6</t>
        </is>
      </c>
      <c r="E23" s="4">
        <f>COUNTIF(Test_Cases!$B$5:$B$203,"v019")</f>
        <v/>
      </c>
      <c r="F23" s="4">
        <f>COUNTIFS(Test_Cases!$B$5:$B$203,"v019",Test_Cases!$E$5:$E$203,"Positive")</f>
        <v/>
      </c>
      <c r="G23" s="4">
        <f>COUNTIFS(Test_Cases!$B$5:$B$203,"v019",Test_Cases!$E$5:$E$203,"Negative")</f>
        <v/>
      </c>
      <c r="H23" s="4" t="inlineStr">
        <is>
          <t>Unit suite at 100%</t>
        </is>
      </c>
      <c r="I23" s="14" t="inlineStr">
        <is>
          <t>Released — verified in sandbox</t>
        </is>
      </c>
    </row>
    <row r="24">
      <c r="A24" s="10" t="inlineStr">
        <is>
          <t>v020</t>
        </is>
      </c>
      <c r="B24" s="4" t="inlineStr">
        <is>
          <t>AUDIT</t>
        </is>
      </c>
      <c r="C24" s="4" t="inlineStr">
        <is>
          <t>Billing-integrity audit</t>
        </is>
      </c>
      <c r="D24" s="4" t="inlineStr">
        <is>
          <t>F-031..F-033</t>
        </is>
      </c>
      <c r="E24" s="4">
        <f>COUNTIF(Test_Cases!$B$5:$B$203,"v020")</f>
        <v/>
      </c>
      <c r="F24" s="4">
        <f>COUNTIFS(Test_Cases!$B$5:$B$203,"v020",Test_Cases!$E$5:$E$203,"Positive")</f>
        <v/>
      </c>
      <c r="G24" s="4">
        <f>COUNTIFS(Test_Cases!$B$5:$B$203,"v020",Test_Cases!$E$5:$E$203,"Negative")</f>
        <v/>
      </c>
      <c r="H24" s="4" t="inlineStr">
        <is>
          <t>Unit suite at 100%</t>
        </is>
      </c>
      <c r="I24" s="14" t="inlineStr">
        <is>
          <t>Released — verified in sandbox</t>
        </is>
      </c>
    </row>
    <row r="25">
      <c r="A25" s="10" t="inlineStr">
        <is>
          <t>v021</t>
        </is>
      </c>
      <c r="B25" s="4" t="inlineStr">
        <is>
          <t>AUDIT</t>
        </is>
      </c>
      <c r="C25" s="4" t="inlineStr">
        <is>
          <t>Notification delivery and latency instrumentation</t>
        </is>
      </c>
      <c r="D25" s="4" t="inlineStr">
        <is>
          <t>F-034/F-035</t>
        </is>
      </c>
      <c r="E25" s="4">
        <f>COUNTIF(Test_Cases!$B$5:$B$203,"v021")</f>
        <v/>
      </c>
      <c r="F25" s="4">
        <f>COUNTIFS(Test_Cases!$B$5:$B$203,"v021",Test_Cases!$E$5:$E$203,"Positive")</f>
        <v/>
      </c>
      <c r="G25" s="4">
        <f>COUNTIFS(Test_Cases!$B$5:$B$203,"v021",Test_Cases!$E$5:$E$203,"Negative")</f>
        <v/>
      </c>
      <c r="H25" s="4" t="inlineStr">
        <is>
          <t>Unit suite at 100%</t>
        </is>
      </c>
      <c r="I25" s="14" t="inlineStr">
        <is>
          <t>Released — verified in sandbox</t>
        </is>
      </c>
    </row>
    <row r="26">
      <c r="A26" s="10" t="inlineStr">
        <is>
          <t>v022</t>
        </is>
      </c>
      <c r="B26" s="4" t="inlineStr">
        <is>
          <t>AUDIT</t>
        </is>
      </c>
      <c r="C26" s="4" t="inlineStr">
        <is>
          <t>Telemetry and audit wiring</t>
        </is>
      </c>
      <c r="D26" s="4" t="inlineStr">
        <is>
          <t>F-036/F-037</t>
        </is>
      </c>
      <c r="E26" s="4">
        <f>COUNTIF(Test_Cases!$B$5:$B$203,"v022")</f>
        <v/>
      </c>
      <c r="F26" s="4">
        <f>COUNTIFS(Test_Cases!$B$5:$B$203,"v022",Test_Cases!$E$5:$E$203,"Positive")</f>
        <v/>
      </c>
      <c r="G26" s="4">
        <f>COUNTIFS(Test_Cases!$B$5:$B$203,"v022",Test_Cases!$E$5:$E$203,"Negative")</f>
        <v/>
      </c>
      <c r="H26" s="4" t="inlineStr">
        <is>
          <t>Unit suite at 100%</t>
        </is>
      </c>
      <c r="I26" s="14" t="inlineStr">
        <is>
          <t>Released — verified in sandbox</t>
        </is>
      </c>
    </row>
    <row r="27">
      <c r="A27" s="10" t="inlineStr">
        <is>
          <t>v023</t>
        </is>
      </c>
      <c r="B27" s="4" t="inlineStr">
        <is>
          <t>AUDIT</t>
        </is>
      </c>
      <c r="C27" s="4" t="inlineStr">
        <is>
          <t>Systematic wiring audit of all 112 exports</t>
        </is>
      </c>
      <c r="D27" s="4" t="inlineStr">
        <is>
          <t>F-038..F-040</t>
        </is>
      </c>
      <c r="E27" s="4">
        <f>COUNTIF(Test_Cases!$B$5:$B$203,"v023")</f>
        <v/>
      </c>
      <c r="F27" s="4">
        <f>COUNTIFS(Test_Cases!$B$5:$B$203,"v023",Test_Cases!$E$5:$E$203,"Positive")</f>
        <v/>
      </c>
      <c r="G27" s="4">
        <f>COUNTIFS(Test_Cases!$B$5:$B$203,"v023",Test_Cases!$E$5:$E$203,"Negative")</f>
        <v/>
      </c>
      <c r="H27" s="4" t="inlineStr">
        <is>
          <t>Unit suite at 100%</t>
        </is>
      </c>
      <c r="I27" s="14" t="inlineStr">
        <is>
          <t>Released — verified in sandbox</t>
        </is>
      </c>
    </row>
    <row r="28">
      <c r="A28" s="10" t="inlineStr">
        <is>
          <t>v024</t>
        </is>
      </c>
      <c r="B28" s="4" t="inlineStr">
        <is>
          <t>BUILD</t>
        </is>
      </c>
      <c r="C28" s="4" t="inlineStr">
        <is>
          <t>Encryption at rest resolved both ways, trust page rewritten</t>
        </is>
      </c>
      <c r="D28" s="4" t="inlineStr">
        <is>
          <t>F-040, OBS-SD8</t>
        </is>
      </c>
      <c r="E28" s="4">
        <f>COUNTIF(Test_Cases!$B$5:$B$203,"v024")</f>
        <v/>
      </c>
      <c r="F28" s="4">
        <f>COUNTIFS(Test_Cases!$B$5:$B$203,"v024",Test_Cases!$E$5:$E$203,"Positive")</f>
        <v/>
      </c>
      <c r="G28" s="4">
        <f>COUNTIFS(Test_Cases!$B$5:$B$203,"v024",Test_Cases!$E$5:$E$203,"Negative")</f>
        <v/>
      </c>
      <c r="H28" s="4" t="inlineStr">
        <is>
          <t>Unit suite at 100%</t>
        </is>
      </c>
      <c r="I28" s="14" t="inlineStr">
        <is>
          <t>Released — verified in sandbox</t>
        </is>
      </c>
    </row>
    <row r="29">
      <c r="A29" s="10" t="inlineStr">
        <is>
          <t>v025</t>
        </is>
      </c>
      <c r="B29" s="4" t="inlineStr">
        <is>
          <t>REVIEW</t>
        </is>
      </c>
      <c r="C29" s="4" t="inlineStr">
        <is>
          <t>Cold-review pass 5 over the sessions 18-25 modules</t>
        </is>
      </c>
      <c r="D29" s="4" t="inlineStr">
        <is>
          <t>F-041..F-045</t>
        </is>
      </c>
      <c r="E29" s="4">
        <f>COUNTIF(Test_Cases!$B$5:$B$203,"v025")</f>
        <v/>
      </c>
      <c r="F29" s="4">
        <f>COUNTIFS(Test_Cases!$B$5:$B$203,"v025",Test_Cases!$E$5:$E$203,"Positive")</f>
        <v/>
      </c>
      <c r="G29" s="4">
        <f>COUNTIFS(Test_Cases!$B$5:$B$203,"v025",Test_Cases!$E$5:$E$203,"Negative")</f>
        <v/>
      </c>
      <c r="H29" s="4" t="inlineStr">
        <is>
          <t>Unit suite at 100%</t>
        </is>
      </c>
      <c r="I29" s="14" t="inlineStr">
        <is>
          <t>Released — verified in sandbox</t>
        </is>
      </c>
    </row>
    <row r="30">
      <c r="A30" s="10" t="inlineStr">
        <is>
          <t>v026</t>
        </is>
      </c>
      <c r="B30" s="4" t="inlineStr">
        <is>
          <t>AUDIT</t>
        </is>
      </c>
      <c r="C30" s="4" t="inlineStr">
        <is>
          <t>Multi-instance audit</t>
        </is>
      </c>
      <c r="D30" s="4" t="inlineStr">
        <is>
          <t>F-046</t>
        </is>
      </c>
      <c r="E30" s="4">
        <f>COUNTIF(Test_Cases!$B$5:$B$203,"v026")</f>
        <v/>
      </c>
      <c r="F30" s="4">
        <f>COUNTIFS(Test_Cases!$B$5:$B$203,"v026",Test_Cases!$E$5:$E$203,"Positive")</f>
        <v/>
      </c>
      <c r="G30" s="4">
        <f>COUNTIFS(Test_Cases!$B$5:$B$203,"v026",Test_Cases!$E$5:$E$203,"Negative")</f>
        <v/>
      </c>
      <c r="H30" s="4" t="inlineStr">
        <is>
          <t>Unit suite at 100%</t>
        </is>
      </c>
      <c r="I30" s="14" t="inlineStr">
        <is>
          <t>Released — verified in sandbox</t>
        </is>
      </c>
    </row>
    <row r="31">
      <c r="A31" s="10" t="inlineStr">
        <is>
          <t>v027</t>
        </is>
      </c>
      <c r="B31" s="4" t="inlineStr">
        <is>
          <t>AUDIT</t>
        </is>
      </c>
      <c r="C31" s="4" t="inlineStr">
        <is>
          <t>Dependency-failure audit</t>
        </is>
      </c>
      <c r="D31" s="4" t="inlineStr">
        <is>
          <t>F-047/F-048</t>
        </is>
      </c>
      <c r="E31" s="4">
        <f>COUNTIF(Test_Cases!$B$5:$B$203,"v027")</f>
        <v/>
      </c>
      <c r="F31" s="4">
        <f>COUNTIFS(Test_Cases!$B$5:$B$203,"v027",Test_Cases!$E$5:$E$203,"Positive")</f>
        <v/>
      </c>
      <c r="G31" s="4">
        <f>COUNTIFS(Test_Cases!$B$5:$B$203,"v027",Test_Cases!$E$5:$E$203,"Negative")</f>
        <v/>
      </c>
      <c r="H31" s="4" t="inlineStr">
        <is>
          <t>Unit suite at 100%</t>
        </is>
      </c>
      <c r="I31" s="14" t="inlineStr">
        <is>
          <t>Released — verified in sandbox</t>
        </is>
      </c>
    </row>
    <row r="32">
      <c r="A32" s="10" t="inlineStr">
        <is>
          <t>v028</t>
        </is>
      </c>
      <c r="B32" s="4" t="inlineStr">
        <is>
          <t>REVIEW</t>
        </is>
      </c>
      <c r="C32" s="4" t="inlineStr">
        <is>
          <t>Cold-review pass 6 over sessions 26-28</t>
        </is>
      </c>
      <c r="D32" s="4" t="inlineStr">
        <is>
          <t>F-049..F-051</t>
        </is>
      </c>
      <c r="E32" s="4">
        <f>COUNTIF(Test_Cases!$B$5:$B$203,"v028")</f>
        <v/>
      </c>
      <c r="F32" s="4">
        <f>COUNTIFS(Test_Cases!$B$5:$B$203,"v028",Test_Cases!$E$5:$E$203,"Positive")</f>
        <v/>
      </c>
      <c r="G32" s="4">
        <f>COUNTIFS(Test_Cases!$B$5:$B$203,"v028",Test_Cases!$E$5:$E$203,"Negative")</f>
        <v/>
      </c>
      <c r="H32" s="4" t="inlineStr">
        <is>
          <t>Unit suite at 100%</t>
        </is>
      </c>
      <c r="I32" s="14" t="inlineStr">
        <is>
          <t>Released — verified in sandbox</t>
        </is>
      </c>
    </row>
    <row r="33">
      <c r="A33" s="10" t="inlineStr">
        <is>
          <t>v029</t>
        </is>
      </c>
      <c r="B33" s="4" t="inlineStr">
        <is>
          <t>BUILD</t>
        </is>
      </c>
      <c r="C33" s="4" t="inlineStr">
        <is>
          <t>Live-day preparation: the automated half of the sweep made executable</t>
        </is>
      </c>
      <c r="D33" s="4" t="inlineStr">
        <is>
          <t>ST-096</t>
        </is>
      </c>
      <c r="E33" s="4">
        <f>COUNTIF(Test_Cases!$B$5:$B$203,"v029")</f>
        <v/>
      </c>
      <c r="F33" s="4">
        <f>COUNTIFS(Test_Cases!$B$5:$B$203,"v029",Test_Cases!$E$5:$E$203,"Positive")</f>
        <v/>
      </c>
      <c r="G33" s="4">
        <f>COUNTIFS(Test_Cases!$B$5:$B$203,"v029",Test_Cases!$E$5:$E$203,"Negative")</f>
        <v/>
      </c>
      <c r="H33" s="4" t="inlineStr">
        <is>
          <t>Unit suite at 100%</t>
        </is>
      </c>
      <c r="I33" s="14" t="inlineStr">
        <is>
          <t>Released — verified in sandbox</t>
        </is>
      </c>
    </row>
    <row r="34">
      <c r="A34" s="10" t="inlineStr">
        <is>
          <t>v030</t>
        </is>
      </c>
      <c r="B34" s="4" t="inlineStr">
        <is>
          <t>BUILD</t>
        </is>
      </c>
      <c r="C34" s="4" t="inlineStr">
        <is>
          <t>Six more sweep steps automated behind capability gates</t>
        </is>
      </c>
      <c r="D34" s="4" t="inlineStr">
        <is>
          <t>F-052</t>
        </is>
      </c>
      <c r="E34" s="4">
        <f>COUNTIF(Test_Cases!$B$5:$B$203,"v030")</f>
        <v/>
      </c>
      <c r="F34" s="4">
        <f>COUNTIFS(Test_Cases!$B$5:$B$203,"v030",Test_Cases!$E$5:$E$203,"Positive")</f>
        <v/>
      </c>
      <c r="G34" s="4">
        <f>COUNTIFS(Test_Cases!$B$5:$B$203,"v030",Test_Cases!$E$5:$E$203,"Negative")</f>
        <v/>
      </c>
      <c r="H34" s="4" t="inlineStr">
        <is>
          <t>Unit suite at 100%</t>
        </is>
      </c>
      <c r="I34" s="14" t="inlineStr">
        <is>
          <t>Released — verified in sandbox</t>
        </is>
      </c>
    </row>
    <row r="35">
      <c r="A35" s="10" t="inlineStr">
        <is>
          <t>v031</t>
        </is>
      </c>
      <c r="B35" s="4" t="inlineStr">
        <is>
          <t>BUILD</t>
        </is>
      </c>
      <c r="C35" s="4" t="inlineStr">
        <is>
          <t>Packaging automated with manifest validation</t>
        </is>
      </c>
      <c r="D35" s="4" t="inlineStr">
        <is>
          <t>GAP-SD3</t>
        </is>
      </c>
      <c r="E35" s="4">
        <f>COUNTIF(Test_Cases!$B$5:$B$203,"v031")</f>
        <v/>
      </c>
      <c r="F35" s="4">
        <f>COUNTIFS(Test_Cases!$B$5:$B$203,"v031",Test_Cases!$E$5:$E$203,"Positive")</f>
        <v/>
      </c>
      <c r="G35" s="4">
        <f>COUNTIFS(Test_Cases!$B$5:$B$203,"v031",Test_Cases!$E$5:$E$203,"Negative")</f>
        <v/>
      </c>
      <c r="H35" s="4" t="inlineStr">
        <is>
          <t>Unit suite at 100%</t>
        </is>
      </c>
      <c r="I35" s="14" t="inlineStr">
        <is>
          <t>Released — verified in sandbox</t>
        </is>
      </c>
    </row>
    <row r="36">
      <c r="A36" s="10" t="inlineStr">
        <is>
          <t>v032</t>
        </is>
      </c>
      <c r="B36" s="4" t="inlineStr">
        <is>
          <t>AUDIT</t>
        </is>
      </c>
      <c r="C36" s="4" t="inlineStr">
        <is>
          <t>Deliverability audit from a clean install</t>
        </is>
      </c>
      <c r="D36" s="4" t="inlineStr">
        <is>
          <t>F-053/054/056</t>
        </is>
      </c>
      <c r="E36" s="4">
        <f>COUNTIF(Test_Cases!$B$5:$B$203,"v032")</f>
        <v/>
      </c>
      <c r="F36" s="4">
        <f>COUNTIFS(Test_Cases!$B$5:$B$203,"v032",Test_Cases!$E$5:$E$203,"Positive")</f>
        <v/>
      </c>
      <c r="G36" s="4">
        <f>COUNTIFS(Test_Cases!$B$5:$B$203,"v032",Test_Cases!$E$5:$E$203,"Negative")</f>
        <v/>
      </c>
      <c r="H36" s="4" t="inlineStr">
        <is>
          <t>Unit suite at 100%</t>
        </is>
      </c>
      <c r="I36" s="14" t="inlineStr">
        <is>
          <t>Released — verified in sandbox</t>
        </is>
      </c>
    </row>
    <row r="37">
      <c r="A37" s="10" t="inlineStr">
        <is>
          <t>v033</t>
        </is>
      </c>
      <c r="B37" s="4" t="inlineStr">
        <is>
          <t>AUDIT</t>
        </is>
      </c>
      <c r="C37" s="4" t="inlineStr">
        <is>
          <t>Clean-checkout rehearsal of the full delivery</t>
        </is>
      </c>
      <c r="D37" s="4" t="inlineStr">
        <is>
          <t>F-057</t>
        </is>
      </c>
      <c r="E37" s="4">
        <f>COUNTIF(Test_Cases!$B$5:$B$203,"v033")</f>
        <v/>
      </c>
      <c r="F37" s="4">
        <f>COUNTIFS(Test_Cases!$B$5:$B$203,"v033",Test_Cases!$E$5:$E$203,"Positive")</f>
        <v/>
      </c>
      <c r="G37" s="4">
        <f>COUNTIFS(Test_Cases!$B$5:$B$203,"v033",Test_Cases!$E$5:$E$203,"Negative")</f>
        <v/>
      </c>
      <c r="H37" s="4" t="inlineStr">
        <is>
          <t>Unit suite at 100%</t>
        </is>
      </c>
      <c r="I37" s="14" t="inlineStr">
        <is>
          <t>Released — verified in sandbox</t>
        </is>
      </c>
    </row>
    <row r="38">
      <c r="A38" s="10" t="inlineStr">
        <is>
          <t>v034</t>
        </is>
      </c>
      <c r="B38" s="4" t="inlineStr">
        <is>
          <t>AUDIT</t>
        </is>
      </c>
      <c r="C38" s="4" t="inlineStr">
        <is>
          <t>The tab URLs actually served</t>
        </is>
      </c>
      <c r="D38" s="4" t="inlineStr">
        <is>
          <t>F-058</t>
        </is>
      </c>
      <c r="E38" s="4">
        <f>COUNTIF(Test_Cases!$B$5:$B$203,"v034")</f>
        <v/>
      </c>
      <c r="F38" s="4">
        <f>COUNTIFS(Test_Cases!$B$5:$B$203,"v034",Test_Cases!$E$5:$E$203,"Positive")</f>
        <v/>
      </c>
      <c r="G38" s="4">
        <f>COUNTIFS(Test_Cases!$B$5:$B$203,"v034",Test_Cases!$E$5:$E$203,"Negative")</f>
        <v/>
      </c>
      <c r="H38" s="4" t="inlineStr">
        <is>
          <t>Unit suite at 100%</t>
        </is>
      </c>
      <c r="I38" s="14" t="inlineStr">
        <is>
          <t>Released — verified in sandbox</t>
        </is>
      </c>
    </row>
    <row r="39">
      <c r="A39" s="10" t="inlineStr">
        <is>
          <t>v035</t>
        </is>
      </c>
      <c r="B39" s="4" t="inlineStr">
        <is>
          <t>AUDIT</t>
        </is>
      </c>
      <c r="C39" s="4" t="inlineStr">
        <is>
          <t>The bot endpoint actually wired</t>
        </is>
      </c>
      <c r="D39" s="4" t="inlineStr">
        <is>
          <t>F-059</t>
        </is>
      </c>
      <c r="E39" s="4">
        <f>COUNTIF(Test_Cases!$B$5:$B$203,"v035")</f>
        <v/>
      </c>
      <c r="F39" s="4">
        <f>COUNTIFS(Test_Cases!$B$5:$B$203,"v035",Test_Cases!$E$5:$E$203,"Positive")</f>
        <v/>
      </c>
      <c r="G39" s="4">
        <f>COUNTIFS(Test_Cases!$B$5:$B$203,"v035",Test_Cases!$E$5:$E$203,"Negative")</f>
        <v/>
      </c>
      <c r="H39" s="4" t="inlineStr">
        <is>
          <t>Unit suite at 100%</t>
        </is>
      </c>
      <c r="I39" s="14" t="inlineStr">
        <is>
          <t>Released — verified in sandbox</t>
        </is>
      </c>
    </row>
    <row r="40">
      <c r="A40" s="10" t="inlineStr">
        <is>
          <t>v036</t>
        </is>
      </c>
      <c r="B40" s="4" t="inlineStr">
        <is>
          <t>AUDIT</t>
        </is>
      </c>
      <c r="C40" s="4" t="inlineStr">
        <is>
          <t>Lifecycle hooks and the retention scheduler wired</t>
        </is>
      </c>
      <c r="D40" s="4" t="inlineStr">
        <is>
          <t>F-060/F-061</t>
        </is>
      </c>
      <c r="E40" s="4">
        <f>COUNTIF(Test_Cases!$B$5:$B$203,"v036")</f>
        <v/>
      </c>
      <c r="F40" s="4">
        <f>COUNTIFS(Test_Cases!$B$5:$B$203,"v036",Test_Cases!$E$5:$E$203,"Positive")</f>
        <v/>
      </c>
      <c r="G40" s="4">
        <f>COUNTIFS(Test_Cases!$B$5:$B$203,"v036",Test_Cases!$E$5:$E$203,"Negative")</f>
        <v/>
      </c>
      <c r="H40" s="4" t="inlineStr">
        <is>
          <t>Unit suite at 100%</t>
        </is>
      </c>
      <c r="I40" s="14" t="inlineStr">
        <is>
          <t>Released — verified in sandbox</t>
        </is>
      </c>
    </row>
    <row r="41">
      <c r="A41" s="10" t="inlineStr">
        <is>
          <t>v037</t>
        </is>
      </c>
      <c r="B41" s="4" t="inlineStr">
        <is>
          <t>AUDIT</t>
        </is>
      </c>
      <c r="C41" s="4" t="inlineStr">
        <is>
          <t>Runtime wiring audit of the shipped entry point</t>
        </is>
      </c>
      <c r="D41" s="4" t="inlineStr">
        <is>
          <t>F-062..F-064</t>
        </is>
      </c>
      <c r="E41" s="4">
        <f>COUNTIF(Test_Cases!$B$5:$B$203,"v037")</f>
        <v/>
      </c>
      <c r="F41" s="4">
        <f>COUNTIFS(Test_Cases!$B$5:$B$203,"v037",Test_Cases!$E$5:$E$203,"Positive")</f>
        <v/>
      </c>
      <c r="G41" s="4">
        <f>COUNTIFS(Test_Cases!$B$5:$B$203,"v037",Test_Cases!$E$5:$E$203,"Negative")</f>
        <v/>
      </c>
      <c r="H41" s="4" t="inlineStr">
        <is>
          <t>Unit suite at 100%</t>
        </is>
      </c>
      <c r="I41" s="14" t="inlineStr">
        <is>
          <t>Released — verified in sandbox</t>
        </is>
      </c>
    </row>
    <row r="42">
      <c r="A42" s="10" t="inlineStr">
        <is>
          <t>v038</t>
        </is>
      </c>
      <c r="B42" s="4" t="inlineStr">
        <is>
          <t>AUDIT</t>
        </is>
      </c>
      <c r="C42" s="4" t="inlineStr">
        <is>
          <t>Identity, directory and seeding corrections</t>
        </is>
      </c>
      <c r="D42" s="4" t="inlineStr">
        <is>
          <t>F-065..F-067</t>
        </is>
      </c>
      <c r="E42" s="4">
        <f>COUNTIF(Test_Cases!$B$5:$B$203,"v038")</f>
        <v/>
      </c>
      <c r="F42" s="4">
        <f>COUNTIFS(Test_Cases!$B$5:$B$203,"v038",Test_Cases!$E$5:$E$203,"Positive")</f>
        <v/>
      </c>
      <c r="G42" s="4">
        <f>COUNTIFS(Test_Cases!$B$5:$B$203,"v038",Test_Cases!$E$5:$E$203,"Negative")</f>
        <v/>
      </c>
      <c r="H42" s="4" t="inlineStr">
        <is>
          <t>Unit suite at 100%</t>
        </is>
      </c>
      <c r="I42" s="14" t="inlineStr">
        <is>
          <t>Released — verified in sandbox</t>
        </is>
      </c>
    </row>
    <row r="43">
      <c r="A43" s="10" t="inlineStr">
        <is>
          <t>v039</t>
        </is>
      </c>
      <c r="B43" s="4" t="inlineStr">
        <is>
          <t>AUDIT</t>
        </is>
      </c>
      <c r="C43" s="4" t="inlineStr">
        <is>
          <t>Verification that the previous session's fixes reached the runtime</t>
        </is>
      </c>
      <c r="D43" s="4" t="inlineStr">
        <is>
          <t>F-068..F-070, OBS-SD11</t>
        </is>
      </c>
      <c r="E43" s="4">
        <f>COUNTIF(Test_Cases!$B$5:$B$203,"v039")</f>
        <v/>
      </c>
      <c r="F43" s="4">
        <f>COUNTIFS(Test_Cases!$B$5:$B$203,"v039",Test_Cases!$E$5:$E$203,"Positive")</f>
        <v/>
      </c>
      <c r="G43" s="4">
        <f>COUNTIFS(Test_Cases!$B$5:$B$203,"v039",Test_Cases!$E$5:$E$203,"Negative")</f>
        <v/>
      </c>
      <c r="H43" s="4" t="inlineStr">
        <is>
          <t>Unit suite at 100%</t>
        </is>
      </c>
      <c r="I43" s="14" t="inlineStr">
        <is>
          <t>Released — verified in sandbox</t>
        </is>
      </c>
    </row>
    <row r="44">
      <c r="A44" s="10" t="inlineStr">
        <is>
          <t>v040</t>
        </is>
      </c>
      <c r="B44" s="4" t="inlineStr">
        <is>
          <t>REVIEW</t>
        </is>
      </c>
      <c r="C44" s="4" t="inlineStr">
        <is>
          <t>Independent review V001 actioned in full: 47-story S13-S20 remediation programme</t>
        </is>
      </c>
      <c r="D44" s="4" t="inlineStr">
        <is>
          <t>SD201-SD247, P-001..P-020, F-071..F-074</t>
        </is>
      </c>
      <c r="E44" s="4">
        <f>COUNTIF(Test_Cases!$B$5:$B$203,"v040")</f>
        <v/>
      </c>
      <c r="F44" s="4">
        <f>COUNTIFS(Test_Cases!$B$5:$B$203,"v040",Test_Cases!$E$5:$E$203,"Positive")</f>
        <v/>
      </c>
      <c r="G44" s="4">
        <f>COUNTIFS(Test_Cases!$B$5:$B$203,"v040",Test_Cases!$E$5:$E$203,"Negative")</f>
        <v/>
      </c>
      <c r="H44" s="4" t="inlineStr">
        <is>
          <t>Unit suite at 100% + real-Postgres tier</t>
        </is>
      </c>
      <c r="I44" s="14" t="inlineStr">
        <is>
          <t>Released — verified in sandbox + real Postgres</t>
        </is>
      </c>
    </row>
    <row r="45">
      <c r="A45" s="10" t="inlineStr">
        <is>
          <t>v041</t>
        </is>
      </c>
      <c r="B45" s="4" t="inlineStr">
        <is>
          <t>PENDING</t>
        </is>
      </c>
      <c r="C45" s="4" t="inlineStr">
        <is>
          <t>Next release — opens on the v040 cold review or the first dev-tenant sweep</t>
        </is>
      </c>
      <c r="D45" s="4" t="inlineStr">
        <is>
          <t>SD219/220/226/228/240</t>
        </is>
      </c>
      <c r="E45" s="4">
        <f>COUNTIF(Test_Cases!$B$5:$B$203,"v041")</f>
        <v/>
      </c>
      <c r="F45" s="4">
        <f>COUNTIFS(Test_Cases!$B$5:$B$203,"v041",Test_Cases!$E$5:$E$203,"Positive")</f>
        <v/>
      </c>
      <c r="G45" s="4">
        <f>COUNTIFS(Test_Cases!$B$5:$B$203,"v041",Test_Cases!$E$5:$E$203,"Negative")</f>
        <v/>
      </c>
      <c r="H45" s="4" t="inlineStr">
        <is>
          <t>—</t>
        </is>
      </c>
      <c r="I45" s="17" t="inlineStr">
        <is>
          <t>Pending — see Pending_Versions</t>
        </is>
      </c>
    </row>
    <row r="46">
      <c r="A46" s="19" t="inlineStr">
        <is>
          <t>TOTAL</t>
        </is>
      </c>
      <c r="E46">
        <f>SUM(E5:E45)</f>
        <v/>
      </c>
      <c r="F46">
        <f>SUM(F5:F45)</f>
        <v/>
      </c>
      <c r="G46">
        <f>SUM(G5:G45)</f>
        <v/>
      </c>
    </row>
    <row r="48">
      <c r="A48" s="8" t="inlineStr">
        <is>
          <t>EVERY RELEASE HAS AT LEAST ONE CASE, AND EVERY CRITICAL FINDING HAS A NEGATIVE ONE. That is the rule this sheet enforces by eye: a release with cases only in the Positive column has not been tested, it has been demonstrated.</t>
        </is>
      </c>
    </row>
  </sheetData>
  <pageMargins left="0.75" right="0.75" top="1" bottom="1" header="0.5" footer="0.5"/>
</worksheet>
</file>

<file path=xl/worksheets/sheet11.xml><?xml version="1.0" encoding="utf-8"?>
<worksheet xmlns="http://schemas.openxmlformats.org/spreadsheetml/2006/main">
  <sheetPr>
    <tabColor rgb="FFC00000"/>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 customWidth="1" min="3" max="3"/>
    <col width="24" customWidth="1" min="4" max="4"/>
    <col width="80" customWidth="1" min="5" max="5"/>
    <col width="66" customWidth="1" min="6" max="6"/>
    <col width="66" customWidth="1" min="7" max="7"/>
    <col width="22" customWidth="1" min="8" max="8"/>
  </cols>
  <sheetData>
    <row r="1">
      <c r="A1" s="7" t="inlineStr">
        <is>
          <t>DEFECT LOG — every defect of consequence, where it came from and how it closed</t>
        </is>
      </c>
      <c r="B1" s="2" t="n"/>
      <c r="C1" s="2" t="n"/>
      <c r="D1" s="2" t="n"/>
      <c r="E1" s="2" t="n"/>
      <c r="F1" s="2" t="n"/>
      <c r="G1" s="2" t="n"/>
      <c r="H1" s="2" t="n"/>
    </row>
    <row r="2" ht="58" customHeight="1">
      <c r="A2" s="8" t="inlineStr">
        <is>
          <t>HOW TO USE THIS SHEET — Read the Origin column first. The pattern matters more than any single row: in this product the defect was almost never a wrong algorithm, it was a correct module that nothing called, and it was found by an audit of work already called done. Severity is as assessed at the time.</t>
        </is>
      </c>
    </row>
    <row r="4">
      <c r="A4" s="3" t="inlineStr">
        <is>
          <t>Defect id</t>
        </is>
      </c>
      <c r="B4" s="3" t="inlineStr">
        <is>
          <t>Release found</t>
        </is>
      </c>
      <c r="C4" s="3" t="inlineStr">
        <is>
          <t>Severity</t>
        </is>
      </c>
      <c r="D4" s="3" t="inlineStr">
        <is>
          <t>Origin</t>
        </is>
      </c>
      <c r="E4" s="3" t="inlineStr">
        <is>
          <t>What was wrong</t>
        </is>
      </c>
      <c r="F4" s="3" t="inlineStr">
        <is>
          <t>Why the tests did not catch it</t>
        </is>
      </c>
      <c r="G4" s="3" t="inlineStr">
        <is>
          <t>How it was closed</t>
        </is>
      </c>
      <c r="H4" s="3" t="inlineStr">
        <is>
          <t>Status</t>
        </is>
      </c>
    </row>
    <row r="5">
      <c r="A5" s="10" t="inlineStr">
        <is>
          <t>F-002</t>
        </is>
      </c>
      <c r="B5" s="4" t="inlineStr">
        <is>
          <t>v004</t>
        </is>
      </c>
      <c r="C5" s="17" t="inlineStr">
        <is>
          <t>High</t>
        </is>
      </c>
      <c r="D5" s="4" t="inlineStr">
        <is>
          <t>Cold review pass 1</t>
        </is>
      </c>
      <c r="E5" s="4" t="inlineStr">
        <is>
          <t>A duplicate Teams install webhook overwrote the existing tenant — full data loss on a repeated platform event.</t>
        </is>
      </c>
      <c r="F5" s="4" t="inlineStr">
        <is>
          <t>Nobody had written a test for the second install. Coverage was 100% of the paths that existed, and that path existed only in production.</t>
        </is>
      </c>
      <c r="G5" s="4" t="inlineStr">
        <is>
          <t>install() made idempotent; the duplicate is returned untouched and counted.</t>
        </is>
      </c>
      <c r="H5" s="14" t="inlineStr">
        <is>
          <t>Closed</t>
        </is>
      </c>
    </row>
    <row r="6">
      <c r="A6" s="10" t="inlineStr">
        <is>
          <t>F-007</t>
        </is>
      </c>
      <c r="B6" s="4" t="inlineStr">
        <is>
          <t>v004</t>
        </is>
      </c>
      <c r="C6" s="15" t="inlineStr">
        <is>
          <t>Medium</t>
        </is>
      </c>
      <c r="D6" s="4" t="inlineStr">
        <is>
          <t>Cold review pass 1</t>
        </is>
      </c>
      <c r="E6" s="4" t="inlineStr">
        <is>
          <t>The circuit breaker had no half-open probe: once open it stayed open until an operator called reset().</t>
        </is>
      </c>
      <c r="F6" s="4" t="inlineStr">
        <is>
          <t>It was a design gap, not a code error. Tests asserted the documented behaviour, which was itself wrong.</t>
        </is>
      </c>
      <c r="G6" s="4" t="inlineStr">
        <is>
          <t>Held open deliberately for weeks under its own id, then closed in v040 as story SD207 with a cooldown probe and an ops alert.</t>
        </is>
      </c>
      <c r="H6" s="14" t="inlineStr">
        <is>
          <t>Closed in v040</t>
        </is>
      </c>
    </row>
    <row r="7">
      <c r="A7" s="10" t="inlineStr">
        <is>
          <t>F-008</t>
        </is>
      </c>
      <c r="B7" s="4" t="inlineStr">
        <is>
          <t>v004</t>
        </is>
      </c>
      <c r="C7" s="16" t="inlineStr">
        <is>
          <t>Low</t>
        </is>
      </c>
      <c r="D7" s="4" t="inlineStr">
        <is>
          <t>Cold review pass 1</t>
        </is>
      </c>
      <c r="E7" s="4" t="inlineStr">
        <is>
          <t>The audit log grew without bound in memory, and capping it would truncate a compliance trail.</t>
        </is>
      </c>
      <c r="F7" s="4" t="inlineStr">
        <is>
          <t>Correct behaviour was genuinely unclear, so it was recorded rather than guessed.</t>
        </is>
      </c>
      <c r="G7" s="4" t="inlineStr">
        <is>
          <t>Closed in v040 as SD218: durable, cursor-paged, swept by the published retention policy.</t>
        </is>
      </c>
      <c r="H7" s="14" t="inlineStr">
        <is>
          <t>Closed in v040</t>
        </is>
      </c>
    </row>
    <row r="8">
      <c r="A8" s="10" t="inlineStr">
        <is>
          <t>F-016</t>
        </is>
      </c>
      <c r="B8" s="4" t="inlineStr">
        <is>
          <t>v008</t>
        </is>
      </c>
      <c r="C8" s="20" t="inlineStr">
        <is>
          <t>Critical</t>
        </is>
      </c>
      <c r="D8" s="4" t="inlineStr">
        <is>
          <t>Cold review pass 3</t>
        </is>
      </c>
      <c r="E8" s="4" t="inlineStr">
        <is>
          <t>The tab API validated the SSO token and then never sent it.</t>
        </is>
      </c>
      <c r="F8" s="4" t="inlineStr">
        <is>
          <t>Both halves were tested in isolation. Nothing asserted the outbound request headers — the habit that became a standing rule.</t>
        </is>
      </c>
      <c r="G8" s="4" t="inlineStr">
        <is>
          <t>The validated token is attached to the outbound call; outbound shape asserted.</t>
        </is>
      </c>
      <c r="H8" s="14" t="inlineStr">
        <is>
          <t>Closed</t>
        </is>
      </c>
    </row>
    <row r="9">
      <c r="A9" s="10" t="inlineStr">
        <is>
          <t>F-025</t>
        </is>
      </c>
      <c r="B9" s="4" t="inlineStr">
        <is>
          <t>v016</t>
        </is>
      </c>
      <c r="C9" s="17" t="inlineStr">
        <is>
          <t>High</t>
        </is>
      </c>
      <c r="D9" s="4" t="inlineStr">
        <is>
          <t>Writing persistence tests</t>
        </is>
      </c>
      <c r="E9" s="4" t="inlineStr">
        <is>
          <t>InMemoryRepository stored live references where Postgres stores values, so the dev and production paths diverged.</t>
        </is>
      </c>
      <c r="F9" s="4" t="inlineStr">
        <is>
          <t>One contract suite ran against both, but no case mutated the caller's object after writing.</t>
        </is>
      </c>
      <c r="G9" s="4" t="inlineStr">
        <is>
          <t>Values are copied on write in both implementations; the contract now covers it.</t>
        </is>
      </c>
      <c r="H9" s="14" t="inlineStr">
        <is>
          <t>Closed</t>
        </is>
      </c>
    </row>
    <row r="10">
      <c r="A10" s="10" t="inlineStr">
        <is>
          <t>F-026</t>
        </is>
      </c>
      <c r="B10" s="4" t="inlineStr">
        <is>
          <t>v017</t>
        </is>
      </c>
      <c r="C10" s="20" t="inlineStr">
        <is>
          <t>Critical</t>
        </is>
      </c>
      <c r="D10" s="4" t="inlineStr">
        <is>
          <t>Multi-tenancy audit</t>
        </is>
      </c>
      <c r="E10" s="4" t="inlineStr">
        <is>
          <t>Cross-tenant data exposure: one tenant could read another's records.</t>
        </is>
      </c>
      <c r="F10" s="4" t="inlineStr">
        <is>
          <t>Every test used a single tenant. A suite at 100% coverage can sit on top of a product that shares all customer data.</t>
        </is>
      </c>
      <c r="G10" s="4" t="inlineStr">
        <is>
          <t>Tenant taken from the validated identity only, per-tenant registry, two-tenant isolation tests as a standing requirement.</t>
        </is>
      </c>
      <c r="H10" s="14" t="inlineStr">
        <is>
          <t>Closed</t>
        </is>
      </c>
    </row>
    <row r="11">
      <c r="A11" s="10" t="inlineStr">
        <is>
          <t>F-029</t>
        </is>
      </c>
      <c r="B11" s="4" t="inlineStr">
        <is>
          <t>v018</t>
        </is>
      </c>
      <c r="C11" s="20" t="inlineStr">
        <is>
          <t>Critical</t>
        </is>
      </c>
      <c r="D11" s="4" t="inlineStr">
        <is>
          <t>Data-deletion audit</t>
        </is>
      </c>
      <c r="E11" s="4" t="inlineStr">
        <is>
          <t>The published 30-day retention policy and the self-serve delete deleted nothing at all.</t>
        </is>
      </c>
      <c r="F11" s="4" t="inlineStr">
        <is>
          <t>The functions existed and were tested. Nothing called them, and no test asserted the store was empty afterwards.</t>
        </is>
      </c>
      <c r="G11" s="4" t="inlineStr">
        <is>
          <t>src/tenantLifecycle.ts with a durable schedule, cancel-on-reinstall, a retention sweep and a real export.</t>
        </is>
      </c>
      <c r="H11" s="14" t="inlineStr">
        <is>
          <t>Closed</t>
        </is>
      </c>
    </row>
    <row r="12">
      <c r="A12" s="10" t="inlineStr">
        <is>
          <t>F-030</t>
        </is>
      </c>
      <c r="B12" s="4" t="inlineStr">
        <is>
          <t>v019</t>
        </is>
      </c>
      <c r="C12" s="20" t="inlineStr">
        <is>
          <t>Critical</t>
        </is>
      </c>
      <c r="D12" s="4" t="inlineStr">
        <is>
          <t>Authorization audit</t>
        </is>
      </c>
      <c r="E12" s="4" t="inlineStr">
        <is>
          <t>Five of nine permissions published to customers were enforced nowhere, including data.delete and data.export.</t>
        </is>
      </c>
      <c r="F12" s="4" t="inlineStr">
        <is>
          <t>Permissions were data, not behaviour. Nothing compared the published matrix with the enforcement sites.</t>
        </is>
      </c>
      <c r="G12" s="4" t="inlineStr">
        <is>
          <t>Enforcement wired at named sites and bound by a two-way contract test; one unenforceable permission withdrawn (D-SD6).</t>
        </is>
      </c>
      <c r="H12" s="14" t="inlineStr">
        <is>
          <t>Closed</t>
        </is>
      </c>
    </row>
    <row r="13">
      <c r="A13" s="10" t="inlineStr">
        <is>
          <t>F-036</t>
        </is>
      </c>
      <c r="B13" s="4" t="inlineStr">
        <is>
          <t>v022</t>
        </is>
      </c>
      <c r="C13" s="17" t="inlineStr">
        <is>
          <t>High</t>
        </is>
      </c>
      <c r="D13" s="4" t="inlineStr">
        <is>
          <t>Wiring audit</t>
        </is>
      </c>
      <c r="E13" s="4" t="inlineStr">
        <is>
          <t>The entire telemetry epic had zero callers, so the S11 activation criterion could not be computed.</t>
        </is>
      </c>
      <c r="F13" s="4" t="inlineStr">
        <is>
          <t>The modules were fully covered by their own unit tests. Coverage cannot see that nobody calls a module.</t>
        </is>
      </c>
      <c r="G13" s="4" t="inlineStr">
        <is>
          <t>Telemetry wired into the request path with boundary tests proving a real request emits events.</t>
        </is>
      </c>
      <c r="H13" s="14" t="inlineStr">
        <is>
          <t>Closed</t>
        </is>
      </c>
    </row>
    <row r="14">
      <c r="A14" s="10" t="inlineStr">
        <is>
          <t>F-041</t>
        </is>
      </c>
      <c r="B14" s="4" t="inlineStr">
        <is>
          <t>v025</t>
        </is>
      </c>
      <c r="C14" s="20" t="inlineStr">
        <is>
          <t>Critical</t>
        </is>
      </c>
      <c r="D14" s="4" t="inlineStr">
        <is>
          <t>Cold review pass 5</t>
        </is>
      </c>
      <c r="E14" s="4" t="inlineStr">
        <is>
          <t>The seat cap could never fire: the checker and its caller were each correct and the feature was inoperative.</t>
        </is>
      </c>
      <c r="F14" s="4" t="inlineStr">
        <is>
          <t>A correct function called with a wrong argument passes every unit test on both sides.</t>
        </is>
      </c>
      <c r="G14" s="4" t="inlineStr">
        <is>
          <t>Boundary tests now drive policy decisions through the request path with real actors.</t>
        </is>
      </c>
      <c r="H14" s="14" t="inlineStr">
        <is>
          <t>Closed</t>
        </is>
      </c>
    </row>
    <row r="15">
      <c r="A15" s="10" t="inlineStr">
        <is>
          <t>F-046</t>
        </is>
      </c>
      <c r="B15" s="4" t="inlineStr">
        <is>
          <t>v026</t>
        </is>
      </c>
      <c r="C15" s="20" t="inlineStr">
        <is>
          <t>Critical</t>
        </is>
      </c>
      <c r="D15" s="4" t="inlineStr">
        <is>
          <t>Multi-instance audit</t>
        </is>
      </c>
      <c r="E15" s="4" t="inlineStr">
        <is>
          <t>Silent cross-instance data loss under the shipped blue/green deploy model.</t>
        </is>
      </c>
      <c r="F15" s="4" t="inlineStr">
        <is>
          <t>Every previous audit examined one running instance. A model that is correct alone can be destructive in pairs.</t>
        </is>
      </c>
      <c r="G15" s="4" t="inlineStr">
        <is>
          <t>Optimistic concurrency end to end, migration 002, a migration step in the deploy, and two-instance tests as standing practice.</t>
        </is>
      </c>
      <c r="H15" s="14" t="inlineStr">
        <is>
          <t>Closed</t>
        </is>
      </c>
    </row>
    <row r="16">
      <c r="A16" s="10" t="inlineStr">
        <is>
          <t>F-047</t>
        </is>
      </c>
      <c r="B16" s="4" t="inlineStr">
        <is>
          <t>v027</t>
        </is>
      </c>
      <c r="C16" s="20" t="inlineStr">
        <is>
          <t>Critical</t>
        </is>
      </c>
      <c r="D16" s="4" t="inlineStr">
        <is>
          <t>Dependency-failure audit</t>
        </is>
      </c>
      <c r="E16" s="4" t="inlineStr">
        <is>
          <t>Unhandled rejections at the HTTP boundary: a store, Graph or mail blip hung requests and could terminate the process.</t>
        </is>
      </c>
      <c r="F16" s="4" t="inlineStr">
        <is>
          <t>No test had ever failed a dependency at the boundary. Failure injection was missing, not assertions.</t>
        </is>
      </c>
      <c r="G16" s="4" t="inlineStr">
        <is>
          <t>A safe error boundary with typed classification; failure injection is now part of the suite.</t>
        </is>
      </c>
      <c r="H16" s="14" t="inlineStr">
        <is>
          <t>Closed</t>
        </is>
      </c>
    </row>
    <row r="17">
      <c r="A17" s="10" t="inlineStr">
        <is>
          <t>F-057</t>
        </is>
      </c>
      <c r="B17" s="4" t="inlineStr">
        <is>
          <t>v033</t>
        </is>
      </c>
      <c r="C17" s="20" t="inlineStr">
        <is>
          <t>Critical</t>
        </is>
      </c>
      <c r="D17" s="4" t="inlineStr">
        <is>
          <t>Clean-checkout rehearsal</t>
        </is>
      </c>
      <c r="E17" s="4" t="inlineStr">
        <is>
          <t>No server entry point shipped, while the guide had told operators to start one since v009.</t>
        </is>
      </c>
      <c r="F17" s="4" t="inlineStr">
        <is>
          <t>Everything had been run in a working tree. The delivered zip had never been unpacked and started.</t>
        </is>
      </c>
      <c r="G17" s="4" t="inlineStr">
        <is>
          <t>scripts/serve.ts ships as npm start with a verifier seam that refuses to run unconfigured.</t>
        </is>
      </c>
      <c r="H17" s="14" t="inlineStr">
        <is>
          <t>Closed</t>
        </is>
      </c>
    </row>
    <row r="18">
      <c r="A18" s="10" t="inlineStr">
        <is>
          <t>F-061</t>
        </is>
      </c>
      <c r="B18" s="4" t="inlineStr">
        <is>
          <t>v036</t>
        </is>
      </c>
      <c r="C18" s="20" t="inlineStr">
        <is>
          <t>Critical</t>
        </is>
      </c>
      <c r="D18" s="4" t="inlineStr">
        <is>
          <t>Lifecycle wiring audit</t>
        </is>
      </c>
      <c r="E18" s="4" t="inlineStr">
        <is>
          <t>The retention sweep built in v018 was never called in any deployment.</t>
        </is>
      </c>
      <c r="F18" s="4" t="inlineStr">
        <is>
          <t>It had a scheduler in tests and none in the entry point — the F-029 fix was itself unwired.</t>
        </is>
      </c>
      <c r="G18" s="4" t="inlineStr">
        <is>
          <t>An hourly scheduler in the entry point, with the sweep failure alerted.</t>
        </is>
      </c>
      <c r="H18" s="14" t="inlineStr">
        <is>
          <t>Closed</t>
        </is>
      </c>
    </row>
    <row r="19">
      <c r="A19" s="10" t="inlineStr">
        <is>
          <t>F-062</t>
        </is>
      </c>
      <c r="B19" s="4" t="inlineStr">
        <is>
          <t>v037</t>
        </is>
      </c>
      <c r="C19" s="20" t="inlineStr">
        <is>
          <t>Critical</t>
        </is>
      </c>
      <c r="D19" s="4" t="inlineStr">
        <is>
          <t>Runtime wiring audit</t>
        </is>
      </c>
      <c r="E19" s="4" t="inlineStr">
        <is>
          <t>In the shipped entry point every user resolved to owner.</t>
        </is>
      </c>
      <c r="F19" s="4" t="inlineStr">
        <is>
          <t>The role resolver was correct and well tested. The entry point passed it a stub that answered owner to everything.</t>
        </is>
      </c>
      <c r="G19" s="4" t="inlineStr">
        <is>
          <t>Deny-safe construction with startup warnings; the runtime wiring itself is now asserted.</t>
        </is>
      </c>
      <c r="H19" s="14" t="inlineStr">
        <is>
          <t>Closed</t>
        </is>
      </c>
    </row>
    <row r="20">
      <c r="A20" s="10" t="inlineStr">
        <is>
          <t>F-068</t>
        </is>
      </c>
      <c r="B20" s="4" t="inlineStr">
        <is>
          <t>v039</t>
        </is>
      </c>
      <c r="C20" s="17" t="inlineStr">
        <is>
          <t>High</t>
        </is>
      </c>
      <c r="D20" s="4" t="inlineStr">
        <is>
          <t>Verifying the previous session</t>
        </is>
      </c>
      <c r="E20" s="4" t="inlineStr">
        <is>
          <t>The install-count seeding reported fixed in v038 had never reached the observer. F-067 was reported closed and was not.</t>
        </is>
      </c>
      <c r="F20" s="4" t="inlineStr">
        <is>
          <t>The fix was tested where it was written, not where it had to take effect.</t>
        </is>
      </c>
      <c r="G20" s="4" t="inlineStr">
        <is>
          <t>makeServer returns a seed function that calls the observer it owns; proven with two stored tenants.</t>
        </is>
      </c>
      <c r="H20" s="14" t="inlineStr">
        <is>
          <t>Closed</t>
        </is>
      </c>
    </row>
    <row r="21">
      <c r="A21" s="10" t="inlineStr">
        <is>
          <t>P-001</t>
        </is>
      </c>
      <c r="B21" s="4" t="inlineStr">
        <is>
          <t>v040</t>
        </is>
      </c>
      <c r="C21" s="20" t="inlineStr">
        <is>
          <t>Critical</t>
        </is>
      </c>
      <c r="D21" s="4" t="inlineStr">
        <is>
          <t>Independent review V001</t>
        </is>
      </c>
      <c r="E21" s="4" t="inlineStr">
        <is>
          <t>No production token verifier for tab SSO — only a dev bypass accepting a hardcoded string.</t>
        </is>
      </c>
      <c r="F21" s="4" t="inlineStr">
        <is>
          <t>The verifier was an injected seam. Tests supplied a working fake, so 100% coverage told us nothing about whether a real one existed.</t>
        </is>
      </c>
      <c r="G21" s="4" t="inlineStr">
        <is>
          <t>JWKS-backed RS256 verification against Entra metadata with kid selection and rotation; dev bypass fenced by environment.</t>
        </is>
      </c>
      <c r="H21" s="14" t="inlineStr">
        <is>
          <t>Closed in v040</t>
        </is>
      </c>
    </row>
    <row r="22">
      <c r="A22" s="10" t="inlineStr">
        <is>
          <t>P-002</t>
        </is>
      </c>
      <c r="B22" s="4" t="inlineStr">
        <is>
          <t>v040</t>
        </is>
      </c>
      <c r="C22" s="20" t="inlineStr">
        <is>
          <t>Critical</t>
        </is>
      </c>
      <c r="D22" s="4" t="inlineStr">
        <is>
          <t>Independent review V001</t>
        </is>
      </c>
      <c r="E22" s="4" t="inlineStr">
        <is>
          <t>Non-dev bot authentication was verify: () =&gt; false, so every real Teams activity was rejected: the primary surface was inert in production.</t>
        </is>
      </c>
      <c r="F22" s="4" t="inlineStr">
        <is>
          <t>Same seam pattern. The test fake said yes; the production implementation said no to everything.</t>
        </is>
      </c>
      <c r="G22" s="4" t="inlineStr">
        <is>
          <t>Connector JWT verification: issuer, audience, serviceUrl binding, signature, skew.</t>
        </is>
      </c>
      <c r="H22" s="14" t="inlineStr">
        <is>
          <t>Closed in v040</t>
        </is>
      </c>
    </row>
    <row r="23">
      <c r="A23" s="10" t="inlineStr">
        <is>
          <t>P-003</t>
        </is>
      </c>
      <c r="B23" s="4" t="inlineStr">
        <is>
          <t>v040</t>
        </is>
      </c>
      <c r="C23" s="20" t="inlineStr">
        <is>
          <t>Critical</t>
        </is>
      </c>
      <c r="D23" s="4" t="inlineStr">
        <is>
          <t>Independent review V001</t>
        </is>
      </c>
      <c r="E23" s="4" t="inlineStr">
        <is>
          <t>DATABASE_URL was honoured nowhere. No pg client was ever constructed, so the in-memory store always won and every durability, encryption, audit and retention claim was void.</t>
        </is>
      </c>
      <c r="F23" s="4" t="inlineStr">
        <is>
          <t>The repository contract suite ran against a fake SQL client. The store under test was never a database.</t>
        </is>
      </c>
      <c r="G23" s="4" t="inlineStr">
        <is>
          <t>pg wired in the entry point, migrations on boot, production refuses a non-durable store, and a real-Postgres integration tier added.</t>
        </is>
      </c>
      <c r="H23" s="14" t="inlineStr">
        <is>
          <t>Closed in v040</t>
        </is>
      </c>
    </row>
    <row r="24">
      <c r="A24" s="10" t="inlineStr">
        <is>
          <t>F-071</t>
        </is>
      </c>
      <c r="B24" s="4" t="inlineStr">
        <is>
          <t>v040</t>
        </is>
      </c>
      <c r="C24" s="17" t="inlineStr">
        <is>
          <t>High</t>
        </is>
      </c>
      <c r="D24" s="4" t="inlineStr">
        <is>
          <t>Wiring the real Postgres tier</t>
        </is>
      </c>
      <c r="E24" s="4" t="inlineStr">
        <is>
          <t>The pg driver parses JSONB into objects while the repository had parsed the column as text since v014. Every read from a real database would have failed or produced wrong data.</t>
        </is>
      </c>
      <c r="F24" s="4" t="inlineStr">
        <is>
          <t>The only store under test was a fake that returned strings. This defect was live for five releases and invisible to every one of them.</t>
        </is>
      </c>
      <c r="G24" s="4" t="inlineStr">
        <is>
          <t>A type parser returns raw text for JSONB so one code path serves both implementations. Found within an hour of the real tier existing.</t>
        </is>
      </c>
      <c r="H24" s="14" t="inlineStr">
        <is>
          <t>Closed</t>
        </is>
      </c>
    </row>
    <row r="25">
      <c r="A25" s="10" t="inlineStr">
        <is>
          <t>F-072</t>
        </is>
      </c>
      <c r="B25" s="4" t="inlineStr">
        <is>
          <t>v040</t>
        </is>
      </c>
      <c r="C25" s="15" t="inlineStr">
        <is>
          <t>Medium</t>
        </is>
      </c>
      <c r="D25" s="4" t="inlineStr">
        <is>
          <t>Writing the locale test</t>
        </is>
      </c>
      <c r="E25" s="4" t="inlineStr">
        <is>
          <t>The bot help and welcome strings were evaluated at import, so setLocale had no effect — the i18n feature was inert for the first two strings a user sees.</t>
        </is>
      </c>
      <c r="F25" s="4" t="inlineStr">
        <is>
          <t>The test asserted the catalogue, not the rendered output under a changed locale.</t>
        </is>
      </c>
      <c r="G25" s="4" t="inlineStr">
        <is>
          <t>Both became functions evaluated per call; the Spanish-locale bot test pins it.</t>
        </is>
      </c>
      <c r="H25" s="14" t="inlineStr">
        <is>
          <t>Closed</t>
        </is>
      </c>
    </row>
    <row r="26">
      <c r="A26" s="10" t="inlineStr">
        <is>
          <t>F-073</t>
        </is>
      </c>
      <c r="B26" s="4" t="inlineStr">
        <is>
          <t>v040</t>
        </is>
      </c>
      <c r="C26" s="17" t="inlineStr">
        <is>
          <t>High</t>
        </is>
      </c>
      <c r="D26" s="4" t="inlineStr">
        <is>
          <t>Rerunning the suite on a cleaned tree</t>
        </is>
      </c>
      <c r="E26" s="4" t="inlineStr">
        <is>
          <t>npm run build never copied the tab page into the build directory. A clean checkout builds the bundles and serves 404 at /tab/ — the page existed only where someone had copied it by hand once.</t>
        </is>
      </c>
      <c r="F26" s="4" t="inlineStr">
        <is>
          <t>Five suites assert against the built tree, and the CI unit job ran jest without ever running build. The gate was testing a tree no deployment would have.</t>
        </is>
      </c>
      <c r="G26" s="4" t="inlineStr">
        <is>
          <t>The build copies every page; both workflows build before testing; assertions pin the build script and the job order.</t>
        </is>
      </c>
      <c r="H26" s="14" t="inlineStr">
        <is>
          <t>Closed</t>
        </is>
      </c>
    </row>
    <row r="27">
      <c r="A27" s="10" t="inlineStr">
        <is>
          <t>F-074</t>
        </is>
      </c>
      <c r="B27" s="4" t="inlineStr">
        <is>
          <t>v040</t>
        </is>
      </c>
      <c r="C27" s="15" t="inlineStr">
        <is>
          <t>Medium</t>
        </is>
      </c>
      <c r="D27" s="4" t="inlineStr">
        <is>
          <t>Rerunning the suite on a cleaned tree</t>
        </is>
      </c>
      <c r="E27" s="4" t="inlineStr">
        <is>
          <t>The tier-3 production-seam job named a test file that has never existed, so jest exited "no tests found" and the gate that decision D-SD7 rests on had never run.</t>
        </is>
      </c>
      <c r="F27" s="4" t="inlineStr">
        <is>
          <t>Nothing checked that a path named in a workflow exists. A green pipeline with a silently empty job looks identical to a passing one.</t>
        </is>
      </c>
      <c r="G27" s="4" t="inlineStr">
        <is>
          <t>Both workflows name the four suites that exist, and a new assertion fails if any test path referenced in any workflow is missing.</t>
        </is>
      </c>
      <c r="H27" s="14" t="inlineStr">
        <is>
          <t>Closed</t>
        </is>
      </c>
    </row>
    <row r="29">
      <c r="A29" s="8" t="inlineStr">
        <is>
          <t>THIS IS A SELECTION, NOT THE WHOLE REGISTER. Seventy-four F-series defects, twenty P-series findings, fourteen VER-SD, eight GAP-SD and eleven OBS-SD entries exist in full in REVIEW_PACK.md inside the source zip and on the Review_Findings sheet of the product workbook. The rows above are the ones that change how you should read the product: every CRITICAL, plus the four defects this release created or exposed in its own quality gate.</t>
        </is>
      </c>
    </row>
  </sheetData>
  <pageMargins left="0.75" right="0.75" top="1" bottom="1" header="0.5" footer="0.5"/>
</worksheet>
</file>

<file path=xl/worksheets/sheet12.xml><?xml version="1.0" encoding="utf-8"?>
<worksheet xmlns="http://schemas.openxmlformats.org/spreadsheetml/2006/main">
  <sheetPr>
    <tabColor rgb="FF7030A0"/>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42" customWidth="1" min="1" max="1"/>
    <col width="56" customWidth="1" min="2" max="2"/>
    <col width="11" customWidth="1" min="3" max="3"/>
    <col width="96" customWidth="1" min="4" max="4"/>
  </cols>
  <sheetData>
    <row r="1">
      <c r="A1" s="7" t="inlineStr">
        <is>
          <t>TEST SUMMARY — computed live from Test_Cases</t>
        </is>
      </c>
      <c r="B1" s="2" t="n"/>
      <c r="C1" s="2" t="n"/>
      <c r="D1" s="2" t="n"/>
      <c r="E1" s="2" t="n"/>
      <c r="F1" s="2" t="n"/>
    </row>
    <row r="2" ht="58" customHeight="1">
      <c r="A2" s="8" t="inlineStr">
        <is>
          <t>HOW TO USE THIS SHEET — Do not type in this sheet. Every figure is a formula over Test_Cases, so it cannot disagree with the cases themselves. If a number looks wrong, the case data is wrong. Recalculate after editing Test_Cases.</t>
        </is>
      </c>
    </row>
    <row r="4">
      <c r="A4" s="3" t="inlineStr">
        <is>
          <t>Measure</t>
        </is>
      </c>
      <c r="B4" s="3" t="inlineStr">
        <is>
          <t>Count</t>
        </is>
      </c>
      <c r="C4" s="3" t="inlineStr">
        <is>
          <t>Of total</t>
        </is>
      </c>
      <c r="D4" s="3" t="inlineStr">
        <is>
          <t>What it tells you</t>
        </is>
      </c>
    </row>
    <row r="5">
      <c r="A5" s="21" t="inlineStr">
        <is>
          <t>Total manual cases</t>
        </is>
      </c>
      <c r="B5" s="21">
        <f>COUNTA(Test_Cases!$A$5:$A$203)</f>
        <v/>
      </c>
      <c r="C5" s="22">
        <f>1</f>
        <v/>
      </c>
      <c r="D5" s="4" t="inlineStr">
        <is>
          <t>The whole specification.</t>
        </is>
      </c>
    </row>
    <row r="6">
      <c r="A6" s="21" t="inlineStr">
        <is>
          <t>Positive cases</t>
        </is>
      </c>
      <c r="B6" s="21">
        <f>COUNTIF(Test_Cases!$E$5:$E$203,"Positive")</f>
        <v/>
      </c>
      <c r="C6" s="22">
        <f>IFERROR(B6/$B$5,0)</f>
        <v/>
      </c>
      <c r="D6" s="4" t="inlineStr">
        <is>
          <t>Does it do what it claims.</t>
        </is>
      </c>
    </row>
    <row r="7">
      <c r="A7" s="21" t="inlineStr">
        <is>
          <t>Negative cases</t>
        </is>
      </c>
      <c r="B7" s="21">
        <f>COUNTIF(Test_Cases!$E$5:$E$203,"Negative")</f>
        <v/>
      </c>
      <c r="C7" s="22">
        <f>IFERROR(B7/$B$5,0)</f>
        <v/>
      </c>
      <c r="D7" s="4" t="inlineStr">
        <is>
          <t>Does it refuse what it should refuse. Roughly half the specification, deliberately: most of this product's CRITICAL defects were failures to refuse.</t>
        </is>
      </c>
    </row>
    <row r="8">
      <c r="A8" s="21" t="inlineStr">
        <is>
          <t>Critical priority</t>
        </is>
      </c>
      <c r="B8" s="21">
        <f>COUNTIF(Test_Cases!$F$5:$F$203,"Critical")</f>
        <v/>
      </c>
      <c r="C8" s="22">
        <f>IFERROR(B8/$B$5,0)</f>
        <v/>
      </c>
      <c r="D8" s="4" t="inlineStr">
        <is>
          <t>Run these first on any build. They cover authentication, tenancy, durability, deletion, authorization and billing enforcement.</t>
        </is>
      </c>
    </row>
    <row r="9">
      <c r="A9" s="21" t="inlineStr">
        <is>
          <t>High priority</t>
        </is>
      </c>
      <c r="B9" s="21">
        <f>COUNTIF(Test_Cases!$F$5:$F$203,"High")</f>
        <v/>
      </c>
      <c r="C9" s="22">
        <f>IFERROR(B9/$B$5,0)</f>
        <v/>
      </c>
      <c r="D9" s="4" t="inlineStr">
        <is>
          <t>Run on any release that touches the area.</t>
        </is>
      </c>
    </row>
    <row r="10">
      <c r="A10" s="21" t="inlineStr">
        <is>
          <t>Executable in a sandbox today</t>
        </is>
      </c>
      <c r="B10" s="21">
        <f>COUNTIF(Test_Cases!$K$5:$K$203,"Yes*")</f>
        <v/>
      </c>
      <c r="C10" s="22">
        <f>IFERROR(B10/$B$5,0)</f>
        <v/>
      </c>
      <c r="D10" s="4" t="inlineStr">
        <is>
          <t>What a tester can work through right now with no tenant, no staging and no purchases.</t>
        </is>
      </c>
    </row>
    <row r="11">
      <c r="A11" s="21" t="inlineStr">
        <is>
          <t>Partly executable (rendering or delivery needs a live client)</t>
        </is>
      </c>
      <c r="B11" s="21">
        <f>COUNTIF(Test_Cases!$K$5:$K$203,"Partial*")</f>
        <v/>
      </c>
      <c r="C11" s="22">
        <f>IFERROR(B11/$B$5,0)</f>
        <v/>
      </c>
      <c r="D11" s="4" t="inlineStr">
        <is>
          <t>The logic can be verified now; how it looks or whether it arrives cannot.</t>
        </is>
      </c>
    </row>
    <row r="12">
      <c r="A12" s="21" t="inlineStr">
        <is>
          <t>Blocked on a live tenant, staging or a purchase</t>
        </is>
      </c>
      <c r="B12" s="21">
        <f>COUNTIF(Test_Cases!$K$5:$K$203,"No*")</f>
        <v/>
      </c>
      <c r="C12" s="22">
        <f>IFERROR(B12/$B$5,0)</f>
        <v/>
      </c>
      <c r="D12" s="4" t="inlineStr">
        <is>
          <t>Record these as Blocked, never as Pass. The Pending_Versions sheet says what unblocks each one.</t>
        </is>
      </c>
    </row>
    <row r="13">
      <c r="A13" s="21" t="inlineStr">
        <is>
          <t>Not run</t>
        </is>
      </c>
      <c r="B13" s="21">
        <f>COUNTIF(Test_Cases!$L$5:$L$203,"Not run")</f>
        <v/>
      </c>
      <c r="C13" s="22">
        <f>IFERROR(B13/$B$5,0)</f>
        <v/>
      </c>
      <c r="D13" s="4" t="inlineStr">
        <is>
          <t>Awaiting the first human pass (RUN-002).</t>
        </is>
      </c>
    </row>
    <row r="14">
      <c r="A14" s="21" t="inlineStr">
        <is>
          <t>Passed</t>
        </is>
      </c>
      <c r="B14" s="21">
        <f>COUNTIF(Test_Cases!$L$5:$L$203,"Pass")</f>
        <v/>
      </c>
      <c r="C14" s="22">
        <f>IFERROR(B14/$B$5,0)</f>
        <v/>
      </c>
      <c r="D14" s="4" t="inlineStr">
        <is>
          <t>Filled in by the tester, not by the author.</t>
        </is>
      </c>
    </row>
    <row r="15">
      <c r="A15" s="21" t="inlineStr">
        <is>
          <t>Failed</t>
        </is>
      </c>
      <c r="B15" s="21">
        <f>COUNTIF(Test_Cases!$L$5:$L$203,"Fail")</f>
        <v/>
      </c>
      <c r="C15" s="22">
        <f>IFERROR(B15/$B$5,0)</f>
        <v/>
      </c>
      <c r="D15" s="4" t="inlineStr">
        <is>
          <t>Every failure should appear in Defect_Log with an id.</t>
        </is>
      </c>
    </row>
    <row r="16">
      <c r="A16" s="21" t="inlineStr">
        <is>
          <t>Blocked</t>
        </is>
      </c>
      <c r="B16" s="21">
        <f>COUNTIF(Test_Cases!$L$5:$L$203,"Blocked")</f>
        <v/>
      </c>
      <c r="C16" s="22">
        <f>IFERROR(B16/$B$5,0)</f>
        <v/>
      </c>
      <c r="D16" s="4" t="inlineStr">
        <is>
          <t>Should converge on the blocked-on-access count above.</t>
        </is>
      </c>
    </row>
    <row r="18">
      <c r="A18" s="23" t="inlineStr">
        <is>
          <t>CHECK — positive plus negative must equal the total</t>
        </is>
      </c>
      <c r="B18">
        <f>IF(B6+B7=B5,"OK","MISMATCH")</f>
        <v/>
      </c>
    </row>
    <row r="19">
      <c r="A19" s="23" t="inlineStr">
        <is>
          <t>CHECK — every release carries at least one case</t>
        </is>
      </c>
      <c r="B19">
        <f>IF(COUNTIF(RTM!$E$5:$E$45,0)=0,"OK","A RELEASE HAS NO CASES")</f>
        <v/>
      </c>
    </row>
    <row r="21">
      <c r="A21" s="23" t="inlineStr">
        <is>
          <t>AUTOMATED EVIDENCE BEHIND THIS ISSUE (not computed — stated, and reproducible with the commands named)</t>
        </is>
      </c>
    </row>
    <row r="22">
      <c r="A22" t="inlineStr">
        <is>
          <t>Unit tier</t>
        </is>
      </c>
      <c r="B22" s="11" t="inlineStr">
        <is>
          <t>68 suites / 555 tests, 100% statements, branches, functions and lines, zero pragmas</t>
        </is>
      </c>
      <c r="D22" s="6" t="inlineStr">
        <is>
          <t>npm ci &amp;&amp; npm run build &amp;&amp; npx jest --ci</t>
        </is>
      </c>
    </row>
    <row r="23">
      <c r="A23" t="inlineStr">
        <is>
          <t>Integration tier</t>
        </is>
      </c>
      <c r="B23" s="11" t="inlineStr">
        <is>
          <t>9 / 9 against real PostgreSQL 16</t>
        </is>
      </c>
      <c r="D23" s="6" t="inlineStr">
        <is>
          <t>npm run test:integration with DATABASE_URL set</t>
        </is>
      </c>
    </row>
    <row r="24">
      <c r="A24" t="inlineStr">
        <is>
          <t>Seam tier</t>
        </is>
      </c>
      <c r="B24" s="11" t="inlineStr">
        <is>
          <t>Production-seam wiring assertion green, and enforced again at boot</t>
        </is>
      </c>
      <c r="D24" s="6" t="inlineStr">
        <is>
          <t>npx jest tests/serve.test.ts tests/manifest.test.ts tests/runtimeWiring.test.ts tests/v046Closeout.test.ts</t>
        </is>
      </c>
    </row>
    <row r="25">
      <c r="A25" t="inlineStr">
        <is>
          <t>Typecheck</t>
        </is>
      </c>
      <c r="B25" s="11" t="inlineStr">
        <is>
          <t>Clean under TypeScript strict</t>
        </is>
      </c>
      <c r="D25" s="6" t="inlineStr">
        <is>
          <t>npx tsc --noEmit</t>
        </is>
      </c>
    </row>
    <row r="26">
      <c r="A26" t="inlineStr">
        <is>
          <t>Backup / restore drill</t>
        </is>
      </c>
      <c r="B26" s="11" t="inlineStr">
        <is>
          <t>PASS — RPO 0s (limit 900s), RTO 0s (limit 3600s), row counts matched</t>
        </is>
      </c>
      <c r="D26" s="6" t="inlineStr">
        <is>
          <t>npm run backup:drill with DATABASE_URL and RESTORE_URL set</t>
        </is>
      </c>
    </row>
  </sheetData>
  <pageMargins left="0.75" right="0.75" top="1" bottom="1" header="0.5" footer="0.5"/>
</worksheet>
</file>

<file path=xl/worksheets/sheet13.xml><?xml version="1.0" encoding="utf-8"?>
<worksheet xmlns="http://schemas.openxmlformats.org/spreadsheetml/2006/main">
  <sheetPr>
    <tabColor rgb="FF2E75B6"/>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5" customWidth="1" min="1" max="1"/>
    <col width="86" customWidth="1" min="2" max="2"/>
    <col width="62" customWidth="1" min="3" max="3"/>
    <col width="72" customWidth="1" min="4" max="4"/>
  </cols>
  <sheetData>
    <row r="1">
      <c r="A1" s="7" t="inlineStr">
        <is>
          <t>ASSUMPTIONS AND CONSTRAINTS — what this specification takes for granted, and what it cannot prove</t>
        </is>
      </c>
      <c r="B1" s="2" t="n"/>
      <c r="C1" s="2" t="n"/>
      <c r="D1" s="2" t="n"/>
      <c r="E1" s="2" t="n"/>
      <c r="F1" s="2" t="n"/>
    </row>
    <row r="2" ht="58" customHeight="1">
      <c r="A2" s="8" t="inlineStr">
        <is>
          <t>HOW TO USE THIS SHEET — Read this before challenging a Pass or trusting one. It states the limits of the evidence rather than leaving them to be discovered. Column C says what would remove each limit.</t>
        </is>
      </c>
    </row>
    <row r="4">
      <c r="A4" s="3" t="inlineStr">
        <is>
          <t>#</t>
        </is>
      </c>
      <c r="B4" s="3" t="inlineStr">
        <is>
          <t>Assumption or constraint</t>
        </is>
      </c>
      <c r="C4" s="3" t="inlineStr">
        <is>
          <t>What would remove it</t>
        </is>
      </c>
      <c r="D4" s="3" t="inlineStr">
        <is>
          <t>Consequence if it is wrong</t>
        </is>
      </c>
    </row>
    <row r="5">
      <c r="A5" s="4" t="n">
        <v>1</v>
      </c>
      <c r="B5" s="4" t="inlineStr">
        <is>
          <t>A sandbox cannot prove in-client Teams behaviour. Card rendering, the TeamsJS handshake, the RSC consent screen and mobile layout are verifiable only inside a real Teams client.</t>
        </is>
      </c>
      <c r="C5" s="4" t="inlineStr">
        <is>
          <t>A Microsoft 365 dev tenant with the app sideloaded (SD226/SD228).</t>
        </is>
      </c>
      <c r="D5" s="4" t="inlineStr">
        <is>
          <t>Cases marked Partial could pass their logic and still look wrong or arrive nowhere. This is tracker risk R-S8 and it has been open since the first week.</t>
        </is>
      </c>
    </row>
    <row r="6">
      <c r="A6" s="4" t="n">
        <v>2</v>
      </c>
      <c r="B6" s="4" t="inlineStr">
        <is>
          <t>Vendor contracts were implemented from documentation, not against live endpoints: Entra OpenID metadata, Bot Connector issuer and audience rules, Fulfillment API v2, Key Vault managed identity.</t>
        </is>
      </c>
      <c r="C6" s="4" t="inlineStr">
        <is>
          <t>Live verification against each endpoint (SD228, SD232, SD239, SD240).</t>
        </is>
      </c>
      <c r="D6" s="4" t="inlineStr">
        <is>
          <t>A contract read correctly still fails if the documentation is stale or incomplete. Tracker risk R-S12 exists because this has already happened twice, on the bot and tab seams.</t>
        </is>
      </c>
    </row>
    <row r="7">
      <c r="A7" s="4" t="n">
        <v>3</v>
      </c>
      <c r="B7" s="4" t="inlineStr">
        <is>
          <t>Performance figures are measured on local PostgreSQL 16 in this sandbox, not on staging under load.</t>
        </is>
      </c>
      <c r="C7" s="4" t="inlineStr">
        <is>
          <t>A staging environment plus the k6 5x sweep (SD219/SD220).</t>
        </is>
      </c>
      <c r="D7" s="4" t="inlineStr">
        <is>
          <t>The 100k-record hydration inside the p95 budget is a real measurement on a real database, but not a measurement of the deployed system. LC-8 stays open until it is.</t>
        </is>
      </c>
    </row>
    <row r="8">
      <c r="A8" s="4" t="n">
        <v>4</v>
      </c>
      <c r="B8" s="4" t="inlineStr">
        <is>
          <t>The automated suite proves execution, not correctness, and 100% coverage has repeatedly coexisted with critical defects in this product.</t>
        </is>
      </c>
      <c r="C8" s="4" t="inlineStr">
        <is>
          <t>Nothing removes this. Three tiers and adversarial review reduce it; mutation testing on the money and authentication modules would reduce it further and is not built.</t>
        </is>
      </c>
      <c r="D8" s="4" t="inlineStr">
        <is>
          <t>This is review finding P-017 and the reason this manual specification exists at all. A green suite is necessary and has never been sufficient here.</t>
        </is>
      </c>
    </row>
    <row r="9">
      <c r="A9" s="4" t="n">
        <v>5</v>
      </c>
      <c r="B9" s="4" t="inlineStr">
        <is>
          <t>Test data is synthetic throughout. No customer data has ever been in this product.</t>
        </is>
      </c>
      <c r="C9" s="4" t="inlineStr">
        <is>
          <t>Nothing — and this should stay true until a signed pilot with a data agreement (SD247).</t>
        </is>
      </c>
      <c r="D9" s="4" t="inlineStr">
        <is>
          <t>Edge cases that only real data produces are unknown: unusual names, very large handovers, non-Latin text at volume, unexpected shift patterns.</t>
        </is>
      </c>
    </row>
    <row r="10">
      <c r="A10" s="4" t="n">
        <v>6</v>
      </c>
      <c r="B10" s="4" t="inlineStr">
        <is>
          <t>One person wrote the code and the tests, and reviewed both.</t>
        </is>
      </c>
      <c r="C10" s="4" t="inlineStr">
        <is>
          <t>A second reviewer. The independent review V001 was exactly this and it found three CRITICALs in an hour of reading.</t>
        </is>
      </c>
      <c r="D10" s="4" t="inlineStr">
        <is>
          <t>A blind spot is shared between implementation and test. Every CRITICAL in the defect log was found by changing the question asked, not by better coding.</t>
        </is>
      </c>
    </row>
    <row r="11">
      <c r="A11" s="4" t="n">
        <v>7</v>
      </c>
      <c r="B11" s="4" t="inlineStr">
        <is>
          <t>The expected results in this document were written by the author of the code.</t>
        </is>
      </c>
      <c r="C11" s="4" t="inlineStr">
        <is>
          <t>The first human pass (RUN-002), performed by someone who did not write it.</t>
        </is>
      </c>
      <c r="D11" s="4" t="inlineStr">
        <is>
          <t>An expected result can encode the same misunderstanding as the implementation. Expect RUN-002 to find at least one, and record it as a defect against this document.</t>
        </is>
      </c>
    </row>
    <row r="12">
      <c r="A12" s="4" t="n">
        <v>8</v>
      </c>
      <c r="B12" s="4" t="inlineStr">
        <is>
          <t>Costs and lead times on Pending_Versions are market estimates, not quotes.</t>
        </is>
      </c>
      <c r="C12" s="4" t="inlineStr">
        <is>
          <t>Actual quotes from a pen-test vendor and an audit firm (SD234/SD237).</t>
        </is>
      </c>
      <c r="D12" s="4" t="inlineStr">
        <is>
          <t>Budget planning off these numbers could be materially wrong. The SOC 2 figure is the widest range and the most likely to surprise.</t>
        </is>
      </c>
    </row>
  </sheetData>
  <pageMargins left="0.75" right="0.75" top="1" bottom="1" header="0.5" footer="0.5"/>
</worksheet>
</file>

<file path=xl/worksheets/sheet14.xml><?xml version="1.0" encoding="utf-8"?>
<worksheet xmlns="http://schemas.openxmlformats.org/spreadsheetml/2006/main">
  <sheetPr>
    <tabColor rgb="FF2E75B6"/>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20" customWidth="1" min="1" max="1"/>
    <col width="104" customWidth="1" min="2" max="2"/>
    <col width="46" customWidth="1" min="3" max="3"/>
  </cols>
  <sheetData>
    <row r="1">
      <c r="A1" s="7" t="inlineStr">
        <is>
          <t>GLOSSARY — identifier prefixes and terms used across this document set</t>
        </is>
      </c>
      <c r="B1" s="2" t="n"/>
      <c r="C1" s="2" t="n"/>
      <c r="D1" s="2" t="n"/>
      <c r="E1" s="2" t="n"/>
      <c r="F1" s="2" t="n"/>
    </row>
    <row r="2" ht="58" customHeight="1">
      <c r="A2" s="8" t="inlineStr">
        <is>
          <t>HOW TO USE THIS SHEET — Look a prefix up here before assuming what it means. The prefix carries the origin of a finding, which is usually the most informative thing about it.</t>
        </is>
      </c>
    </row>
    <row r="4">
      <c r="A4" s="3" t="inlineStr">
        <is>
          <t>Term / prefix</t>
        </is>
      </c>
      <c r="B4" s="3" t="inlineStr">
        <is>
          <t>Meaning</t>
        </is>
      </c>
      <c r="C4" s="3" t="inlineStr">
        <is>
          <t>Where it is used</t>
        </is>
      </c>
    </row>
    <row r="5">
      <c r="A5" s="10" t="inlineStr">
        <is>
          <t>v001-v041</t>
        </is>
      </c>
      <c r="B5" s="4" t="inlineStr">
        <is>
          <t>Tracker release ladder: one entry per working session. This document's Version_Detail sheet uses it.</t>
        </is>
      </c>
      <c r="C5" s="4" t="inlineStr">
        <is>
          <t>Tracker, this document</t>
        </is>
      </c>
    </row>
    <row r="6">
      <c r="A6" s="10" t="inlineStr">
        <is>
          <t>v0.x.y</t>
        </is>
      </c>
      <c r="B6" s="4" t="inlineStr">
        <is>
          <t>Codebase semantic version, in package.json and the Teams manifest. Currently v0.14.0.</t>
        </is>
      </c>
      <c r="C6" s="4" t="inlineStr">
        <is>
          <t>Source zip, manifest</t>
        </is>
      </c>
    </row>
    <row r="7">
      <c r="A7" s="10" t="inlineStr">
        <is>
          <t>v005-v046</t>
        </is>
      </c>
      <c r="B7" s="4" t="inlineStr">
        <is>
          <t>Product workbook version ladder. Currently v046.</t>
        </is>
      </c>
      <c r="C7" s="4" t="inlineStr">
        <is>
          <t>Product workbook</t>
        </is>
      </c>
    </row>
    <row r="8">
      <c r="A8" s="10" t="inlineStr">
        <is>
          <t>V001</t>
        </is>
      </c>
      <c r="B8" s="4" t="inlineStr">
        <is>
          <t>Version of THIS document, in its file name and on the Version_Control sheet.</t>
        </is>
      </c>
      <c r="C8" s="4" t="inlineStr">
        <is>
          <t>This document</t>
        </is>
      </c>
    </row>
    <row r="9">
      <c r="A9" s="10" t="inlineStr">
        <is>
          <t>ST-001..ST-100</t>
        </is>
      </c>
      <c r="B9" s="4" t="inlineStr">
        <is>
          <t>The original 100 product backlog stories.</t>
        </is>
      </c>
      <c r="C9" s="4" t="inlineStr">
        <is>
          <t>Tracker, product workbook</t>
        </is>
      </c>
    </row>
    <row r="10">
      <c r="A10" s="10" t="inlineStr">
        <is>
          <t>SD201..SD247</t>
        </is>
      </c>
      <c r="B10" s="4" t="inlineStr">
        <is>
          <t>The 47 stories from the independent review's S13-S20 remediation plan.</t>
        </is>
      </c>
      <c r="C10" s="4" t="inlineStr">
        <is>
          <t>Tracker, product workbook</t>
        </is>
      </c>
    </row>
    <row r="11">
      <c r="A11" s="10" t="inlineStr">
        <is>
          <t>F-001..F-074</t>
        </is>
      </c>
      <c r="B11" s="4" t="inlineStr">
        <is>
          <t>Defects found by our own cold reviews, audits and rehearsals.</t>
        </is>
      </c>
      <c r="C11" s="4" t="inlineStr">
        <is>
          <t>REVIEW_PACK.md, Defect_Log</t>
        </is>
      </c>
    </row>
    <row r="12">
      <c r="A12" s="10" t="inlineStr">
        <is>
          <t>P-001..P-020</t>
        </is>
      </c>
      <c r="B12" s="4" t="inlineStr">
        <is>
          <t>Findings raised by independent review V001 on 16 Sep 2026.</t>
        </is>
      </c>
      <c r="C12" s="4" t="inlineStr">
        <is>
          <t>REVIEW_PACK.md, product workbook</t>
        </is>
      </c>
    </row>
    <row r="13">
      <c r="A13" s="10" t="inlineStr">
        <is>
          <t>D-01..D-08</t>
        </is>
      </c>
      <c r="B13" s="4" t="inlineStr">
        <is>
          <t>Decisions the independent review asked Senthil to make.</t>
        </is>
      </c>
      <c r="C13" s="4" t="inlineStr">
        <is>
          <t>REVIEW_PACK.md, product workbook</t>
        </is>
      </c>
    </row>
    <row r="14">
      <c r="A14" s="10" t="inlineStr">
        <is>
          <t>VER-SD01..14</t>
        </is>
      </c>
      <c r="B14" s="4" t="inlineStr">
        <is>
          <t>Findings from verification sweeps against vendor documentation.</t>
        </is>
      </c>
      <c r="C14" s="4" t="inlineStr">
        <is>
          <t>Tracker</t>
        </is>
      </c>
    </row>
    <row r="15">
      <c r="A15" s="10" t="inlineStr">
        <is>
          <t>GAP-SD1..8</t>
        </is>
      </c>
      <c r="B15" s="4" t="inlineStr">
        <is>
          <t>Artefact gaps: a promise in the manifest or a document with nothing implementing it.</t>
        </is>
      </c>
      <c r="C15" s="4" t="inlineStr">
        <is>
          <t>Tracker</t>
        </is>
      </c>
    </row>
    <row r="16">
      <c r="A16" s="10" t="inlineStr">
        <is>
          <t>OBS-SD1..11</t>
        </is>
      </c>
      <c r="B16" s="4" t="inlineStr">
        <is>
          <t>Accepted observations — deliberate trade-offs, recorded rather than fixed.</t>
        </is>
      </c>
      <c r="C16" s="4" t="inlineStr">
        <is>
          <t>Tracker</t>
        </is>
      </c>
    </row>
    <row r="17">
      <c r="A17" s="10" t="inlineStr">
        <is>
          <t>D-SD1..D-SD9</t>
        </is>
      </c>
      <c r="B17" s="4" t="inlineStr">
        <is>
          <t>Product decisions taken during the build, awaiting Senthil's ratification.</t>
        </is>
      </c>
      <c r="C17" s="4" t="inlineStr">
        <is>
          <t>Tracker Decisions sheet</t>
        </is>
      </c>
    </row>
    <row r="18">
      <c r="A18" s="10" t="inlineStr">
        <is>
          <t>G-01..G-05</t>
        </is>
      </c>
      <c r="B18" s="4" t="inlineStr">
        <is>
          <t>Completion gates. G-01 listed on the store, G-02 ten paying installs from strangers.</t>
        </is>
      </c>
      <c r="C18" s="4" t="inlineStr">
        <is>
          <t>Tracker Gate_Checklist</t>
        </is>
      </c>
    </row>
    <row r="19">
      <c r="A19" s="10" t="inlineStr">
        <is>
          <t>LC-1..LC-14</t>
        </is>
      </c>
      <c r="B19" s="4" t="inlineStr">
        <is>
          <t>Launch checklist items for the Teams store and AppSource.</t>
        </is>
      </c>
      <c r="C19" s="4" t="inlineStr">
        <is>
          <t>Tracker, product workbook</t>
        </is>
      </c>
    </row>
    <row r="20">
      <c r="A20" s="10" t="inlineStr">
        <is>
          <t>R-S1..R-S21</t>
        </is>
      </c>
      <c r="B20" s="4" t="inlineStr">
        <is>
          <t>Risks on the tracker RAID sheet.</t>
        </is>
      </c>
      <c r="C20" s="4" t="inlineStr">
        <is>
          <t>Tracker RAID_Carryover</t>
        </is>
      </c>
    </row>
    <row r="21">
      <c r="A21" s="10" t="inlineStr">
        <is>
          <t>D13</t>
        </is>
      </c>
      <c r="B21" s="4" t="inlineStr">
        <is>
          <t>Portfolio-wide decision: discovery interviews parked, 100% automated coverage required instead. SD244 is where it comes back.</t>
        </is>
      </c>
      <c r="C21" s="4" t="inlineStr">
        <is>
          <t>All documents</t>
        </is>
      </c>
    </row>
    <row r="22">
      <c r="A22" s="10" t="inlineStr">
        <is>
          <t>D-SD2</t>
        </is>
      </c>
      <c r="B22" s="4" t="inlineStr">
        <is>
          <t>Status vocabulary: Done / Code-complete pending live / In progress / Drafted / Backlog. "Done" counts Done only.</t>
        </is>
      </c>
      <c r="C22" s="4" t="inlineStr">
        <is>
          <t>All documents</t>
        </is>
      </c>
    </row>
    <row r="23">
      <c r="A23" s="10" t="inlineStr">
        <is>
          <t>D-SD7</t>
        </is>
      </c>
      <c r="B23" s="4" t="inlineStr">
        <is>
          <t>The three-tier quality gate: 100% unit on the domain, a real-dependency integration tier, and a production-seam wiring assertion enforced at boot.</t>
        </is>
      </c>
      <c r="C23" s="4" t="inlineStr">
        <is>
          <t>All documents</t>
        </is>
      </c>
    </row>
    <row r="24">
      <c r="A24" s="10" t="inlineStr">
        <is>
          <t>D-SD8</t>
        </is>
      </c>
      <c r="B24" s="4" t="inlineStr">
        <is>
          <t>The eleven stories that are live- or human-gated keep their points and sit at "To do — Senthil" rather than being restated as something greener.</t>
        </is>
      </c>
      <c r="C24" s="4" t="inlineStr">
        <is>
          <t>All documents</t>
        </is>
      </c>
    </row>
    <row r="25">
      <c r="A25" s="10" t="inlineStr">
        <is>
          <t>RSC</t>
        </is>
      </c>
      <c r="B25" s="4" t="inlineStr">
        <is>
          <t>Resource-specific consent: Teams permissions scoped to the team that installed the app rather than the whole tenant.</t>
        </is>
      </c>
      <c r="C25" s="4" t="inlineStr">
        <is>
          <t>Manifest, scope documents</t>
        </is>
      </c>
    </row>
    <row r="26">
      <c r="A26" s="10" t="inlineStr">
        <is>
          <t>Code-complete pending live</t>
        </is>
      </c>
      <c r="B26" s="4" t="inlineStr">
        <is>
          <t>The code is finished and tested; the evidence that would close it needs a real tenant, staging or a vendor. Not a synonym for Done.</t>
        </is>
      </c>
      <c r="C26" s="4" t="inlineStr">
        <is>
          <t>All documents</t>
        </is>
      </c>
    </row>
    <row r="27">
      <c r="A27" s="10" t="inlineStr">
        <is>
          <t>Pending live</t>
        </is>
      </c>
      <c r="B27" s="4" t="inlineStr">
        <is>
          <t>Shorthand for the above.</t>
        </is>
      </c>
      <c r="C27" s="4" t="inlineStr">
        <is>
          <t>All documents</t>
        </is>
      </c>
    </row>
    <row r="28">
      <c r="A28" s="10" t="inlineStr">
        <is>
          <t>Tier 1 / 2 / 3</t>
        </is>
      </c>
      <c r="B28" s="4" t="inlineStr">
        <is>
          <t>The three parts of the D-SD7 gate: unit, real-store integration, production-seam wiring.</t>
        </is>
      </c>
      <c r="C28" s="4" t="inlineStr">
        <is>
          <t>This document, CI workflows</t>
        </is>
      </c>
    </row>
  </sheetData>
  <pageMargins left="0.75" right="0.75" top="1" bottom="1" header="0.5" footer="0.5"/>
</worksheet>
</file>

<file path=xl/worksheets/sheet15.xml><?xml version="1.0" encoding="utf-8"?>
<worksheet xmlns="http://schemas.openxmlformats.org/spreadsheetml/2006/main">
  <sheetPr>
    <tabColor rgb="FF548235"/>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5" customWidth="1" min="1" max="1"/>
    <col width="66" customWidth="1" min="2" max="2"/>
    <col width="74" customWidth="1" min="3" max="3"/>
    <col width="18" customWidth="1" min="4" max="4"/>
    <col width="18" customWidth="1" min="5" max="5"/>
    <col width="12" customWidth="1" min="6" max="6"/>
    <col width="10" customWidth="1" min="7" max="7"/>
  </cols>
  <sheetData>
    <row r="1">
      <c r="A1" s="7" t="inlineStr">
        <is>
          <t>SIGN-OFF — who accepted what, and on what evidence</t>
        </is>
      </c>
      <c r="B1" s="2" t="n"/>
      <c r="C1" s="2" t="n"/>
      <c r="D1" s="2" t="n"/>
      <c r="E1" s="2" t="n"/>
      <c r="F1" s="2" t="n"/>
      <c r="G1" s="2" t="n"/>
    </row>
    <row r="2" ht="58" customHeight="1">
      <c r="A2" s="8" t="inlineStr">
        <is>
          <t>HOW TO USE THIS SHEET — Sign only what you have checked. An unsigned row is more useful than a signed row that was not read: the whole point of this document set is that "it looks done" has been wrong six times in this product.</t>
        </is>
      </c>
    </row>
    <row r="4">
      <c r="A4" s="3" t="inlineStr">
        <is>
          <t>#</t>
        </is>
      </c>
      <c r="B4" s="3" t="inlineStr">
        <is>
          <t>Statement being signed</t>
        </is>
      </c>
      <c r="C4" s="3" t="inlineStr">
        <is>
          <t>Evidence to check before signing</t>
        </is>
      </c>
      <c r="D4" s="3" t="inlineStr">
        <is>
          <t>Name</t>
        </is>
      </c>
      <c r="E4" s="3" t="inlineStr">
        <is>
          <t>Role</t>
        </is>
      </c>
      <c r="F4" s="3" t="inlineStr">
        <is>
          <t>Date</t>
        </is>
      </c>
      <c r="G4" s="3" t="inlineStr">
        <is>
          <t>Signed</t>
        </is>
      </c>
    </row>
    <row r="5">
      <c r="A5" s="4" t="n">
        <v>1</v>
      </c>
      <c r="B5" s="4" t="inlineStr">
        <is>
          <t>The version history in this document matches the tracker and the delivered artefacts.</t>
        </is>
      </c>
      <c r="C5" s="4" t="inlineStr">
        <is>
          <t>Version_Detail against the tracker Version_Control sheet; the zip file name against the codebase version on the Cover sheet.</t>
        </is>
      </c>
      <c r="D5" s="4" t="n"/>
      <c r="E5" s="4" t="n"/>
      <c r="F5" s="4" t="n"/>
      <c r="G5" s="16" t="n"/>
    </row>
    <row r="6">
      <c r="A6" s="4" t="n">
        <v>2</v>
      </c>
      <c r="B6" s="4" t="inlineStr">
        <is>
          <t>The reasons recorded for each release are accurate.</t>
        </is>
      </c>
      <c r="C6" s="4" t="inlineStr">
        <is>
          <t>Version_Detail column F for any three releases you remember, against the tracker log events.</t>
        </is>
      </c>
      <c r="D6" s="4" t="n"/>
      <c r="E6" s="4" t="n"/>
      <c r="F6" s="4" t="n"/>
      <c r="G6" s="16" t="n"/>
    </row>
    <row r="7">
      <c r="A7" s="4" t="n">
        <v>3</v>
      </c>
      <c r="B7" s="4" t="inlineStr">
        <is>
          <t>The pending list is complete and each blocker is correctly stated.</t>
        </is>
      </c>
      <c r="C7" s="4" t="inlineStr">
        <is>
          <t>Pending_Versions in full. The test is whether anything is pending that is not listed, and whether any blocker is really effort in disguise.</t>
        </is>
      </c>
      <c r="D7" s="4" t="n"/>
      <c r="E7" s="4" t="n"/>
      <c r="F7" s="4" t="n"/>
      <c r="G7" s="16" t="n"/>
    </row>
    <row r="8">
      <c r="A8" s="4" t="n">
        <v>4</v>
      </c>
      <c r="B8" s="4" t="inlineStr">
        <is>
          <t>The manual test specification is executable by someone who did not write the product.</t>
        </is>
      </c>
      <c r="C8" s="4" t="inlineStr">
        <is>
          <t>Pick five cases at random, including two negative ones, and try to run them from the steps alone.</t>
        </is>
      </c>
      <c r="D8" s="4" t="n"/>
      <c r="E8" s="4" t="n"/>
      <c r="F8" s="4" t="n"/>
      <c r="G8" s="16" t="n"/>
    </row>
    <row r="9">
      <c r="A9" s="4" t="n">
        <v>5</v>
      </c>
      <c r="B9" s="4" t="inlineStr">
        <is>
          <t>The automated evidence claimed on Test_Summary is reproducible.</t>
        </is>
      </c>
      <c r="C9" s="4" t="inlineStr">
        <is>
          <t>Run the five commands on Test_Summary against the delivered zip and compare the numbers.</t>
        </is>
      </c>
      <c r="D9" s="4" t="n"/>
      <c r="E9" s="4" t="n"/>
      <c r="F9" s="4" t="n"/>
      <c r="G9" s="16" t="n"/>
    </row>
    <row r="10">
      <c r="A10" s="4" t="n">
        <v>6</v>
      </c>
      <c r="B10" s="4" t="inlineStr">
        <is>
          <t>The limits stated in Assumptions_Constraints are the real limits.</t>
        </is>
      </c>
      <c r="C10" s="4" t="inlineStr">
        <is>
          <t>Assumptions_Constraints in full, against anything you believe the product has proven.</t>
        </is>
      </c>
      <c r="D10" s="4" t="n"/>
      <c r="E10" s="4" t="n"/>
      <c r="F10" s="4" t="n"/>
      <c r="G10" s="16" t="n"/>
    </row>
    <row r="11">
      <c r="A11" s="4" t="n">
        <v>7</v>
      </c>
      <c r="B11" s="4" t="inlineStr">
        <is>
          <t>This document may be issued as the build evidence for a store submission or an audit question.</t>
        </is>
      </c>
      <c r="C11" s="4" t="inlineStr">
        <is>
          <t>Everything above, plus the Cover classification and retention lines.</t>
        </is>
      </c>
      <c r="D11" s="4" t="n"/>
      <c r="E11" s="4" t="n"/>
      <c r="F11" s="4" t="n"/>
      <c r="G11" s="16" t="n"/>
    </row>
    <row r="13">
      <c r="A13" s="8" t="inlineStr">
        <is>
          <t>NOT SIGNED AND NOT CLAIMED: that the product works in a real Microsoft tenant, that anyone wants it, or that it will break even. Those are answered by SD226/SD228, SD244 and SD246/SD247 respectively, and none of them can be answered by this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2026-09-20T16:29:08Z</dcterms:created>
  <dcterms:modified xmlns:dcterms="http://purl.org/dc/terms/" xmlns:xsi="http://www.w3.org/2001/XMLSchema-instance" xsi:type="dcterms:W3CDTF">2026-09-20T16:29:08Z</dcterms:modified>
</cp:coreProperties>
</file>