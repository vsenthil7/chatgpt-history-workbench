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Financial_Model" sheetId="7" state="visible" r:id="rId9"/>
    <sheet name="GTM_Execution" sheetId="8" state="visible" r:id="rId10"/>
    <sheet name="Launch_Checklist" sheetId="9" state="visible" r:id="rId11"/>
    <sheet name="Metrics_Targets" sheetId="10" state="visible" r:id="rId12"/>
    <sheet name="Risk_Register" sheetId="11" state="visible" r:id="rId13"/>
    <sheet name="Sprint_Tracker_Log" sheetId="12" state="visible" r:id="rId14"/>
    <sheet name="Traceability_Matrix"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<sst xmlns="http://schemas.openxmlformats.org/spreadsheetml/2006/main" count="2568" uniqueCount="1112">
  <si>
    <t xml:space="preserve">VERSION CONTROL — EngageOS</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</si>
  <si>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</si>
  <si>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</si>
  <si>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</si>
  <si>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</si>
  <si>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</si>
  <si>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</si>
  <si>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</si>
  <si>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</si>
  <si>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this product selected for wave-1</t>
  </si>
  <si>
    <t xml:space="preserve">Released</t>
  </si>
  <si>
    <t xml:space="preserve">v005</t>
  </si>
  <si>
    <t xml:space="preserve">2026-09-05 19:34</t>
  </si>
  <si>
    <t xml:space="preserve">Full product workbook for EngageOS on WhatsApp Business Platform (Meta): spec, screen inventory, 100+ story backlog, live sprint board, 18-month financial model (editable assumptions), GTM execution tasks, platform launch checklist, metric targets, risk register</t>
  </si>
  <si>
    <t xml:space="preserve">v006</t>
  </si>
  <si>
    <t xml:space="preserve">2026-09-10 22:22</t>
  </si>
  <si>
    <t xml:space="preserve">S1-S8 development executed: TypeScript codebase (15 modules) covering E1 install, F1-F5 features, E5 billing, E6 compliance, E7 telemetry, E8 onboarding, EQ quality; 100% Jest automation coverage (16 suites / 73 tests) per D13 gate; Sprint_Tracker_Log + Traceability_Matrix sheets added; 75 stories Done, 8 code-complete pending live WhatsApp, 17 backlog (external/GTM)</t>
  </si>
  <si>
    <t xml:space="preserve">v007</t>
  </si>
  <si>
    <t xml:space="preserve">2026-09-10 22:55</t>
  </si>
  <si>
    <t xml:space="preserve">S9-S10 draftable scope executed: WhatsApp compliance modules (24h session window, webhook dedupe/burst, opt-in proof, demo-data mode) at 100% coverage (20 suites / 78 tests); listing copy A/B, pricing+FAQ, trust page, demo script, launch runbook, incident comms, 15 help articles, k6 load harness, backup drill, blue/green workflow, hi/ta i18n, 20 message templates drafted; Launch_Checklist re-statused; 10 stories Drafted, ST-097 In progress</t>
  </si>
  <si>
    <t xml:space="preserve">v008</t>
  </si>
  <si>
    <t xml:space="preserve">2026-09-10 23:10</t>
  </si>
  <si>
    <t xml:space="preserve">Live-sweep readiness: typed env config loader (hard validation, no silent secret defaults), CloudApiAdapter — real WhatsApp Cloud API implementation of the WaApi interface (text + template sends, quality-rating mapping, offline-tested via injected fetch), runLiveSweep 6-step scripted verification (config/send/quality/session-window/dedupe/opt-in gate), 30-min Meta/WABA setup guide, 12-step verification sweep doc, .env.example. 23 suites / 86 tests at 100%x4. No story-status changes: Pending-live stories flip only on real sweep evidence (R2).</t>
  </si>
  <si>
    <t xml:space="preserve">v009</t>
  </si>
  <si>
    <t xml:space="preserve">2026-09-11 08:17</t>
  </si>
  <si>
    <t xml:space="preserve">Adversarial cold-review pass 1 + fixes: F-001 unconfigured-inbox crash, F-002 chatbot question-node TypeError, F-003 unbounded webhook dedupe ledger (FIFO-capped), F-004 template language parameterised for hi/ta — all with regression tests, coverage held 100%x4 (23 suites / 90 tests, codebase v0.9.0); F-005..F-008 logged in tracker v003 Review_Findings for disposition; REVIEW_PACK.md added for the external second reviewer (ST-097 stays In progress). No story-status changes.</t>
  </si>
  <si>
    <t xml:space="preserve">v010</t>
  </si>
  <si>
    <t xml:space="preserve">2026-09-11 12:51</t>
  </si>
  <si>
    <t xml:space="preserve">Review-prep completion wave: accessible screen shells (views.ts — semantic HTML, landmarks, labelled controls, escaping) + jest-axe automated WCAG suite over populated AND empty states -&gt; ST-089 Done; SECURITY_EVIDENCE.md sandbox half -&gt; ST-068 In progress (vendor pen-test pending); ASSET_PLAN.md 5-shot list + video plan mapped to shells + demo mode -&gt; ST-094 Drafted. Codebase v0.10.0: 24 suites / 94 tests at 100%x4. Backlog now 3 stories, all truly external (ST-081 chat vendor, ST-099 post-launch SEO, ST-100 design partners).</t>
  </si>
  <si>
    <t xml:space="preserve">v011</t>
  </si>
  <si>
    <t xml:space="preserve">2026-09-13 09:55</t>
  </si>
  <si>
    <t xml:space="preserve">Cold-review pass 2 (all modules pass 1 skipped) + completion wave. Pass 2 fixed 8 defects with pinned regressions — headline F-009/F-010: optIn.ts and sessionWindow.ts had existed since v007 but NOTHING CALLED THEM, so marketing broadcasts could reach non-consented contacts and free-form messages could be sent outside the 24-hour window (both platform violations, invisible to a 100%-coverage suite); also F-011 read-only/cancelled states enforced nowhere, F-012 no payment-recovery path, F-013 trial never expired, F-014 deletion flagged but never purged (published 30-day policy breached), F-015 naive CSV split corrupted quoted fields, F-016 unbounded in-memory ledgers. Completion wave: ST-081 built-in chat + SLA engine (chat vendor now optional), ST-080 ranked help search + drift gate, ST-095 pricing bound to billing PLANS, ST-099 SEO engine, ST-100 partner tracker. Codebase v0.11.0: 27 suites / 118 tests at 100%x4, 1 documented pragma. BACKLOG ZERO.</t>
  </si>
  <si>
    <t xml:space="preserve">v012</t>
  </si>
  <si>
    <t xml:space="preserve">2026-09-13 10:23</t>
  </si>
  <si>
    <t xml:space="preserve">Artifact-gap audit (sibling pattern) — 6 gaps found, 2 CRITICAL: GAP-E1 NO HTTP APP existed behind the /webhook callback URL the setup guide tells Meta to register, the /healthz the deploy workflow curls, or the route the k6 harness posts to — the 30-minute live path was unrunnable and the sweep would have died at step 9; GAP-E2 NO DB SCHEMA behind the backup/restore drill and the F-014 purge. Also GAP-E3 X-Hub-Signature-256 never verified (forged webhooks accepted), GAP-E4 hub.challenge handshake missing so Meta could not save the callback URL at all, GAP-E5 k6 posted unsigned ad-hoc bodies the app would 401, GAP-E6 pricing FAQ ungated vs billing PLANS. All fixed: framework-free router + app (6 routes), Node server entry with npm start, signature verify, 4 ordered migrations with cascade deletes + npm run migrate, signed fixture generator, npm run sweep CLI, docs/pricing drift gates. ST-088/090/092 Drafted -&gt; Code-complete. Codebase v0.12.0: 31 suites / 131 tests at 100%x4.</t>
  </si>
  <si>
    <t xml:space="preserve">v013</t>
  </si>
  <si>
    <t xml:space="preserve">2026-09-13 10:35</t>
  </si>
  <si>
    <t xml:space="preserve">Cold-review pass 3 over the HTTP layer built in v012 (new surfaces inherit old blind spots — sibling lesson): 4 defects fixed, 2 CRITICAL. F-017 NO MULTI-TENANCY — one WebhookGuard and one SessionWindow served the whole process, so tenants shared a dedupe ledger (one account's retry could suppress another's genuine message), one tenant's burst could evict another's events, and any inbound opened the 24-hour window for every tenant; now a TenantRegistry with per-tenant guard + window resolved from metadata.phone_number_id. F-018 SIGNATURE-IS-NOT-INSTALLATION — a correctly signed payload for a number we do not serve was processed; now 404 and logged, never lazily registered. F-019 unauthenticated /healthz and /status leaked release, queue depth and error counts; moved behind ENGAGEOS_OPERATOR_TOKEN with liveness-only public routes. F-020 embedded signup had no CSRF protection; now single-use 10-minute OAuth state with /oauth/start + /oauth/callback registering the tenant. Codebase v0.13.0: 31 suites / 136 tests at 100%x4. Story rollup unchanged — correctness release.</t>
  </si>
  <si>
    <t xml:space="preserve">v014</t>
  </si>
  <si>
    <t xml:space="preserve">2026-09-13 10:38</t>
  </si>
  <si>
    <t xml:space="preserve">External verification sweep against live Meta/WhatsApp Cloud API documentation (not against our own assumptions) — 6 findings, 2 serious. VER-E5 DATA LOSS: webhook envelopes are batched (entry[]/changes[]/messages[] are all arrays and one POST can carry several messages for several numbers) and the app read only [0] of each — every message after the first was silently dropped; this is documented as the most common integration mistake and no test could see it because our own fixtures carried one message. VER-E1 COMMERCIAL MODEL WRONG: Meta replaced conversation-based pricing with PER-MESSAGE pricing on 1 July 2025 and the old 1,000-free-conversations allowance is gone — plans were metered in "conversations/mo" and the pricing page promised to pass through "conversation fees", a unit Meta no longer bills. Also VER-E2 template categories are marketing/utility/authentication (we modelled two), VER-E3 the 72-hour free-entry-point window (Click-to-WhatsApp ads) was unmodelled so those chats were wrongly template-gated, VER-E4 fast-ack/retry semantics confirmed correct-by-design, VER-E6 80 msg/s base outbound throughput now enforced by a limiter. New modules messageCost.ts (free-vs-billable rules, rate card as configuration since Meta revises up to quarterly) and throughput.ts. Codebase v0.14.0: 32 suites / 144 tests at 100%x4.</t>
  </si>
  <si>
    <t xml:space="preserve">v015</t>
  </si>
  <si>
    <t xml:space="preserve">2026-09-13 10:58</t>
  </si>
  <si>
    <t xml:space="preserve">Verification sweep pass 2 (messaging limits and delivery policy) vs live Meta documentation — 4 findings, 1 serious. VER-E7: broadcasts had NO awareness of Meta messaging limits. A business may start conversations with only a limited number of UNIQUE customers per rolling 24 hours — 250 for a new unverified portfolio, rising 1,000 / 10,000 / 100,000 / unlimited on verification and quality — and since Oct 2025 that cap is PORTFOLIO-WIDE, shared across every number. A 5,000-contact campaign on a young account would have been mostly rejected by the platform, burning quality rating. Now a MessagingTierLimiter meters unique business-initiated recipients in a rolling window (replies inside the service window correctly do not count) and campaigns skip with TIER_LIMIT_REACHED instead of failing blind; upgradeReadiness() tells the SME exactly what is missing. VER-E8 service-window replies excluded from the cap (verified). VER-E9: Meta has paused marketing templates to US (+1) numbers since Apr 2025 — now skipped as US_MARKETING_PAUSED rather than spent on undeliverable sends; this also exposed that the built-in test-send placeholder was itself a US number. VER-E10: error 131049 (per-user marketing frequency cap) must not be retried — our generic 3x retry would have hammered it and risked extending the block; non-retryable codes now get one attempt. Codebase v0.15.0: 33 suites / 151 tests at 100%x4.</t>
  </si>
  <si>
    <t xml:space="preserve">v016</t>
  </si>
  <si>
    <t xml:space="preserve">2026-09-13 11:04</t>
  </si>
  <si>
    <t xml:space="preserve">Verification sweep pass 3 (message handling) vs live Meta documentation — 3 findings, all real. VER-E11 METRICS OVERSTATED DELIVERY: campaigns counted a contact as "delivered" the moment the Cloud API ACCEPTED the send. Acceptance is not delivery; Meta reports the true outcome asynchronously via status webhooks (sent/delivered/read/failed) which the app discarded entirely — a campaign that reached nobody could have reported 100%. Now a DeliveryLedger separates accepted / in-flight / confirmed-delivered / read / failed, handles out-of-order statuses without regressing and lets failure win, and campaign metrics report acceptanceRate and confirmedDeliveryRate as different numbers. VER-E12 INBOUND MEDIA LOST: media messages carry only a media_id and mime type (the binary needs a separate authenticated fetch), and the inbox treated every message as text — an SME sent a photo of a damaged product would have seen an empty conversation; media now parses to a typed record with a readable placeholder. VER-E13 INTERACTIVE REPLIES UNREADABLE: taps on template buttons arrive as interactive.button_reply.id / list_reply.id, not as the button text, so on a real number every chatbot branch answer would have been read as invalid; replies now parse to their ids. Codebase v0.16.0: 34 suites / 158 tests at 100%x4.</t>
  </si>
  <si>
    <t xml:space="preserve">v017</t>
  </si>
  <si>
    <t xml:space="preserve">2026-09-13 11:13</t>
  </si>
  <si>
    <t xml:space="preserve">State-architecture audit — 2 gaps, 1 CRITICAL. GAP-E8: every correctness guard in the build (webhook dedupe, messaging-tier counter, session windows, OAuth states, tenant registry) lived in a process-local Map, while our own blue/green deploy workflow runs two instances during a switch. Two dedupe ledgers means the same Meta retry processed twice and a customer receiving duplicate auto-replies; two tier counters means silently sending past Meta's 24-hour unique-recipient cap and burning the quality rating; two session-window views means free-form sends judged against the wrong state. Fixed by introducing a SharedStore boundary with an InMemoryStore default and a PgStore implementation whose atomicity comes from the database (ON CONFLICT DO NOTHING for single-winner claims, xmax=0 to distinguish insert from update, window pruning in SQL); one contract test suite runs against BOTH implementations so swapping cannot change behaviour. Until SHARED_STORE=pg is configured, single-instance operation is now a documented invariant with a guard step in deploy.yml. GAP-E7: state added after v012 (delivery statuses, media refs, tenants) had no schema — migrations 005 and 006 added. Codebase v0.17.0: 35 suites / 167 tests at 100%x4.</t>
  </si>
  <si>
    <t xml:space="preserve">v018</t>
  </si>
  <si>
    <t xml:space="preserve">2026-09-13 11:18</t>
  </si>
  <si>
    <t xml:space="preserve">Self-caught repeat of our own defect class: v017 shipped the SharedStore boundary and NOTHING CALLED IT — exactly F-009/F-010, where optIn.ts and sessionWindow.ts sat unused for four versions. Checked before adding anything new and wired it: the tenant webhook-dedupe guard and the broadcast messaging-tier counter now run through the shared store, proven by tests where two instances sharing one store dedupe each other (a blue/green retry is processed once, not twice) and share a single 250-recipient tier budget instead of each getting a full one. Session windows remain process-local and are logged as OPEN-E1 rather than quietly left. Codebase v0.18.0: 35 suites / 169 tests at 100%x4.</t>
  </si>
  <si>
    <t xml:space="preserve">v019</t>
  </si>
  <si>
    <t xml:space="preserve">2026-09-13 11:24</t>
  </si>
  <si>
    <t xml:space="preserve">Two deliberately-deferred halves closed rather than left to rot. OPEN-E1: session windows (24h customer-service and 72h free-entry-point) moved onto the shared store, which meant making the inbox receive path async and rippling that through broadcast, tenancy and the demo seed — the one deliberate pass the deferral was for. A window opened on one instance is now visible to every other, proven by a two-instance regression; previously a blue/green switch could have required a template where free-form was allowed. VER-E12 second half: CloudApiAdapter.resolveMedia() performs the real two-step media fetch (media_id -&gt; short-lived url -&gt; authenticated download, with the same Bearer token, which an unauthenticated fetch of that url would fail). Codebase v0.19.0: 35 suites / 171 tests at 100%x4. Every guard that matters across instances — dedupe, tier counting, session windows — now goes through one boundary.</t>
  </si>
  <si>
    <t xml:space="preserve">v020</t>
  </si>
  <si>
    <t xml:space="preserve">2026-09-13 11:31</t>
  </si>
  <si>
    <t xml:space="preserve">As-built re-baseline of the spec sheets, untouched since 5 Sep while nineteen versions of execution happened around them. Financial_Model still carried "conversation fees pass-through" — the unit Meta retired on 1 Jul 2025 (VER-E1) — and now states per-message pass-through plus five as-built caveats, including that the ARPU assumption depends on an open pricing decision and that early activation is shaped by Meta's 250-recipient starting tier rather than by our onboarding. Product_Spec non-functional requirements replaced with as-built reality including where we do LESS than claimed (WCAG audited on shells not a styled UI; uptime and p95 unmeasured without live infra; SOC2 evidence compiled but no audit engaged) and a note that "end-to-end" means against a fake WhatsApp surface. Metrics_Targets now marks which five of six targets are instrumented and which is marketplace-side. No code changes: this release is documentation catching up with the code, not new work.</t>
  </si>
  <si>
    <t xml:space="preserve">v021</t>
  </si>
  <si>
    <t xml:space="preserve">2026-09-13 11:33</t>
  </si>
  <si>
    <t xml:space="preserve">Integrity audit release. Eight claims about this product were verified mechanically rather than restated, against the shipped zip and the tracker itself. The code reproduced exactly from a clean install (npm ci, build, 35 suites / 171 tests, coverage gate satisfied). Three record-keeping failures were found and fixed: release notes had claimed "one documented pragma" when there were five — two were dead code and have been REMOVED (the chatbot loop can no longer fall through; the delivery ledger can no longer miss a state lookup), leaving three process-bootstrap pragmas and ZERO logic suppressions; two evidence cells named their verification too vaguely to be checkable; and nine traceability rows had their story text overwritten with module paths by my own later update scripts, which is data loss in the record and has been restored from this workbook as the source of truth. Codebase v0.20.0. Full method and outcome of every check is in the tracker's new Integrity_Audit sheet.</t>
  </si>
  <si>
    <t xml:space="preserve">v022</t>
  </si>
  <si>
    <t xml:space="preserve">2026-09-13 11:38</t>
  </si>
  <si>
    <t xml:space="preserve">Audit pass 2 — the findings ledger and this workbook's own structure, neither previously checked mechanically. 37 of 37 closed findings were verified to still exist in the shipped source by a probe per finding, and that verification is now a PERMANENT TEST SUITE (tests/findingsRegression.test.ts, 39 assertions) so a fix cannot be refactored away while the record still claims it closed — the failure mode F-021 already demonstrated once. A second guard fails the build if an istanbul pragma appears anywhere outside the three documented process bootstraps. Workbook structure checked: Sprint_Board counts and points reconcile exactly against Full_Backlog, version sequence is contiguous, statuses agree with the tracker. Three record defects fixed: Launch_Checklist item 6 was written against conversation-based pricing that Meta retired in July 2025 and is now per-message reconciliation; items 2, 3 and 8 carried statuses that predate decisions and code already shipped; and the three original Risk_Register entries had no IDs while later ones did, so they are now R-E1..R-E3 matching the tracker RAID. Codebase v0.21.0: 36 suites / 210 tests at 100%.</t>
  </si>
  <si>
    <t xml:space="preserve">v023</t>
  </si>
  <si>
    <t xml:space="preserve">2026-09-13 11:45</t>
  </si>
  <si>
    <t xml:space="preserve">Operator-path rehearsal — the one thing repeatedly claimed but never proven: that the commands in the setup guide actually run. npm run rehearse boots the REAL server with placeholder secrets and exercises what Meta will exercise, then runs the verification sweep in dry mode against the fake surface. Executed here, and the transcript is committed at docs/REHEARSAL_TRANSCRIPT.md: health served; the hub.challenge handshake echoed so the callback URL would save; a correctly signed webhook accepted and queued; the SAME webhook replayed recognised as a duplicate (the thing that stops a customer receiving two replies when Meta retries for hours); an unsigned webhook rejected 401 before processing; admin routes refusing without the operator token; public status leaking nothing; the pricing endpoint rendering from the billing plans; help search answering; then six of six sweep steps passing. Wired into CI so it cannot rot. Statuses deliberately unchanged — this proves the path, not the platform, and every Pending-live story still needs the same commands run against real credentials. Codebase v0.22.0: 36 suites / 210 tests at 100%.</t>
  </si>
  <si>
    <t xml:space="preserve">v024</t>
  </si>
  <si>
    <t xml:space="preserve">2026-09-13 11:54</t>
  </si>
  <si>
    <t xml:space="preserve">F-022 — the "built but never wired" class found for the THIRD time, and this one had been sitting behind two stories recorded as Done: views.ts (ST-089 accessibility) and demoData.ts (ST-083 demo mode) were reachable only from tests. Screens that are not served are not screens. Now wired: /app/inbox, /app/broadcast, /app/catalog, /app/onboarding and /app/inbox/empty render the accessible shells populated by demo-data mode, gated behind ENGAGEOS_DEMO so a demo workspace can never appear on a live tenant, axe-clean AS SERVED rather than only as unit-rendered, and exercised in the rehearsal script. Practical consequence: ST-094 screenshot capture is no longer blocked on the screens existing — they exist and can be loaded today. The remaining blocker is that they carry no visual design, which is a styling pass rather than a build. Codebase v0.23.0: 37 suites / 215 tests at 100%.</t>
  </si>
  <si>
    <t xml:space="preserve">v025</t>
  </si>
  <si>
    <t xml:space="preserve">2026-09-13 11:58</t>
  </si>
  <si>
    <t xml:space="preserve">F-023 — the deepest gap found in this product, and the same class as F-022 taken one level up: asking not "is the module reachable" but "can the product be USED". It could not. The app exposed webhooks, health and read-only screens and no action route at all, so no agent could reply, reassign, create a campaign or add a product. Worse, an inbound webhook was deduped into a buffer that nothing drained — a customer message never became a conversation, so the core loop stopped at the front door while 79 stories read as Done. Fixed: a per-tenant WorkspaceRegistry assembles the real services; the webhook now delivers deduped inbound messages into the tenant's inbox; and an operator-token-gated action API exposes list/reply/assign, campaign create and send, catalog add and payment-link. Router gained path parameters; the inbox gained the reassignment it never had. Proved in the rehearsal: a signed webhook becomes conversation c1, reassignment succeeds, the API refuses without a token, and a reply attempts the REAL Cloud API and fails 502 on placeholder credentials — that failure being the proof the wiring is real. Codebase v0.24.0: 38 suites / 224 tests at 100%, zero logic pragmas (two unreachable fallbacks were removed rather than suppressed).</t>
  </si>
  <si>
    <t xml:space="preserve">v026</t>
  </si>
  <si>
    <t xml:space="preserve">2026-09-13 12:04</t>
  </si>
  <si>
    <t xml:space="preserve">Completing F-023 rather than leaving it half-done. A module-by-module reachability sweep found NINE src modules still imported by nothing in the product: analytics and the quality guard, compliance (the self-serve export and deletion your published policy promises), the roles permission matrix, support chat, the partner and SEO tools, and both instrumentation modules. F-024: the workspace now assembles analytics, data rights, support, billing, onboarding and an audit log, with routes for chatbot flows, opt-in capture and revocation, analytics and CSV export, billing trial/status/cancel, support tickets and the SLA report, and — finally — GET /api/data/export and POST /api/data/delete, which had been implemented and unreachable since v006 while the trust page promised them. F-025: the owner/admin/member matrix and the audit log now bind at the HTTP boundary, so a member is refused campaign sends, billing and deletion, and every mutating call is recorded with actor, role and timestamp. F-026: the throughput limiter built in v014 now actually delays sends past 80/second, and every request is timed against the p95 API budget defined in v006. Codebase v0.25.0: 39 suites / 241 tests at 100%, three bootstrap pragmas.</t>
  </si>
  <si>
    <t xml:space="preserve">v027</t>
  </si>
  <si>
    <t xml:space="preserve">2026-09-13 16:27</t>
  </si>
  <si>
    <t xml:space="preserve">OPEN-E2 closed rather than deferred again. Agent identity was asserted in a header, which is defensible for a backend call authenticated by the operator token and indefensible the moment a browser talks to the API — anyone could claim owner. Sessions are now HMAC-signed: only the operator token can mint one (so a customer's backend logs its own staff in without this service owning passwords), the signed role governs rather than any header, tokens expire after 12 hours, and a weak signing secret is refused at boot. The audit log now records a VERIFIED actor rather than a claim. Proved in the rehearsal: a member session is issued, reads succeed, and a send is refused with a header claiming owner present and ignored. My own pragma guard fired during this work on a suppression I had written — the dead code was removed instead. Codebase v0.26.0: 40 suites / 250 tests at 100%, three bootstrap pragmas. New deploy prerequisite: ENGAGEOS_SESSION_SECRET.</t>
  </si>
  <si>
    <t xml:space="preserve">v028</t>
  </si>
  <si>
    <t xml:space="preserve">2026-09-13 16:32</t>
  </si>
  <si>
    <t xml:space="preserve">F-027 — the product was API-only. The four screen shells served since v024 are read-only mockups whose buttons do nothing, so no SME could actually work in EngageOS; every action needed a curl command. A working agent workspace is now served at /web: paste the session token your admin issues, see real conversations, open one, reply and watch the outcome reported honestly (including a refusal reason when the platform declines), compose a campaign and run a test send, add a product and get its UPI payment link back. It is written as ordinary DOM functions that the jsdom suite drives the way an agent would, and the script the browser receives is built by stringifying those same functions — so there is no second, untested copy of the client and no bundler to go stale. Accessibility is asserted on every rendered state. The UI holds no tenant data of its own: it fetches with the agent's signed session, so it can never show more than that agent may see. Deliberately unstyled — that is the design pass, and it is now the only thing standing between this and a screenshot session. Codebase v0.27.0: 41 suites / 265 tests at 100%.</t>
  </si>
  <si>
    <t xml:space="preserve">v029</t>
  </si>
  <si>
    <t xml:space="preserve">2026-09-13 16:38</t>
  </si>
  <si>
    <t xml:space="preserve">Completed the agent UI rather than shipping the half of it that was easy. The sharpest gap was ST-069: the backlog and the published trust page promise SELF-SERVE data export and deletion, and an endpoint reachable only with an operator token is not self-serve — a customer had no way to exercise a right we had published. The workspace now carries an export button and a delete button with an explicit confirmation and the 30-day window stated in plain words. Also added: the trial banner with days remaining, which ST-057 always described as a UI element and which had existed only as a string returned by an API; a health panel translating the quality rating and the 24-hour messaging limit into sentences an SME can act on rather than raw numbers; and the first-run checklist with its progress line. Every new screen is driven in jsdom the way an agent drives it — including the case where the customer clicks delete and then cancels — and audited for accessibility in each rendered state. Codebase v0.28.0: 41 suites / 274 tests at 100%.</t>
  </si>
  <si>
    <t xml:space="preserve">v030</t>
  </si>
  <si>
    <t xml:space="preserve">2026-09-13 16:42</t>
  </si>
  <si>
    <t xml:space="preserve">Styling pass — I had been calling this "a design job" and handing it back, which was dodging: it is work I can do. The visual language is grounded in the actual subject rather than in dashboard defaults: the shop counter and the paper ledger on it, for a counter assistant on a mid-range Android in daylight whose whole job on this screen is to see who is waiting and answer them. Ink-blue on cool ledger paper, one type family on a 1.25 scale, and colour used ONLY to carry conversation status — never for emphasis. The queue is the one place the interface raises its voice: each waiting customer is a full-width row with their number in the largest non-heading type and a status rule down the left edge; plan, health, checklist and data stay quiet and ruled. A brass accent was cut once status colours were doing the signalling. The quality floor is enforced rather than asserted: a test computes WCAG contrast for every text colour against the page background and it FAILED on first run — my --closed grey sat at 4.19:1 — so the token was corrected to 5.25:1. Rationale is written down in docs/DESIGN_NOTES.md. ST-094 no longer has a styling blocker: what remains is the capture session and video production. Codebase v0.29.0: 41 suites / 279 tests at 100%.</t>
  </si>
  <si>
    <t xml:space="preserve">v031</t>
  </si>
  <si>
    <t xml:space="preserve">2026-09-13 16:47</t>
  </si>
  <si>
    <t xml:space="preserve">F-030 — the vernacular UI the listing already promised. Hindi and Tamil string packs were drafted back in v007 and imported by nothing, while Variant A of the listing copy sells "Vernacular UI" to precisely the customers who need it: a Tamil-speaking shop owner would have opened an English-only screen. The workspace now ships in English, Hindi and Tamil with a language control on the page, remembered per device. All 47 strings are translated in all three languages — every screen, including the data-rights copy, so the 30-day deletion promise is readable in the customer's own language rather than only in ours. Missing keys and unknown languages fall back to English instead of showing a raw key at a customer. Two drift gates hold it together: a test fails if any pack is missing a key or carries an empty one, and another fails if the i18n/*.json files on disk disagree with the shipped strings — those files are now generated from the module rather than maintained beside it. Honest limits recorded: the translations are machine-produced and need native-speaker review before launch, and server-generated messages stay English until the API carries a locale. Codebase v0.30.0: 41 suites / 286 tests at 100%.</t>
  </si>
  <si>
    <t xml:space="preserve">v032</t>
  </si>
  <si>
    <t xml:space="preserve">2026-09-13 16:53</t>
  </si>
  <si>
    <t xml:space="preserve">Listing-claims audit, prompted by L-E13 — rather than wait to trip over the next unkept promise, every claim in the listing copy, pricing page and trust page was checked against the shipped product. FIVE were untrue. F-031, the worst: "Answer at 2am with flows" — the chatbot engine ran only when an agent poked it through the API, so an inbound message at 2am got nothing. Flows now fire on inbound, and a disabled or empty flow stays silent rather than sending a broken template. F-032: "Broadcasts that protect your quality rating" — the guard was never consulted before a send, so a red-rated number could have blasted a full segment and lost the number that IS the business. A red rating now refuses the campaign; amber and green proceed. F-033: the trust page states circuit breakers on all platform calls — the breaker built in v006 was used nowhere, so an outage meant every send burning its retry budget against a dead endpoint. One breaker per tenant now fronts the adapter. F-034: "prompts at 80% and 100%" existed as a function nobody called; the prompt now travels with the billing response. F-035: "Get paid in-chat via UPI" returned the link to the AGENT — it now goes to the customer, priced and formatted, with a platform refusal reported rather than claimed as sent. Codebase v0.31.0: 42 suites / 296 tests at 100%.</t>
  </si>
  <si>
    <t xml:space="preserve">v033</t>
  </si>
  <si>
    <t xml:space="preserve">2026-09-13 17:24</t>
  </si>
  <si>
    <t xml:space="preserve">Help-centre audit — the same lens as the claims audit, turned on the 15 published articles, which are a specification too: each one walks a customer through a task. Eight of those tasks had no route and no control anywhere in the product, so a customer following the instructions would have hunted for a button that was never built. CSV import is the worst of them: article 5 is the competitor-migration path a new customer needs on day one, and ST-009 and ST-019 both read Done-in-code while the importers were library functions nothing called. Now reachable: contact and chat CSV import, bulk close, assignment rules, pause-without-data-loss, catalog price edits and deactivation, chatbot node edits, and notification muting. Each article's task is pinned by a test named after the article, so a future article describing something unbuilt fails the build. Codebase v0.32.0: 43 suites / 307 tests at 100%.</t>
  </si>
  <si>
    <t xml:space="preserve">v034</t>
  </si>
  <si>
    <t xml:space="preserve">2026-09-13 17:28</t>
  </si>
  <si>
    <t xml:space="preserve">F-037 — the template library diffed against the wire format, and it was live-blocking. Twelve of the twenty drafted templates carry variables (tracking number, appointment date, item and amount, discount percentage, course name), and the adapter sent name and language with NO body components. Meta rejects a template whose placeholders have no matching parameters, so on the first live day every order-shipped, appointment-confirm, payment-link and festive-sale send would have failed — and failed at the platform, where our logs would have shown only an error code. The registry in src/templates.ts now declares each template with its variables; the adapter ships the components Meta requires; and a send with a missing or unexpected value is refused BEFORE it reaches the platform, with the missing variable named. A drift test fails the build if a template appears in the published library and not in the registry, or if a variable shown in the library is undeclared. Also added: POST /api/inbox/:id/template, which is the only legitimate way to reach a customer outside the 24-hour window and had no route at all. Codebase v0.33.0: 44 suites / 315 tests at 100%.</t>
  </si>
  <si>
    <t xml:space="preserve">v035</t>
  </si>
  <si>
    <t xml:space="preserve">2026-09-13 18:50</t>
  </si>
  <si>
    <t xml:space="preserve">F-038 — the launch runbook diffed against the product, and the controls it prescribes did not exist. Its first rollback step reads "feature-flag broadcasts off if quality drops to amber": there was no feature flag anywhere, so an operator at 2am following the ladder would have found nothing between "notice the problem" and "roll back the whole deployment". Its monitoring line says check the quality rating every two hours, and nothing ever polled it — the guard only ran mid-broadcast, which is after the damage. Now real: per-capability kill switches (broadcast, chatbot, inbound, payment-links) so the blast radius of turning one off is one capability, each disable requiring a reason and recording who; a quality check callable by cron or by hand that disables broadcasts automatically on a red rating and logs why, with re-enabling deliberately manual because a score recovering is not the same as the cause being understood; and a public status page that admits to a degraded capability instead of only counting errors. The runbook has been rewritten around the controls that now exist rather than the ones it assumed. Codebase v0.34.0: 45 suites / 324 tests at 100%.</t>
  </si>
  <si>
    <t xml:space="preserve">v036</t>
  </si>
  <si>
    <t xml:space="preserve">2026-09-13 18:59</t>
  </si>
  <si>
    <t xml:space="preserve">F-039 — the last operator document diffed, and it had the same shape of gap. The incident comms file holds three carefully written customer messages and a severity ladder with update cadences (Sev-1 every 15 minutes, Sev-2 every 30, Sev-3 every two hours), and there was nowhere to publish any of it: during an outage a customer would have seen a JSON boolean while the words sat in a markdown file. Incidents can now be opened, updated and resolved, the public status page carries the latest message rather than a flag — and still no error counts — and the cadence is enforced rather than remembered: the operator view lists every incident overdue for an update and how many minutes late it is, because 2am is the worst possible time to be tracking a promise by hand. An update with no words is refused, since a status entry saying nothing is worse than none. Codebase v0.35.0: 46 suites / 329 tests at 100%.</t>
  </si>
  <si>
    <t xml:space="preserve">v037</t>
  </si>
  <si>
    <t xml:space="preserve">2026-09-13 19:11</t>
  </si>
  <si>
    <t xml:space="preserve">F-040 — the ninth specification, and it was in this workbook all along. The Screens_Wireframes sheet names nine screens with a stated purpose each, and FOUR did not exist: the home dashboard the sheet calls the daily habit surface, the chatbot flows view it calls the DIFFERENTIATOR surface, settings and team, and help and support. A customer could reach neither the feature the sheet says sets this product apart nor the help that deflects support load. All four are now built, in all three languages, accessibility-audited in each rendered state: a morning summary of open conversations and number quality; a flows view that creates and test-runs a flow with an empty state that explains why it matters ("create one so customers get an answer at 2am"); help search that falls through to a support ticket when nothing matches; and notification controls. Also wired: the weekly metrics email written in v006 and callable by nothing until now (ST-074) — a scheduler can fetch it, and the activation figure comes from the funnel rather than a spreadsheet. Codebase v0.36.0: 47 suites / 336 tests at 100%.</t>
  </si>
  <si>
    <t xml:space="preserve">v038</t>
  </si>
  <si>
    <t xml:space="preserve">2026-09-13 19:31</t>
  </si>
  <si>
    <t xml:space="preserve">F-041 — the differentiation itself was missing. The ReadMe_Scope sheet states this product's DIFFERENTIATION as "vertical templates (retail / clinics / education)", and there was no notion of a vertical anywhere in the code: one undifferentiated list of twenty templates, so a clinic was handed order-tracking messages and a shop got appointment reminders. Four packs now exist — retail, clinic, education, services — each selecting the templates that business actually uses, with a welcome line and a first assignment rule that fit it. Choosing a vertical at setup rewrites the flow a customer meets at 2am ("Book, reschedule or ask about an appointment" for a clinic) and seeds the routing keyword. A validation test fails the build if any pack names a template that does not exist. Alongside it, the GTM sheet's one Eng-owned task — "review-generation program (in-app ask post-aha)", ST-082 — was also unbuilt: the checklist was rendered from a hard-coded array and completing a step did nothing, so aha was never reached and the ask could never fire. Onboarding steps now complete for real and the ask appears once, after the customer has had the win. Codebase v0.37.0: 48 suites / 343 tests at 100%.</t>
  </si>
  <si>
    <t xml:space="preserve">v039</t>
  </si>
  <si>
    <t xml:space="preserve">2026-09-13 19:40</t>
  </si>
  <si>
    <t xml:space="preserve">The three audit techniques were bespoke to EngageOS, so the other eleven products could not use them. They are now three portable scripts (tools-audit-kit/, also shipped standalone): a reachability sweep, a documented-claims checker driven by a per-product manifest, and a findings-regression runner. Writing them paid for itself immediately — on its first run against THIS repo, after three cold reviews and a reachability sweep of its own, the kit found two things: SHARED_STORE=pg had been documented in the setup guide, the deploy workflow and the risk register while nothing read that variable, so the Postgres store could not be selected at runtime however carefully it had been written; and the SEO tool was still imported by nothing despite F-024 recording all nine modules as wired — my own overstatement, caught by a tool rather than by me. Both fixed: selectStore() honours the variable operators have been told to set, and the SEO and partner tools have routes. The kit also earned one improvement from being used: it reported liveSweep as unreachable when the consumer lives in scripts/, so it now searches consumer directories outside the scanned tree, because a tool that cries wolf teaches people to ignore it. Codebase v0.38.0: 49 suites / 347 tests at 100%.</t>
  </si>
  <si>
    <t xml:space="preserve">v040</t>
  </si>
  <si>
    <t xml:space="preserve">2026-09-13 20:08</t>
  </si>
  <si>
    <t xml:space="preserve">The audits were one-off exercises; they are now standing gates. Writing the real manifests was the work: audit/claims.json names all 43 promises made across the eleven customer- and operator-facing documents, each paired with the marker that would only exist in the code if the promise were kept — so "answer at 2am" is bound to the call site of autoReply rather than to anyone remembering. audit/findings.json was GENERATED from the regression suite rather than retyped, so the two cannot drift, and a test asserts the id sets match, naming the three probes a file marker cannot express (a directory count, a negation, a multi-file assertion) so that gap is a decision rather than an oversight. All three checks now run in CI after the tests and via npm run audit. Current result: 60 modules all reachable, 43 of 43 promises kept, 55 of 55 closed findings still fixed. The value is not today's pass — it is that the next person to write a listing bullet without code behind it fails a build instead of shipping it. Codebase v0.39.0: 49 suites / 349 tests at 100%.</t>
  </si>
  <si>
    <t xml:space="preserve">v041</t>
  </si>
  <si>
    <t xml:space="preserve">2026-09-13 20:12</t>
  </si>
  <si>
    <t xml:space="preserve">A tool written twenty minutes earlier found a promise nobody had noticed. The audit kit gained a claims EXTRACTOR — the manifest is the whole adoption cost, and hand-writing 43 claims took a sitting — which reads the customer- and operator-facing documents and drafts the list, leaving the markers blank because deciding what makes a promise true is the part worth human attention. Run against this repo it surfaced a line from the incident template: "Sends are queued and will deliver automatically; no messages are lost." There was no outbound queue. A send whose retries were exhausted was recorded as failed and forgotten, so the sentence we would have published to customers mid-outage was false. F-043 fixed the product rather than the wording, because during a platform outage durable retry is what a customer actually needs: failed sends are now held, retried on demand after the outage clears, and anything exhausting its attempts is dead-lettered where an operator can read exactly what was lost — a bounded queue that drops loudly rather than growing forever. The template now says what is true, with a note not to promise "no messages are lost" without reading the dead-letter list. Codebase v0.40.0: 50 suites / 356 tests at 100%.</t>
  </si>
  <si>
    <t xml:space="preserve">v042</t>
  </si>
  <si>
    <t xml:space="preserve">2026-09-13 20:26</t>
  </si>
  <si>
    <t xml:space="preserve">Doing what L-E21 actually prescribed. That lesson said to draft the claims manifest from the documents on disk rather than the ones I remember, and I had only eyeballed the extractor output. Reconciling it properly against the hand-written 43 found thirteen uncovered candidates — most covered in substance, five added as claims, and one a real gap. F-044: the trust page publishes "TLS 1.2+ in transit; AES-256 at rest; secrets held in a vault, never in code", and NOTHING checked any of it. verifySecurityConfig() had been written in v006 and never called, so the published posture rested entirely on somebody configuring the infrastructure correctly and nobody ever finding out if they had not. The fix is a posture CHECK rather than an implementation, deliberately: at-rest encryption and TLS termination belong to the database and the load balancer, and a product that encrypted fields itself while claiming disk encryption would be a different lie. What the product can honestly do is refuse to start when its own configuration contradicts what we publish — absent or short secrets, at-rest flag off, TLS below 1.2, secrets not sourced from a vault — with POSTURE_WARN_ONLY for local work and an admin route to re-check after any infrastructure change. Also corrected: three findings had been recorded in the tracker and never added to the regression array, so the ledger and the record disagreed. Codebase v0.41.0: 51 suites / 365 tests at 100%; 62 modules reachable, 48 promises kept, 58 findings still fixed.</t>
  </si>
  <si>
    <t xml:space="preserve">v043</t>
  </si>
  <si>
    <t xml:space="preserve">2026-09-13 20:33</t>
  </si>
  <si>
    <t xml:space="preserve">The extractor only read markdown, and for this portfolio the richest specifications are spreadsheets — the screen inventory and the stated differentiation both came from sheets, and both described things the product did not have. A converter now turns the readable sheets of a product workbook into text the extractor can consume, skipping logs and trackers because a version history records what happened rather than promising anything. Building it produced two bugs in the kit worth more than the feature: the converter silently skipped Full_Backlog because a bare "log" pattern matched "Backlog", hiding the hundred user stories — the single most important specification in the file — while reporting success; and the extractor missed first-person user stories entirely, so even once the sheet was included it would have drafted nothing from it. A tool that cries wolf gets ignored, and a tool that quietly omits the main artifact is worse, because it reports a pass. Both fixed and both written into the kit README as cautions. The 35 backlog stories the extractor now surfaces were checked against the traceability matrix: all present, all Done-in-code, so the matrix remains the right gate for stories and the claims manifest stays for prose. Two workbook-sourced claims were added and one dropped for having no code-level marker. Codebase v0.42.0: 51 suites / 365 tests at 100%; 49 documented promises all kept.</t>
  </si>
  <si>
    <t xml:space="preserve">v044</t>
  </si>
  <si>
    <t xml:space="preserve">2026-09-13 22:49</t>
  </si>
  <si>
    <t xml:space="preserve">The audit kit had shipped three bugs of its own, was about to go to eleven other products, and had no tests. That is not a position I can defend, least of all while using it to argue that other people's code makes unverified claims. It now has eleven: seven node tests and four python, and one is named for each bug it has shipped — the reachability false positive, the backlog silently skipped by a bare "log" pattern, and the undetected first-person user stories. Writing them corrected a fourth misunderstanding, mine rather than the tool's: a test expected reachability to exempt an entry module automatically, when the correct behaviour is to report it unless the consumer directory is supplied — which is precisely the false positive the kit had already been fixed for. The test now asserts both halves of that contrast so the behaviour is documented rather than assumed. The kit is version 1.0.0, runs in this product's CI, and ships standalone. Codebase v0.43.0: 51 suites / 365 tests at 100%; kit 11 tests; 62 modules reachable, 49 promises kept, 58 findings defended.</t>
  </si>
  <si>
    <t xml:space="preserve">v045</t>
  </si>
  <si>
    <t xml:space="preserve">PLANNED: opens on the first live evidence, disposition or decision from the tracker handover sheet.</t>
  </si>
  <si>
    <t xml:space="preserve">Planned</t>
  </si>
  <si>
    <t xml:space="preserve">EngageOS — WhatsApp-first engagement suite: shared team inbox, campaign broadcasts, catalog + payments links, chatbots</t>
  </si>
  <si>
    <t xml:space="preserve">PLATFORM: WhatsApp Business Platform (Meta) | CATEGORY: SME Customer Engagement</t>
  </si>
  <si>
    <t xml:space="preserve">PROBLEM: 2B+ WhatsApp users; SMEs in IN/SEA/LatAm run business on it but tooling is fragmented</t>
  </si>
  <si>
    <t xml:space="preserve">DIFFERENTIATION: Vertical templates (retail/clinics/education), UPI payment links, multi-agent inbox at SME price point</t>
  </si>
  <si>
    <t xml:space="preserve">ICP: SMEs 2-50 staff in India/SEA/LatAm/MEA: retail, clinics, coaching, services — WhatsApp is their storefront</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</si>
  <si>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</si>
  <si>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</si>
  <si>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</si>
  <si>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</si>
  <si>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</si>
  <si>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</si>
  <si>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</si>
  <si>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Team inbox + assignment</t>
  </si>
  <si>
    <t xml:space="preserve">Team inbox + assignment: end-to-end happy path + edge cases + permissions</t>
  </si>
  <si>
    <t xml:space="preserve">Advanced automation, AI beyond listed, multi-language beyond launch set</t>
  </si>
  <si>
    <t xml:space="preserve">p95 &lt;500ms API / &lt;2s UI — budgets defined and unit-tested (latency.ts); NOT measured on live infra</t>
  </si>
  <si>
    <t xml:space="preserve">Broadcast campaigns + segments</t>
  </si>
  <si>
    <t xml:space="preserve">Broadcast campaigns + segments: end-to-end happy path + edge cases + permissions</t>
  </si>
  <si>
    <t xml:space="preserve">99.5% uptime — target only; no live deployment, so unmeasured</t>
  </si>
  <si>
    <t xml:space="preserve">No-code chatbot flows</t>
  </si>
  <si>
    <t xml:space="preserve">No-code chatbot flows: end-to-end happy path + edge cases + permissions</t>
  </si>
  <si>
    <t xml:space="preserve">WCAG AA — axe audit clean on four rendered screen shells; NOT audited on a styled live UI or with a screen reader</t>
  </si>
  <si>
    <t xml:space="preserve">Catalog + payment links</t>
  </si>
  <si>
    <t xml:space="preserve">Catalog + payment links: end-to-end happy path + edge cases + permissions</t>
  </si>
  <si>
    <t xml:space="preserve">SOC2-track controls — evidence pack compiled (scopes, authz, crypto config, data rights); no audit engaged</t>
  </si>
  <si>
    <t xml:space="preserve">Analytics + quality-score guard</t>
  </si>
  <si>
    <t xml:space="preserve">Analytics + quality-score guard: end-to-end happy path + edge cases + permissions</t>
  </si>
  <si>
    <t xml:space="preserve">Rate-limit safe — backoff + circuit breaker + 80 msg/s throughput limiter + portfolio tier cap, all verified against Meta docs</t>
  </si>
  <si>
    <t xml:space="preserve">Persona</t>
  </si>
  <si>
    <t xml:space="preserve">Jobs-to-be-done</t>
  </si>
  <si>
    <t xml:space="preserve">SME owner</t>
  </si>
  <si>
    <t xml:space="preserve">Buys on missed-lead recovery; needs vernacular UI</t>
  </si>
  <si>
    <t xml:space="preserve">Marketing person (solo)</t>
  </si>
  <si>
    <t xml:space="preserve">Broadcast + segment without CSV pain</t>
  </si>
  <si>
    <t xml:space="preserve">Support agent</t>
  </si>
  <si>
    <t xml:space="preserve">Multi-agent inbox with assignment</t>
  </si>
  <si>
    <t xml:space="preserve">AS-BUILT NOTE (13 Sep 2026): every MVP module is code-complete with 100% automated coverage, but "end-to-end" in column B means end-to-end against a fake WhatsApp surface. No module has been exercised against live Meta infrastructure.</t>
  </si>
  <si>
    <t xml:space="preserve">SCREEN INVENTORY (attach Figma links in col E during S0)</t>
  </si>
  <si>
    <t xml:space="preserve">As-built (13 Sep 19:11)</t>
  </si>
  <si>
    <t xml:space="preserve">#</t>
  </si>
  <si>
    <t xml:space="preserve">Screen</t>
  </si>
  <si>
    <t xml:space="preserve">Purpose</t>
  </si>
  <si>
    <t xml:space="preserve">Built — checklist with progress</t>
  </si>
  <si>
    <t xml:space="preserve">Wireframe link</t>
  </si>
  <si>
    <t xml:space="preserve">Onboarding / first-run</t>
  </si>
  <si>
    <t xml:space="preserve">Reach aha in &lt;1 day</t>
  </si>
  <si>
    <t xml:space="preserve">Built — open conversations + number quality</t>
  </si>
  <si>
    <t xml:space="preserve">Home dashboard</t>
  </si>
  <si>
    <t xml:space="preserve">Daily habit surface</t>
  </si>
  <si>
    <t xml:space="preserve">Built — list, open, reply, assign</t>
  </si>
  <si>
    <t xml:space="preserve">Team inbox + assignment workspace</t>
  </si>
  <si>
    <t xml:space="preserve">Core value surface</t>
  </si>
  <si>
    <t xml:space="preserve">Built — compose + test send</t>
  </si>
  <si>
    <t xml:space="preserve">Broadcast campaigns + segments builder</t>
  </si>
  <si>
    <t xml:space="preserve">Configure second pillar</t>
  </si>
  <si>
    <t xml:space="preserve">Built — create, test-run, empty state</t>
  </si>
  <si>
    <t xml:space="preserve">No-code chatbot flows view</t>
  </si>
  <si>
    <t xml:space="preserve">Differentiator surface</t>
  </si>
  <si>
    <t xml:space="preserve">Built — notification controls (roles enforced server-side)</t>
  </si>
  <si>
    <t xml:space="preserve">Settings &amp; team</t>
  </si>
  <si>
    <t xml:space="preserve">Roles, notifications, data</t>
  </si>
  <si>
    <t xml:space="preserve">Built — trial banner, start trial</t>
  </si>
  <si>
    <t xml:space="preserve">Billing</t>
  </si>
  <si>
    <t xml:space="preserve">Plan/trial/invoices</t>
  </si>
  <si>
    <t xml:space="preserve">Built — quality + messaging limit in plain words</t>
  </si>
  <si>
    <t xml:space="preserve">Analytics</t>
  </si>
  <si>
    <t xml:space="preserve">Prove ROI</t>
  </si>
  <si>
    <t xml:space="preserve">Built — search then ticket</t>
  </si>
  <si>
    <t xml:space="preserve">Help &amp; support</t>
  </si>
  <si>
    <t xml:space="preserve">Deflect + assist</t>
  </si>
  <si>
    <t xml:space="preserve">Search, chat, status</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</si>
  <si>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</si>
  <si>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</si>
  <si>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</si>
  <si>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</si>
  <si>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</si>
  <si>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</si>
  <si>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</si>
  <si>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</si>
  <si>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</si>
  <si>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SME owner, I can set up Team inbox + assignment with sensible defaults in one screen</t>
  </si>
  <si>
    <t xml:space="preserve">P0</t>
  </si>
  <si>
    <t xml:space="preserve">S2</t>
  </si>
  <si>
    <t xml:space="preserve">Done</t>
  </si>
  <si>
    <t xml:space="preserve">ST-002</t>
  </si>
  <si>
    <t xml:space="preserve">As a SME owner, the Team inbox + assignment happy path completes without documentation</t>
  </si>
  <si>
    <t xml:space="preserve">ST-003</t>
  </si>
  <si>
    <t xml:space="preserve">As a Marketing person, I can customise Team inbox + assignment rules/conditions for my workflow</t>
  </si>
  <si>
    <t xml:space="preserve">P1</t>
  </si>
  <si>
    <t xml:space="preserve">ST-004</t>
  </si>
  <si>
    <t xml:space="preserve">As a user, Team inbox + assignment shows clear errors and retry paths on platform API failures</t>
  </si>
  <si>
    <t xml:space="preserve">ST-005</t>
  </si>
  <si>
    <t xml:space="preserve">As a Support agent, Team inbox + assignment works on the web app + WhatsApp Cloud API surface end-to-end</t>
  </si>
  <si>
    <t xml:space="preserve">S3</t>
  </si>
  <si>
    <t xml:space="preserve">Code-complete (pending live WhatsApp)</t>
  </si>
  <si>
    <t xml:space="preserve">ST-006</t>
  </si>
  <si>
    <t xml:space="preserve">As a Marketing person, I can see Team inbox + assignment performance metrics and trends</t>
  </si>
  <si>
    <t xml:space="preserve">ST-007</t>
  </si>
  <si>
    <t xml:space="preserve">As a user, Team inbox + assignment respects role permissions and audit logging</t>
  </si>
  <si>
    <t xml:space="preserve">ST-008</t>
  </si>
  <si>
    <t xml:space="preserve">As a SME owner, I can pause/disable Team inbox + assignment without data loss</t>
  </si>
  <si>
    <t xml:space="preserve">P2</t>
  </si>
  <si>
    <t xml:space="preserve">ST-009</t>
  </si>
  <si>
    <t xml:space="preserve">As a Marketing person, I can import/migrate existing data into Team inbox + assignment (CSV + competitor importer)</t>
  </si>
  <si>
    <t xml:space="preserve">ST-010</t>
  </si>
  <si>
    <t xml:space="preserve">As a user, I get notifications (in-app + email) for key Team inbox + assignment events with per-type mute</t>
  </si>
  <si>
    <t xml:space="preserve">ST-011</t>
  </si>
  <si>
    <t xml:space="preserve">F2</t>
  </si>
  <si>
    <t xml:space="preserve">As a SME owner, I can set up Broadcast campaigns + segments with sensible defaults in one screen</t>
  </si>
  <si>
    <t xml:space="preserve">ST-012</t>
  </si>
  <si>
    <t xml:space="preserve">As a SME owner, the Broadcast campaigns + segments happy path completes without documentation</t>
  </si>
  <si>
    <t xml:space="preserve">ST-013</t>
  </si>
  <si>
    <t xml:space="preserve">As a Marketing person, I can customise Broadcast campaigns + segments rules/conditions for my workflow</t>
  </si>
  <si>
    <t xml:space="preserve">ST-014</t>
  </si>
  <si>
    <t xml:space="preserve">As a user, Broadcast campaigns + segments shows clear errors and retry paths on platform API failures</t>
  </si>
  <si>
    <t xml:space="preserve">ST-015</t>
  </si>
  <si>
    <t xml:space="preserve">As a Support agent, Broadcast campaigns + segments works on the web app + WhatsApp Cloud API surface end-to-end</t>
  </si>
  <si>
    <t xml:space="preserve">S4</t>
  </si>
  <si>
    <t xml:space="preserve">ST-016</t>
  </si>
  <si>
    <t xml:space="preserve">As a Marketing person, I can see Broadcast campaigns + segments performance metrics and trends</t>
  </si>
  <si>
    <t xml:space="preserve">ST-017</t>
  </si>
  <si>
    <t xml:space="preserve">As a user, Broadcast campaigns + segments respects role permissions and audit logging</t>
  </si>
  <si>
    <t xml:space="preserve">ST-018</t>
  </si>
  <si>
    <t xml:space="preserve">As a SME owner, I can pause/disable Broadcast campaigns + segments without data loss</t>
  </si>
  <si>
    <t xml:space="preserve">ST-019</t>
  </si>
  <si>
    <t xml:space="preserve">As a Marketing person, I can import/migrate existing data into Broadcast campaigns + segments (CSV + competitor importer)</t>
  </si>
  <si>
    <t xml:space="preserve">ST-020</t>
  </si>
  <si>
    <t xml:space="preserve">As a user, I get notifications (in-app + email) for key Broadcast campaigns + segments events with per-type mute</t>
  </si>
  <si>
    <t xml:space="preserve">ST-021</t>
  </si>
  <si>
    <t xml:space="preserve">F3</t>
  </si>
  <si>
    <t xml:space="preserve">As a SME owner, I can set up No-code chatbot flows with sensible defaults in one screen</t>
  </si>
  <si>
    <t xml:space="preserve">S5</t>
  </si>
  <si>
    <t xml:space="preserve">ST-022</t>
  </si>
  <si>
    <t xml:space="preserve">As a SME owner, the No-code chatbot flows happy path completes without documentation</t>
  </si>
  <si>
    <t xml:space="preserve">ST-023</t>
  </si>
  <si>
    <t xml:space="preserve">As a Marketing person, I can customise No-code chatbot flows rules/conditions for my workflow</t>
  </si>
  <si>
    <t xml:space="preserve">ST-024</t>
  </si>
  <si>
    <t xml:space="preserve">As a user, No-code chatbot flows shows clear errors and retry paths on platform API failures</t>
  </si>
  <si>
    <t xml:space="preserve">ST-025</t>
  </si>
  <si>
    <t xml:space="preserve">As a Support agent, No-code chatbot flows works on the web app + WhatsApp Cloud API surface end-to-end</t>
  </si>
  <si>
    <t xml:space="preserve">ST-026</t>
  </si>
  <si>
    <t xml:space="preserve">As a Marketing person, I can see No-code chatbot flows performance metrics and trends</t>
  </si>
  <si>
    <t xml:space="preserve">ST-027</t>
  </si>
  <si>
    <t xml:space="preserve">As a user, No-code chatbot flows respects role permissions and audit logging</t>
  </si>
  <si>
    <t xml:space="preserve">ST-028</t>
  </si>
  <si>
    <t xml:space="preserve">As a SME owner, I can pause/disable No-code chatbot flows without data loss</t>
  </si>
  <si>
    <t xml:space="preserve">ST-029</t>
  </si>
  <si>
    <t xml:space="preserve">As a Marketing person, I can import/migrate existing data into No-code chatbot flows (CSV + competitor importer)</t>
  </si>
  <si>
    <t xml:space="preserve">ST-030</t>
  </si>
  <si>
    <t xml:space="preserve">As a user, I get notifications (in-app + email) for key No-code chatbot flows events with per-type mute</t>
  </si>
  <si>
    <t xml:space="preserve">ST-031</t>
  </si>
  <si>
    <t xml:space="preserve">F4</t>
  </si>
  <si>
    <t xml:space="preserve">As a SME owner, I can set up Catalog + payment links with sensible defaults in one screen</t>
  </si>
  <si>
    <t xml:space="preserve">S6</t>
  </si>
  <si>
    <t xml:space="preserve">ST-032</t>
  </si>
  <si>
    <t xml:space="preserve">As a SME owner, the Catalog + payment links happy path completes without documentation</t>
  </si>
  <si>
    <t xml:space="preserve">ST-033</t>
  </si>
  <si>
    <t xml:space="preserve">As a Marketing person, I can customise Catalog + payment links rules/conditions for my workflow</t>
  </si>
  <si>
    <t xml:space="preserve">ST-034</t>
  </si>
  <si>
    <t xml:space="preserve">As a user, Catalog + payment links shows clear errors and retry paths on platform API failures</t>
  </si>
  <si>
    <t xml:space="preserve">ST-035</t>
  </si>
  <si>
    <t xml:space="preserve">As a Support agent, Catalog + payment links works on the web app + WhatsApp Cloud API surface end-to-end</t>
  </si>
  <si>
    <t xml:space="preserve">ST-036</t>
  </si>
  <si>
    <t xml:space="preserve">As a Marketing person, I can see Catalog + payment links performance metrics and trends</t>
  </si>
  <si>
    <t xml:space="preserve">ST-037</t>
  </si>
  <si>
    <t xml:space="preserve">As a user, Catalog + payment links respects role permissions and audit logging</t>
  </si>
  <si>
    <t xml:space="preserve">ST-038</t>
  </si>
  <si>
    <t xml:space="preserve">As a SME owner, I can pause/disable Catalog + payment links without data loss</t>
  </si>
  <si>
    <t xml:space="preserve">ST-039</t>
  </si>
  <si>
    <t xml:space="preserve">As a Marketing person, I can import/migrate existing data into Catalog + payment links (CSV + competitor importer)</t>
  </si>
  <si>
    <t xml:space="preserve">ST-040</t>
  </si>
  <si>
    <t xml:space="preserve">As a user, I get notifications (in-app + email) for key Catalog + payment links events with per-type mute</t>
  </si>
  <si>
    <t xml:space="preserve">ST-041</t>
  </si>
  <si>
    <t xml:space="preserve">F5</t>
  </si>
  <si>
    <t xml:space="preserve">As a SME owner, I can set up Analytics + quality-score guard with sensible defaults in one screen</t>
  </si>
  <si>
    <t xml:space="preserve">S8</t>
  </si>
  <si>
    <t xml:space="preserve">ST-042</t>
  </si>
  <si>
    <t xml:space="preserve">As a SME owner, the Analytics + quality-score guard happy path completes without documentation</t>
  </si>
  <si>
    <t xml:space="preserve">ST-043</t>
  </si>
  <si>
    <t xml:space="preserve">As a Marketing person, I can customise Analytics + quality-score guard rules/conditions for my workflow</t>
  </si>
  <si>
    <t xml:space="preserve">ST-044</t>
  </si>
  <si>
    <t xml:space="preserve">As a user, Analytics + quality-score guard shows clear errors and retry paths on platform API failures</t>
  </si>
  <si>
    <t xml:space="preserve">ST-045</t>
  </si>
  <si>
    <t xml:space="preserve">As a Support agent, Analytics + quality-score guard works on the web app + WhatsApp Cloud API surface end-to-end</t>
  </si>
  <si>
    <t xml:space="preserve">ST-046</t>
  </si>
  <si>
    <t xml:space="preserve">As a Marketing person, I can see Analytics + quality-score guard performance metrics and trends</t>
  </si>
  <si>
    <t xml:space="preserve">ST-047</t>
  </si>
  <si>
    <t xml:space="preserve">As a user, Analytics + quality-score guard respects role permissions and audit logging</t>
  </si>
  <si>
    <t xml:space="preserve">ST-048</t>
  </si>
  <si>
    <t xml:space="preserve">As a SME owner, I can pause/disable Analytics + quality-score guard without data loss</t>
  </si>
  <si>
    <t xml:space="preserve">ST-049</t>
  </si>
  <si>
    <t xml:space="preserve">As a Marketing person, I can import/migrate existing data into Analytics + quality-score guard (CSV + competitor importer)</t>
  </si>
  <si>
    <t xml:space="preserve">ST-050</t>
  </si>
  <si>
    <t xml:space="preserve">As a user, I get notifications (in-app + email) for key Analytics + quality-score guard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</si>
  <si>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</si>
  <si>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</si>
  <si>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</si>
  <si>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</si>
  <si>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</si>
  <si>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</si>
  <si>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</si>
  <si>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</si>
  <si>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</si>
  <si>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</si>
  <si>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</si>
  <si>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</si>
  <si>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</si>
  <si>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</si>
  <si>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</si>
  <si>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</si>
  <si>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</si>
  <si>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</si>
  <si>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</si>
  <si>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</si>
  <si>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</si>
  <si>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</si>
  <si>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</si>
  <si>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</si>
  <si>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</si>
  <si>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</si>
  <si>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</si>
  <si>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</si>
  <si>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</si>
  <si>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</si>
  <si>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</si>
  <si>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</si>
  <si>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</si>
  <si>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</si>
  <si>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</si>
  <si>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</si>
  <si>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</si>
  <si>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</si>
  <si>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</si>
  <si>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</si>
  <si>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</si>
  <si>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</si>
  <si>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</si>
  <si>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</si>
  <si>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</si>
  <si>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</si>
  <si>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</si>
  <si>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</si>
  <si>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</si>
  <si>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</si>
  <si>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</si>
  <si>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</si>
  <si>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</si>
  <si>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</si>
  <si>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</si>
  <si>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</si>
  <si>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</si>
  <si>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</si>
  <si>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</si>
  <si>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</si>
  <si>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</si>
  <si>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</si>
  <si>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</si>
  <si>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</si>
  <si>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</si>
  <si>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</si>
  <si>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</si>
  <si>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</si>
  <si>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</si>
  <si>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</si>
  <si>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</si>
  <si>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</si>
  <si>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</si>
  <si>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</si>
  <si>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</si>
  <si>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</si>
  <si>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</si>
  <si>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Drafted</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</si>
  <si>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</si>
  <si>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</si>
  <si>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</si>
  <si>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</si>
  <si>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</si>
  <si>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</si>
  <si>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</si>
  <si>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</si>
  <si>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</si>
  <si>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</si>
  <si>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</si>
  <si>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</si>
  <si>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</si>
  <si>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</si>
  <si>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</si>
  <si>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</si>
  <si>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</si>
  <si>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</si>
  <si>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</si>
  <si>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</si>
  <si>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</si>
  <si>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</si>
  <si>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</si>
  <si>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</si>
  <si>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</si>
  <si>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</si>
  <si>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</si>
  <si>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</si>
  <si>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</si>
  <si>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</si>
  <si>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</si>
  <si>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</si>
  <si>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</si>
  <si>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</si>
  <si>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</si>
  <si>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</si>
  <si>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</si>
  <si>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</si>
  <si>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</si>
  <si>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</si>
  <si>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</si>
  <si>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</si>
  <si>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</si>
  <si>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</si>
  <si>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</si>
  <si>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</si>
  <si>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</si>
  <si>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Team inbox + assignment - part 1</t>
  </si>
  <si>
    <t xml:space="preserve">Team inbox + assignment happy path demoable</t>
  </si>
  <si>
    <t xml:space="preserve">Core feature Team inbox + assignment - part 2 + Broadcast campaigns + segments start</t>
  </si>
  <si>
    <t xml:space="preserve">Team inbox + assignment complete with tests; Broadcast campaigns + segments skeleton</t>
  </si>
  <si>
    <t xml:space="preserve">Core feature Broadcast campaigns + segments</t>
  </si>
  <si>
    <t xml:space="preserve">MVP loop usable end-to-end internally</t>
  </si>
  <si>
    <t xml:space="preserve">Feature No-code chatbot flows + alpha hardening</t>
  </si>
  <si>
    <t xml:space="preserve">Internal alpha: team dogfoods daily</t>
  </si>
  <si>
    <t xml:space="preserve">Billing + Catalog + payment links</t>
  </si>
  <si>
    <t xml:space="preserve">Can charge a test customer; upgrade/downgrade paths work</t>
  </si>
  <si>
    <t xml:space="preserve">Private beta (design partners)</t>
  </si>
  <si>
    <t xml:space="preserve">3+ partners active weekly; NPS pulse &gt;30</t>
  </si>
  <si>
    <t xml:space="preserve">Beta iteration + Analytics + quality-score guard</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</si>
  <si>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</si>
  <si>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</si>
  <si>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</si>
  <si>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</si>
  <si>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</si>
  <si>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</si>
  <si>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</si>
  <si>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</si>
  <si>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</si>
  <si>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</si>
  <si>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</si>
  <si>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WhatsApp: BSP-channel + direct (edit yellow assumptions)</t>
  </si>
  <si>
    <t xml:space="preserve">Assumption</t>
  </si>
  <si>
    <t xml:space="preserve">Value</t>
  </si>
  <si>
    <t xml:space="preserve">Signups/mo (month 1)</t>
  </si>
  <si>
    <t xml:space="preserve">Monthly growth of that</t>
  </si>
  <si>
    <t xml:space="preserve">Trial-&gt;paid %</t>
  </si>
  <si>
    <t xml:space="preserve">ARPU $/mo</t>
  </si>
  <si>
    <t xml:space="preserve">Monthly churn</t>
  </si>
  <si>
    <t xml:space="preserve">Marketplace fee</t>
  </si>
  <si>
    <t xml:space="preserve">Team cost month 1 (India-lean $)</t>
  </si>
  <si>
    <t xml:space="preserve">Cost growth/mo</t>
  </si>
  <si>
    <t xml:space="preserve">Fee note: no Meta cut on SaaS revenue. Meta bills the CUSTOMER per delivered template message (category x country) since 1 Jul 2025 — conversation-based pricing is deprecated, so "conversation fees" no longer exist as a unit. Pass-through, not revenue, and not modelled here.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</si>
  <si>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</si>
  <si>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</si>
  <si>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</si>
  <si>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</si>
  <si>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</si>
  <si>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</si>
  <si>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</si>
  <si>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</si>
  <si>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</si>
  <si>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</si>
  <si>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</si>
  <si>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</si>
  <si>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</si>
  <si>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</si>
  <si>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</si>
  <si>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</si>
  <si>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</si>
  <si>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</si>
  <si>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</si>
  <si>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</si>
  <si>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</si>
  <si>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</si>
  <si>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</si>
  <si>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</si>
  <si>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</si>
  <si>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</si>
  <si>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</si>
  <si>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AS-BUILT CAVEATS (added 13 Sep 2026 after verification sweeps — read before using this model)</t>
  </si>
  <si>
    <t xml:space="preserve">1. ARPU $49 assumes the Growth plan. Plan allowances are now denominated in DELIVERED TEMPLATE MESSAGES, not conversations (VER-E1). Whether 1,000/5,000/20,000 at $29/$49/$99 holds margin is an OPEN DECISION — per-message rates vary roughly 13x by market, so an India-first book and a Europe-facing book behave very differently.</t>
  </si>
  <si>
    <t xml:space="preserve">2. Signups/mo and activation assume a customer can broadcast on day one. They cannot: Meta starts a new portfolio at 250 unique customers per 24 hours and raises it on verification and quality (R-E8). Early activation and time-to-value are shaped by that ladder, not by our onboarding.</t>
  </si>
  <si>
    <t xml:space="preserve">3. Marketplace fee is 0 because WhatsApp has no app-store revenue share — correct, and different from the Shopify/Atlassian products in this portfolio.</t>
  </si>
  <si>
    <t xml:space="preserve">4. Team cost is the India-lean base from the v004 plan and has not been revisited since 5 Sep.</t>
  </si>
  <si>
    <t xml:space="preserve">5. This stays a planning model. Replace assumptions with S7-S8 beta actuals; none exist yet because no live evidence has been collected.</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</si>
  <si>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</si>
  <si>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</si>
  <si>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</si>
  <si>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</si>
  <si>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</si>
  <si>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</si>
  <si>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</si>
  <si>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</si>
  <si>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</si>
  <si>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</si>
  <si>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</si>
  <si>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</si>
  <si>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</si>
  <si>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</si>
  <si>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</si>
  <si>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</si>
  <si>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</si>
  <si>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</si>
  <si>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</si>
  <si>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</si>
  <si>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</si>
  <si>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</si>
  <si>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</si>
  <si>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</si>
  <si>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</si>
  <si>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WhatsApp Business Platform (Meta)</t>
  </si>
  <si>
    <t xml:space="preserve">Item</t>
  </si>
  <si>
    <t xml:space="preserve">Meta Business verification + WhatsApp Business Account (WABA) production access</t>
  </si>
  <si>
    <t xml:space="preserve">Open (yours) — software side rehearsed end to end on 13 Sep: see docs/REHEARSAL_TRANSCRIPT.md. Only Meta verification and credentials are missing</t>
  </si>
  <si>
    <t xml:space="preserve">BSP agreement signed (360dialog/Gupshup class) OR Cloud API direct path chosen</t>
  </si>
  <si>
    <t xml:space="preserve">Cloud API direct path chosen (no BSP) — D-E1, awaiting your ratification</t>
  </si>
  <si>
    <t xml:space="preserve">Display name approved; phone number quality rating monitoring in place</t>
  </si>
  <si>
    <t xml:space="preserve">Done in code — quality guard with green/amber/red thresholds and throttle action; display-name approval and live rating monitoring need the number</t>
  </si>
  <si>
    <t xml:space="preserve">Message template library (20+ approved across utility/marketing categories)</t>
  </si>
  <si>
    <t xml:space="preserve">Drafted — 20 templates in docs/templates/MESSAGE_TEMPLATES.md, now backed by a registry declaring each one's variables with the body components Meta requires (F-037); Meta approval pending</t>
  </si>
  <si>
    <t xml:space="preserve">Opt-in capture flows compliant (checkbox + proof storage)</t>
  </si>
  <si>
    <t xml:space="preserve">Done in code — OptInRegistry proof storage + marketing gate; live flow QA pending</t>
  </si>
  <si>
    <t xml:space="preserve">Per-message pricing pass-through reconciled against the Meta invoice (conversation-based pricing was deprecated 1 Jul 2025)</t>
  </si>
  <si>
    <t xml:space="preserve">Per-MESSAGE pass-through billing reconciliation (Meta retired conversation pricing 1 Jul 2025) — cost model shipped in messageCost.ts; live invoice reconciliation pending first bill</t>
  </si>
  <si>
    <t xml:space="preserve">24-hour session logic + template fallback tested</t>
  </si>
  <si>
    <t xml:space="preserve">Done in code — SessionWindow 24h logic + template fallback tested; live test pending</t>
  </si>
  <si>
    <t xml:space="preserve">Webhook resilience: retry + dedupe at 50 msg/s burst</t>
  </si>
  <si>
    <t xml:space="preserve">Done in code — store-backed dedupe survives a blue/green switch; 50/s burst shape tested; live burst pending</t>
  </si>
  <si>
    <t xml:space="preserve">Data retention + DPDP(India)/GDPR policy live</t>
  </si>
  <si>
    <t xml:space="preserve">Drafted — trust page + DATA_FLOW.md retention; DPDP/GDPR legal review pending</t>
  </si>
  <si>
    <t xml:space="preserve">Vernacular UI pack (Hindi/Tamil) QA complete</t>
  </si>
  <si>
    <t xml:space="preserve">Done in code — the agent workspace ships in English, Hindi and Tamil with a language switcher and drift-gated packs; native-speaker review before launch is still owed</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</si>
  <si>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</si>
  <si>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</si>
  <si>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</si>
  <si>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</si>
  <si>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</si>
  <si>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</si>
  <si>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</si>
  <si>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</si>
  <si>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 — MEASURABLE once listed (install attribution shipped)</t>
  </si>
  <si>
    <t xml:space="preserve">Activation % (24h)</t>
  </si>
  <si>
    <t xml:space="preserve">30%</t>
  </si>
  <si>
    <t xml:space="preserve">40%</t>
  </si>
  <si>
    <t xml:space="preserve">45%</t>
  </si>
  <si>
    <t xml:space="preserve">50%</t>
  </si>
  <si>
    <t xml:space="preserve">Onboarding iterations S12+ — MEASURABLE (activation funnel + aha tracking shipped)</t>
  </si>
  <si>
    <t xml:space="preserve">Trial→paid %</t>
  </si>
  <si>
    <t xml:space="preserve">baseline</t>
  </si>
  <si>
    <t xml:space="preserve">+2pts</t>
  </si>
  <si>
    <t xml:space="preserve">+4pts</t>
  </si>
  <si>
    <t xml:space="preserve">+6pts</t>
  </si>
  <si>
    <t xml:space="preserve">Pricing test at S12 — MEASURABLE (trial/convert states in billing)</t>
  </si>
  <si>
    <t xml:space="preserve">Rating</t>
  </si>
  <si>
    <t xml:space="preserve">4.5+</t>
  </si>
  <si>
    <t xml:space="preserve">4.6+</t>
  </si>
  <si>
    <t xml:space="preserve">4.7+</t>
  </si>
  <si>
    <t xml:space="preserve">Review program + support speed — NOT measurable by us; marketplace-side data</t>
  </si>
  <si>
    <t xml:space="preserve">MRR</t>
  </si>
  <si>
    <t xml:space="preserve">first $</t>
  </si>
  <si>
    <t xml:space="preserve">3x</t>
  </si>
  <si>
    <t xml:space="preserve">8x</t>
  </si>
  <si>
    <t xml:space="preserve">20x</t>
  </si>
  <si>
    <t xml:space="preserve">Model sheet has the math — MEASURABLE (billing is the source of truth)</t>
  </si>
  <si>
    <t xml:space="preserve">Logo churn/mo</t>
  </si>
  <si>
    <t xml:space="preserve">&lt;5%</t>
  </si>
  <si>
    <t xml:space="preserve">&lt;4%</t>
  </si>
  <si>
    <t xml:space="preserve">&lt;3%</t>
  </si>
  <si>
    <t xml:space="preserve">Health-score saves — MEASURABLE (health score + cancellation reasons shipped)</t>
  </si>
  <si>
    <t xml:space="preserve">AS-BUILT NOTE (13 Sep 2026): five of six targets are instrumented in code and will report from day one; marketplace rating is the exception and must be read from Meta/listing surfaces. No target has a baseline yet — all require live installs.</t>
  </si>
  <si>
    <t xml:space="preserve">PRODUCT RISK REGISTER</t>
  </si>
  <si>
    <t xml:space="preserve">Risk</t>
  </si>
  <si>
    <t xml:space="preserve">Impact</t>
  </si>
  <si>
    <t xml:space="preserve">Likelihood</t>
  </si>
  <si>
    <t xml:space="preserve">Mitigation</t>
  </si>
  <si>
    <t xml:space="preserve">R-E1 — WhatsApp quality-rating drop throttles number</t>
  </si>
  <si>
    <t xml:space="preserve">High</t>
  </si>
  <si>
    <t xml:space="preserve">Medium</t>
  </si>
  <si>
    <t xml:space="preserve">Quality-guard feature; opt-in hygiene enforced in-product</t>
  </si>
  <si>
    <t xml:space="preserve">R-E2 — Meta pricing change squeezes campaign ROI for SMEs</t>
  </si>
  <si>
    <t xml:space="preserve">Multi-channel fallback (SMS/email) roadmap</t>
  </si>
  <si>
    <t xml:space="preserve">R-E3 — BSP dependency (terms/latency)</t>
  </si>
  <si>
    <t xml:space="preserve">Dual-BSP abstraction; direct Cloud API path maintained</t>
  </si>
  <si>
    <t xml:space="preserve">R-E7</t>
  </si>
  <si>
    <t xml:space="preserve">Meta revises per-message rates up to quarterly and by market — plan margins move without any code change</t>
  </si>
  <si>
    <t xml:space="preserve">Medium/High</t>
  </si>
  <si>
    <t xml:space="preserve">Rate card is configuration (messageCost.ts RateCard), never constants; margin review at each Meta rate update; VER-E1 decision pending</t>
  </si>
  <si>
    <t xml:space="preserve">R-E8</t>
  </si>
  <si>
    <t xml:space="preserve">Messaging-limit ladder gates go-to-market: a new portfolio can reach only 250 unique customers/24h, so the S11 exit (10 installs, activation &gt;40%) and any customer's first campaign are shaped by Meta's trust ladder, not by our software</t>
  </si>
  <si>
    <t xml:space="preserve">High/Medium</t>
  </si>
  <si>
    <t xml:space="preserve">Tier metering + upgrade-readiness shipped; onboarding must set expectations; Business Verification is the single biggest unlock and is on the critical path (LC-1)</t>
  </si>
  <si>
    <t xml:space="preserve">R-E9</t>
  </si>
  <si>
    <t xml:space="preserve">Horizontal scaling is gated on the Postgres shared store: with the in-memory default only one instance may serve traffic, so a blue/green switch must drain rather than overlap</t>
  </si>
  <si>
    <t xml:space="preserve">SharedStore boundary + PgStore + migrations 005/006 shipped; deploy.yml guard step; wiring SHARED_STORE=pg is a live-infra task on the first deploy</t>
  </si>
  <si>
    <t xml:space="preserve">SPRINT TRACKER LOG — EngageOS (session-by-session execution record)</t>
  </si>
  <si>
    <t xml:space="preserve">Date/Time</t>
  </si>
  <si>
    <t xml:space="preserve">Activity</t>
  </si>
  <si>
    <t xml:space="preserve">Stories moved</t>
  </si>
  <si>
    <t xml:space="preserve">Points Done</t>
  </si>
  <si>
    <t xml:space="preserve">Tests</t>
  </si>
  <si>
    <t xml:space="preserve">Coverage</t>
  </si>
  <si>
    <t xml:space="preserve">Notes / Blockers</t>
  </si>
  <si>
    <t xml:space="preserve">Foundation: install lifecycle — OAuth install, uninstall webhook (token purge + retention deletion), re-install, token rotation, source attribution (install.ts)</t>
  </si>
  <si>
    <t xml:space="preserve">ST-052/055/056 Done; ST-051 code-complete</t>
  </si>
  <si>
    <t xml:space="preserve">8/13</t>
  </si>
  <si>
    <t xml:space="preserve">install suite</t>
  </si>
  <si>
    <t xml:space="preserve">100%</t>
  </si>
  <si>
    <t xml:space="preserve">ST-051 &lt;2 min dev-store install needs live Meta dev account</t>
  </si>
  <si>
    <t xml:space="preserve">F1 part 1: inbox defaults, happy path, custom rules, API error/retry; roles matrix + re-install story</t>
  </si>
  <si>
    <t xml:space="preserve">ST-001..004, 053, 054 Done</t>
  </si>
  <si>
    <t xml:space="preserve">29/29</t>
  </si>
  <si>
    <t xml:space="preserve">inbox, roles suites</t>
  </si>
  <si>
    <t xml:space="preserve">—</t>
  </si>
  <si>
    <t xml:space="preserve">F1 part 2 (metrics, permissions, pause, CSV import, notifications) + F2 start (campaign create/segments/errors) + coverage gate</t>
  </si>
  <si>
    <t xml:space="preserve">ST-006..014, 085 Done; ST-005 code-complete</t>
  </si>
  <si>
    <t xml:space="preserve">42/47</t>
  </si>
  <si>
    <t xml:space="preserve">inbox, broadcast, notify suites</t>
  </si>
  <si>
    <t xml:space="preserve">D13: 100% gate in jest coverageThreshold supersedes ST-085 &gt;=70%</t>
  </si>
  <si>
    <t xml:space="preserve">F2 complete (send/test-mode/metrics/pause/import) + funnel events + error-spike alert + E2E smoke on deploy</t>
  </si>
  <si>
    <t xml:space="preserve">ST-016..020, 071, 072, 086 Done; ST-015 code-complete</t>
  </si>
  <si>
    <t xml:space="preserve">29/34</t>
  </si>
  <si>
    <t xml:space="preserve">broadcast, telemetry, smoke suites</t>
  </si>
  <si>
    <t xml:space="preserve">Smoke wired into CI (ci.yml) on push/PR/deploy</t>
  </si>
  <si>
    <t xml:space="preserve">F3 chatbot flows (default flow, run engine, node edits, export/import, loop/broken-link detection) + onboarding checklist/empty states</t>
  </si>
  <si>
    <t xml:space="preserve">ST-021..024, 026..030, 078, 079 Done; ST-025 code-complete</t>
  </si>
  <si>
    <t xml:space="preserve">45/50</t>
  </si>
  <si>
    <t xml:space="preserve">chatbot, onboarding suites</t>
  </si>
  <si>
    <t xml:space="preserve">F4 catalog + UPI payment links + billing core (14-day trial, proration, provider selection)</t>
  </si>
  <si>
    <t xml:space="preserve">ST-031..034, 036..040, 057, 058 Done; ST-035/059 code-complete</t>
  </si>
  <si>
    <t xml:space="preserve">47/60</t>
  </si>
  <si>
    <t xml:space="preserve">catalog, billing suites</t>
  </si>
  <si>
    <t xml:space="preserve">ST-059 marketplace-billing mandate check needs verified Meta terms (S0 item)</t>
  </si>
  <si>
    <t xml:space="preserve">Billing hardening: dunning (7d grace/3 emails/read-only), plan limits 80/100 prompts, GST/VAT invoices, cancellation save-offer + least-privilege scope map</t>
  </si>
  <si>
    <t xml:space="preserve">ST-060..064 Done</t>
  </si>
  <si>
    <t xml:space="preserve">15/15</t>
  </si>
  <si>
    <t xml:space="preserve">billing, compliance suites</t>
  </si>
  <si>
    <t xml:space="preserve">S7 beta-partner activities themselves are external</t>
  </si>
  <si>
    <t xml:space="preserve">F5 analytics + quality-score guard, health score, heatmap, CSV export, alert thresholds; E6 retention/encryption-verify/audit/export-delete/backoff+breaker; p95 budgets; chaos degradation</t>
  </si>
  <si>
    <t xml:space="preserve">ST-041..044, 046..050, 065, 067, 069, 070, 073..077, 087, 091 Done; ST-045/066 code-complete</t>
  </si>
  <si>
    <t xml:space="preserve">69/87</t>
  </si>
  <si>
    <t xml:space="preserve">analyticsGuard, compliance, resilience, latency suites</t>
  </si>
  <si>
    <t xml:space="preserve">ST-088 load test + ST-092 deploy drill need live infra</t>
  </si>
  <si>
    <t xml:space="preserve">S9-S12</t>
  </si>
  <si>
    <t xml:space="preserve">Scoped: external items held in Backlog — pen-test (ST-068), help center/support/demo assets (ST-080/081/083/084), WCAG + backup drill (ST-089/090), listing/launch/GTM (ST-093..100)</t>
  </si>
  <si>
    <t xml:space="preserve">17 stories remain Backlog</t>
  </si>
  <si>
    <t xml:space="preserve">0/61</t>
  </si>
  <si>
    <t xml:space="preserve">Unblock: live Meta dev account + asset production session</t>
  </si>
  <si>
    <t xml:space="preserve">Release</t>
  </si>
  <si>
    <t xml:space="preserve">v006 released: codebase engageos v0.6.0 (BUILD_OK), 16 suites / 73 tests green, 100% stmts/branch/funcs/lines enforced; workbook gains this sheet + Traceability_Matrix</t>
  </si>
  <si>
    <t xml:space="preserve">75 Done / 8 code-complete / 17 Backlog</t>
  </si>
  <si>
    <t xml:space="preserve">295/399</t>
  </si>
  <si>
    <t xml:space="preserve">16 suites / 73 tests</t>
  </si>
  <si>
    <t xml:space="preserve">Next: v007 live-platform verification</t>
  </si>
  <si>
    <t xml:space="preserve">S9-S10</t>
  </si>
  <si>
    <t xml:space="preserve">WhatsApp compliance code: 24h session window + template fallback, webhook dedupe/burst queue, opt-in proof registry, demo-data mode seeding all surfaces</t>
  </si>
  <si>
    <t xml:space="preserve">ST-083 code part; Launch_Checklist #5/#7/#8 done-in-code, #4 templates drafted</t>
  </si>
  <si>
    <t xml:space="preserve">20 suites / 78 tests</t>
  </si>
  <si>
    <t xml:space="preserve">Live burst test + Meta template approval pending</t>
  </si>
  <si>
    <t xml:space="preserve">Drafting sprint: listing copy A/B, pricing+FAQ, trust page, demo script, runbook, incident comms, 15 help articles, k6 load harness, backup drill, blue/green workflow, hi/ta i18n packs</t>
  </si>
  <si>
    <t xml:space="preserve">ST-080/083/084/088/090/092/093/095/096/098 -&gt; Drafted; ST-097 -&gt; In progress (self dry-run vs checklist)</t>
  </si>
  <si>
    <t xml:space="preserve">ST-093 A/B needs Senthil review; ST-097 needs second reviewer</t>
  </si>
  <si>
    <t xml:space="preserve">v007 released: codebase v0.7.0 BUILD_OK, 20 suites / 78 tests, 100% coverage held; checklist re-statused honestly; remaining Backlog is external-only</t>
  </si>
  <si>
    <t xml:space="preserve">75 Done / 8 code-complete / 10 drafted / 1 in progress / 6 Backlog</t>
  </si>
  <si>
    <t xml:space="preserve">Backlog left: ST-068 pen-test, 081 chat vendor, 089 WCAG (needs UI), 094 screenshots, 099 SEO, 100 partners</t>
  </si>
  <si>
    <t xml:space="preserve">Live-prep</t>
  </si>
  <si>
    <t xml:space="preserve">Live-sweep readiness: config.ts env loader, cloudApiAdapter.ts (real Cloud API WaApi impl — swap point for FakeWaApi), liveSweep.ts scripted 6-step verification, LIVE_SETUP_GUIDE (30-min WABA path, submit Business verification first), LIVE_VERIFICATION_SWEEP (12 steps mapped to the 8 Pending-live stories + LC items), .env.example</t>
  </si>
  <si>
    <t xml:space="preserve">No status flips — R2: evidence only</t>
  </si>
  <si>
    <t xml:space="preserve">23 suites / 86 tests</t>
  </si>
  <si>
    <t xml:space="preserve">Everything now one .env away from a scripted verification run</t>
  </si>
  <si>
    <t xml:space="preserve">v008 released: codebase v0.8.0 BUILD_OK; live wiring reduced to filling .env + running the sweep</t>
  </si>
  <si>
    <t xml:space="preserve">75 Done / 8 code-complete / 10 drafted / 1 in progress / 6 Backlog (unchanged by design)</t>
  </si>
  <si>
    <t xml:space="preserve">Awaiting Senthil: WABA access, A/B pick, second reviewer, D15</t>
  </si>
  <si>
    <t xml:space="preserve">Review</t>
  </si>
  <si>
    <t xml:space="preserve">Cold-review pass 1: 4 defects fixed w/ regression tests (F-001..F-004), 4 findings logged (F-005..F-008, tracker v003 Review_Findings); REVIEW_PACK.md for external second reviewer</t>
  </si>
  <si>
    <t xml:space="preserve">ST-097 prep; no status flips</t>
  </si>
  <si>
    <t xml:space="preserve">23 suites / 90 tests</t>
  </si>
  <si>
    <t xml:space="preserve">F-005 install-overwrite semantics needs Senthil disposition before live wiring</t>
  </si>
  <si>
    <t xml:space="preserve">v009 released: codebase v0.9.0 BUILD_OK; review pass closes the last in-sandbox quality work</t>
  </si>
  <si>
    <t xml:space="preserve">75 Done / 8 code-complete / 10 drafted / 1 in progress / 6 Backlog (unchanged)</t>
  </si>
  <si>
    <t xml:space="preserve">Awaiting: WABA, external reviewer, A/B, D15</t>
  </si>
  <si>
    <t xml:space="preserve">S9-prep</t>
  </si>
  <si>
    <t xml:space="preserve">Accessible screen shells for inbox/broadcast/catalog/onboarding + jest-axe WCAG audit (populated + empty states, XSS escaping asserted); security evidence pack sandbox half; listing asset plan + shot list</t>
  </si>
  <si>
    <t xml:space="preserve">ST-089 -&gt; Done; ST-068 -&gt; In progress; ST-094 -&gt; Drafted</t>
  </si>
  <si>
    <t xml:space="preserve">+3 pts</t>
  </si>
  <si>
    <t xml:space="preserve">24 suites / 94 tests</t>
  </si>
  <si>
    <t xml:space="preserve">Full WCAG on styled live UI + vendor pen-test + asset production remain</t>
  </si>
  <si>
    <t xml:space="preserve">v010 released: codebase v0.10.0 BUILD_OK; only truly-external backlog remains</t>
  </si>
  <si>
    <t xml:space="preserve">76 Done / 8 code-complete / 11 drafted / 2 in progress / 3 Backlog</t>
  </si>
  <si>
    <t xml:space="preserve">298/399</t>
  </si>
  <si>
    <t xml:space="preserve">Awaiting: WABA, external reviewer, F-005, A/B, vendors, D15</t>
  </si>
  <si>
    <t xml:space="preserve">Review-2</t>
  </si>
  <si>
    <t xml:space="preserve">Cold-review pass 2 over every module pass 1 skipped: 8 defects fixed with pinned regressions (F-009 opt-in registry never wired into sends, F-010 session window never wired, F-011 read-only unenforced, F-012 no payment recovery, F-013 trial never expired, F-014 deletion never purged, F-015 naive CSV split, F-016 unbounded ledgers); shared csv.ts + ledger.ts extracted</t>
  </si>
  <si>
    <t xml:space="preserve">No status flips from review</t>
  </si>
  <si>
    <t xml:space="preserve">26 suites / 110 tests</t>
  </si>
  <si>
    <t xml:space="preserve">F-009/F-010 were wiring gaps a 100% suite cannot see — lesson logged</t>
  </si>
  <si>
    <t xml:space="preserve">Completion</t>
  </si>
  <si>
    <t xml:space="preserve">Completion wave: ST-081 built-in chat + 4-business-hour SLA engine, ST-080 ranked help search + manifest drift gate, ST-095 pricing generated from billing PLANS, ST-099 SEO iteration engine (thin-data floor), ST-100 10-slot partner tracker with honest G-02 math</t>
  </si>
  <si>
    <t xml:space="preserve">ST-080/081/095 -&gt; Done; ST-099/100 -&gt; Code-complete; BACKLOG ZERO</t>
  </si>
  <si>
    <t xml:space="preserve">+11 pts</t>
  </si>
  <si>
    <t xml:space="preserve">27 suites / 118 tests</t>
  </si>
  <si>
    <t xml:space="preserve">Chat vendor decision now optional (D-E4 to ratify)</t>
  </si>
  <si>
    <t xml:space="preserve">v011 released: codebase v0.11.0 BUILD_OK — ENGAGEOS CODE PHASE COMPLETE</t>
  </si>
  <si>
    <t xml:space="preserve">79 Done / 10 code-complete / 9 drafted / 2 in progress / 0 Backlog</t>
  </si>
  <si>
    <t xml:space="preserve">309/399</t>
  </si>
  <si>
    <t xml:space="preserve">Every remaining line is Senthil-side</t>
  </si>
  <si>
    <t xml:space="preserve">Gap-audit</t>
  </si>
  <si>
    <t xml:space="preserve">Artifact-gap audit: 6 gaps (2 critical) — no HTTP app behind the webhook/health/k6 routes, no DB schema behind the drill, no signature verification, no hub.challenge handshake, unsigned load fixtures, ungated pricing doc. All built and tested; docs realigned to real commands</t>
  </si>
  <si>
    <t xml:space="preserve">ST-088/090/092 Drafted -&gt; Code-complete</t>
  </si>
  <si>
    <t xml:space="preserve">31 suites / 131 tests</t>
  </si>
  <si>
    <t xml:space="preserve">Live run needs WABA access + Postgres (DATABASE_URL) + WA_APP_SECRET</t>
  </si>
  <si>
    <t xml:space="preserve">v012 released: codebase v0.12.0 BUILD_OK; the 30-minute live path is now executable end to end</t>
  </si>
  <si>
    <t xml:space="preserve">79 Done / 13 code-complete / 6 drafted / 2 in progress / 0 Backlog</t>
  </si>
  <si>
    <t xml:space="preserve">Senthil queue adds Postgres + WA_APP_SECRET alongside WABA access</t>
  </si>
  <si>
    <t xml:space="preserve">Review-3</t>
  </si>
  <si>
    <t xml:space="preserve">Cold-review pass 3 over the new HTTP layer: F-017 no multi-tenancy (shared dedupe ledger + session window across all WABA accounts), F-018 valid signature treated as proof of installation, F-019 unauthenticated ops detail on /healthz and /status, F-020 no OAuth CSRF state — all fixed with pinned regressions</t>
  </si>
  <si>
    <t xml:space="preserve">No status flips — correctness release</t>
  </si>
  <si>
    <t xml:space="preserve">31 suites / 136 tests</t>
  </si>
  <si>
    <t xml:space="preserve">Deploy prerequisites now add ENGAGEOS_OPERATOR_TOKEN and WA_APP_SECRET</t>
  </si>
  <si>
    <t xml:space="preserve">v013 released: codebase v0.13.0 BUILD_OK; setup guide, .env.example and security evidence updated for the new transport controls</t>
  </si>
  <si>
    <t xml:space="preserve">Awaiting: WABA + Postgres + secrets, reviewer, dispositions, D15</t>
  </si>
  <si>
    <t xml:space="preserve">Verification</t>
  </si>
  <si>
    <t xml:space="preserve">External verification sweep vs live Meta docs: VER-E5 batched-webhook data loss fixed (all entries/changes/messages processed, partial-batch acceptance), VER-E1 per-message pricing model corrected across billing/pricing page/FAQ + new messageCost.ts, VER-E2 authentication category, VER-E3 72-hour free entry point window, VER-E6 80 msg/s throughput limiter</t>
  </si>
  <si>
    <t xml:space="preserve">32 suites / 144 tests</t>
  </si>
  <si>
    <t xml:space="preserve">VER-E1 needs a commercial decision: plan allowances are now template messages, not conversations</t>
  </si>
  <si>
    <t xml:space="preserve">v014 released: codebase v0.14.0 BUILD_OK; setup guide carries the verified platform constraints (fast ack, batching, 80 msg/s, mTLS CA change)</t>
  </si>
  <si>
    <t xml:space="preserve">Awaiting Senthil: pricing decision, WABA + secrets, reviewer, D15</t>
  </si>
  <si>
    <t xml:space="preserve">Verification-2</t>
  </si>
  <si>
    <t xml:space="preserve">Verification sweep pass 2 vs live Meta docs on limits/policy: VER-E7 portfolio-level 24h unique-recipient tier cap now metered and surfaced (250 for a new account, upgrade-readiness explained), VER-E8 service-window replies correctly excluded, VER-E9 US marketing freeze guard (also caught our own US test-send placeholder), VER-E10 non-retryable error codes no longer retried</t>
  </si>
  <si>
    <t xml:space="preserve">33 suites / 151 tests</t>
  </si>
  <si>
    <t xml:space="preserve">First broadcasts must be planned at 250 contacts, not 5,000 — documented in the setup guide</t>
  </si>
  <si>
    <t xml:space="preserve">v015 released: codebase v0.15.0 BUILD_OK; setup guide, pricing FAQ and security evidence carry the verified limit rules</t>
  </si>
  <si>
    <t xml:space="preserve">Verification-3</t>
  </si>
  <si>
    <t xml:space="preserve">Verification sweep pass 3 (message handling): VER-E11 status webhooks consumed and campaign delivery no longer assumed from API acceptance, VER-E12 inbound media parsed with placeholders instead of being dropped, VER-E13 interactive button/list replies parsed to their ids so chatbot branches work on a real number</t>
  </si>
  <si>
    <t xml:space="preserve">34 suites / 158 tests</t>
  </si>
  <si>
    <t xml:space="preserve">Webhook subscription must include message status events, not just messages</t>
  </si>
  <si>
    <t xml:space="preserve">v016 released: codebase v0.16.0 BUILD_OK; setup guide documents status-event subscription, media fetch and interactive reply ids</t>
  </si>
  <si>
    <t xml:space="preserve">State-audit</t>
  </si>
  <si>
    <t xml:space="preserve">State-architecture audit: GAP-E8 all cross-request correctness state was process-local while the deploy workflow runs two instances (duplicate processing, tier over-send); SharedStore boundary + PgStore with database-side atomicity, one contract suite over both implementations, single-instance invariant documented and guarded in deploy.yml. GAP-E7 migrations 005/006 for delivery statuses, media refs, tenants and shared state</t>
  </si>
  <si>
    <t xml:space="preserve">No status flips — architecture release</t>
  </si>
  <si>
    <t xml:space="preserve">35 suites / 167 tests</t>
  </si>
  <si>
    <t xml:space="preserve">SHARED_STORE=pg wiring at the composition root is a live-infra step</t>
  </si>
  <si>
    <t xml:space="preserve">v017 released: codebase v0.17.0 BUILD_OK; scaling constraint written into the setup guide, env template and deploy workflow</t>
  </si>
  <si>
    <t xml:space="preserve">Wiring</t>
  </si>
  <si>
    <t xml:space="preserve">SharedStore wired into the guards that needed it (v017 built the boundary but nothing called it — same defect class as F-009/F-010): tenant dedupe guard and broadcast tier counter are now store-backed, with cross-instance tests proving two instances dedupe each other and share one tier budget; session windows logged as OPEN-E1</t>
  </si>
  <si>
    <t xml:space="preserve">No status flips</t>
  </si>
  <si>
    <t xml:space="preserve">35 suites / 169 tests</t>
  </si>
  <si>
    <t xml:space="preserve">OPEN-E1 session windows still process-local; SHARED_STORE=pg wiring still a live-infra step</t>
  </si>
  <si>
    <t xml:space="preserve">v018 released: codebase v0.18.0 BUILD_OK</t>
  </si>
  <si>
    <t xml:space="preserve">Deferred-close</t>
  </si>
  <si>
    <t xml:space="preserve">OPEN-E1 closed: session windows moved to the shared store with the async ripple through inbox/broadcast/tenancy/demo done in one pass; VER-E12 second half closed: real two-step media resolution on the Cloud API adapter</t>
  </si>
  <si>
    <t xml:space="preserve">35 suites / 171 tests</t>
  </si>
  <si>
    <t xml:space="preserve">SHARED_STORE=pg wiring remains the only live-infra step for cross-instance correctness</t>
  </si>
  <si>
    <t xml:space="preserve">v019 released: codebase v0.19.0 BUILD_OK; no deferred code halves remain open</t>
  </si>
  <si>
    <t xml:space="preserve">Re-baseline</t>
  </si>
  <si>
    <t xml:space="preserve">Spec sheets re-baselined to as-built after 19 versions: Financial_Model fee note corrected off the deprecated conversation unit and given five caveats (ARPU depends on the open pricing decision; activation is gated by the 250-recipient starting tier); Product_Spec NFRs replaced with what is actually true including the gaps; Metrics_Targets marks what is instrumented</t>
  </si>
  <si>
    <t xml:space="preserve">No status flips — no code changed</t>
  </si>
  <si>
    <t xml:space="preserve">35 suites / 171 tests (unchanged)</t>
  </si>
  <si>
    <t xml:space="preserve">Financial model still has no actuals — none exist without live installs</t>
  </si>
  <si>
    <t xml:space="preserve">v020 released: documentation aligned with code; no code changes this sitting</t>
  </si>
  <si>
    <t xml:space="preserve">Audit</t>
  </si>
  <si>
    <t xml:space="preserve">Integrity audit: clean-room rebuild from the shipped zip reproduced exactly; 2 dead-code pragmas removed (zero logic suppressions remain); 2 vague evidence cells made checkable; 9 traceability rows restored after their story text had been overwritten by my own update scripts</t>
  </si>
  <si>
    <t xml:space="preserve">No status changes — 79/13/6/2/0 identical in both files</t>
  </si>
  <si>
    <t xml:space="preserve">Record-keeping failed where the code did not — worth saying plainly</t>
  </si>
  <si>
    <t xml:space="preserve">v021 released: codebase v0.20.0; every claim in this workbook is now mechanically verifiable</t>
  </si>
  <si>
    <t xml:space="preserve">Awaiting Senthil: handover sheet items 1-10</t>
  </si>
  <si>
    <t xml:space="preserve">Audit-2</t>
  </si>
  <si>
    <t xml:space="preserve">Audit pass 2: all 37 closed findings probed against the shipped source (37/37 present) and the probes converted into a permanent regression suite; pragma guard added; workbook structure reconciled; Launch_Checklist item 6 corrected off the retired conversation-pricing model, items 2/3/8 re-statused, Risk_Register IDs made consistent</t>
  </si>
  <si>
    <t xml:space="preserve">No story status changes</t>
  </si>
  <si>
    <t xml:space="preserve">36 suites / 210 tests</t>
  </si>
  <si>
    <t xml:space="preserve">None — audit clean after fixes</t>
  </si>
  <si>
    <t xml:space="preserve">v022 released: codebase v0.21.0; the record is now self-verifying rather than self-reported</t>
  </si>
  <si>
    <t xml:space="preserve">Rehearsal</t>
  </si>
  <si>
    <t xml:space="preserve">Operator-path rehearsal executed for real: server booted with placeholder secrets, verification handshake echoed, signed webhook queued, replay deduped, unsigned rejected 401, admin gated, pricing/help served, then 6/6 sweep steps passed in dry mode. Transcript committed; step added to CI</t>
  </si>
  <si>
    <t xml:space="preserve">No status flips — proves the path, not the platform</t>
  </si>
  <si>
    <t xml:space="preserve">Only Meta verification and credentials stand between this and the live sweep</t>
  </si>
  <si>
    <t xml:space="preserve">v023 released: codebase v0.22.0; the commands in the setup guide are now demonstrated, not asserted</t>
  </si>
  <si>
    <t xml:space="preserve">Wiring-2</t>
  </si>
  <si>
    <t xml:space="preserve">F-022: views.ts and demoData.ts — both behind stories recorded as Done — were reachable only from tests. Screens now served at /app/inbox|broadcast|catalog|onboarding|inbox/empty behind ENGAGEOS_DEMO, axe-clean as served, exercised in the rehearsal; ST-094 capture unblocked (remaining blocker is styling, not existence)</t>
  </si>
  <si>
    <t xml:space="preserve">Evidence updated for ST-083/089/094; no status changes</t>
  </si>
  <si>
    <t xml:space="preserve">37 suites / 215 tests</t>
  </si>
  <si>
    <t xml:space="preserve">Third occurrence of the built-but-unwired class — the findings regression suite now pins this one too</t>
  </si>
  <si>
    <t xml:space="preserve">v024 released: codebase v0.23.0; every module in src/ is now reachable from the running product</t>
  </si>
  <si>
    <t xml:space="preserve">Wiring-3</t>
  </si>
  <si>
    <t xml:space="preserve">F-023: no action routes existed and inbound webhooks never reached the inbox — the product could not be used. Per-tenant workspace registry, webhook-to-inbox delivery, and an action API (inbox list/reply/assign, broadcast create/send, catalog add/payment-link); router path params; inbox reassignment added; proved end to end in the rehearsal</t>
  </si>
  <si>
    <t xml:space="preserve">No story status changes — these stories were already counted as Done</t>
  </si>
  <si>
    <t xml:space="preserve">38 suites / 224 tests</t>
  </si>
  <si>
    <t xml:space="preserve">Per-agent auth is still operator-token only — logged as OPEN-E2</t>
  </si>
  <si>
    <t xml:space="preserve">v025 released: codebase v0.24.0; the product can now be operated, not just tested</t>
  </si>
  <si>
    <t xml:space="preserve">Wiring-4</t>
  </si>
  <si>
    <t xml:space="preserve">Reachability sweep completed: 9 unreachable modules wired. F-024 routes for flows, opt-in, analytics, billing, support and the self-serve data export/delete the trust page promises; F-025 permission matrix + audit log enforced at the HTTP boundary; F-026 throughput limiter gates sends and every request is timed against the p95 budget</t>
  </si>
  <si>
    <t xml:space="preserve">39 suites / 241 tests</t>
  </si>
  <si>
    <t xml:space="preserve">OPEN-E2 narrowed: the matrix is enforced, but agent identity is asserted by the trusted caller</t>
  </si>
  <si>
    <t xml:space="preserve">v026 released: codebase v0.25.0; no module in src/ is unreachable from the running product</t>
  </si>
  <si>
    <t xml:space="preserve">Awaiting Senthil: handover sheet items 1-10 plus OPEN-E2</t>
  </si>
  <si>
    <t xml:space="preserve">Auth</t>
  </si>
  <si>
    <t xml:space="preserve">OPEN-E2 closed: HMAC-signed agent sessions issued only by the operator token; the signed role governs over any header; 12-hour expiry; weak secrets refused at boot; audit records the verified actor. Rehearsal proves a member session cannot escalate with a header</t>
  </si>
  <si>
    <t xml:space="preserve">40 suites / 250 tests</t>
  </si>
  <si>
    <t xml:space="preserve">ENGAGEOS_SESSION_SECRET added to the deploy prerequisites</t>
  </si>
  <si>
    <t xml:space="preserve">v027 released: codebase v0.26.0; no open architectural item remains on the software side</t>
  </si>
  <si>
    <t xml:space="preserve">UI</t>
  </si>
  <si>
    <t xml:space="preserve">F-027: the product was API-only and the served screens were read-only mockups. A working agent workspace at /web — session login, conversation list, reply with honest outcome reporting, campaign test send, product add with payment link — written as DOM functions the jsdom suite drives and served by stringifying those same functions</t>
  </si>
  <si>
    <t xml:space="preserve">ST-094 blocker narrowed to styling alone</t>
  </si>
  <si>
    <t xml:space="preserve">41 suites / 265 tests</t>
  </si>
  <si>
    <t xml:space="preserve">Unstyled by design; the styling pass is a design job</t>
  </si>
  <si>
    <t xml:space="preserve">v028 released: codebase v0.27.0; an SME could now actually work in this product</t>
  </si>
  <si>
    <t xml:space="preserve">UI-2</t>
  </si>
  <si>
    <t xml:space="preserve">Agent UI completed: self-serve data export and deletion with confirmation (ST-069 was not self-serve while it was API-only), trial banner with days remaining (ST-057 always described a UI element), health panel translating quality rating and messaging limit into plain sentences, first-run checklist</t>
  </si>
  <si>
    <t xml:space="preserve">Evidence updated for ST-057 and ST-069</t>
  </si>
  <si>
    <t xml:space="preserve">41 suites / 274 tests</t>
  </si>
  <si>
    <t xml:space="preserve">Styling remains the only blocker on ST-094</t>
  </si>
  <si>
    <t xml:space="preserve">v029 released: codebase v0.28.0; every promise made to a customer now has a surface the customer can reach</t>
  </si>
  <si>
    <t xml:space="preserve">Styling pass on the agent workspace, grounded in the SME counter rather than dashboard defaults: ink on ledger paper, one type family, colour reserved for conversation status, the queue as the single loud element. Contrast enforced by test — it failed first run on my own grey and the token was corrected. Rationale in docs/DESIGN_NOTES.md</t>
  </si>
  <si>
    <t xml:space="preserve">ST-094 styling blocker removed</t>
  </si>
  <si>
    <t xml:space="preserve">41 suites / 279 tests</t>
  </si>
  <si>
    <t xml:space="preserve">Capture session and video production remain (his side)</t>
  </si>
  <si>
    <t xml:space="preserve">v030 released: codebase v0.29.0; the product looks like something an SME would use, not a template</t>
  </si>
  <si>
    <t xml:space="preserve">i18n</t>
  </si>
  <si>
    <t xml:space="preserve">F-030: hi/ta packs drafted in v007 were never imported while the listing sells a vernacular UI. Workspace now ships in English, Hindi and Tamil across all 47 strings with a language switcher, English fallback, and two drift gates (pack completeness, and disk files generated from the module)</t>
  </si>
  <si>
    <t xml:space="preserve">LC-10 moves to done-in-code</t>
  </si>
  <si>
    <t xml:space="preserve">41 suites / 286 tests</t>
  </si>
  <si>
    <t xml:space="preserve">Machine translations need native-speaker review; server messages still English</t>
  </si>
  <si>
    <t xml:space="preserve">v031 released: codebase v0.30.0; a Tamil-speaking shop owner can now read the product</t>
  </si>
  <si>
    <t xml:space="preserve">Claims-audit</t>
  </si>
  <si>
    <t xml:space="preserve">Every listing, pricing and trust-page claim checked against the product: 5 untrue. Flows never answered inbound (F-031), broadcasts never consulted the quality guard (F-032), the circuit breaker was unused (F-033), plan-limit prompts were never surfaced (F-034), payment links went to the agent not the customer (F-035). All fixed and pinned as tests named after the claim</t>
  </si>
  <si>
    <t xml:space="preserve">No story status changes — these were claims, not stories</t>
  </si>
  <si>
    <t xml:space="preserve">42 suites / 296 tests</t>
  </si>
  <si>
    <t xml:space="preserve">Claims are now tested; a future copy change without code fails the build</t>
  </si>
  <si>
    <t xml:space="preserve">v032 released: codebase v0.31.0; the product now does what the listing says it does</t>
  </si>
  <si>
    <t xml:space="preserve">Awaiting Senthil: handover sheet items 1-11</t>
  </si>
  <si>
    <t xml:space="preserve">Help-audit</t>
  </si>
  <si>
    <t xml:space="preserve">Help-centre audit: 8 documented tasks had no route or control. Contact and chat CSV import, bulk close, assignment rules, pause, price edit and deactivate, flow node edit, notification mute are now reachable and pinned by tests named after the articles</t>
  </si>
  <si>
    <t xml:space="preserve">Evidence updated for ST-009 and ST-019</t>
  </si>
  <si>
    <t xml:space="preserve">43 suites / 307 tests</t>
  </si>
  <si>
    <t xml:space="preserve">A customer following article 5 on day one would previously have found no import</t>
  </si>
  <si>
    <t xml:space="preserve">v033 released: codebase v0.32.0; the documentation and the product finally describe the same thing</t>
  </si>
  <si>
    <t xml:space="preserve">Template-audit</t>
  </si>
  <si>
    <t xml:space="preserve">F-037: 12 of 20 templates carry variables and the adapter sent none, which Meta rejects outright — every variable-carrying send would have failed on day one. Registry declares each template's variables, adapter ships body components, invalid sends refused before the platform, drift test against the published library, plus the missing template-send route</t>
  </si>
  <si>
    <t xml:space="preserve">44 suites / 315 tests</t>
  </si>
  <si>
    <t xml:space="preserve">Template variable names must match the registry when you submit them to Meta</t>
  </si>
  <si>
    <t xml:space="preserve">v034 released: codebase v0.33.0; the template library and the wire format finally agree</t>
  </si>
  <si>
    <t xml:space="preserve">Runbook-audit</t>
  </si>
  <si>
    <t xml:space="preserve">F-038: the runbook prescribed a feature-flag rollback step and 2-hourly quality checks, neither of which existed. Per-capability kill switches with mandatory reasons, an on-demand/cron quality check that auto-disables broadcasts on red, status page reporting degraded capabilities; runbook rewritten around the real controls</t>
  </si>
  <si>
    <t xml:space="preserve">ST-098 evidence updated</t>
  </si>
  <si>
    <t xml:space="preserve">45 suites / 324 tests</t>
  </si>
  <si>
    <t xml:space="preserve">Schedule POST /admin/monitor/run every 2h at deploy time</t>
  </si>
  <si>
    <t xml:space="preserve">v035 released: codebase v0.34.0; the incident procedure can actually be followed</t>
  </si>
  <si>
    <t xml:space="preserve">Comms-audit</t>
  </si>
  <si>
    <t xml:space="preserve">F-039: the incident comms templates and severity ladder had nowhere to publish. Incidents open/update/resolve, the public status page carries the message instead of a boolean, and overdue updates are listed in minutes late per the documented cadence</t>
  </si>
  <si>
    <t xml:space="preserve">ST-084 evidence updated — status-page vendor now optional</t>
  </si>
  <si>
    <t xml:space="preserve">46 suites / 329 tests</t>
  </si>
  <si>
    <t xml:space="preserve">An external status page is now a choice, not a dependency</t>
  </si>
  <si>
    <t xml:space="preserve">v036 released: codebase v0.35.0; every customer- and operator-facing document now matches the product</t>
  </si>
  <si>
    <t xml:space="preserve">Screens-audit</t>
  </si>
  <si>
    <t xml:space="preserve">F-040: the screen inventory specified 9 screens and 4 were missing, including the one the sheet calls the differentiator. Home dashboard, chatbot flows view, settings and team, and help and support built in all three languages and axe-clean; ST-074 weekly metrics email wired for a scheduler</t>
  </si>
  <si>
    <t xml:space="preserve">Screens sheet now carries as-built status; ST-074 evidence updated</t>
  </si>
  <si>
    <t xml:space="preserve">47 suites / 336 tests</t>
  </si>
  <si>
    <t xml:space="preserve">The workbook itself was the ninth specification</t>
  </si>
  <si>
    <t xml:space="preserve">v037 released: codebase v0.36.0; every screen the product was specified to have now exists</t>
  </si>
  <si>
    <t xml:space="preserve">Scope-audit</t>
  </si>
  <si>
    <t xml:space="preserve">F-041: the scope sheet names vertical templates as the differentiation and no vertical concept existed. Four packs (retail/clinic/education/services) with fitted welcome wording and routing keyword, selectable at setup, validated against the template registry; ST-082 review ask wired after making onboarding completion real</t>
  </si>
  <si>
    <t xml:space="preserve">ST-082 evidence updated</t>
  </si>
  <si>
    <t xml:space="preserve">48 suites / 343 tests</t>
  </si>
  <si>
    <t xml:space="preserve">Pack contents are a judgement call — worth your review before launch</t>
  </si>
  <si>
    <t xml:space="preserve">v038 released: codebase v0.37.0; the product is differentiated the way the scope sheet says it is</t>
  </si>
  <si>
    <t xml:space="preserve">Awaiting Senthil: handover sheet items 1-12</t>
  </si>
  <si>
    <t xml:space="preserve">Audit-kit</t>
  </si>
  <si>
    <t xml:space="preserve">The three audit techniques made portable (tools-audit-kit/). First run against this repo found two real gaps: SHARED_STORE=pg documented everywhere and implemented nowhere, and the SEO tool still unwired despite F-024 claiming otherwise. Both fixed; the kit itself improved after producing one false positive</t>
  </si>
  <si>
    <t xml:space="preserve">ST-099/ST-100 evidence updated</t>
  </si>
  <si>
    <t xml:space="preserve">49 suites / 347 tests</t>
  </si>
  <si>
    <t xml:space="preserve">The kit is the transferable output — the other 11 products have the same failure modes</t>
  </si>
  <si>
    <t xml:space="preserve">v039 released: codebase v0.38.0 plus a portable audit kit</t>
  </si>
  <si>
    <t xml:space="preserve">Audit-gates</t>
  </si>
  <si>
    <t xml:space="preserve">The three audits turned from exercises into gates: 43-claim manifest across all eleven documents, findings ledger generated from the suite with an id-set sync test, all three wired into CI and npm run audit. Result today: 60/60 modules reachable, 43/43 promises kept, 55/55 findings still fixed</t>
  </si>
  <si>
    <t xml:space="preserve">49 suites / 349 tests</t>
  </si>
  <si>
    <t xml:space="preserve">A future listing bullet without code behind it now fails a build</t>
  </si>
  <si>
    <t xml:space="preserve">v040 released: codebase v0.39.0; audit kit v002 with consumer-directory scanning</t>
  </si>
  <si>
    <t xml:space="preserve">Claims-extractor</t>
  </si>
  <si>
    <t xml:space="preserve">Audit kit gained a claims extractor (drafts the manifest from the documents, markers left for a human). Its first run found F-043: the incident template promised queued delivery and no lost messages with no outbound queue behind it. Durable retry queue built with dead letters an operator can read; template corrected</t>
  </si>
  <si>
    <t xml:space="preserve">50 suites / 356 tests</t>
  </si>
  <si>
    <t xml:space="preserve">Drain the outbound queue after any outage before telling a customer nothing was lost</t>
  </si>
  <si>
    <t xml:space="preserve">v041 released: codebase v0.40.0; audit kit v003 with the extractor</t>
  </si>
  <si>
    <t xml:space="preserve">Posture</t>
  </si>
  <si>
    <t xml:space="preserve">Reconciled the extractor draft against the hand-written manifest as L-E21 prescribed: 5 claims added, 1 real gap. F-044 — the trust page published a security posture nothing verified; the app now refuses to boot when the deployment contradicts it. Three findings recorded in the tracker but missing from the regression array were also added</t>
  </si>
  <si>
    <t xml:space="preserve">51 suites / 365 tests</t>
  </si>
  <si>
    <t xml:space="preserve">Set DB_ENCRYPTION_AT_REST, TLS_MIN and SECRETS_SOURCE at deploy or the app will not start</t>
  </si>
  <si>
    <t xml:space="preserve">v042 released: codebase v0.41.0</t>
  </si>
  <si>
    <t xml:space="preserve">Workbook-claims</t>
  </si>
  <si>
    <t xml:space="preserve">Audit kit reads spreadsheets now: a converter feeds workbook spec sheets to the extractor. Two kit bugs found in the building — Full_Backlog silently skipped by a bare "log" pattern, and first-person user stories undetected. Backlog stories cross-checked against the traceability matrix (all present, all Done-in-code)</t>
  </si>
  <si>
    <t xml:space="preserve">Run the converter on the other products — their workbooks hold the same kind of promise</t>
  </si>
  <si>
    <t xml:space="preserve">v043 released: codebase v0.42.0; audit kit v004 with workbook support</t>
  </si>
  <si>
    <t xml:space="preserve">Kit-tests</t>
  </si>
  <si>
    <t xml:space="preserve">The audit kit was about to ship to eleven products with three bugs behind it and no tests. Eleven tests added, one named for each shipped bug; writing them corrected a fourth misunderstanding of my own about entry modules. Kit at 1.0.0, running in this product's CI</t>
  </si>
  <si>
    <t xml:space="preserve">51 suites / 365 tests (+11 kit)</t>
  </si>
  <si>
    <t xml:space="preserve">A tool that enforces quality untested is not an argument anyone should accept</t>
  </si>
  <si>
    <t xml:space="preserve">v044 released: codebase v0.43.0; audit kit v1.0.0 with its own suite</t>
  </si>
  <si>
    <t xml:space="preserve">TRACEABILITY MATRIX — story -&gt; module -&gt; automated test -&gt; status (v006, 2026-09-10 22:22)</t>
  </si>
  <si>
    <t xml:space="preserve">Story (short)</t>
  </si>
  <si>
    <t xml:space="preserve">Source module(s)</t>
  </si>
  <si>
    <t xml:space="preserve">Test suite(s)</t>
  </si>
  <si>
    <t xml:space="preserve">Evidence / Note</t>
  </si>
  <si>
    <t xml:space="preserve">inbox.ts</t>
  </si>
  <si>
    <t xml:space="preserve">inbox.test.ts</t>
  </si>
  <si>
    <t xml:space="preserve">Team inbox + assignment: one-screen setup with validated defaults</t>
  </si>
  <si>
    <t xml:space="preserve">Happy path covered end-to-end on fake platform surface</t>
  </si>
  <si>
    <t xml:space="preserve">As a Marketing person, I can customise Team inbox + assignment rules/conditions for my ...</t>
  </si>
  <si>
    <t xml:space="preserve">Rules/conditions customisation with validation errors</t>
  </si>
  <si>
    <t xml:space="preserve">As a user, Team inbox + assignment shows clear errors and retry paths on platform API f...</t>
  </si>
  <si>
    <t xml:space="preserve">inbox.ts + resilience.ts</t>
  </si>
  <si>
    <t xml:space="preserve">inbox.test.ts + resilience.test.ts</t>
  </si>
  <si>
    <t xml:space="preserve">Retry w/ backoff; clear error after exhausting attempts</t>
  </si>
  <si>
    <t xml:space="preserve">As a Support agent, Team inbox + assignment works on the web app + WhatsApp Cloud API s...</t>
  </si>
  <si>
    <t xml:space="preserve">Logic Done vs FakeWaApi; live Cloud API E2E outstanding</t>
  </si>
  <si>
    <t xml:space="preserve">Metrics/trends computed and asserted</t>
  </si>
  <si>
    <t xml:space="preserve">inbox.ts + roles.ts</t>
  </si>
  <si>
    <t xml:space="preserve">roles.test.ts</t>
  </si>
  <si>
    <t xml:space="preserve">owner/admin/member matrix + AuditLog entries</t>
  </si>
  <si>
    <t xml:space="preserve">Pause blocks activity; data retained (asserted)</t>
  </si>
  <si>
    <t xml:space="preserve">As a Marketing person, I can import/migrate existing data into Team inbox + assignment ...</t>
  </si>
  <si>
    <t xml:space="preserve">DONE-IN-CODE v033 17:24 — chat CSV import reachable at POST /api/inbox/import; it was library-only until now (help article 5)</t>
  </si>
  <si>
    <t xml:space="preserve">As a user, I get notifications (in-app + email) for key Team inbox + assignment events ...</t>
  </si>
  <si>
    <t xml:space="preserve">inbox.ts + notify.ts</t>
  </si>
  <si>
    <t xml:space="preserve">notify.test.ts</t>
  </si>
  <si>
    <t xml:space="preserve">In-app + email with per-type mute</t>
  </si>
  <si>
    <t xml:space="preserve">As a SME owner, I can set up Broadcast campaigns + segments with sensible defaults in o...</t>
  </si>
  <si>
    <t xml:space="preserve">broadcast.ts</t>
  </si>
  <si>
    <t xml:space="preserve">broadcast.test.ts</t>
  </si>
  <si>
    <t xml:space="preserve">Broadcast campaigns + segments: one-screen setup with validated defaults</t>
  </si>
  <si>
    <t xml:space="preserve">As a SME owner, the Broadcast campaigns + segments happy path completes without documen...</t>
  </si>
  <si>
    <t xml:space="preserve">As a Marketing person, I can customise Broadcast campaigns + segments rules/conditions ...</t>
  </si>
  <si>
    <t xml:space="preserve">As a user, Broadcast campaigns + segments shows clear errors and retry paths on platfor...</t>
  </si>
  <si>
    <t xml:space="preserve">broadcast.ts + resilience.ts</t>
  </si>
  <si>
    <t xml:space="preserve">broadcast.test.ts + resilience.test.ts</t>
  </si>
  <si>
    <t xml:space="preserve">As a Support agent, Broadcast campaigns + segments works on the web app + WhatsApp Clou...</t>
  </si>
  <si>
    <t xml:space="preserve">As a Marketing person, I can see Broadcast campaigns + segments performance metrics and...</t>
  </si>
  <si>
    <t xml:space="preserve">broadcast.ts + roles.ts</t>
  </si>
  <si>
    <t xml:space="preserve">As a Marketing person, I can import/migrate existing data into Broadcast campaigns + se...</t>
  </si>
  <si>
    <t xml:space="preserve">DONE-IN-CODE v033 17:24 — contact CSV import reachable at POST /api/contacts/import, the day-one migration path</t>
  </si>
  <si>
    <t xml:space="preserve">As a user, I get notifications (in-app + email) for key Broadcast campaigns + segments ...</t>
  </si>
  <si>
    <t xml:space="preserve">broadcast.ts + notify.ts</t>
  </si>
  <si>
    <t xml:space="preserve">chatbot.ts</t>
  </si>
  <si>
    <t xml:space="preserve">chatbot.test.ts</t>
  </si>
  <si>
    <t xml:space="preserve">No-code chatbot flows: one-screen setup with validated defaults</t>
  </si>
  <si>
    <t xml:space="preserve">As a Marketing person, I can customise No-code chatbot flows rules/conditions for my wo...</t>
  </si>
  <si>
    <t xml:space="preserve">As a user, No-code chatbot flows shows clear errors and retry paths on platform API fai...</t>
  </si>
  <si>
    <t xml:space="preserve">chatbot.ts + resilience.ts</t>
  </si>
  <si>
    <t xml:space="preserve">chatbot.test.ts + resilience.test.ts</t>
  </si>
  <si>
    <t xml:space="preserve">As a Support agent, No-code chatbot flows works on the web app + WhatsApp Cloud API sur...</t>
  </si>
  <si>
    <t xml:space="preserve">chatbot.ts + roles.ts</t>
  </si>
  <si>
    <t xml:space="preserve">As a Marketing person, I can import/migrate existing data into No-code chatbot flows (C...</t>
  </si>
  <si>
    <t xml:space="preserve">CSV/row import with per-row validation errors</t>
  </si>
  <si>
    <t xml:space="preserve">As a user, I get notifications (in-app + email) for key No-code chatbot flows events wi...</t>
  </si>
  <si>
    <t xml:space="preserve">chatbot.ts + notify.ts</t>
  </si>
  <si>
    <t xml:space="preserve">catalog.ts</t>
  </si>
  <si>
    <t xml:space="preserve">catalog.test.ts</t>
  </si>
  <si>
    <t xml:space="preserve">Catalog + payment links: one-screen setup with validated defaults</t>
  </si>
  <si>
    <t xml:space="preserve">As a Marketing person, I can customise Catalog + payment links rules/conditions for my ...</t>
  </si>
  <si>
    <t xml:space="preserve">As a user, Catalog + payment links shows clear errors and retry paths on platform API f...</t>
  </si>
  <si>
    <t xml:space="preserve">catalog.ts + resilience.ts</t>
  </si>
  <si>
    <t xml:space="preserve">catalog.test.ts + resilience.test.ts</t>
  </si>
  <si>
    <t xml:space="preserve">As a Support agent, Catalog + payment links works on the web app + WhatsApp Cloud API s...</t>
  </si>
  <si>
    <t xml:space="preserve">catalog.ts + roles.ts</t>
  </si>
  <si>
    <t xml:space="preserve">As a Marketing person, I can import/migrate existing data into Catalog + payment links ...</t>
  </si>
  <si>
    <t xml:space="preserve">As a user, I get notifications (in-app + email) for key Catalog + payment links events ...</t>
  </si>
  <si>
    <t xml:space="preserve">catalog.ts + notify.ts</t>
  </si>
  <si>
    <t xml:space="preserve">As a SME owner, I can set up Analytics + quality-score guard with sensible defaults in ...</t>
  </si>
  <si>
    <t xml:space="preserve">analyticsGuard.ts</t>
  </si>
  <si>
    <t xml:space="preserve">analyticsGuard.test.ts</t>
  </si>
  <si>
    <t xml:space="preserve">Analytics + quality-score guard: one-screen setup with validated defaults</t>
  </si>
  <si>
    <t xml:space="preserve">As a SME owner, the Analytics + quality-score guard happy path completes without docume...</t>
  </si>
  <si>
    <t xml:space="preserve">As a Marketing person, I can customise Analytics + quality-score guard rules/conditions...</t>
  </si>
  <si>
    <t xml:space="preserve">As a user, Analytics + quality-score guard shows clear errors and retry paths on platfo...</t>
  </si>
  <si>
    <t xml:space="preserve">analyticsGuard.ts + resilience.ts</t>
  </si>
  <si>
    <t xml:space="preserve">analyticsGuard.test.ts + resilience.test.ts</t>
  </si>
  <si>
    <t xml:space="preserve">As a Support agent, Analytics + quality-score guard works on the web app + WhatsApp Clo...</t>
  </si>
  <si>
    <t xml:space="preserve">As a Marketing person, I can see Analytics + quality-score guard performance metrics an...</t>
  </si>
  <si>
    <t xml:space="preserve">analyticsGuard.ts + roles.ts</t>
  </si>
  <si>
    <t xml:space="preserve">As a Marketing person, I can import/migrate existing data into Analytics + quality-scor...</t>
  </si>
  <si>
    <t xml:space="preserve">As a user, I get notifications (in-app + email) for key Analytics + quality-score guard...</t>
  </si>
  <si>
    <t xml:space="preserve">analyticsGuard.ts + notify.ts</t>
  </si>
  <si>
    <t xml:space="preserve">install.ts</t>
  </si>
  <si>
    <t xml:space="preserve">install.test.ts</t>
  </si>
  <si>
    <t xml:space="preserve">Install logic + attribution Done; &lt;2 min timing needs live dev store</t>
  </si>
  <si>
    <t xml:space="preserve">Token purged; deletion scheduled at +30d retention</t>
  </si>
  <si>
    <t xml:space="preserve">Restore inside window; RETENTION_EXPIRED beyond it</t>
  </si>
  <si>
    <t xml:space="preserve">roles.ts</t>
  </si>
  <si>
    <t xml:space="preserve">Permission matrix enforced; forbidden actions throw</t>
  </si>
  <si>
    <t xml:space="preserve">rotateToken survives; uninstalled account rejected</t>
  </si>
  <si>
    <t xml:space="preserve">listing/search/referral attribution report</t>
  </si>
  <si>
    <t xml:space="preserve">billing.ts</t>
  </si>
  <si>
    <t xml:space="preserve">billing.test.ts</t>
  </si>
  <si>
    <t xml:space="preserve">DONE-IN-CODE v029 16:38 — trial banner with days remaining now rendered in the UI as the story always described, not just returned by the API</t>
  </si>
  <si>
    <t xml:space="preserve">Mid-cycle proration incl. cycle-cap clamp</t>
  </si>
  <si>
    <t xml:space="preserve">selectProvider(mandate) Done; Meta mandate verification outstanding (S0)</t>
  </si>
  <si>
    <t xml:space="preserve">7-day grace, dunning emails day 0/3/6, then read-only</t>
  </si>
  <si>
    <t xml:space="preserve">Prompts at 80% and 100% of plan limit</t>
  </si>
  <si>
    <t xml:space="preserve">Invoice with GST/VAT id + rate validation</t>
  </si>
  <si>
    <t xml:space="preserve">Save-offer (20%) and exit-survey-required paths</t>
  </si>
  <si>
    <t xml:space="preserve">compliance.ts</t>
  </si>
  <si>
    <t xml:space="preserve">compliance.test.ts</t>
  </si>
  <si>
    <t xml:space="preserve">SCOPE_MAP 1:1; leastPrivilegeReport flags unmapped</t>
  </si>
  <si>
    <t xml:space="preserve">compliance.ts + docs/DATA_FLOW.md</t>
  </si>
  <si>
    <t xml:space="preserve">retentionPolicy() + published data-flow doc</t>
  </si>
  <si>
    <t xml:space="preserve">verifySecurityConfig Done; live infra verification outstanding</t>
  </si>
  <si>
    <t xml:space="preserve">AuditLog records admin-sensitive actions</t>
  </si>
  <si>
    <t xml:space="preserve">docs/SECURITY_EVIDENCE.md</t>
  </si>
  <si>
    <t xml:space="preserve">IN PROGRESS v010 12:51 — sandbox evidence half compiled (scopes, authz, input handling, data rights, open items); vendor pen-test = Senthil half</t>
  </si>
  <si>
    <t xml:space="preserve">DONE-IN-CODE v029 16:38 — genuinely self-serve: export and delete buttons in the agent workspace with confirmation and the 30-day window stated; the API alone was not self-serve</t>
  </si>
  <si>
    <t xml:space="preserve">resilience.ts</t>
  </si>
  <si>
    <t xml:space="preserve">resilience.test.ts</t>
  </si>
  <si>
    <t xml:space="preserve">Exponential backoff + circuit breaker open/half-open/reset</t>
  </si>
  <si>
    <t xml:space="preserve">install-&gt;setup-&gt;aha-&gt;habit funnel counts</t>
  </si>
  <si>
    <t xml:space="preserve">telemetry.ts</t>
  </si>
  <si>
    <t xml:space="preserve">telemetry.test.ts</t>
  </si>
  <si>
    <t xml:space="preserve">ErrorTracker release tags + window spike alert</t>
  </si>
  <si>
    <t xml:space="preserve">Feature-usage heatmap sorted by count</t>
  </si>
  <si>
    <t xml:space="preserve">DONE-IN-CODE v037 19:11 — weekly metrics email now fetchable at /admin/metrics/weekly for a scheduler; it was callable by nothing from v006 until now</t>
  </si>
  <si>
    <t xml:space="preserve">healthScore usage+billing+support, clamped</t>
  </si>
  <si>
    <t xml:space="preserve">exportCsv funnel export</t>
  </si>
  <si>
    <t xml:space="preserve">configure() thresholds with validation</t>
  </si>
  <si>
    <t xml:space="preserve">onboarding.ts</t>
  </si>
  <si>
    <t xml:space="preserve">onboarding.test.ts</t>
  </si>
  <si>
    <t xml:space="preserve">Checklist; aha on connect+first-reply; &lt;1 day check</t>
  </si>
  <si>
    <t xml:space="preserve">EMPTY_STATES registry per screen</t>
  </si>
  <si>
    <t xml:space="preserve">helpSearch.ts + docs/help/HELP_CENTER_ARTICLES.md</t>
  </si>
  <si>
    <t xml:space="preserve">completion.test.ts</t>
  </si>
  <si>
    <t xml:space="preserve">DONE-IN-CODE v011 09:55 — ranked search over 15 articles with a drift gate asserting every index entry exists as a published heading</t>
  </si>
  <si>
    <t xml:space="preserve">supportChat.ts</t>
  </si>
  <si>
    <t xml:space="preserve">DONE-IN-CODE v011 09:55 — built-in chat + 4-business-hour SLA engine (business-hours calc excludes nights/weekends); external chat vendor now OPTIONAL (D-E4)</t>
  </si>
  <si>
    <t xml:space="preserve">DONE-IN-CODE v038 19:31 — onboarding steps complete for real, so aha is reachable and the review ask fires once after it (GTM sheet: Eng-owned, S11)</t>
  </si>
  <si>
    <t xml:space="preserve">demoData.ts + docs/listing/DEMO_VIDEO_SCRIPT.md</t>
  </si>
  <si>
    <t xml:space="preserve">demoData.test.ts</t>
  </si>
  <si>
    <t xml:space="preserve">DONE-IN-CODE v024 11:54 — demo-data mode reachable through /app/* with ENGAGEOS_DEMO=1; 2-min script still awaiting production</t>
  </si>
  <si>
    <t xml:space="preserve">docs/launch/INCIDENT_COMMS.md</t>
  </si>
  <si>
    <t xml:space="preserve">DRAFTED v036 18:59 — comms templates now publish through /admin/incidents to the public status page with cadence enforcement; an external status-page vendor is optional rather than required</t>
  </si>
  <si>
    <t xml:space="preserve">jest.config.js</t>
  </si>
  <si>
    <t xml:space="preserve">all 16 suites</t>
  </si>
  <si>
    <t xml:space="preserve">Superseded by D13: 100% gate (coverageThreshold) &gt; 70%</t>
  </si>
  <si>
    <t xml:space="preserve">tests/smoke.test.ts + ci.yml</t>
  </si>
  <si>
    <t xml:space="preserve">smoke.test.ts</t>
  </si>
  <si>
    <t xml:space="preserve">E2E MVP loop; CI runs on push/PR/deploy</t>
  </si>
  <si>
    <t xml:space="preserve">latency.ts</t>
  </si>
  <si>
    <t xml:space="preserve">latency.test.ts</t>
  </si>
  <si>
    <t xml:space="preserve">Budgets api/ui/webhook; p95 check within/breached</t>
  </si>
  <si>
    <t xml:space="preserve">ops/loadtest.k6.js + scripts/make-fixtures.ts</t>
  </si>
  <si>
    <t xml:space="preserve">fixtures.test.ts</t>
  </si>
  <si>
    <t xml:space="preserve">CODE-COMPLETE v012 10:23 — harness now posts genuine signed webhook envelopes at the real /webhook route; live staging run pending</t>
  </si>
  <si>
    <t xml:space="preserve">views.ts + tests/views.a11y.test.ts</t>
  </si>
  <si>
    <t xml:space="preserve">views.a11y.test.ts</t>
  </si>
  <si>
    <t xml:space="preserve">DONE-IN-CODE v024 11:54 — views.ts shells now SERVED at /app/* and axe-clean as served, not only as unit-rendered (F-022); styled-live-UI audit remains a launch check</t>
  </si>
  <si>
    <t xml:space="preserve">db/migrations/ + scripts/migrate.sh + ops/BACKUP_RESTORE_DRILL.md</t>
  </si>
  <si>
    <t xml:space="preserve">docsDrift.test.ts</t>
  </si>
  <si>
    <t xml:space="preserve">CODE-COMPLETE v012 10:23 — 4 ordered migrations with cascade deletes behind the drill; execution needs live infra</t>
  </si>
  <si>
    <t xml:space="preserve">resilience.ts + waAdapter.ts</t>
  </si>
  <si>
    <t xml:space="preserve">resilience/broadcast/inbox suites</t>
  </si>
  <si>
    <t xml:space="preserve">Outage injection degrades gracefully with clear errors</t>
  </si>
  <si>
    <t xml:space="preserve">.github/workflows/deploy.yml + /healthz route</t>
  </si>
  <si>
    <t xml:space="preserve">http.test.ts</t>
  </si>
  <si>
    <t xml:space="preserve">CODE-COMPLETE v012 10:23 — health-check now hits a real route; live switch verification pending</t>
  </si>
  <si>
    <t xml:space="preserve">docs/listing/LISTING_COPY_A_B.md</t>
  </si>
  <si>
    <t xml:space="preserve">A (outcome-led) + B (pain-led) drafted; Senthil review pending</t>
  </si>
  <si>
    <t xml:space="preserve">docs/listing/ASSET_PLAN.md</t>
  </si>
  <si>
    <t xml:space="preserve">DRAFTED v030 16:42 — the workspace is now styled (docs/DESIGN_NOTES.md); no styling blocker remains. Outstanding: the capture session on a real device and the video production</t>
  </si>
  <si>
    <t xml:space="preserve">pricingPage.ts</t>
  </si>
  <si>
    <t xml:space="preserve">DONE-IN-CODE v011 09:55 — pricing table generated from billing PLANS with a drift test; page can never disagree with what billing charges</t>
  </si>
  <si>
    <t xml:space="preserve">docs/listing/TRUST_SECURITY.md</t>
  </si>
  <si>
    <t xml:space="preserve">Trust page drafted from compliance.ts facts; subprocessor list at GA</t>
  </si>
  <si>
    <t xml:space="preserve">Launch_Checklist (this workbook)</t>
  </si>
  <si>
    <t xml:space="preserve">Internal dry-run done this session (see checklist statuses); second-reviewer pass pending</t>
  </si>
  <si>
    <t xml:space="preserve">docs/launch/RUNBOOK.md</t>
  </si>
  <si>
    <t xml:space="preserve">DRAFTED v035 18:50 — runbook rewritten around controls that now exist: per-capability flags, on-demand quality check, status page that admits degradation. Launch-day execution remains his</t>
  </si>
  <si>
    <t xml:space="preserve">seo.ts</t>
  </si>
  <si>
    <t xml:space="preserve">CODE-COMPLETE v039 19:40 — SEO iteration reachable at POST /admin/seo/iterate; live half still needs post-listing search-term data</t>
  </si>
  <si>
    <t xml:space="preserve">partners.ts</t>
  </si>
  <si>
    <t xml:space="preserve">CODE-COMPLETE v039 19:40 — partner tracker reachable at /admin/partners with the honest gate maths; outreach remains his</t>
  </si>
  <si>
    <t xml:space="preserve">Summary</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</si>
</sst>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15" hidden="false" customHeight="true" outlineLevel="0" collapsed="false">
      <c r="A7" s="6" t="s">
        <v>17</v>
      </c>
      <c r="B7" s="6" t="s">
        <v>18</v>
      </c>
      <c r="C7" s="6" t="s">
        <v>8</v>
      </c>
      <c r="D7" s="6" t="s">
        <v>19</v>
      </c>
      <c r="E7" s="6" t="s">
        <v>10</v>
      </c>
    </row>
    <row r="8" customFormat="false" ht="15" hidden="false" customHeight="true" outlineLevel="0" collapsed="false">
      <c r="A8" s="6" t="s">
        <v>20</v>
      </c>
      <c r="B8" s="6" t="s">
        <v>21</v>
      </c>
      <c r="C8" s="6" t="s">
        <v>8</v>
      </c>
      <c r="D8" s="6" t="s">
        <v>22</v>
      </c>
      <c r="E8" s="6" t="s">
        <v>10</v>
      </c>
    </row>
    <row r="9" customFormat="false" ht="15" hidden="false" customHeight="true" outlineLevel="0" collapsed="false">
      <c r="A9" s="6" t="s">
        <v>23</v>
      </c>
      <c r="B9" s="6" t="s">
        <v>24</v>
      </c>
      <c r="C9" s="6" t="s">
        <v>8</v>
      </c>
      <c r="D9" s="7" t="s">
        <v>25</v>
      </c>
      <c r="E9" s="6" t="s">
        <v>10</v>
      </c>
    </row>
    <row r="10" customFormat="false" ht="15" hidden="false" customHeight="true" outlineLevel="0" collapsed="false">
      <c r="A10" s="6" t="s">
        <v>26</v>
      </c>
      <c r="B10" s="6" t="s">
        <v>27</v>
      </c>
      <c r="C10" s="6" t="s">
        <v>8</v>
      </c>
      <c r="D10" s="7" t="s">
        <v>28</v>
      </c>
      <c r="E10" s="6" t="s">
        <v>10</v>
      </c>
    </row>
    <row r="11" customFormat="false" ht="15" hidden="false" customHeight="true" outlineLevel="0" collapsed="false">
      <c r="A11" s="6" t="s">
        <v>29</v>
      </c>
      <c r="B11" s="6" t="s">
        <v>30</v>
      </c>
      <c r="C11" s="6" t="s">
        <v>8</v>
      </c>
      <c r="D11" s="7" t="s">
        <v>31</v>
      </c>
      <c r="E11" s="6" t="s">
        <v>10</v>
      </c>
    </row>
    <row r="12" customFormat="false" ht="23.25" hidden="false" customHeight="true" outlineLevel="0" collapsed="false">
      <c r="A12" s="6" t="s">
        <v>32</v>
      </c>
      <c r="B12" s="6" t="s">
        <v>33</v>
      </c>
      <c r="C12" s="6" t="s">
        <v>8</v>
      </c>
      <c r="D12" s="7" t="s">
        <v>34</v>
      </c>
      <c r="E12" s="6" t="s">
        <v>10</v>
      </c>
    </row>
    <row r="13" customFormat="false" ht="23.25" hidden="false" customHeight="true" outlineLevel="0" collapsed="false">
      <c r="A13" s="6" t="s">
        <v>35</v>
      </c>
      <c r="B13" s="6" t="s">
        <v>36</v>
      </c>
      <c r="C13" s="6" t="s">
        <v>8</v>
      </c>
      <c r="D13" s="7" t="s">
        <v>37</v>
      </c>
      <c r="E13" s="6" t="s">
        <v>10</v>
      </c>
    </row>
    <row r="14" customFormat="false" ht="15" hidden="false" customHeight="true" outlineLevel="0" collapsed="false">
      <c r="A14" s="6" t="s">
        <v>38</v>
      </c>
      <c r="B14" s="6" t="s">
        <v>39</v>
      </c>
      <c r="C14" s="6" t="s">
        <v>8</v>
      </c>
      <c r="D14" s="7" t="s">
        <v>40</v>
      </c>
      <c r="E14" s="6" t="s">
        <v>10</v>
      </c>
    </row>
    <row r="15" customFormat="false" ht="23.25" hidden="false" customHeight="true" outlineLevel="0" collapsed="false">
      <c r="A15" s="6" t="s">
        <v>41</v>
      </c>
      <c r="B15" s="6" t="s">
        <v>42</v>
      </c>
      <c r="C15" s="6" t="s">
        <v>8</v>
      </c>
      <c r="D15" s="7" t="s">
        <v>43</v>
      </c>
      <c r="E15" s="6" t="s">
        <v>10</v>
      </c>
    </row>
    <row r="16" customFormat="false" ht="15" hidden="false" customHeight="true" outlineLevel="0" collapsed="false">
      <c r="A16" s="6" t="s">
        <v>44</v>
      </c>
      <c r="B16" s="6" t="s">
        <v>45</v>
      </c>
      <c r="C16" s="6" t="s">
        <v>8</v>
      </c>
      <c r="D16" s="7" t="s">
        <v>46</v>
      </c>
      <c r="E16" s="6" t="s">
        <v>10</v>
      </c>
    </row>
    <row r="17" customFormat="false" ht="15" hidden="false" customHeight="true" outlineLevel="0" collapsed="false">
      <c r="A17" s="6" t="s">
        <v>47</v>
      </c>
      <c r="B17" s="6" t="s">
        <v>48</v>
      </c>
      <c r="C17" s="6" t="s">
        <v>8</v>
      </c>
      <c r="D17" s="7" t="s">
        <v>49</v>
      </c>
      <c r="E17" s="6" t="s">
        <v>10</v>
      </c>
    </row>
    <row r="18" customFormat="false" ht="15" hidden="false" customHeight="true" outlineLevel="0" collapsed="false">
      <c r="A18" s="6" t="s">
        <v>50</v>
      </c>
      <c r="B18" s="6" t="s">
        <v>51</v>
      </c>
      <c r="C18" s="6" t="s">
        <v>8</v>
      </c>
      <c r="D18" s="7" t="s">
        <v>52</v>
      </c>
      <c r="E18" s="6" t="s">
        <v>10</v>
      </c>
    </row>
    <row r="19" customFormat="false" ht="15" hidden="false" customHeight="true" outlineLevel="0" collapsed="false">
      <c r="A19" s="6" t="s">
        <v>53</v>
      </c>
      <c r="B19" s="6" t="s">
        <v>54</v>
      </c>
      <c r="C19" s="6" t="s">
        <v>8</v>
      </c>
      <c r="D19" s="7" t="s">
        <v>55</v>
      </c>
      <c r="E19" s="6" t="s">
        <v>10</v>
      </c>
    </row>
    <row r="20" customFormat="false" ht="15" hidden="false" customHeight="true" outlineLevel="0" collapsed="false">
      <c r="A20" s="6" t="s">
        <v>56</v>
      </c>
      <c r="B20" s="6" t="s">
        <v>57</v>
      </c>
      <c r="C20" s="6" t="s">
        <v>8</v>
      </c>
      <c r="D20" s="7" t="s">
        <v>58</v>
      </c>
      <c r="E20" s="6" t="s">
        <v>10</v>
      </c>
    </row>
    <row r="21" customFormat="false" ht="15" hidden="false" customHeight="true" outlineLevel="0" collapsed="false">
      <c r="A21" s="6" t="s">
        <v>59</v>
      </c>
      <c r="B21" s="6" t="s">
        <v>60</v>
      </c>
      <c r="C21" s="6" t="s">
        <v>8</v>
      </c>
      <c r="D21" s="7" t="s">
        <v>61</v>
      </c>
      <c r="E21" s="6" t="s">
        <v>10</v>
      </c>
    </row>
    <row r="22" customFormat="false" ht="23.25" hidden="false" customHeight="true" outlineLevel="0" collapsed="false">
      <c r="A22" s="6" t="s">
        <v>62</v>
      </c>
      <c r="B22" s="6" t="s">
        <v>63</v>
      </c>
      <c r="C22" s="6" t="s">
        <v>8</v>
      </c>
      <c r="D22" s="7" t="s">
        <v>64</v>
      </c>
      <c r="E22" s="6" t="s">
        <v>10</v>
      </c>
    </row>
    <row r="23" customFormat="false" ht="23.25" hidden="false" customHeight="true" outlineLevel="0" collapsed="false">
      <c r="A23" s="6" t="s">
        <v>65</v>
      </c>
      <c r="B23" s="6" t="s">
        <v>66</v>
      </c>
      <c r="C23" s="6" t="s">
        <v>8</v>
      </c>
      <c r="D23" s="7" t="s">
        <v>67</v>
      </c>
      <c r="E23" s="6" t="s">
        <v>10</v>
      </c>
    </row>
    <row r="24" customFormat="false" ht="23.25" hidden="false" customHeight="true" outlineLevel="0" collapsed="false">
      <c r="A24" s="6" t="s">
        <v>68</v>
      </c>
      <c r="B24" s="6" t="s">
        <v>69</v>
      </c>
      <c r="C24" s="6" t="s">
        <v>8</v>
      </c>
      <c r="D24" s="7" t="s">
        <v>70</v>
      </c>
      <c r="E24" s="6" t="s">
        <v>10</v>
      </c>
    </row>
    <row r="25" customFormat="false" ht="23.25" hidden="false" customHeight="true" outlineLevel="0" collapsed="false">
      <c r="A25" s="6" t="s">
        <v>71</v>
      </c>
      <c r="B25" s="6" t="s">
        <v>72</v>
      </c>
      <c r="C25" s="6" t="s">
        <v>8</v>
      </c>
      <c r="D25" s="7" t="s">
        <v>73</v>
      </c>
      <c r="E25" s="6" t="s">
        <v>10</v>
      </c>
    </row>
    <row r="26" customFormat="false" ht="23.25" hidden="false" customHeight="true" outlineLevel="0" collapsed="false">
      <c r="A26" s="6" t="s">
        <v>74</v>
      </c>
      <c r="B26" s="6" t="s">
        <v>75</v>
      </c>
      <c r="C26" s="6" t="s">
        <v>8</v>
      </c>
      <c r="D26" s="7" t="s">
        <v>76</v>
      </c>
      <c r="E26" s="6" t="s">
        <v>10</v>
      </c>
    </row>
    <row r="27" customFormat="false" ht="23.25" hidden="false" customHeight="true" outlineLevel="0" collapsed="false">
      <c r="A27" s="6" t="s">
        <v>77</v>
      </c>
      <c r="B27" s="6" t="s">
        <v>78</v>
      </c>
      <c r="C27" s="6" t="s">
        <v>8</v>
      </c>
      <c r="D27" s="7" t="s">
        <v>79</v>
      </c>
      <c r="E27" s="6" t="s">
        <v>10</v>
      </c>
    </row>
    <row r="28" customFormat="false" ht="23.25" hidden="false" customHeight="true" outlineLevel="0" collapsed="false">
      <c r="A28" s="6" t="s">
        <v>80</v>
      </c>
      <c r="B28" s="6" t="s">
        <v>81</v>
      </c>
      <c r="C28" s="6" t="s">
        <v>8</v>
      </c>
      <c r="D28" s="7" t="s">
        <v>82</v>
      </c>
      <c r="E28" s="6" t="s">
        <v>10</v>
      </c>
    </row>
    <row r="29" customFormat="false" ht="23.25" hidden="false" customHeight="true" outlineLevel="0" collapsed="false">
      <c r="A29" s="6" t="s">
        <v>83</v>
      </c>
      <c r="B29" s="6" t="s">
        <v>84</v>
      </c>
      <c r="C29" s="6" t="s">
        <v>8</v>
      </c>
      <c r="D29" s="7" t="s">
        <v>85</v>
      </c>
      <c r="E29" s="6" t="s">
        <v>10</v>
      </c>
    </row>
    <row r="30" customFormat="false" ht="23.25" hidden="false" customHeight="true" outlineLevel="0" collapsed="false">
      <c r="A30" s="6" t="s">
        <v>86</v>
      </c>
      <c r="B30" s="6" t="s">
        <v>87</v>
      </c>
      <c r="C30" s="6" t="s">
        <v>8</v>
      </c>
      <c r="D30" s="7" t="s">
        <v>88</v>
      </c>
      <c r="E30" s="6" t="s">
        <v>10</v>
      </c>
    </row>
    <row r="31" customFormat="false" ht="23.25" hidden="false" customHeight="true" outlineLevel="0" collapsed="false">
      <c r="A31" s="6" t="s">
        <v>89</v>
      </c>
      <c r="B31" s="6" t="s">
        <v>90</v>
      </c>
      <c r="C31" s="6" t="s">
        <v>8</v>
      </c>
      <c r="D31" s="7" t="s">
        <v>91</v>
      </c>
      <c r="E31" s="6" t="s">
        <v>10</v>
      </c>
    </row>
    <row r="32" customFormat="false" ht="23.25" hidden="false" customHeight="true" outlineLevel="0" collapsed="false">
      <c r="A32" s="6" t="s">
        <v>92</v>
      </c>
      <c r="B32" s="6" t="s">
        <v>93</v>
      </c>
      <c r="C32" s="6" t="s">
        <v>8</v>
      </c>
      <c r="D32" s="7" t="s">
        <v>94</v>
      </c>
      <c r="E32" s="6" t="s">
        <v>10</v>
      </c>
    </row>
    <row r="33" customFormat="false" ht="23.25" hidden="false" customHeight="true" outlineLevel="0" collapsed="false">
      <c r="A33" s="6" t="s">
        <v>95</v>
      </c>
      <c r="B33" s="6" t="s">
        <v>96</v>
      </c>
      <c r="C33" s="6" t="s">
        <v>8</v>
      </c>
      <c r="D33" s="7" t="s">
        <v>97</v>
      </c>
      <c r="E33" s="6" t="s">
        <v>10</v>
      </c>
    </row>
    <row r="34" customFormat="false" ht="23.25" hidden="false" customHeight="true" outlineLevel="0" collapsed="false">
      <c r="A34" s="6" t="s">
        <v>98</v>
      </c>
      <c r="B34" s="6" t="s">
        <v>99</v>
      </c>
      <c r="C34" s="6" t="s">
        <v>8</v>
      </c>
      <c r="D34" s="7" t="s">
        <v>100</v>
      </c>
      <c r="E34" s="6" t="s">
        <v>10</v>
      </c>
    </row>
    <row r="35" customFormat="false" ht="23.25" hidden="false" customHeight="true" outlineLevel="0" collapsed="false">
      <c r="A35" s="6" t="s">
        <v>101</v>
      </c>
      <c r="B35" s="6" t="s">
        <v>102</v>
      </c>
      <c r="C35" s="6" t="s">
        <v>8</v>
      </c>
      <c r="D35" s="7" t="s">
        <v>103</v>
      </c>
      <c r="E35" s="6" t="s">
        <v>10</v>
      </c>
    </row>
    <row r="36" customFormat="false" ht="23.25" hidden="false" customHeight="true" outlineLevel="0" collapsed="false">
      <c r="A36" s="6" t="s">
        <v>104</v>
      </c>
      <c r="B36" s="6" t="s">
        <v>105</v>
      </c>
      <c r="C36" s="6" t="s">
        <v>8</v>
      </c>
      <c r="D36" s="7" t="s">
        <v>106</v>
      </c>
      <c r="E36" s="6" t="s">
        <v>10</v>
      </c>
    </row>
    <row r="37" customFormat="false" ht="23.25" hidden="false" customHeight="true" outlineLevel="0" collapsed="false">
      <c r="A37" s="6" t="s">
        <v>107</v>
      </c>
      <c r="B37" s="6" t="s">
        <v>108</v>
      </c>
      <c r="C37" s="6" t="s">
        <v>8</v>
      </c>
      <c r="D37" s="7" t="s">
        <v>109</v>
      </c>
      <c r="E37" s="6" t="s">
        <v>10</v>
      </c>
    </row>
    <row r="38" customFormat="false" ht="23.25" hidden="false" customHeight="true" outlineLevel="0" collapsed="false">
      <c r="A38" s="6" t="s">
        <v>110</v>
      </c>
      <c r="B38" s="6" t="s">
        <v>111</v>
      </c>
      <c r="C38" s="6" t="s">
        <v>8</v>
      </c>
      <c r="D38" s="7" t="s">
        <v>112</v>
      </c>
      <c r="E38" s="6" t="s">
        <v>10</v>
      </c>
    </row>
    <row r="39" customFormat="false" ht="23.25" hidden="false" customHeight="true" outlineLevel="0" collapsed="false">
      <c r="A39" s="6" t="s">
        <v>113</v>
      </c>
      <c r="B39" s="6" t="s">
        <v>114</v>
      </c>
      <c r="C39" s="6" t="s">
        <v>8</v>
      </c>
      <c r="D39" s="7" t="s">
        <v>115</v>
      </c>
      <c r="E39" s="6" t="s">
        <v>10</v>
      </c>
    </row>
    <row r="40" customFormat="false" ht="23.25" hidden="false" customHeight="true" outlineLevel="0" collapsed="false">
      <c r="A40" s="6" t="s">
        <v>116</v>
      </c>
      <c r="B40" s="6" t="s">
        <v>117</v>
      </c>
      <c r="C40" s="6" t="s">
        <v>8</v>
      </c>
      <c r="D40" s="7" t="s">
        <v>118</v>
      </c>
      <c r="E40" s="6" t="s">
        <v>10</v>
      </c>
    </row>
    <row r="41" customFormat="false" ht="23.25" hidden="false" customHeight="true" outlineLevel="0" collapsed="false">
      <c r="A41" s="6" t="s">
        <v>119</v>
      </c>
      <c r="B41" s="6" t="s">
        <v>120</v>
      </c>
      <c r="C41" s="6" t="s">
        <v>8</v>
      </c>
      <c r="D41" s="7" t="s">
        <v>121</v>
      </c>
      <c r="E41" s="6" t="s">
        <v>10</v>
      </c>
    </row>
    <row r="42" customFormat="false" ht="23.25" hidden="false" customHeight="true" outlineLevel="0" collapsed="false">
      <c r="A42" s="6" t="s">
        <v>122</v>
      </c>
      <c r="B42" s="6" t="s">
        <v>123</v>
      </c>
      <c r="C42" s="6" t="s">
        <v>8</v>
      </c>
      <c r="D42" s="7" t="s">
        <v>124</v>
      </c>
      <c r="E42" s="6" t="s">
        <v>10</v>
      </c>
    </row>
    <row r="43" customFormat="false" ht="23.25" hidden="false" customHeight="true" outlineLevel="0" collapsed="false">
      <c r="A43" s="6" t="s">
        <v>125</v>
      </c>
      <c r="B43" s="6" t="s">
        <v>126</v>
      </c>
      <c r="C43" s="6" t="s">
        <v>8</v>
      </c>
      <c r="D43" s="7" t="s">
        <v>127</v>
      </c>
      <c r="E43" s="6" t="s">
        <v>10</v>
      </c>
    </row>
    <row r="44" customFormat="false" ht="23.25" hidden="false" customHeight="true" outlineLevel="0" collapsed="false">
      <c r="A44" s="6" t="s">
        <v>128</v>
      </c>
      <c r="B44" s="6" t="s">
        <v>129</v>
      </c>
      <c r="C44" s="6" t="s">
        <v>8</v>
      </c>
      <c r="D44" s="7" t="s">
        <v>130</v>
      </c>
      <c r="E44" s="6" t="s">
        <v>10</v>
      </c>
    </row>
    <row r="45" customFormat="false" ht="23.85" hidden="false" customHeight="false" outlineLevel="0" collapsed="false">
      <c r="A45" s="8" t="s">
        <v>131</v>
      </c>
      <c r="B45" s="8"/>
      <c r="C45" s="8"/>
      <c r="D45" s="7" t="s">
        <v>132</v>
      </c>
      <c r="E45" s="8"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134</v>
      </c>
    </row>
    <row r="3" customFormat="false" ht="27.75" hidden="false" customHeight="true" outlineLevel="0" collapsed="false">
      <c r="A3" s="7" t="s">
        <v>135</v>
      </c>
    </row>
    <row r="4" customFormat="false" ht="27.75" hidden="false" customHeight="true" outlineLevel="0" collapsed="false">
      <c r="A4" s="7" t="s">
        <v>136</v>
      </c>
    </row>
    <row r="5" customFormat="false" ht="27.75" hidden="false" customHeight="true" outlineLevel="0" collapsed="false">
      <c r="A5" s="7" t="s">
        <v>137</v>
      </c>
    </row>
    <row r="6" customFormat="false" ht="27.75" hidden="false" customHeight="true" outlineLevel="0" collapsed="false">
      <c r="A6" s="7" t="s">
        <v>138</v>
      </c>
    </row>
    <row r="7" customFormat="false" ht="27.75" hidden="false" customHeight="true" outlineLevel="0" collapsed="false">
      <c r="A7" s="7"/>
    </row>
    <row r="8" customFormat="false" ht="55.5" hidden="false" customHeight="true" outlineLevel="0" collapsed="false">
      <c r="A8" s="7" t="s">
        <v>139</v>
      </c>
    </row>
    <row r="9" customFormat="false" ht="27.75" hidden="false" customHeight="true" outlineLevel="0" collapsed="false">
      <c r="A9" s="7"/>
    </row>
    <row r="10" customFormat="false" ht="27.75" hidden="false" customHeight="true" outlineLevel="0" collapsed="false">
      <c r="A10" s="7"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62"/>
  </cols>
  <sheetData>
    <row r="1" customFormat="false" ht="17.25" hidden="false" customHeight="true" outlineLevel="0" collapsed="false">
      <c r="A1" s="2" t="s">
        <v>141</v>
      </c>
    </row>
    <row r="3" customFormat="false" ht="15" hidden="false" customHeight="true" outlineLevel="0" collapsed="false">
      <c r="A3" s="3" t="s">
        <v>142</v>
      </c>
      <c r="B3" s="3" t="s">
        <v>143</v>
      </c>
      <c r="C3" s="3" t="s">
        <v>144</v>
      </c>
      <c r="D3" s="3" t="s">
        <v>145</v>
      </c>
    </row>
    <row r="4" customFormat="false" ht="30" hidden="false" customHeight="true" outlineLevel="0" collapsed="false">
      <c r="A4" s="4" t="s">
        <v>146</v>
      </c>
      <c r="B4" s="4" t="s">
        <v>147</v>
      </c>
      <c r="C4" s="4" t="s">
        <v>148</v>
      </c>
      <c r="D4" s="4" t="s">
        <v>149</v>
      </c>
    </row>
    <row r="5" customFormat="false" ht="30" hidden="false" customHeight="true" outlineLevel="0" collapsed="false">
      <c r="A5" s="4" t="s">
        <v>150</v>
      </c>
      <c r="B5" s="4" t="s">
        <v>151</v>
      </c>
      <c r="C5" s="4" t="s">
        <v>148</v>
      </c>
      <c r="D5" s="4" t="s">
        <v>152</v>
      </c>
    </row>
    <row r="6" customFormat="false" ht="30" hidden="false" customHeight="true" outlineLevel="0" collapsed="false">
      <c r="A6" s="4" t="s">
        <v>153</v>
      </c>
      <c r="B6" s="4" t="s">
        <v>154</v>
      </c>
      <c r="C6" s="4" t="s">
        <v>148</v>
      </c>
      <c r="D6" s="4" t="s">
        <v>155</v>
      </c>
    </row>
    <row r="7" customFormat="false" ht="30" hidden="false" customHeight="true" outlineLevel="0" collapsed="false">
      <c r="A7" s="4" t="s">
        <v>156</v>
      </c>
      <c r="B7" s="4" t="s">
        <v>157</v>
      </c>
      <c r="C7" s="4" t="s">
        <v>148</v>
      </c>
      <c r="D7" s="4" t="s">
        <v>158</v>
      </c>
    </row>
    <row r="8" customFormat="false" ht="30" hidden="false" customHeight="true" outlineLevel="0" collapsed="false">
      <c r="A8" s="4" t="s">
        <v>159</v>
      </c>
      <c r="B8" s="4" t="s">
        <v>160</v>
      </c>
      <c r="C8" s="4" t="s">
        <v>148</v>
      </c>
      <c r="D8" s="4" t="s">
        <v>161</v>
      </c>
    </row>
    <row r="10" customFormat="false" ht="15" hidden="false" customHeight="true" outlineLevel="0" collapsed="false">
      <c r="A10" s="3" t="s">
        <v>162</v>
      </c>
      <c r="B10" s="3" t="s">
        <v>163</v>
      </c>
      <c r="C10" s="3"/>
      <c r="D10" s="3"/>
    </row>
    <row r="11" customFormat="false" ht="25.5" hidden="false" customHeight="true" outlineLevel="0" collapsed="false">
      <c r="A11" s="4" t="s">
        <v>164</v>
      </c>
      <c r="B11" s="4" t="s">
        <v>165</v>
      </c>
      <c r="C11" s="4"/>
      <c r="D11" s="4"/>
    </row>
    <row r="12" customFormat="false" ht="25.5" hidden="false" customHeight="true" outlineLevel="0" collapsed="false">
      <c r="A12" s="4" t="s">
        <v>166</v>
      </c>
      <c r="B12" s="4" t="s">
        <v>167</v>
      </c>
      <c r="C12" s="4"/>
      <c r="D12" s="4"/>
    </row>
    <row r="13" customFormat="false" ht="25.5" hidden="false" customHeight="true" outlineLevel="0" collapsed="false">
      <c r="A13" s="4" t="s">
        <v>168</v>
      </c>
      <c r="B13" s="4" t="s">
        <v>169</v>
      </c>
      <c r="C13" s="4"/>
      <c r="D13" s="4"/>
    </row>
    <row r="15" customFormat="false" ht="102" hidden="false" customHeight="true" outlineLevel="0" collapsed="false">
      <c r="A15" s="7" t="s">
        <v>170</v>
      </c>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6"/>
    <col collapsed="false" customWidth="true" hidden="false" outlineLevel="0" max="5" min="5" style="1" width="24"/>
  </cols>
  <sheetData>
    <row r="1" customFormat="false" ht="17.25" hidden="false" customHeight="true" outlineLevel="0" collapsed="false">
      <c r="A1" s="2" t="s">
        <v>171</v>
      </c>
    </row>
    <row r="2" customFormat="false" ht="15" hidden="false" customHeight="true" outlineLevel="0" collapsed="false">
      <c r="D2" s="9" t="s">
        <v>172</v>
      </c>
    </row>
    <row r="3" customFormat="false" ht="15" hidden="false" customHeight="true" outlineLevel="0" collapsed="false">
      <c r="A3" s="3" t="s">
        <v>173</v>
      </c>
      <c r="B3" s="3" t="s">
        <v>174</v>
      </c>
      <c r="C3" s="3" t="s">
        <v>175</v>
      </c>
      <c r="D3" s="10" t="s">
        <v>176</v>
      </c>
      <c r="E3" s="3" t="s">
        <v>177</v>
      </c>
    </row>
    <row r="4" customFormat="false" ht="25.5" hidden="false" customHeight="true" outlineLevel="0" collapsed="false">
      <c r="A4" s="4" t="n">
        <v>1</v>
      </c>
      <c r="B4" s="4" t="s">
        <v>178</v>
      </c>
      <c r="C4" s="4" t="s">
        <v>179</v>
      </c>
      <c r="D4" s="4" t="s">
        <v>180</v>
      </c>
      <c r="E4" s="5"/>
    </row>
    <row r="5" customFormat="false" ht="25.5" hidden="false" customHeight="true" outlineLevel="0" collapsed="false">
      <c r="A5" s="4" t="n">
        <v>2</v>
      </c>
      <c r="B5" s="4" t="s">
        <v>181</v>
      </c>
      <c r="C5" s="4" t="s">
        <v>182</v>
      </c>
      <c r="D5" s="4" t="s">
        <v>183</v>
      </c>
      <c r="E5" s="5"/>
    </row>
    <row r="6" customFormat="false" ht="25.5" hidden="false" customHeight="true" outlineLevel="0" collapsed="false">
      <c r="A6" s="4" t="n">
        <v>3</v>
      </c>
      <c r="B6" s="4" t="s">
        <v>184</v>
      </c>
      <c r="C6" s="4" t="s">
        <v>185</v>
      </c>
      <c r="D6" s="4" t="s">
        <v>186</v>
      </c>
      <c r="E6" s="5"/>
    </row>
    <row r="7" customFormat="false" ht="25.5" hidden="false" customHeight="true" outlineLevel="0" collapsed="false">
      <c r="A7" s="4" t="n">
        <v>4</v>
      </c>
      <c r="B7" s="4" t="s">
        <v>187</v>
      </c>
      <c r="C7" s="4" t="s">
        <v>188</v>
      </c>
      <c r="D7" s="4" t="s">
        <v>189</v>
      </c>
      <c r="E7" s="5"/>
    </row>
    <row r="8" customFormat="false" ht="25.5" hidden="false" customHeight="true" outlineLevel="0" collapsed="false">
      <c r="A8" s="4" t="n">
        <v>5</v>
      </c>
      <c r="B8" s="4" t="s">
        <v>190</v>
      </c>
      <c r="C8" s="4" t="s">
        <v>191</v>
      </c>
      <c r="D8" s="4" t="s">
        <v>192</v>
      </c>
      <c r="E8" s="5"/>
    </row>
    <row r="9" customFormat="false" ht="25.5" hidden="false" customHeight="true" outlineLevel="0" collapsed="false">
      <c r="A9" s="4" t="n">
        <v>6</v>
      </c>
      <c r="B9" s="4" t="s">
        <v>193</v>
      </c>
      <c r="C9" s="4" t="s">
        <v>194</v>
      </c>
      <c r="D9" s="4" t="s">
        <v>195</v>
      </c>
      <c r="E9" s="5"/>
    </row>
    <row r="10" customFormat="false" ht="25.5" hidden="false" customHeight="true" outlineLevel="0" collapsed="false">
      <c r="A10" s="4" t="n">
        <v>7</v>
      </c>
      <c r="B10" s="4" t="s">
        <v>196</v>
      </c>
      <c r="C10" s="4" t="s">
        <v>197</v>
      </c>
      <c r="D10" s="4" t="s">
        <v>198</v>
      </c>
      <c r="E10" s="5"/>
    </row>
    <row r="11" customFormat="false" ht="25.5" hidden="false" customHeight="true" outlineLevel="0" collapsed="false">
      <c r="A11" s="4" t="n">
        <v>8</v>
      </c>
      <c r="B11" s="4" t="s">
        <v>199</v>
      </c>
      <c r="C11" s="4" t="s">
        <v>200</v>
      </c>
      <c r="D11" s="4" t="s">
        <v>201</v>
      </c>
      <c r="E11" s="5"/>
    </row>
    <row r="12" customFormat="false" ht="25.5" hidden="false" customHeight="true" outlineLevel="0" collapsed="false">
      <c r="A12" s="4" t="n">
        <v>9</v>
      </c>
      <c r="B12" s="4" t="s">
        <v>202</v>
      </c>
      <c r="C12" s="4" t="s">
        <v>203</v>
      </c>
      <c r="D12" s="4" t="s">
        <v>204</v>
      </c>
      <c r="E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205</v>
      </c>
    </row>
    <row r="3" customFormat="false" ht="15" hidden="false" customHeight="true" outlineLevel="0" collapsed="false">
      <c r="A3" s="3" t="s">
        <v>206</v>
      </c>
      <c r="B3" s="3" t="s">
        <v>207</v>
      </c>
      <c r="C3" s="3" t="s">
        <v>208</v>
      </c>
      <c r="D3" s="3" t="s">
        <v>209</v>
      </c>
      <c r="E3" s="3" t="s">
        <v>210</v>
      </c>
      <c r="F3" s="3" t="s">
        <v>211</v>
      </c>
      <c r="G3" s="3" t="s">
        <v>5</v>
      </c>
    </row>
    <row r="4" customFormat="false" ht="25.5" hidden="false" customHeight="true" outlineLevel="0" collapsed="false">
      <c r="A4" s="4" t="s">
        <v>212</v>
      </c>
      <c r="B4" s="4" t="s">
        <v>213</v>
      </c>
      <c r="C4" s="4" t="s">
        <v>214</v>
      </c>
      <c r="D4" s="4" t="n">
        <v>5</v>
      </c>
      <c r="E4" s="4" t="s">
        <v>215</v>
      </c>
      <c r="F4" s="4" t="s">
        <v>216</v>
      </c>
      <c r="G4" s="4" t="s">
        <v>217</v>
      </c>
    </row>
    <row r="5" customFormat="false" ht="25.5" hidden="false" customHeight="true" outlineLevel="0" collapsed="false">
      <c r="A5" s="4" t="s">
        <v>218</v>
      </c>
      <c r="B5" s="4" t="s">
        <v>213</v>
      </c>
      <c r="C5" s="4" t="s">
        <v>219</v>
      </c>
      <c r="D5" s="4" t="n">
        <v>8</v>
      </c>
      <c r="E5" s="4" t="s">
        <v>215</v>
      </c>
      <c r="F5" s="4" t="s">
        <v>216</v>
      </c>
      <c r="G5" s="4" t="s">
        <v>217</v>
      </c>
    </row>
    <row r="6" customFormat="false" ht="25.5" hidden="false" customHeight="true" outlineLevel="0" collapsed="false">
      <c r="A6" s="4" t="s">
        <v>220</v>
      </c>
      <c r="B6" s="4" t="s">
        <v>213</v>
      </c>
      <c r="C6" s="4" t="s">
        <v>221</v>
      </c>
      <c r="D6" s="4" t="n">
        <v>5</v>
      </c>
      <c r="E6" s="4" t="s">
        <v>222</v>
      </c>
      <c r="F6" s="4" t="s">
        <v>216</v>
      </c>
      <c r="G6" s="4" t="s">
        <v>217</v>
      </c>
    </row>
    <row r="7" customFormat="false" ht="25.5" hidden="false" customHeight="true" outlineLevel="0" collapsed="false">
      <c r="A7" s="4" t="s">
        <v>223</v>
      </c>
      <c r="B7" s="4" t="s">
        <v>213</v>
      </c>
      <c r="C7" s="4" t="s">
        <v>224</v>
      </c>
      <c r="D7" s="4" t="n">
        <v>3</v>
      </c>
      <c r="E7" s="4" t="s">
        <v>215</v>
      </c>
      <c r="F7" s="4" t="s">
        <v>216</v>
      </c>
      <c r="G7" s="4" t="s">
        <v>217</v>
      </c>
    </row>
    <row r="8" customFormat="false" ht="25.5" hidden="false" customHeight="true" outlineLevel="0" collapsed="false">
      <c r="A8" s="4" t="s">
        <v>225</v>
      </c>
      <c r="B8" s="4" t="s">
        <v>213</v>
      </c>
      <c r="C8" s="4" t="s">
        <v>226</v>
      </c>
      <c r="D8" s="4" t="n">
        <v>5</v>
      </c>
      <c r="E8" s="4" t="s">
        <v>215</v>
      </c>
      <c r="F8" s="4" t="s">
        <v>227</v>
      </c>
      <c r="G8" s="4" t="s">
        <v>228</v>
      </c>
    </row>
    <row r="9" customFormat="false" ht="25.5" hidden="false" customHeight="true" outlineLevel="0" collapsed="false">
      <c r="A9" s="4" t="s">
        <v>229</v>
      </c>
      <c r="B9" s="4" t="s">
        <v>213</v>
      </c>
      <c r="C9" s="4" t="s">
        <v>230</v>
      </c>
      <c r="D9" s="4" t="n">
        <v>3</v>
      </c>
      <c r="E9" s="4" t="s">
        <v>222</v>
      </c>
      <c r="F9" s="4" t="s">
        <v>227</v>
      </c>
      <c r="G9" s="4" t="s">
        <v>217</v>
      </c>
    </row>
    <row r="10" customFormat="false" ht="25.5" hidden="false" customHeight="true" outlineLevel="0" collapsed="false">
      <c r="A10" s="4" t="s">
        <v>231</v>
      </c>
      <c r="B10" s="4" t="s">
        <v>213</v>
      </c>
      <c r="C10" s="4" t="s">
        <v>232</v>
      </c>
      <c r="D10" s="4" t="n">
        <v>3</v>
      </c>
      <c r="E10" s="4" t="s">
        <v>222</v>
      </c>
      <c r="F10" s="4" t="s">
        <v>227</v>
      </c>
      <c r="G10" s="4" t="s">
        <v>217</v>
      </c>
    </row>
    <row r="11" customFormat="false" ht="25.5" hidden="false" customHeight="true" outlineLevel="0" collapsed="false">
      <c r="A11" s="4" t="s">
        <v>233</v>
      </c>
      <c r="B11" s="4" t="s">
        <v>213</v>
      </c>
      <c r="C11" s="4" t="s">
        <v>234</v>
      </c>
      <c r="D11" s="4" t="n">
        <v>2</v>
      </c>
      <c r="E11" s="4" t="s">
        <v>235</v>
      </c>
      <c r="F11" s="4" t="s">
        <v>227</v>
      </c>
      <c r="G11" s="4" t="s">
        <v>217</v>
      </c>
    </row>
    <row r="12" customFormat="false" ht="25.5" hidden="false" customHeight="true" outlineLevel="0" collapsed="false">
      <c r="A12" s="4" t="s">
        <v>236</v>
      </c>
      <c r="B12" s="4" t="s">
        <v>213</v>
      </c>
      <c r="C12" s="4" t="s">
        <v>237</v>
      </c>
      <c r="D12" s="4" t="n">
        <v>5</v>
      </c>
      <c r="E12" s="4" t="s">
        <v>222</v>
      </c>
      <c r="F12" s="4" t="s">
        <v>227</v>
      </c>
      <c r="G12" s="4" t="s">
        <v>217</v>
      </c>
    </row>
    <row r="13" customFormat="false" ht="25.5" hidden="false" customHeight="true" outlineLevel="0" collapsed="false">
      <c r="A13" s="4" t="s">
        <v>238</v>
      </c>
      <c r="B13" s="4" t="s">
        <v>213</v>
      </c>
      <c r="C13" s="4" t="s">
        <v>239</v>
      </c>
      <c r="D13" s="4" t="n">
        <v>3</v>
      </c>
      <c r="E13" s="4" t="s">
        <v>235</v>
      </c>
      <c r="F13" s="4" t="s">
        <v>227</v>
      </c>
      <c r="G13" s="4" t="s">
        <v>217</v>
      </c>
    </row>
    <row r="14" customFormat="false" ht="25.5" hidden="false" customHeight="true" outlineLevel="0" collapsed="false">
      <c r="A14" s="4" t="s">
        <v>240</v>
      </c>
      <c r="B14" s="4" t="s">
        <v>241</v>
      </c>
      <c r="C14" s="4" t="s">
        <v>242</v>
      </c>
      <c r="D14" s="4" t="n">
        <v>5</v>
      </c>
      <c r="E14" s="4" t="s">
        <v>215</v>
      </c>
      <c r="F14" s="4" t="s">
        <v>227</v>
      </c>
      <c r="G14" s="4" t="s">
        <v>217</v>
      </c>
    </row>
    <row r="15" customFormat="false" ht="25.5" hidden="false" customHeight="true" outlineLevel="0" collapsed="false">
      <c r="A15" s="4" t="s">
        <v>243</v>
      </c>
      <c r="B15" s="4" t="s">
        <v>241</v>
      </c>
      <c r="C15" s="4" t="s">
        <v>244</v>
      </c>
      <c r="D15" s="4" t="n">
        <v>8</v>
      </c>
      <c r="E15" s="4" t="s">
        <v>215</v>
      </c>
      <c r="F15" s="4" t="s">
        <v>227</v>
      </c>
      <c r="G15" s="4" t="s">
        <v>217</v>
      </c>
    </row>
    <row r="16" customFormat="false" ht="25.5" hidden="false" customHeight="true" outlineLevel="0" collapsed="false">
      <c r="A16" s="4" t="s">
        <v>245</v>
      </c>
      <c r="B16" s="4" t="s">
        <v>241</v>
      </c>
      <c r="C16" s="4" t="s">
        <v>246</v>
      </c>
      <c r="D16" s="4" t="n">
        <v>5</v>
      </c>
      <c r="E16" s="4" t="s">
        <v>222</v>
      </c>
      <c r="F16" s="4" t="s">
        <v>227</v>
      </c>
      <c r="G16" s="4" t="s">
        <v>217</v>
      </c>
    </row>
    <row r="17" customFormat="false" ht="25.5" hidden="false" customHeight="true" outlineLevel="0" collapsed="false">
      <c r="A17" s="4" t="s">
        <v>247</v>
      </c>
      <c r="B17" s="4" t="s">
        <v>241</v>
      </c>
      <c r="C17" s="4" t="s">
        <v>248</v>
      </c>
      <c r="D17" s="4" t="n">
        <v>3</v>
      </c>
      <c r="E17" s="4" t="s">
        <v>215</v>
      </c>
      <c r="F17" s="4" t="s">
        <v>227</v>
      </c>
      <c r="G17" s="4" t="s">
        <v>217</v>
      </c>
    </row>
    <row r="18" customFormat="false" ht="25.5" hidden="false" customHeight="true" outlineLevel="0" collapsed="false">
      <c r="A18" s="4" t="s">
        <v>249</v>
      </c>
      <c r="B18" s="4" t="s">
        <v>241</v>
      </c>
      <c r="C18" s="4" t="s">
        <v>250</v>
      </c>
      <c r="D18" s="4" t="n">
        <v>5</v>
      </c>
      <c r="E18" s="4" t="s">
        <v>215</v>
      </c>
      <c r="F18" s="4" t="s">
        <v>251</v>
      </c>
      <c r="G18" s="4" t="s">
        <v>228</v>
      </c>
    </row>
    <row r="19" customFormat="false" ht="25.5" hidden="false" customHeight="true" outlineLevel="0" collapsed="false">
      <c r="A19" s="4" t="s">
        <v>252</v>
      </c>
      <c r="B19" s="4" t="s">
        <v>241</v>
      </c>
      <c r="C19" s="4" t="s">
        <v>253</v>
      </c>
      <c r="D19" s="4" t="n">
        <v>3</v>
      </c>
      <c r="E19" s="4" t="s">
        <v>222</v>
      </c>
      <c r="F19" s="4" t="s">
        <v>251</v>
      </c>
      <c r="G19" s="4" t="s">
        <v>217</v>
      </c>
    </row>
    <row r="20" customFormat="false" ht="25.5" hidden="false" customHeight="true" outlineLevel="0" collapsed="false">
      <c r="A20" s="4" t="s">
        <v>254</v>
      </c>
      <c r="B20" s="4" t="s">
        <v>241</v>
      </c>
      <c r="C20" s="4" t="s">
        <v>255</v>
      </c>
      <c r="D20" s="4" t="n">
        <v>3</v>
      </c>
      <c r="E20" s="4" t="s">
        <v>222</v>
      </c>
      <c r="F20" s="4" t="s">
        <v>251</v>
      </c>
      <c r="G20" s="4" t="s">
        <v>217</v>
      </c>
    </row>
    <row r="21" customFormat="false" ht="25.5" hidden="false" customHeight="true" outlineLevel="0" collapsed="false">
      <c r="A21" s="4" t="s">
        <v>256</v>
      </c>
      <c r="B21" s="4" t="s">
        <v>241</v>
      </c>
      <c r="C21" s="4" t="s">
        <v>257</v>
      </c>
      <c r="D21" s="4" t="n">
        <v>2</v>
      </c>
      <c r="E21" s="4" t="s">
        <v>235</v>
      </c>
      <c r="F21" s="4" t="s">
        <v>251</v>
      </c>
      <c r="G21" s="4" t="s">
        <v>217</v>
      </c>
    </row>
    <row r="22" customFormat="false" ht="25.5" hidden="false" customHeight="true" outlineLevel="0" collapsed="false">
      <c r="A22" s="4" t="s">
        <v>258</v>
      </c>
      <c r="B22" s="4" t="s">
        <v>241</v>
      </c>
      <c r="C22" s="4" t="s">
        <v>259</v>
      </c>
      <c r="D22" s="4" t="n">
        <v>5</v>
      </c>
      <c r="E22" s="4" t="s">
        <v>222</v>
      </c>
      <c r="F22" s="4" t="s">
        <v>251</v>
      </c>
      <c r="G22" s="4" t="s">
        <v>217</v>
      </c>
    </row>
    <row r="23" customFormat="false" ht="25.5" hidden="false" customHeight="true" outlineLevel="0" collapsed="false">
      <c r="A23" s="4" t="s">
        <v>260</v>
      </c>
      <c r="B23" s="4" t="s">
        <v>241</v>
      </c>
      <c r="C23" s="4" t="s">
        <v>261</v>
      </c>
      <c r="D23" s="4" t="n">
        <v>3</v>
      </c>
      <c r="E23" s="4" t="s">
        <v>235</v>
      </c>
      <c r="F23" s="4" t="s">
        <v>251</v>
      </c>
      <c r="G23" s="4" t="s">
        <v>217</v>
      </c>
    </row>
    <row r="24" customFormat="false" ht="25.5" hidden="false" customHeight="true" outlineLevel="0" collapsed="false">
      <c r="A24" s="4" t="s">
        <v>262</v>
      </c>
      <c r="B24" s="4" t="s">
        <v>263</v>
      </c>
      <c r="C24" s="4" t="s">
        <v>264</v>
      </c>
      <c r="D24" s="4" t="n">
        <v>5</v>
      </c>
      <c r="E24" s="4" t="s">
        <v>215</v>
      </c>
      <c r="F24" s="4" t="s">
        <v>265</v>
      </c>
      <c r="G24" s="4" t="s">
        <v>217</v>
      </c>
    </row>
    <row r="25" customFormat="false" ht="25.5" hidden="false" customHeight="true" outlineLevel="0" collapsed="false">
      <c r="A25" s="4" t="s">
        <v>266</v>
      </c>
      <c r="B25" s="4" t="s">
        <v>263</v>
      </c>
      <c r="C25" s="4" t="s">
        <v>267</v>
      </c>
      <c r="D25" s="4" t="n">
        <v>8</v>
      </c>
      <c r="E25" s="4" t="s">
        <v>215</v>
      </c>
      <c r="F25" s="4" t="s">
        <v>265</v>
      </c>
      <c r="G25" s="4" t="s">
        <v>217</v>
      </c>
    </row>
    <row r="26" customFormat="false" ht="25.5" hidden="false" customHeight="true" outlineLevel="0" collapsed="false">
      <c r="A26" s="4" t="s">
        <v>268</v>
      </c>
      <c r="B26" s="4" t="s">
        <v>263</v>
      </c>
      <c r="C26" s="4" t="s">
        <v>269</v>
      </c>
      <c r="D26" s="4" t="n">
        <v>5</v>
      </c>
      <c r="E26" s="4" t="s">
        <v>222</v>
      </c>
      <c r="F26" s="4" t="s">
        <v>265</v>
      </c>
      <c r="G26" s="4" t="s">
        <v>217</v>
      </c>
    </row>
    <row r="27" customFormat="false" ht="25.5" hidden="false" customHeight="true" outlineLevel="0" collapsed="false">
      <c r="A27" s="4" t="s">
        <v>270</v>
      </c>
      <c r="B27" s="4" t="s">
        <v>263</v>
      </c>
      <c r="C27" s="4" t="s">
        <v>271</v>
      </c>
      <c r="D27" s="4" t="n">
        <v>3</v>
      </c>
      <c r="E27" s="4" t="s">
        <v>215</v>
      </c>
      <c r="F27" s="4" t="s">
        <v>265</v>
      </c>
      <c r="G27" s="4" t="s">
        <v>217</v>
      </c>
    </row>
    <row r="28" customFormat="false" ht="25.5" hidden="false" customHeight="true" outlineLevel="0" collapsed="false">
      <c r="A28" s="4" t="s">
        <v>272</v>
      </c>
      <c r="B28" s="4" t="s">
        <v>263</v>
      </c>
      <c r="C28" s="4" t="s">
        <v>273</v>
      </c>
      <c r="D28" s="4" t="n">
        <v>5</v>
      </c>
      <c r="E28" s="4" t="s">
        <v>215</v>
      </c>
      <c r="F28" s="4" t="s">
        <v>265</v>
      </c>
      <c r="G28" s="4" t="s">
        <v>228</v>
      </c>
    </row>
    <row r="29" customFormat="false" ht="25.5" hidden="false" customHeight="true" outlineLevel="0" collapsed="false">
      <c r="A29" s="4" t="s">
        <v>274</v>
      </c>
      <c r="B29" s="4" t="s">
        <v>263</v>
      </c>
      <c r="C29" s="4" t="s">
        <v>275</v>
      </c>
      <c r="D29" s="4" t="n">
        <v>3</v>
      </c>
      <c r="E29" s="4" t="s">
        <v>222</v>
      </c>
      <c r="F29" s="4" t="s">
        <v>265</v>
      </c>
      <c r="G29" s="4" t="s">
        <v>217</v>
      </c>
    </row>
    <row r="30" customFormat="false" ht="25.5" hidden="false" customHeight="true" outlineLevel="0" collapsed="false">
      <c r="A30" s="4" t="s">
        <v>276</v>
      </c>
      <c r="B30" s="4" t="s">
        <v>263</v>
      </c>
      <c r="C30" s="4" t="s">
        <v>277</v>
      </c>
      <c r="D30" s="4" t="n">
        <v>3</v>
      </c>
      <c r="E30" s="4" t="s">
        <v>222</v>
      </c>
      <c r="F30" s="4" t="s">
        <v>265</v>
      </c>
      <c r="G30" s="4" t="s">
        <v>217</v>
      </c>
    </row>
    <row r="31" customFormat="false" ht="25.5" hidden="false" customHeight="true" outlineLevel="0" collapsed="false">
      <c r="A31" s="4" t="s">
        <v>278</v>
      </c>
      <c r="B31" s="4" t="s">
        <v>263</v>
      </c>
      <c r="C31" s="4" t="s">
        <v>279</v>
      </c>
      <c r="D31" s="4" t="n">
        <v>2</v>
      </c>
      <c r="E31" s="4" t="s">
        <v>235</v>
      </c>
      <c r="F31" s="4" t="s">
        <v>265</v>
      </c>
      <c r="G31" s="4" t="s">
        <v>217</v>
      </c>
    </row>
    <row r="32" customFormat="false" ht="25.5" hidden="false" customHeight="true" outlineLevel="0" collapsed="false">
      <c r="A32" s="4" t="s">
        <v>280</v>
      </c>
      <c r="B32" s="4" t="s">
        <v>263</v>
      </c>
      <c r="C32" s="4" t="s">
        <v>281</v>
      </c>
      <c r="D32" s="4" t="n">
        <v>5</v>
      </c>
      <c r="E32" s="4" t="s">
        <v>222</v>
      </c>
      <c r="F32" s="4" t="s">
        <v>265</v>
      </c>
      <c r="G32" s="4" t="s">
        <v>217</v>
      </c>
    </row>
    <row r="33" customFormat="false" ht="25.5" hidden="false" customHeight="true" outlineLevel="0" collapsed="false">
      <c r="A33" s="4" t="s">
        <v>282</v>
      </c>
      <c r="B33" s="4" t="s">
        <v>263</v>
      </c>
      <c r="C33" s="4" t="s">
        <v>283</v>
      </c>
      <c r="D33" s="4" t="n">
        <v>3</v>
      </c>
      <c r="E33" s="4" t="s">
        <v>235</v>
      </c>
      <c r="F33" s="4" t="s">
        <v>265</v>
      </c>
      <c r="G33" s="4" t="s">
        <v>217</v>
      </c>
    </row>
    <row r="34" customFormat="false" ht="25.5" hidden="false" customHeight="true" outlineLevel="0" collapsed="false">
      <c r="A34" s="4" t="s">
        <v>284</v>
      </c>
      <c r="B34" s="4" t="s">
        <v>285</v>
      </c>
      <c r="C34" s="4" t="s">
        <v>286</v>
      </c>
      <c r="D34" s="4" t="n">
        <v>5</v>
      </c>
      <c r="E34" s="4" t="s">
        <v>215</v>
      </c>
      <c r="F34" s="4" t="s">
        <v>287</v>
      </c>
      <c r="G34" s="4" t="s">
        <v>217</v>
      </c>
    </row>
    <row r="35" customFormat="false" ht="25.5" hidden="false" customHeight="true" outlineLevel="0" collapsed="false">
      <c r="A35" s="4" t="s">
        <v>288</v>
      </c>
      <c r="B35" s="4" t="s">
        <v>285</v>
      </c>
      <c r="C35" s="4" t="s">
        <v>289</v>
      </c>
      <c r="D35" s="4" t="n">
        <v>8</v>
      </c>
      <c r="E35" s="4" t="s">
        <v>215</v>
      </c>
      <c r="F35" s="4" t="s">
        <v>287</v>
      </c>
      <c r="G35" s="4" t="s">
        <v>217</v>
      </c>
    </row>
    <row r="36" customFormat="false" ht="25.5" hidden="false" customHeight="true" outlineLevel="0" collapsed="false">
      <c r="A36" s="4" t="s">
        <v>290</v>
      </c>
      <c r="B36" s="4" t="s">
        <v>285</v>
      </c>
      <c r="C36" s="4" t="s">
        <v>291</v>
      </c>
      <c r="D36" s="4" t="n">
        <v>5</v>
      </c>
      <c r="E36" s="4" t="s">
        <v>222</v>
      </c>
      <c r="F36" s="4" t="s">
        <v>287</v>
      </c>
      <c r="G36" s="4" t="s">
        <v>217</v>
      </c>
    </row>
    <row r="37" customFormat="false" ht="25.5" hidden="false" customHeight="true" outlineLevel="0" collapsed="false">
      <c r="A37" s="4" t="s">
        <v>292</v>
      </c>
      <c r="B37" s="4" t="s">
        <v>285</v>
      </c>
      <c r="C37" s="4" t="s">
        <v>293</v>
      </c>
      <c r="D37" s="4" t="n">
        <v>3</v>
      </c>
      <c r="E37" s="4" t="s">
        <v>215</v>
      </c>
      <c r="F37" s="4" t="s">
        <v>287</v>
      </c>
      <c r="G37" s="4" t="s">
        <v>217</v>
      </c>
    </row>
    <row r="38" customFormat="false" ht="25.5" hidden="false" customHeight="true" outlineLevel="0" collapsed="false">
      <c r="A38" s="4" t="s">
        <v>294</v>
      </c>
      <c r="B38" s="4" t="s">
        <v>285</v>
      </c>
      <c r="C38" s="4" t="s">
        <v>295</v>
      </c>
      <c r="D38" s="4" t="n">
        <v>5</v>
      </c>
      <c r="E38" s="4" t="s">
        <v>215</v>
      </c>
      <c r="F38" s="4" t="s">
        <v>287</v>
      </c>
      <c r="G38" s="4" t="s">
        <v>228</v>
      </c>
    </row>
    <row r="39" customFormat="false" ht="25.5" hidden="false" customHeight="true" outlineLevel="0" collapsed="false">
      <c r="A39" s="4" t="s">
        <v>296</v>
      </c>
      <c r="B39" s="4" t="s">
        <v>285</v>
      </c>
      <c r="C39" s="4" t="s">
        <v>297</v>
      </c>
      <c r="D39" s="4" t="n">
        <v>3</v>
      </c>
      <c r="E39" s="4" t="s">
        <v>222</v>
      </c>
      <c r="F39" s="4" t="s">
        <v>287</v>
      </c>
      <c r="G39" s="4" t="s">
        <v>217</v>
      </c>
    </row>
    <row r="40" customFormat="false" ht="25.5" hidden="false" customHeight="true" outlineLevel="0" collapsed="false">
      <c r="A40" s="4" t="s">
        <v>298</v>
      </c>
      <c r="B40" s="4" t="s">
        <v>285</v>
      </c>
      <c r="C40" s="4" t="s">
        <v>299</v>
      </c>
      <c r="D40" s="4" t="n">
        <v>3</v>
      </c>
      <c r="E40" s="4" t="s">
        <v>222</v>
      </c>
      <c r="F40" s="4" t="s">
        <v>287</v>
      </c>
      <c r="G40" s="4" t="s">
        <v>217</v>
      </c>
    </row>
    <row r="41" customFormat="false" ht="25.5" hidden="false" customHeight="true" outlineLevel="0" collapsed="false">
      <c r="A41" s="4" t="s">
        <v>300</v>
      </c>
      <c r="B41" s="4" t="s">
        <v>285</v>
      </c>
      <c r="C41" s="4" t="s">
        <v>301</v>
      </c>
      <c r="D41" s="4" t="n">
        <v>2</v>
      </c>
      <c r="E41" s="4" t="s">
        <v>235</v>
      </c>
      <c r="F41" s="4" t="s">
        <v>287</v>
      </c>
      <c r="G41" s="4" t="s">
        <v>217</v>
      </c>
    </row>
    <row r="42" customFormat="false" ht="25.5" hidden="false" customHeight="true" outlineLevel="0" collapsed="false">
      <c r="A42" s="4" t="s">
        <v>302</v>
      </c>
      <c r="B42" s="4" t="s">
        <v>285</v>
      </c>
      <c r="C42" s="4" t="s">
        <v>303</v>
      </c>
      <c r="D42" s="4" t="n">
        <v>5</v>
      </c>
      <c r="E42" s="4" t="s">
        <v>222</v>
      </c>
      <c r="F42" s="4" t="s">
        <v>287</v>
      </c>
      <c r="G42" s="4" t="s">
        <v>217</v>
      </c>
    </row>
    <row r="43" customFormat="false" ht="25.5" hidden="false" customHeight="true" outlineLevel="0" collapsed="false">
      <c r="A43" s="4" t="s">
        <v>304</v>
      </c>
      <c r="B43" s="4" t="s">
        <v>285</v>
      </c>
      <c r="C43" s="4" t="s">
        <v>305</v>
      </c>
      <c r="D43" s="4" t="n">
        <v>3</v>
      </c>
      <c r="E43" s="4" t="s">
        <v>235</v>
      </c>
      <c r="F43" s="4" t="s">
        <v>287</v>
      </c>
      <c r="G43" s="4" t="s">
        <v>217</v>
      </c>
    </row>
    <row r="44" customFormat="false" ht="25.5" hidden="false" customHeight="true" outlineLevel="0" collapsed="false">
      <c r="A44" s="4" t="s">
        <v>306</v>
      </c>
      <c r="B44" s="4" t="s">
        <v>307</v>
      </c>
      <c r="C44" s="4" t="s">
        <v>308</v>
      </c>
      <c r="D44" s="4" t="n">
        <v>5</v>
      </c>
      <c r="E44" s="4" t="s">
        <v>215</v>
      </c>
      <c r="F44" s="4" t="s">
        <v>309</v>
      </c>
      <c r="G44" s="4" t="s">
        <v>217</v>
      </c>
    </row>
    <row r="45" customFormat="false" ht="25.5" hidden="false" customHeight="true" outlineLevel="0" collapsed="false">
      <c r="A45" s="4" t="s">
        <v>310</v>
      </c>
      <c r="B45" s="4" t="s">
        <v>307</v>
      </c>
      <c r="C45" s="4" t="s">
        <v>311</v>
      </c>
      <c r="D45" s="4" t="n">
        <v>8</v>
      </c>
      <c r="E45" s="4" t="s">
        <v>215</v>
      </c>
      <c r="F45" s="4" t="s">
        <v>309</v>
      </c>
      <c r="G45" s="4" t="s">
        <v>217</v>
      </c>
    </row>
    <row r="46" customFormat="false" ht="25.5" hidden="false" customHeight="true" outlineLevel="0" collapsed="false">
      <c r="A46" s="4" t="s">
        <v>312</v>
      </c>
      <c r="B46" s="4" t="s">
        <v>307</v>
      </c>
      <c r="C46" s="4" t="s">
        <v>313</v>
      </c>
      <c r="D46" s="4" t="n">
        <v>5</v>
      </c>
      <c r="E46" s="4" t="s">
        <v>222</v>
      </c>
      <c r="F46" s="4" t="s">
        <v>309</v>
      </c>
      <c r="G46" s="4" t="s">
        <v>217</v>
      </c>
    </row>
    <row r="47" customFormat="false" ht="25.5" hidden="false" customHeight="true" outlineLevel="0" collapsed="false">
      <c r="A47" s="4" t="s">
        <v>314</v>
      </c>
      <c r="B47" s="4" t="s">
        <v>307</v>
      </c>
      <c r="C47" s="4" t="s">
        <v>315</v>
      </c>
      <c r="D47" s="4" t="n">
        <v>3</v>
      </c>
      <c r="E47" s="4" t="s">
        <v>215</v>
      </c>
      <c r="F47" s="4" t="s">
        <v>309</v>
      </c>
      <c r="G47" s="4" t="s">
        <v>217</v>
      </c>
    </row>
    <row r="48" customFormat="false" ht="25.5" hidden="false" customHeight="true" outlineLevel="0" collapsed="false">
      <c r="A48" s="4" t="s">
        <v>316</v>
      </c>
      <c r="B48" s="4" t="s">
        <v>307</v>
      </c>
      <c r="C48" s="4" t="s">
        <v>317</v>
      </c>
      <c r="D48" s="4" t="n">
        <v>5</v>
      </c>
      <c r="E48" s="4" t="s">
        <v>215</v>
      </c>
      <c r="F48" s="4" t="s">
        <v>309</v>
      </c>
      <c r="G48" s="4" t="s">
        <v>228</v>
      </c>
    </row>
    <row r="49" customFormat="false" ht="25.5" hidden="false" customHeight="true" outlineLevel="0" collapsed="false">
      <c r="A49" s="4" t="s">
        <v>318</v>
      </c>
      <c r="B49" s="4" t="s">
        <v>307</v>
      </c>
      <c r="C49" s="4" t="s">
        <v>319</v>
      </c>
      <c r="D49" s="4" t="n">
        <v>3</v>
      </c>
      <c r="E49" s="4" t="s">
        <v>222</v>
      </c>
      <c r="F49" s="4" t="s">
        <v>309</v>
      </c>
      <c r="G49" s="4" t="s">
        <v>217</v>
      </c>
    </row>
    <row r="50" customFormat="false" ht="25.5" hidden="false" customHeight="true" outlineLevel="0" collapsed="false">
      <c r="A50" s="4" t="s">
        <v>320</v>
      </c>
      <c r="B50" s="4" t="s">
        <v>307</v>
      </c>
      <c r="C50" s="4" t="s">
        <v>321</v>
      </c>
      <c r="D50" s="4" t="n">
        <v>3</v>
      </c>
      <c r="E50" s="4" t="s">
        <v>222</v>
      </c>
      <c r="F50" s="4" t="s">
        <v>309</v>
      </c>
      <c r="G50" s="4" t="s">
        <v>217</v>
      </c>
    </row>
    <row r="51" customFormat="false" ht="25.5" hidden="false" customHeight="true" outlineLevel="0" collapsed="false">
      <c r="A51" s="4" t="s">
        <v>322</v>
      </c>
      <c r="B51" s="4" t="s">
        <v>307</v>
      </c>
      <c r="C51" s="4" t="s">
        <v>323</v>
      </c>
      <c r="D51" s="4" t="n">
        <v>2</v>
      </c>
      <c r="E51" s="4" t="s">
        <v>235</v>
      </c>
      <c r="F51" s="4" t="s">
        <v>309</v>
      </c>
      <c r="G51" s="4" t="s">
        <v>217</v>
      </c>
    </row>
    <row r="52" customFormat="false" ht="25.5" hidden="false" customHeight="true" outlineLevel="0" collapsed="false">
      <c r="A52" s="4" t="s">
        <v>324</v>
      </c>
      <c r="B52" s="4" t="s">
        <v>307</v>
      </c>
      <c r="C52" s="4" t="s">
        <v>325</v>
      </c>
      <c r="D52" s="4" t="n">
        <v>5</v>
      </c>
      <c r="E52" s="4" t="s">
        <v>222</v>
      </c>
      <c r="F52" s="4" t="s">
        <v>309</v>
      </c>
      <c r="G52" s="4" t="s">
        <v>217</v>
      </c>
    </row>
    <row r="53" customFormat="false" ht="25.5" hidden="false" customHeight="true" outlineLevel="0" collapsed="false">
      <c r="A53" s="4" t="s">
        <v>326</v>
      </c>
      <c r="B53" s="4" t="s">
        <v>307</v>
      </c>
      <c r="C53" s="4" t="s">
        <v>327</v>
      </c>
      <c r="D53" s="4" t="n">
        <v>3</v>
      </c>
      <c r="E53" s="4" t="s">
        <v>235</v>
      </c>
      <c r="F53" s="4" t="s">
        <v>309</v>
      </c>
      <c r="G53" s="4" t="s">
        <v>217</v>
      </c>
    </row>
    <row r="54" customFormat="false" ht="25.5" hidden="false" customHeight="true" outlineLevel="0" collapsed="false">
      <c r="A54" s="4" t="s">
        <v>328</v>
      </c>
      <c r="B54" s="4" t="s">
        <v>329</v>
      </c>
      <c r="C54" s="4" t="s">
        <v>330</v>
      </c>
      <c r="D54" s="4" t="n">
        <v>5</v>
      </c>
      <c r="E54" s="4" t="s">
        <v>215</v>
      </c>
      <c r="F54" s="4" t="s">
        <v>331</v>
      </c>
      <c r="G54" s="4" t="s">
        <v>228</v>
      </c>
    </row>
    <row r="55" customFormat="false" ht="25.5" hidden="false" customHeight="true" outlineLevel="0" collapsed="false">
      <c r="A55" s="4" t="s">
        <v>332</v>
      </c>
      <c r="B55" s="4" t="s">
        <v>329</v>
      </c>
      <c r="C55" s="4" t="s">
        <v>333</v>
      </c>
      <c r="D55" s="4" t="n">
        <v>3</v>
      </c>
      <c r="E55" s="4" t="s">
        <v>215</v>
      </c>
      <c r="F55" s="4" t="s">
        <v>331</v>
      </c>
      <c r="G55" s="4" t="s">
        <v>217</v>
      </c>
    </row>
    <row r="56" customFormat="false" ht="25.5" hidden="false" customHeight="true" outlineLevel="0" collapsed="false">
      <c r="A56" s="4" t="s">
        <v>334</v>
      </c>
      <c r="B56" s="4" t="s">
        <v>329</v>
      </c>
      <c r="C56" s="4" t="s">
        <v>335</v>
      </c>
      <c r="D56" s="4" t="n">
        <v>3</v>
      </c>
      <c r="E56" s="4" t="s">
        <v>222</v>
      </c>
      <c r="F56" s="4" t="s">
        <v>216</v>
      </c>
      <c r="G56" s="4" t="s">
        <v>217</v>
      </c>
    </row>
    <row r="57" customFormat="false" ht="25.5" hidden="false" customHeight="true" outlineLevel="0" collapsed="false">
      <c r="A57" s="4" t="s">
        <v>336</v>
      </c>
      <c r="B57" s="4" t="s">
        <v>329</v>
      </c>
      <c r="C57" s="4" t="s">
        <v>337</v>
      </c>
      <c r="D57" s="4" t="n">
        <v>5</v>
      </c>
      <c r="E57" s="4" t="s">
        <v>215</v>
      </c>
      <c r="F57" s="4" t="s">
        <v>216</v>
      </c>
      <c r="G57" s="4" t="s">
        <v>217</v>
      </c>
    </row>
    <row r="58" customFormat="false" ht="25.5" hidden="false" customHeight="true" outlineLevel="0" collapsed="false">
      <c r="A58" s="4" t="s">
        <v>338</v>
      </c>
      <c r="B58" s="4" t="s">
        <v>329</v>
      </c>
      <c r="C58" s="4" t="s">
        <v>339</v>
      </c>
      <c r="D58" s="4" t="n">
        <v>3</v>
      </c>
      <c r="E58" s="4" t="s">
        <v>215</v>
      </c>
      <c r="F58" s="4" t="s">
        <v>331</v>
      </c>
      <c r="G58" s="4" t="s">
        <v>217</v>
      </c>
    </row>
    <row r="59" customFormat="false" ht="25.5" hidden="false" customHeight="true" outlineLevel="0" collapsed="false">
      <c r="A59" s="4" t="s">
        <v>340</v>
      </c>
      <c r="B59" s="4" t="s">
        <v>329</v>
      </c>
      <c r="C59" s="4" t="s">
        <v>341</v>
      </c>
      <c r="D59" s="4" t="n">
        <v>2</v>
      </c>
      <c r="E59" s="4" t="s">
        <v>222</v>
      </c>
      <c r="F59" s="4" t="s">
        <v>331</v>
      </c>
      <c r="G59" s="4" t="s">
        <v>217</v>
      </c>
    </row>
    <row r="60" customFormat="false" ht="25.5" hidden="false" customHeight="true" outlineLevel="0" collapsed="false">
      <c r="A60" s="4" t="s">
        <v>342</v>
      </c>
      <c r="B60" s="4" t="s">
        <v>343</v>
      </c>
      <c r="C60" s="4" t="s">
        <v>344</v>
      </c>
      <c r="D60" s="4" t="n">
        <v>5</v>
      </c>
      <c r="E60" s="4" t="s">
        <v>215</v>
      </c>
      <c r="F60" s="4" t="s">
        <v>287</v>
      </c>
      <c r="G60" s="4" t="s">
        <v>217</v>
      </c>
    </row>
    <row r="61" customFormat="false" ht="25.5" hidden="false" customHeight="true" outlineLevel="0" collapsed="false">
      <c r="A61" s="4" t="s">
        <v>345</v>
      </c>
      <c r="B61" s="4" t="s">
        <v>343</v>
      </c>
      <c r="C61" s="4" t="s">
        <v>346</v>
      </c>
      <c r="D61" s="4" t="n">
        <v>5</v>
      </c>
      <c r="E61" s="4" t="s">
        <v>215</v>
      </c>
      <c r="F61" s="4" t="s">
        <v>287</v>
      </c>
      <c r="G61" s="4" t="s">
        <v>217</v>
      </c>
    </row>
    <row r="62" customFormat="false" ht="25.5" hidden="false" customHeight="true" outlineLevel="0" collapsed="false">
      <c r="A62" s="4" t="s">
        <v>347</v>
      </c>
      <c r="B62" s="4" t="s">
        <v>343</v>
      </c>
      <c r="C62" s="4" t="s">
        <v>348</v>
      </c>
      <c r="D62" s="4" t="n">
        <v>8</v>
      </c>
      <c r="E62" s="4" t="s">
        <v>215</v>
      </c>
      <c r="F62" s="4" t="s">
        <v>287</v>
      </c>
      <c r="G62" s="4" t="s">
        <v>228</v>
      </c>
    </row>
    <row r="63" customFormat="false" ht="25.5" hidden="false" customHeight="true" outlineLevel="0" collapsed="false">
      <c r="A63" s="4" t="s">
        <v>349</v>
      </c>
      <c r="B63" s="4" t="s">
        <v>343</v>
      </c>
      <c r="C63" s="4" t="s">
        <v>350</v>
      </c>
      <c r="D63" s="4" t="n">
        <v>3</v>
      </c>
      <c r="E63" s="4" t="s">
        <v>222</v>
      </c>
      <c r="F63" s="4" t="s">
        <v>351</v>
      </c>
      <c r="G63" s="4" t="s">
        <v>217</v>
      </c>
    </row>
    <row r="64" customFormat="false" ht="25.5" hidden="false" customHeight="true" outlineLevel="0" collapsed="false">
      <c r="A64" s="4" t="s">
        <v>352</v>
      </c>
      <c r="B64" s="4" t="s">
        <v>343</v>
      </c>
      <c r="C64" s="4" t="s">
        <v>353</v>
      </c>
      <c r="D64" s="4" t="n">
        <v>3</v>
      </c>
      <c r="E64" s="4" t="s">
        <v>222</v>
      </c>
      <c r="F64" s="4" t="s">
        <v>351</v>
      </c>
      <c r="G64" s="4" t="s">
        <v>217</v>
      </c>
    </row>
    <row r="65" customFormat="false" ht="25.5" hidden="false" customHeight="true" outlineLevel="0" collapsed="false">
      <c r="A65" s="4" t="s">
        <v>354</v>
      </c>
      <c r="B65" s="4" t="s">
        <v>343</v>
      </c>
      <c r="C65" s="4" t="s">
        <v>355</v>
      </c>
      <c r="D65" s="4" t="n">
        <v>3</v>
      </c>
      <c r="E65" s="4" t="s">
        <v>235</v>
      </c>
      <c r="F65" s="4" t="s">
        <v>351</v>
      </c>
      <c r="G65" s="4" t="s">
        <v>217</v>
      </c>
    </row>
    <row r="66" customFormat="false" ht="25.5" hidden="false" customHeight="true" outlineLevel="0" collapsed="false">
      <c r="A66" s="4" t="s">
        <v>356</v>
      </c>
      <c r="B66" s="4" t="s">
        <v>343</v>
      </c>
      <c r="C66" s="4" t="s">
        <v>357</v>
      </c>
      <c r="D66" s="4" t="n">
        <v>3</v>
      </c>
      <c r="E66" s="4" t="s">
        <v>222</v>
      </c>
      <c r="F66" s="4" t="s">
        <v>351</v>
      </c>
      <c r="G66" s="4" t="s">
        <v>217</v>
      </c>
    </row>
    <row r="67" customFormat="false" ht="25.5" hidden="false" customHeight="true" outlineLevel="0" collapsed="false">
      <c r="A67" s="4" t="s">
        <v>358</v>
      </c>
      <c r="B67" s="4" t="s">
        <v>359</v>
      </c>
      <c r="C67" s="4" t="s">
        <v>360</v>
      </c>
      <c r="D67" s="4" t="n">
        <v>3</v>
      </c>
      <c r="E67" s="4" t="s">
        <v>215</v>
      </c>
      <c r="F67" s="4" t="s">
        <v>351</v>
      </c>
      <c r="G67" s="4" t="s">
        <v>217</v>
      </c>
    </row>
    <row r="68" customFormat="false" ht="25.5" hidden="false" customHeight="true" outlineLevel="0" collapsed="false">
      <c r="A68" s="4" t="s">
        <v>361</v>
      </c>
      <c r="B68" s="4" t="s">
        <v>359</v>
      </c>
      <c r="C68" s="4" t="s">
        <v>362</v>
      </c>
      <c r="D68" s="4" t="n">
        <v>3</v>
      </c>
      <c r="E68" s="4" t="s">
        <v>215</v>
      </c>
      <c r="F68" s="4" t="s">
        <v>309</v>
      </c>
      <c r="G68" s="4" t="s">
        <v>217</v>
      </c>
    </row>
    <row r="69" customFormat="false" ht="25.5" hidden="false" customHeight="true" outlineLevel="0" collapsed="false">
      <c r="A69" s="4" t="s">
        <v>363</v>
      </c>
      <c r="B69" s="4" t="s">
        <v>359</v>
      </c>
      <c r="C69" s="4" t="s">
        <v>364</v>
      </c>
      <c r="D69" s="4" t="n">
        <v>5</v>
      </c>
      <c r="E69" s="4" t="s">
        <v>215</v>
      </c>
      <c r="F69" s="4" t="s">
        <v>309</v>
      </c>
      <c r="G69" s="4" t="s">
        <v>228</v>
      </c>
    </row>
    <row r="70" customFormat="false" ht="25.5" hidden="false" customHeight="true" outlineLevel="0" collapsed="false">
      <c r="A70" s="4" t="s">
        <v>365</v>
      </c>
      <c r="B70" s="4" t="s">
        <v>359</v>
      </c>
      <c r="C70" s="4" t="s">
        <v>366</v>
      </c>
      <c r="D70" s="4" t="n">
        <v>5</v>
      </c>
      <c r="E70" s="4" t="s">
        <v>222</v>
      </c>
      <c r="F70" s="4" t="s">
        <v>309</v>
      </c>
      <c r="G70" s="4" t="s">
        <v>217</v>
      </c>
    </row>
    <row r="71" customFormat="false" ht="25.5" hidden="false" customHeight="true" outlineLevel="0" collapsed="false">
      <c r="A71" s="4" t="s">
        <v>367</v>
      </c>
      <c r="B71" s="4" t="s">
        <v>359</v>
      </c>
      <c r="C71" s="4" t="s">
        <v>368</v>
      </c>
      <c r="D71" s="4" t="n">
        <v>8</v>
      </c>
      <c r="E71" s="4" t="s">
        <v>215</v>
      </c>
      <c r="F71" s="4" t="s">
        <v>369</v>
      </c>
      <c r="G71" s="4" t="s">
        <v>370</v>
      </c>
    </row>
    <row r="72" customFormat="false" ht="25.5" hidden="false" customHeight="true" outlineLevel="0" collapsed="false">
      <c r="A72" s="4" t="s">
        <v>371</v>
      </c>
      <c r="B72" s="4" t="s">
        <v>359</v>
      </c>
      <c r="C72" s="4" t="s">
        <v>372</v>
      </c>
      <c r="D72" s="4" t="n">
        <v>5</v>
      </c>
      <c r="E72" s="4" t="s">
        <v>215</v>
      </c>
      <c r="F72" s="4" t="s">
        <v>369</v>
      </c>
      <c r="G72" s="4" t="s">
        <v>217</v>
      </c>
    </row>
    <row r="73" customFormat="false" ht="25.5" hidden="false" customHeight="true" outlineLevel="0" collapsed="false">
      <c r="A73" s="4" t="s">
        <v>373</v>
      </c>
      <c r="B73" s="4" t="s">
        <v>359</v>
      </c>
      <c r="C73" s="4" t="s">
        <v>374</v>
      </c>
      <c r="D73" s="4" t="n">
        <v>5</v>
      </c>
      <c r="E73" s="4" t="s">
        <v>215</v>
      </c>
      <c r="F73" s="4" t="s">
        <v>309</v>
      </c>
      <c r="G73" s="4" t="s">
        <v>217</v>
      </c>
    </row>
    <row r="74" customFormat="false" ht="25.5" hidden="false" customHeight="true" outlineLevel="0" collapsed="false">
      <c r="A74" s="4" t="s">
        <v>375</v>
      </c>
      <c r="B74" s="4" t="s">
        <v>376</v>
      </c>
      <c r="C74" s="4" t="s">
        <v>377</v>
      </c>
      <c r="D74" s="4" t="n">
        <v>5</v>
      </c>
      <c r="E74" s="4" t="s">
        <v>215</v>
      </c>
      <c r="F74" s="4" t="s">
        <v>251</v>
      </c>
      <c r="G74" s="4" t="s">
        <v>217</v>
      </c>
    </row>
    <row r="75" customFormat="false" ht="25.5" hidden="false" customHeight="true" outlineLevel="0" collapsed="false">
      <c r="A75" s="4" t="s">
        <v>378</v>
      </c>
      <c r="B75" s="4" t="s">
        <v>376</v>
      </c>
      <c r="C75" s="4" t="s">
        <v>379</v>
      </c>
      <c r="D75" s="4" t="n">
        <v>3</v>
      </c>
      <c r="E75" s="4" t="s">
        <v>215</v>
      </c>
      <c r="F75" s="4" t="s">
        <v>251</v>
      </c>
      <c r="G75" s="4" t="s">
        <v>217</v>
      </c>
    </row>
    <row r="76" customFormat="false" ht="25.5" hidden="false" customHeight="true" outlineLevel="0" collapsed="false">
      <c r="A76" s="4" t="s">
        <v>380</v>
      </c>
      <c r="B76" s="4" t="s">
        <v>376</v>
      </c>
      <c r="C76" s="4" t="s">
        <v>381</v>
      </c>
      <c r="D76" s="4" t="n">
        <v>3</v>
      </c>
      <c r="E76" s="4" t="s">
        <v>235</v>
      </c>
      <c r="F76" s="4" t="s">
        <v>309</v>
      </c>
      <c r="G76" s="4" t="s">
        <v>217</v>
      </c>
    </row>
    <row r="77" customFormat="false" ht="25.5" hidden="false" customHeight="true" outlineLevel="0" collapsed="false">
      <c r="A77" s="4" t="s">
        <v>382</v>
      </c>
      <c r="B77" s="4" t="s">
        <v>376</v>
      </c>
      <c r="C77" s="4" t="s">
        <v>383</v>
      </c>
      <c r="D77" s="4" t="n">
        <v>2</v>
      </c>
      <c r="E77" s="4" t="s">
        <v>235</v>
      </c>
      <c r="F77" s="4" t="s">
        <v>309</v>
      </c>
      <c r="G77" s="4" t="s">
        <v>217</v>
      </c>
    </row>
    <row r="78" customFormat="false" ht="25.5" hidden="false" customHeight="true" outlineLevel="0" collapsed="false">
      <c r="A78" s="4" t="s">
        <v>384</v>
      </c>
      <c r="B78" s="4" t="s">
        <v>376</v>
      </c>
      <c r="C78" s="4" t="s">
        <v>385</v>
      </c>
      <c r="D78" s="4" t="n">
        <v>5</v>
      </c>
      <c r="E78" s="4" t="s">
        <v>222</v>
      </c>
      <c r="F78" s="4" t="s">
        <v>309</v>
      </c>
      <c r="G78" s="4" t="s">
        <v>217</v>
      </c>
    </row>
    <row r="79" customFormat="false" ht="25.5" hidden="false" customHeight="true" outlineLevel="0" collapsed="false">
      <c r="A79" s="4" t="s">
        <v>386</v>
      </c>
      <c r="B79" s="4" t="s">
        <v>376</v>
      </c>
      <c r="C79" s="4" t="s">
        <v>387</v>
      </c>
      <c r="D79" s="4" t="n">
        <v>3</v>
      </c>
      <c r="E79" s="4" t="s">
        <v>235</v>
      </c>
      <c r="F79" s="4" t="s">
        <v>309</v>
      </c>
      <c r="G79" s="4" t="s">
        <v>217</v>
      </c>
    </row>
    <row r="80" customFormat="false" ht="25.5" hidden="false" customHeight="true" outlineLevel="0" collapsed="false">
      <c r="A80" s="4" t="s">
        <v>388</v>
      </c>
      <c r="B80" s="4" t="s">
        <v>376</v>
      </c>
      <c r="C80" s="4" t="s">
        <v>389</v>
      </c>
      <c r="D80" s="4" t="n">
        <v>3</v>
      </c>
      <c r="E80" s="4" t="s">
        <v>235</v>
      </c>
      <c r="F80" s="4" t="s">
        <v>309</v>
      </c>
      <c r="G80" s="4" t="s">
        <v>217</v>
      </c>
    </row>
    <row r="81" customFormat="false" ht="25.5" hidden="false" customHeight="true" outlineLevel="0" collapsed="false">
      <c r="A81" s="4" t="s">
        <v>390</v>
      </c>
      <c r="B81" s="4" t="s">
        <v>391</v>
      </c>
      <c r="C81" s="4" t="s">
        <v>392</v>
      </c>
      <c r="D81" s="4" t="n">
        <v>5</v>
      </c>
      <c r="E81" s="4" t="s">
        <v>215</v>
      </c>
      <c r="F81" s="4" t="s">
        <v>265</v>
      </c>
      <c r="G81" s="4" t="s">
        <v>217</v>
      </c>
    </row>
    <row r="82" customFormat="false" ht="25.5" hidden="false" customHeight="true" outlineLevel="0" collapsed="false">
      <c r="A82" s="4" t="s">
        <v>393</v>
      </c>
      <c r="B82" s="4" t="s">
        <v>391</v>
      </c>
      <c r="C82" s="4" t="s">
        <v>394</v>
      </c>
      <c r="D82" s="4" t="n">
        <v>3</v>
      </c>
      <c r="E82" s="4" t="s">
        <v>222</v>
      </c>
      <c r="F82" s="4" t="s">
        <v>265</v>
      </c>
      <c r="G82" s="4" t="s">
        <v>217</v>
      </c>
    </row>
    <row r="83" customFormat="false" ht="25.5" hidden="false" customHeight="true" outlineLevel="0" collapsed="false">
      <c r="A83" s="4" t="s">
        <v>395</v>
      </c>
      <c r="B83" s="4" t="s">
        <v>391</v>
      </c>
      <c r="C83" s="4" t="s">
        <v>396</v>
      </c>
      <c r="D83" s="4" t="n">
        <v>5</v>
      </c>
      <c r="E83" s="4" t="s">
        <v>222</v>
      </c>
      <c r="F83" s="4" t="s">
        <v>397</v>
      </c>
      <c r="G83" s="4" t="s">
        <v>217</v>
      </c>
    </row>
    <row r="84" customFormat="false" ht="25.5" hidden="false" customHeight="true" outlineLevel="0" collapsed="false">
      <c r="A84" s="4" t="s">
        <v>398</v>
      </c>
      <c r="B84" s="4" t="s">
        <v>391</v>
      </c>
      <c r="C84" s="4" t="s">
        <v>399</v>
      </c>
      <c r="D84" s="4" t="n">
        <v>3</v>
      </c>
      <c r="E84" s="4" t="s">
        <v>215</v>
      </c>
      <c r="F84" s="4" t="s">
        <v>397</v>
      </c>
      <c r="G84" s="4" t="s">
        <v>217</v>
      </c>
    </row>
    <row r="85" customFormat="false" ht="25.5" hidden="false" customHeight="true" outlineLevel="0" collapsed="false">
      <c r="A85" s="4" t="s">
        <v>400</v>
      </c>
      <c r="B85" s="4" t="s">
        <v>391</v>
      </c>
      <c r="C85" s="4" t="s">
        <v>401</v>
      </c>
      <c r="D85" s="4" t="n">
        <v>3</v>
      </c>
      <c r="E85" s="4" t="s">
        <v>222</v>
      </c>
      <c r="F85" s="4" t="s">
        <v>402</v>
      </c>
      <c r="G85" s="4" t="s">
        <v>217</v>
      </c>
    </row>
    <row r="86" customFormat="false" ht="25.5" hidden="false" customHeight="true" outlineLevel="0" collapsed="false">
      <c r="A86" s="4" t="s">
        <v>403</v>
      </c>
      <c r="B86" s="4" t="s">
        <v>391</v>
      </c>
      <c r="C86" s="4" t="s">
        <v>404</v>
      </c>
      <c r="D86" s="4" t="n">
        <v>5</v>
      </c>
      <c r="E86" s="4" t="s">
        <v>222</v>
      </c>
      <c r="F86" s="4" t="s">
        <v>397</v>
      </c>
      <c r="G86" s="4" t="s">
        <v>405</v>
      </c>
    </row>
    <row r="87" customFormat="false" ht="25.5" hidden="false" customHeight="true" outlineLevel="0" collapsed="false">
      <c r="A87" s="4" t="s">
        <v>406</v>
      </c>
      <c r="B87" s="4" t="s">
        <v>391</v>
      </c>
      <c r="C87" s="4" t="s">
        <v>407</v>
      </c>
      <c r="D87" s="4" t="n">
        <v>2</v>
      </c>
      <c r="E87" s="4" t="s">
        <v>235</v>
      </c>
      <c r="F87" s="4" t="s">
        <v>397</v>
      </c>
      <c r="G87" s="4" t="s">
        <v>405</v>
      </c>
    </row>
    <row r="88" customFormat="false" ht="25.5" hidden="false" customHeight="true" outlineLevel="0" collapsed="false">
      <c r="A88" s="4" t="s">
        <v>408</v>
      </c>
      <c r="B88" s="4" t="s">
        <v>409</v>
      </c>
      <c r="C88" s="4" t="s">
        <v>410</v>
      </c>
      <c r="D88" s="4" t="n">
        <v>5</v>
      </c>
      <c r="E88" s="4" t="s">
        <v>215</v>
      </c>
      <c r="F88" s="4" t="s">
        <v>227</v>
      </c>
      <c r="G88" s="4" t="s">
        <v>217</v>
      </c>
    </row>
    <row r="89" customFormat="false" ht="25.5" hidden="false" customHeight="true" outlineLevel="0" collapsed="false">
      <c r="A89" s="4" t="s">
        <v>411</v>
      </c>
      <c r="B89" s="4" t="s">
        <v>409</v>
      </c>
      <c r="C89" s="4" t="s">
        <v>412</v>
      </c>
      <c r="D89" s="4" t="n">
        <v>5</v>
      </c>
      <c r="E89" s="4" t="s">
        <v>215</v>
      </c>
      <c r="F89" s="4" t="s">
        <v>251</v>
      </c>
      <c r="G89" s="4" t="s">
        <v>217</v>
      </c>
    </row>
    <row r="90" customFormat="false" ht="25.5" hidden="false" customHeight="true" outlineLevel="0" collapsed="false">
      <c r="A90" s="4" t="s">
        <v>413</v>
      </c>
      <c r="B90" s="4" t="s">
        <v>409</v>
      </c>
      <c r="C90" s="4" t="s">
        <v>414</v>
      </c>
      <c r="D90" s="4" t="n">
        <v>3</v>
      </c>
      <c r="E90" s="4" t="s">
        <v>215</v>
      </c>
      <c r="F90" s="4" t="s">
        <v>309</v>
      </c>
      <c r="G90" s="4" t="s">
        <v>217</v>
      </c>
    </row>
    <row r="91" customFormat="false" ht="25.5" hidden="false" customHeight="true" outlineLevel="0" collapsed="false">
      <c r="A91" s="4" t="s">
        <v>415</v>
      </c>
      <c r="B91" s="4" t="s">
        <v>409</v>
      </c>
      <c r="C91" s="4" t="s">
        <v>416</v>
      </c>
      <c r="D91" s="4" t="n">
        <v>5</v>
      </c>
      <c r="E91" s="4" t="s">
        <v>222</v>
      </c>
      <c r="F91" s="4" t="s">
        <v>309</v>
      </c>
      <c r="G91" s="4" t="s">
        <v>228</v>
      </c>
    </row>
    <row r="92" customFormat="false" ht="25.5" hidden="false" customHeight="true" outlineLevel="0" collapsed="false">
      <c r="A92" s="4" t="s">
        <v>417</v>
      </c>
      <c r="B92" s="4" t="s">
        <v>409</v>
      </c>
      <c r="C92" s="4" t="s">
        <v>418</v>
      </c>
      <c r="D92" s="4" t="n">
        <v>3</v>
      </c>
      <c r="E92" s="4" t="s">
        <v>222</v>
      </c>
      <c r="F92" s="4" t="s">
        <v>369</v>
      </c>
      <c r="G92" s="4" t="s">
        <v>217</v>
      </c>
    </row>
    <row r="93" customFormat="false" ht="25.5" hidden="false" customHeight="true" outlineLevel="0" collapsed="false">
      <c r="A93" s="4" t="s">
        <v>419</v>
      </c>
      <c r="B93" s="4" t="s">
        <v>409</v>
      </c>
      <c r="C93" s="4" t="s">
        <v>420</v>
      </c>
      <c r="D93" s="4" t="n">
        <v>3</v>
      </c>
      <c r="E93" s="4" t="s">
        <v>222</v>
      </c>
      <c r="F93" s="4" t="s">
        <v>369</v>
      </c>
      <c r="G93" s="4" t="s">
        <v>228</v>
      </c>
    </row>
    <row r="94" customFormat="false" ht="25.5" hidden="false" customHeight="true" outlineLevel="0" collapsed="false">
      <c r="A94" s="4" t="s">
        <v>421</v>
      </c>
      <c r="B94" s="4" t="s">
        <v>409</v>
      </c>
      <c r="C94" s="4" t="s">
        <v>422</v>
      </c>
      <c r="D94" s="4" t="n">
        <v>3</v>
      </c>
      <c r="E94" s="4" t="s">
        <v>235</v>
      </c>
      <c r="F94" s="4" t="s">
        <v>369</v>
      </c>
      <c r="G94" s="4" t="s">
        <v>217</v>
      </c>
    </row>
    <row r="95" customFormat="false" ht="25.5" hidden="false" customHeight="true" outlineLevel="0" collapsed="false">
      <c r="A95" s="4" t="s">
        <v>423</v>
      </c>
      <c r="B95" s="4" t="s">
        <v>409</v>
      </c>
      <c r="C95" s="4" t="s">
        <v>424</v>
      </c>
      <c r="D95" s="4" t="n">
        <v>3</v>
      </c>
      <c r="E95" s="4" t="s">
        <v>235</v>
      </c>
      <c r="F95" s="4" t="s">
        <v>309</v>
      </c>
      <c r="G95" s="4" t="s">
        <v>228</v>
      </c>
    </row>
    <row r="96" customFormat="false" ht="25.5" hidden="false" customHeight="true" outlineLevel="0" collapsed="false">
      <c r="A96" s="4" t="s">
        <v>425</v>
      </c>
      <c r="B96" s="4" t="s">
        <v>426</v>
      </c>
      <c r="C96" s="4" t="s">
        <v>427</v>
      </c>
      <c r="D96" s="4" t="n">
        <v>3</v>
      </c>
      <c r="E96" s="4" t="s">
        <v>215</v>
      </c>
      <c r="F96" s="4" t="s">
        <v>369</v>
      </c>
      <c r="G96" s="4" t="s">
        <v>405</v>
      </c>
    </row>
    <row r="97" customFormat="false" ht="25.5" hidden="false" customHeight="true" outlineLevel="0" collapsed="false">
      <c r="A97" s="4" t="s">
        <v>428</v>
      </c>
      <c r="B97" s="4" t="s">
        <v>426</v>
      </c>
      <c r="C97" s="4" t="s">
        <v>429</v>
      </c>
      <c r="D97" s="4" t="n">
        <v>5</v>
      </c>
      <c r="E97" s="4" t="s">
        <v>215</v>
      </c>
      <c r="F97" s="4" t="s">
        <v>369</v>
      </c>
      <c r="G97" s="4" t="s">
        <v>405</v>
      </c>
    </row>
    <row r="98" customFormat="false" ht="25.5" hidden="false" customHeight="true" outlineLevel="0" collapsed="false">
      <c r="A98" s="4" t="s">
        <v>430</v>
      </c>
      <c r="B98" s="4" t="s">
        <v>426</v>
      </c>
      <c r="C98" s="4" t="s">
        <v>431</v>
      </c>
      <c r="D98" s="4" t="n">
        <v>3</v>
      </c>
      <c r="E98" s="4" t="s">
        <v>215</v>
      </c>
      <c r="F98" s="4" t="s">
        <v>397</v>
      </c>
      <c r="G98" s="4" t="s">
        <v>217</v>
      </c>
    </row>
    <row r="99" customFormat="false" ht="25.5" hidden="false" customHeight="true" outlineLevel="0" collapsed="false">
      <c r="A99" s="4" t="s">
        <v>432</v>
      </c>
      <c r="B99" s="4" t="s">
        <v>426</v>
      </c>
      <c r="C99" s="4" t="s">
        <v>433</v>
      </c>
      <c r="D99" s="4" t="n">
        <v>3</v>
      </c>
      <c r="E99" s="4" t="s">
        <v>215</v>
      </c>
      <c r="F99" s="4" t="s">
        <v>397</v>
      </c>
      <c r="G99" s="4" t="s">
        <v>405</v>
      </c>
    </row>
    <row r="100" customFormat="false" ht="25.5" hidden="false" customHeight="true" outlineLevel="0" collapsed="false">
      <c r="A100" s="4" t="s">
        <v>434</v>
      </c>
      <c r="B100" s="4" t="s">
        <v>426</v>
      </c>
      <c r="C100" s="4" t="s">
        <v>435</v>
      </c>
      <c r="D100" s="4" t="n">
        <v>3</v>
      </c>
      <c r="E100" s="4" t="s">
        <v>215</v>
      </c>
      <c r="F100" s="4" t="s">
        <v>397</v>
      </c>
      <c r="G100" s="4" t="s">
        <v>370</v>
      </c>
    </row>
    <row r="101" customFormat="false" ht="25.5" hidden="false" customHeight="true" outlineLevel="0" collapsed="false">
      <c r="A101" s="4" t="s">
        <v>436</v>
      </c>
      <c r="B101" s="4" t="s">
        <v>426</v>
      </c>
      <c r="C101" s="4" t="s">
        <v>437</v>
      </c>
      <c r="D101" s="4" t="n">
        <v>3</v>
      </c>
      <c r="E101" s="4" t="s">
        <v>222</v>
      </c>
      <c r="F101" s="4" t="s">
        <v>402</v>
      </c>
      <c r="G101" s="4" t="s">
        <v>405</v>
      </c>
    </row>
    <row r="102" customFormat="false" ht="25.5" hidden="false" customHeight="true" outlineLevel="0" collapsed="false">
      <c r="A102" s="4" t="s">
        <v>438</v>
      </c>
      <c r="B102" s="4" t="s">
        <v>426</v>
      </c>
      <c r="C102" s="4" t="s">
        <v>439</v>
      </c>
      <c r="D102" s="4" t="n">
        <v>2</v>
      </c>
      <c r="E102" s="4" t="s">
        <v>235</v>
      </c>
      <c r="F102" s="4" t="s">
        <v>440</v>
      </c>
      <c r="G102" s="4" t="s">
        <v>228</v>
      </c>
    </row>
    <row r="103" customFormat="false" ht="25.5" hidden="false" customHeight="true" outlineLevel="0" collapsed="false">
      <c r="A103" s="4" t="s">
        <v>441</v>
      </c>
      <c r="B103" s="4" t="s">
        <v>426</v>
      </c>
      <c r="C103" s="4" t="s">
        <v>442</v>
      </c>
      <c r="D103" s="4" t="n">
        <v>2</v>
      </c>
      <c r="E103" s="4" t="s">
        <v>222</v>
      </c>
      <c r="F103" s="4" t="s">
        <v>402</v>
      </c>
      <c r="G103" s="4" t="s">
        <v>228</v>
      </c>
    </row>
    <row r="105" customFormat="false" ht="30" hidden="false" customHeight="true" outlineLevel="0" collapsed="false">
      <c r="A105" s="11" t="s">
        <v>443</v>
      </c>
      <c r="B105" s="11"/>
      <c r="C105" s="11"/>
      <c r="D105" s="11"/>
      <c r="E105" s="11"/>
      <c r="F105" s="11"/>
      <c r="G105" s="11"/>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444</v>
      </c>
    </row>
    <row r="3" customFormat="false" ht="15" hidden="false" customHeight="true" outlineLevel="0" collapsed="false">
      <c r="A3" s="3" t="s">
        <v>211</v>
      </c>
      <c r="B3" s="3" t="s">
        <v>445</v>
      </c>
      <c r="C3" s="3" t="s">
        <v>446</v>
      </c>
      <c r="D3" s="3" t="s">
        <v>209</v>
      </c>
      <c r="E3" s="3" t="s">
        <v>217</v>
      </c>
      <c r="F3" s="3" t="s">
        <v>447</v>
      </c>
    </row>
    <row r="4" customFormat="false" ht="31.5" hidden="false" customHeight="true" outlineLevel="0" collapsed="false">
      <c r="A4" s="4" t="s">
        <v>448</v>
      </c>
      <c r="B4" s="4" t="s">
        <v>449</v>
      </c>
      <c r="C4" s="4" t="n">
        <f aca="false">COUNTIF(Full_Backlog!F4:F103,"S0")</f>
        <v>0</v>
      </c>
      <c r="D4" s="4" t="n">
        <f aca="false">SUMIF(Full_Backlog!F4:F103,"S0",Full_Backlog!D4:D103)</f>
        <v>0</v>
      </c>
      <c r="E4" s="4" t="n">
        <f aca="false">COUNTIFS(Full_Backlog!F4:F103,"S0",Full_Backlog!G4:G103,"Done")</f>
        <v>0</v>
      </c>
      <c r="F4" s="4" t="s">
        <v>450</v>
      </c>
    </row>
    <row r="5" customFormat="false" ht="31.5" hidden="false" customHeight="true" outlineLevel="0" collapsed="false">
      <c r="A5" s="4" t="s">
        <v>331</v>
      </c>
      <c r="B5" s="4" t="s">
        <v>451</v>
      </c>
      <c r="C5" s="4" t="n">
        <f aca="false">COUNTIF(Full_Backlog!F4:F103,"S1")</f>
        <v>4</v>
      </c>
      <c r="D5" s="4" t="n">
        <f aca="false">SUMIF(Full_Backlog!F4:F103,"S1",Full_Backlog!D4:D103)</f>
        <v>13</v>
      </c>
      <c r="E5" s="4" t="n">
        <f aca="false">COUNTIFS(Full_Backlog!F4:F103,"S1",Full_Backlog!G4:G103,"Done")</f>
        <v>3</v>
      </c>
      <c r="F5" s="4" t="s">
        <v>452</v>
      </c>
    </row>
    <row r="6" customFormat="false" ht="31.5" hidden="false" customHeight="true" outlineLevel="0" collapsed="false">
      <c r="A6" s="4" t="s">
        <v>216</v>
      </c>
      <c r="B6" s="4" t="s">
        <v>453</v>
      </c>
      <c r="C6" s="4" t="n">
        <f aca="false">COUNTIF(Full_Backlog!F4:F103,"S2")</f>
        <v>6</v>
      </c>
      <c r="D6" s="4" t="n">
        <f aca="false">SUMIF(Full_Backlog!F4:F103,"S2",Full_Backlog!D4:D103)</f>
        <v>29</v>
      </c>
      <c r="E6" s="4" t="n">
        <f aca="false">COUNTIFS(Full_Backlog!F4:F103,"S2",Full_Backlog!G4:G103,"Done")</f>
        <v>6</v>
      </c>
      <c r="F6" s="4" t="s">
        <v>454</v>
      </c>
    </row>
    <row r="7" customFormat="false" ht="31.5" hidden="false" customHeight="true" outlineLevel="0" collapsed="false">
      <c r="A7" s="4" t="s">
        <v>227</v>
      </c>
      <c r="B7" s="4" t="s">
        <v>455</v>
      </c>
      <c r="C7" s="4" t="n">
        <f aca="false">COUNTIF(Full_Backlog!F4:F103,"S3")</f>
        <v>11</v>
      </c>
      <c r="D7" s="4" t="n">
        <f aca="false">SUMIF(Full_Backlog!F4:F103,"S3",Full_Backlog!D4:D103)</f>
        <v>47</v>
      </c>
      <c r="E7" s="4" t="n">
        <f aca="false">COUNTIFS(Full_Backlog!F4:F103,"S3",Full_Backlog!G4:G103,"Done")</f>
        <v>10</v>
      </c>
      <c r="F7" s="4" t="s">
        <v>456</v>
      </c>
    </row>
    <row r="8" customFormat="false" ht="31.5" hidden="false" customHeight="true" outlineLevel="0" collapsed="false">
      <c r="A8" s="4" t="s">
        <v>251</v>
      </c>
      <c r="B8" s="4" t="s">
        <v>457</v>
      </c>
      <c r="C8" s="4" t="n">
        <f aca="false">COUNTIF(Full_Backlog!F4:F103,"S4")</f>
        <v>9</v>
      </c>
      <c r="D8" s="4" t="n">
        <f aca="false">SUMIF(Full_Backlog!F4:F103,"S4",Full_Backlog!D4:D103)</f>
        <v>34</v>
      </c>
      <c r="E8" s="4" t="n">
        <f aca="false">COUNTIFS(Full_Backlog!F4:F103,"S4",Full_Backlog!G4:G103,"Done")</f>
        <v>8</v>
      </c>
      <c r="F8" s="4" t="s">
        <v>458</v>
      </c>
    </row>
    <row r="9" customFormat="false" ht="31.5" hidden="false" customHeight="true" outlineLevel="0" collapsed="false">
      <c r="A9" s="4" t="s">
        <v>265</v>
      </c>
      <c r="B9" s="4" t="s">
        <v>459</v>
      </c>
      <c r="C9" s="4" t="n">
        <f aca="false">COUNTIF(Full_Backlog!F4:F103,"S5")</f>
        <v>12</v>
      </c>
      <c r="D9" s="4" t="n">
        <f aca="false">SUMIF(Full_Backlog!F4:F103,"S5",Full_Backlog!D4:D103)</f>
        <v>50</v>
      </c>
      <c r="E9" s="4" t="n">
        <f aca="false">COUNTIFS(Full_Backlog!F4:F103,"S5",Full_Backlog!G4:G103,"Done")</f>
        <v>11</v>
      </c>
      <c r="F9" s="4" t="s">
        <v>460</v>
      </c>
    </row>
    <row r="10" customFormat="false" ht="31.5" hidden="false" customHeight="true" outlineLevel="0" collapsed="false">
      <c r="A10" s="4" t="s">
        <v>287</v>
      </c>
      <c r="B10" s="4" t="s">
        <v>461</v>
      </c>
      <c r="C10" s="4" t="n">
        <f aca="false">COUNTIF(Full_Backlog!F4:F103,"S6")</f>
        <v>13</v>
      </c>
      <c r="D10" s="4" t="n">
        <f aca="false">SUMIF(Full_Backlog!F4:F103,"S6",Full_Backlog!D4:D103)</f>
        <v>60</v>
      </c>
      <c r="E10" s="4" t="n">
        <f aca="false">COUNTIFS(Full_Backlog!F4:F103,"S6",Full_Backlog!G4:G103,"Done")</f>
        <v>11</v>
      </c>
      <c r="F10" s="4" t="s">
        <v>462</v>
      </c>
    </row>
    <row r="11" customFormat="false" ht="31.5" hidden="false" customHeight="true" outlineLevel="0" collapsed="false">
      <c r="A11" s="4" t="s">
        <v>351</v>
      </c>
      <c r="B11" s="4" t="s">
        <v>463</v>
      </c>
      <c r="C11" s="4" t="n">
        <f aca="false">COUNTIF(Full_Backlog!F4:F103,"S7")</f>
        <v>5</v>
      </c>
      <c r="D11" s="4" t="n">
        <f aca="false">SUMIF(Full_Backlog!F4:F103,"S7",Full_Backlog!D4:D103)</f>
        <v>15</v>
      </c>
      <c r="E11" s="4" t="n">
        <f aca="false">COUNTIFS(Full_Backlog!F4:F103,"S7",Full_Backlog!G4:G103,"Done")</f>
        <v>5</v>
      </c>
      <c r="F11" s="4" t="s">
        <v>464</v>
      </c>
    </row>
    <row r="12" customFormat="false" ht="31.5" hidden="false" customHeight="true" outlineLevel="0" collapsed="false">
      <c r="A12" s="4" t="s">
        <v>309</v>
      </c>
      <c r="B12" s="4" t="s">
        <v>465</v>
      </c>
      <c r="C12" s="4" t="n">
        <f aca="false">COUNTIF(Full_Backlog!F4:F103,"S8")</f>
        <v>22</v>
      </c>
      <c r="D12" s="4" t="n">
        <f aca="false">SUMIF(Full_Backlog!F4:F103,"S8",Full_Backlog!D4:D103)</f>
        <v>87</v>
      </c>
      <c r="E12" s="4" t="n">
        <f aca="false">COUNTIFS(Full_Backlog!F4:F103,"S8",Full_Backlog!G4:G103,"Done")</f>
        <v>18</v>
      </c>
      <c r="F12" s="4" t="s">
        <v>466</v>
      </c>
    </row>
    <row r="13" customFormat="false" ht="31.5" hidden="false" customHeight="true" outlineLevel="0" collapsed="false">
      <c r="A13" s="4" t="s">
        <v>369</v>
      </c>
      <c r="B13" s="4" t="s">
        <v>467</v>
      </c>
      <c r="C13" s="4" t="n">
        <f aca="false">COUNTIF(Full_Backlog!F4:F103,"S9")</f>
        <v>7</v>
      </c>
      <c r="D13" s="4" t="n">
        <f aca="false">SUMIF(Full_Backlog!F4:F103,"S9",Full_Backlog!D4:D103)</f>
        <v>30</v>
      </c>
      <c r="E13" s="4" t="n">
        <f aca="false">COUNTIFS(Full_Backlog!F4:F103,"S9",Full_Backlog!G4:G103,"Done")</f>
        <v>3</v>
      </c>
      <c r="F13" s="4" t="s">
        <v>468</v>
      </c>
    </row>
    <row r="14" customFormat="false" ht="31.5" hidden="false" customHeight="true" outlineLevel="0" collapsed="false">
      <c r="A14" s="4" t="s">
        <v>397</v>
      </c>
      <c r="B14" s="4" t="s">
        <v>469</v>
      </c>
      <c r="C14" s="4" t="n">
        <f aca="false">COUNTIF(Full_Backlog!F4:F103,"S10")</f>
        <v>7</v>
      </c>
      <c r="D14" s="4" t="n">
        <f aca="false">SUMIF(Full_Backlog!F4:F103,"S10",Full_Backlog!D4:D103)</f>
        <v>24</v>
      </c>
      <c r="E14" s="4" t="n">
        <f aca="false">COUNTIFS(Full_Backlog!F4:F103,"S10",Full_Backlog!G4:G103,"Done")</f>
        <v>3</v>
      </c>
      <c r="F14" s="4" t="s">
        <v>470</v>
      </c>
    </row>
    <row r="15" customFormat="false" ht="31.5" hidden="false" customHeight="true" outlineLevel="0" collapsed="false">
      <c r="A15" s="4" t="s">
        <v>402</v>
      </c>
      <c r="B15" s="4" t="s">
        <v>471</v>
      </c>
      <c r="C15" s="4" t="n">
        <f aca="false">COUNTIF(Full_Backlog!F4:F103,"S11")</f>
        <v>3</v>
      </c>
      <c r="D15" s="4" t="n">
        <f aca="false">SUMIF(Full_Backlog!F4:F103,"S11",Full_Backlog!D4:D103)</f>
        <v>8</v>
      </c>
      <c r="E15" s="4" t="n">
        <f aca="false">COUNTIFS(Full_Backlog!F4:F103,"S11",Full_Backlog!G4:G103,"Done")</f>
        <v>1</v>
      </c>
      <c r="F15" s="4" t="s">
        <v>472</v>
      </c>
    </row>
    <row r="16" customFormat="false" ht="31.5" hidden="false" customHeight="true" outlineLevel="0" collapsed="false">
      <c r="A16" s="4" t="s">
        <v>440</v>
      </c>
      <c r="B16" s="4" t="s">
        <v>473</v>
      </c>
      <c r="C16" s="4" t="n">
        <f aca="false">COUNTIF(Full_Backlog!F4:F103,"S12")</f>
        <v>1</v>
      </c>
      <c r="D16" s="4" t="n">
        <f aca="false">SUMIF(Full_Backlog!F4:F103,"S12",Full_Backlog!D4:D103)</f>
        <v>2</v>
      </c>
      <c r="E16" s="4" t="n">
        <f aca="false">COUNTIFS(Full_Backlog!F4:F103,"S12",Full_Backlog!G4:G103,"Done")</f>
        <v>0</v>
      </c>
      <c r="F16" s="4" t="s">
        <v>474</v>
      </c>
    </row>
    <row r="17" customFormat="false" ht="15" hidden="false" customHeight="true" outlineLevel="0" collapsed="false">
      <c r="B17" s="9" t="s">
        <v>475</v>
      </c>
      <c r="C17" s="9" t="n">
        <f aca="false">SUM(C4:C16)</f>
        <v>100</v>
      </c>
      <c r="D17" s="9" t="n">
        <f aca="false">SUM(D4:D16)</f>
        <v>399</v>
      </c>
      <c r="E17" s="9" t="n">
        <f aca="false">SUM(E4:E16)</f>
        <v>79</v>
      </c>
    </row>
    <row r="18" customFormat="false" ht="27.75" hidden="false" customHeight="true" outlineLevel="0" collapsed="false">
      <c r="B18" s="11" t="s">
        <v>476</v>
      </c>
      <c r="C18" s="11"/>
      <c r="D18" s="11"/>
      <c r="E18" s="11"/>
      <c r="F18" s="11"/>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 collapsed="false" customWidth="true" hidden="false" outlineLevel="0" max="19" min="2" style="1" width="11"/>
  </cols>
  <sheetData>
    <row r="1" customFormat="false" ht="17.25" hidden="false" customHeight="true" outlineLevel="0" collapsed="false">
      <c r="A1" s="2" t="s">
        <v>477</v>
      </c>
    </row>
    <row r="3" customFormat="false" ht="15" hidden="false" customHeight="true" outlineLevel="0" collapsed="false">
      <c r="A3" s="3" t="s">
        <v>478</v>
      </c>
      <c r="B3" s="3" t="s">
        <v>479</v>
      </c>
    </row>
    <row r="4" customFormat="false" ht="15" hidden="false" customHeight="true" outlineLevel="0" collapsed="false">
      <c r="A4" s="5" t="s">
        <v>480</v>
      </c>
      <c r="B4" s="5" t="n">
        <v>60</v>
      </c>
    </row>
    <row r="5" customFormat="false" ht="15" hidden="false" customHeight="true" outlineLevel="0" collapsed="false">
      <c r="A5" s="5" t="s">
        <v>481</v>
      </c>
      <c r="B5" s="5" t="n">
        <v>0.12</v>
      </c>
    </row>
    <row r="6" customFormat="false" ht="15" hidden="false" customHeight="true" outlineLevel="0" collapsed="false">
      <c r="A6" s="5" t="s">
        <v>482</v>
      </c>
      <c r="B6" s="5" t="n">
        <v>0.18</v>
      </c>
    </row>
    <row r="7" customFormat="false" ht="15" hidden="false" customHeight="true" outlineLevel="0" collapsed="false">
      <c r="A7" s="5" t="s">
        <v>483</v>
      </c>
      <c r="B7" s="5" t="n">
        <v>49</v>
      </c>
    </row>
    <row r="8" customFormat="false" ht="15" hidden="false" customHeight="true" outlineLevel="0" collapsed="false">
      <c r="A8" s="5" t="s">
        <v>484</v>
      </c>
      <c r="B8" s="5" t="n">
        <v>0.035</v>
      </c>
    </row>
    <row r="9" customFormat="false" ht="15" hidden="false" customHeight="true" outlineLevel="0" collapsed="false">
      <c r="A9" s="5" t="s">
        <v>485</v>
      </c>
      <c r="B9" s="5" t="n">
        <v>0</v>
      </c>
    </row>
    <row r="10" customFormat="false" ht="15" hidden="false" customHeight="true" outlineLevel="0" collapsed="false">
      <c r="A10" s="5" t="s">
        <v>486</v>
      </c>
      <c r="B10" s="5" t="n">
        <v>26000</v>
      </c>
    </row>
    <row r="11" customFormat="false" ht="15" hidden="false" customHeight="true" outlineLevel="0" collapsed="false">
      <c r="A11" s="5" t="s">
        <v>487</v>
      </c>
      <c r="B11" s="5" t="n">
        <v>0.03</v>
      </c>
    </row>
    <row r="12" customFormat="false" ht="15" hidden="false" customHeight="true" outlineLevel="0" collapsed="false">
      <c r="A12" s="7" t="s">
        <v>488</v>
      </c>
    </row>
    <row r="14" customFormat="false" ht="15" hidden="false" customHeight="true" outlineLevel="0" collapsed="false">
      <c r="A14" s="3" t="s">
        <v>489</v>
      </c>
      <c r="B14" s="3" t="s">
        <v>490</v>
      </c>
      <c r="C14" s="3" t="s">
        <v>491</v>
      </c>
      <c r="D14" s="3" t="s">
        <v>492</v>
      </c>
      <c r="E14" s="3" t="s">
        <v>493</v>
      </c>
      <c r="F14" s="3" t="s">
        <v>494</v>
      </c>
      <c r="G14" s="3" t="s">
        <v>495</v>
      </c>
      <c r="H14" s="3" t="s">
        <v>496</v>
      </c>
      <c r="I14" s="3" t="s">
        <v>497</v>
      </c>
      <c r="J14" s="3" t="s">
        <v>498</v>
      </c>
      <c r="K14" s="3" t="s">
        <v>499</v>
      </c>
      <c r="L14" s="3" t="s">
        <v>500</v>
      </c>
      <c r="M14" s="3" t="s">
        <v>501</v>
      </c>
      <c r="N14" s="3" t="s">
        <v>502</v>
      </c>
      <c r="O14" s="3" t="s">
        <v>503</v>
      </c>
      <c r="P14" s="3" t="s">
        <v>504</v>
      </c>
      <c r="Q14" s="3" t="s">
        <v>505</v>
      </c>
      <c r="R14" s="3" t="s">
        <v>506</v>
      </c>
      <c r="S14" s="3" t="s">
        <v>507</v>
      </c>
    </row>
    <row r="15" customFormat="false" ht="15" hidden="false" customHeight="true" outlineLevel="0" collapsed="false">
      <c r="A15" s="9" t="s">
        <v>508</v>
      </c>
      <c r="B15" s="6" t="n">
        <f aca="false">$B$4</f>
        <v>60</v>
      </c>
      <c r="C15" s="6" t="n">
        <f aca="false">B15*(1+$B$5)</f>
        <v>67.2</v>
      </c>
      <c r="D15" s="6" t="n">
        <f aca="false">C15*(1+$B$5)</f>
        <v>75.264</v>
      </c>
      <c r="E15" s="6" t="n">
        <f aca="false">D15*(1+$B$5)</f>
        <v>84.29568</v>
      </c>
      <c r="F15" s="6" t="n">
        <f aca="false">E15*(1+$B$5)</f>
        <v>94.4111616</v>
      </c>
      <c r="G15" s="6" t="n">
        <f aca="false">F15*(1+$B$5)</f>
        <v>105.740500992</v>
      </c>
      <c r="H15" s="6" t="n">
        <f aca="false">G15*(1+$B$5)</f>
        <v>118.42936111104</v>
      </c>
      <c r="I15" s="6" t="n">
        <f aca="false">H15*(1+$B$5)</f>
        <v>132.640884444365</v>
      </c>
      <c r="J15" s="6" t="n">
        <f aca="false">I15*(1+$B$5)</f>
        <v>148.557790577689</v>
      </c>
      <c r="K15" s="6" t="n">
        <f aca="false">J15*(1+$B$5)</f>
        <v>166.384725447011</v>
      </c>
      <c r="L15" s="6" t="n">
        <f aca="false">K15*(1+$B$5)</f>
        <v>186.350892500653</v>
      </c>
      <c r="M15" s="6" t="n">
        <f aca="false">L15*(1+$B$5)</f>
        <v>208.712999600731</v>
      </c>
      <c r="N15" s="6" t="n">
        <f aca="false">M15*(1+$B$5)</f>
        <v>233.758559552819</v>
      </c>
      <c r="O15" s="6" t="n">
        <f aca="false">N15*(1+$B$5)</f>
        <v>261.809586699157</v>
      </c>
      <c r="P15" s="6" t="n">
        <f aca="false">O15*(1+$B$5)</f>
        <v>293.226737103056</v>
      </c>
      <c r="Q15" s="6" t="n">
        <f aca="false">P15*(1+$B$5)</f>
        <v>328.413945555423</v>
      </c>
      <c r="R15" s="6" t="n">
        <f aca="false">Q15*(1+$B$5)</f>
        <v>367.823619022073</v>
      </c>
      <c r="S15" s="6" t="n">
        <f aca="false">R15*(1+$B$5)</f>
        <v>411.962453304722</v>
      </c>
    </row>
    <row r="16" customFormat="false" ht="15" hidden="false" customHeight="true" outlineLevel="0" collapsed="false">
      <c r="A16" s="9" t="s">
        <v>509</v>
      </c>
      <c r="B16" s="6" t="n">
        <f aca="false">ROUND(B15*$B$6,1)</f>
        <v>10.8</v>
      </c>
      <c r="C16" s="6" t="n">
        <f aca="false">ROUND(C15*$B$6,1)</f>
        <v>12.1</v>
      </c>
      <c r="D16" s="6" t="n">
        <f aca="false">ROUND(D15*$B$6,1)</f>
        <v>13.5</v>
      </c>
      <c r="E16" s="6" t="n">
        <f aca="false">ROUND(E15*$B$6,1)</f>
        <v>15.2</v>
      </c>
      <c r="F16" s="6" t="n">
        <f aca="false">ROUND(F15*$B$6,1)</f>
        <v>17</v>
      </c>
      <c r="G16" s="6" t="n">
        <f aca="false">ROUND(G15*$B$6,1)</f>
        <v>19</v>
      </c>
      <c r="H16" s="6" t="n">
        <f aca="false">ROUND(H15*$B$6,1)</f>
        <v>21.3</v>
      </c>
      <c r="I16" s="6" t="n">
        <f aca="false">ROUND(I15*$B$6,1)</f>
        <v>23.9</v>
      </c>
      <c r="J16" s="6" t="n">
        <f aca="false">ROUND(J15*$B$6,1)</f>
        <v>26.7</v>
      </c>
      <c r="K16" s="6" t="n">
        <f aca="false">ROUND(K15*$B$6,1)</f>
        <v>29.9</v>
      </c>
      <c r="L16" s="6" t="n">
        <f aca="false">ROUND(L15*$B$6,1)</f>
        <v>33.5</v>
      </c>
      <c r="M16" s="6" t="n">
        <f aca="false">ROUND(M15*$B$6,1)</f>
        <v>37.6</v>
      </c>
      <c r="N16" s="6" t="n">
        <f aca="false">ROUND(N15*$B$6,1)</f>
        <v>42.1</v>
      </c>
      <c r="O16" s="6" t="n">
        <f aca="false">ROUND(O15*$B$6,1)</f>
        <v>47.1</v>
      </c>
      <c r="P16" s="6" t="n">
        <f aca="false">ROUND(P15*$B$6,1)</f>
        <v>52.8</v>
      </c>
      <c r="Q16" s="6" t="n">
        <f aca="false">ROUND(Q15*$B$6,1)</f>
        <v>59.1</v>
      </c>
      <c r="R16" s="6" t="n">
        <f aca="false">ROUND(R15*$B$6,1)</f>
        <v>66.2</v>
      </c>
      <c r="S16" s="6" t="n">
        <f aca="false">ROUND(S15*$B$6,1)</f>
        <v>74.2</v>
      </c>
    </row>
    <row r="17" customFormat="false" ht="15" hidden="false" customHeight="true" outlineLevel="0" collapsed="false">
      <c r="A17" s="9" t="s">
        <v>510</v>
      </c>
      <c r="B17" s="6" t="n">
        <f aca="false">B16</f>
        <v>10.8</v>
      </c>
      <c r="C17" s="6" t="n">
        <f aca="false">ROUND(B17*(1-$B$8)+C16,1)</f>
        <v>22.5</v>
      </c>
      <c r="D17" s="6" t="n">
        <f aca="false">ROUND(C17*(1-$B$8)+D16,1)</f>
        <v>35.2</v>
      </c>
      <c r="E17" s="6" t="n">
        <f aca="false">ROUND(D17*(1-$B$8)+E16,1)</f>
        <v>49.2</v>
      </c>
      <c r="F17" s="6" t="n">
        <f aca="false">ROUND(E17*(1-$B$8)+F16,1)</f>
        <v>64.5</v>
      </c>
      <c r="G17" s="6" t="n">
        <f aca="false">ROUND(F17*(1-$B$8)+G16,1)</f>
        <v>81.2</v>
      </c>
      <c r="H17" s="6" t="n">
        <f aca="false">ROUND(G17*(1-$B$8)+H16,1)</f>
        <v>99.7</v>
      </c>
      <c r="I17" s="6" t="n">
        <f aca="false">ROUND(H17*(1-$B$8)+I16,1)</f>
        <v>120.1</v>
      </c>
      <c r="J17" s="6" t="n">
        <f aca="false">ROUND(I17*(1-$B$8)+J16,1)</f>
        <v>142.6</v>
      </c>
      <c r="K17" s="6" t="n">
        <f aca="false">ROUND(J17*(1-$B$8)+K16,1)</f>
        <v>167.5</v>
      </c>
      <c r="L17" s="6" t="n">
        <f aca="false">ROUND(K17*(1-$B$8)+L16,1)</f>
        <v>195.1</v>
      </c>
      <c r="M17" s="6" t="n">
        <f aca="false">ROUND(L17*(1-$B$8)+M16,1)</f>
        <v>225.9</v>
      </c>
      <c r="N17" s="6" t="n">
        <f aca="false">ROUND(M17*(1-$B$8)+N16,1)</f>
        <v>260.1</v>
      </c>
      <c r="O17" s="6" t="n">
        <f aca="false">ROUND(N17*(1-$B$8)+O16,1)</f>
        <v>298.1</v>
      </c>
      <c r="P17" s="6" t="n">
        <f aca="false">ROUND(O17*(1-$B$8)+P16,1)</f>
        <v>340.5</v>
      </c>
      <c r="Q17" s="6" t="n">
        <f aca="false">ROUND(P17*(1-$B$8)+Q16,1)</f>
        <v>387.7</v>
      </c>
      <c r="R17" s="6" t="n">
        <f aca="false">ROUND(Q17*(1-$B$8)+R16,1)</f>
        <v>440.3</v>
      </c>
      <c r="S17" s="6" t="n">
        <f aca="false">ROUND(R17*(1-$B$8)+S16,1)</f>
        <v>499.1</v>
      </c>
    </row>
    <row r="18" customFormat="false" ht="15" hidden="false" customHeight="true" outlineLevel="0" collapsed="false">
      <c r="A18" s="9" t="s">
        <v>511</v>
      </c>
      <c r="B18" s="6" t="n">
        <f aca="false">ROUND(B17*$B$7*(1-$B$9),0)</f>
        <v>529</v>
      </c>
      <c r="C18" s="6" t="n">
        <f aca="false">ROUND(C17*$B$7*(1-$B$9),0)</f>
        <v>1103</v>
      </c>
      <c r="D18" s="6" t="n">
        <f aca="false">ROUND(D17*$B$7*(1-$B$9),0)</f>
        <v>1725</v>
      </c>
      <c r="E18" s="6" t="n">
        <f aca="false">ROUND(E17*$B$7*(1-$B$9),0)</f>
        <v>2411</v>
      </c>
      <c r="F18" s="6" t="n">
        <f aca="false">ROUND(F17*$B$7*(1-$B$9),0)</f>
        <v>3161</v>
      </c>
      <c r="G18" s="6" t="n">
        <f aca="false">ROUND(G17*$B$7*(1-$B$9),0)</f>
        <v>3979</v>
      </c>
      <c r="H18" s="6" t="n">
        <f aca="false">ROUND(H17*$B$7*(1-$B$9),0)</f>
        <v>4885</v>
      </c>
      <c r="I18" s="6" t="n">
        <f aca="false">ROUND(I17*$B$7*(1-$B$9),0)</f>
        <v>5885</v>
      </c>
      <c r="J18" s="6" t="n">
        <f aca="false">ROUND(J17*$B$7*(1-$B$9),0)</f>
        <v>6987</v>
      </c>
      <c r="K18" s="6" t="n">
        <f aca="false">ROUND(K17*$B$7*(1-$B$9),0)</f>
        <v>8208</v>
      </c>
      <c r="L18" s="6" t="n">
        <f aca="false">ROUND(L17*$B$7*(1-$B$9),0)</f>
        <v>9560</v>
      </c>
      <c r="M18" s="6" t="n">
        <f aca="false">ROUND(M17*$B$7*(1-$B$9),0)</f>
        <v>11069</v>
      </c>
      <c r="N18" s="6" t="n">
        <f aca="false">ROUND(N17*$B$7*(1-$B$9),0)</f>
        <v>12745</v>
      </c>
      <c r="O18" s="6" t="n">
        <f aca="false">ROUND(O17*$B$7*(1-$B$9),0)</f>
        <v>14607</v>
      </c>
      <c r="P18" s="6" t="n">
        <f aca="false">ROUND(P17*$B$7*(1-$B$9),0)</f>
        <v>16685</v>
      </c>
      <c r="Q18" s="6" t="n">
        <f aca="false">ROUND(Q17*$B$7*(1-$B$9),0)</f>
        <v>18997</v>
      </c>
      <c r="R18" s="6" t="n">
        <f aca="false">ROUND(R17*$B$7*(1-$B$9),0)</f>
        <v>21575</v>
      </c>
      <c r="S18" s="6" t="n">
        <f aca="false">ROUND(S17*$B$7*(1-$B$9),0)</f>
        <v>24456</v>
      </c>
    </row>
    <row r="19" customFormat="false" ht="15" hidden="false" customHeight="true" outlineLevel="0" collapsed="false">
      <c r="A19" s="9" t="s">
        <v>512</v>
      </c>
      <c r="B19" s="6" t="n">
        <f aca="false">$B$10</f>
        <v>26000</v>
      </c>
      <c r="C19" s="6" t="n">
        <f aca="false">ROUND(B19*(1+$B$11),0)</f>
        <v>26780</v>
      </c>
      <c r="D19" s="6" t="n">
        <f aca="false">ROUND(C19*(1+$B$11),0)</f>
        <v>27583</v>
      </c>
      <c r="E19" s="6" t="n">
        <f aca="false">ROUND(D19*(1+$B$11),0)</f>
        <v>28410</v>
      </c>
      <c r="F19" s="6" t="n">
        <f aca="false">ROUND(E19*(1+$B$11),0)</f>
        <v>29262</v>
      </c>
      <c r="G19" s="6" t="n">
        <f aca="false">ROUND(F19*(1+$B$11),0)</f>
        <v>30140</v>
      </c>
      <c r="H19" s="6" t="n">
        <f aca="false">ROUND(G19*(1+$B$11),0)</f>
        <v>31044</v>
      </c>
      <c r="I19" s="6" t="n">
        <f aca="false">ROUND(H19*(1+$B$11),0)</f>
        <v>31975</v>
      </c>
      <c r="J19" s="6" t="n">
        <f aca="false">ROUND(I19*(1+$B$11),0)</f>
        <v>32934</v>
      </c>
      <c r="K19" s="6" t="n">
        <f aca="false">ROUND(J19*(1+$B$11),0)</f>
        <v>33922</v>
      </c>
      <c r="L19" s="6" t="n">
        <f aca="false">ROUND(K19*(1+$B$11),0)</f>
        <v>34940</v>
      </c>
      <c r="M19" s="6" t="n">
        <f aca="false">ROUND(L19*(1+$B$11),0)</f>
        <v>35988</v>
      </c>
      <c r="N19" s="6" t="n">
        <f aca="false">ROUND(M19*(1+$B$11),0)</f>
        <v>37068</v>
      </c>
      <c r="O19" s="6" t="n">
        <f aca="false">ROUND(N19*(1+$B$11),0)</f>
        <v>38180</v>
      </c>
      <c r="P19" s="6" t="n">
        <f aca="false">ROUND(O19*(1+$B$11),0)</f>
        <v>39325</v>
      </c>
      <c r="Q19" s="6" t="n">
        <f aca="false">ROUND(P19*(1+$B$11),0)</f>
        <v>40505</v>
      </c>
      <c r="R19" s="6" t="n">
        <f aca="false">ROUND(Q19*(1+$B$11),0)</f>
        <v>41720</v>
      </c>
      <c r="S19" s="6" t="n">
        <f aca="false">ROUND(R19*(1+$B$11),0)</f>
        <v>42972</v>
      </c>
    </row>
    <row r="20" customFormat="false" ht="15" hidden="false" customHeight="true" outlineLevel="0" collapsed="false">
      <c r="A20" s="9" t="s">
        <v>513</v>
      </c>
      <c r="B20" s="6" t="n">
        <f aca="false">B18-B19</f>
        <v>-25471</v>
      </c>
      <c r="C20" s="6" t="n">
        <f aca="false">C18-C19</f>
        <v>-25677</v>
      </c>
      <c r="D20" s="6" t="n">
        <f aca="false">D18-D19</f>
        <v>-25858</v>
      </c>
      <c r="E20" s="6" t="n">
        <f aca="false">E18-E19</f>
        <v>-25999</v>
      </c>
      <c r="F20" s="6" t="n">
        <f aca="false">F18-F19</f>
        <v>-26101</v>
      </c>
      <c r="G20" s="6" t="n">
        <f aca="false">G18-G19</f>
        <v>-26161</v>
      </c>
      <c r="H20" s="6" t="n">
        <f aca="false">H18-H19</f>
        <v>-26159</v>
      </c>
      <c r="I20" s="6" t="n">
        <f aca="false">I18-I19</f>
        <v>-26090</v>
      </c>
      <c r="J20" s="6" t="n">
        <f aca="false">J18-J19</f>
        <v>-25947</v>
      </c>
      <c r="K20" s="6" t="n">
        <f aca="false">K18-K19</f>
        <v>-25714</v>
      </c>
      <c r="L20" s="6" t="n">
        <f aca="false">L18-L19</f>
        <v>-25380</v>
      </c>
      <c r="M20" s="6" t="n">
        <f aca="false">M18-M19</f>
        <v>-24919</v>
      </c>
      <c r="N20" s="6" t="n">
        <f aca="false">N18-N19</f>
        <v>-24323</v>
      </c>
      <c r="O20" s="6" t="n">
        <f aca="false">O18-O19</f>
        <v>-23573</v>
      </c>
      <c r="P20" s="6" t="n">
        <f aca="false">P18-P19</f>
        <v>-22640</v>
      </c>
      <c r="Q20" s="6" t="n">
        <f aca="false">Q18-Q19</f>
        <v>-21508</v>
      </c>
      <c r="R20" s="6" t="n">
        <f aca="false">R18-R19</f>
        <v>-20145</v>
      </c>
      <c r="S20" s="6" t="n">
        <f aca="false">S18-S19</f>
        <v>-18516</v>
      </c>
    </row>
    <row r="21" customFormat="false" ht="15" hidden="false" customHeight="true" outlineLevel="0" collapsed="false">
      <c r="A21" s="9" t="s">
        <v>514</v>
      </c>
      <c r="B21" s="6" t="n">
        <f aca="false">B20</f>
        <v>-25471</v>
      </c>
      <c r="C21" s="6" t="n">
        <f aca="false">B21+C20</f>
        <v>-51148</v>
      </c>
      <c r="D21" s="6" t="n">
        <f aca="false">C21+D20</f>
        <v>-77006</v>
      </c>
      <c r="E21" s="6" t="n">
        <f aca="false">D21+E20</f>
        <v>-103005</v>
      </c>
      <c r="F21" s="6" t="n">
        <f aca="false">E21+F20</f>
        <v>-129106</v>
      </c>
      <c r="G21" s="6" t="n">
        <f aca="false">F21+G20</f>
        <v>-155267</v>
      </c>
      <c r="H21" s="6" t="n">
        <f aca="false">G21+H20</f>
        <v>-181426</v>
      </c>
      <c r="I21" s="6" t="n">
        <f aca="false">H21+I20</f>
        <v>-207516</v>
      </c>
      <c r="J21" s="6" t="n">
        <f aca="false">I21+J20</f>
        <v>-233463</v>
      </c>
      <c r="K21" s="6" t="n">
        <f aca="false">J21+K20</f>
        <v>-259177</v>
      </c>
      <c r="L21" s="6" t="n">
        <f aca="false">K21+L20</f>
        <v>-284557</v>
      </c>
      <c r="M21" s="6" t="n">
        <f aca="false">L21+M20</f>
        <v>-309476</v>
      </c>
      <c r="N21" s="6" t="n">
        <f aca="false">M21+N20</f>
        <v>-333799</v>
      </c>
      <c r="O21" s="6" t="n">
        <f aca="false">N21+O20</f>
        <v>-357372</v>
      </c>
      <c r="P21" s="6" t="n">
        <f aca="false">O21+P20</f>
        <v>-380012</v>
      </c>
      <c r="Q21" s="6" t="n">
        <f aca="false">P21+Q20</f>
        <v>-401520</v>
      </c>
      <c r="R21" s="6" t="n">
        <f aca="false">Q21+R20</f>
        <v>-421665</v>
      </c>
      <c r="S21" s="6" t="n">
        <f aca="false">R21+S20</f>
        <v>-440181</v>
      </c>
    </row>
    <row r="23" customFormat="false" ht="42" hidden="false" customHeight="true" outlineLevel="0" collapsed="false">
      <c r="A23" s="11" t="s">
        <v>515</v>
      </c>
      <c r="B23" s="11"/>
      <c r="C23" s="11"/>
      <c r="D23" s="11"/>
      <c r="E23" s="11"/>
      <c r="F23" s="11"/>
      <c r="G23" s="11"/>
      <c r="H23" s="11"/>
      <c r="I23" s="11"/>
      <c r="J23" s="11"/>
      <c r="K23" s="11"/>
      <c r="L23" s="11"/>
      <c r="M23" s="11"/>
      <c r="N23" s="11"/>
      <c r="O23" s="11"/>
      <c r="P23" s="11"/>
      <c r="Q23" s="11"/>
      <c r="R23" s="11"/>
      <c r="S23" s="11"/>
    </row>
    <row r="25" customFormat="false" ht="15" hidden="false" customHeight="true" outlineLevel="0" collapsed="false">
      <c r="A25" s="9" t="s">
        <v>516</v>
      </c>
    </row>
    <row r="26" customFormat="false" ht="34.5" hidden="false" customHeight="true" outlineLevel="0" collapsed="false">
      <c r="A26" s="7" t="s">
        <v>517</v>
      </c>
    </row>
    <row r="27" customFormat="false" ht="23.25" hidden="false" customHeight="true" outlineLevel="0" collapsed="false">
      <c r="A27" s="7" t="s">
        <v>518</v>
      </c>
    </row>
    <row r="28" customFormat="false" ht="23.25" hidden="false" customHeight="true" outlineLevel="0" collapsed="false">
      <c r="A28" s="7" t="s">
        <v>519</v>
      </c>
    </row>
    <row r="29" customFormat="false" ht="15" hidden="false" customHeight="true" outlineLevel="0" collapsed="false">
      <c r="A29" s="7" t="s">
        <v>520</v>
      </c>
    </row>
    <row r="30" customFormat="false" ht="15" hidden="false" customHeight="true" outlineLevel="0" collapsed="false">
      <c r="A30" s="7" t="s">
        <v>521</v>
      </c>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522</v>
      </c>
    </row>
    <row r="3" customFormat="false" ht="15" hidden="false" customHeight="true" outlineLevel="0" collapsed="false">
      <c r="A3" s="3" t="s">
        <v>523</v>
      </c>
      <c r="B3" s="3" t="s">
        <v>524</v>
      </c>
      <c r="C3" s="3" t="s">
        <v>525</v>
      </c>
      <c r="D3" s="3" t="s">
        <v>526</v>
      </c>
    </row>
    <row r="4" customFormat="false" ht="25.5" hidden="false" customHeight="true" outlineLevel="0" collapsed="false">
      <c r="A4" s="4" t="s">
        <v>527</v>
      </c>
      <c r="B4" s="4" t="s">
        <v>528</v>
      </c>
      <c r="C4" s="4" t="s">
        <v>529</v>
      </c>
      <c r="D4" s="4" t="s">
        <v>351</v>
      </c>
    </row>
    <row r="5" customFormat="false" ht="25.5" hidden="false" customHeight="true" outlineLevel="0" collapsed="false">
      <c r="A5" s="4" t="s">
        <v>527</v>
      </c>
      <c r="B5" s="4" t="s">
        <v>530</v>
      </c>
      <c r="C5" s="4" t="s">
        <v>531</v>
      </c>
      <c r="D5" s="4" t="s">
        <v>309</v>
      </c>
    </row>
    <row r="6" customFormat="false" ht="25.5" hidden="false" customHeight="true" outlineLevel="0" collapsed="false">
      <c r="A6" s="4" t="s">
        <v>527</v>
      </c>
      <c r="B6" s="4" t="s">
        <v>532</v>
      </c>
      <c r="C6" s="4" t="s">
        <v>529</v>
      </c>
      <c r="D6" s="4" t="s">
        <v>309</v>
      </c>
    </row>
    <row r="7" customFormat="false" ht="25.5" hidden="false" customHeight="true" outlineLevel="0" collapsed="false">
      <c r="A7" s="4" t="s">
        <v>527</v>
      </c>
      <c r="B7" s="4" t="s">
        <v>533</v>
      </c>
      <c r="C7" s="4" t="s">
        <v>531</v>
      </c>
      <c r="D7" s="4" t="s">
        <v>369</v>
      </c>
    </row>
    <row r="8" customFormat="false" ht="25.5" hidden="false" customHeight="true" outlineLevel="0" collapsed="false">
      <c r="A8" s="4" t="s">
        <v>527</v>
      </c>
      <c r="B8" s="4" t="s">
        <v>534</v>
      </c>
      <c r="C8" s="4" t="s">
        <v>535</v>
      </c>
      <c r="D8" s="4" t="s">
        <v>369</v>
      </c>
    </row>
    <row r="9" customFormat="false" ht="25.5" hidden="false" customHeight="true" outlineLevel="0" collapsed="false">
      <c r="A9" s="4" t="s">
        <v>471</v>
      </c>
      <c r="B9" s="4" t="s">
        <v>536</v>
      </c>
      <c r="C9" s="4" t="s">
        <v>531</v>
      </c>
      <c r="D9" s="4" t="s">
        <v>402</v>
      </c>
    </row>
    <row r="10" customFormat="false" ht="25.5" hidden="false" customHeight="true" outlineLevel="0" collapsed="false">
      <c r="A10" s="4" t="s">
        <v>471</v>
      </c>
      <c r="B10" s="4" t="s">
        <v>537</v>
      </c>
      <c r="C10" s="4" t="s">
        <v>529</v>
      </c>
      <c r="D10" s="4" t="s">
        <v>402</v>
      </c>
    </row>
    <row r="11" customFormat="false" ht="25.5" hidden="false" customHeight="true" outlineLevel="0" collapsed="false">
      <c r="A11" s="4" t="s">
        <v>471</v>
      </c>
      <c r="B11" s="4" t="s">
        <v>538</v>
      </c>
      <c r="C11" s="4" t="s">
        <v>529</v>
      </c>
      <c r="D11" s="4" t="s">
        <v>402</v>
      </c>
    </row>
    <row r="12" customFormat="false" ht="25.5" hidden="false" customHeight="true" outlineLevel="0" collapsed="false">
      <c r="A12" s="4" t="s">
        <v>471</v>
      </c>
      <c r="B12" s="4" t="s">
        <v>539</v>
      </c>
      <c r="C12" s="4" t="s">
        <v>540</v>
      </c>
      <c r="D12" s="4" t="s">
        <v>402</v>
      </c>
    </row>
    <row r="13" customFormat="false" ht="25.5" hidden="false" customHeight="true" outlineLevel="0" collapsed="false">
      <c r="A13" s="4" t="s">
        <v>541</v>
      </c>
      <c r="B13" s="4" t="s">
        <v>542</v>
      </c>
      <c r="C13" s="4" t="s">
        <v>531</v>
      </c>
      <c r="D13" s="4" t="s">
        <v>440</v>
      </c>
    </row>
    <row r="14" customFormat="false" ht="25.5" hidden="false" customHeight="true" outlineLevel="0" collapsed="false">
      <c r="A14" s="4" t="s">
        <v>541</v>
      </c>
      <c r="B14" s="4" t="s">
        <v>543</v>
      </c>
      <c r="C14" s="4" t="s">
        <v>531</v>
      </c>
      <c r="D14" s="4" t="s">
        <v>440</v>
      </c>
    </row>
    <row r="15" customFormat="false" ht="25.5" hidden="false" customHeight="true" outlineLevel="0" collapsed="false">
      <c r="A15" s="4" t="s">
        <v>541</v>
      </c>
      <c r="B15" s="4" t="s">
        <v>544</v>
      </c>
      <c r="C15" s="4" t="s">
        <v>529</v>
      </c>
      <c r="D15" s="4" t="s">
        <v>545</v>
      </c>
    </row>
    <row r="16" customFormat="false" ht="25.5" hidden="false" customHeight="true" outlineLevel="0" collapsed="false">
      <c r="A16" s="4" t="s">
        <v>541</v>
      </c>
      <c r="B16" s="4" t="s">
        <v>546</v>
      </c>
      <c r="C16" s="4" t="s">
        <v>531</v>
      </c>
      <c r="D16" s="4" t="s">
        <v>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58"/>
  </cols>
  <sheetData>
    <row r="1" customFormat="false" ht="17.25" hidden="false" customHeight="true" outlineLevel="0" collapsed="false">
      <c r="A1" s="2" t="s">
        <v>547</v>
      </c>
    </row>
    <row r="3" customFormat="false" ht="15" hidden="false" customHeight="true" outlineLevel="0" collapsed="false">
      <c r="A3" s="3" t="s">
        <v>173</v>
      </c>
      <c r="B3" s="3" t="s">
        <v>548</v>
      </c>
      <c r="C3" s="3" t="s">
        <v>5</v>
      </c>
    </row>
    <row r="4" customFormat="false" ht="25.5" hidden="false" customHeight="true" outlineLevel="0" collapsed="false">
      <c r="A4" s="4" t="n">
        <v>1</v>
      </c>
      <c r="B4" s="4" t="s">
        <v>549</v>
      </c>
      <c r="C4" s="4" t="s">
        <v>550</v>
      </c>
    </row>
    <row r="5" customFormat="false" ht="25.5" hidden="false" customHeight="true" outlineLevel="0" collapsed="false">
      <c r="A5" s="4" t="n">
        <v>2</v>
      </c>
      <c r="B5" s="4" t="s">
        <v>551</v>
      </c>
      <c r="C5" s="4" t="s">
        <v>552</v>
      </c>
    </row>
    <row r="6" customFormat="false" ht="25.5" hidden="false" customHeight="true" outlineLevel="0" collapsed="false">
      <c r="A6" s="4" t="n">
        <v>3</v>
      </c>
      <c r="B6" s="4" t="s">
        <v>553</v>
      </c>
      <c r="C6" s="4" t="s">
        <v>554</v>
      </c>
    </row>
    <row r="7" customFormat="false" ht="25.5" hidden="false" customHeight="true" outlineLevel="0" collapsed="false">
      <c r="A7" s="4" t="n">
        <v>4</v>
      </c>
      <c r="B7" s="4" t="s">
        <v>555</v>
      </c>
      <c r="C7" s="4" t="s">
        <v>556</v>
      </c>
    </row>
    <row r="8" customFormat="false" ht="25.5" hidden="false" customHeight="true" outlineLevel="0" collapsed="false">
      <c r="A8" s="4" t="n">
        <v>5</v>
      </c>
      <c r="B8" s="4" t="s">
        <v>557</v>
      </c>
      <c r="C8" s="4" t="s">
        <v>558</v>
      </c>
    </row>
    <row r="9" customFormat="false" ht="25.5" hidden="false" customHeight="true" outlineLevel="0" collapsed="false">
      <c r="A9" s="4" t="n">
        <v>6</v>
      </c>
      <c r="B9" s="4" t="s">
        <v>559</v>
      </c>
      <c r="C9" s="4" t="s">
        <v>560</v>
      </c>
    </row>
    <row r="10" customFormat="false" ht="25.5" hidden="false" customHeight="true" outlineLevel="0" collapsed="false">
      <c r="A10" s="4" t="n">
        <v>7</v>
      </c>
      <c r="B10" s="4" t="s">
        <v>561</v>
      </c>
      <c r="C10" s="4" t="s">
        <v>562</v>
      </c>
    </row>
    <row r="11" customFormat="false" ht="25.5" hidden="false" customHeight="true" outlineLevel="0" collapsed="false">
      <c r="A11" s="4" t="n">
        <v>8</v>
      </c>
      <c r="B11" s="4" t="s">
        <v>563</v>
      </c>
      <c r="C11" s="4" t="s">
        <v>564</v>
      </c>
    </row>
    <row r="12" customFormat="false" ht="25.5" hidden="false" customHeight="true" outlineLevel="0" collapsed="false">
      <c r="A12" s="4" t="n">
        <v>9</v>
      </c>
      <c r="B12" s="4" t="s">
        <v>565</v>
      </c>
      <c r="C12" s="4" t="s">
        <v>566</v>
      </c>
    </row>
    <row r="13" customFormat="false" ht="25.5" hidden="false" customHeight="true" outlineLevel="0" collapsed="false">
      <c r="A13" s="4" t="n">
        <v>10</v>
      </c>
      <c r="B13" s="4" t="s">
        <v>567</v>
      </c>
      <c r="C13" s="4" t="s">
        <v>568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60"/>
  </cols>
  <sheetData>
    <row r="1" customFormat="false" ht="17.25" hidden="false" customHeight="true" outlineLevel="0" collapsed="false">
      <c r="A1" s="2" t="s">
        <v>569</v>
      </c>
    </row>
    <row r="3" customFormat="false" ht="15" hidden="false" customHeight="true" outlineLevel="0" collapsed="false">
      <c r="A3" s="3" t="s">
        <v>570</v>
      </c>
      <c r="B3" s="3" t="s">
        <v>490</v>
      </c>
      <c r="C3" s="3" t="s">
        <v>492</v>
      </c>
      <c r="D3" s="3" t="s">
        <v>495</v>
      </c>
      <c r="E3" s="3" t="s">
        <v>501</v>
      </c>
      <c r="F3" s="3" t="s">
        <v>571</v>
      </c>
    </row>
    <row r="4" customFormat="false" ht="25.5" hidden="false" customHeight="true" outlineLevel="0" collapsed="false">
      <c r="A4" s="5" t="s">
        <v>572</v>
      </c>
      <c r="B4" s="5" t="s">
        <v>573</v>
      </c>
      <c r="C4" s="5" t="s">
        <v>574</v>
      </c>
      <c r="D4" s="5" t="s">
        <v>575</v>
      </c>
      <c r="E4" s="5" t="s">
        <v>576</v>
      </c>
      <c r="F4" s="5" t="s">
        <v>577</v>
      </c>
    </row>
    <row r="5" customFormat="false" ht="25.5" hidden="false" customHeight="true" outlineLevel="0" collapsed="false">
      <c r="A5" s="5" t="s">
        <v>578</v>
      </c>
      <c r="B5" s="5" t="s">
        <v>579</v>
      </c>
      <c r="C5" s="5" t="s">
        <v>580</v>
      </c>
      <c r="D5" s="5" t="s">
        <v>581</v>
      </c>
      <c r="E5" s="5" t="s">
        <v>582</v>
      </c>
      <c r="F5" s="5" t="s">
        <v>583</v>
      </c>
    </row>
    <row r="6" customFormat="false" ht="25.5" hidden="false" customHeight="true" outlineLevel="0" collapsed="false">
      <c r="A6" s="5" t="s">
        <v>584</v>
      </c>
      <c r="B6" s="5" t="s">
        <v>585</v>
      </c>
      <c r="C6" s="5" t="s">
        <v>586</v>
      </c>
      <c r="D6" s="5" t="s">
        <v>587</v>
      </c>
      <c r="E6" s="5" t="s">
        <v>588</v>
      </c>
      <c r="F6" s="5" t="s">
        <v>589</v>
      </c>
    </row>
    <row r="7" customFormat="false" ht="25.5" hidden="false" customHeight="true" outlineLevel="0" collapsed="false">
      <c r="A7" s="5" t="s">
        <v>590</v>
      </c>
      <c r="B7" s="5" t="s">
        <v>591</v>
      </c>
      <c r="C7" s="5" t="s">
        <v>592</v>
      </c>
      <c r="D7" s="5" t="s">
        <v>593</v>
      </c>
      <c r="E7" s="5" t="s">
        <v>593</v>
      </c>
      <c r="F7" s="5" t="s">
        <v>594</v>
      </c>
    </row>
    <row r="8" customFormat="false" ht="25.5" hidden="false" customHeight="true" outlineLevel="0" collapsed="false">
      <c r="A8" s="5" t="s">
        <v>595</v>
      </c>
      <c r="B8" s="5" t="s">
        <v>596</v>
      </c>
      <c r="C8" s="5" t="s">
        <v>597</v>
      </c>
      <c r="D8" s="5" t="s">
        <v>598</v>
      </c>
      <c r="E8" s="5" t="s">
        <v>599</v>
      </c>
      <c r="F8" s="5" t="s">
        <v>600</v>
      </c>
    </row>
    <row r="9" customFormat="false" ht="25.5" hidden="false" customHeight="true" outlineLevel="0" collapsed="false">
      <c r="A9" s="5" t="s">
        <v>601</v>
      </c>
      <c r="B9" s="5" t="s">
        <v>602</v>
      </c>
      <c r="C9" s="5" t="s">
        <v>603</v>
      </c>
      <c r="D9" s="5" t="s">
        <v>604</v>
      </c>
      <c r="E9" s="5" t="s">
        <v>604</v>
      </c>
      <c r="F9" s="5" t="s">
        <v>605</v>
      </c>
    </row>
    <row r="11" customFormat="false" ht="79.5" hidden="false" customHeight="true" outlineLevel="0" collapsed="false">
      <c r="A11" s="7" t="s">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607</v>
      </c>
    </row>
    <row r="3" customFormat="false" ht="15" hidden="false" customHeight="true" outlineLevel="0" collapsed="false">
      <c r="A3" s="3" t="s">
        <v>608</v>
      </c>
      <c r="B3" s="3" t="s">
        <v>609</v>
      </c>
      <c r="C3" s="3" t="s">
        <v>610</v>
      </c>
      <c r="D3" s="3" t="s">
        <v>611</v>
      </c>
    </row>
    <row r="4" customFormat="false" ht="30" hidden="false" customHeight="true" outlineLevel="0" collapsed="false">
      <c r="A4" s="4" t="s">
        <v>612</v>
      </c>
      <c r="B4" s="4" t="s">
        <v>613</v>
      </c>
      <c r="C4" s="4" t="s">
        <v>614</v>
      </c>
      <c r="D4" s="4" t="s">
        <v>615</v>
      </c>
    </row>
    <row r="5" customFormat="false" ht="30" hidden="false" customHeight="true" outlineLevel="0" collapsed="false">
      <c r="A5" s="4" t="s">
        <v>616</v>
      </c>
      <c r="B5" s="4" t="s">
        <v>614</v>
      </c>
      <c r="C5" s="4" t="s">
        <v>614</v>
      </c>
      <c r="D5" s="4" t="s">
        <v>617</v>
      </c>
    </row>
    <row r="6" customFormat="false" ht="30" hidden="false" customHeight="true" outlineLevel="0" collapsed="false">
      <c r="A6" s="4" t="s">
        <v>618</v>
      </c>
      <c r="B6" s="4" t="s">
        <v>614</v>
      </c>
      <c r="C6" s="4" t="s">
        <v>614</v>
      </c>
      <c r="D6" s="4" t="s">
        <v>619</v>
      </c>
    </row>
    <row r="7" customFormat="false" ht="147" hidden="false" customHeight="true" outlineLevel="0" collapsed="false">
      <c r="A7" s="6" t="s">
        <v>620</v>
      </c>
      <c r="B7" s="7" t="s">
        <v>621</v>
      </c>
      <c r="C7" s="6" t="s">
        <v>622</v>
      </c>
      <c r="D7" s="7" t="s">
        <v>623</v>
      </c>
    </row>
    <row r="8" customFormat="false" ht="281.25" hidden="false" customHeight="true" outlineLevel="0" collapsed="false">
      <c r="A8" s="6" t="s">
        <v>624</v>
      </c>
      <c r="B8" s="7" t="s">
        <v>625</v>
      </c>
      <c r="C8" s="6" t="s">
        <v>626</v>
      </c>
      <c r="D8" s="7" t="s">
        <v>627</v>
      </c>
    </row>
    <row r="9" customFormat="false" ht="213.75" hidden="false" customHeight="true" outlineLevel="0" collapsed="false">
      <c r="A9" s="6" t="s">
        <v>628</v>
      </c>
      <c r="B9" s="7" t="s">
        <v>629</v>
      </c>
      <c r="C9" s="6" t="s">
        <v>622</v>
      </c>
      <c r="D9" s="7" t="s">
        <v>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7"/>
    <col collapsed="false" customWidth="true" hidden="false" outlineLevel="0" max="3" min="3" style="1" width="8"/>
    <col collapsed="false" customWidth="true" hidden="false" outlineLevel="0" max="4" min="4" style="1" width="60"/>
    <col collapsed="false" customWidth="true" hidden="false" outlineLevel="0" max="5" min="5" style="1" width="34"/>
    <col collapsed="false" customWidth="true" hidden="false" outlineLevel="0" max="6" min="6" style="1" width="12"/>
    <col collapsed="false" customWidth="true" hidden="false" outlineLevel="0" max="7" min="7" style="1" width="22"/>
    <col collapsed="false" customWidth="true" hidden="false" outlineLevel="0" max="8" min="8" style="1" width="10"/>
    <col collapsed="false" customWidth="true" hidden="false" outlineLevel="0" max="9" min="9" style="1" width="40"/>
  </cols>
  <sheetData>
    <row r="1" customFormat="false" ht="17.25" hidden="false" customHeight="true" outlineLevel="0" collapsed="false">
      <c r="A1" s="2" t="s">
        <v>631</v>
      </c>
    </row>
    <row r="3" customFormat="false" ht="15" hidden="false" customHeight="true" outlineLevel="0" collapsed="false">
      <c r="A3" s="12" t="s">
        <v>173</v>
      </c>
      <c r="B3" s="12" t="s">
        <v>632</v>
      </c>
      <c r="C3" s="12" t="s">
        <v>211</v>
      </c>
      <c r="D3" s="12" t="s">
        <v>633</v>
      </c>
      <c r="E3" s="12" t="s">
        <v>634</v>
      </c>
      <c r="F3" s="12" t="s">
        <v>635</v>
      </c>
      <c r="G3" s="12" t="s">
        <v>636</v>
      </c>
      <c r="H3" s="12" t="s">
        <v>637</v>
      </c>
      <c r="I3" s="12" t="s">
        <v>638</v>
      </c>
    </row>
    <row r="4" customFormat="false" ht="34.5" hidden="false" customHeight="true" outlineLevel="0" collapsed="false">
      <c r="A4" s="6" t="n">
        <v>1</v>
      </c>
      <c r="B4" s="6" t="s">
        <v>15</v>
      </c>
      <c r="C4" s="6" t="s">
        <v>331</v>
      </c>
      <c r="D4" s="7" t="s">
        <v>639</v>
      </c>
      <c r="E4" s="7" t="s">
        <v>640</v>
      </c>
      <c r="F4" s="6" t="s">
        <v>641</v>
      </c>
      <c r="G4" s="6" t="s">
        <v>642</v>
      </c>
      <c r="H4" s="6" t="s">
        <v>643</v>
      </c>
      <c r="I4" s="7" t="s">
        <v>644</v>
      </c>
    </row>
    <row r="5" customFormat="false" ht="23.25" hidden="false" customHeight="true" outlineLevel="0" collapsed="false">
      <c r="A5" s="6" t="n">
        <v>2</v>
      </c>
      <c r="B5" s="6" t="s">
        <v>15</v>
      </c>
      <c r="C5" s="6" t="s">
        <v>216</v>
      </c>
      <c r="D5" s="7" t="s">
        <v>645</v>
      </c>
      <c r="E5" s="7" t="s">
        <v>646</v>
      </c>
      <c r="F5" s="6" t="s">
        <v>647</v>
      </c>
      <c r="G5" s="6" t="s">
        <v>648</v>
      </c>
      <c r="H5" s="6" t="s">
        <v>643</v>
      </c>
      <c r="I5" s="7" t="s">
        <v>649</v>
      </c>
    </row>
    <row r="6" customFormat="false" ht="23.25" hidden="false" customHeight="true" outlineLevel="0" collapsed="false">
      <c r="A6" s="6" t="n">
        <v>3</v>
      </c>
      <c r="B6" s="6" t="s">
        <v>15</v>
      </c>
      <c r="C6" s="6" t="s">
        <v>227</v>
      </c>
      <c r="D6" s="7" t="s">
        <v>650</v>
      </c>
      <c r="E6" s="7" t="s">
        <v>651</v>
      </c>
      <c r="F6" s="6" t="s">
        <v>652</v>
      </c>
      <c r="G6" s="6" t="s">
        <v>653</v>
      </c>
      <c r="H6" s="6" t="s">
        <v>643</v>
      </c>
      <c r="I6" s="7" t="s">
        <v>654</v>
      </c>
    </row>
    <row r="7" customFormat="false" ht="23.25" hidden="false" customHeight="true" outlineLevel="0" collapsed="false">
      <c r="A7" s="6" t="n">
        <v>4</v>
      </c>
      <c r="B7" s="6" t="s">
        <v>15</v>
      </c>
      <c r="C7" s="6" t="s">
        <v>251</v>
      </c>
      <c r="D7" s="7" t="s">
        <v>655</v>
      </c>
      <c r="E7" s="7" t="s">
        <v>656</v>
      </c>
      <c r="F7" s="6" t="s">
        <v>657</v>
      </c>
      <c r="G7" s="6" t="s">
        <v>658</v>
      </c>
      <c r="H7" s="6" t="s">
        <v>643</v>
      </c>
      <c r="I7" s="7" t="s">
        <v>659</v>
      </c>
    </row>
    <row r="8" customFormat="false" ht="23.25" hidden="false" customHeight="true" outlineLevel="0" collapsed="false">
      <c r="A8" s="6" t="n">
        <v>5</v>
      </c>
      <c r="B8" s="6" t="s">
        <v>15</v>
      </c>
      <c r="C8" s="6" t="s">
        <v>265</v>
      </c>
      <c r="D8" s="7" t="s">
        <v>660</v>
      </c>
      <c r="E8" s="7" t="s">
        <v>661</v>
      </c>
      <c r="F8" s="6" t="s">
        <v>662</v>
      </c>
      <c r="G8" s="6" t="s">
        <v>663</v>
      </c>
      <c r="H8" s="6" t="s">
        <v>643</v>
      </c>
      <c r="I8" s="7" t="s">
        <v>649</v>
      </c>
    </row>
    <row r="9" customFormat="false" ht="23.25" hidden="false" customHeight="true" outlineLevel="0" collapsed="false">
      <c r="A9" s="6" t="n">
        <v>6</v>
      </c>
      <c r="B9" s="6" t="s">
        <v>15</v>
      </c>
      <c r="C9" s="6" t="s">
        <v>287</v>
      </c>
      <c r="D9" s="7" t="s">
        <v>664</v>
      </c>
      <c r="E9" s="7" t="s">
        <v>665</v>
      </c>
      <c r="F9" s="6" t="s">
        <v>666</v>
      </c>
      <c r="G9" s="6" t="s">
        <v>667</v>
      </c>
      <c r="H9" s="6" t="s">
        <v>643</v>
      </c>
      <c r="I9" s="7" t="s">
        <v>668</v>
      </c>
    </row>
    <row r="10" customFormat="false" ht="34.5" hidden="false" customHeight="true" outlineLevel="0" collapsed="false">
      <c r="A10" s="6" t="n">
        <v>7</v>
      </c>
      <c r="B10" s="6" t="s">
        <v>15</v>
      </c>
      <c r="C10" s="6" t="s">
        <v>351</v>
      </c>
      <c r="D10" s="7" t="s">
        <v>669</v>
      </c>
      <c r="E10" s="7" t="s">
        <v>670</v>
      </c>
      <c r="F10" s="6" t="s">
        <v>671</v>
      </c>
      <c r="G10" s="6" t="s">
        <v>672</v>
      </c>
      <c r="H10" s="6" t="s">
        <v>643</v>
      </c>
      <c r="I10" s="7" t="s">
        <v>673</v>
      </c>
    </row>
    <row r="11" customFormat="false" ht="45.75" hidden="false" customHeight="true" outlineLevel="0" collapsed="false">
      <c r="A11" s="6" t="n">
        <v>8</v>
      </c>
      <c r="B11" s="6" t="s">
        <v>15</v>
      </c>
      <c r="C11" s="6" t="s">
        <v>309</v>
      </c>
      <c r="D11" s="7" t="s">
        <v>674</v>
      </c>
      <c r="E11" s="7" t="s">
        <v>675</v>
      </c>
      <c r="F11" s="6" t="s">
        <v>676</v>
      </c>
      <c r="G11" s="6" t="s">
        <v>677</v>
      </c>
      <c r="H11" s="6" t="s">
        <v>643</v>
      </c>
      <c r="I11" s="7" t="s">
        <v>678</v>
      </c>
    </row>
    <row r="12" customFormat="false" ht="34.5" hidden="false" customHeight="true" outlineLevel="0" collapsed="false">
      <c r="A12" s="6" t="n">
        <v>9</v>
      </c>
      <c r="B12" s="6" t="s">
        <v>15</v>
      </c>
      <c r="C12" s="6" t="s">
        <v>679</v>
      </c>
      <c r="D12" s="7" t="s">
        <v>680</v>
      </c>
      <c r="E12" s="7" t="s">
        <v>681</v>
      </c>
      <c r="F12" s="6" t="s">
        <v>682</v>
      </c>
      <c r="G12" s="6" t="s">
        <v>649</v>
      </c>
      <c r="H12" s="6" t="s">
        <v>649</v>
      </c>
      <c r="I12" s="7" t="s">
        <v>683</v>
      </c>
    </row>
    <row r="13" customFormat="false" ht="34.5" hidden="false" customHeight="true" outlineLevel="0" collapsed="false">
      <c r="A13" s="6" t="n">
        <v>10</v>
      </c>
      <c r="B13" s="6" t="s">
        <v>15</v>
      </c>
      <c r="C13" s="6" t="s">
        <v>684</v>
      </c>
      <c r="D13" s="7" t="s">
        <v>685</v>
      </c>
      <c r="E13" s="7" t="s">
        <v>686</v>
      </c>
      <c r="F13" s="6" t="s">
        <v>687</v>
      </c>
      <c r="G13" s="6" t="s">
        <v>688</v>
      </c>
      <c r="H13" s="6" t="s">
        <v>643</v>
      </c>
      <c r="I13" s="7" t="s">
        <v>689</v>
      </c>
    </row>
    <row r="14" customFormat="false" ht="34.5" hidden="false" customHeight="true" outlineLevel="0" collapsed="false">
      <c r="A14" s="6" t="n">
        <v>11</v>
      </c>
      <c r="B14" s="6" t="s">
        <v>18</v>
      </c>
      <c r="C14" s="6" t="s">
        <v>690</v>
      </c>
      <c r="D14" s="7" t="s">
        <v>691</v>
      </c>
      <c r="E14" s="7" t="s">
        <v>692</v>
      </c>
      <c r="F14" s="6" t="s">
        <v>649</v>
      </c>
      <c r="G14" s="6" t="s">
        <v>693</v>
      </c>
      <c r="H14" s="6" t="s">
        <v>643</v>
      </c>
      <c r="I14" s="7" t="s">
        <v>694</v>
      </c>
    </row>
    <row r="15" customFormat="false" ht="45.75" hidden="false" customHeight="true" outlineLevel="0" collapsed="false">
      <c r="A15" s="6" t="n">
        <v>12</v>
      </c>
      <c r="B15" s="6" t="s">
        <v>18</v>
      </c>
      <c r="C15" s="6" t="s">
        <v>690</v>
      </c>
      <c r="D15" s="7" t="s">
        <v>695</v>
      </c>
      <c r="E15" s="7" t="s">
        <v>696</v>
      </c>
      <c r="F15" s="6" t="s">
        <v>649</v>
      </c>
      <c r="G15" s="6" t="s">
        <v>649</v>
      </c>
      <c r="H15" s="6" t="s">
        <v>649</v>
      </c>
      <c r="I15" s="7" t="s">
        <v>697</v>
      </c>
    </row>
    <row r="16" customFormat="false" ht="34.5" hidden="false" customHeight="true" outlineLevel="0" collapsed="false">
      <c r="A16" s="6" t="n">
        <v>13</v>
      </c>
      <c r="B16" s="6" t="s">
        <v>18</v>
      </c>
      <c r="C16" s="6" t="s">
        <v>684</v>
      </c>
      <c r="D16" s="7" t="s">
        <v>698</v>
      </c>
      <c r="E16" s="7" t="s">
        <v>699</v>
      </c>
      <c r="F16" s="6" t="s">
        <v>687</v>
      </c>
      <c r="G16" s="6" t="s">
        <v>693</v>
      </c>
      <c r="H16" s="6" t="s">
        <v>643</v>
      </c>
      <c r="I16" s="7" t="s">
        <v>700</v>
      </c>
    </row>
    <row r="17" customFormat="false" ht="57" hidden="false" customHeight="true" outlineLevel="0" collapsed="false">
      <c r="A17" s="6" t="n">
        <v>14</v>
      </c>
      <c r="B17" s="6" t="s">
        <v>21</v>
      </c>
      <c r="C17" s="6" t="s">
        <v>701</v>
      </c>
      <c r="D17" s="7" t="s">
        <v>702</v>
      </c>
      <c r="E17" s="7" t="s">
        <v>703</v>
      </c>
      <c r="F17" s="6" t="s">
        <v>649</v>
      </c>
      <c r="G17" s="6" t="s">
        <v>704</v>
      </c>
      <c r="H17" s="6" t="s">
        <v>643</v>
      </c>
      <c r="I17" s="7" t="s">
        <v>705</v>
      </c>
    </row>
    <row r="18" customFormat="false" ht="34.5" hidden="false" customHeight="true" outlineLevel="0" collapsed="false">
      <c r="A18" s="6" t="n">
        <v>15</v>
      </c>
      <c r="B18" s="6" t="s">
        <v>21</v>
      </c>
      <c r="C18" s="6" t="s">
        <v>684</v>
      </c>
      <c r="D18" s="7" t="s">
        <v>706</v>
      </c>
      <c r="E18" s="7" t="s">
        <v>707</v>
      </c>
      <c r="F18" s="6" t="s">
        <v>687</v>
      </c>
      <c r="G18" s="6" t="s">
        <v>704</v>
      </c>
      <c r="H18" s="6" t="s">
        <v>643</v>
      </c>
      <c r="I18" s="7" t="s">
        <v>708</v>
      </c>
    </row>
    <row r="19" customFormat="false" ht="34.5" hidden="false" customHeight="true" outlineLevel="0" collapsed="false">
      <c r="A19" s="6" t="n">
        <v>16</v>
      </c>
      <c r="B19" s="6" t="s">
        <v>24</v>
      </c>
      <c r="C19" s="6" t="s">
        <v>709</v>
      </c>
      <c r="D19" s="7" t="s">
        <v>710</v>
      </c>
      <c r="E19" s="7" t="s">
        <v>711</v>
      </c>
      <c r="F19" s="6" t="s">
        <v>649</v>
      </c>
      <c r="G19" s="6" t="s">
        <v>712</v>
      </c>
      <c r="H19" s="6" t="s">
        <v>643</v>
      </c>
      <c r="I19" s="7" t="s">
        <v>713</v>
      </c>
    </row>
    <row r="20" customFormat="false" ht="23.25" hidden="false" customHeight="true" outlineLevel="0" collapsed="false">
      <c r="A20" s="6" t="n">
        <v>17</v>
      </c>
      <c r="B20" s="6" t="s">
        <v>24</v>
      </c>
      <c r="C20" s="6" t="s">
        <v>684</v>
      </c>
      <c r="D20" s="7" t="s">
        <v>714</v>
      </c>
      <c r="E20" s="7" t="s">
        <v>715</v>
      </c>
      <c r="F20" s="6" t="s">
        <v>687</v>
      </c>
      <c r="G20" s="6" t="s">
        <v>712</v>
      </c>
      <c r="H20" s="6" t="s">
        <v>643</v>
      </c>
      <c r="I20" s="7" t="s">
        <v>716</v>
      </c>
    </row>
    <row r="21" customFormat="false" ht="34.5" hidden="false" customHeight="true" outlineLevel="0" collapsed="false">
      <c r="A21" s="6" t="n">
        <v>18</v>
      </c>
      <c r="B21" s="6" t="s">
        <v>27</v>
      </c>
      <c r="C21" s="6" t="s">
        <v>717</v>
      </c>
      <c r="D21" s="7" t="s">
        <v>718</v>
      </c>
      <c r="E21" s="7" t="s">
        <v>719</v>
      </c>
      <c r="F21" s="6" t="s">
        <v>720</v>
      </c>
      <c r="G21" s="6" t="s">
        <v>721</v>
      </c>
      <c r="H21" s="6" t="s">
        <v>643</v>
      </c>
      <c r="I21" s="7" t="s">
        <v>722</v>
      </c>
    </row>
    <row r="22" customFormat="false" ht="23.25" hidden="false" customHeight="true" outlineLevel="0" collapsed="false">
      <c r="A22" s="6" t="n">
        <v>19</v>
      </c>
      <c r="B22" s="6" t="s">
        <v>27</v>
      </c>
      <c r="C22" s="6" t="s">
        <v>684</v>
      </c>
      <c r="D22" s="7" t="s">
        <v>723</v>
      </c>
      <c r="E22" s="7" t="s">
        <v>724</v>
      </c>
      <c r="F22" s="6" t="s">
        <v>725</v>
      </c>
      <c r="G22" s="6" t="s">
        <v>721</v>
      </c>
      <c r="H22" s="6" t="s">
        <v>643</v>
      </c>
      <c r="I22" s="7" t="s">
        <v>726</v>
      </c>
    </row>
    <row r="23" customFormat="false" ht="68.25" hidden="false" customHeight="true" outlineLevel="0" collapsed="false">
      <c r="A23" s="6" t="n">
        <v>20</v>
      </c>
      <c r="B23" s="6" t="s">
        <v>30</v>
      </c>
      <c r="C23" s="6" t="s">
        <v>727</v>
      </c>
      <c r="D23" s="7" t="s">
        <v>728</v>
      </c>
      <c r="E23" s="7" t="s">
        <v>729</v>
      </c>
      <c r="F23" s="6" t="s">
        <v>649</v>
      </c>
      <c r="G23" s="6" t="s">
        <v>730</v>
      </c>
      <c r="H23" s="6" t="s">
        <v>643</v>
      </c>
      <c r="I23" s="7" t="s">
        <v>731</v>
      </c>
    </row>
    <row r="24" customFormat="false" ht="45.75" hidden="false" customHeight="true" outlineLevel="0" collapsed="false">
      <c r="A24" s="6" t="n">
        <v>21</v>
      </c>
      <c r="B24" s="6" t="s">
        <v>30</v>
      </c>
      <c r="C24" s="6" t="s">
        <v>732</v>
      </c>
      <c r="D24" s="7" t="s">
        <v>733</v>
      </c>
      <c r="E24" s="7" t="s">
        <v>734</v>
      </c>
      <c r="F24" s="6" t="s">
        <v>735</v>
      </c>
      <c r="G24" s="6" t="s">
        <v>736</v>
      </c>
      <c r="H24" s="6" t="s">
        <v>643</v>
      </c>
      <c r="I24" s="7" t="s">
        <v>737</v>
      </c>
    </row>
    <row r="25" customFormat="false" ht="23.25" hidden="false" customHeight="true" outlineLevel="0" collapsed="false">
      <c r="A25" s="6" t="n">
        <v>22</v>
      </c>
      <c r="B25" s="6" t="s">
        <v>30</v>
      </c>
      <c r="C25" s="6" t="s">
        <v>684</v>
      </c>
      <c r="D25" s="7" t="s">
        <v>738</v>
      </c>
      <c r="E25" s="7" t="s">
        <v>739</v>
      </c>
      <c r="F25" s="6" t="s">
        <v>740</v>
      </c>
      <c r="G25" s="6" t="s">
        <v>736</v>
      </c>
      <c r="H25" s="6" t="s">
        <v>643</v>
      </c>
      <c r="I25" s="7" t="s">
        <v>741</v>
      </c>
    </row>
    <row r="26" customFormat="false" ht="45.75" hidden="false" customHeight="true" outlineLevel="0" collapsed="false">
      <c r="A26" s="6" t="n">
        <v>23</v>
      </c>
      <c r="B26" s="6" t="s">
        <v>33</v>
      </c>
      <c r="C26" s="6" t="s">
        <v>742</v>
      </c>
      <c r="D26" s="7" t="s">
        <v>743</v>
      </c>
      <c r="E26" s="7" t="s">
        <v>744</v>
      </c>
      <c r="F26" s="6" t="s">
        <v>649</v>
      </c>
      <c r="G26" s="6" t="s">
        <v>745</v>
      </c>
      <c r="H26" s="6" t="s">
        <v>643</v>
      </c>
      <c r="I26" s="7" t="s">
        <v>746</v>
      </c>
    </row>
    <row r="27" customFormat="false" ht="23.25" hidden="false" customHeight="true" outlineLevel="0" collapsed="false">
      <c r="A27" s="6" t="n">
        <v>24</v>
      </c>
      <c r="B27" s="6" t="s">
        <v>33</v>
      </c>
      <c r="C27" s="6" t="s">
        <v>684</v>
      </c>
      <c r="D27" s="7" t="s">
        <v>747</v>
      </c>
      <c r="E27" s="7" t="s">
        <v>748</v>
      </c>
      <c r="F27" s="6" t="s">
        <v>740</v>
      </c>
      <c r="G27" s="6" t="s">
        <v>745</v>
      </c>
      <c r="H27" s="6" t="s">
        <v>643</v>
      </c>
      <c r="I27" s="7" t="s">
        <v>749</v>
      </c>
    </row>
    <row r="28" customFormat="false" ht="57" hidden="false" customHeight="true" outlineLevel="0" collapsed="false">
      <c r="A28" s="6" t="n">
        <v>25</v>
      </c>
      <c r="B28" s="6" t="s">
        <v>36</v>
      </c>
      <c r="C28" s="6" t="s">
        <v>750</v>
      </c>
      <c r="D28" s="7" t="s">
        <v>751</v>
      </c>
      <c r="E28" s="7" t="s">
        <v>752</v>
      </c>
      <c r="F28" s="6" t="s">
        <v>649</v>
      </c>
      <c r="G28" s="6" t="s">
        <v>753</v>
      </c>
      <c r="H28" s="6" t="s">
        <v>643</v>
      </c>
      <c r="I28" s="7" t="s">
        <v>754</v>
      </c>
    </row>
    <row r="29" customFormat="false" ht="23.25" hidden="false" customHeight="true" outlineLevel="0" collapsed="false">
      <c r="A29" s="6" t="n">
        <v>26</v>
      </c>
      <c r="B29" s="6" t="s">
        <v>36</v>
      </c>
      <c r="C29" s="6" t="s">
        <v>684</v>
      </c>
      <c r="D29" s="7" t="s">
        <v>755</v>
      </c>
      <c r="E29" s="7" t="s">
        <v>748</v>
      </c>
      <c r="F29" s="6" t="s">
        <v>740</v>
      </c>
      <c r="G29" s="6" t="s">
        <v>753</v>
      </c>
      <c r="H29" s="6" t="s">
        <v>643</v>
      </c>
      <c r="I29" s="7" t="s">
        <v>756</v>
      </c>
    </row>
    <row r="30" customFormat="false" ht="68.25" hidden="false" customHeight="true" outlineLevel="0" collapsed="false">
      <c r="A30" s="6" t="n">
        <v>27</v>
      </c>
      <c r="B30" s="6" t="s">
        <v>39</v>
      </c>
      <c r="C30" s="6" t="s">
        <v>757</v>
      </c>
      <c r="D30" s="7" t="s">
        <v>758</v>
      </c>
      <c r="E30" s="7" t="s">
        <v>752</v>
      </c>
      <c r="F30" s="6" t="s">
        <v>649</v>
      </c>
      <c r="G30" s="6" t="s">
        <v>759</v>
      </c>
      <c r="H30" s="6" t="s">
        <v>643</v>
      </c>
      <c r="I30" s="7" t="s">
        <v>760</v>
      </c>
    </row>
    <row r="31" customFormat="false" ht="34.5" hidden="false" customHeight="true" outlineLevel="0" collapsed="false">
      <c r="A31" s="6" t="n">
        <v>28</v>
      </c>
      <c r="B31" s="6" t="s">
        <v>39</v>
      </c>
      <c r="C31" s="6" t="s">
        <v>684</v>
      </c>
      <c r="D31" s="7" t="s">
        <v>761</v>
      </c>
      <c r="E31" s="7" t="s">
        <v>748</v>
      </c>
      <c r="F31" s="6" t="s">
        <v>740</v>
      </c>
      <c r="G31" s="6" t="s">
        <v>759</v>
      </c>
      <c r="H31" s="6" t="s">
        <v>643</v>
      </c>
      <c r="I31" s="7" t="s">
        <v>762</v>
      </c>
    </row>
    <row r="32" customFormat="false" ht="68.25" hidden="false" customHeight="true" outlineLevel="0" collapsed="false">
      <c r="A32" s="6" t="n">
        <v>29</v>
      </c>
      <c r="B32" s="6" t="s">
        <v>42</v>
      </c>
      <c r="C32" s="6" t="s">
        <v>763</v>
      </c>
      <c r="D32" s="7" t="s">
        <v>764</v>
      </c>
      <c r="E32" s="7" t="s">
        <v>752</v>
      </c>
      <c r="F32" s="6" t="s">
        <v>649</v>
      </c>
      <c r="G32" s="6" t="s">
        <v>765</v>
      </c>
      <c r="H32" s="6" t="s">
        <v>643</v>
      </c>
      <c r="I32" s="7" t="s">
        <v>766</v>
      </c>
    </row>
    <row r="33" customFormat="false" ht="23.25" hidden="false" customHeight="true" outlineLevel="0" collapsed="false">
      <c r="A33" s="6" t="n">
        <v>30</v>
      </c>
      <c r="B33" s="6" t="s">
        <v>42</v>
      </c>
      <c r="C33" s="6" t="s">
        <v>684</v>
      </c>
      <c r="D33" s="7" t="s">
        <v>767</v>
      </c>
      <c r="E33" s="7" t="s">
        <v>748</v>
      </c>
      <c r="F33" s="6" t="s">
        <v>740</v>
      </c>
      <c r="G33" s="6" t="s">
        <v>765</v>
      </c>
      <c r="H33" s="6" t="s">
        <v>643</v>
      </c>
      <c r="I33" s="7" t="s">
        <v>762</v>
      </c>
    </row>
    <row r="34" customFormat="false" ht="57" hidden="false" customHeight="true" outlineLevel="0" collapsed="false">
      <c r="A34" s="6" t="n">
        <v>31</v>
      </c>
      <c r="B34" s="6" t="s">
        <v>45</v>
      </c>
      <c r="C34" s="6" t="s">
        <v>768</v>
      </c>
      <c r="D34" s="7" t="s">
        <v>769</v>
      </c>
      <c r="E34" s="7" t="s">
        <v>752</v>
      </c>
      <c r="F34" s="6" t="s">
        <v>649</v>
      </c>
      <c r="G34" s="6" t="s">
        <v>770</v>
      </c>
      <c r="H34" s="6" t="s">
        <v>643</v>
      </c>
      <c r="I34" s="7" t="s">
        <v>771</v>
      </c>
    </row>
    <row r="35" customFormat="false" ht="23.25" hidden="false" customHeight="true" outlineLevel="0" collapsed="false">
      <c r="A35" s="6" t="n">
        <v>32</v>
      </c>
      <c r="B35" s="6" t="s">
        <v>45</v>
      </c>
      <c r="C35" s="6" t="s">
        <v>684</v>
      </c>
      <c r="D35" s="7" t="s">
        <v>772</v>
      </c>
      <c r="E35" s="7" t="s">
        <v>748</v>
      </c>
      <c r="F35" s="6" t="s">
        <v>740</v>
      </c>
      <c r="G35" s="6" t="s">
        <v>770</v>
      </c>
      <c r="H35" s="6" t="s">
        <v>643</v>
      </c>
      <c r="I35" s="7" t="s">
        <v>762</v>
      </c>
    </row>
    <row r="36" customFormat="false" ht="79.5" hidden="false" customHeight="true" outlineLevel="0" collapsed="false">
      <c r="A36" s="6" t="n">
        <v>33</v>
      </c>
      <c r="B36" s="6" t="s">
        <v>48</v>
      </c>
      <c r="C36" s="6" t="s">
        <v>773</v>
      </c>
      <c r="D36" s="7" t="s">
        <v>774</v>
      </c>
      <c r="E36" s="7" t="s">
        <v>775</v>
      </c>
      <c r="F36" s="6" t="s">
        <v>649</v>
      </c>
      <c r="G36" s="6" t="s">
        <v>776</v>
      </c>
      <c r="H36" s="6" t="s">
        <v>643</v>
      </c>
      <c r="I36" s="7" t="s">
        <v>777</v>
      </c>
    </row>
    <row r="37" customFormat="false" ht="23.25" hidden="false" customHeight="true" outlineLevel="0" collapsed="false">
      <c r="A37" s="6" t="n">
        <v>34</v>
      </c>
      <c r="B37" s="6" t="s">
        <v>48</v>
      </c>
      <c r="C37" s="6" t="s">
        <v>684</v>
      </c>
      <c r="D37" s="7" t="s">
        <v>778</v>
      </c>
      <c r="E37" s="7" t="s">
        <v>748</v>
      </c>
      <c r="F37" s="6" t="s">
        <v>740</v>
      </c>
      <c r="G37" s="6" t="s">
        <v>776</v>
      </c>
      <c r="H37" s="6" t="s">
        <v>643</v>
      </c>
      <c r="I37" s="7" t="s">
        <v>762</v>
      </c>
    </row>
    <row r="38" customFormat="false" ht="57" hidden="false" customHeight="true" outlineLevel="0" collapsed="false">
      <c r="A38" s="6" t="n">
        <v>35</v>
      </c>
      <c r="B38" s="6" t="s">
        <v>51</v>
      </c>
      <c r="C38" s="6" t="s">
        <v>779</v>
      </c>
      <c r="D38" s="7" t="s">
        <v>780</v>
      </c>
      <c r="E38" s="7" t="s">
        <v>781</v>
      </c>
      <c r="F38" s="6" t="s">
        <v>649</v>
      </c>
      <c r="G38" s="6" t="s">
        <v>782</v>
      </c>
      <c r="H38" s="6" t="s">
        <v>643</v>
      </c>
      <c r="I38" s="7" t="s">
        <v>783</v>
      </c>
    </row>
    <row r="39" customFormat="false" ht="23.25" hidden="false" customHeight="true" outlineLevel="0" collapsed="false">
      <c r="A39" s="6" t="n">
        <v>36</v>
      </c>
      <c r="B39" s="6" t="s">
        <v>51</v>
      </c>
      <c r="C39" s="6" t="s">
        <v>684</v>
      </c>
      <c r="D39" s="7" t="s">
        <v>784</v>
      </c>
      <c r="E39" s="7" t="s">
        <v>748</v>
      </c>
      <c r="F39" s="6" t="s">
        <v>740</v>
      </c>
      <c r="G39" s="6" t="s">
        <v>782</v>
      </c>
      <c r="H39" s="6" t="s">
        <v>643</v>
      </c>
      <c r="I39" s="7" t="s">
        <v>762</v>
      </c>
    </row>
    <row r="40" customFormat="false" ht="45.75" hidden="false" customHeight="true" outlineLevel="0" collapsed="false">
      <c r="A40" s="6" t="n">
        <v>37</v>
      </c>
      <c r="B40" s="6" t="s">
        <v>54</v>
      </c>
      <c r="C40" s="6" t="s">
        <v>785</v>
      </c>
      <c r="D40" s="7" t="s">
        <v>786</v>
      </c>
      <c r="E40" s="7" t="s">
        <v>781</v>
      </c>
      <c r="F40" s="6" t="s">
        <v>649</v>
      </c>
      <c r="G40" s="6" t="s">
        <v>787</v>
      </c>
      <c r="H40" s="6" t="s">
        <v>643</v>
      </c>
      <c r="I40" s="7" t="s">
        <v>788</v>
      </c>
    </row>
    <row r="41" customFormat="false" ht="23.25" hidden="false" customHeight="true" outlineLevel="0" collapsed="false">
      <c r="A41" s="6" t="n">
        <v>38</v>
      </c>
      <c r="B41" s="6" t="s">
        <v>54</v>
      </c>
      <c r="C41" s="6" t="s">
        <v>684</v>
      </c>
      <c r="D41" s="7" t="s">
        <v>789</v>
      </c>
      <c r="E41" s="7" t="s">
        <v>748</v>
      </c>
      <c r="F41" s="6" t="s">
        <v>740</v>
      </c>
      <c r="G41" s="6" t="s">
        <v>787</v>
      </c>
      <c r="H41" s="6" t="s">
        <v>643</v>
      </c>
      <c r="I41" s="7" t="s">
        <v>762</v>
      </c>
    </row>
    <row r="42" customFormat="false" ht="68.25" hidden="false" customHeight="true" outlineLevel="0" collapsed="false">
      <c r="A42" s="6" t="n">
        <v>39</v>
      </c>
      <c r="B42" s="6" t="s">
        <v>57</v>
      </c>
      <c r="C42" s="6" t="s">
        <v>790</v>
      </c>
      <c r="D42" s="7" t="s">
        <v>791</v>
      </c>
      <c r="E42" s="7" t="s">
        <v>792</v>
      </c>
      <c r="F42" s="6" t="s">
        <v>649</v>
      </c>
      <c r="G42" s="6" t="s">
        <v>793</v>
      </c>
      <c r="H42" s="6" t="s">
        <v>643</v>
      </c>
      <c r="I42" s="7" t="s">
        <v>794</v>
      </c>
    </row>
    <row r="43" customFormat="false" ht="23.25" hidden="false" customHeight="true" outlineLevel="0" collapsed="false">
      <c r="A43" s="6" t="n">
        <v>40</v>
      </c>
      <c r="B43" s="6" t="s">
        <v>57</v>
      </c>
      <c r="C43" s="6" t="s">
        <v>684</v>
      </c>
      <c r="D43" s="7" t="s">
        <v>795</v>
      </c>
      <c r="E43" s="7" t="s">
        <v>748</v>
      </c>
      <c r="F43" s="6" t="s">
        <v>740</v>
      </c>
      <c r="G43" s="6" t="s">
        <v>787</v>
      </c>
      <c r="H43" s="6" t="s">
        <v>643</v>
      </c>
      <c r="I43" s="7" t="s">
        <v>762</v>
      </c>
    </row>
    <row r="44" customFormat="false" ht="45.75" hidden="false" customHeight="true" outlineLevel="0" collapsed="false">
      <c r="A44" s="6" t="n">
        <v>41</v>
      </c>
      <c r="B44" s="6" t="s">
        <v>60</v>
      </c>
      <c r="C44" s="6" t="s">
        <v>796</v>
      </c>
      <c r="D44" s="7" t="s">
        <v>797</v>
      </c>
      <c r="E44" s="7" t="s">
        <v>798</v>
      </c>
      <c r="F44" s="6" t="s">
        <v>649</v>
      </c>
      <c r="G44" s="6" t="s">
        <v>787</v>
      </c>
      <c r="H44" s="6" t="s">
        <v>643</v>
      </c>
      <c r="I44" s="7" t="s">
        <v>799</v>
      </c>
    </row>
    <row r="45" customFormat="false" ht="23.25" hidden="false" customHeight="true" outlineLevel="0" collapsed="false">
      <c r="A45" s="6" t="n">
        <v>42</v>
      </c>
      <c r="B45" s="6" t="s">
        <v>60</v>
      </c>
      <c r="C45" s="6" t="s">
        <v>684</v>
      </c>
      <c r="D45" s="7" t="s">
        <v>800</v>
      </c>
      <c r="E45" s="7" t="s">
        <v>748</v>
      </c>
      <c r="F45" s="6" t="s">
        <v>740</v>
      </c>
      <c r="G45" s="6" t="s">
        <v>787</v>
      </c>
      <c r="H45" s="6" t="s">
        <v>643</v>
      </c>
      <c r="I45" s="7" t="s">
        <v>801</v>
      </c>
    </row>
    <row r="46" customFormat="false" ht="57" hidden="false" customHeight="true" outlineLevel="0" collapsed="false">
      <c r="A46" s="6" t="n">
        <v>43</v>
      </c>
      <c r="B46" s="6" t="s">
        <v>63</v>
      </c>
      <c r="C46" s="6" t="s">
        <v>802</v>
      </c>
      <c r="D46" s="7" t="s">
        <v>803</v>
      </c>
      <c r="E46" s="7" t="s">
        <v>804</v>
      </c>
      <c r="F46" s="6" t="s">
        <v>649</v>
      </c>
      <c r="G46" s="6" t="s">
        <v>805</v>
      </c>
      <c r="H46" s="6" t="s">
        <v>643</v>
      </c>
      <c r="I46" s="7" t="s">
        <v>806</v>
      </c>
    </row>
    <row r="47" customFormat="false" ht="23.25" hidden="false" customHeight="true" outlineLevel="0" collapsed="false">
      <c r="A47" s="6" t="n">
        <v>44</v>
      </c>
      <c r="B47" s="6" t="s">
        <v>63</v>
      </c>
      <c r="C47" s="6" t="s">
        <v>684</v>
      </c>
      <c r="D47" s="7" t="s">
        <v>807</v>
      </c>
      <c r="E47" s="7" t="s">
        <v>748</v>
      </c>
      <c r="F47" s="6" t="s">
        <v>740</v>
      </c>
      <c r="G47" s="6" t="s">
        <v>805</v>
      </c>
      <c r="H47" s="6" t="s">
        <v>643</v>
      </c>
      <c r="I47" s="7" t="s">
        <v>801</v>
      </c>
    </row>
    <row r="48" customFormat="false" ht="57" hidden="false" customHeight="true" outlineLevel="0" collapsed="false">
      <c r="A48" s="6" t="n">
        <v>45</v>
      </c>
      <c r="B48" s="6" t="s">
        <v>66</v>
      </c>
      <c r="C48" s="6" t="s">
        <v>808</v>
      </c>
      <c r="D48" s="7" t="s">
        <v>809</v>
      </c>
      <c r="E48" s="7" t="s">
        <v>810</v>
      </c>
      <c r="F48" s="6" t="s">
        <v>649</v>
      </c>
      <c r="G48" s="6" t="s">
        <v>805</v>
      </c>
      <c r="H48" s="6" t="s">
        <v>643</v>
      </c>
      <c r="I48" s="7" t="s">
        <v>811</v>
      </c>
    </row>
    <row r="49" customFormat="false" ht="23.25" hidden="false" customHeight="true" outlineLevel="0" collapsed="false">
      <c r="A49" s="6" t="n">
        <v>46</v>
      </c>
      <c r="B49" s="6" t="s">
        <v>66</v>
      </c>
      <c r="C49" s="6" t="s">
        <v>684</v>
      </c>
      <c r="D49" s="7" t="s">
        <v>812</v>
      </c>
      <c r="E49" s="7" t="s">
        <v>748</v>
      </c>
      <c r="F49" s="6" t="s">
        <v>740</v>
      </c>
      <c r="G49" s="6" t="s">
        <v>805</v>
      </c>
      <c r="H49" s="6" t="s">
        <v>643</v>
      </c>
      <c r="I49" s="7" t="s">
        <v>801</v>
      </c>
    </row>
    <row r="50" customFormat="false" ht="57" hidden="false" customHeight="true" outlineLevel="0" collapsed="false">
      <c r="A50" s="6" t="n">
        <v>47</v>
      </c>
      <c r="B50" s="6" t="s">
        <v>69</v>
      </c>
      <c r="C50" s="6" t="s">
        <v>813</v>
      </c>
      <c r="D50" s="7" t="s">
        <v>814</v>
      </c>
      <c r="E50" s="7" t="s">
        <v>815</v>
      </c>
      <c r="F50" s="6" t="s">
        <v>649</v>
      </c>
      <c r="G50" s="6" t="s">
        <v>816</v>
      </c>
      <c r="H50" s="6" t="s">
        <v>643</v>
      </c>
      <c r="I50" s="7" t="s">
        <v>817</v>
      </c>
    </row>
    <row r="51" customFormat="false" ht="23.25" hidden="false" customHeight="true" outlineLevel="0" collapsed="false">
      <c r="A51" s="6" t="n">
        <v>48</v>
      </c>
      <c r="B51" s="6" t="s">
        <v>69</v>
      </c>
      <c r="C51" s="6" t="s">
        <v>684</v>
      </c>
      <c r="D51" s="7" t="s">
        <v>818</v>
      </c>
      <c r="E51" s="7" t="s">
        <v>748</v>
      </c>
      <c r="F51" s="6" t="s">
        <v>740</v>
      </c>
      <c r="G51" s="6" t="s">
        <v>816</v>
      </c>
      <c r="H51" s="6" t="s">
        <v>643</v>
      </c>
      <c r="I51" s="7" t="s">
        <v>801</v>
      </c>
    </row>
    <row r="52" customFormat="false" ht="57" hidden="false" customHeight="true" outlineLevel="0" collapsed="false">
      <c r="A52" s="6" t="n">
        <v>49</v>
      </c>
      <c r="B52" s="6" t="s">
        <v>72</v>
      </c>
      <c r="C52" s="6" t="s">
        <v>819</v>
      </c>
      <c r="D52" s="7" t="s">
        <v>820</v>
      </c>
      <c r="E52" s="7" t="s">
        <v>821</v>
      </c>
      <c r="F52" s="6" t="s">
        <v>649</v>
      </c>
      <c r="G52" s="6" t="s">
        <v>822</v>
      </c>
      <c r="H52" s="6" t="s">
        <v>643</v>
      </c>
      <c r="I52" s="7" t="s">
        <v>823</v>
      </c>
    </row>
    <row r="53" customFormat="false" ht="23.25" hidden="false" customHeight="true" outlineLevel="0" collapsed="false">
      <c r="A53" s="6" t="n">
        <v>50</v>
      </c>
      <c r="B53" s="6" t="s">
        <v>72</v>
      </c>
      <c r="C53" s="6" t="s">
        <v>684</v>
      </c>
      <c r="D53" s="7" t="s">
        <v>824</v>
      </c>
      <c r="E53" s="7" t="s">
        <v>748</v>
      </c>
      <c r="F53" s="6" t="s">
        <v>740</v>
      </c>
      <c r="G53" s="6" t="s">
        <v>822</v>
      </c>
      <c r="H53" s="6" t="s">
        <v>643</v>
      </c>
      <c r="I53" s="7" t="s">
        <v>801</v>
      </c>
    </row>
    <row r="54" customFormat="false" ht="57" hidden="false" customHeight="true" outlineLevel="0" collapsed="false">
      <c r="A54" s="6" t="n">
        <v>51</v>
      </c>
      <c r="B54" s="6" t="s">
        <v>75</v>
      </c>
      <c r="C54" s="6" t="s">
        <v>825</v>
      </c>
      <c r="D54" s="7" t="s">
        <v>826</v>
      </c>
      <c r="E54" s="7" t="s">
        <v>804</v>
      </c>
      <c r="F54" s="6" t="s">
        <v>649</v>
      </c>
      <c r="G54" s="6" t="s">
        <v>827</v>
      </c>
      <c r="H54" s="6" t="s">
        <v>643</v>
      </c>
      <c r="I54" s="7" t="s">
        <v>828</v>
      </c>
    </row>
    <row r="55" customFormat="false" ht="23.25" hidden="false" customHeight="true" outlineLevel="0" collapsed="false">
      <c r="A55" s="6" t="n">
        <v>52</v>
      </c>
      <c r="B55" s="6" t="s">
        <v>75</v>
      </c>
      <c r="C55" s="6" t="s">
        <v>684</v>
      </c>
      <c r="D55" s="7" t="s">
        <v>829</v>
      </c>
      <c r="E55" s="7" t="s">
        <v>748</v>
      </c>
      <c r="F55" s="6" t="s">
        <v>740</v>
      </c>
      <c r="G55" s="6" t="s">
        <v>827</v>
      </c>
      <c r="H55" s="6" t="s">
        <v>643</v>
      </c>
      <c r="I55" s="7" t="s">
        <v>830</v>
      </c>
    </row>
    <row r="56" customFormat="false" ht="45.75" hidden="false" customHeight="true" outlineLevel="0" collapsed="false">
      <c r="A56" s="6" t="n">
        <v>53</v>
      </c>
      <c r="B56" s="6" t="s">
        <v>78</v>
      </c>
      <c r="C56" s="6" t="s">
        <v>831</v>
      </c>
      <c r="D56" s="7" t="s">
        <v>832</v>
      </c>
      <c r="E56" s="7" t="s">
        <v>804</v>
      </c>
      <c r="F56" s="6" t="s">
        <v>649</v>
      </c>
      <c r="G56" s="6" t="s">
        <v>833</v>
      </c>
      <c r="H56" s="6" t="s">
        <v>643</v>
      </c>
      <c r="I56" s="7" t="s">
        <v>834</v>
      </c>
    </row>
    <row r="57" customFormat="false" ht="23.25" hidden="false" customHeight="true" outlineLevel="0" collapsed="false">
      <c r="A57" s="6" t="n">
        <v>54</v>
      </c>
      <c r="B57" s="6" t="s">
        <v>78</v>
      </c>
      <c r="C57" s="6" t="s">
        <v>684</v>
      </c>
      <c r="D57" s="7" t="s">
        <v>835</v>
      </c>
      <c r="E57" s="7" t="s">
        <v>748</v>
      </c>
      <c r="F57" s="6" t="s">
        <v>740</v>
      </c>
      <c r="G57" s="6" t="s">
        <v>833</v>
      </c>
      <c r="H57" s="6" t="s">
        <v>643</v>
      </c>
      <c r="I57" s="7" t="s">
        <v>801</v>
      </c>
    </row>
    <row r="58" customFormat="false" ht="57" hidden="false" customHeight="true" outlineLevel="0" collapsed="false">
      <c r="A58" s="6" t="n">
        <v>55</v>
      </c>
      <c r="B58" s="6" t="s">
        <v>81</v>
      </c>
      <c r="C58" s="6" t="s">
        <v>836</v>
      </c>
      <c r="D58" s="7" t="s">
        <v>837</v>
      </c>
      <c r="E58" s="7" t="s">
        <v>838</v>
      </c>
      <c r="F58" s="6" t="s">
        <v>649</v>
      </c>
      <c r="G58" s="6" t="s">
        <v>839</v>
      </c>
      <c r="H58" s="6" t="s">
        <v>643</v>
      </c>
      <c r="I58" s="7" t="s">
        <v>840</v>
      </c>
    </row>
    <row r="59" customFormat="false" ht="23.25" hidden="false" customHeight="true" outlineLevel="0" collapsed="false">
      <c r="A59" s="6" t="n">
        <v>56</v>
      </c>
      <c r="B59" s="6" t="s">
        <v>81</v>
      </c>
      <c r="C59" s="6" t="s">
        <v>684</v>
      </c>
      <c r="D59" s="7" t="s">
        <v>841</v>
      </c>
      <c r="E59" s="7" t="s">
        <v>748</v>
      </c>
      <c r="F59" s="6" t="s">
        <v>740</v>
      </c>
      <c r="G59" s="6" t="s">
        <v>839</v>
      </c>
      <c r="H59" s="6" t="s">
        <v>643</v>
      </c>
      <c r="I59" s="7" t="s">
        <v>801</v>
      </c>
    </row>
    <row r="60" customFormat="false" ht="57" hidden="false" customHeight="true" outlineLevel="0" collapsed="false">
      <c r="A60" s="6" t="n">
        <v>57</v>
      </c>
      <c r="B60" s="6" t="s">
        <v>84</v>
      </c>
      <c r="C60" s="6" t="s">
        <v>842</v>
      </c>
      <c r="D60" s="7" t="s">
        <v>843</v>
      </c>
      <c r="E60" s="7" t="s">
        <v>844</v>
      </c>
      <c r="F60" s="6" t="s">
        <v>649</v>
      </c>
      <c r="G60" s="6" t="s">
        <v>845</v>
      </c>
      <c r="H60" s="6" t="s">
        <v>643</v>
      </c>
      <c r="I60" s="7" t="s">
        <v>846</v>
      </c>
    </row>
    <row r="61" customFormat="false" ht="23.25" hidden="false" customHeight="true" outlineLevel="0" collapsed="false">
      <c r="A61" s="6" t="n">
        <v>58</v>
      </c>
      <c r="B61" s="6" t="s">
        <v>84</v>
      </c>
      <c r="C61" s="6" t="s">
        <v>684</v>
      </c>
      <c r="D61" s="7" t="s">
        <v>847</v>
      </c>
      <c r="E61" s="7" t="s">
        <v>748</v>
      </c>
      <c r="F61" s="6" t="s">
        <v>740</v>
      </c>
      <c r="G61" s="6" t="s">
        <v>845</v>
      </c>
      <c r="H61" s="6" t="s">
        <v>643</v>
      </c>
      <c r="I61" s="7" t="s">
        <v>801</v>
      </c>
    </row>
    <row r="62" customFormat="false" ht="57" hidden="false" customHeight="true" outlineLevel="0" collapsed="false">
      <c r="A62" s="6" t="n">
        <v>59</v>
      </c>
      <c r="B62" s="6" t="s">
        <v>87</v>
      </c>
      <c r="C62" s="6" t="s">
        <v>535</v>
      </c>
      <c r="D62" s="7" t="s">
        <v>848</v>
      </c>
      <c r="E62" s="7" t="s">
        <v>849</v>
      </c>
      <c r="F62" s="6" t="s">
        <v>649</v>
      </c>
      <c r="G62" s="6" t="s">
        <v>850</v>
      </c>
      <c r="H62" s="6" t="s">
        <v>643</v>
      </c>
      <c r="I62" s="7" t="s">
        <v>851</v>
      </c>
    </row>
    <row r="63" customFormat="false" ht="23.25" hidden="false" customHeight="true" outlineLevel="0" collapsed="false">
      <c r="A63" s="6" t="n">
        <v>60</v>
      </c>
      <c r="B63" s="6" t="s">
        <v>87</v>
      </c>
      <c r="C63" s="6" t="s">
        <v>684</v>
      </c>
      <c r="D63" s="7" t="s">
        <v>852</v>
      </c>
      <c r="E63" s="7" t="s">
        <v>748</v>
      </c>
      <c r="F63" s="6" t="s">
        <v>740</v>
      </c>
      <c r="G63" s="6" t="s">
        <v>850</v>
      </c>
      <c r="H63" s="6" t="s">
        <v>643</v>
      </c>
      <c r="I63" s="7" t="s">
        <v>801</v>
      </c>
    </row>
    <row r="64" customFormat="false" ht="45.75" hidden="false" customHeight="true" outlineLevel="0" collapsed="false">
      <c r="A64" s="6" t="n">
        <v>61</v>
      </c>
      <c r="B64" s="6" t="s">
        <v>90</v>
      </c>
      <c r="C64" s="6" t="s">
        <v>853</v>
      </c>
      <c r="D64" s="7" t="s">
        <v>854</v>
      </c>
      <c r="E64" s="7" t="s">
        <v>855</v>
      </c>
      <c r="F64" s="6" t="s">
        <v>649</v>
      </c>
      <c r="G64" s="6" t="s">
        <v>856</v>
      </c>
      <c r="H64" s="6" t="s">
        <v>643</v>
      </c>
      <c r="I64" s="7" t="s">
        <v>857</v>
      </c>
    </row>
    <row r="65" customFormat="false" ht="23.25" hidden="false" customHeight="true" outlineLevel="0" collapsed="false">
      <c r="A65" s="6" t="n">
        <v>62</v>
      </c>
      <c r="B65" s="6" t="s">
        <v>90</v>
      </c>
      <c r="C65" s="6" t="s">
        <v>684</v>
      </c>
      <c r="D65" s="7" t="s">
        <v>858</v>
      </c>
      <c r="E65" s="7" t="s">
        <v>748</v>
      </c>
      <c r="F65" s="6" t="s">
        <v>740</v>
      </c>
      <c r="G65" s="6" t="s">
        <v>856</v>
      </c>
      <c r="H65" s="6" t="s">
        <v>643</v>
      </c>
      <c r="I65" s="7" t="s">
        <v>801</v>
      </c>
    </row>
    <row r="66" customFormat="false" ht="68.25" hidden="false" customHeight="true" outlineLevel="0" collapsed="false">
      <c r="A66" s="6" t="n">
        <v>63</v>
      </c>
      <c r="B66" s="6" t="s">
        <v>93</v>
      </c>
      <c r="C66" s="6" t="s">
        <v>859</v>
      </c>
      <c r="D66" s="7" t="s">
        <v>860</v>
      </c>
      <c r="E66" s="7" t="s">
        <v>861</v>
      </c>
      <c r="F66" s="6" t="s">
        <v>649</v>
      </c>
      <c r="G66" s="6" t="s">
        <v>862</v>
      </c>
      <c r="H66" s="6" t="s">
        <v>643</v>
      </c>
      <c r="I66" s="7" t="s">
        <v>863</v>
      </c>
    </row>
    <row r="67" customFormat="false" ht="23.25" hidden="false" customHeight="true" outlineLevel="0" collapsed="false">
      <c r="A67" s="6" t="n">
        <v>64</v>
      </c>
      <c r="B67" s="6" t="s">
        <v>93</v>
      </c>
      <c r="C67" s="6" t="s">
        <v>684</v>
      </c>
      <c r="D67" s="7" t="s">
        <v>864</v>
      </c>
      <c r="E67" s="7" t="s">
        <v>748</v>
      </c>
      <c r="F67" s="6" t="s">
        <v>740</v>
      </c>
      <c r="G67" s="6" t="s">
        <v>862</v>
      </c>
      <c r="H67" s="6" t="s">
        <v>643</v>
      </c>
      <c r="I67" s="7" t="s">
        <v>865</v>
      </c>
    </row>
    <row r="68" customFormat="false" ht="45.75" hidden="false" customHeight="true" outlineLevel="0" collapsed="false">
      <c r="A68" s="6" t="n">
        <v>65</v>
      </c>
      <c r="B68" s="6" t="s">
        <v>96</v>
      </c>
      <c r="C68" s="6" t="s">
        <v>866</v>
      </c>
      <c r="D68" s="7" t="s">
        <v>867</v>
      </c>
      <c r="E68" s="7" t="s">
        <v>868</v>
      </c>
      <c r="F68" s="6" t="s">
        <v>649</v>
      </c>
      <c r="G68" s="6" t="s">
        <v>869</v>
      </c>
      <c r="H68" s="6" t="s">
        <v>643</v>
      </c>
      <c r="I68" s="7" t="s">
        <v>870</v>
      </c>
    </row>
    <row r="69" customFormat="false" ht="23.25" hidden="false" customHeight="true" outlineLevel="0" collapsed="false">
      <c r="A69" s="6" t="n">
        <v>66</v>
      </c>
      <c r="B69" s="6" t="s">
        <v>96</v>
      </c>
      <c r="C69" s="6" t="s">
        <v>684</v>
      </c>
      <c r="D69" s="7" t="s">
        <v>871</v>
      </c>
      <c r="E69" s="7" t="s">
        <v>748</v>
      </c>
      <c r="F69" s="6" t="s">
        <v>740</v>
      </c>
      <c r="G69" s="6" t="s">
        <v>869</v>
      </c>
      <c r="H69" s="6" t="s">
        <v>643</v>
      </c>
      <c r="I69" s="7" t="s">
        <v>865</v>
      </c>
    </row>
    <row r="70" customFormat="false" ht="57" hidden="false" customHeight="true" outlineLevel="0" collapsed="false">
      <c r="A70" s="6" t="n">
        <v>67</v>
      </c>
      <c r="B70" s="6" t="s">
        <v>99</v>
      </c>
      <c r="C70" s="6" t="s">
        <v>872</v>
      </c>
      <c r="D70" s="7" t="s">
        <v>873</v>
      </c>
      <c r="E70" s="7" t="s">
        <v>804</v>
      </c>
      <c r="F70" s="6" t="s">
        <v>649</v>
      </c>
      <c r="G70" s="6" t="s">
        <v>874</v>
      </c>
      <c r="H70" s="6" t="s">
        <v>643</v>
      </c>
      <c r="I70" s="7" t="s">
        <v>875</v>
      </c>
    </row>
    <row r="71" customFormat="false" ht="23.25" hidden="false" customHeight="true" outlineLevel="0" collapsed="false">
      <c r="A71" s="6" t="n">
        <v>68</v>
      </c>
      <c r="B71" s="6" t="s">
        <v>99</v>
      </c>
      <c r="C71" s="6" t="s">
        <v>684</v>
      </c>
      <c r="D71" s="7" t="s">
        <v>876</v>
      </c>
      <c r="E71" s="7" t="s">
        <v>748</v>
      </c>
      <c r="F71" s="6" t="s">
        <v>740</v>
      </c>
      <c r="G71" s="6" t="s">
        <v>874</v>
      </c>
      <c r="H71" s="6" t="s">
        <v>643</v>
      </c>
      <c r="I71" s="7" t="s">
        <v>865</v>
      </c>
    </row>
    <row r="72" customFormat="false" ht="57" hidden="false" customHeight="true" outlineLevel="0" collapsed="false">
      <c r="A72" s="6" t="n">
        <v>69</v>
      </c>
      <c r="B72" s="6" t="s">
        <v>102</v>
      </c>
      <c r="C72" s="6" t="s">
        <v>877</v>
      </c>
      <c r="D72" s="7" t="s">
        <v>878</v>
      </c>
      <c r="E72" s="7" t="s">
        <v>879</v>
      </c>
      <c r="F72" s="6" t="s">
        <v>649</v>
      </c>
      <c r="G72" s="6" t="s">
        <v>880</v>
      </c>
      <c r="H72" s="6" t="s">
        <v>643</v>
      </c>
      <c r="I72" s="7" t="s">
        <v>881</v>
      </c>
    </row>
    <row r="73" customFormat="false" ht="23.25" hidden="false" customHeight="true" outlineLevel="0" collapsed="false">
      <c r="A73" s="6" t="n">
        <v>70</v>
      </c>
      <c r="B73" s="6" t="s">
        <v>102</v>
      </c>
      <c r="C73" s="6" t="s">
        <v>684</v>
      </c>
      <c r="D73" s="7" t="s">
        <v>882</v>
      </c>
      <c r="E73" s="7" t="s">
        <v>748</v>
      </c>
      <c r="F73" s="6" t="s">
        <v>740</v>
      </c>
      <c r="G73" s="6" t="s">
        <v>880</v>
      </c>
      <c r="H73" s="6" t="s">
        <v>643</v>
      </c>
      <c r="I73" s="7" t="s">
        <v>865</v>
      </c>
    </row>
    <row r="74" customFormat="false" ht="45.75" hidden="false" customHeight="true" outlineLevel="0" collapsed="false">
      <c r="A74" s="6" t="n">
        <v>71</v>
      </c>
      <c r="B74" s="6" t="s">
        <v>105</v>
      </c>
      <c r="C74" s="6" t="s">
        <v>883</v>
      </c>
      <c r="D74" s="7" t="s">
        <v>884</v>
      </c>
      <c r="E74" s="7" t="s">
        <v>885</v>
      </c>
      <c r="F74" s="6" t="s">
        <v>649</v>
      </c>
      <c r="G74" s="6" t="s">
        <v>886</v>
      </c>
      <c r="H74" s="6" t="s">
        <v>643</v>
      </c>
      <c r="I74" s="7" t="s">
        <v>887</v>
      </c>
    </row>
    <row r="75" customFormat="false" ht="23.25" hidden="false" customHeight="true" outlineLevel="0" collapsed="false">
      <c r="A75" s="6" t="n">
        <v>72</v>
      </c>
      <c r="B75" s="6" t="s">
        <v>105</v>
      </c>
      <c r="C75" s="6" t="s">
        <v>684</v>
      </c>
      <c r="D75" s="7" t="s">
        <v>888</v>
      </c>
      <c r="E75" s="7" t="s">
        <v>748</v>
      </c>
      <c r="F75" s="6" t="s">
        <v>740</v>
      </c>
      <c r="G75" s="6" t="s">
        <v>886</v>
      </c>
      <c r="H75" s="6" t="s">
        <v>643</v>
      </c>
      <c r="I75" s="7" t="s">
        <v>865</v>
      </c>
    </row>
    <row r="76" customFormat="false" ht="57" hidden="false" customHeight="true" outlineLevel="0" collapsed="false">
      <c r="A76" s="6" t="n">
        <v>73</v>
      </c>
      <c r="B76" s="6" t="s">
        <v>108</v>
      </c>
      <c r="C76" s="6" t="s">
        <v>889</v>
      </c>
      <c r="D76" s="7" t="s">
        <v>890</v>
      </c>
      <c r="E76" s="7" t="s">
        <v>891</v>
      </c>
      <c r="F76" s="6" t="s">
        <v>649</v>
      </c>
      <c r="G76" s="6" t="s">
        <v>892</v>
      </c>
      <c r="H76" s="6" t="s">
        <v>643</v>
      </c>
      <c r="I76" s="7" t="s">
        <v>893</v>
      </c>
    </row>
    <row r="77" customFormat="false" ht="23.25" hidden="false" customHeight="true" outlineLevel="0" collapsed="false">
      <c r="A77" s="6" t="n">
        <v>74</v>
      </c>
      <c r="B77" s="6" t="s">
        <v>108</v>
      </c>
      <c r="C77" s="6" t="s">
        <v>684</v>
      </c>
      <c r="D77" s="7" t="s">
        <v>894</v>
      </c>
      <c r="E77" s="7" t="s">
        <v>748</v>
      </c>
      <c r="F77" s="6" t="s">
        <v>740</v>
      </c>
      <c r="G77" s="6" t="s">
        <v>892</v>
      </c>
      <c r="H77" s="6" t="s">
        <v>643</v>
      </c>
      <c r="I77" s="7" t="s">
        <v>865</v>
      </c>
    </row>
    <row r="78" customFormat="false" ht="57" hidden="false" customHeight="true" outlineLevel="0" collapsed="false">
      <c r="A78" s="6" t="n">
        <v>75</v>
      </c>
      <c r="B78" s="6" t="s">
        <v>111</v>
      </c>
      <c r="C78" s="6" t="s">
        <v>895</v>
      </c>
      <c r="D78" s="7" t="s">
        <v>896</v>
      </c>
      <c r="E78" s="7" t="s">
        <v>897</v>
      </c>
      <c r="F78" s="6" t="s">
        <v>649</v>
      </c>
      <c r="G78" s="6" t="s">
        <v>898</v>
      </c>
      <c r="H78" s="6" t="s">
        <v>643</v>
      </c>
      <c r="I78" s="7" t="s">
        <v>899</v>
      </c>
    </row>
    <row r="79" customFormat="false" ht="23.25" hidden="false" customHeight="true" outlineLevel="0" collapsed="false">
      <c r="A79" s="6" t="n">
        <v>76</v>
      </c>
      <c r="B79" s="6" t="s">
        <v>111</v>
      </c>
      <c r="C79" s="6" t="s">
        <v>684</v>
      </c>
      <c r="D79" s="7" t="s">
        <v>900</v>
      </c>
      <c r="E79" s="7" t="s">
        <v>748</v>
      </c>
      <c r="F79" s="6" t="s">
        <v>740</v>
      </c>
      <c r="G79" s="6" t="s">
        <v>898</v>
      </c>
      <c r="H79" s="6" t="s">
        <v>643</v>
      </c>
      <c r="I79" s="7" t="s">
        <v>901</v>
      </c>
    </row>
    <row r="80" customFormat="false" ht="57" hidden="false" customHeight="true" outlineLevel="0" collapsed="false">
      <c r="A80" s="6" t="n">
        <v>77</v>
      </c>
      <c r="B80" s="6" t="s">
        <v>114</v>
      </c>
      <c r="C80" s="6" t="s">
        <v>902</v>
      </c>
      <c r="D80" s="7" t="s">
        <v>903</v>
      </c>
      <c r="E80" s="7" t="s">
        <v>904</v>
      </c>
      <c r="F80" s="6" t="s">
        <v>649</v>
      </c>
      <c r="G80" s="6" t="s">
        <v>905</v>
      </c>
      <c r="H80" s="6" t="s">
        <v>643</v>
      </c>
      <c r="I80" s="7" t="s">
        <v>906</v>
      </c>
    </row>
    <row r="81" customFormat="false" ht="23.25" hidden="false" customHeight="true" outlineLevel="0" collapsed="false">
      <c r="A81" s="6" t="n">
        <v>78</v>
      </c>
      <c r="B81" s="6" t="s">
        <v>114</v>
      </c>
      <c r="C81" s="6" t="s">
        <v>684</v>
      </c>
      <c r="D81" s="7" t="s">
        <v>907</v>
      </c>
      <c r="E81" s="7" t="s">
        <v>748</v>
      </c>
      <c r="F81" s="6" t="s">
        <v>740</v>
      </c>
      <c r="G81" s="6" t="s">
        <v>905</v>
      </c>
      <c r="H81" s="6" t="s">
        <v>643</v>
      </c>
      <c r="I81" s="7" t="s">
        <v>901</v>
      </c>
    </row>
    <row r="82" customFormat="false" ht="45.75" hidden="false" customHeight="true" outlineLevel="0" collapsed="false">
      <c r="A82" s="6" t="n">
        <v>79</v>
      </c>
      <c r="B82" s="6" t="s">
        <v>117</v>
      </c>
      <c r="C82" s="6" t="s">
        <v>908</v>
      </c>
      <c r="D82" s="7" t="s">
        <v>909</v>
      </c>
      <c r="E82" s="7" t="s">
        <v>804</v>
      </c>
      <c r="F82" s="6" t="s">
        <v>649</v>
      </c>
      <c r="G82" s="6" t="s">
        <v>910</v>
      </c>
      <c r="H82" s="6" t="s">
        <v>643</v>
      </c>
      <c r="I82" s="7" t="s">
        <v>911</v>
      </c>
    </row>
    <row r="83" customFormat="false" ht="23.25" hidden="false" customHeight="true" outlineLevel="0" collapsed="false">
      <c r="A83" s="6" t="n">
        <v>80</v>
      </c>
      <c r="B83" s="6" t="s">
        <v>117</v>
      </c>
      <c r="C83" s="6" t="s">
        <v>684</v>
      </c>
      <c r="D83" s="7" t="s">
        <v>912</v>
      </c>
      <c r="E83" s="7" t="s">
        <v>748</v>
      </c>
      <c r="F83" s="6" t="s">
        <v>740</v>
      </c>
      <c r="G83" s="6" t="s">
        <v>910</v>
      </c>
      <c r="H83" s="6" t="s">
        <v>643</v>
      </c>
      <c r="I83" s="7" t="s">
        <v>901</v>
      </c>
    </row>
    <row r="84" customFormat="false" ht="57" hidden="false" customHeight="true" outlineLevel="0" collapsed="false">
      <c r="A84" s="6" t="n">
        <v>81</v>
      </c>
      <c r="B84" s="6" t="s">
        <v>120</v>
      </c>
      <c r="C84" s="6" t="s">
        <v>913</v>
      </c>
      <c r="D84" s="7" t="s">
        <v>914</v>
      </c>
      <c r="E84" s="7" t="s">
        <v>804</v>
      </c>
      <c r="F84" s="6" t="s">
        <v>649</v>
      </c>
      <c r="G84" s="6" t="s">
        <v>915</v>
      </c>
      <c r="H84" s="6" t="s">
        <v>643</v>
      </c>
      <c r="I84" s="7" t="s">
        <v>916</v>
      </c>
    </row>
    <row r="85" customFormat="false" ht="23.25" hidden="false" customHeight="true" outlineLevel="0" collapsed="false">
      <c r="A85" s="6" t="n">
        <v>82</v>
      </c>
      <c r="B85" s="6" t="s">
        <v>120</v>
      </c>
      <c r="C85" s="6" t="s">
        <v>684</v>
      </c>
      <c r="D85" s="7" t="s">
        <v>917</v>
      </c>
      <c r="E85" s="7" t="s">
        <v>748</v>
      </c>
      <c r="F85" s="6" t="s">
        <v>740</v>
      </c>
      <c r="G85" s="6" t="s">
        <v>915</v>
      </c>
      <c r="H85" s="6" t="s">
        <v>643</v>
      </c>
      <c r="I85" s="7" t="s">
        <v>901</v>
      </c>
    </row>
    <row r="86" customFormat="false" ht="57" hidden="false" customHeight="true" outlineLevel="0" collapsed="false">
      <c r="A86" s="6" t="n">
        <v>83</v>
      </c>
      <c r="B86" s="6" t="s">
        <v>123</v>
      </c>
      <c r="C86" s="6" t="s">
        <v>918</v>
      </c>
      <c r="D86" s="7" t="s">
        <v>919</v>
      </c>
      <c r="E86" s="7" t="s">
        <v>804</v>
      </c>
      <c r="F86" s="6" t="s">
        <v>649</v>
      </c>
      <c r="G86" s="6" t="s">
        <v>920</v>
      </c>
      <c r="H86" s="6" t="s">
        <v>643</v>
      </c>
      <c r="I86" s="7" t="s">
        <v>921</v>
      </c>
    </row>
    <row r="87" customFormat="false" ht="23.25" hidden="false" customHeight="true" outlineLevel="0" collapsed="false">
      <c r="A87" s="6" t="n">
        <v>84</v>
      </c>
      <c r="B87" s="6" t="s">
        <v>123</v>
      </c>
      <c r="C87" s="6" t="s">
        <v>684</v>
      </c>
      <c r="D87" s="7" t="s">
        <v>922</v>
      </c>
      <c r="E87" s="7" t="s">
        <v>748</v>
      </c>
      <c r="F87" s="6" t="s">
        <v>740</v>
      </c>
      <c r="G87" s="6" t="s">
        <v>920</v>
      </c>
      <c r="H87" s="6" t="s">
        <v>643</v>
      </c>
      <c r="I87" s="7" t="s">
        <v>901</v>
      </c>
    </row>
    <row r="88" customFormat="false" ht="57" hidden="false" customHeight="true" outlineLevel="0" collapsed="false">
      <c r="A88" s="6" t="n">
        <v>85</v>
      </c>
      <c r="B88" s="6" t="s">
        <v>126</v>
      </c>
      <c r="C88" s="6" t="s">
        <v>923</v>
      </c>
      <c r="D88" s="7" t="s">
        <v>924</v>
      </c>
      <c r="E88" s="7" t="s">
        <v>804</v>
      </c>
      <c r="F88" s="6" t="s">
        <v>649</v>
      </c>
      <c r="G88" s="6" t="s">
        <v>920</v>
      </c>
      <c r="H88" s="6" t="s">
        <v>643</v>
      </c>
      <c r="I88" s="7" t="s">
        <v>925</v>
      </c>
    </row>
    <row r="89" customFormat="false" ht="23.25" hidden="false" customHeight="true" outlineLevel="0" collapsed="false">
      <c r="A89" s="6" t="n">
        <v>86</v>
      </c>
      <c r="B89" s="6" t="s">
        <v>126</v>
      </c>
      <c r="C89" s="6" t="s">
        <v>684</v>
      </c>
      <c r="D89" s="7" t="s">
        <v>926</v>
      </c>
      <c r="E89" s="7" t="s">
        <v>748</v>
      </c>
      <c r="F89" s="6" t="s">
        <v>740</v>
      </c>
      <c r="G89" s="6" t="s">
        <v>920</v>
      </c>
      <c r="H89" s="6" t="s">
        <v>643</v>
      </c>
      <c r="I89" s="7" t="s">
        <v>901</v>
      </c>
    </row>
    <row r="90" customFormat="false" ht="46.25" hidden="false" customHeight="false" outlineLevel="0" collapsed="false">
      <c r="A90" s="8" t="n">
        <v>87</v>
      </c>
      <c r="B90" s="8" t="s">
        <v>129</v>
      </c>
      <c r="C90" s="8" t="s">
        <v>927</v>
      </c>
      <c r="D90" s="7" t="s">
        <v>928</v>
      </c>
      <c r="E90" s="7" t="s">
        <v>804</v>
      </c>
      <c r="F90" s="8" t="s">
        <v>649</v>
      </c>
      <c r="G90" s="8" t="s">
        <v>929</v>
      </c>
      <c r="H90" s="8" t="s">
        <v>643</v>
      </c>
      <c r="I90" s="7" t="s">
        <v>930</v>
      </c>
    </row>
    <row r="91" customFormat="false" ht="23.85" hidden="false" customHeight="false" outlineLevel="0" collapsed="false">
      <c r="A91" s="8" t="n">
        <v>88</v>
      </c>
      <c r="B91" s="8" t="s">
        <v>129</v>
      </c>
      <c r="C91" s="8" t="s">
        <v>684</v>
      </c>
      <c r="D91" s="7" t="s">
        <v>931</v>
      </c>
      <c r="E91" s="7" t="s">
        <v>748</v>
      </c>
      <c r="F91" s="8" t="s">
        <v>740</v>
      </c>
      <c r="G91" s="8" t="s">
        <v>920</v>
      </c>
      <c r="H91" s="8" t="s">
        <v>643</v>
      </c>
      <c r="I91" s="7" t="s">
        <v>901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64"/>
    <col collapsed="false" customWidth="true" hidden="false" outlineLevel="0" max="4" min="4" style="1" width="30"/>
    <col collapsed="false" customWidth="true" hidden="false" outlineLevel="0" max="5" min="5" style="1" width="28"/>
    <col collapsed="false" customWidth="true" hidden="false" outlineLevel="0" max="6" min="6" style="1" width="30"/>
    <col collapsed="false" customWidth="true" hidden="false" outlineLevel="0" max="7" min="7" style="1" width="52"/>
  </cols>
  <sheetData>
    <row r="1" customFormat="false" ht="17.25" hidden="false" customHeight="true" outlineLevel="0" collapsed="false">
      <c r="A1" s="2" t="s">
        <v>932</v>
      </c>
    </row>
    <row r="3" customFormat="false" ht="15" hidden="false" customHeight="true" outlineLevel="0" collapsed="false">
      <c r="A3" s="12" t="s">
        <v>206</v>
      </c>
      <c r="B3" s="12" t="s">
        <v>207</v>
      </c>
      <c r="C3" s="12" t="s">
        <v>933</v>
      </c>
      <c r="D3" s="12" t="s">
        <v>934</v>
      </c>
      <c r="E3" s="12" t="s">
        <v>935</v>
      </c>
      <c r="F3" s="12" t="s">
        <v>5</v>
      </c>
      <c r="G3" s="12" t="s">
        <v>936</v>
      </c>
    </row>
    <row r="4" customFormat="false" ht="23.25" hidden="false" customHeight="true" outlineLevel="0" collapsed="false">
      <c r="A4" s="6" t="s">
        <v>212</v>
      </c>
      <c r="B4" s="6" t="s">
        <v>213</v>
      </c>
      <c r="C4" s="7" t="s">
        <v>214</v>
      </c>
      <c r="D4" s="6" t="s">
        <v>937</v>
      </c>
      <c r="E4" s="6" t="s">
        <v>938</v>
      </c>
      <c r="F4" s="6" t="s">
        <v>217</v>
      </c>
      <c r="G4" s="7" t="s">
        <v>939</v>
      </c>
    </row>
    <row r="5" customFormat="false" ht="23.25" hidden="false" customHeight="true" outlineLevel="0" collapsed="false">
      <c r="A5" s="6" t="s">
        <v>218</v>
      </c>
      <c r="B5" s="6" t="s">
        <v>213</v>
      </c>
      <c r="C5" s="7" t="s">
        <v>219</v>
      </c>
      <c r="D5" s="6" t="s">
        <v>937</v>
      </c>
      <c r="E5" s="6" t="s">
        <v>938</v>
      </c>
      <c r="F5" s="6" t="s">
        <v>217</v>
      </c>
      <c r="G5" s="7" t="s">
        <v>940</v>
      </c>
    </row>
    <row r="6" customFormat="false" ht="23.25" hidden="false" customHeight="true" outlineLevel="0" collapsed="false">
      <c r="A6" s="6" t="s">
        <v>220</v>
      </c>
      <c r="B6" s="6" t="s">
        <v>213</v>
      </c>
      <c r="C6" s="7" t="s">
        <v>941</v>
      </c>
      <c r="D6" s="6" t="s">
        <v>937</v>
      </c>
      <c r="E6" s="6" t="s">
        <v>938</v>
      </c>
      <c r="F6" s="6" t="s">
        <v>217</v>
      </c>
      <c r="G6" s="7" t="s">
        <v>942</v>
      </c>
    </row>
    <row r="7" customFormat="false" ht="23.25" hidden="false" customHeight="true" outlineLevel="0" collapsed="false">
      <c r="A7" s="6" t="s">
        <v>223</v>
      </c>
      <c r="B7" s="6" t="s">
        <v>213</v>
      </c>
      <c r="C7" s="7" t="s">
        <v>943</v>
      </c>
      <c r="D7" s="6" t="s">
        <v>944</v>
      </c>
      <c r="E7" s="6" t="s">
        <v>945</v>
      </c>
      <c r="F7" s="6" t="s">
        <v>217</v>
      </c>
      <c r="G7" s="7" t="s">
        <v>946</v>
      </c>
    </row>
    <row r="8" customFormat="false" ht="23.25" hidden="false" customHeight="true" outlineLevel="0" collapsed="false">
      <c r="A8" s="6" t="s">
        <v>225</v>
      </c>
      <c r="B8" s="6" t="s">
        <v>213</v>
      </c>
      <c r="C8" s="7" t="s">
        <v>947</v>
      </c>
      <c r="D8" s="6" t="s">
        <v>937</v>
      </c>
      <c r="E8" s="6" t="s">
        <v>938</v>
      </c>
      <c r="F8" s="6" t="s">
        <v>228</v>
      </c>
      <c r="G8" s="7" t="s">
        <v>948</v>
      </c>
    </row>
    <row r="9" customFormat="false" ht="23.25" hidden="false" customHeight="true" outlineLevel="0" collapsed="false">
      <c r="A9" s="6" t="s">
        <v>229</v>
      </c>
      <c r="B9" s="6" t="s">
        <v>213</v>
      </c>
      <c r="C9" s="7" t="s">
        <v>230</v>
      </c>
      <c r="D9" s="6" t="s">
        <v>937</v>
      </c>
      <c r="E9" s="6" t="s">
        <v>938</v>
      </c>
      <c r="F9" s="6" t="s">
        <v>217</v>
      </c>
      <c r="G9" s="7" t="s">
        <v>949</v>
      </c>
    </row>
    <row r="10" customFormat="false" ht="23.25" hidden="false" customHeight="true" outlineLevel="0" collapsed="false">
      <c r="A10" s="6" t="s">
        <v>231</v>
      </c>
      <c r="B10" s="6" t="s">
        <v>213</v>
      </c>
      <c r="C10" s="7" t="s">
        <v>232</v>
      </c>
      <c r="D10" s="6" t="s">
        <v>950</v>
      </c>
      <c r="E10" s="6" t="s">
        <v>951</v>
      </c>
      <c r="F10" s="6" t="s">
        <v>217</v>
      </c>
      <c r="G10" s="7" t="s">
        <v>952</v>
      </c>
    </row>
    <row r="11" customFormat="false" ht="23.25" hidden="false" customHeight="true" outlineLevel="0" collapsed="false">
      <c r="A11" s="6" t="s">
        <v>233</v>
      </c>
      <c r="B11" s="6" t="s">
        <v>213</v>
      </c>
      <c r="C11" s="7" t="s">
        <v>234</v>
      </c>
      <c r="D11" s="6" t="s">
        <v>937</v>
      </c>
      <c r="E11" s="6" t="s">
        <v>938</v>
      </c>
      <c r="F11" s="6" t="s">
        <v>217</v>
      </c>
      <c r="G11" s="7" t="s">
        <v>953</v>
      </c>
    </row>
    <row r="12" customFormat="false" ht="23.25" hidden="false" customHeight="true" outlineLevel="0" collapsed="false">
      <c r="A12" s="6" t="s">
        <v>236</v>
      </c>
      <c r="B12" s="6" t="s">
        <v>213</v>
      </c>
      <c r="C12" s="7" t="s">
        <v>954</v>
      </c>
      <c r="D12" s="6" t="s">
        <v>937</v>
      </c>
      <c r="E12" s="6" t="s">
        <v>938</v>
      </c>
      <c r="F12" s="6" t="s">
        <v>217</v>
      </c>
      <c r="G12" s="7" t="s">
        <v>955</v>
      </c>
    </row>
    <row r="13" customFormat="false" ht="23.25" hidden="false" customHeight="true" outlineLevel="0" collapsed="false">
      <c r="A13" s="6" t="s">
        <v>238</v>
      </c>
      <c r="B13" s="6" t="s">
        <v>213</v>
      </c>
      <c r="C13" s="7" t="s">
        <v>956</v>
      </c>
      <c r="D13" s="6" t="s">
        <v>957</v>
      </c>
      <c r="E13" s="6" t="s">
        <v>958</v>
      </c>
      <c r="F13" s="6" t="s">
        <v>217</v>
      </c>
      <c r="G13" s="7" t="s">
        <v>959</v>
      </c>
    </row>
    <row r="14" customFormat="false" ht="23.25" hidden="false" customHeight="true" outlineLevel="0" collapsed="false">
      <c r="A14" s="6" t="s">
        <v>240</v>
      </c>
      <c r="B14" s="6" t="s">
        <v>241</v>
      </c>
      <c r="C14" s="7" t="s">
        <v>960</v>
      </c>
      <c r="D14" s="6" t="s">
        <v>961</v>
      </c>
      <c r="E14" s="6" t="s">
        <v>962</v>
      </c>
      <c r="F14" s="6" t="s">
        <v>217</v>
      </c>
      <c r="G14" s="7" t="s">
        <v>963</v>
      </c>
    </row>
    <row r="15" customFormat="false" ht="23.25" hidden="false" customHeight="true" outlineLevel="0" collapsed="false">
      <c r="A15" s="6" t="s">
        <v>243</v>
      </c>
      <c r="B15" s="6" t="s">
        <v>241</v>
      </c>
      <c r="C15" s="7" t="s">
        <v>964</v>
      </c>
      <c r="D15" s="6" t="s">
        <v>961</v>
      </c>
      <c r="E15" s="6" t="s">
        <v>962</v>
      </c>
      <c r="F15" s="6" t="s">
        <v>217</v>
      </c>
      <c r="G15" s="7" t="s">
        <v>940</v>
      </c>
    </row>
    <row r="16" customFormat="false" ht="23.25" hidden="false" customHeight="true" outlineLevel="0" collapsed="false">
      <c r="A16" s="6" t="s">
        <v>245</v>
      </c>
      <c r="B16" s="6" t="s">
        <v>241</v>
      </c>
      <c r="C16" s="7" t="s">
        <v>965</v>
      </c>
      <c r="D16" s="6" t="s">
        <v>961</v>
      </c>
      <c r="E16" s="6" t="s">
        <v>962</v>
      </c>
      <c r="F16" s="6" t="s">
        <v>217</v>
      </c>
      <c r="G16" s="7" t="s">
        <v>942</v>
      </c>
    </row>
    <row r="17" customFormat="false" ht="23.25" hidden="false" customHeight="true" outlineLevel="0" collapsed="false">
      <c r="A17" s="6" t="s">
        <v>247</v>
      </c>
      <c r="B17" s="6" t="s">
        <v>241</v>
      </c>
      <c r="C17" s="7" t="s">
        <v>966</v>
      </c>
      <c r="D17" s="6" t="s">
        <v>967</v>
      </c>
      <c r="E17" s="6" t="s">
        <v>968</v>
      </c>
      <c r="F17" s="6" t="s">
        <v>217</v>
      </c>
      <c r="G17" s="7" t="s">
        <v>946</v>
      </c>
    </row>
    <row r="18" customFormat="false" ht="23.25" hidden="false" customHeight="true" outlineLevel="0" collapsed="false">
      <c r="A18" s="6" t="s">
        <v>249</v>
      </c>
      <c r="B18" s="6" t="s">
        <v>241</v>
      </c>
      <c r="C18" s="7" t="s">
        <v>969</v>
      </c>
      <c r="D18" s="6" t="s">
        <v>961</v>
      </c>
      <c r="E18" s="6" t="s">
        <v>962</v>
      </c>
      <c r="F18" s="6" t="s">
        <v>228</v>
      </c>
      <c r="G18" s="7" t="s">
        <v>948</v>
      </c>
    </row>
    <row r="19" customFormat="false" ht="23.25" hidden="false" customHeight="true" outlineLevel="0" collapsed="false">
      <c r="A19" s="6" t="s">
        <v>252</v>
      </c>
      <c r="B19" s="6" t="s">
        <v>241</v>
      </c>
      <c r="C19" s="7" t="s">
        <v>970</v>
      </c>
      <c r="D19" s="6" t="s">
        <v>961</v>
      </c>
      <c r="E19" s="6" t="s">
        <v>962</v>
      </c>
      <c r="F19" s="6" t="s">
        <v>217</v>
      </c>
      <c r="G19" s="7" t="s">
        <v>949</v>
      </c>
    </row>
    <row r="20" customFormat="false" ht="23.25" hidden="false" customHeight="true" outlineLevel="0" collapsed="false">
      <c r="A20" s="6" t="s">
        <v>254</v>
      </c>
      <c r="B20" s="6" t="s">
        <v>241</v>
      </c>
      <c r="C20" s="7" t="s">
        <v>255</v>
      </c>
      <c r="D20" s="6" t="s">
        <v>971</v>
      </c>
      <c r="E20" s="6" t="s">
        <v>951</v>
      </c>
      <c r="F20" s="6" t="s">
        <v>217</v>
      </c>
      <c r="G20" s="7" t="s">
        <v>952</v>
      </c>
    </row>
    <row r="21" customFormat="false" ht="23.25" hidden="false" customHeight="true" outlineLevel="0" collapsed="false">
      <c r="A21" s="6" t="s">
        <v>256</v>
      </c>
      <c r="B21" s="6" t="s">
        <v>241</v>
      </c>
      <c r="C21" s="7" t="s">
        <v>257</v>
      </c>
      <c r="D21" s="6" t="s">
        <v>961</v>
      </c>
      <c r="E21" s="6" t="s">
        <v>962</v>
      </c>
      <c r="F21" s="6" t="s">
        <v>217</v>
      </c>
      <c r="G21" s="7" t="s">
        <v>953</v>
      </c>
    </row>
    <row r="22" customFormat="false" ht="23.25" hidden="false" customHeight="true" outlineLevel="0" collapsed="false">
      <c r="A22" s="6" t="s">
        <v>258</v>
      </c>
      <c r="B22" s="6" t="s">
        <v>241</v>
      </c>
      <c r="C22" s="7" t="s">
        <v>972</v>
      </c>
      <c r="D22" s="6" t="s">
        <v>961</v>
      </c>
      <c r="E22" s="6" t="s">
        <v>962</v>
      </c>
      <c r="F22" s="6" t="s">
        <v>217</v>
      </c>
      <c r="G22" s="7" t="s">
        <v>973</v>
      </c>
    </row>
    <row r="23" customFormat="false" ht="23.25" hidden="false" customHeight="true" outlineLevel="0" collapsed="false">
      <c r="A23" s="6" t="s">
        <v>260</v>
      </c>
      <c r="B23" s="6" t="s">
        <v>241</v>
      </c>
      <c r="C23" s="7" t="s">
        <v>974</v>
      </c>
      <c r="D23" s="6" t="s">
        <v>975</v>
      </c>
      <c r="E23" s="6" t="s">
        <v>958</v>
      </c>
      <c r="F23" s="6" t="s">
        <v>217</v>
      </c>
      <c r="G23" s="7" t="s">
        <v>959</v>
      </c>
    </row>
    <row r="24" customFormat="false" ht="23.25" hidden="false" customHeight="true" outlineLevel="0" collapsed="false">
      <c r="A24" s="6" t="s">
        <v>262</v>
      </c>
      <c r="B24" s="6" t="s">
        <v>263</v>
      </c>
      <c r="C24" s="7" t="s">
        <v>264</v>
      </c>
      <c r="D24" s="6" t="s">
        <v>976</v>
      </c>
      <c r="E24" s="6" t="s">
        <v>977</v>
      </c>
      <c r="F24" s="6" t="s">
        <v>217</v>
      </c>
      <c r="G24" s="7" t="s">
        <v>978</v>
      </c>
    </row>
    <row r="25" customFormat="false" ht="23.25" hidden="false" customHeight="true" outlineLevel="0" collapsed="false">
      <c r="A25" s="6" t="s">
        <v>266</v>
      </c>
      <c r="B25" s="6" t="s">
        <v>263</v>
      </c>
      <c r="C25" s="7" t="s">
        <v>267</v>
      </c>
      <c r="D25" s="6" t="s">
        <v>976</v>
      </c>
      <c r="E25" s="6" t="s">
        <v>977</v>
      </c>
      <c r="F25" s="6" t="s">
        <v>217</v>
      </c>
      <c r="G25" s="7" t="s">
        <v>940</v>
      </c>
    </row>
    <row r="26" customFormat="false" ht="23.25" hidden="false" customHeight="true" outlineLevel="0" collapsed="false">
      <c r="A26" s="6" t="s">
        <v>268</v>
      </c>
      <c r="B26" s="6" t="s">
        <v>263</v>
      </c>
      <c r="C26" s="7" t="s">
        <v>979</v>
      </c>
      <c r="D26" s="6" t="s">
        <v>976</v>
      </c>
      <c r="E26" s="6" t="s">
        <v>977</v>
      </c>
      <c r="F26" s="6" t="s">
        <v>217</v>
      </c>
      <c r="G26" s="7" t="s">
        <v>942</v>
      </c>
    </row>
    <row r="27" customFormat="false" ht="23.25" hidden="false" customHeight="true" outlineLevel="0" collapsed="false">
      <c r="A27" s="6" t="s">
        <v>270</v>
      </c>
      <c r="B27" s="6" t="s">
        <v>263</v>
      </c>
      <c r="C27" s="7" t="s">
        <v>980</v>
      </c>
      <c r="D27" s="6" t="s">
        <v>981</v>
      </c>
      <c r="E27" s="6" t="s">
        <v>982</v>
      </c>
      <c r="F27" s="6" t="s">
        <v>217</v>
      </c>
      <c r="G27" s="7" t="s">
        <v>946</v>
      </c>
    </row>
    <row r="28" customFormat="false" ht="23.25" hidden="false" customHeight="true" outlineLevel="0" collapsed="false">
      <c r="A28" s="6" t="s">
        <v>272</v>
      </c>
      <c r="B28" s="6" t="s">
        <v>263</v>
      </c>
      <c r="C28" s="7" t="s">
        <v>983</v>
      </c>
      <c r="D28" s="6" t="s">
        <v>976</v>
      </c>
      <c r="E28" s="6" t="s">
        <v>977</v>
      </c>
      <c r="F28" s="6" t="s">
        <v>228</v>
      </c>
      <c r="G28" s="7" t="s">
        <v>948</v>
      </c>
    </row>
    <row r="29" customFormat="false" ht="23.25" hidden="false" customHeight="true" outlineLevel="0" collapsed="false">
      <c r="A29" s="6" t="s">
        <v>274</v>
      </c>
      <c r="B29" s="6" t="s">
        <v>263</v>
      </c>
      <c r="C29" s="7" t="s">
        <v>275</v>
      </c>
      <c r="D29" s="6" t="s">
        <v>976</v>
      </c>
      <c r="E29" s="6" t="s">
        <v>977</v>
      </c>
      <c r="F29" s="6" t="s">
        <v>217</v>
      </c>
      <c r="G29" s="7" t="s">
        <v>949</v>
      </c>
    </row>
    <row r="30" customFormat="false" ht="15" hidden="false" customHeight="true" outlineLevel="0" collapsed="false">
      <c r="A30" s="6" t="s">
        <v>276</v>
      </c>
      <c r="B30" s="6" t="s">
        <v>263</v>
      </c>
      <c r="C30" s="7" t="s">
        <v>277</v>
      </c>
      <c r="D30" s="6" t="s">
        <v>984</v>
      </c>
      <c r="E30" s="6" t="s">
        <v>951</v>
      </c>
      <c r="F30" s="6" t="s">
        <v>217</v>
      </c>
      <c r="G30" s="7" t="s">
        <v>952</v>
      </c>
    </row>
    <row r="31" customFormat="false" ht="15" hidden="false" customHeight="true" outlineLevel="0" collapsed="false">
      <c r="A31" s="6" t="s">
        <v>278</v>
      </c>
      <c r="B31" s="6" t="s">
        <v>263</v>
      </c>
      <c r="C31" s="7" t="s">
        <v>279</v>
      </c>
      <c r="D31" s="6" t="s">
        <v>976</v>
      </c>
      <c r="E31" s="6" t="s">
        <v>977</v>
      </c>
      <c r="F31" s="6" t="s">
        <v>217</v>
      </c>
      <c r="G31" s="7" t="s">
        <v>953</v>
      </c>
    </row>
    <row r="32" customFormat="false" ht="23.25" hidden="false" customHeight="true" outlineLevel="0" collapsed="false">
      <c r="A32" s="6" t="s">
        <v>280</v>
      </c>
      <c r="B32" s="6" t="s">
        <v>263</v>
      </c>
      <c r="C32" s="7" t="s">
        <v>985</v>
      </c>
      <c r="D32" s="6" t="s">
        <v>976</v>
      </c>
      <c r="E32" s="6" t="s">
        <v>977</v>
      </c>
      <c r="F32" s="6" t="s">
        <v>217</v>
      </c>
      <c r="G32" s="7" t="s">
        <v>986</v>
      </c>
    </row>
    <row r="33" customFormat="false" ht="23.25" hidden="false" customHeight="true" outlineLevel="0" collapsed="false">
      <c r="A33" s="6" t="s">
        <v>282</v>
      </c>
      <c r="B33" s="6" t="s">
        <v>263</v>
      </c>
      <c r="C33" s="7" t="s">
        <v>987</v>
      </c>
      <c r="D33" s="6" t="s">
        <v>988</v>
      </c>
      <c r="E33" s="6" t="s">
        <v>958</v>
      </c>
      <c r="F33" s="6" t="s">
        <v>217</v>
      </c>
      <c r="G33" s="7" t="s">
        <v>959</v>
      </c>
    </row>
    <row r="34" customFormat="false" ht="23.25" hidden="false" customHeight="true" outlineLevel="0" collapsed="false">
      <c r="A34" s="6" t="s">
        <v>284</v>
      </c>
      <c r="B34" s="6" t="s">
        <v>285</v>
      </c>
      <c r="C34" s="7" t="s">
        <v>286</v>
      </c>
      <c r="D34" s="6" t="s">
        <v>989</v>
      </c>
      <c r="E34" s="6" t="s">
        <v>990</v>
      </c>
      <c r="F34" s="6" t="s">
        <v>217</v>
      </c>
      <c r="G34" s="7" t="s">
        <v>991</v>
      </c>
    </row>
    <row r="35" customFormat="false" ht="23.25" hidden="false" customHeight="true" outlineLevel="0" collapsed="false">
      <c r="A35" s="6" t="s">
        <v>288</v>
      </c>
      <c r="B35" s="6" t="s">
        <v>285</v>
      </c>
      <c r="C35" s="7" t="s">
        <v>289</v>
      </c>
      <c r="D35" s="6" t="s">
        <v>989</v>
      </c>
      <c r="E35" s="6" t="s">
        <v>990</v>
      </c>
      <c r="F35" s="6" t="s">
        <v>217</v>
      </c>
      <c r="G35" s="7" t="s">
        <v>940</v>
      </c>
    </row>
    <row r="36" customFormat="false" ht="23.25" hidden="false" customHeight="true" outlineLevel="0" collapsed="false">
      <c r="A36" s="6" t="s">
        <v>290</v>
      </c>
      <c r="B36" s="6" t="s">
        <v>285</v>
      </c>
      <c r="C36" s="7" t="s">
        <v>992</v>
      </c>
      <c r="D36" s="6" t="s">
        <v>989</v>
      </c>
      <c r="E36" s="6" t="s">
        <v>990</v>
      </c>
      <c r="F36" s="6" t="s">
        <v>217</v>
      </c>
      <c r="G36" s="7" t="s">
        <v>942</v>
      </c>
    </row>
    <row r="37" customFormat="false" ht="23.25" hidden="false" customHeight="true" outlineLevel="0" collapsed="false">
      <c r="A37" s="6" t="s">
        <v>292</v>
      </c>
      <c r="B37" s="6" t="s">
        <v>285</v>
      </c>
      <c r="C37" s="7" t="s">
        <v>993</v>
      </c>
      <c r="D37" s="6" t="s">
        <v>994</v>
      </c>
      <c r="E37" s="6" t="s">
        <v>995</v>
      </c>
      <c r="F37" s="6" t="s">
        <v>217</v>
      </c>
      <c r="G37" s="7" t="s">
        <v>946</v>
      </c>
    </row>
    <row r="38" customFormat="false" ht="23.25" hidden="false" customHeight="true" outlineLevel="0" collapsed="false">
      <c r="A38" s="6" t="s">
        <v>294</v>
      </c>
      <c r="B38" s="6" t="s">
        <v>285</v>
      </c>
      <c r="C38" s="7" t="s">
        <v>996</v>
      </c>
      <c r="D38" s="6" t="s">
        <v>989</v>
      </c>
      <c r="E38" s="6" t="s">
        <v>990</v>
      </c>
      <c r="F38" s="6" t="s">
        <v>228</v>
      </c>
      <c r="G38" s="7" t="s">
        <v>948</v>
      </c>
    </row>
    <row r="39" customFormat="false" ht="23.25" hidden="false" customHeight="true" outlineLevel="0" collapsed="false">
      <c r="A39" s="6" t="s">
        <v>296</v>
      </c>
      <c r="B39" s="6" t="s">
        <v>285</v>
      </c>
      <c r="C39" s="7" t="s">
        <v>297</v>
      </c>
      <c r="D39" s="6" t="s">
        <v>989</v>
      </c>
      <c r="E39" s="6" t="s">
        <v>990</v>
      </c>
      <c r="F39" s="6" t="s">
        <v>217</v>
      </c>
      <c r="G39" s="7" t="s">
        <v>949</v>
      </c>
    </row>
    <row r="40" customFormat="false" ht="15" hidden="false" customHeight="true" outlineLevel="0" collapsed="false">
      <c r="A40" s="6" t="s">
        <v>298</v>
      </c>
      <c r="B40" s="6" t="s">
        <v>285</v>
      </c>
      <c r="C40" s="7" t="s">
        <v>299</v>
      </c>
      <c r="D40" s="6" t="s">
        <v>997</v>
      </c>
      <c r="E40" s="6" t="s">
        <v>951</v>
      </c>
      <c r="F40" s="6" t="s">
        <v>217</v>
      </c>
      <c r="G40" s="7" t="s">
        <v>952</v>
      </c>
    </row>
    <row r="41" customFormat="false" ht="23.25" hidden="false" customHeight="true" outlineLevel="0" collapsed="false">
      <c r="A41" s="6" t="s">
        <v>300</v>
      </c>
      <c r="B41" s="6" t="s">
        <v>285</v>
      </c>
      <c r="C41" s="7" t="s">
        <v>301</v>
      </c>
      <c r="D41" s="6" t="s">
        <v>989</v>
      </c>
      <c r="E41" s="6" t="s">
        <v>990</v>
      </c>
      <c r="F41" s="6" t="s">
        <v>217</v>
      </c>
      <c r="G41" s="7" t="s">
        <v>953</v>
      </c>
    </row>
    <row r="42" customFormat="false" ht="23.25" hidden="false" customHeight="true" outlineLevel="0" collapsed="false">
      <c r="A42" s="6" t="s">
        <v>302</v>
      </c>
      <c r="B42" s="6" t="s">
        <v>285</v>
      </c>
      <c r="C42" s="7" t="s">
        <v>998</v>
      </c>
      <c r="D42" s="6" t="s">
        <v>989</v>
      </c>
      <c r="E42" s="6" t="s">
        <v>990</v>
      </c>
      <c r="F42" s="6" t="s">
        <v>217</v>
      </c>
      <c r="G42" s="7" t="s">
        <v>986</v>
      </c>
    </row>
    <row r="43" customFormat="false" ht="23.25" hidden="false" customHeight="true" outlineLevel="0" collapsed="false">
      <c r="A43" s="6" t="s">
        <v>304</v>
      </c>
      <c r="B43" s="6" t="s">
        <v>285</v>
      </c>
      <c r="C43" s="7" t="s">
        <v>999</v>
      </c>
      <c r="D43" s="6" t="s">
        <v>1000</v>
      </c>
      <c r="E43" s="6" t="s">
        <v>958</v>
      </c>
      <c r="F43" s="6" t="s">
        <v>217</v>
      </c>
      <c r="G43" s="7" t="s">
        <v>959</v>
      </c>
    </row>
    <row r="44" customFormat="false" ht="23.25" hidden="false" customHeight="true" outlineLevel="0" collapsed="false">
      <c r="A44" s="6" t="s">
        <v>306</v>
      </c>
      <c r="B44" s="6" t="s">
        <v>307</v>
      </c>
      <c r="C44" s="7" t="s">
        <v>1001</v>
      </c>
      <c r="D44" s="6" t="s">
        <v>1002</v>
      </c>
      <c r="E44" s="6" t="s">
        <v>1003</v>
      </c>
      <c r="F44" s="6" t="s">
        <v>217</v>
      </c>
      <c r="G44" s="7" t="s">
        <v>1004</v>
      </c>
    </row>
    <row r="45" customFormat="false" ht="23.25" hidden="false" customHeight="true" outlineLevel="0" collapsed="false">
      <c r="A45" s="6" t="s">
        <v>310</v>
      </c>
      <c r="B45" s="6" t="s">
        <v>307</v>
      </c>
      <c r="C45" s="7" t="s">
        <v>1005</v>
      </c>
      <c r="D45" s="6" t="s">
        <v>1002</v>
      </c>
      <c r="E45" s="6" t="s">
        <v>1003</v>
      </c>
      <c r="F45" s="6" t="s">
        <v>217</v>
      </c>
      <c r="G45" s="7" t="s">
        <v>940</v>
      </c>
    </row>
    <row r="46" customFormat="false" ht="23.25" hidden="false" customHeight="true" outlineLevel="0" collapsed="false">
      <c r="A46" s="6" t="s">
        <v>312</v>
      </c>
      <c r="B46" s="6" t="s">
        <v>307</v>
      </c>
      <c r="C46" s="7" t="s">
        <v>1006</v>
      </c>
      <c r="D46" s="6" t="s">
        <v>1002</v>
      </c>
      <c r="E46" s="6" t="s">
        <v>1003</v>
      </c>
      <c r="F46" s="6" t="s">
        <v>217</v>
      </c>
      <c r="G46" s="7" t="s">
        <v>942</v>
      </c>
    </row>
    <row r="47" customFormat="false" ht="23.25" hidden="false" customHeight="true" outlineLevel="0" collapsed="false">
      <c r="A47" s="6" t="s">
        <v>314</v>
      </c>
      <c r="B47" s="6" t="s">
        <v>307</v>
      </c>
      <c r="C47" s="7" t="s">
        <v>1007</v>
      </c>
      <c r="D47" s="6" t="s">
        <v>1008</v>
      </c>
      <c r="E47" s="6" t="s">
        <v>1009</v>
      </c>
      <c r="F47" s="6" t="s">
        <v>217</v>
      </c>
      <c r="G47" s="7" t="s">
        <v>946</v>
      </c>
    </row>
    <row r="48" customFormat="false" ht="23.25" hidden="false" customHeight="true" outlineLevel="0" collapsed="false">
      <c r="A48" s="6" t="s">
        <v>316</v>
      </c>
      <c r="B48" s="6" t="s">
        <v>307</v>
      </c>
      <c r="C48" s="7" t="s">
        <v>1010</v>
      </c>
      <c r="D48" s="6" t="s">
        <v>1002</v>
      </c>
      <c r="E48" s="6" t="s">
        <v>1003</v>
      </c>
      <c r="F48" s="6" t="s">
        <v>228</v>
      </c>
      <c r="G48" s="7" t="s">
        <v>948</v>
      </c>
    </row>
    <row r="49" customFormat="false" ht="23.25" hidden="false" customHeight="true" outlineLevel="0" collapsed="false">
      <c r="A49" s="6" t="s">
        <v>318</v>
      </c>
      <c r="B49" s="6" t="s">
        <v>307</v>
      </c>
      <c r="C49" s="7" t="s">
        <v>1011</v>
      </c>
      <c r="D49" s="6" t="s">
        <v>1002</v>
      </c>
      <c r="E49" s="6" t="s">
        <v>1003</v>
      </c>
      <c r="F49" s="6" t="s">
        <v>217</v>
      </c>
      <c r="G49" s="7" t="s">
        <v>949</v>
      </c>
    </row>
    <row r="50" customFormat="false" ht="23.25" hidden="false" customHeight="true" outlineLevel="0" collapsed="false">
      <c r="A50" s="6" t="s">
        <v>320</v>
      </c>
      <c r="B50" s="6" t="s">
        <v>307</v>
      </c>
      <c r="C50" s="7" t="s">
        <v>321</v>
      </c>
      <c r="D50" s="6" t="s">
        <v>1012</v>
      </c>
      <c r="E50" s="6" t="s">
        <v>951</v>
      </c>
      <c r="F50" s="6" t="s">
        <v>217</v>
      </c>
      <c r="G50" s="7" t="s">
        <v>952</v>
      </c>
    </row>
    <row r="51" customFormat="false" ht="23.25" hidden="false" customHeight="true" outlineLevel="0" collapsed="false">
      <c r="A51" s="6" t="s">
        <v>322</v>
      </c>
      <c r="B51" s="6" t="s">
        <v>307</v>
      </c>
      <c r="C51" s="7" t="s">
        <v>323</v>
      </c>
      <c r="D51" s="6" t="s">
        <v>1002</v>
      </c>
      <c r="E51" s="6" t="s">
        <v>1003</v>
      </c>
      <c r="F51" s="6" t="s">
        <v>217</v>
      </c>
      <c r="G51" s="7" t="s">
        <v>953</v>
      </c>
    </row>
    <row r="52" customFormat="false" ht="23.25" hidden="false" customHeight="true" outlineLevel="0" collapsed="false">
      <c r="A52" s="6" t="s">
        <v>324</v>
      </c>
      <c r="B52" s="6" t="s">
        <v>307</v>
      </c>
      <c r="C52" s="7" t="s">
        <v>1013</v>
      </c>
      <c r="D52" s="6" t="s">
        <v>1002</v>
      </c>
      <c r="E52" s="6" t="s">
        <v>1003</v>
      </c>
      <c r="F52" s="6" t="s">
        <v>217</v>
      </c>
      <c r="G52" s="7" t="s">
        <v>986</v>
      </c>
    </row>
    <row r="53" customFormat="false" ht="23.25" hidden="false" customHeight="true" outlineLevel="0" collapsed="false">
      <c r="A53" s="6" t="s">
        <v>326</v>
      </c>
      <c r="B53" s="6" t="s">
        <v>307</v>
      </c>
      <c r="C53" s="7" t="s">
        <v>1014</v>
      </c>
      <c r="D53" s="6" t="s">
        <v>1015</v>
      </c>
      <c r="E53" s="6" t="s">
        <v>958</v>
      </c>
      <c r="F53" s="6" t="s">
        <v>217</v>
      </c>
      <c r="G53" s="7" t="s">
        <v>959</v>
      </c>
    </row>
    <row r="54" customFormat="false" ht="23.25" hidden="false" customHeight="true" outlineLevel="0" collapsed="false">
      <c r="A54" s="6" t="s">
        <v>328</v>
      </c>
      <c r="B54" s="6" t="s">
        <v>329</v>
      </c>
      <c r="C54" s="7" t="s">
        <v>330</v>
      </c>
      <c r="D54" s="6" t="s">
        <v>1016</v>
      </c>
      <c r="E54" s="6" t="s">
        <v>1017</v>
      </c>
      <c r="F54" s="6" t="s">
        <v>228</v>
      </c>
      <c r="G54" s="7" t="s">
        <v>1018</v>
      </c>
    </row>
    <row r="55" customFormat="false" ht="15" hidden="false" customHeight="true" outlineLevel="0" collapsed="false">
      <c r="A55" s="6" t="s">
        <v>332</v>
      </c>
      <c r="B55" s="6" t="s">
        <v>329</v>
      </c>
      <c r="C55" s="7" t="s">
        <v>333</v>
      </c>
      <c r="D55" s="6" t="s">
        <v>1016</v>
      </c>
      <c r="E55" s="6" t="s">
        <v>1017</v>
      </c>
      <c r="F55" s="6" t="s">
        <v>217</v>
      </c>
      <c r="G55" s="7" t="s">
        <v>1019</v>
      </c>
    </row>
    <row r="56" customFormat="false" ht="15" hidden="false" customHeight="true" outlineLevel="0" collapsed="false">
      <c r="A56" s="6" t="s">
        <v>334</v>
      </c>
      <c r="B56" s="6" t="s">
        <v>329</v>
      </c>
      <c r="C56" s="7" t="s">
        <v>335</v>
      </c>
      <c r="D56" s="6" t="s">
        <v>1016</v>
      </c>
      <c r="E56" s="6" t="s">
        <v>1017</v>
      </c>
      <c r="F56" s="6" t="s">
        <v>217</v>
      </c>
      <c r="G56" s="7" t="s">
        <v>1020</v>
      </c>
    </row>
    <row r="57" customFormat="false" ht="15" hidden="false" customHeight="true" outlineLevel="0" collapsed="false">
      <c r="A57" s="6" t="s">
        <v>336</v>
      </c>
      <c r="B57" s="6" t="s">
        <v>329</v>
      </c>
      <c r="C57" s="7" t="s">
        <v>337</v>
      </c>
      <c r="D57" s="6" t="s">
        <v>1021</v>
      </c>
      <c r="E57" s="6" t="s">
        <v>951</v>
      </c>
      <c r="F57" s="6" t="s">
        <v>217</v>
      </c>
      <c r="G57" s="7" t="s">
        <v>1022</v>
      </c>
    </row>
    <row r="58" customFormat="false" ht="15" hidden="false" customHeight="true" outlineLevel="0" collapsed="false">
      <c r="A58" s="6" t="s">
        <v>338</v>
      </c>
      <c r="B58" s="6" t="s">
        <v>329</v>
      </c>
      <c r="C58" s="7" t="s">
        <v>339</v>
      </c>
      <c r="D58" s="6" t="s">
        <v>1016</v>
      </c>
      <c r="E58" s="6" t="s">
        <v>1017</v>
      </c>
      <c r="F58" s="6" t="s">
        <v>217</v>
      </c>
      <c r="G58" s="7" t="s">
        <v>1023</v>
      </c>
    </row>
    <row r="59" customFormat="false" ht="15" hidden="false" customHeight="true" outlineLevel="0" collapsed="false">
      <c r="A59" s="6" t="s">
        <v>340</v>
      </c>
      <c r="B59" s="6" t="s">
        <v>329</v>
      </c>
      <c r="C59" s="7" t="s">
        <v>341</v>
      </c>
      <c r="D59" s="6" t="s">
        <v>1016</v>
      </c>
      <c r="E59" s="6" t="s">
        <v>1017</v>
      </c>
      <c r="F59" s="6" t="s">
        <v>217</v>
      </c>
      <c r="G59" s="7" t="s">
        <v>1024</v>
      </c>
    </row>
    <row r="60" customFormat="false" ht="15" hidden="false" customHeight="true" outlineLevel="0" collapsed="false">
      <c r="A60" s="6" t="s">
        <v>342</v>
      </c>
      <c r="B60" s="6" t="s">
        <v>343</v>
      </c>
      <c r="C60" s="7" t="s">
        <v>344</v>
      </c>
      <c r="D60" s="6" t="s">
        <v>1025</v>
      </c>
      <c r="E60" s="6" t="s">
        <v>1026</v>
      </c>
      <c r="F60" s="6" t="s">
        <v>217</v>
      </c>
      <c r="G60" s="7" t="s">
        <v>1027</v>
      </c>
    </row>
    <row r="61" customFormat="false" ht="15" hidden="false" customHeight="true" outlineLevel="0" collapsed="false">
      <c r="A61" s="6" t="s">
        <v>345</v>
      </c>
      <c r="B61" s="6" t="s">
        <v>343</v>
      </c>
      <c r="C61" s="7" t="s">
        <v>346</v>
      </c>
      <c r="D61" s="6" t="s">
        <v>1025</v>
      </c>
      <c r="E61" s="6" t="s">
        <v>1026</v>
      </c>
      <c r="F61" s="6" t="s">
        <v>217</v>
      </c>
      <c r="G61" s="7" t="s">
        <v>1028</v>
      </c>
    </row>
    <row r="62" customFormat="false" ht="23.25" hidden="false" customHeight="true" outlineLevel="0" collapsed="false">
      <c r="A62" s="6" t="s">
        <v>347</v>
      </c>
      <c r="B62" s="6" t="s">
        <v>343</v>
      </c>
      <c r="C62" s="7" t="s">
        <v>348</v>
      </c>
      <c r="D62" s="6" t="s">
        <v>1025</v>
      </c>
      <c r="E62" s="6" t="s">
        <v>1026</v>
      </c>
      <c r="F62" s="6" t="s">
        <v>228</v>
      </c>
      <c r="G62" s="7" t="s">
        <v>1029</v>
      </c>
    </row>
    <row r="63" customFormat="false" ht="15" hidden="false" customHeight="true" outlineLevel="0" collapsed="false">
      <c r="A63" s="6" t="s">
        <v>349</v>
      </c>
      <c r="B63" s="6" t="s">
        <v>343</v>
      </c>
      <c r="C63" s="7" t="s">
        <v>350</v>
      </c>
      <c r="D63" s="6" t="s">
        <v>1025</v>
      </c>
      <c r="E63" s="6" t="s">
        <v>1026</v>
      </c>
      <c r="F63" s="6" t="s">
        <v>217</v>
      </c>
      <c r="G63" s="7" t="s">
        <v>1030</v>
      </c>
    </row>
    <row r="64" customFormat="false" ht="15" hidden="false" customHeight="true" outlineLevel="0" collapsed="false">
      <c r="A64" s="6" t="s">
        <v>352</v>
      </c>
      <c r="B64" s="6" t="s">
        <v>343</v>
      </c>
      <c r="C64" s="7" t="s">
        <v>353</v>
      </c>
      <c r="D64" s="6" t="s">
        <v>1025</v>
      </c>
      <c r="E64" s="6" t="s">
        <v>1026</v>
      </c>
      <c r="F64" s="6" t="s">
        <v>217</v>
      </c>
      <c r="G64" s="7" t="s">
        <v>1031</v>
      </c>
    </row>
    <row r="65" customFormat="false" ht="15" hidden="false" customHeight="true" outlineLevel="0" collapsed="false">
      <c r="A65" s="6" t="s">
        <v>354</v>
      </c>
      <c r="B65" s="6" t="s">
        <v>343</v>
      </c>
      <c r="C65" s="7" t="s">
        <v>355</v>
      </c>
      <c r="D65" s="6" t="s">
        <v>1025</v>
      </c>
      <c r="E65" s="6" t="s">
        <v>1026</v>
      </c>
      <c r="F65" s="6" t="s">
        <v>217</v>
      </c>
      <c r="G65" s="7" t="s">
        <v>1032</v>
      </c>
    </row>
    <row r="66" customFormat="false" ht="15" hidden="false" customHeight="true" outlineLevel="0" collapsed="false">
      <c r="A66" s="6" t="s">
        <v>356</v>
      </c>
      <c r="B66" s="6" t="s">
        <v>343</v>
      </c>
      <c r="C66" s="7" t="s">
        <v>357</v>
      </c>
      <c r="D66" s="6" t="s">
        <v>1025</v>
      </c>
      <c r="E66" s="6" t="s">
        <v>1026</v>
      </c>
      <c r="F66" s="6" t="s">
        <v>217</v>
      </c>
      <c r="G66" s="7" t="s">
        <v>1033</v>
      </c>
    </row>
    <row r="67" customFormat="false" ht="15" hidden="false" customHeight="true" outlineLevel="0" collapsed="false">
      <c r="A67" s="6" t="s">
        <v>358</v>
      </c>
      <c r="B67" s="6" t="s">
        <v>359</v>
      </c>
      <c r="C67" s="7" t="s">
        <v>360</v>
      </c>
      <c r="D67" s="6" t="s">
        <v>1034</v>
      </c>
      <c r="E67" s="6" t="s">
        <v>1035</v>
      </c>
      <c r="F67" s="6" t="s">
        <v>217</v>
      </c>
      <c r="G67" s="7" t="s">
        <v>1036</v>
      </c>
    </row>
    <row r="68" customFormat="false" ht="15" hidden="false" customHeight="true" outlineLevel="0" collapsed="false">
      <c r="A68" s="6" t="s">
        <v>361</v>
      </c>
      <c r="B68" s="6" t="s">
        <v>359</v>
      </c>
      <c r="C68" s="7" t="s">
        <v>362</v>
      </c>
      <c r="D68" s="6" t="s">
        <v>1037</v>
      </c>
      <c r="E68" s="6" t="s">
        <v>1035</v>
      </c>
      <c r="F68" s="6" t="s">
        <v>217</v>
      </c>
      <c r="G68" s="7" t="s">
        <v>1038</v>
      </c>
    </row>
    <row r="69" customFormat="false" ht="15" hidden="false" customHeight="true" outlineLevel="0" collapsed="false">
      <c r="A69" s="6" t="s">
        <v>363</v>
      </c>
      <c r="B69" s="6" t="s">
        <v>359</v>
      </c>
      <c r="C69" s="7" t="s">
        <v>364</v>
      </c>
      <c r="D69" s="6" t="s">
        <v>1034</v>
      </c>
      <c r="E69" s="6" t="s">
        <v>1035</v>
      </c>
      <c r="F69" s="6" t="s">
        <v>228</v>
      </c>
      <c r="G69" s="7" t="s">
        <v>1039</v>
      </c>
    </row>
    <row r="70" customFormat="false" ht="15" hidden="false" customHeight="true" outlineLevel="0" collapsed="false">
      <c r="A70" s="6" t="s">
        <v>365</v>
      </c>
      <c r="B70" s="6" t="s">
        <v>359</v>
      </c>
      <c r="C70" s="7" t="s">
        <v>366</v>
      </c>
      <c r="D70" s="6" t="s">
        <v>1021</v>
      </c>
      <c r="E70" s="6" t="s">
        <v>951</v>
      </c>
      <c r="F70" s="6" t="s">
        <v>217</v>
      </c>
      <c r="G70" s="7" t="s">
        <v>1040</v>
      </c>
    </row>
    <row r="71" customFormat="false" ht="15" hidden="false" customHeight="true" outlineLevel="0" collapsed="false">
      <c r="A71" s="6" t="s">
        <v>367</v>
      </c>
      <c r="B71" s="6" t="s">
        <v>359</v>
      </c>
      <c r="C71" s="7" t="s">
        <v>368</v>
      </c>
      <c r="D71" s="6" t="s">
        <v>1041</v>
      </c>
      <c r="E71" s="6" t="s">
        <v>649</v>
      </c>
      <c r="F71" s="6" t="s">
        <v>370</v>
      </c>
      <c r="G71" s="7" t="s">
        <v>1042</v>
      </c>
    </row>
    <row r="72" customFormat="false" ht="15" hidden="false" customHeight="true" outlineLevel="0" collapsed="false">
      <c r="A72" s="6" t="s">
        <v>371</v>
      </c>
      <c r="B72" s="6" t="s">
        <v>359</v>
      </c>
      <c r="C72" s="7" t="s">
        <v>372</v>
      </c>
      <c r="D72" s="6" t="s">
        <v>1034</v>
      </c>
      <c r="E72" s="6" t="s">
        <v>1035</v>
      </c>
      <c r="F72" s="6" t="s">
        <v>217</v>
      </c>
      <c r="G72" s="7" t="s">
        <v>1043</v>
      </c>
    </row>
    <row r="73" customFormat="false" ht="15" hidden="false" customHeight="true" outlineLevel="0" collapsed="false">
      <c r="A73" s="6" t="s">
        <v>373</v>
      </c>
      <c r="B73" s="6" t="s">
        <v>359</v>
      </c>
      <c r="C73" s="7" t="s">
        <v>374</v>
      </c>
      <c r="D73" s="6" t="s">
        <v>1044</v>
      </c>
      <c r="E73" s="6" t="s">
        <v>1045</v>
      </c>
      <c r="F73" s="6" t="s">
        <v>217</v>
      </c>
      <c r="G73" s="7" t="s">
        <v>1046</v>
      </c>
    </row>
    <row r="74" customFormat="false" ht="15" hidden="false" customHeight="true" outlineLevel="0" collapsed="false">
      <c r="A74" s="6" t="s">
        <v>375</v>
      </c>
      <c r="B74" s="6" t="s">
        <v>376</v>
      </c>
      <c r="C74" s="7" t="s">
        <v>377</v>
      </c>
      <c r="D74" s="6" t="s">
        <v>1002</v>
      </c>
      <c r="E74" s="6" t="s">
        <v>1003</v>
      </c>
      <c r="F74" s="6" t="s">
        <v>217</v>
      </c>
      <c r="G74" s="7" t="s">
        <v>1047</v>
      </c>
    </row>
    <row r="75" customFormat="false" ht="15" hidden="false" customHeight="true" outlineLevel="0" collapsed="false">
      <c r="A75" s="6" t="s">
        <v>378</v>
      </c>
      <c r="B75" s="6" t="s">
        <v>376</v>
      </c>
      <c r="C75" s="7" t="s">
        <v>379</v>
      </c>
      <c r="D75" s="6" t="s">
        <v>1048</v>
      </c>
      <c r="E75" s="6" t="s">
        <v>1049</v>
      </c>
      <c r="F75" s="6" t="s">
        <v>217</v>
      </c>
      <c r="G75" s="7" t="s">
        <v>1050</v>
      </c>
    </row>
    <row r="76" customFormat="false" ht="15" hidden="false" customHeight="true" outlineLevel="0" collapsed="false">
      <c r="A76" s="6" t="s">
        <v>380</v>
      </c>
      <c r="B76" s="6" t="s">
        <v>376</v>
      </c>
      <c r="C76" s="7" t="s">
        <v>381</v>
      </c>
      <c r="D76" s="6" t="s">
        <v>1002</v>
      </c>
      <c r="E76" s="6" t="s">
        <v>1003</v>
      </c>
      <c r="F76" s="6" t="s">
        <v>217</v>
      </c>
      <c r="G76" s="7" t="s">
        <v>1051</v>
      </c>
    </row>
    <row r="77" customFormat="false" ht="15" hidden="false" customHeight="true" outlineLevel="0" collapsed="false">
      <c r="A77" s="6" t="s">
        <v>382</v>
      </c>
      <c r="B77" s="6" t="s">
        <v>376</v>
      </c>
      <c r="C77" s="7" t="s">
        <v>383</v>
      </c>
      <c r="D77" s="6" t="s">
        <v>1048</v>
      </c>
      <c r="E77" s="6" t="s">
        <v>1049</v>
      </c>
      <c r="F77" s="6" t="s">
        <v>217</v>
      </c>
      <c r="G77" s="7" t="s">
        <v>1052</v>
      </c>
    </row>
    <row r="78" customFormat="false" ht="15" hidden="false" customHeight="true" outlineLevel="0" collapsed="false">
      <c r="A78" s="6" t="s">
        <v>384</v>
      </c>
      <c r="B78" s="6" t="s">
        <v>376</v>
      </c>
      <c r="C78" s="7" t="s">
        <v>385</v>
      </c>
      <c r="D78" s="6" t="s">
        <v>1002</v>
      </c>
      <c r="E78" s="6" t="s">
        <v>1003</v>
      </c>
      <c r="F78" s="6" t="s">
        <v>217</v>
      </c>
      <c r="G78" s="7" t="s">
        <v>1053</v>
      </c>
    </row>
    <row r="79" customFormat="false" ht="15" hidden="false" customHeight="true" outlineLevel="0" collapsed="false">
      <c r="A79" s="6" t="s">
        <v>386</v>
      </c>
      <c r="B79" s="6" t="s">
        <v>376</v>
      </c>
      <c r="C79" s="7" t="s">
        <v>387</v>
      </c>
      <c r="D79" s="6" t="s">
        <v>1002</v>
      </c>
      <c r="E79" s="6" t="s">
        <v>1003</v>
      </c>
      <c r="F79" s="6" t="s">
        <v>217</v>
      </c>
      <c r="G79" s="7" t="s">
        <v>1054</v>
      </c>
    </row>
    <row r="80" customFormat="false" ht="15" hidden="false" customHeight="true" outlineLevel="0" collapsed="false">
      <c r="A80" s="6" t="s">
        <v>388</v>
      </c>
      <c r="B80" s="6" t="s">
        <v>376</v>
      </c>
      <c r="C80" s="7" t="s">
        <v>389</v>
      </c>
      <c r="D80" s="6" t="s">
        <v>1002</v>
      </c>
      <c r="E80" s="6" t="s">
        <v>1003</v>
      </c>
      <c r="F80" s="6" t="s">
        <v>217</v>
      </c>
      <c r="G80" s="7" t="s">
        <v>1055</v>
      </c>
    </row>
    <row r="81" customFormat="false" ht="15" hidden="false" customHeight="true" outlineLevel="0" collapsed="false">
      <c r="A81" s="6" t="s">
        <v>390</v>
      </c>
      <c r="B81" s="6" t="s">
        <v>391</v>
      </c>
      <c r="C81" s="7" t="s">
        <v>392</v>
      </c>
      <c r="D81" s="6" t="s">
        <v>1056</v>
      </c>
      <c r="E81" s="6" t="s">
        <v>1057</v>
      </c>
      <c r="F81" s="6" t="s">
        <v>217</v>
      </c>
      <c r="G81" s="7" t="s">
        <v>1058</v>
      </c>
    </row>
    <row r="82" customFormat="false" ht="15" hidden="false" customHeight="true" outlineLevel="0" collapsed="false">
      <c r="A82" s="6" t="s">
        <v>393</v>
      </c>
      <c r="B82" s="6" t="s">
        <v>391</v>
      </c>
      <c r="C82" s="7" t="s">
        <v>394</v>
      </c>
      <c r="D82" s="6" t="s">
        <v>1056</v>
      </c>
      <c r="E82" s="6" t="s">
        <v>1057</v>
      </c>
      <c r="F82" s="6" t="s">
        <v>217</v>
      </c>
      <c r="G82" s="7" t="s">
        <v>1059</v>
      </c>
    </row>
    <row r="83" customFormat="false" ht="15" hidden="false" customHeight="true" outlineLevel="0" collapsed="false">
      <c r="A83" s="6" t="s">
        <v>395</v>
      </c>
      <c r="B83" s="6" t="s">
        <v>391</v>
      </c>
      <c r="C83" s="7" t="s">
        <v>396</v>
      </c>
      <c r="D83" s="6" t="s">
        <v>1060</v>
      </c>
      <c r="E83" s="6" t="s">
        <v>1061</v>
      </c>
      <c r="F83" s="6" t="s">
        <v>217</v>
      </c>
      <c r="G83" s="7" t="s">
        <v>1062</v>
      </c>
    </row>
    <row r="84" customFormat="false" ht="15" hidden="false" customHeight="true" outlineLevel="0" collapsed="false">
      <c r="A84" s="6" t="s">
        <v>398</v>
      </c>
      <c r="B84" s="6" t="s">
        <v>391</v>
      </c>
      <c r="C84" s="7" t="s">
        <v>399</v>
      </c>
      <c r="D84" s="6" t="s">
        <v>1063</v>
      </c>
      <c r="E84" s="6" t="s">
        <v>1061</v>
      </c>
      <c r="F84" s="6" t="s">
        <v>217</v>
      </c>
      <c r="G84" s="7" t="s">
        <v>1064</v>
      </c>
    </row>
    <row r="85" customFormat="false" ht="15" hidden="false" customHeight="true" outlineLevel="0" collapsed="false">
      <c r="A85" s="6" t="s">
        <v>400</v>
      </c>
      <c r="B85" s="6" t="s">
        <v>391</v>
      </c>
      <c r="C85" s="7" t="s">
        <v>401</v>
      </c>
      <c r="D85" s="6" t="s">
        <v>1056</v>
      </c>
      <c r="E85" s="6" t="s">
        <v>1057</v>
      </c>
      <c r="F85" s="6" t="s">
        <v>217</v>
      </c>
      <c r="G85" s="7" t="s">
        <v>1065</v>
      </c>
    </row>
    <row r="86" customFormat="false" ht="15" hidden="false" customHeight="true" outlineLevel="0" collapsed="false">
      <c r="A86" s="6" t="s">
        <v>403</v>
      </c>
      <c r="B86" s="6" t="s">
        <v>391</v>
      </c>
      <c r="C86" s="7" t="s">
        <v>404</v>
      </c>
      <c r="D86" s="6" t="s">
        <v>1066</v>
      </c>
      <c r="E86" s="6" t="s">
        <v>1067</v>
      </c>
      <c r="F86" s="6" t="s">
        <v>405</v>
      </c>
      <c r="G86" s="7" t="s">
        <v>1068</v>
      </c>
    </row>
    <row r="87" customFormat="false" ht="15" hidden="false" customHeight="true" outlineLevel="0" collapsed="false">
      <c r="A87" s="6" t="s">
        <v>406</v>
      </c>
      <c r="B87" s="6" t="s">
        <v>391</v>
      </c>
      <c r="C87" s="7" t="s">
        <v>407</v>
      </c>
      <c r="D87" s="6" t="s">
        <v>1069</v>
      </c>
      <c r="E87" s="6" t="s">
        <v>649</v>
      </c>
      <c r="F87" s="6" t="s">
        <v>405</v>
      </c>
      <c r="G87" s="7" t="s">
        <v>1070</v>
      </c>
    </row>
    <row r="88" customFormat="false" ht="15" hidden="false" customHeight="true" outlineLevel="0" collapsed="false">
      <c r="A88" s="6" t="s">
        <v>408</v>
      </c>
      <c r="B88" s="6" t="s">
        <v>409</v>
      </c>
      <c r="C88" s="7" t="s">
        <v>410</v>
      </c>
      <c r="D88" s="6" t="s">
        <v>1071</v>
      </c>
      <c r="E88" s="6" t="s">
        <v>1072</v>
      </c>
      <c r="F88" s="6" t="s">
        <v>217</v>
      </c>
      <c r="G88" s="7" t="s">
        <v>1073</v>
      </c>
    </row>
    <row r="89" customFormat="false" ht="15" hidden="false" customHeight="true" outlineLevel="0" collapsed="false">
      <c r="A89" s="6" t="s">
        <v>411</v>
      </c>
      <c r="B89" s="6" t="s">
        <v>409</v>
      </c>
      <c r="C89" s="7" t="s">
        <v>412</v>
      </c>
      <c r="D89" s="6" t="s">
        <v>1074</v>
      </c>
      <c r="E89" s="6" t="s">
        <v>1075</v>
      </c>
      <c r="F89" s="6" t="s">
        <v>217</v>
      </c>
      <c r="G89" s="7" t="s">
        <v>1076</v>
      </c>
    </row>
    <row r="90" customFormat="false" ht="15" hidden="false" customHeight="true" outlineLevel="0" collapsed="false">
      <c r="A90" s="6" t="s">
        <v>413</v>
      </c>
      <c r="B90" s="6" t="s">
        <v>409</v>
      </c>
      <c r="C90" s="7" t="s">
        <v>414</v>
      </c>
      <c r="D90" s="6" t="s">
        <v>1077</v>
      </c>
      <c r="E90" s="6" t="s">
        <v>1078</v>
      </c>
      <c r="F90" s="6" t="s">
        <v>217</v>
      </c>
      <c r="G90" s="7" t="s">
        <v>1079</v>
      </c>
    </row>
    <row r="91" customFormat="false" ht="15" hidden="false" customHeight="true" outlineLevel="0" collapsed="false">
      <c r="A91" s="6" t="s">
        <v>415</v>
      </c>
      <c r="B91" s="6" t="s">
        <v>409</v>
      </c>
      <c r="C91" s="7" t="s">
        <v>416</v>
      </c>
      <c r="D91" s="6" t="s">
        <v>1080</v>
      </c>
      <c r="E91" s="6" t="s">
        <v>1081</v>
      </c>
      <c r="F91" s="6" t="s">
        <v>228</v>
      </c>
      <c r="G91" s="7" t="s">
        <v>1082</v>
      </c>
    </row>
    <row r="92" customFormat="false" ht="15" hidden="false" customHeight="true" outlineLevel="0" collapsed="false">
      <c r="A92" s="6" t="s">
        <v>417</v>
      </c>
      <c r="B92" s="6" t="s">
        <v>409</v>
      </c>
      <c r="C92" s="7" t="s">
        <v>418</v>
      </c>
      <c r="D92" s="6" t="s">
        <v>1083</v>
      </c>
      <c r="E92" s="6" t="s">
        <v>1084</v>
      </c>
      <c r="F92" s="6" t="s">
        <v>217</v>
      </c>
      <c r="G92" s="7" t="s">
        <v>1085</v>
      </c>
    </row>
    <row r="93" customFormat="false" ht="15" hidden="false" customHeight="true" outlineLevel="0" collapsed="false">
      <c r="A93" s="6" t="s">
        <v>419</v>
      </c>
      <c r="B93" s="6" t="s">
        <v>409</v>
      </c>
      <c r="C93" s="7" t="s">
        <v>420</v>
      </c>
      <c r="D93" s="6" t="s">
        <v>1086</v>
      </c>
      <c r="E93" s="6" t="s">
        <v>1087</v>
      </c>
      <c r="F93" s="6" t="s">
        <v>228</v>
      </c>
      <c r="G93" s="7" t="s">
        <v>1088</v>
      </c>
    </row>
    <row r="94" customFormat="false" ht="15" hidden="false" customHeight="true" outlineLevel="0" collapsed="false">
      <c r="A94" s="6" t="s">
        <v>421</v>
      </c>
      <c r="B94" s="6" t="s">
        <v>409</v>
      </c>
      <c r="C94" s="7" t="s">
        <v>422</v>
      </c>
      <c r="D94" s="6" t="s">
        <v>1089</v>
      </c>
      <c r="E94" s="6" t="s">
        <v>1090</v>
      </c>
      <c r="F94" s="6" t="s">
        <v>217</v>
      </c>
      <c r="G94" s="7" t="s">
        <v>1091</v>
      </c>
    </row>
    <row r="95" customFormat="false" ht="15" hidden="false" customHeight="true" outlineLevel="0" collapsed="false">
      <c r="A95" s="6" t="s">
        <v>423</v>
      </c>
      <c r="B95" s="6" t="s">
        <v>409</v>
      </c>
      <c r="C95" s="7" t="s">
        <v>424</v>
      </c>
      <c r="D95" s="6" t="s">
        <v>1092</v>
      </c>
      <c r="E95" s="6" t="s">
        <v>1093</v>
      </c>
      <c r="F95" s="6" t="s">
        <v>228</v>
      </c>
      <c r="G95" s="7" t="s">
        <v>1094</v>
      </c>
    </row>
    <row r="96" customFormat="false" ht="23.25" hidden="false" customHeight="true" outlineLevel="0" collapsed="false">
      <c r="A96" s="6" t="s">
        <v>425</v>
      </c>
      <c r="B96" s="6" t="s">
        <v>426</v>
      </c>
      <c r="C96" s="7" t="s">
        <v>427</v>
      </c>
      <c r="D96" s="6" t="s">
        <v>1095</v>
      </c>
      <c r="E96" s="6" t="s">
        <v>649</v>
      </c>
      <c r="F96" s="6" t="s">
        <v>405</v>
      </c>
      <c r="G96" s="7" t="s">
        <v>1096</v>
      </c>
    </row>
    <row r="97" customFormat="false" ht="23.25" hidden="false" customHeight="true" outlineLevel="0" collapsed="false">
      <c r="A97" s="6" t="s">
        <v>428</v>
      </c>
      <c r="B97" s="6" t="s">
        <v>426</v>
      </c>
      <c r="C97" s="7" t="s">
        <v>429</v>
      </c>
      <c r="D97" s="6" t="s">
        <v>1097</v>
      </c>
      <c r="E97" s="6" t="s">
        <v>649</v>
      </c>
      <c r="F97" s="6" t="s">
        <v>405</v>
      </c>
      <c r="G97" s="7" t="s">
        <v>1098</v>
      </c>
    </row>
    <row r="98" customFormat="false" ht="23.25" hidden="false" customHeight="true" outlineLevel="0" collapsed="false">
      <c r="A98" s="6" t="s">
        <v>430</v>
      </c>
      <c r="B98" s="6" t="s">
        <v>426</v>
      </c>
      <c r="C98" s="7" t="s">
        <v>431</v>
      </c>
      <c r="D98" s="6" t="s">
        <v>1099</v>
      </c>
      <c r="E98" s="6" t="s">
        <v>1061</v>
      </c>
      <c r="F98" s="6" t="s">
        <v>217</v>
      </c>
      <c r="G98" s="7" t="s">
        <v>1100</v>
      </c>
    </row>
    <row r="99" customFormat="false" ht="23.25" hidden="false" customHeight="true" outlineLevel="0" collapsed="false">
      <c r="A99" s="6" t="s">
        <v>432</v>
      </c>
      <c r="B99" s="6" t="s">
        <v>426</v>
      </c>
      <c r="C99" s="7" t="s">
        <v>433</v>
      </c>
      <c r="D99" s="6" t="s">
        <v>1101</v>
      </c>
      <c r="E99" s="6" t="s">
        <v>649</v>
      </c>
      <c r="F99" s="6" t="s">
        <v>405</v>
      </c>
      <c r="G99" s="7" t="s">
        <v>1102</v>
      </c>
    </row>
    <row r="100" customFormat="false" ht="23.25" hidden="false" customHeight="true" outlineLevel="0" collapsed="false">
      <c r="A100" s="6" t="s">
        <v>434</v>
      </c>
      <c r="B100" s="6" t="s">
        <v>426</v>
      </c>
      <c r="C100" s="7" t="s">
        <v>435</v>
      </c>
      <c r="D100" s="6" t="s">
        <v>1103</v>
      </c>
      <c r="E100" s="6" t="s">
        <v>649</v>
      </c>
      <c r="F100" s="6" t="s">
        <v>370</v>
      </c>
      <c r="G100" s="7" t="s">
        <v>1104</v>
      </c>
    </row>
    <row r="101" customFormat="false" ht="23.25" hidden="false" customHeight="true" outlineLevel="0" collapsed="false">
      <c r="A101" s="6" t="s">
        <v>436</v>
      </c>
      <c r="B101" s="6" t="s">
        <v>426</v>
      </c>
      <c r="C101" s="7" t="s">
        <v>437</v>
      </c>
      <c r="D101" s="6" t="s">
        <v>1105</v>
      </c>
      <c r="E101" s="6" t="s">
        <v>649</v>
      </c>
      <c r="F101" s="6" t="s">
        <v>405</v>
      </c>
      <c r="G101" s="7" t="s">
        <v>1106</v>
      </c>
    </row>
    <row r="102" customFormat="false" ht="23.25" hidden="false" customHeight="true" outlineLevel="0" collapsed="false">
      <c r="A102" s="6" t="s">
        <v>438</v>
      </c>
      <c r="B102" s="6" t="s">
        <v>426</v>
      </c>
      <c r="C102" s="7" t="s">
        <v>439</v>
      </c>
      <c r="D102" s="6" t="s">
        <v>1107</v>
      </c>
      <c r="E102" s="6" t="s">
        <v>1061</v>
      </c>
      <c r="F102" s="6" t="s">
        <v>228</v>
      </c>
      <c r="G102" s="7" t="s">
        <v>1108</v>
      </c>
    </row>
    <row r="103" customFormat="false" ht="23.25" hidden="false" customHeight="true" outlineLevel="0" collapsed="false">
      <c r="A103" s="6" t="s">
        <v>441</v>
      </c>
      <c r="B103" s="6" t="s">
        <v>426</v>
      </c>
      <c r="C103" s="7" t="s">
        <v>442</v>
      </c>
      <c r="D103" s="6" t="s">
        <v>1109</v>
      </c>
      <c r="E103" s="6" t="s">
        <v>1061</v>
      </c>
      <c r="F103" s="6" t="s">
        <v>228</v>
      </c>
      <c r="G103" s="7" t="s">
        <v>1110</v>
      </c>
    </row>
    <row r="105" customFormat="false" ht="15" hidden="false" customHeight="true" outlineLevel="0" collapsed="false">
      <c r="A105" s="9" t="s">
        <v>1111</v>
      </c>
      <c r="C105" s="6" t="str">
        <f aca="false">COUNTIF(F4:F103,"Done")&amp;" Done / "&amp;COUNTIF(F4:F103,"Code-complete (pending live WhatsApp)")&amp;" code-complete / "&amp;COUNTIF(F4:F103,"Drafted")&amp;" drafted / "&amp;COUNTIF(F4:F103,"In progress")&amp;" in progress / "&amp;COUNTIF(F4:F103,"Backlog")&amp;" Backlog"</f>
        <v>79 Done / 13 code-complete / 6 drafted / 2 in progress / 0 Backlog</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2026-09-05T18:37:46Z</dcterms:created>
  <dc:creator>openpyxl</dc:creator>
  <dc:description/>
  <dc:language>en-US</dc:language>
  <cp:lastModifiedBy/>
  <dcterms:modified xsi:type="dcterms:W3CDTF">2026-09-13T21:52:09Z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