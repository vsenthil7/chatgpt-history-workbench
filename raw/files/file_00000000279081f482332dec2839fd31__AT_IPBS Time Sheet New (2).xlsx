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ily Tracker" sheetId="1" r:id="rId4"/>
    <sheet state="visible" name="Over All Planner" sheetId="2" r:id="rId5"/>
    <sheet state="visible" name="Daily Planner" sheetId="3" r:id="rId6"/>
    <sheet state="visible" name="Index" sheetId="4" r:id="rId7"/>
    <sheet state="visible" name="Time Sheet" sheetId="5" r:id="rId8"/>
    <sheet state="visible" name="Lookup" sheetId="6" r:id="rId9"/>
  </sheets>
  <definedNames/>
  <calcPr/>
  <extLst>
    <ext uri="GoogleSheetsCustomDataVersion2">
      <go:sheetsCustomData xmlns:go="http://customooxmlschemas.google.com/" r:id="rId10" roundtripDataChecksum="srPL1lEawB1QnXq81fHqbRdTZDnA2VgA9/khQufNRH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
ID#AAACE2FUL8o
Senthil Kumar    (2026-08-05 17:59:23)
@thilaga.sruthi@gmail.com This column is what time you hav enoted the timesheet.. dont change to time when start the task that will be lie... Give actual time.. it should create pain why not u have submitted immediately also u havent put the Daily planner.. why working on yourself..
I seriously dont like to tell the below but hmmmm missing for long while
1) How do you know what other employee working? how are u tracking their work? 
What abt other employee Timesheet? They should maintain this kind of sheet and share that for to me..? Dont say they dont have latop. you know how to work out.. (1) write in paper or use directly chatgpt to create excel then cipy the record and update Google sheet using mobile itself?
Why not google meet with employee.. dont go in easy route by just jumpy to call.. Train them
_Assigned to Subha Nayagam_
------
ID#AAACE2FUL8s
Senthil Kumar    (2026-08-05 18:03:42)
@thilaga.sruthi@gmail.com  you have ot prioritise your work.. dont jump and do the work on impulse. Plan then priorities and work on it..One of the purpose this timesheet.. Try to bring discipline.
------
ID#AAACE2FUL84
Senthil Kumar    (2026-08-05 18:06:48)
@thilaga.sruthi@gmail.com  1st in Overall Planner Sheet then if u plan to do that work next day then Daily Planner (copy from over All planner) then Daily Trackers dont do anything without planner... I know something may come on the fly but u need to put that in daily tracker only.. If you dont understand what I have written here copy all and ask chatgpt
------
ID#AAACE2FUL88
Senthil Kumar    (2026-08-05 18:09:40)
@thilaga.sruthi@gmail.com  https://chatgpt.com/share/6a737c58-0cc8-83eb-a16d-462c59119c00</t>
      </text>
    </comment>
    <comment authorId="0" ref="D194">
      <text>
        <t xml:space="preserve">======
ID#AAACEy95cbk
Subha Nayagam    (2026-08-04 06:44:15)
@vsenthil7@googlemail.com When i drag the Previous saturday is coming
------
ID#AAACEzkOmKA
Senthil Kumar    (2026-08-04 12:14:28)
_Marked as resolved_
------
ID#AAACEzkOmKE
Senthil Kumar    (2026-08-04 12:14:58)
_Re-opened_
You need to fill the date first then drag
------
ID#AAACEzkOmKM
Senthil Kumar    (2026-08-04 12:16:12)
in this case this formula use B134 column same if u check other fields the date used.. if u dont understand formula give this excel to chatgot and ask what the 3 formula in this sheet doing ask it???
------
ID#AAACEzkOmKU
Senthil Kumar    (2026-08-04 12:16:46)
@thilaga.sruthi@gmail.com once u done respond</t>
      </text>
    </comment>
    <comment authorId="0" ref="O109">
      <text>
        <t xml:space="preserve">======
ID#AAACD7QuRRY
Subha Nayagam    (2026-07-24 13:25:26)
Monday he will share the rental agreement she is on leave</t>
      </text>
    </comment>
    <comment authorId="0" ref="D1">
      <text>
        <t xml:space="preserve">======
ID#AAACBwdSn58
Senthil Kumar    (2026-08-03 18:32:53)
Formula using Noted Date column value so no need to fill just drag the folumna from previous cell</t>
      </text>
    </comment>
    <comment authorId="0" ref="H1">
      <text>
        <t xml:space="preserve">======
ID#AAACBwdSn6A
Senthil Kumar    (2026-08-03 18:33:26)
Formula using Actual Start Date column value so no need to fill just drag the folumna from previous cell</t>
      </text>
    </comment>
    <comment authorId="0" ref="H190">
      <text>
        <t xml:space="preserve">======
ID#AAACEwdqT3k
Subha Nayagam    (2026-08-04 04:59:39)
Thanks Anna</t>
      </text>
    </comment>
    <comment authorId="0" ref="K1">
      <text>
        <t xml:space="preserve">======
ID#AAACBwdSn6E
Senthil Kumar    (2026-08-03 18:33:41)
Formula using Actual End Date column value so no need to fill just drag the folumna from previous cell</t>
      </text>
    </comment>
  </commentList>
  <extLst>
    <ext uri="GoogleSheetsCustomDataVersion2">
      <go:sheetsCustomData xmlns:go="http://customooxmlschemas.google.com/" r:id="rId1" roundtripDataSignature="AMtx7miThgiEDXmPMkCbsFsuvBPNY1OJwQ=="/>
    </ext>
  </extLst>
</comments>
</file>

<file path=xl/sharedStrings.xml><?xml version="1.0" encoding="utf-8"?>
<sst xmlns="http://schemas.openxmlformats.org/spreadsheetml/2006/main" count="942" uniqueCount="450">
  <si>
    <t>Sl: No:</t>
  </si>
  <si>
    <t>Sl. No.</t>
  </si>
  <si>
    <t>Date</t>
  </si>
  <si>
    <t>Noted Start Date</t>
  </si>
  <si>
    <t>Time</t>
  </si>
  <si>
    <t>Noted Start Time</t>
  </si>
  <si>
    <t>Noted Time Spend</t>
  </si>
  <si>
    <t>Day</t>
  </si>
  <si>
    <t>Noted Date</t>
  </si>
  <si>
    <t>Noted End Date</t>
  </si>
  <si>
    <t>Category</t>
  </si>
  <si>
    <t>Noted End Time</t>
  </si>
  <si>
    <t>Details</t>
  </si>
  <si>
    <t>Priority</t>
  </si>
  <si>
    <t>Noted Time</t>
  </si>
  <si>
    <t>Planned Start Date</t>
  </si>
  <si>
    <t>Planned Start Time</t>
  </si>
  <si>
    <t>Noted Day</t>
  </si>
  <si>
    <t>Planned End Date</t>
  </si>
  <si>
    <t>Task / Activity</t>
  </si>
  <si>
    <t>Planned End Time</t>
  </si>
  <si>
    <t>Status</t>
  </si>
  <si>
    <t>Remarks / Notes</t>
  </si>
  <si>
    <t>Task Details</t>
  </si>
  <si>
    <t>Next Action</t>
  </si>
  <si>
    <t>Follow-up Date</t>
  </si>
  <si>
    <t>Actual Start Day</t>
  </si>
  <si>
    <t>Actual Start Date</t>
  </si>
  <si>
    <t>PlanStart Date</t>
  </si>
  <si>
    <t>Actual Start Time</t>
  </si>
  <si>
    <t>PlanStart Time</t>
  </si>
  <si>
    <t>PlanEnd Date</t>
  </si>
  <si>
    <t>Actual End Day</t>
  </si>
  <si>
    <t>PlanEnd Time</t>
  </si>
  <si>
    <t>Actual End Date</t>
  </si>
  <si>
    <t>Actual End Time</t>
  </si>
  <si>
    <t>Hiring</t>
  </si>
  <si>
    <t>Monday</t>
  </si>
  <si>
    <t>Selvi 9years experience candidate need to prepare for Interview, Google sheet, Folder, Timing confirmation</t>
  </si>
  <si>
    <t>Software Analysis</t>
  </si>
  <si>
    <t>High</t>
  </si>
  <si>
    <t>TeleCMI Purchase</t>
  </si>
  <si>
    <t xml:space="preserve">Need to Purchase 2 agents, and check all the features </t>
  </si>
  <si>
    <t>Other call recording Software need to check</t>
  </si>
  <si>
    <t>Selvi 9years experience candidate need to interview</t>
  </si>
  <si>
    <t>CRM Software need to check</t>
  </si>
  <si>
    <t>Name</t>
  </si>
  <si>
    <t xml:space="preserve">From Home to Office </t>
  </si>
  <si>
    <t>CO Work Space Check In</t>
  </si>
  <si>
    <t>CO Work Space Check Out</t>
  </si>
  <si>
    <t>Menaga and Jaya Sudha whatsapp msg preparation</t>
  </si>
  <si>
    <t>From Office to Home</t>
  </si>
  <si>
    <t>Home Work Start time</t>
  </si>
  <si>
    <t>Home Work End time</t>
  </si>
  <si>
    <t>Vsanth Ticket management, Chennai Event demo need to check</t>
  </si>
  <si>
    <t>Scheduling</t>
  </si>
  <si>
    <t>Thilaga Subha S</t>
  </si>
  <si>
    <t>Need to talk to all the telecallers, Pesi romba nal achu, enna pannittu irukanga, avanga current situation ennan kekanum</t>
  </si>
  <si>
    <t>Documentation</t>
  </si>
  <si>
    <t>Organise File and Folders in Laptop (Book Mark)</t>
  </si>
  <si>
    <t>NIL</t>
  </si>
  <si>
    <t>Completed partially</t>
  </si>
  <si>
    <t>NIl</t>
  </si>
  <si>
    <t>Nil</t>
  </si>
  <si>
    <t>Msg Shared in group</t>
  </si>
  <si>
    <t>After the approval need to share directly</t>
  </si>
  <si>
    <t>Need to check the availability time</t>
  </si>
  <si>
    <t>Move all the Palm Era group to Archieve</t>
  </si>
  <si>
    <t>Medium</t>
  </si>
  <si>
    <t>2.30Pm</t>
  </si>
  <si>
    <t>Training (Incoming Call)</t>
  </si>
  <si>
    <t>Rajiv Taljeras team</t>
  </si>
  <si>
    <t>Future Planning</t>
  </si>
  <si>
    <t xml:space="preserve">Create a master sheet and Put together all the links </t>
  </si>
  <si>
    <t>Mentoring</t>
  </si>
  <si>
    <t>Bhuvana Annie call preparation</t>
  </si>
  <si>
    <t>Pricing</t>
  </si>
  <si>
    <t>Pricing fro Client need to work out</t>
  </si>
  <si>
    <t>Company mail Id</t>
  </si>
  <si>
    <t>BPO training</t>
  </si>
  <si>
    <t>BPO training daily class</t>
  </si>
  <si>
    <t>Pradeep in travel, so call training moved to tomorrow</t>
  </si>
  <si>
    <t>10:20 Pm (ISM Data Technology Tenkasi)</t>
  </si>
  <si>
    <t>11:40 (ISM Data technology)</t>
  </si>
  <si>
    <t>12:50 PM(ISM Data Technology)</t>
  </si>
  <si>
    <t>2:20:00 PM(Reached Home)</t>
  </si>
  <si>
    <t>Company Registration</t>
  </si>
  <si>
    <t>Talk to Renu Chennai</t>
  </si>
  <si>
    <t>Accounts</t>
  </si>
  <si>
    <t xml:space="preserve">Chithirai Events Expense need to be corrected details in the pending </t>
  </si>
  <si>
    <t>Research</t>
  </si>
  <si>
    <r>
      <rPr/>
      <t xml:space="preserve">Analyse the website for price calculation    </t>
    </r>
    <r>
      <rPr>
        <color rgb="FF1155CC"/>
        <u/>
      </rPr>
      <t>https://www.magellan-solutions.com/blog/calculate-cost-per-call/</t>
    </r>
  </si>
  <si>
    <t>Need to check how a gmail is placed in desktop</t>
  </si>
  <si>
    <t>Low</t>
  </si>
  <si>
    <t>She is Refering her Auditor cum Auditor friend as she handles only GST</t>
  </si>
  <si>
    <t>7:20:00 AM (Madurai Women professional Meet)</t>
  </si>
  <si>
    <t>6.50 PM</t>
  </si>
  <si>
    <t>Main Accounts update form july 10th 2026</t>
  </si>
  <si>
    <t>2 MInutes</t>
  </si>
  <si>
    <t>Reserach</t>
  </si>
  <si>
    <t>Prepare Set of Questions for Auditor for Name change, pricing, and what are all the things a company will face</t>
  </si>
  <si>
    <t>Transcript</t>
  </si>
  <si>
    <t>Sarvam Ai: Chithirai Chennai Event Transcription</t>
  </si>
  <si>
    <t>22-Ju;-2026</t>
  </si>
  <si>
    <t>Completed</t>
  </si>
  <si>
    <t>Initially started with Perplexity, But perplexity record stopped unexpectedly, so again download the file and convert to MP3 file using online free converter and upload the document</t>
  </si>
  <si>
    <t>Talk to Auditor Jagadeswari, Allan Cowork space, Santhi (Chithirai Chennai Participants)</t>
  </si>
  <si>
    <t>Web Site Design</t>
  </si>
  <si>
    <t>Cute Pay Website Design, Need to check the UI and Speak to them</t>
  </si>
  <si>
    <t>Requirt selvi telecalling tomorrow, Assign Market research for call recording tools</t>
  </si>
  <si>
    <t>Training</t>
  </si>
  <si>
    <t>Subha BPO Training class</t>
  </si>
  <si>
    <t>Schedule</t>
  </si>
  <si>
    <t>Call with Telecallers, take Individual call, and check there available time and challeges if any</t>
  </si>
  <si>
    <t>2 Minutes</t>
  </si>
  <si>
    <t>Tuesday</t>
  </si>
  <si>
    <t>Marketing</t>
  </si>
  <si>
    <t>Jacob for branding ans suggestion for UI from Cute Pay</t>
  </si>
  <si>
    <t>Personal Branding</t>
  </si>
  <si>
    <t>Social Media Marketing: Instagram, Facebook and Linkedin</t>
  </si>
  <si>
    <t>Chithirai participants list update in sheet</t>
  </si>
  <si>
    <t>Technical</t>
  </si>
  <si>
    <t>Need to Check while sharing the screen the google meet disconnects, yesterday call with bhuvana annies the issue occurs 2 times</t>
  </si>
  <si>
    <t>Main Accounts Sheet Update</t>
  </si>
  <si>
    <t>Subha BPO training class need to Plan</t>
  </si>
  <si>
    <t>Renu Akka ask friend number and speak to auditor</t>
  </si>
  <si>
    <t>https://docs.google.com/spreadsheets/d/1BX1arbiV9XQvbCuUtAJIHWUkeA-NH-pXHAf1W1kwv68/edit?usp=sharing</t>
  </si>
  <si>
    <t>Auditor Kitta pesanum , Before that prepare set of question</t>
  </si>
  <si>
    <t>Auditir Bala Murugan previously Registered Auditort</t>
  </si>
  <si>
    <t>Chatgptla Whatsapp Notes pottu analyse pannanum</t>
  </si>
  <si>
    <t>Check Previous sheet for Pricing and resources</t>
  </si>
  <si>
    <t>COmpleted</t>
  </si>
  <si>
    <t>Call Recording software finalise tomorrow</t>
  </si>
  <si>
    <t>Actual to Move to Jageedeswari akka, as we wan to support womens</t>
  </si>
  <si>
    <t>Cibil Score</t>
  </si>
  <si>
    <t>Compare BNI, JCI, Rotary, and other association</t>
  </si>
  <si>
    <t>Kathika , Mathan Anna Friend Need to check for Bajaj Finance closing and Credit Card</t>
  </si>
  <si>
    <t>Social Media Manager</t>
  </si>
  <si>
    <t>Manimegai Social Media Manager Need to talk regarding Linkedin, Facebook and Instagram</t>
  </si>
  <si>
    <t>Interview</t>
  </si>
  <si>
    <t>jayashree Interview for Customer Support</t>
  </si>
  <si>
    <r>
      <rPr>
        <rFont val="Arial"/>
      </rPr>
      <t xml:space="preserve">Analyse the website for price calculation </t>
    </r>
    <r>
      <rPr>
        <rFont val="Arial"/>
        <color rgb="FF1155CC"/>
        <u/>
      </rPr>
      <t>https://www.magellan-solutions.com/blog/calculate-cost-per-call/</t>
    </r>
  </si>
  <si>
    <t>Finance</t>
  </si>
  <si>
    <t xml:space="preserve">HDFC Bank Direct visit </t>
  </si>
  <si>
    <t>Suitable for Customer Support Executive</t>
  </si>
  <si>
    <t>Target Audience List</t>
  </si>
  <si>
    <t>Asset : Post Paid Sim Purchase</t>
  </si>
  <si>
    <t xml:space="preserve">Airtel Office -&gt; Post Paid Sim  to get fancy number to display in website and marketing activities post </t>
  </si>
  <si>
    <t>1 MInutes</t>
  </si>
  <si>
    <t>Set of Questions for Client Requirement Checking</t>
  </si>
  <si>
    <t>Hiring : Appointment</t>
  </si>
  <si>
    <t>Tead lead Selvi Requirt, Monthly Salary will be 18000 initially, after 3 months the salary will be revised</t>
  </si>
  <si>
    <t>Learnings</t>
  </si>
  <si>
    <t>Public Speaking class Completde</t>
  </si>
  <si>
    <t>Wednesday</t>
  </si>
  <si>
    <t>Check all the previous Chithirai Follow up calls</t>
  </si>
  <si>
    <t>Software : Purchase</t>
  </si>
  <si>
    <t>My operator to be finalised tomorrow</t>
  </si>
  <si>
    <t>Prepare subha previous work experience</t>
  </si>
  <si>
    <t>Website content to be finalised tomorrow</t>
  </si>
  <si>
    <t>Registration</t>
  </si>
  <si>
    <t>Auditor call about registration and other prepared questions</t>
  </si>
  <si>
    <t>Services Subha worked on her experience</t>
  </si>
  <si>
    <t>Bhuvana Annie Call Preparation Industry and the services,</t>
  </si>
  <si>
    <t>Industries where BPO can give service</t>
  </si>
  <si>
    <t>Recuritments Preparations</t>
  </si>
  <si>
    <t>Cost calculation for Starter, standard, premium</t>
  </si>
  <si>
    <t>Bhuvana Annie call</t>
  </si>
  <si>
    <t>Thursday</t>
  </si>
  <si>
    <t>Client</t>
  </si>
  <si>
    <t>Sales Proposal</t>
  </si>
  <si>
    <t>Rental Agreement for Spaco Co work space</t>
  </si>
  <si>
    <t>Hire Selvi Tomorrow</t>
  </si>
  <si>
    <t>Digital Marketing</t>
  </si>
  <si>
    <t>Check Bounvoice again, and start training with bounvoice tomorrow before that speak to the employees</t>
  </si>
  <si>
    <t>Swetha</t>
  </si>
  <si>
    <t>Website followup and finalise</t>
  </si>
  <si>
    <t>Client Auaction</t>
  </si>
  <si>
    <t>Chithirai participant pulse check and how the market pricing and requirements</t>
  </si>
  <si>
    <t>Complete the Pending website content works</t>
  </si>
  <si>
    <t>Plan for social media pages</t>
  </si>
  <si>
    <t>Subu lakshmi</t>
  </si>
  <si>
    <t>HR Skill Attribute 3 days Boot camp</t>
  </si>
  <si>
    <t>Course</t>
  </si>
  <si>
    <t>Rd Business School Personal Branding</t>
  </si>
  <si>
    <t>IVR Software Analysis</t>
  </si>
  <si>
    <t>Commmercial Communication Rock Sir, regarding Yes Membership and IVR Service</t>
  </si>
  <si>
    <t xml:space="preserve">Google </t>
  </si>
  <si>
    <t>Recuritments</t>
  </si>
  <si>
    <t>Muthu kulathur regarding WFH data entry project</t>
  </si>
  <si>
    <t>Aura Gold Anand Sir, Reagrding My operator as he is already using this software</t>
  </si>
  <si>
    <t>Company Visit</t>
  </si>
  <si>
    <t xml:space="preserve">ISM Data tenkasi Muthu planning to meet tomorrow regarding vendor </t>
  </si>
  <si>
    <t>Need to speak to auditor regarding Client Agreement and Employee agreement</t>
  </si>
  <si>
    <t>Co Work space Rental agreement and EB Bill Need to check</t>
  </si>
  <si>
    <t>Karunya Team Digital Marketing need to check</t>
  </si>
  <si>
    <t>Vendor</t>
  </si>
  <si>
    <t>ISM Data Technology need to check for E book and Voice Process</t>
  </si>
  <si>
    <t xml:space="preserve">Mani megalai for Digital MArketing </t>
  </si>
  <si>
    <t>Women Empowerement Madurai Event Need to Check</t>
  </si>
  <si>
    <t>Friday</t>
  </si>
  <si>
    <t>Call to Ravi International to confirm the pricing and next step</t>
  </si>
  <si>
    <t>Call to Hepziba to confirm the pricing and next step</t>
  </si>
  <si>
    <t>Learning</t>
  </si>
  <si>
    <t xml:space="preserve">Saturday </t>
  </si>
  <si>
    <t>mentoring</t>
  </si>
  <si>
    <t>HR Skill Attribute 3 days Boot camp 25th to 27th July</t>
  </si>
  <si>
    <t>Call to Elavaran Chitti Export regarding English Telecallers</t>
  </si>
  <si>
    <t>Sunday</t>
  </si>
  <si>
    <t>Check swetha, Ramani for Data entry (Medical billing work)</t>
  </si>
  <si>
    <t>Skill Attribute Analyse and workout</t>
  </si>
  <si>
    <t>HOLD</t>
  </si>
  <si>
    <t>Lakshmi Krishna Naturals, Facing issue in labelling and becoming trend in Instagram, so they need custome support, the outlet is in samathanapuram so planning to visit directly and pitch the BPO</t>
  </si>
  <si>
    <t>RA Business school for Content Creation</t>
  </si>
  <si>
    <t>Informed Princy to document the Call recording software absorvation and Hostel in tambaram</t>
  </si>
  <si>
    <t xml:space="preserve">Tele CRM Demo </t>
  </si>
  <si>
    <t>Create a group and folder and share all the details in the group</t>
  </si>
  <si>
    <t>Mani Megalai for Social Media Marketing</t>
  </si>
  <si>
    <t>Data Entry project</t>
  </si>
  <si>
    <t>Tesing ISM Data technology in chatgpt how it will be profit, how many entries a individual can made,</t>
  </si>
  <si>
    <t>Website content checking</t>
  </si>
  <si>
    <t>Website</t>
  </si>
  <si>
    <t>Cute Pay check the status of teh website, logo and company profile</t>
  </si>
  <si>
    <t>Networking</t>
  </si>
  <si>
    <t>Searched the networking platform and explore</t>
  </si>
  <si>
    <t>Time sheet</t>
  </si>
  <si>
    <t>Update the Pending Sheet</t>
  </si>
  <si>
    <t>Check Subu Lakshmi Telecaller as she allready mentioned that she have experience in medical billing</t>
  </si>
  <si>
    <t>Search Digial MArketing Partner</t>
  </si>
  <si>
    <t>Telecaller Subu Lakshmi call not attend, share the msg that you send the resume with details regarding previous experience in Medical billing</t>
  </si>
  <si>
    <t>Software</t>
  </si>
  <si>
    <t>Tele CRM recording and Doubts clarification</t>
  </si>
  <si>
    <t>Lakshmi Krishna Naturals appointment check</t>
  </si>
  <si>
    <t>Training Session</t>
  </si>
  <si>
    <t xml:space="preserve">Jaya Shree, Swetha, Subu lakshmi, Princy shedule not confirmed, Muthulakshmi will check the recording </t>
  </si>
  <si>
    <t>Follow Happy Ending and Penniyam Academy</t>
  </si>
  <si>
    <t>Follow Auditor regarding GST, Agreement and Finance Advisor</t>
  </si>
  <si>
    <t>Talk with Princy, Subhu Lakshmi regarding Medical billing work</t>
  </si>
  <si>
    <t>Madurai Event: Women Professional Connect</t>
  </si>
  <si>
    <t>Finalise the service page for website</t>
  </si>
  <si>
    <t>HDFC Current account opening</t>
  </si>
  <si>
    <t>training Session</t>
  </si>
  <si>
    <t xml:space="preserve">Training Record check </t>
  </si>
  <si>
    <t>Auditor Kitta pesanum</t>
  </si>
  <si>
    <t>ISM Data Technology group create and training</t>
  </si>
  <si>
    <t>Tamilpreneur COimbatore networking tomorrow need to check is possible to attend tomorrow</t>
  </si>
  <si>
    <t>Digital Change Maker Orientation classs 12clk</t>
  </si>
  <si>
    <t>25+ AI tools Mastery Class Orientation in 9 PM</t>
  </si>
  <si>
    <t>DIgital Chage Makers Class 7 Pm Every Monday</t>
  </si>
  <si>
    <t>Need to share abous Us, Service and other details</t>
  </si>
  <si>
    <t>Airtel Post paid Sim</t>
  </si>
  <si>
    <t>Socail Media Page completion</t>
  </si>
  <si>
    <t>Having one medical billing Id but Manimegalai and Subu Lakshmi both are willing and both have 1 year experience in Medial billing</t>
  </si>
  <si>
    <t>Need to Complete 2 assignments in Digital video Making, having lot of videos to learn so focusing in video making to create my nichec and video strategics</t>
  </si>
  <si>
    <t>website</t>
  </si>
  <si>
    <t>Create Instagram Page, face book page, linkedin page and twitter</t>
  </si>
  <si>
    <t>Today send another set of datas</t>
  </si>
  <si>
    <t>chithirai Event</t>
  </si>
  <si>
    <t>Chennai travel</t>
  </si>
  <si>
    <t>Return to Tirunelveli from Chennai</t>
  </si>
  <si>
    <t>Asset purchase</t>
  </si>
  <si>
    <t>Saturday</t>
  </si>
  <si>
    <t>laptop Collect</t>
  </si>
  <si>
    <t>10:5</t>
  </si>
  <si>
    <t>Client Followup</t>
  </si>
  <si>
    <t>Send a reminder whatsapp msg to i met at chithirai event</t>
  </si>
  <si>
    <t>whatsapp msg</t>
  </si>
  <si>
    <t>Laptop Setup</t>
  </si>
  <si>
    <t>completed</t>
  </si>
  <si>
    <t>Employees Schedule Confirmation</t>
  </si>
  <si>
    <t>Whatsa app</t>
  </si>
  <si>
    <t>friendly call (Incoming call)</t>
  </si>
  <si>
    <t>Falmora Ragi chennai event participants</t>
  </si>
  <si>
    <t>Call center pricing analysis</t>
  </si>
  <si>
    <t>Mentoring Session</t>
  </si>
  <si>
    <t>Senthil Anna call regarding client pricing and general discussion</t>
  </si>
  <si>
    <t>Chithirai Chennai Event: Transcript</t>
  </si>
  <si>
    <t>Initially tried Perplexity but stopped in Mid half do started to download and convert Mpeg to MP3 and upload in sarvai Ai and got the transcipt</t>
  </si>
  <si>
    <t>Planner</t>
  </si>
  <si>
    <t>Planning and Dailyy planner  =sheet updated</t>
  </si>
  <si>
    <t>Palnner Sheet Updated</t>
  </si>
  <si>
    <t>Personal Incoming call</t>
  </si>
  <si>
    <t>Parvathy regading Bairava school Issue, they send outside of the class room because he made lot of noise in class room</t>
  </si>
  <si>
    <t>Arefa Trainer regarding Bairava School Issue</t>
  </si>
  <si>
    <t>Recording Software Purchase</t>
  </si>
  <si>
    <t>TeleCMI Ravindar for 2 agents purchase called</t>
  </si>
  <si>
    <t>BPO training class ned to attend, Tried Pradeep call not picked</t>
  </si>
  <si>
    <t>Hiring - Preparation</t>
  </si>
  <si>
    <t>Hiring - Google Meet link</t>
  </si>
  <si>
    <t>Googel Meet Link Created</t>
  </si>
  <si>
    <t>Hiring - Interview</t>
  </si>
  <si>
    <t>Jothi Prakash Diabetic Patient, Viestage, Parvathy Reference, Amutha akka product eduthu pannura company</t>
  </si>
  <si>
    <t>Lunch</t>
  </si>
  <si>
    <t>Incoming call</t>
  </si>
  <si>
    <t>Senthil Anna call</t>
  </si>
  <si>
    <t>Tata tele Service</t>
  </si>
  <si>
    <t>Bajaj Finance, 24000 pay pannuna NDC issue pannuren sollranga</t>
  </si>
  <si>
    <t>Employee</t>
  </si>
  <si>
    <t>Subu Lakshmi call asked sim for call training purpose</t>
  </si>
  <si>
    <t>6.30 Pm</t>
  </si>
  <si>
    <t>Planner and Daily tracker updation</t>
  </si>
  <si>
    <t>At Team main accounts need to be updated</t>
  </si>
  <si>
    <t>Asked for queartely but they mentioned not possible</t>
  </si>
  <si>
    <t>Team Lead</t>
  </si>
  <si>
    <t>Selvi Team Lead informed to check the call recording software</t>
  </si>
  <si>
    <t>Pricing Calculation Analysis</t>
  </si>
  <si>
    <t>https://www.magellan-solutions.com/blog/calculate-cost-per-call/</t>
  </si>
  <si>
    <t>Jenolin about her twin kids and chennai event details</t>
  </si>
  <si>
    <t xml:space="preserve">BPO Training Class </t>
  </si>
  <si>
    <t xml:space="preserve">Incoming call </t>
  </si>
  <si>
    <t>Rem Lead : Selvi regarding the My operator and zoho book pricing</t>
  </si>
  <si>
    <t>Break</t>
  </si>
  <si>
    <t>Analysis</t>
  </si>
  <si>
    <t xml:space="preserve">Creating sales proposal </t>
  </si>
  <si>
    <t>tea Break</t>
  </si>
  <si>
    <t>Senthil Anna Call</t>
  </si>
  <si>
    <t>Tracker</t>
  </si>
  <si>
    <t xml:space="preserve">Updated the Pending  time sheet, daily tracker, planner </t>
  </si>
  <si>
    <t>Technical Issue</t>
  </si>
  <si>
    <t>Particularly in Time sheet The bottom sheet name is not visible when the column hides only the bottom sheet name is displaying</t>
  </si>
  <si>
    <t>Holding</t>
  </si>
  <si>
    <t>Taking so much time so holding moved to New sheet</t>
  </si>
  <si>
    <t>QUestion Preparation</t>
  </si>
  <si>
    <t>Auditor Question preparation regarding name change issue and what are all the things we consider for a company</t>
  </si>
  <si>
    <t>Compled</t>
  </si>
  <si>
    <t>My operator for call recording</t>
  </si>
  <si>
    <t>Create a New Audio and Audio Shared in Software Analysis group</t>
  </si>
  <si>
    <t>Confirmed through Whatsapp that she is available to join the demo</t>
  </si>
  <si>
    <t>Demo</t>
  </si>
  <si>
    <t>My Operator Call Recording software demo</t>
  </si>
  <si>
    <t>Incomig Call</t>
  </si>
  <si>
    <t>Team Lead Selvi call regarding the My Operator</t>
  </si>
  <si>
    <t>Karthiga HDFC Bank Credit card and cibil score</t>
  </si>
  <si>
    <t>Google Meet</t>
  </si>
  <si>
    <t>Update the planner and daily planner</t>
  </si>
  <si>
    <t xml:space="preserve">Bank Work </t>
  </si>
  <si>
    <t>HDFC Bank Karthiga Mathan Anna Friend: Regarding Credit card, credit card applied with 25000 fixed deposit, we can use 20,000 after that it will increase based on our performance, Current account and salary account details check, While checking refered a KTC Nagar Auditor Vignesh for Cancellation the old MSME and applying New MSME and GST, he will check with the MSME for the drawback for the cancellation and what source to apply for Startup funds, Shared Adhar and Pan card for checking</t>
  </si>
  <si>
    <t>9.30 Am</t>
  </si>
  <si>
    <t>Srilanka Event</t>
  </si>
  <si>
    <t>Eswari Call regarding Srilanka Event for Visa and team Discount</t>
  </si>
  <si>
    <t>Auditor</t>
  </si>
  <si>
    <t>Auditor for OTP</t>
  </si>
  <si>
    <t>Website content check</t>
  </si>
  <si>
    <t>2.30 PM</t>
  </si>
  <si>
    <t>Banking</t>
  </si>
  <si>
    <t>HDFC OTP for Credit card</t>
  </si>
  <si>
    <t>2.43 PM</t>
  </si>
  <si>
    <t>2.50 PM</t>
  </si>
  <si>
    <t>Subha BPO Training</t>
  </si>
  <si>
    <t>Live call Practice</t>
  </si>
  <si>
    <t>Called pooja not attend so shared the msg</t>
  </si>
  <si>
    <t>Website  Content check for about page and service page</t>
  </si>
  <si>
    <t xml:space="preserve">Bhuvana Annie call </t>
  </si>
  <si>
    <t>Daily Tracker and Planner Update</t>
  </si>
  <si>
    <t>Team Lead : selvi regarding the confirmation</t>
  </si>
  <si>
    <t>Chithirai CLient Pitch and Database enter</t>
  </si>
  <si>
    <t>Class Started Skill Arbitrage</t>
  </si>
  <si>
    <t>9.30 Pm</t>
  </si>
  <si>
    <t>Time Sheet</t>
  </si>
  <si>
    <t>Yesterday Pending Time sheet</t>
  </si>
  <si>
    <t>Sharing all the yesterday Skill Atribute Class in a folder and creating group</t>
  </si>
  <si>
    <t>Sales Call planning</t>
  </si>
  <si>
    <t>Software &amp; Yes Networking</t>
  </si>
  <si>
    <t>Commercial Communication Rock Sir</t>
  </si>
  <si>
    <t>Ringing</t>
  </si>
  <si>
    <t>Aura Gold Anand</t>
  </si>
  <si>
    <t>Number Busy</t>
  </si>
  <si>
    <t>Data Entry works</t>
  </si>
  <si>
    <t xml:space="preserve">ISM Data tenkasi Muthu </t>
  </si>
  <si>
    <t xml:space="preserve">Planning to meet him tomorrow </t>
  </si>
  <si>
    <t>Princy Telecaller</t>
  </si>
  <si>
    <t>Subhu Lakshmi Telecaller</t>
  </si>
  <si>
    <t>Staff Regular activity</t>
  </si>
  <si>
    <t>Selvi Team Lead Call</t>
  </si>
  <si>
    <t>Travel</t>
  </si>
  <si>
    <t>From Home to tenkasi ISM Data Technology,</t>
  </si>
  <si>
    <t>Started working for Price to give to Ravi International and Sathya priya event management</t>
  </si>
  <si>
    <t>ISM DATA Technology direct visit</t>
  </si>
  <si>
    <t>ISM Medical Billing agrrement Check</t>
  </si>
  <si>
    <t>Call Pricing</t>
  </si>
  <si>
    <t>ISM Data Technology regarding the pricing, he mention initially a user can make rs.10000 per month, we are getting monthly Rs.35000 from a user with 3 months experience</t>
  </si>
  <si>
    <t>Event</t>
  </si>
  <si>
    <t>women professional connect</t>
  </si>
  <si>
    <t>Inform the team to contact you</t>
  </si>
  <si>
    <t>Penniyam Academy</t>
  </si>
  <si>
    <t>Tamilarasi contact person, share all the details in whatsapp sir will check and update</t>
  </si>
  <si>
    <t>Client pricing</t>
  </si>
  <si>
    <t>Client pricing broucher prepared</t>
  </si>
  <si>
    <t>Vignesh Auditor regarding Client Agreement and Employee Agreement</t>
  </si>
  <si>
    <t>Poster Creation</t>
  </si>
  <si>
    <t>Poster creation for Meta Ads</t>
  </si>
  <si>
    <t>Time sheet Update</t>
  </si>
  <si>
    <t>Yesterday Pending Time sheet Updated</t>
  </si>
  <si>
    <t>Employees Issues regarding Palm era training handled</t>
  </si>
  <si>
    <t>Exploring Tamilpreneur Community</t>
  </si>
  <si>
    <t>Exploring ZOHO Startup features</t>
  </si>
  <si>
    <t>Cute Web Website correction co ordination</t>
  </si>
  <si>
    <t>TamilPreneur Madhan Kumar</t>
  </si>
  <si>
    <t>Networking and general discussion</t>
  </si>
  <si>
    <t>Chithirai Participant Ragavi</t>
  </si>
  <si>
    <t>Cold calling &amp; Data Collection</t>
  </si>
  <si>
    <t>Checking Business peoples in Instagram and sending personalised msg</t>
  </si>
  <si>
    <t>For rental aggrement witness sign pannurathu avnaga kila vanthnaga poi sign vangittu vanthen</t>
  </si>
  <si>
    <t>Client Acusation</t>
  </si>
  <si>
    <t>Elavarasan Chiti Export Chennai event participant</t>
  </si>
  <si>
    <t>Tamil Prennuer Membership details check and explore</t>
  </si>
  <si>
    <t>Searching</t>
  </si>
  <si>
    <t>Searched crm cum call recording software, what to do next, For Meta 10 creatives concept 3 creatives done , balance need to update</t>
  </si>
  <si>
    <t>Software Demo</t>
  </si>
  <si>
    <t>Data Entry Project</t>
  </si>
  <si>
    <t>Tele CRM Demo Video Check and price comparison and new crm software analysis</t>
  </si>
  <si>
    <t>Cheked tamiprenuer community check all the post and active members and explore the event activities</t>
  </si>
  <si>
    <t>Digital Marketign related videos checked, How to run Meta ads</t>
  </si>
  <si>
    <t>Class</t>
  </si>
  <si>
    <t>Expore Women Professional connect instagram about the founder and Member</t>
  </si>
  <si>
    <t>Reached Event</t>
  </si>
  <si>
    <t>Digital Change Maker class</t>
  </si>
  <si>
    <t>Explore the DIgital Change Maker class Detail, filled the orientation form, Recheck the videos</t>
  </si>
  <si>
    <t>ISM Data Technology Agrrement check and signed</t>
  </si>
  <si>
    <t>Check in Instagram for business networking and company requirements</t>
  </si>
  <si>
    <t>25 + AI Tools master Class</t>
  </si>
  <si>
    <t>Checked the linked in Page</t>
  </si>
  <si>
    <t>HDFC Current account Opening (Avangalaya FLex, Rubber stamp ellam seiyya sollitten evening vanthu documents sign vangikuren sollitanga, initial 10,000)</t>
  </si>
  <si>
    <t xml:space="preserve">Auditor </t>
  </si>
  <si>
    <t>Subathra Mohith Friend Mother (BNI &amp; TVK)</t>
  </si>
  <si>
    <t>Digital Change Maker Orientation Class</t>
  </si>
  <si>
    <t>Lunch eduthuttu varala so poi juice kudichuttu vanthen</t>
  </si>
  <si>
    <t>Tamilpreneue Madhan Kumar regarding coimbatore event and Morning got a refenrence from his team met anand for call center works</t>
  </si>
  <si>
    <t xml:space="preserve">HDFC CUrrent account OTP works </t>
  </si>
  <si>
    <t>ISM Data technology group details checked</t>
  </si>
  <si>
    <t>Checked the LML platform</t>
  </si>
  <si>
    <t xml:space="preserve">Website check for Live </t>
  </si>
  <si>
    <t>Airtel Post Paid connection checked, Documents needed (GST, MSME, For seal, Letter Head, Adhar and Pancard)</t>
  </si>
  <si>
    <t>Social Media page checked for Website, Instagram page completed, Facebook and Linkedin page need to be complete tomorrow, waiting for Post Paid number</t>
  </si>
  <si>
    <t>25+ AI Tools Orientation</t>
  </si>
  <si>
    <t>ISM Data Dechnology Training</t>
  </si>
  <si>
    <t>Digital Change Maker Video Making One to one call</t>
  </si>
  <si>
    <t>Checking the Mediacl Billing training video</t>
  </si>
  <si>
    <t>Check to Employees who are all willing to do Project</t>
  </si>
  <si>
    <t>Assignment: Preparing Niche for Ival Puthiya Business solution</t>
  </si>
  <si>
    <t>Linkedin: Lakshmi Krishna Naturals, trying to reach through Tirunelveli office buit No response from Customer support side, so Searched the Linkedin profile and shared the connect request with Note</t>
  </si>
  <si>
    <t>https://www.linkedin.com/in/mohan-lkn-207301326/?skipRedirect=true</t>
  </si>
  <si>
    <t>HDFC Bank for current account opening,</t>
  </si>
  <si>
    <t>Checked Instagram Page</t>
  </si>
  <si>
    <t>AIrtel Office Direct visit for Post paid Sim, PArticular person not in office and get the phone number</t>
  </si>
  <si>
    <t>Letter PAd Creation</t>
  </si>
  <si>
    <t>Vlook Up Weekdays formula checked</t>
  </si>
  <si>
    <t xml:space="preserve">Time sheet Pending </t>
  </si>
  <si>
    <t>Digital Change maker video previous checking</t>
  </si>
  <si>
    <t>Time sheet update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</si>
</sst>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mm-yyyy"/>
    <numFmt numFmtId="165" formatCode="h:mm am/pm"/>
    <numFmt numFmtId="166" formatCode="d-mmmm-yyyy"/>
    <numFmt numFmtId="167" formatCode="mm-dd-yyyy"/>
    <numFmt numFmtId="168" formatCode="d- mmm-yyyy"/>
  </numFmts>
  <fonts count="11">
    <font>
      <sz val="10.0"/>
      <color rgb="FF000000"/>
      <name val="Arial"/>
      <scheme val="minor"/>
    </font>
    <font>
      <b/>
      <sz val="11.0"/>
      <color rgb="FFFFFFFF"/>
      <name val="Calibri"/>
    </font>
    <font>
      <color theme="1"/>
      <name val="Arial"/>
    </font>
    <font>
      <sz val="11.0"/>
      <color theme="1"/>
      <name val="Calibri"/>
    </font>
    <font>
      <color theme="1"/>
      <name val="Arial"/>
      <scheme val="minor"/>
    </font>
    <font>
      <u/>
      <color rgb="FF0000FF"/>
    </font>
    <font>
      <u/>
      <color rgb="FF0000FF"/>
    </font>
    <font>
      <u/>
      <color theme="1"/>
      <name val="Arial"/>
    </font>
    <font>
      <u/>
      <color rgb="FF0000FF"/>
      <name val="Arial"/>
    </font>
    <font>
      <u/>
      <color rgb="FF0000FF"/>
      <name val="Arial"/>
    </font>
    <font>
      <u/>
      <color theme="1"/>
      <name val="Arial"/>
    </font>
  </fonts>
  <fills count="6">
    <fill>
      <patternFill patternType="none"/>
    </fill>
    <fill>
      <patternFill patternType="lightGray"/>
    </fill>
    <fill>
      <patternFill patternType="solid">
        <fgColor rgb="FF1F4E78"/>
        <bgColor rgb="FF1F4E78"/>
      </patternFill>
    </fill>
    <fill>
      <patternFill patternType="solid">
        <fgColor rgb="FFFFD966"/>
        <bgColor rgb="FFFFD966"/>
      </patternFill>
    </fill>
    <fill>
      <patternFill patternType="solid">
        <fgColor rgb="FFFFE599"/>
        <bgColor rgb="FFFFE599"/>
      </patternFill>
    </fill>
    <fill>
      <patternFill patternType="solid">
        <fgColor rgb="FFFFFFFF"/>
        <bgColor rgb="FFFFFFFF"/>
      </patternFill>
    </fill>
  </fills>
  <borders count="3">
    <border/>
    <border>
      <left style="thin">
        <color rgb="FF808080"/>
      </left>
      <right style="thin">
        <color rgb="FF808080"/>
      </right>
      <top style="thin">
        <color rgb="FF808080"/>
      </top>
      <bottom style="thin">
        <color rgb="FF80808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2" fillId="2" fontId="1" numFmtId="0" xfId="0" applyAlignment="1" applyBorder="1" applyFont="1">
      <alignment horizontal="center" shrinkToFit="0" vertical="bottom" wrapText="1"/>
    </xf>
    <xf borderId="2" fillId="2" fontId="1" numFmtId="0" xfId="0" applyAlignment="1" applyBorder="1" applyFont="1">
      <alignment horizontal="center" readingOrder="0" shrinkToFit="0" vertical="bottom" wrapText="1"/>
    </xf>
    <xf borderId="0" fillId="0" fontId="2" numFmtId="0" xfId="0" applyAlignment="1" applyFont="1">
      <alignment vertical="bottom"/>
    </xf>
    <xf borderId="0" fillId="0" fontId="3" numFmtId="164" xfId="0" applyAlignment="1" applyFont="1" applyNumberFormat="1">
      <alignment horizontal="right" vertical="bottom"/>
    </xf>
    <xf borderId="0" fillId="0" fontId="2" numFmtId="165" xfId="0" applyAlignment="1" applyFont="1" applyNumberFormat="1">
      <alignment horizontal="right" vertical="bottom"/>
    </xf>
    <xf borderId="0" fillId="2" fontId="1" numFmtId="0" xfId="0" applyAlignment="1" applyFont="1">
      <alignment horizontal="center" shrinkToFit="0" vertical="bottom" wrapText="1"/>
    </xf>
    <xf borderId="0" fillId="0" fontId="2" numFmtId="0" xfId="0" applyAlignment="1" applyFont="1">
      <alignment horizontal="right" vertical="bottom"/>
    </xf>
    <xf borderId="0" fillId="3" fontId="2" numFmtId="0" xfId="0" applyAlignment="1" applyFill="1" applyFont="1">
      <alignment vertical="bottom"/>
    </xf>
    <xf borderId="0" fillId="0" fontId="2" numFmtId="0" xfId="0" applyFont="1"/>
    <xf borderId="0" fillId="0" fontId="2" numFmtId="164" xfId="0" applyAlignment="1" applyFont="1" applyNumberFormat="1">
      <alignment horizontal="right" vertical="bottom"/>
    </xf>
    <xf borderId="2" fillId="0" fontId="3" numFmtId="0" xfId="0" applyAlignment="1" applyBorder="1" applyFont="1">
      <alignment horizontal="right" vertical="bottom"/>
    </xf>
    <xf borderId="2" fillId="0" fontId="3" numFmtId="164" xfId="0" applyAlignment="1" applyBorder="1" applyFont="1" applyNumberFormat="1">
      <alignment horizontal="right" vertical="bottom"/>
    </xf>
    <xf borderId="2" fillId="0" fontId="3" numFmtId="165" xfId="0" applyAlignment="1" applyBorder="1" applyFont="1" applyNumberFormat="1">
      <alignment vertical="bottom"/>
    </xf>
    <xf borderId="2" fillId="4" fontId="2" numFmtId="0" xfId="0" applyAlignment="1" applyBorder="1" applyFill="1" applyFont="1">
      <alignment readingOrder="0" vertical="bottom"/>
    </xf>
    <xf borderId="0" fillId="0" fontId="2" numFmtId="0" xfId="0" applyAlignment="1" applyFont="1">
      <alignment horizontal="right"/>
    </xf>
    <xf borderId="2" fillId="0" fontId="3" numFmtId="0" xfId="0" applyAlignment="1" applyBorder="1" applyFont="1">
      <alignment vertical="bottom"/>
    </xf>
    <xf borderId="2" fillId="0" fontId="3" numFmtId="0" xfId="0" applyAlignment="1" applyBorder="1" applyFont="1">
      <alignment shrinkToFit="0" vertical="bottom" wrapText="1"/>
    </xf>
    <xf borderId="0" fillId="0" fontId="2" numFmtId="164" xfId="0" applyFont="1" applyNumberFormat="1"/>
    <xf borderId="0" fillId="0" fontId="2" numFmtId="165" xfId="0" applyAlignment="1" applyFont="1" applyNumberFormat="1">
      <alignment horizontal="center"/>
    </xf>
    <xf borderId="0" fillId="0" fontId="4" numFmtId="0" xfId="0" applyAlignment="1" applyFont="1">
      <alignment horizontal="center"/>
    </xf>
    <xf borderId="0" fillId="0" fontId="2" numFmtId="166" xfId="0" applyFont="1" applyNumberFormat="1"/>
    <xf borderId="0" fillId="0" fontId="2" numFmtId="164" xfId="0" applyAlignment="1" applyFont="1" applyNumberFormat="1">
      <alignment vertical="bottom"/>
    </xf>
    <xf borderId="0" fillId="0" fontId="2" numFmtId="165" xfId="0" applyFont="1" applyNumberFormat="1"/>
    <xf borderId="0" fillId="0" fontId="2" numFmtId="0" xfId="0" applyAlignment="1" applyFont="1">
      <alignment horizontal="center"/>
    </xf>
    <xf borderId="0" fillId="0" fontId="4" numFmtId="165" xfId="0" applyAlignment="1" applyFont="1" applyNumberFormat="1">
      <alignment horizontal="center" readingOrder="0"/>
    </xf>
    <xf borderId="0" fillId="0" fontId="4" numFmtId="166" xfId="0" applyAlignment="1" applyFont="1" applyNumberFormat="1">
      <alignment readingOrder="0"/>
    </xf>
    <xf borderId="0" fillId="0" fontId="4" numFmtId="0" xfId="0" applyAlignment="1" applyFont="1">
      <alignment readingOrder="0"/>
    </xf>
    <xf borderId="2" fillId="0" fontId="2" numFmtId="0" xfId="0" applyAlignment="1" applyBorder="1" applyFont="1">
      <alignment horizontal="right" vertical="bottom"/>
    </xf>
    <xf borderId="0" fillId="0" fontId="4" numFmtId="20" xfId="0" applyAlignment="1" applyFont="1" applyNumberFormat="1">
      <alignment horizontal="center" readingOrder="0"/>
    </xf>
    <xf borderId="2" fillId="0" fontId="2" numFmtId="0" xfId="0" applyAlignment="1" applyBorder="1" applyFont="1">
      <alignment vertical="bottom"/>
    </xf>
    <xf borderId="2" fillId="0" fontId="2" numFmtId="0" xfId="0" applyAlignment="1" applyBorder="1" applyFont="1">
      <alignment shrinkToFit="0" vertical="bottom" wrapText="1"/>
    </xf>
    <xf borderId="0" fillId="0" fontId="2" numFmtId="165" xfId="0" applyAlignment="1" applyFont="1" applyNumberFormat="1">
      <alignment vertical="bottom"/>
    </xf>
    <xf borderId="0" fillId="0" fontId="2" numFmtId="167" xfId="0" applyAlignment="1" applyFont="1" applyNumberFormat="1">
      <alignment vertical="bottom"/>
    </xf>
    <xf borderId="0" fillId="0" fontId="4" numFmtId="0" xfId="0" applyAlignment="1" applyFont="1">
      <alignment horizontal="center" readingOrder="0"/>
    </xf>
    <xf borderId="0" fillId="0" fontId="4" numFmtId="164" xfId="0" applyAlignment="1" applyFont="1" applyNumberFormat="1">
      <alignment readingOrder="0"/>
    </xf>
    <xf borderId="2" fillId="0" fontId="2" numFmtId="165" xfId="0" applyAlignment="1" applyBorder="1" applyFont="1" applyNumberFormat="1">
      <alignment vertical="bottom"/>
    </xf>
    <xf borderId="0" fillId="0" fontId="5" numFmtId="0" xfId="0" applyFont="1"/>
    <xf borderId="0" fillId="0" fontId="4" numFmtId="165" xfId="0" applyAlignment="1" applyFont="1" applyNumberFormat="1">
      <alignment readingOrder="0"/>
    </xf>
    <xf borderId="0" fillId="0" fontId="2" numFmtId="20" xfId="0" applyAlignment="1" applyFont="1" applyNumberFormat="1">
      <alignment horizontal="right" vertical="bottom"/>
    </xf>
    <xf borderId="0" fillId="0" fontId="4" numFmtId="168" xfId="0" applyAlignment="1" applyFont="1" applyNumberFormat="1">
      <alignment readingOrder="0"/>
    </xf>
    <xf borderId="2" fillId="0" fontId="2" numFmtId="0" xfId="0" applyBorder="1" applyFont="1"/>
    <xf borderId="0" fillId="0" fontId="4" numFmtId="0" xfId="0" applyAlignment="1" applyFont="1">
      <alignment horizontal="right"/>
    </xf>
    <xf borderId="0" fillId="0" fontId="6" numFmtId="0" xfId="0" applyAlignment="1" applyFont="1">
      <alignment readingOrder="0"/>
    </xf>
    <xf borderId="0" fillId="0" fontId="7" numFmtId="0" xfId="0" applyAlignment="1" applyFont="1">
      <alignment readingOrder="0" vertical="bottom"/>
    </xf>
    <xf borderId="2" fillId="0" fontId="4" numFmtId="0" xfId="0" applyBorder="1" applyFont="1"/>
    <xf borderId="0" fillId="0" fontId="8" numFmtId="0" xfId="0" applyAlignment="1" applyFont="1">
      <alignment vertical="bottom"/>
    </xf>
    <xf borderId="0" fillId="0" fontId="2" numFmtId="164" xfId="0" applyAlignment="1" applyFont="1" applyNumberFormat="1">
      <alignment readingOrder="0" vertical="bottom"/>
    </xf>
    <xf borderId="0" fillId="0" fontId="2" numFmtId="165" xfId="0" applyAlignment="1" applyFont="1" applyNumberFormat="1">
      <alignment readingOrder="0" vertical="bottom"/>
    </xf>
    <xf borderId="0" fillId="0" fontId="2" numFmtId="0" xfId="0" applyAlignment="1" applyFont="1">
      <alignment readingOrder="0" vertical="bottom"/>
    </xf>
    <xf borderId="0" fillId="0" fontId="2" numFmtId="0" xfId="0" applyAlignment="1" applyFont="1">
      <alignment horizontal="left" readingOrder="0"/>
    </xf>
    <xf borderId="0" fillId="0" fontId="2" numFmtId="165" xfId="0" applyAlignment="1" applyFont="1" applyNumberFormat="1">
      <alignment horizontal="right" readingOrder="0" vertical="bottom"/>
    </xf>
    <xf borderId="0" fillId="0" fontId="2" numFmtId="166" xfId="0" applyAlignment="1" applyFont="1" applyNumberFormat="1">
      <alignment readingOrder="0" vertical="bottom"/>
    </xf>
    <xf borderId="0" fillId="0" fontId="4" numFmtId="20" xfId="0" applyAlignment="1" applyFont="1" applyNumberFormat="1">
      <alignment readingOrder="0"/>
    </xf>
    <xf borderId="0" fillId="0" fontId="4" numFmtId="0" xfId="0" applyAlignment="1" applyFont="1">
      <alignment readingOrder="0" shrinkToFit="0" wrapText="1"/>
    </xf>
    <xf borderId="0" fillId="5" fontId="4" numFmtId="0" xfId="0" applyAlignment="1" applyFill="1" applyFont="1">
      <alignment readingOrder="0"/>
    </xf>
    <xf borderId="0" fillId="5" fontId="4" numFmtId="165" xfId="0" applyAlignment="1" applyFont="1" applyNumberFormat="1">
      <alignment readingOrder="0"/>
    </xf>
    <xf borderId="0" fillId="5" fontId="4" numFmtId="0" xfId="0" applyFont="1"/>
    <xf borderId="0" fillId="5" fontId="4" numFmtId="164" xfId="0" applyAlignment="1" applyFont="1" applyNumberFormat="1">
      <alignment readingOrder="0"/>
    </xf>
    <xf borderId="0" fillId="5" fontId="2" numFmtId="0" xfId="0" applyAlignment="1" applyFont="1">
      <alignment vertical="bottom"/>
    </xf>
    <xf borderId="0" fillId="0" fontId="4" numFmtId="0" xfId="0" applyFont="1"/>
    <xf borderId="2" fillId="0" fontId="2" numFmtId="164" xfId="0" applyAlignment="1" applyBorder="1" applyFont="1" applyNumberFormat="1">
      <alignment vertical="bottom"/>
    </xf>
    <xf borderId="2" fillId="0" fontId="2" numFmtId="20" xfId="0" applyBorder="1" applyFont="1" applyNumberFormat="1"/>
    <xf borderId="2" fillId="0" fontId="2" numFmtId="165" xfId="0" applyBorder="1" applyFont="1" applyNumberFormat="1"/>
    <xf borderId="2" fillId="0" fontId="2" numFmtId="164" xfId="0" applyAlignment="1" applyBorder="1" applyFont="1" applyNumberFormat="1">
      <alignment horizontal="right" vertical="bottom"/>
    </xf>
    <xf borderId="2" fillId="0" fontId="2" numFmtId="165" xfId="0" applyAlignment="1" applyBorder="1" applyFont="1" applyNumberFormat="1">
      <alignment horizontal="right" vertical="bottom"/>
    </xf>
    <xf borderId="2" fillId="0" fontId="2" numFmtId="20" xfId="0" applyAlignment="1" applyBorder="1" applyFont="1" applyNumberFormat="1">
      <alignment vertical="bottom"/>
    </xf>
    <xf borderId="2" fillId="0" fontId="2" numFmtId="0" xfId="0" applyAlignment="1" applyBorder="1" applyFont="1">
      <alignment shrinkToFit="0" wrapText="1"/>
    </xf>
    <xf borderId="2" fillId="0" fontId="9" numFmtId="0" xfId="0" applyAlignment="1" applyBorder="1" applyFont="1">
      <alignment shrinkToFit="0" vertical="bottom" wrapText="1"/>
    </xf>
    <xf borderId="2" fillId="0" fontId="2" numFmtId="165" xfId="0" applyAlignment="1" applyBorder="1" applyFont="1" applyNumberFormat="1">
      <alignment readingOrder="0" vertical="bottom"/>
    </xf>
    <xf borderId="2" fillId="0" fontId="2" numFmtId="0" xfId="0" applyAlignment="1" applyBorder="1" applyFont="1">
      <alignment readingOrder="0" vertical="bottom"/>
    </xf>
    <xf borderId="2" fillId="0" fontId="2" numFmtId="0" xfId="0" applyAlignment="1" applyBorder="1" applyFont="1">
      <alignment readingOrder="0" shrinkToFit="0" vertical="bottom" wrapText="1"/>
    </xf>
    <xf borderId="2" fillId="0" fontId="10" numFmtId="0" xfId="0" applyAlignment="1" applyBorder="1" applyFont="1">
      <alignment readingOrder="0" vertical="bottom"/>
    </xf>
    <xf borderId="2" fillId="0" fontId="2" numFmtId="165" xfId="0" applyAlignment="1" applyBorder="1" applyFont="1" applyNumberFormat="1">
      <alignment horizontal="right" readingOrder="0" vertical="bottom"/>
    </xf>
    <xf borderId="2" fillId="0" fontId="2" numFmtId="166" xfId="0" applyAlignment="1" applyBorder="1" applyFont="1" applyNumberFormat="1">
      <alignment readingOrder="0" vertical="bottom"/>
    </xf>
    <xf borderId="2" fillId="0" fontId="4" numFmtId="0" xfId="0" applyAlignment="1" applyBorder="1" applyFont="1">
      <alignment readingOrder="0" shrinkToFit="0" wrapText="1"/>
    </xf>
    <xf borderId="2" fillId="0" fontId="4" numFmtId="165" xfId="0" applyAlignment="1" applyBorder="1" applyFont="1" applyNumberFormat="1">
      <alignment horizontal="center" readingOrder="0"/>
    </xf>
    <xf borderId="2" fillId="0" fontId="2" numFmtId="164" xfId="0" applyAlignment="1" applyBorder="1" applyFont="1" applyNumberFormat="1">
      <alignment readingOrder="0" vertical="bottom"/>
    </xf>
    <xf borderId="2" fillId="0" fontId="4" numFmtId="20" xfId="0" applyAlignment="1" applyBorder="1" applyFont="1" applyNumberFormat="1">
      <alignment readingOrder="0"/>
    </xf>
    <xf borderId="2" fillId="0" fontId="2" numFmtId="20" xfId="0" applyAlignment="1" applyBorder="1" applyFont="1" applyNumberFormat="1">
      <alignment readingOrder="0" vertical="bottom"/>
    </xf>
    <xf borderId="2" fillId="0" fontId="4" numFmtId="0" xfId="0" applyAlignment="1" applyBorder="1" applyFont="1">
      <alignment readingOrder="0"/>
    </xf>
    <xf borderId="2" fillId="0" fontId="4" numFmtId="165" xfId="0" applyAlignment="1" applyBorder="1" applyFont="1" applyNumberFormat="1">
      <alignment readingOrder="0"/>
    </xf>
    <xf borderId="0" fillId="0" fontId="2" numFmtId="0" xfId="0" applyAlignment="1" applyFont="1">
      <alignment readingOrder="0" shrinkToFit="0" vertical="bottom" wrapText="1"/>
    </xf>
    <xf borderId="0" fillId="0" fontId="2" numFmtId="20" xfId="0" applyAlignment="1" applyFont="1" applyNumberFormat="1">
      <alignment readingOrder="0" vertical="bottom"/>
    </xf>
    <xf borderId="0" fillId="0" fontId="2" numFmtId="0" xfId="0" applyAlignment="1" applyFont="1">
      <alignment shrinkToFit="0" vertical="bottom" wrapText="1"/>
    </xf>
    <xf borderId="0" fillId="0" fontId="4"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magellan-solutions.com/blog/calculate-cost-per-call/" TargetMode="External"/><Relationship Id="rId3" Type="http://schemas.openxmlformats.org/officeDocument/2006/relationships/hyperlink" Target="https://www.magellan-solutions.com/blog/calculate-cost-per-call/" TargetMode="External"/><Relationship Id="rId4" Type="http://schemas.openxmlformats.org/officeDocument/2006/relationships/hyperlink" Target="https://docs.google.com/spreadsheets/d/1BX1arbiV9XQvbCuUtAJIHWUkeA-NH-pXHAf1W1kwv68/edit?usp=sharing" TargetMode="External"/><Relationship Id="rId5" Type="http://schemas.openxmlformats.org/officeDocument/2006/relationships/hyperlink" Target="https://www.linkedin.com/in/mohan-lkn-207301326/?skipRedirect=true"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BX1arbiV9XQvbCuUtAJIHWUkeA-NH-pXHAf1W1kwv68/edit?usp=sharing" TargetMode="External"/><Relationship Id="rId2" Type="http://schemas.openxmlformats.org/officeDocument/2006/relationships/hyperlink" Target="https://www.magellan-solutions.com/blog/calculate-cost-per-call/"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magellan-solutions.com/blog/calculate-cost-per-call/" TargetMode="External"/><Relationship Id="rId2" Type="http://schemas.openxmlformats.org/officeDocument/2006/relationships/hyperlink" Target="https://docs.google.com/spreadsheets/d/1BX1arbiV9XQvbCuUtAJIHWUkeA-NH-pXHAf1W1kwv68/edit?usp=sharing"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88"/>
    <col customWidth="1" min="2" max="2" width="10.63"/>
    <col customWidth="1" min="3" max="3" width="8.25"/>
    <col customWidth="1" min="4" max="4" width="9.75"/>
    <col customWidth="1" min="5" max="5" width="16.25"/>
    <col customWidth="1" min="6" max="6" width="50.13"/>
    <col customWidth="1" min="8" max="8" width="9.75"/>
    <col customWidth="1" min="9" max="9" width="10.63"/>
    <col customWidth="1" min="10" max="11" width="10.0"/>
    <col customWidth="1" min="12" max="12" width="9.63"/>
    <col customWidth="1" min="13" max="13" width="9.13"/>
  </cols>
  <sheetData>
    <row r="1">
      <c r="A1" s="2" t="s">
        <v>0</v>
      </c>
      <c r="B1" s="3" t="s">
        <v>8</v>
      </c>
      <c r="C1" s="3" t="s">
        <v>14</v>
      </c>
      <c r="D1" s="3" t="s">
        <v>17</v>
      </c>
      <c r="E1" s="2" t="s">
        <v>10</v>
      </c>
      <c r="F1" s="2" t="s">
        <v>23</v>
      </c>
      <c r="G1" s="2" t="s">
        <v>13</v>
      </c>
      <c r="H1" s="3" t="s">
        <v>26</v>
      </c>
      <c r="I1" s="2" t="s">
        <v>27</v>
      </c>
      <c r="J1" s="2" t="s">
        <v>29</v>
      </c>
      <c r="K1" s="3" t="s">
        <v>32</v>
      </c>
      <c r="L1" s="2" t="s">
        <v>34</v>
      </c>
      <c r="M1" s="2" t="s">
        <v>35</v>
      </c>
      <c r="N1" s="2" t="s">
        <v>21</v>
      </c>
      <c r="O1" s="2" t="s">
        <v>22</v>
      </c>
      <c r="P1" s="2" t="s">
        <v>24</v>
      </c>
      <c r="Q1" s="2" t="s">
        <v>25</v>
      </c>
      <c r="R1" s="7"/>
      <c r="S1" s="7"/>
      <c r="T1" s="7"/>
      <c r="U1" s="7"/>
      <c r="V1" s="7"/>
      <c r="W1" s="7"/>
      <c r="X1" s="7"/>
      <c r="Y1" s="7"/>
      <c r="Z1" s="7"/>
      <c r="AA1" s="7"/>
      <c r="AB1" s="7"/>
      <c r="AC1" s="7"/>
      <c r="AD1" s="7"/>
    </row>
    <row r="2" ht="15.75" customHeight="1">
      <c r="A2" s="12">
        <v>1.0</v>
      </c>
      <c r="B2" s="13">
        <v>46213.0</v>
      </c>
      <c r="C2" s="14">
        <v>0.5833333333333334</v>
      </c>
      <c r="D2" s="15" t="str">
        <f>VLOOKUP( WEEKDAY(B2) ,Lookup!$A$2:$B$8,2,FALSE)</f>
        <v>Friday</v>
      </c>
      <c r="E2" s="17" t="s">
        <v>36</v>
      </c>
      <c r="F2" s="18" t="s">
        <v>50</v>
      </c>
      <c r="G2" s="17" t="s">
        <v>40</v>
      </c>
      <c r="H2" s="15" t="str">
        <f>VLOOKUP( WEEKDAY(I2) ,Lookup!$A$2:$B$8,2,FALSE)
</f>
        <v>Friday</v>
      </c>
      <c r="I2" s="13">
        <v>46213.0</v>
      </c>
      <c r="J2" s="14">
        <v>0.5972222222222222</v>
      </c>
      <c r="K2" s="15" t="str">
        <f>VLOOKUP( WEEKDAY(L2) ,Lookup!$A$2:$B$8,2,FALSE)</f>
        <v>Friday</v>
      </c>
      <c r="L2" s="13">
        <v>46213.0</v>
      </c>
      <c r="M2" s="14">
        <v>0.6111111111111112</v>
      </c>
      <c r="N2" s="17" t="s">
        <v>61</v>
      </c>
      <c r="O2" s="17" t="s">
        <v>64</v>
      </c>
      <c r="P2" s="17" t="s">
        <v>65</v>
      </c>
      <c r="Q2" s="13">
        <v>46214.0</v>
      </c>
      <c r="R2" s="5"/>
      <c r="S2" s="5"/>
      <c r="T2" s="5"/>
      <c r="U2" s="5"/>
      <c r="V2" s="5"/>
      <c r="W2" s="5"/>
      <c r="X2" s="5"/>
      <c r="Y2" s="5"/>
      <c r="Z2" s="5"/>
      <c r="AA2" s="5"/>
      <c r="AB2" s="5"/>
      <c r="AC2" s="5"/>
      <c r="AD2" s="5"/>
    </row>
    <row r="3" ht="15.75" customHeight="1">
      <c r="A3" s="29">
        <f t="shared" ref="A3:A212" si="1">A2+1</f>
        <v>2</v>
      </c>
      <c r="B3" s="13">
        <v>46213.0</v>
      </c>
      <c r="C3" s="14">
        <v>0.5833333333333334</v>
      </c>
      <c r="D3" s="15" t="str">
        <f>VLOOKUP( WEEKDAY(B3) ,Lookup!$A$2:$B$8,2,FALSE)</f>
        <v>Friday</v>
      </c>
      <c r="E3" s="31" t="s">
        <v>58</v>
      </c>
      <c r="F3" s="32" t="s">
        <v>73</v>
      </c>
      <c r="G3" s="31" t="s">
        <v>40</v>
      </c>
      <c r="H3" s="15" t="str">
        <f>VLOOKUP( WEEKDAY(I3) ,Lookup!$A$2:$B$8,2,FALSE)
</f>
        <v>Friday</v>
      </c>
      <c r="I3" s="13">
        <v>46213.0</v>
      </c>
      <c r="J3" s="31"/>
      <c r="K3" s="15" t="str">
        <f>VLOOKUP( WEEKDAY(L3) ,Lookup!$A$2:$B$8,2,FALSE)</f>
        <v>Friday</v>
      </c>
      <c r="L3" s="13">
        <v>46213.0</v>
      </c>
      <c r="M3" s="31"/>
      <c r="N3" s="31"/>
      <c r="O3" s="31"/>
      <c r="P3" s="31"/>
      <c r="Q3" s="31"/>
      <c r="R3" s="4"/>
      <c r="S3" s="4"/>
      <c r="T3" s="4"/>
      <c r="U3" s="4"/>
      <c r="V3" s="4"/>
      <c r="W3" s="4"/>
      <c r="X3" s="4"/>
      <c r="Y3" s="4"/>
      <c r="Z3" s="4"/>
      <c r="AA3" s="4"/>
      <c r="AB3" s="4"/>
      <c r="AC3" s="4"/>
      <c r="AD3" s="4"/>
    </row>
    <row r="4" ht="15.75" customHeight="1">
      <c r="A4" s="29">
        <f t="shared" si="1"/>
        <v>3</v>
      </c>
      <c r="B4" s="13">
        <v>46213.0</v>
      </c>
      <c r="C4" s="14">
        <v>0.4583333333333333</v>
      </c>
      <c r="D4" s="15" t="str">
        <f>VLOOKUP( WEEKDAY(B4) ,Lookup!$A$2:$B$8,2,FALSE)</f>
        <v>Friday</v>
      </c>
      <c r="E4" s="31" t="s">
        <v>86</v>
      </c>
      <c r="F4" s="32" t="s">
        <v>87</v>
      </c>
      <c r="G4" s="31" t="s">
        <v>40</v>
      </c>
      <c r="H4" s="15" t="str">
        <f>VLOOKUP( WEEKDAY(I4) ,Lookup!$A$2:$B$8,2,FALSE)
</f>
        <v>Friday</v>
      </c>
      <c r="I4" s="13">
        <v>46213.0</v>
      </c>
      <c r="J4" s="37">
        <v>0.6666666666666666</v>
      </c>
      <c r="K4" s="15" t="str">
        <f>VLOOKUP( WEEKDAY(L4) ,Lookup!$A$2:$B$8,2,FALSE)</f>
        <v>Friday</v>
      </c>
      <c r="L4" s="13">
        <v>46213.0</v>
      </c>
      <c r="M4" s="31"/>
      <c r="N4" s="31"/>
      <c r="O4" s="31" t="s">
        <v>94</v>
      </c>
      <c r="P4" s="31"/>
      <c r="Q4" s="13">
        <v>46214.0</v>
      </c>
      <c r="R4" s="5"/>
      <c r="S4" s="5"/>
      <c r="T4" s="5"/>
      <c r="U4" s="5"/>
      <c r="V4" s="5"/>
      <c r="W4" s="5"/>
      <c r="X4" s="5"/>
      <c r="Y4" s="5"/>
      <c r="Z4" s="5"/>
      <c r="AA4" s="5"/>
      <c r="AB4" s="5"/>
      <c r="AC4" s="5"/>
      <c r="AD4" s="5"/>
    </row>
    <row r="5" ht="15.75" customHeight="1">
      <c r="A5" s="29">
        <f t="shared" si="1"/>
        <v>4</v>
      </c>
      <c r="B5" s="13">
        <v>46214.0</v>
      </c>
      <c r="C5" s="17"/>
      <c r="D5" s="15" t="str">
        <f>VLOOKUP( WEEKDAY(B5) ,Lookup!$A$2:$B$8,2,FALSE)</f>
        <v>Saturday</v>
      </c>
      <c r="E5" s="42" t="s">
        <v>107</v>
      </c>
      <c r="F5" s="32" t="s">
        <v>108</v>
      </c>
      <c r="G5" s="31"/>
      <c r="H5" s="15" t="str">
        <f>VLOOKUP( WEEKDAY(I5) ,Lookup!$A$2:$B$8,2,FALSE)
</f>
        <v>Friday</v>
      </c>
      <c r="I5" s="13">
        <v>46213.0</v>
      </c>
      <c r="J5" s="31"/>
      <c r="K5" s="15" t="str">
        <f>VLOOKUP( WEEKDAY(L5) ,Lookup!$A$2:$B$8,2,FALSE)</f>
        <v>Friday</v>
      </c>
      <c r="L5" s="13">
        <v>46213.0</v>
      </c>
      <c r="M5" s="31"/>
      <c r="N5" s="31"/>
      <c r="O5" s="31"/>
      <c r="P5" s="31"/>
      <c r="Q5" s="31"/>
      <c r="R5" s="4"/>
      <c r="S5" s="4"/>
      <c r="T5" s="4"/>
      <c r="U5" s="4"/>
      <c r="V5" s="4"/>
      <c r="W5" s="4"/>
      <c r="X5" s="4"/>
      <c r="Y5" s="4"/>
      <c r="Z5" s="4"/>
      <c r="AA5" s="4"/>
      <c r="AB5" s="4"/>
      <c r="AC5" s="4"/>
      <c r="AD5" s="4"/>
    </row>
    <row r="6" ht="15.75" customHeight="1">
      <c r="A6" s="29">
        <f t="shared" si="1"/>
        <v>5</v>
      </c>
      <c r="B6" s="13">
        <v>46214.0</v>
      </c>
      <c r="C6" s="31"/>
      <c r="D6" s="15" t="str">
        <f>VLOOKUP( WEEKDAY(B6) ,Lookup!$A$2:$B$8,2,FALSE)</f>
        <v>Saturday</v>
      </c>
      <c r="E6" s="42" t="s">
        <v>107</v>
      </c>
      <c r="F6" s="32" t="s">
        <v>117</v>
      </c>
      <c r="G6" s="31"/>
      <c r="H6" s="15" t="str">
        <f>VLOOKUP( WEEKDAY(I6) ,Lookup!$A$2:$B$8,2,FALSE)
</f>
        <v>Friday</v>
      </c>
      <c r="I6" s="13">
        <v>46213.0</v>
      </c>
      <c r="J6" s="31"/>
      <c r="K6" s="15" t="str">
        <f>VLOOKUP( WEEKDAY(L6) ,Lookup!$A$2:$B$8,2,FALSE)</f>
        <v>Friday</v>
      </c>
      <c r="L6" s="13">
        <v>46213.0</v>
      </c>
      <c r="M6" s="31"/>
      <c r="N6" s="31"/>
      <c r="O6" s="31"/>
      <c r="P6" s="31"/>
      <c r="Q6" s="31"/>
      <c r="R6" s="4"/>
      <c r="S6" s="4"/>
      <c r="T6" s="4"/>
      <c r="U6" s="4"/>
      <c r="V6" s="4"/>
      <c r="W6" s="4"/>
      <c r="X6" s="4"/>
      <c r="Y6" s="4"/>
      <c r="Z6" s="4"/>
      <c r="AA6" s="4"/>
      <c r="AB6" s="4"/>
      <c r="AC6" s="4"/>
      <c r="AD6" s="4"/>
    </row>
    <row r="7" ht="15.75" customHeight="1">
      <c r="A7" s="29">
        <f t="shared" si="1"/>
        <v>6</v>
      </c>
      <c r="B7" s="13">
        <v>46214.0</v>
      </c>
      <c r="C7" s="14">
        <v>0.4583333333333333</v>
      </c>
      <c r="D7" s="15" t="str">
        <f>VLOOKUP( WEEKDAY(B7) ,Lookup!$A$2:$B$8,2,FALSE)</f>
        <v>Saturday</v>
      </c>
      <c r="E7" s="31" t="s">
        <v>86</v>
      </c>
      <c r="F7" s="32" t="s">
        <v>125</v>
      </c>
      <c r="G7" s="31"/>
      <c r="H7" s="15" t="str">
        <f>VLOOKUP( WEEKDAY(I7) ,Lookup!$A$2:$B$8,2,FALSE)
</f>
        <v>Saturday</v>
      </c>
      <c r="I7" s="13">
        <v>46214.0</v>
      </c>
      <c r="J7" s="37">
        <v>0.4583333333333333</v>
      </c>
      <c r="K7" s="15" t="str">
        <f>VLOOKUP( WEEKDAY(L7) ,Lookup!$A$2:$B$8,2,FALSE)</f>
        <v>Saturday</v>
      </c>
      <c r="L7" s="31"/>
      <c r="M7" s="31"/>
      <c r="N7" s="31"/>
      <c r="O7" s="31"/>
      <c r="P7" s="31"/>
      <c r="Q7" s="31"/>
      <c r="R7" s="4"/>
      <c r="S7" s="4"/>
      <c r="T7" s="4"/>
      <c r="U7" s="4"/>
      <c r="V7" s="4"/>
      <c r="W7" s="4"/>
      <c r="X7" s="4"/>
      <c r="Y7" s="4"/>
      <c r="Z7" s="4"/>
      <c r="AA7" s="4"/>
      <c r="AB7" s="4"/>
      <c r="AC7" s="4"/>
      <c r="AD7" s="4"/>
    </row>
    <row r="8" ht="15.75" customHeight="1">
      <c r="A8" s="29">
        <f t="shared" si="1"/>
        <v>7</v>
      </c>
      <c r="B8" s="13">
        <v>46214.0</v>
      </c>
      <c r="C8" s="14">
        <v>0.4583333333333333</v>
      </c>
      <c r="D8" s="15" t="str">
        <f>VLOOKUP( WEEKDAY(B8) ,Lookup!$A$2:$B$8,2,FALSE)</f>
        <v>Saturday</v>
      </c>
      <c r="E8" s="31" t="s">
        <v>86</v>
      </c>
      <c r="F8" s="32" t="s">
        <v>128</v>
      </c>
      <c r="G8" s="31"/>
      <c r="H8" s="15" t="str">
        <f>VLOOKUP( WEEKDAY(I8) ,Lookup!$A$2:$B$8,2,FALSE)
</f>
        <v>Saturday</v>
      </c>
      <c r="I8" s="13">
        <v>46214.0</v>
      </c>
      <c r="J8" s="37">
        <v>0.46875</v>
      </c>
      <c r="K8" s="15" t="str">
        <f>VLOOKUP( WEEKDAY(L8) ,Lookup!$A$2:$B$8,2,FALSE)</f>
        <v>Saturday</v>
      </c>
      <c r="L8" s="13">
        <v>46214.0</v>
      </c>
      <c r="M8" s="37">
        <v>0.4791666666666667</v>
      </c>
      <c r="N8" s="31" t="s">
        <v>131</v>
      </c>
      <c r="O8" s="31" t="s">
        <v>133</v>
      </c>
      <c r="P8" s="31" t="s">
        <v>62</v>
      </c>
      <c r="Q8" s="31"/>
      <c r="R8" s="4"/>
      <c r="S8" s="4"/>
      <c r="T8" s="4"/>
      <c r="U8" s="4"/>
      <c r="V8" s="4"/>
      <c r="W8" s="4"/>
      <c r="X8" s="4"/>
      <c r="Y8" s="4"/>
      <c r="Z8" s="4"/>
      <c r="AA8" s="4"/>
      <c r="AB8" s="4"/>
      <c r="AC8" s="4"/>
      <c r="AD8" s="4"/>
    </row>
    <row r="9" ht="15.75" customHeight="1">
      <c r="A9" s="29">
        <f t="shared" si="1"/>
        <v>8</v>
      </c>
      <c r="B9" s="13">
        <v>46215.0</v>
      </c>
      <c r="C9" s="46"/>
      <c r="D9" s="15" t="str">
        <f>VLOOKUP( WEEKDAY(B9) ,Lookup!$A$2:$B$8,2,FALSE)</f>
        <v>Sunday</v>
      </c>
      <c r="E9" s="31" t="s">
        <v>139</v>
      </c>
      <c r="F9" s="32" t="s">
        <v>140</v>
      </c>
      <c r="G9" s="31" t="s">
        <v>40</v>
      </c>
      <c r="H9" s="15" t="str">
        <f>VLOOKUP( WEEKDAY(I9) ,Lookup!$A$2:$B$8,2,FALSE)
</f>
        <v>Friday</v>
      </c>
      <c r="I9" s="13">
        <v>46213.0</v>
      </c>
      <c r="J9" s="14">
        <v>0.5972222222222222</v>
      </c>
      <c r="K9" s="15" t="str">
        <f>VLOOKUP( WEEKDAY(L9) ,Lookup!$A$2:$B$8,2,FALSE)</f>
        <v>Sunday</v>
      </c>
      <c r="L9" s="13">
        <v>46215.0</v>
      </c>
      <c r="M9" s="37">
        <v>0.6145833333333334</v>
      </c>
      <c r="N9" s="31" t="s">
        <v>131</v>
      </c>
      <c r="O9" s="31" t="s">
        <v>144</v>
      </c>
      <c r="P9" s="31"/>
      <c r="Q9" s="31"/>
      <c r="R9" s="4"/>
      <c r="S9" s="4"/>
      <c r="T9" s="4"/>
      <c r="U9" s="4"/>
      <c r="V9" s="4"/>
      <c r="W9" s="4"/>
      <c r="X9" s="4"/>
      <c r="Y9" s="4"/>
      <c r="Z9" s="4"/>
      <c r="AA9" s="4"/>
      <c r="AB9" s="4"/>
      <c r="AC9" s="4"/>
      <c r="AD9" s="4"/>
    </row>
    <row r="10" ht="15.75" customHeight="1">
      <c r="A10" s="29">
        <f t="shared" si="1"/>
        <v>9</v>
      </c>
      <c r="B10" s="13">
        <v>46215.0</v>
      </c>
      <c r="C10" s="14">
        <v>0.5833333333333334</v>
      </c>
      <c r="D10" s="15" t="str">
        <f>VLOOKUP( WEEKDAY(B10) ,Lookup!$A$2:$B$8,2,FALSE)</f>
        <v>Sunday</v>
      </c>
      <c r="E10" s="31" t="s">
        <v>152</v>
      </c>
      <c r="F10" s="32" t="s">
        <v>153</v>
      </c>
      <c r="G10" s="31" t="s">
        <v>68</v>
      </c>
      <c r="H10" s="15" t="str">
        <f>VLOOKUP( WEEKDAY(I10) ,Lookup!$A$2:$B$8,2,FALSE)
</f>
        <v>Sunday</v>
      </c>
      <c r="I10" s="13">
        <v>46215.0</v>
      </c>
      <c r="J10" s="37">
        <v>0.4583333333333333</v>
      </c>
      <c r="K10" s="15" t="str">
        <f>VLOOKUP( WEEKDAY(L10) ,Lookup!$A$2:$B$8,2,FALSE)</f>
        <v>Sunday</v>
      </c>
      <c r="L10" s="13">
        <v>46215.0</v>
      </c>
      <c r="M10" s="37">
        <v>0.5833333333333334</v>
      </c>
      <c r="N10" s="31"/>
      <c r="O10" s="31"/>
      <c r="P10" s="31"/>
      <c r="Q10" s="31"/>
      <c r="R10" s="4"/>
      <c r="S10" s="4"/>
      <c r="T10" s="4"/>
      <c r="U10" s="4"/>
      <c r="V10" s="4"/>
      <c r="W10" s="4"/>
      <c r="X10" s="4"/>
      <c r="Y10" s="4"/>
      <c r="Z10" s="4"/>
      <c r="AA10" s="4"/>
      <c r="AB10" s="4"/>
      <c r="AC10" s="4"/>
      <c r="AD10" s="4"/>
    </row>
    <row r="11" ht="15.75" customHeight="1">
      <c r="A11" s="29">
        <f t="shared" si="1"/>
        <v>10</v>
      </c>
      <c r="B11" s="13">
        <v>46215.0</v>
      </c>
      <c r="C11" s="37">
        <v>0.4583333333333333</v>
      </c>
      <c r="D11" s="15" t="str">
        <f>VLOOKUP( WEEKDAY(B11) ,Lookup!$A$2:$B$8,2,FALSE)</f>
        <v>Sunday</v>
      </c>
      <c r="E11" s="31" t="s">
        <v>139</v>
      </c>
      <c r="F11" s="32" t="s">
        <v>165</v>
      </c>
      <c r="G11" s="31"/>
      <c r="H11" s="15" t="str">
        <f>VLOOKUP( WEEKDAY(I11) ,Lookup!$A$2:$B$8,2,FALSE)
</f>
        <v>Sunday</v>
      </c>
      <c r="I11" s="13">
        <v>46215.0</v>
      </c>
      <c r="J11" s="37">
        <v>0.5833333333333334</v>
      </c>
      <c r="K11" s="15" t="str">
        <f>VLOOKUP( WEEKDAY(L11) ,Lookup!$A$2:$B$8,2,FALSE)</f>
        <v>Sunday</v>
      </c>
      <c r="L11" s="13">
        <v>46215.0</v>
      </c>
      <c r="M11" s="37">
        <v>0.6006944444444444</v>
      </c>
      <c r="N11" s="31" t="s">
        <v>104</v>
      </c>
      <c r="O11" s="31"/>
      <c r="P11" s="31"/>
      <c r="Q11" s="31"/>
      <c r="R11" s="4"/>
      <c r="S11" s="4"/>
      <c r="T11" s="4"/>
      <c r="U11" s="4"/>
      <c r="V11" s="4"/>
      <c r="W11" s="4"/>
      <c r="X11" s="4"/>
      <c r="Y11" s="4"/>
      <c r="Z11" s="4"/>
      <c r="AA11" s="4"/>
      <c r="AB11" s="4"/>
      <c r="AC11" s="4"/>
      <c r="AD11" s="4"/>
    </row>
    <row r="12" ht="15.75" customHeight="1">
      <c r="A12" s="29">
        <f t="shared" si="1"/>
        <v>11</v>
      </c>
      <c r="B12" s="13">
        <v>46215.0</v>
      </c>
      <c r="C12" s="37">
        <v>0.4583333333333333</v>
      </c>
      <c r="D12" s="15" t="str">
        <f>VLOOKUP( WEEKDAY(B12) ,Lookup!$A$2:$B$8,2,FALSE)</f>
        <v>Sunday</v>
      </c>
      <c r="E12" s="31" t="s">
        <v>139</v>
      </c>
      <c r="F12" s="32" t="s">
        <v>175</v>
      </c>
      <c r="G12" s="31"/>
      <c r="H12" s="15" t="str">
        <f>VLOOKUP( WEEKDAY(I12) ,Lookup!$A$2:$B$8,2,FALSE)
</f>
        <v>Sunday</v>
      </c>
      <c r="I12" s="13">
        <v>46215.0</v>
      </c>
      <c r="J12" s="37">
        <v>0.6875</v>
      </c>
      <c r="K12" s="15" t="str">
        <f>VLOOKUP( WEEKDAY(L12) ,Lookup!$A$2:$B$8,2,FALSE)</f>
        <v>Sunday</v>
      </c>
      <c r="L12" s="13">
        <v>46215.0</v>
      </c>
      <c r="M12" s="31"/>
      <c r="N12" s="31"/>
      <c r="O12" s="31"/>
      <c r="P12" s="31"/>
      <c r="Q12" s="31"/>
      <c r="R12" s="4"/>
      <c r="S12" s="4"/>
      <c r="T12" s="4"/>
      <c r="U12" s="4"/>
      <c r="V12" s="4"/>
      <c r="W12" s="4"/>
      <c r="X12" s="4"/>
      <c r="Y12" s="4"/>
      <c r="Z12" s="4"/>
      <c r="AA12" s="4"/>
      <c r="AB12" s="4"/>
      <c r="AC12" s="4"/>
      <c r="AD12" s="4"/>
    </row>
    <row r="13" ht="15.75" customHeight="1">
      <c r="A13" s="29">
        <f t="shared" si="1"/>
        <v>12</v>
      </c>
      <c r="B13" s="13">
        <v>46215.0</v>
      </c>
      <c r="C13" s="37">
        <v>0.4583333333333333</v>
      </c>
      <c r="D13" s="15" t="str">
        <f>VLOOKUP( WEEKDAY(B13) ,Lookup!$A$2:$B$8,2,FALSE)</f>
        <v>Sunday</v>
      </c>
      <c r="E13" s="31" t="s">
        <v>139</v>
      </c>
      <c r="F13" s="32" t="s">
        <v>181</v>
      </c>
      <c r="G13" s="31"/>
      <c r="H13" s="15" t="str">
        <f>VLOOKUP( WEEKDAY(I13) ,Lookup!$A$2:$B$8,2,FALSE)
</f>
        <v>Sunday</v>
      </c>
      <c r="I13" s="13">
        <v>46215.0</v>
      </c>
      <c r="J13" s="31"/>
      <c r="K13" s="15" t="str">
        <f>VLOOKUP( WEEKDAY(L13) ,Lookup!$A$2:$B$8,2,FALSE)</f>
        <v>Sunday</v>
      </c>
      <c r="L13" s="13">
        <v>46215.0</v>
      </c>
      <c r="M13" s="31"/>
      <c r="N13" s="31"/>
      <c r="O13" s="31"/>
      <c r="P13" s="31"/>
      <c r="Q13" s="31"/>
      <c r="R13" s="4"/>
      <c r="S13" s="4"/>
      <c r="T13" s="4"/>
      <c r="U13" s="4"/>
      <c r="V13" s="4"/>
      <c r="W13" s="4"/>
      <c r="X13" s="4"/>
      <c r="Y13" s="4"/>
      <c r="Z13" s="4"/>
      <c r="AA13" s="4"/>
      <c r="AB13" s="4"/>
      <c r="AC13" s="4"/>
      <c r="AD13" s="4"/>
    </row>
    <row r="14" ht="15.75" customHeight="1">
      <c r="A14" s="29">
        <f t="shared" si="1"/>
        <v>13</v>
      </c>
      <c r="B14" s="13">
        <v>46215.0</v>
      </c>
      <c r="C14" s="37">
        <v>0.4583333333333333</v>
      </c>
      <c r="D14" s="15" t="str">
        <f>VLOOKUP( WEEKDAY(B14) ,Lookup!$A$2:$B$8,2,FALSE)</f>
        <v>Sunday</v>
      </c>
      <c r="E14" s="31"/>
      <c r="F14" s="32" t="s">
        <v>187</v>
      </c>
      <c r="G14" s="31"/>
      <c r="H14" s="15" t="str">
        <f>VLOOKUP( WEEKDAY(I14) ,Lookup!$A$2:$B$8,2,FALSE)
</f>
        <v>Sunday</v>
      </c>
      <c r="I14" s="13">
        <v>46215.0</v>
      </c>
      <c r="J14" s="31"/>
      <c r="K14" s="15" t="str">
        <f>VLOOKUP( WEEKDAY(L14) ,Lookup!$A$2:$B$8,2,FALSE)</f>
        <v>Sunday</v>
      </c>
      <c r="L14" s="13">
        <v>46215.0</v>
      </c>
      <c r="M14" s="31"/>
      <c r="N14" s="31"/>
      <c r="O14" s="31"/>
      <c r="P14" s="31"/>
      <c r="Q14" s="31"/>
      <c r="R14" s="4"/>
      <c r="S14" s="4"/>
      <c r="T14" s="4"/>
      <c r="U14" s="4"/>
      <c r="V14" s="4"/>
      <c r="W14" s="4"/>
      <c r="X14" s="4"/>
      <c r="Y14" s="4"/>
      <c r="Z14" s="4"/>
      <c r="AA14" s="4"/>
      <c r="AB14" s="4"/>
      <c r="AC14" s="4"/>
      <c r="AD14" s="4"/>
    </row>
    <row r="15" ht="15.75" customHeight="1">
      <c r="A15" s="29">
        <f t="shared" si="1"/>
        <v>14</v>
      </c>
      <c r="B15" s="13">
        <v>46216.0</v>
      </c>
      <c r="C15" s="37">
        <v>0.4583333333333333</v>
      </c>
      <c r="D15" s="15" t="str">
        <f>VLOOKUP( WEEKDAY(B15) ,Lookup!$A$2:$B$8,2,FALSE)</f>
        <v>Monday</v>
      </c>
      <c r="E15" s="31" t="s">
        <v>139</v>
      </c>
      <c r="F15" s="32" t="s">
        <v>175</v>
      </c>
      <c r="G15" s="31"/>
      <c r="H15" s="15" t="str">
        <f>VLOOKUP( WEEKDAY(I15) ,Lookup!$A$2:$B$8,2,FALSE)
</f>
        <v>Monday</v>
      </c>
      <c r="I15" s="13">
        <v>46216.0</v>
      </c>
      <c r="J15" s="37">
        <v>0.4791666666666667</v>
      </c>
      <c r="K15" s="15" t="str">
        <f>VLOOKUP( WEEKDAY(L15) ,Lookup!$A$2:$B$8,2,FALSE)</f>
        <v>Monday</v>
      </c>
      <c r="L15" s="13">
        <v>46216.0</v>
      </c>
      <c r="M15" s="31"/>
      <c r="N15" s="31"/>
      <c r="O15" s="31"/>
      <c r="P15" s="31"/>
      <c r="Q15" s="31"/>
      <c r="R15" s="4"/>
      <c r="S15" s="4"/>
      <c r="T15" s="4"/>
      <c r="U15" s="4"/>
      <c r="V15" s="4"/>
      <c r="W15" s="4"/>
      <c r="X15" s="4"/>
      <c r="Y15" s="4"/>
      <c r="Z15" s="4"/>
      <c r="AA15" s="4"/>
      <c r="AB15" s="4"/>
      <c r="AC15" s="4"/>
      <c r="AD15" s="4"/>
    </row>
    <row r="16" ht="15.75" customHeight="1">
      <c r="A16" s="29">
        <f t="shared" si="1"/>
        <v>15</v>
      </c>
      <c r="B16" s="13">
        <v>46216.0</v>
      </c>
      <c r="C16" s="37">
        <v>0.4583333333333333</v>
      </c>
      <c r="D16" s="15" t="str">
        <f>VLOOKUP( WEEKDAY(B16) ,Lookup!$A$2:$B$8,2,FALSE)</f>
        <v>Monday</v>
      </c>
      <c r="E16" s="31" t="s">
        <v>203</v>
      </c>
      <c r="F16" s="32" t="s">
        <v>79</v>
      </c>
      <c r="G16" s="31"/>
      <c r="H16" s="15" t="str">
        <f>VLOOKUP( WEEKDAY(I16) ,Lookup!$A$2:$B$8,2,FALSE)
</f>
        <v>Monday</v>
      </c>
      <c r="I16" s="13">
        <v>46216.0</v>
      </c>
      <c r="J16" s="37">
        <v>0.5</v>
      </c>
      <c r="K16" s="15" t="str">
        <f>VLOOKUP( WEEKDAY(L16) ,Lookup!$A$2:$B$8,2,FALSE)</f>
        <v>Monday</v>
      </c>
      <c r="L16" s="13">
        <v>46216.0</v>
      </c>
      <c r="M16" s="31"/>
      <c r="N16" s="31"/>
      <c r="O16" s="31"/>
      <c r="P16" s="31"/>
      <c r="Q16" s="31"/>
      <c r="R16" s="4"/>
      <c r="S16" s="4"/>
      <c r="T16" s="4"/>
      <c r="U16" s="4"/>
      <c r="V16" s="4"/>
      <c r="W16" s="4"/>
      <c r="X16" s="4"/>
      <c r="Y16" s="4"/>
      <c r="Z16" s="4"/>
      <c r="AA16" s="4"/>
      <c r="AB16" s="4"/>
      <c r="AC16" s="4"/>
      <c r="AD16" s="4"/>
    </row>
    <row r="17" ht="15.75" customHeight="1">
      <c r="A17" s="29">
        <f t="shared" si="1"/>
        <v>16</v>
      </c>
      <c r="B17" s="13">
        <v>46216.0</v>
      </c>
      <c r="C17" s="37">
        <v>0.4375</v>
      </c>
      <c r="D17" s="15" t="str">
        <f>VLOOKUP( WEEKDAY(B17) ,Lookup!$A$2:$B$8,2,FALSE)</f>
        <v>Monday</v>
      </c>
      <c r="E17" s="31" t="s">
        <v>58</v>
      </c>
      <c r="F17" s="32" t="s">
        <v>214</v>
      </c>
      <c r="G17" s="31"/>
      <c r="H17" s="15" t="str">
        <f>VLOOKUP( WEEKDAY(I17) ,Lookup!$A$2:$B$8,2,FALSE)
</f>
        <v>Monday</v>
      </c>
      <c r="I17" s="13">
        <v>46216.0</v>
      </c>
      <c r="J17" s="31"/>
      <c r="K17" s="15" t="str">
        <f>VLOOKUP( WEEKDAY(L17) ,Lookup!$A$2:$B$8,2,FALSE)</f>
        <v>Monday</v>
      </c>
      <c r="L17" s="13">
        <v>46216.0</v>
      </c>
      <c r="M17" s="31"/>
      <c r="N17" s="31"/>
      <c r="O17" s="31"/>
      <c r="P17" s="31"/>
      <c r="Q17" s="31"/>
      <c r="R17" s="4"/>
      <c r="S17" s="4"/>
      <c r="T17" s="4"/>
      <c r="U17" s="4"/>
      <c r="V17" s="4"/>
      <c r="W17" s="4"/>
      <c r="X17" s="4"/>
      <c r="Y17" s="4"/>
      <c r="Z17" s="4"/>
      <c r="AA17" s="4"/>
      <c r="AB17" s="4"/>
      <c r="AC17" s="4"/>
      <c r="AD17" s="4"/>
    </row>
    <row r="18" ht="15.75" customHeight="1">
      <c r="A18" s="29">
        <f t="shared" si="1"/>
        <v>17</v>
      </c>
      <c r="B18" s="13">
        <v>46216.0</v>
      </c>
      <c r="C18" s="37">
        <v>0.4375</v>
      </c>
      <c r="D18" s="15" t="str">
        <f>VLOOKUP( WEEKDAY(B18) ,Lookup!$A$2:$B$8,2,FALSE)</f>
        <v>Monday</v>
      </c>
      <c r="E18" s="31" t="s">
        <v>221</v>
      </c>
      <c r="F18" s="32" t="s">
        <v>222</v>
      </c>
      <c r="G18" s="31"/>
      <c r="H18" s="15" t="str">
        <f>VLOOKUP( WEEKDAY(I18) ,Lookup!$A$2:$B$8,2,FALSE)
</f>
        <v>Monday</v>
      </c>
      <c r="I18" s="13">
        <v>46216.0</v>
      </c>
      <c r="J18" s="31"/>
      <c r="K18" s="15" t="str">
        <f>VLOOKUP( WEEKDAY(L18) ,Lookup!$A$2:$B$8,2,FALSE)</f>
        <v>Monday</v>
      </c>
      <c r="L18" s="13">
        <v>46216.0</v>
      </c>
      <c r="M18" s="31"/>
      <c r="N18" s="31"/>
      <c r="O18" s="31"/>
      <c r="P18" s="31"/>
      <c r="Q18" s="31"/>
      <c r="R18" s="4"/>
      <c r="S18" s="4"/>
      <c r="T18" s="4"/>
      <c r="U18" s="4"/>
      <c r="V18" s="4"/>
      <c r="W18" s="4"/>
      <c r="X18" s="4"/>
      <c r="Y18" s="4"/>
      <c r="Z18" s="4"/>
      <c r="AA18" s="4"/>
      <c r="AB18" s="4"/>
      <c r="AC18" s="4"/>
      <c r="AD18" s="4"/>
    </row>
    <row r="19" ht="15.75" customHeight="1">
      <c r="A19" s="29">
        <f t="shared" si="1"/>
        <v>18</v>
      </c>
      <c r="B19" s="13">
        <v>46216.0</v>
      </c>
      <c r="C19" s="37">
        <v>0.6041666666666666</v>
      </c>
      <c r="D19" s="15" t="str">
        <f>VLOOKUP( WEEKDAY(B19) ,Lookup!$A$2:$B$8,2,FALSE)</f>
        <v>Monday</v>
      </c>
      <c r="E19" s="31" t="s">
        <v>233</v>
      </c>
      <c r="F19" s="32" t="s">
        <v>234</v>
      </c>
      <c r="G19" s="31"/>
      <c r="H19" s="15" t="str">
        <f>VLOOKUP( WEEKDAY(I19) ,Lookup!$A$2:$B$8,2,FALSE)
</f>
        <v>Monday</v>
      </c>
      <c r="I19" s="13">
        <v>46216.0</v>
      </c>
      <c r="J19" s="37">
        <v>0.7916666666666666</v>
      </c>
      <c r="K19" s="15" t="str">
        <f>VLOOKUP( WEEKDAY(L19) ,Lookup!$A$2:$B$8,2,FALSE)</f>
        <v>Monday</v>
      </c>
      <c r="L19" s="13">
        <v>46216.0</v>
      </c>
      <c r="M19" s="31"/>
      <c r="N19" s="31"/>
      <c r="O19" s="31"/>
      <c r="P19" s="31"/>
      <c r="Q19" s="31"/>
      <c r="R19" s="4"/>
      <c r="S19" s="4"/>
      <c r="T19" s="4"/>
      <c r="U19" s="4"/>
      <c r="V19" s="4"/>
      <c r="W19" s="4"/>
      <c r="X19" s="4"/>
      <c r="Y19" s="4"/>
      <c r="Z19" s="4"/>
      <c r="AA19" s="4"/>
      <c r="AB19" s="4"/>
      <c r="AC19" s="4"/>
      <c r="AD19" s="4"/>
    </row>
    <row r="20" ht="15.75" customHeight="1">
      <c r="A20" s="29">
        <f t="shared" si="1"/>
        <v>19</v>
      </c>
      <c r="B20" s="13">
        <v>46217.0</v>
      </c>
      <c r="C20" s="37">
        <v>0.4166666666666667</v>
      </c>
      <c r="D20" s="15" t="str">
        <f>VLOOKUP( WEEKDAY(B20) ,Lookup!$A$2:$B$8,2,FALSE)</f>
        <v>Tuesday</v>
      </c>
      <c r="E20" s="31" t="s">
        <v>241</v>
      </c>
      <c r="F20" s="32" t="s">
        <v>242</v>
      </c>
      <c r="G20" s="31"/>
      <c r="H20" s="15" t="str">
        <f>VLOOKUP( WEEKDAY(I20) ,Lookup!$A$2:$B$8,2,FALSE)
</f>
        <v>Tuesday</v>
      </c>
      <c r="I20" s="13">
        <v>46217.0</v>
      </c>
      <c r="J20" s="31"/>
      <c r="K20" s="15" t="str">
        <f>VLOOKUP( WEEKDAY(L20) ,Lookup!$A$2:$B$8,2,FALSE)</f>
        <v>Tuesday</v>
      </c>
      <c r="L20" s="13">
        <v>46217.0</v>
      </c>
      <c r="M20" s="31"/>
      <c r="N20" s="31"/>
      <c r="O20" s="31"/>
      <c r="P20" s="31"/>
      <c r="Q20" s="31"/>
      <c r="R20" s="4"/>
      <c r="S20" s="4"/>
      <c r="T20" s="4"/>
      <c r="U20" s="4"/>
      <c r="V20" s="4"/>
      <c r="W20" s="4"/>
      <c r="X20" s="4"/>
      <c r="Y20" s="4"/>
      <c r="Z20" s="4"/>
      <c r="AA20" s="4"/>
      <c r="AB20" s="4"/>
      <c r="AC20" s="4"/>
      <c r="AD20" s="4"/>
    </row>
    <row r="21" ht="15.75" customHeight="1">
      <c r="A21" s="29">
        <f t="shared" si="1"/>
        <v>20</v>
      </c>
      <c r="B21" s="13">
        <v>46218.0</v>
      </c>
      <c r="C21" s="37">
        <v>0.4375</v>
      </c>
      <c r="D21" s="15" t="str">
        <f>VLOOKUP( WEEKDAY(B21) ,Lookup!$A$2:$B$8,2,FALSE)</f>
        <v>Wednesday</v>
      </c>
      <c r="E21" s="31" t="s">
        <v>221</v>
      </c>
      <c r="F21" s="32" t="s">
        <v>249</v>
      </c>
      <c r="G21" s="31"/>
      <c r="H21" s="15" t="str">
        <f>VLOOKUP( WEEKDAY(I21) ,Lookup!$A$2:$B$8,2,FALSE)
</f>
        <v>Wednesday</v>
      </c>
      <c r="I21" s="13">
        <v>46218.0</v>
      </c>
      <c r="J21" s="31"/>
      <c r="K21" s="15" t="str">
        <f>VLOOKUP( WEEKDAY(L21) ,Lookup!$A$2:$B$8,2,FALSE)</f>
        <v>Wednesday</v>
      </c>
      <c r="L21" s="13">
        <v>46218.0</v>
      </c>
      <c r="M21" s="31"/>
      <c r="N21" s="31"/>
      <c r="O21" s="31"/>
      <c r="P21" s="31"/>
      <c r="Q21" s="31"/>
      <c r="R21" s="4"/>
      <c r="S21" s="4"/>
      <c r="T21" s="4"/>
      <c r="U21" s="4"/>
      <c r="V21" s="4"/>
      <c r="W21" s="4"/>
      <c r="X21" s="4"/>
      <c r="Y21" s="4"/>
      <c r="Z21" s="4"/>
      <c r="AA21" s="4"/>
      <c r="AB21" s="4"/>
      <c r="AC21" s="4"/>
      <c r="AD21" s="4"/>
    </row>
    <row r="22" ht="15.75" customHeight="1">
      <c r="A22" s="29">
        <f t="shared" si="1"/>
        <v>21</v>
      </c>
      <c r="B22" s="13">
        <v>46218.0</v>
      </c>
      <c r="C22" s="37">
        <v>0.4375</v>
      </c>
      <c r="D22" s="15" t="str">
        <f>VLOOKUP( WEEKDAY(B22) ,Lookup!$A$2:$B$8,2,FALSE)</f>
        <v>Wednesday</v>
      </c>
      <c r="E22" s="31" t="s">
        <v>233</v>
      </c>
      <c r="F22" s="32"/>
      <c r="G22" s="31"/>
      <c r="H22" s="15" t="str">
        <f>VLOOKUP( WEEKDAY(I22) ,Lookup!$A$2:$B$8,2,FALSE)
</f>
        <v>Wednesday</v>
      </c>
      <c r="I22" s="13">
        <v>46218.0</v>
      </c>
      <c r="J22" s="31"/>
      <c r="K22" s="15" t="str">
        <f>VLOOKUP( WEEKDAY(L22) ,Lookup!$A$2:$B$8,2,FALSE)</f>
        <v>Wednesday</v>
      </c>
      <c r="L22" s="13">
        <v>46218.0</v>
      </c>
      <c r="M22" s="31"/>
      <c r="N22" s="31"/>
      <c r="O22" s="31"/>
      <c r="P22" s="31"/>
      <c r="Q22" s="31"/>
      <c r="R22" s="4"/>
      <c r="S22" s="4"/>
      <c r="T22" s="4"/>
      <c r="U22" s="4"/>
      <c r="V22" s="4"/>
      <c r="W22" s="4"/>
      <c r="X22" s="4"/>
      <c r="Y22" s="4"/>
      <c r="Z22" s="4"/>
      <c r="AA22" s="4"/>
      <c r="AB22" s="4"/>
      <c r="AC22" s="4"/>
      <c r="AD22" s="4"/>
    </row>
    <row r="23" ht="15.75" customHeight="1">
      <c r="A23" s="29">
        <f t="shared" si="1"/>
        <v>22</v>
      </c>
      <c r="B23" s="13">
        <v>46218.0</v>
      </c>
      <c r="C23" s="37">
        <v>0.4375</v>
      </c>
      <c r="D23" s="15" t="str">
        <f>VLOOKUP( WEEKDAY(B23) ,Lookup!$A$2:$B$8,2,FALSE)</f>
        <v>Wednesday</v>
      </c>
      <c r="E23" s="31" t="s">
        <v>254</v>
      </c>
      <c r="F23" s="32" t="s">
        <v>255</v>
      </c>
      <c r="G23" s="31"/>
      <c r="H23" s="15" t="str">
        <f>VLOOKUP( WEEKDAY(I23) ,Lookup!$A$2:$B$8,2,FALSE)
</f>
        <v>Wednesday</v>
      </c>
      <c r="I23" s="13">
        <v>46218.0</v>
      </c>
      <c r="J23" s="31"/>
      <c r="K23" s="15" t="str">
        <f>VLOOKUP( WEEKDAY(L23) ,Lookup!$A$2:$B$8,2,FALSE)</f>
        <v>Wednesday</v>
      </c>
      <c r="L23" s="13">
        <v>46218.0</v>
      </c>
      <c r="M23" s="31"/>
      <c r="N23" s="31"/>
      <c r="O23" s="31"/>
      <c r="P23" s="31"/>
      <c r="Q23" s="31"/>
      <c r="R23" s="4"/>
      <c r="S23" s="4"/>
      <c r="T23" s="4"/>
      <c r="U23" s="4"/>
      <c r="V23" s="4"/>
      <c r="W23" s="4"/>
      <c r="X23" s="4"/>
      <c r="Y23" s="4"/>
      <c r="Z23" s="4"/>
      <c r="AA23" s="4"/>
      <c r="AB23" s="4"/>
      <c r="AC23" s="4"/>
      <c r="AD23" s="4"/>
    </row>
    <row r="24" ht="15.75" customHeight="1">
      <c r="A24" s="29">
        <f t="shared" si="1"/>
        <v>23</v>
      </c>
      <c r="B24" s="13">
        <v>46219.0</v>
      </c>
      <c r="C24" s="37">
        <v>0.5138888888888888</v>
      </c>
      <c r="D24" s="15" t="str">
        <f>VLOOKUP( WEEKDAY(B24) ,Lookup!$A$2:$B$8,2,FALSE)</f>
        <v>Thursday</v>
      </c>
      <c r="E24" s="31"/>
      <c r="F24" s="32" t="s">
        <v>256</v>
      </c>
      <c r="G24" s="31"/>
      <c r="H24" s="15" t="str">
        <f>VLOOKUP( WEEKDAY(I24) ,Lookup!$A$2:$B$8,2,FALSE)
</f>
        <v>Thursday</v>
      </c>
      <c r="I24" s="13">
        <v>46219.0</v>
      </c>
      <c r="J24" s="31"/>
      <c r="K24" s="15" t="str">
        <f>VLOOKUP( WEEKDAY(L24) ,Lookup!$A$2:$B$8,2,FALSE)</f>
        <v>Thursday</v>
      </c>
      <c r="L24" s="13">
        <v>46219.0</v>
      </c>
      <c r="M24" s="31"/>
      <c r="N24" s="31"/>
      <c r="O24" s="31"/>
      <c r="P24" s="31"/>
      <c r="Q24" s="31"/>
      <c r="R24" s="4"/>
      <c r="S24" s="4"/>
      <c r="T24" s="4"/>
      <c r="U24" s="4"/>
      <c r="V24" s="4"/>
      <c r="W24" s="4"/>
      <c r="X24" s="4"/>
      <c r="Y24" s="4"/>
      <c r="Z24" s="4"/>
      <c r="AA24" s="4"/>
      <c r="AB24" s="4"/>
      <c r="AC24" s="4"/>
      <c r="AD24" s="4"/>
    </row>
    <row r="25" ht="15.75" customHeight="1">
      <c r="A25" s="29">
        <f t="shared" si="1"/>
        <v>24</v>
      </c>
      <c r="B25" s="13">
        <v>46220.0</v>
      </c>
      <c r="C25" s="31"/>
      <c r="D25" s="15" t="str">
        <f>VLOOKUP( WEEKDAY(B25) ,Lookup!$A$2:$B$8,2,FALSE)</f>
        <v>Friday</v>
      </c>
      <c r="E25" s="31" t="s">
        <v>257</v>
      </c>
      <c r="F25" s="32" t="s">
        <v>258</v>
      </c>
      <c r="G25" s="31"/>
      <c r="H25" s="15" t="str">
        <f>VLOOKUP( WEEKDAY(I25) ,Lookup!$A$2:$B$8,2,FALSE)
</f>
        <v>Friday</v>
      </c>
      <c r="I25" s="13">
        <v>46220.0</v>
      </c>
      <c r="J25" s="31"/>
      <c r="K25" s="15" t="str">
        <f>VLOOKUP( WEEKDAY(L25) ,Lookup!$A$2:$B$8,2,FALSE)</f>
        <v>Friday</v>
      </c>
      <c r="L25" s="13">
        <v>46220.0</v>
      </c>
      <c r="M25" s="31"/>
      <c r="N25" s="31"/>
      <c r="O25" s="31"/>
      <c r="P25" s="31"/>
      <c r="Q25" s="31"/>
      <c r="R25" s="4"/>
      <c r="S25" s="4"/>
      <c r="T25" s="4"/>
      <c r="U25" s="4"/>
      <c r="V25" s="4"/>
      <c r="W25" s="4"/>
      <c r="X25" s="4"/>
      <c r="Y25" s="4"/>
      <c r="Z25" s="4"/>
      <c r="AA25" s="4"/>
      <c r="AB25" s="4"/>
      <c r="AC25" s="4"/>
      <c r="AD25" s="4"/>
    </row>
    <row r="26" ht="15.75" customHeight="1">
      <c r="A26" s="29">
        <f t="shared" si="1"/>
        <v>25</v>
      </c>
      <c r="B26" s="13">
        <v>46221.0</v>
      </c>
      <c r="C26" s="31"/>
      <c r="D26" s="15" t="str">
        <f>VLOOKUP( WEEKDAY(B26) ,Lookup!$A$2:$B$8,2,FALSE)</f>
        <v>Saturday</v>
      </c>
      <c r="E26" s="31" t="s">
        <v>257</v>
      </c>
      <c r="F26" s="32" t="s">
        <v>257</v>
      </c>
      <c r="G26" s="31"/>
      <c r="H26" s="15" t="str">
        <f>VLOOKUP( WEEKDAY(I26) ,Lookup!$A$2:$B$8,2,FALSE)
</f>
        <v>Saturday</v>
      </c>
      <c r="I26" s="13">
        <v>46221.0</v>
      </c>
      <c r="J26" s="31"/>
      <c r="K26" s="15" t="str">
        <f>VLOOKUP( WEEKDAY(L26) ,Lookup!$A$2:$B$8,2,FALSE)</f>
        <v>Saturday</v>
      </c>
      <c r="L26" s="13">
        <v>46221.0</v>
      </c>
      <c r="M26" s="31"/>
      <c r="N26" s="31"/>
      <c r="O26" s="31"/>
      <c r="P26" s="31"/>
      <c r="Q26" s="31"/>
      <c r="R26" s="4"/>
      <c r="S26" s="4"/>
      <c r="T26" s="4"/>
      <c r="U26" s="4"/>
      <c r="V26" s="4"/>
      <c r="W26" s="4"/>
      <c r="X26" s="4"/>
      <c r="Y26" s="4"/>
      <c r="Z26" s="4"/>
      <c r="AA26" s="4"/>
      <c r="AB26" s="4"/>
      <c r="AC26" s="4"/>
      <c r="AD26" s="4"/>
    </row>
    <row r="27" ht="15.75" customHeight="1">
      <c r="A27" s="29">
        <f t="shared" si="1"/>
        <v>26</v>
      </c>
      <c r="B27" s="13">
        <v>46222.0</v>
      </c>
      <c r="C27" s="31"/>
      <c r="D27" s="15" t="str">
        <f>VLOOKUP( WEEKDAY(B27) ,Lookup!$A$2:$B$8,2,FALSE)</f>
        <v>Sunday</v>
      </c>
      <c r="E27" s="31" t="s">
        <v>257</v>
      </c>
      <c r="F27" s="32" t="s">
        <v>259</v>
      </c>
      <c r="G27" s="31"/>
      <c r="H27" s="15" t="str">
        <f>VLOOKUP( WEEKDAY(I27) ,Lookup!$A$2:$B$8,2,FALSE)
</f>
        <v>Sunday</v>
      </c>
      <c r="I27" s="13">
        <v>46222.0</v>
      </c>
      <c r="J27" s="31"/>
      <c r="K27" s="15" t="str">
        <f>VLOOKUP( WEEKDAY(L27) ,Lookup!$A$2:$B$8,2,FALSE)</f>
        <v>Sunday</v>
      </c>
      <c r="L27" s="13">
        <v>46222.0</v>
      </c>
      <c r="M27" s="31"/>
      <c r="N27" s="31"/>
      <c r="O27" s="31"/>
      <c r="P27" s="31"/>
      <c r="Q27" s="31"/>
      <c r="R27" s="4"/>
      <c r="S27" s="4"/>
      <c r="T27" s="4"/>
      <c r="U27" s="4"/>
      <c r="V27" s="4"/>
      <c r="W27" s="4"/>
      <c r="X27" s="4"/>
      <c r="Y27" s="4"/>
      <c r="Z27" s="4"/>
      <c r="AA27" s="4"/>
      <c r="AB27" s="4"/>
      <c r="AC27" s="4"/>
      <c r="AD27" s="4"/>
    </row>
    <row r="28" ht="15.75" customHeight="1">
      <c r="A28" s="29">
        <f t="shared" si="1"/>
        <v>27</v>
      </c>
      <c r="B28" s="13">
        <v>46223.0</v>
      </c>
      <c r="C28" s="37">
        <v>0.4166666666666667</v>
      </c>
      <c r="D28" s="15" t="str">
        <f>VLOOKUP( WEEKDAY(B28) ,Lookup!$A$2:$B$8,2,FALSE)</f>
        <v>Monday</v>
      </c>
      <c r="E28" s="31" t="s">
        <v>260</v>
      </c>
      <c r="F28" s="32" t="s">
        <v>262</v>
      </c>
      <c r="G28" s="31" t="s">
        <v>40</v>
      </c>
      <c r="H28" s="15" t="str">
        <f>VLOOKUP( WEEKDAY(I28) ,Lookup!$A$2:$B$8,2,FALSE)
</f>
        <v>Monday</v>
      </c>
      <c r="I28" s="13">
        <v>46223.0</v>
      </c>
      <c r="J28" s="31"/>
      <c r="K28" s="15" t="str">
        <f>VLOOKUP( WEEKDAY(L28) ,Lookup!$A$2:$B$8,2,FALSE)</f>
        <v>Monday</v>
      </c>
      <c r="L28" s="62">
        <v>46223.0</v>
      </c>
      <c r="M28" s="31" t="s">
        <v>263</v>
      </c>
      <c r="N28" s="31"/>
      <c r="O28" s="31"/>
      <c r="P28" s="31"/>
      <c r="Q28" s="31"/>
      <c r="R28" s="4"/>
      <c r="S28" s="4"/>
      <c r="T28" s="4"/>
      <c r="U28" s="4"/>
      <c r="V28" s="4"/>
      <c r="W28" s="4"/>
      <c r="X28" s="4"/>
      <c r="Y28" s="4"/>
      <c r="Z28" s="4"/>
      <c r="AA28" s="4"/>
      <c r="AB28" s="4"/>
      <c r="AC28" s="4"/>
      <c r="AD28" s="4"/>
    </row>
    <row r="29" ht="15.75" customHeight="1">
      <c r="A29" s="29">
        <f t="shared" si="1"/>
        <v>28</v>
      </c>
      <c r="B29" s="13">
        <v>46223.0</v>
      </c>
      <c r="C29" s="37">
        <v>0.4166666666666667</v>
      </c>
      <c r="D29" s="15" t="str">
        <f>VLOOKUP( WEEKDAY(B29) ,Lookup!$A$2:$B$8,2,FALSE)</f>
        <v>Monday</v>
      </c>
      <c r="E29" s="31" t="s">
        <v>264</v>
      </c>
      <c r="F29" s="32" t="s">
        <v>265</v>
      </c>
      <c r="G29" s="31"/>
      <c r="H29" s="15" t="str">
        <f>VLOOKUP( WEEKDAY(I29) ,Lookup!$A$2:$B$8,2,FALSE)
</f>
        <v>Monday</v>
      </c>
      <c r="I29" s="13">
        <v>46223.0</v>
      </c>
      <c r="J29" s="31"/>
      <c r="K29" s="15" t="str">
        <f>VLOOKUP( WEEKDAY(L29) ,Lookup!$A$2:$B$8,2,FALSE)</f>
        <v>Monday</v>
      </c>
      <c r="L29" s="13">
        <v>46223.0</v>
      </c>
      <c r="M29" s="31"/>
      <c r="N29" s="31"/>
      <c r="O29" s="31" t="s">
        <v>266</v>
      </c>
      <c r="P29" s="31"/>
      <c r="Q29" s="31"/>
      <c r="R29" s="4"/>
      <c r="S29" s="4"/>
      <c r="T29" s="4"/>
      <c r="U29" s="4"/>
      <c r="V29" s="4"/>
      <c r="W29" s="4"/>
      <c r="X29" s="4"/>
      <c r="Y29" s="4"/>
      <c r="Z29" s="4"/>
      <c r="AA29" s="4"/>
      <c r="AB29" s="4"/>
      <c r="AC29" s="4"/>
      <c r="AD29" s="4"/>
    </row>
    <row r="30" ht="15.75" customHeight="1">
      <c r="A30" s="29">
        <f t="shared" si="1"/>
        <v>29</v>
      </c>
      <c r="B30" s="13">
        <v>46223.0</v>
      </c>
      <c r="C30" s="37">
        <v>0.4166666666666667</v>
      </c>
      <c r="D30" s="15" t="str">
        <f>VLOOKUP( WEEKDAY(B30) ,Lookup!$A$2:$B$8,2,FALSE)</f>
        <v>Monday</v>
      </c>
      <c r="E30" s="31" t="s">
        <v>260</v>
      </c>
      <c r="F30" s="32" t="s">
        <v>267</v>
      </c>
      <c r="G30" s="31"/>
      <c r="H30" s="15" t="str">
        <f>VLOOKUP( WEEKDAY(I30) ,Lookup!$A$2:$B$8,2,FALSE)
</f>
        <v>Monday</v>
      </c>
      <c r="I30" s="13">
        <v>46223.0</v>
      </c>
      <c r="J30" s="37">
        <v>0.4791666666666667</v>
      </c>
      <c r="K30" s="15" t="str">
        <f>VLOOKUP( WEEKDAY(L30) ,Lookup!$A$2:$B$8,2,FALSE)</f>
        <v>Monday</v>
      </c>
      <c r="L30" s="62">
        <v>46223.0</v>
      </c>
      <c r="M30" s="37">
        <v>0.5347222222222222</v>
      </c>
      <c r="N30" s="31" t="s">
        <v>268</v>
      </c>
      <c r="O30" s="31"/>
      <c r="P30" s="31"/>
      <c r="Q30" s="31"/>
      <c r="R30" s="4"/>
      <c r="S30" s="4"/>
      <c r="T30" s="4"/>
      <c r="U30" s="4"/>
      <c r="V30" s="4"/>
      <c r="W30" s="4"/>
      <c r="X30" s="4"/>
      <c r="Y30" s="4"/>
      <c r="Z30" s="4"/>
      <c r="AA30" s="4"/>
      <c r="AB30" s="4"/>
      <c r="AC30" s="4"/>
      <c r="AD30" s="4"/>
    </row>
    <row r="31" ht="15.75" customHeight="1">
      <c r="A31" s="29">
        <f t="shared" si="1"/>
        <v>30</v>
      </c>
      <c r="B31" s="13">
        <v>46223.0</v>
      </c>
      <c r="C31" s="37">
        <v>0.4166666666666667</v>
      </c>
      <c r="D31" s="15" t="str">
        <f>VLOOKUP( WEEKDAY(B31) ,Lookup!$A$2:$B$8,2,FALSE)</f>
        <v>Monday</v>
      </c>
      <c r="E31" s="42" t="s">
        <v>39</v>
      </c>
      <c r="F31" s="32" t="s">
        <v>41</v>
      </c>
      <c r="G31" s="31"/>
      <c r="H31" s="15" t="str">
        <f>VLOOKUP( WEEKDAY(I31) ,Lookup!$A$2:$B$8,2,FALSE)
</f>
        <v>Monday</v>
      </c>
      <c r="I31" s="13">
        <v>46223.0</v>
      </c>
      <c r="J31" s="31"/>
      <c r="K31" s="15" t="str">
        <f>VLOOKUP( WEEKDAY(L31) ,Lookup!$A$2:$B$8,2,FALSE)</f>
        <v>Monday</v>
      </c>
      <c r="L31" s="13">
        <v>46223.0</v>
      </c>
      <c r="M31" s="31"/>
      <c r="N31" s="31"/>
      <c r="O31" s="31"/>
      <c r="P31" s="31"/>
      <c r="Q31" s="31"/>
      <c r="R31" s="4"/>
      <c r="S31" s="4"/>
      <c r="T31" s="4"/>
      <c r="U31" s="4"/>
      <c r="V31" s="4"/>
      <c r="W31" s="4"/>
      <c r="X31" s="4"/>
      <c r="Y31" s="4"/>
      <c r="Z31" s="4"/>
      <c r="AA31" s="4"/>
      <c r="AB31" s="4"/>
      <c r="AC31" s="4"/>
      <c r="AD31" s="4"/>
    </row>
    <row r="32" ht="15.75" customHeight="1">
      <c r="A32" s="29">
        <f t="shared" si="1"/>
        <v>31</v>
      </c>
      <c r="B32" s="13">
        <v>46223.0</v>
      </c>
      <c r="C32" s="37">
        <v>0.4166666666666667</v>
      </c>
      <c r="D32" s="15" t="str">
        <f>VLOOKUP( WEEKDAY(B32) ,Lookup!$A$2:$B$8,2,FALSE)</f>
        <v>Monday</v>
      </c>
      <c r="E32" s="42" t="s">
        <v>39</v>
      </c>
      <c r="F32" s="32" t="s">
        <v>43</v>
      </c>
      <c r="G32" s="31"/>
      <c r="H32" s="15" t="str">
        <f>VLOOKUP( WEEKDAY(I32) ,Lookup!$A$2:$B$8,2,FALSE)
</f>
        <v>Monday</v>
      </c>
      <c r="I32" s="13">
        <v>46223.0</v>
      </c>
      <c r="J32" s="31"/>
      <c r="K32" s="15" t="str">
        <f>VLOOKUP( WEEKDAY(L32) ,Lookup!$A$2:$B$8,2,FALSE)</f>
        <v>Monday</v>
      </c>
      <c r="L32" s="13">
        <v>46223.0</v>
      </c>
      <c r="M32" s="31"/>
      <c r="N32" s="31"/>
      <c r="O32" s="31"/>
      <c r="P32" s="31"/>
      <c r="Q32" s="31"/>
      <c r="R32" s="4"/>
      <c r="S32" s="4"/>
      <c r="T32" s="4"/>
      <c r="U32" s="4"/>
      <c r="V32" s="4"/>
      <c r="W32" s="4"/>
      <c r="X32" s="4"/>
      <c r="Y32" s="4"/>
      <c r="Z32" s="4"/>
      <c r="AA32" s="4"/>
      <c r="AB32" s="4"/>
      <c r="AC32" s="4"/>
      <c r="AD32" s="4"/>
    </row>
    <row r="33" ht="15.75" customHeight="1">
      <c r="A33" s="29">
        <f t="shared" si="1"/>
        <v>32</v>
      </c>
      <c r="B33" s="13">
        <v>46223.0</v>
      </c>
      <c r="C33" s="37">
        <v>0.4166666666666667</v>
      </c>
      <c r="D33" s="15" t="str">
        <f>VLOOKUP( WEEKDAY(B33) ,Lookup!$A$2:$B$8,2,FALSE)</f>
        <v>Monday</v>
      </c>
      <c r="E33" s="42" t="s">
        <v>39</v>
      </c>
      <c r="F33" s="32" t="s">
        <v>45</v>
      </c>
      <c r="G33" s="31"/>
      <c r="H33" s="15" t="str">
        <f>VLOOKUP( WEEKDAY(I33) ,Lookup!$A$2:$B$8,2,FALSE)
</f>
        <v>Monday</v>
      </c>
      <c r="I33" s="13">
        <v>46223.0</v>
      </c>
      <c r="J33" s="31"/>
      <c r="K33" s="15" t="str">
        <f>VLOOKUP( WEEKDAY(L33) ,Lookup!$A$2:$B$8,2,FALSE)</f>
        <v>Monday</v>
      </c>
      <c r="L33" s="13">
        <v>46223.0</v>
      </c>
      <c r="M33" s="31"/>
      <c r="N33" s="31"/>
      <c r="O33" s="31"/>
      <c r="P33" s="31"/>
      <c r="Q33" s="31"/>
      <c r="R33" s="4"/>
      <c r="S33" s="4"/>
      <c r="T33" s="4"/>
      <c r="U33" s="4"/>
      <c r="V33" s="4"/>
      <c r="W33" s="4"/>
      <c r="X33" s="4"/>
      <c r="Y33" s="4"/>
      <c r="Z33" s="4"/>
      <c r="AA33" s="4"/>
      <c r="AB33" s="4"/>
      <c r="AC33" s="4"/>
      <c r="AD33" s="4"/>
    </row>
    <row r="34" ht="15.75" customHeight="1">
      <c r="A34" s="29">
        <f t="shared" si="1"/>
        <v>33</v>
      </c>
      <c r="B34" s="13">
        <v>46223.0</v>
      </c>
      <c r="C34" s="37">
        <v>0.4166666666666667</v>
      </c>
      <c r="D34" s="15" t="str">
        <f>VLOOKUP( WEEKDAY(B34) ,Lookup!$A$2:$B$8,2,FALSE)</f>
        <v>Monday</v>
      </c>
      <c r="E34" s="42" t="s">
        <v>39</v>
      </c>
      <c r="F34" s="32" t="s">
        <v>54</v>
      </c>
      <c r="G34" s="31"/>
      <c r="H34" s="15" t="str">
        <f>VLOOKUP( WEEKDAY(I34) ,Lookup!$A$2:$B$8,2,FALSE)
</f>
        <v>Monday</v>
      </c>
      <c r="I34" s="13">
        <v>46223.0</v>
      </c>
      <c r="J34" s="31"/>
      <c r="K34" s="15" t="str">
        <f>VLOOKUP( WEEKDAY(L34) ,Lookup!$A$2:$B$8,2,FALSE)</f>
        <v>Monday</v>
      </c>
      <c r="L34" s="13">
        <v>46223.0</v>
      </c>
      <c r="M34" s="31"/>
      <c r="N34" s="31"/>
      <c r="O34" s="31"/>
      <c r="P34" s="31"/>
      <c r="Q34" s="31"/>
      <c r="R34" s="4"/>
      <c r="S34" s="4"/>
      <c r="T34" s="4"/>
      <c r="U34" s="4"/>
      <c r="V34" s="4"/>
      <c r="W34" s="4"/>
      <c r="X34" s="4"/>
      <c r="Y34" s="4"/>
      <c r="Z34" s="4"/>
      <c r="AA34" s="4"/>
      <c r="AB34" s="4"/>
      <c r="AC34" s="4"/>
      <c r="AD34" s="4"/>
    </row>
    <row r="35" ht="15.75" customHeight="1">
      <c r="A35" s="29">
        <f t="shared" si="1"/>
        <v>34</v>
      </c>
      <c r="B35" s="13">
        <v>46223.0</v>
      </c>
      <c r="C35" s="37">
        <v>0.4166666666666667</v>
      </c>
      <c r="D35" s="15" t="str">
        <f>VLOOKUP( WEEKDAY(B35) ,Lookup!$A$2:$B$8,2,FALSE)</f>
        <v>Monday</v>
      </c>
      <c r="E35" s="31" t="s">
        <v>36</v>
      </c>
      <c r="F35" s="32" t="s">
        <v>44</v>
      </c>
      <c r="G35" s="31"/>
      <c r="H35" s="15" t="str">
        <f>VLOOKUP( WEEKDAY(I35) ,Lookup!$A$2:$B$8,2,FALSE)
</f>
        <v>Monday</v>
      </c>
      <c r="I35" s="13">
        <v>46223.0</v>
      </c>
      <c r="J35" s="31"/>
      <c r="K35" s="15" t="str">
        <f>VLOOKUP( WEEKDAY(L35) ,Lookup!$A$2:$B$8,2,FALSE)</f>
        <v>Monday</v>
      </c>
      <c r="L35" s="13">
        <v>46223.0</v>
      </c>
      <c r="M35" s="31"/>
      <c r="N35" s="31"/>
      <c r="O35" s="31"/>
      <c r="P35" s="31"/>
      <c r="Q35" s="31"/>
      <c r="R35" s="4"/>
      <c r="S35" s="4"/>
      <c r="T35" s="4"/>
      <c r="U35" s="4"/>
      <c r="V35" s="4"/>
      <c r="W35" s="4"/>
      <c r="X35" s="4"/>
      <c r="Y35" s="4"/>
      <c r="Z35" s="4"/>
      <c r="AA35" s="4"/>
      <c r="AB35" s="4"/>
      <c r="AC35" s="4"/>
      <c r="AD35" s="4"/>
    </row>
    <row r="36" ht="15.75" customHeight="1">
      <c r="A36" s="29">
        <f t="shared" si="1"/>
        <v>35</v>
      </c>
      <c r="B36" s="13">
        <v>46223.0</v>
      </c>
      <c r="C36" s="37">
        <v>0.4166666666666667</v>
      </c>
      <c r="D36" s="15" t="str">
        <f>VLOOKUP( WEEKDAY(B36) ,Lookup!$A$2:$B$8,2,FALSE)</f>
        <v>Monday</v>
      </c>
      <c r="E36" s="31" t="s">
        <v>36</v>
      </c>
      <c r="F36" s="32" t="s">
        <v>269</v>
      </c>
      <c r="G36" s="31"/>
      <c r="H36" s="15" t="str">
        <f>VLOOKUP( WEEKDAY(I36) ,Lookup!$A$2:$B$8,2,FALSE)
</f>
        <v>Monday</v>
      </c>
      <c r="I36" s="13">
        <v>46223.0</v>
      </c>
      <c r="J36" s="37">
        <v>0.5486111111111112</v>
      </c>
      <c r="K36" s="15" t="str">
        <f>VLOOKUP( WEEKDAY(L36) ,Lookup!$A$2:$B$8,2,FALSE)</f>
        <v>Monday</v>
      </c>
      <c r="L36" s="62">
        <v>46223.0</v>
      </c>
      <c r="M36" s="37">
        <v>0.5597222222222222</v>
      </c>
      <c r="N36" s="31" t="s">
        <v>268</v>
      </c>
      <c r="O36" s="31" t="s">
        <v>270</v>
      </c>
      <c r="P36" s="31"/>
      <c r="Q36" s="31"/>
      <c r="R36" s="4"/>
      <c r="S36" s="4"/>
      <c r="T36" s="4"/>
      <c r="U36" s="4"/>
      <c r="V36" s="4"/>
      <c r="W36" s="4"/>
      <c r="X36" s="4"/>
      <c r="Y36" s="4"/>
      <c r="Z36" s="4"/>
      <c r="AA36" s="4"/>
      <c r="AB36" s="4"/>
      <c r="AC36" s="4"/>
      <c r="AD36" s="4"/>
    </row>
    <row r="37" ht="15.75" customHeight="1">
      <c r="A37" s="29">
        <f t="shared" si="1"/>
        <v>36</v>
      </c>
      <c r="B37" s="13">
        <v>46223.0</v>
      </c>
      <c r="C37" s="37">
        <v>0.4166666666666667</v>
      </c>
      <c r="D37" s="15" t="str">
        <f>VLOOKUP( WEEKDAY(B37) ,Lookup!$A$2:$B$8,2,FALSE)</f>
        <v>Monday</v>
      </c>
      <c r="E37" s="31" t="s">
        <v>70</v>
      </c>
      <c r="F37" s="32" t="s">
        <v>71</v>
      </c>
      <c r="G37" s="31"/>
      <c r="H37" s="15" t="str">
        <f>VLOOKUP( WEEKDAY(I37) ,Lookup!$A$2:$B$8,2,FALSE)
</f>
        <v>Monday</v>
      </c>
      <c r="I37" s="13">
        <v>46223.0</v>
      </c>
      <c r="J37" s="37">
        <v>0.4652777777777778</v>
      </c>
      <c r="K37" s="15" t="str">
        <f>VLOOKUP( WEEKDAY(L37) ,Lookup!$A$2:$B$8,2,FALSE)</f>
        <v>Monday</v>
      </c>
      <c r="L37" s="62">
        <v>46223.0</v>
      </c>
      <c r="M37" s="37">
        <v>0.4722222222222222</v>
      </c>
      <c r="N37" s="31" t="s">
        <v>104</v>
      </c>
      <c r="O37" s="31"/>
      <c r="P37" s="31"/>
      <c r="Q37" s="31"/>
      <c r="R37" s="4"/>
      <c r="S37" s="4"/>
      <c r="T37" s="4"/>
      <c r="U37" s="4"/>
      <c r="V37" s="4"/>
      <c r="W37" s="4"/>
      <c r="X37" s="4"/>
      <c r="Y37" s="4"/>
      <c r="Z37" s="4"/>
      <c r="AA37" s="4"/>
      <c r="AB37" s="4"/>
      <c r="AC37" s="4"/>
      <c r="AD37" s="4"/>
    </row>
    <row r="38" ht="15.75" customHeight="1">
      <c r="A38" s="29">
        <f t="shared" si="1"/>
        <v>37</v>
      </c>
      <c r="B38" s="13">
        <v>46223.0</v>
      </c>
      <c r="C38" s="31"/>
      <c r="D38" s="15" t="str">
        <f>VLOOKUP( WEEKDAY(B38) ,Lookup!$A$2:$B$8,2,FALSE)</f>
        <v>Monday</v>
      </c>
      <c r="E38" s="31" t="s">
        <v>271</v>
      </c>
      <c r="F38" s="32" t="s">
        <v>272</v>
      </c>
      <c r="G38" s="31"/>
      <c r="H38" s="15" t="str">
        <f>VLOOKUP( WEEKDAY(I38) ,Lookup!$A$2:$B$8,2,FALSE)
</f>
        <v>Monday</v>
      </c>
      <c r="I38" s="13">
        <v>46223.0</v>
      </c>
      <c r="J38" s="37">
        <v>0.5729166666666666</v>
      </c>
      <c r="K38" s="15" t="str">
        <f>VLOOKUP( WEEKDAY(L38) ,Lookup!$A$2:$B$8,2,FALSE)</f>
        <v>Monday</v>
      </c>
      <c r="L38" s="62">
        <v>46223.0</v>
      </c>
      <c r="M38" s="37">
        <v>0.5798611111111112</v>
      </c>
      <c r="N38" s="31" t="s">
        <v>104</v>
      </c>
      <c r="O38" s="31"/>
      <c r="P38" s="31"/>
      <c r="Q38" s="31"/>
      <c r="R38" s="4"/>
      <c r="S38" s="4"/>
      <c r="T38" s="4"/>
      <c r="U38" s="4"/>
      <c r="V38" s="4"/>
      <c r="W38" s="4"/>
      <c r="X38" s="4"/>
      <c r="Y38" s="4"/>
      <c r="Z38" s="4"/>
      <c r="AA38" s="4"/>
      <c r="AB38" s="4"/>
      <c r="AC38" s="4"/>
      <c r="AD38" s="4"/>
    </row>
    <row r="39" ht="15.75" customHeight="1">
      <c r="A39" s="29">
        <f t="shared" si="1"/>
        <v>38</v>
      </c>
      <c r="B39" s="13">
        <v>46223.0</v>
      </c>
      <c r="C39" s="37">
        <v>0.5902777777777778</v>
      </c>
      <c r="D39" s="15" t="str">
        <f>VLOOKUP( WEEKDAY(B39) ,Lookup!$A$2:$B$8,2,FALSE)</f>
        <v>Monday</v>
      </c>
      <c r="E39" s="31"/>
      <c r="F39" s="32" t="s">
        <v>273</v>
      </c>
      <c r="G39" s="31"/>
      <c r="H39" s="15" t="str">
        <f>VLOOKUP( WEEKDAY(I39) ,Lookup!$A$2:$B$8,2,FALSE)
</f>
        <v>Monday</v>
      </c>
      <c r="I39" s="13">
        <v>46223.0</v>
      </c>
      <c r="J39" s="37">
        <v>0.6</v>
      </c>
      <c r="K39" s="15" t="str">
        <f>VLOOKUP( WEEKDAY(L39) ,Lookup!$A$2:$B$8,2,FALSE)</f>
        <v>Monday</v>
      </c>
      <c r="L39" s="13">
        <v>46223.0</v>
      </c>
      <c r="M39" s="31"/>
      <c r="N39" s="31"/>
      <c r="O39" s="31"/>
      <c r="P39" s="31"/>
      <c r="Q39" s="31"/>
      <c r="R39" s="4"/>
      <c r="S39" s="4"/>
      <c r="T39" s="4"/>
      <c r="U39" s="4"/>
      <c r="V39" s="4"/>
      <c r="W39" s="4"/>
      <c r="X39" s="4"/>
      <c r="Y39" s="4"/>
      <c r="Z39" s="4"/>
      <c r="AA39" s="4"/>
      <c r="AB39" s="4"/>
      <c r="AC39" s="4"/>
      <c r="AD39" s="4"/>
    </row>
    <row r="40" ht="15.75" customHeight="1">
      <c r="A40" s="29">
        <f t="shared" si="1"/>
        <v>39</v>
      </c>
      <c r="B40" s="62">
        <v>46223.0</v>
      </c>
      <c r="C40" s="37">
        <v>0.6354166666666666</v>
      </c>
      <c r="D40" s="15" t="str">
        <f>VLOOKUP( WEEKDAY(B40) ,Lookup!$A$2:$B$8,2,FALSE)</f>
        <v>Monday</v>
      </c>
      <c r="E40" s="31" t="s">
        <v>274</v>
      </c>
      <c r="F40" s="32" t="s">
        <v>275</v>
      </c>
      <c r="G40" s="31"/>
      <c r="H40" s="15" t="str">
        <f>VLOOKUP( WEEKDAY(I40) ,Lookup!$A$2:$B$8,2,FALSE)
</f>
        <v>Monday</v>
      </c>
      <c r="I40" s="13">
        <v>46223.0</v>
      </c>
      <c r="J40" s="37">
        <v>0.6354166666666666</v>
      </c>
      <c r="K40" s="15" t="str">
        <f>VLOOKUP( WEEKDAY(L40) ,Lookup!$A$2:$B$8,2,FALSE)</f>
        <v>Monday</v>
      </c>
      <c r="L40" s="62">
        <v>46223.0</v>
      </c>
      <c r="M40" s="37">
        <v>0.8298611111111112</v>
      </c>
      <c r="N40" s="31" t="s">
        <v>104</v>
      </c>
      <c r="O40" s="31"/>
      <c r="P40" s="31"/>
      <c r="Q40" s="31"/>
      <c r="R40" s="4"/>
      <c r="S40" s="4"/>
      <c r="T40" s="4"/>
      <c r="U40" s="4"/>
      <c r="V40" s="4"/>
      <c r="W40" s="4"/>
      <c r="X40" s="4"/>
      <c r="Y40" s="4"/>
      <c r="Z40" s="4"/>
      <c r="AA40" s="4"/>
      <c r="AB40" s="4"/>
      <c r="AC40" s="4"/>
      <c r="AD40" s="4"/>
    </row>
    <row r="41" ht="15.75" customHeight="1">
      <c r="A41" s="29">
        <f t="shared" si="1"/>
        <v>40</v>
      </c>
      <c r="B41" s="62">
        <v>46223.0</v>
      </c>
      <c r="C41" s="37">
        <v>0.875</v>
      </c>
      <c r="D41" s="15" t="str">
        <f>VLOOKUP( WEEKDAY(B41) ,Lookup!$A$2:$B$8,2,FALSE)</f>
        <v>Monday</v>
      </c>
      <c r="E41" s="31" t="s">
        <v>276</v>
      </c>
      <c r="F41" s="32" t="s">
        <v>277</v>
      </c>
      <c r="G41" s="31"/>
      <c r="H41" s="15" t="str">
        <f>VLOOKUP( WEEKDAY(I41) ,Lookup!$A$2:$B$8,2,FALSE)
</f>
        <v>Monday</v>
      </c>
      <c r="I41" s="13">
        <v>46223.0</v>
      </c>
      <c r="J41" s="37">
        <v>0.875</v>
      </c>
      <c r="K41" s="15" t="str">
        <f>VLOOKUP( WEEKDAY(L41) ,Lookup!$A$2:$B$8,2,FALSE)</f>
        <v>Monday</v>
      </c>
      <c r="L41" s="62">
        <v>46223.0</v>
      </c>
      <c r="M41" s="37">
        <v>0.9444444444444444</v>
      </c>
      <c r="N41" s="31" t="s">
        <v>104</v>
      </c>
      <c r="O41" s="31"/>
      <c r="P41" s="31"/>
      <c r="Q41" s="31"/>
      <c r="R41" s="4"/>
      <c r="S41" s="4"/>
      <c r="T41" s="4"/>
      <c r="U41" s="4"/>
      <c r="V41" s="4"/>
      <c r="W41" s="4"/>
      <c r="X41" s="4"/>
      <c r="Y41" s="4"/>
      <c r="Z41" s="4"/>
      <c r="AA41" s="4"/>
      <c r="AB41" s="4"/>
      <c r="AC41" s="4"/>
      <c r="AD41" s="4"/>
    </row>
    <row r="42" ht="15.75" customHeight="1">
      <c r="A42" s="29">
        <f t="shared" si="1"/>
        <v>41</v>
      </c>
      <c r="B42" s="62">
        <v>46223.0</v>
      </c>
      <c r="C42" s="37">
        <v>0.9513888888888888</v>
      </c>
      <c r="D42" s="15" t="str">
        <f>VLOOKUP( WEEKDAY(B42) ,Lookup!$A$2:$B$8,2,FALSE)</f>
        <v>Monday</v>
      </c>
      <c r="E42" s="31" t="s">
        <v>278</v>
      </c>
      <c r="F42" s="32" t="s">
        <v>279</v>
      </c>
      <c r="G42" s="31"/>
      <c r="H42" s="15" t="str">
        <f>VLOOKUP( WEEKDAY(I42) ,Lookup!$A$2:$B$8,2,FALSE)
</f>
        <v>Monday</v>
      </c>
      <c r="I42" s="13">
        <v>46223.0</v>
      </c>
      <c r="J42" s="63">
        <v>0.4513888888888889</v>
      </c>
      <c r="K42" s="15" t="str">
        <f>VLOOKUP( WEEKDAY(L42) ,Lookup!$A$2:$B$8,2,FALSE)</f>
        <v>Monday</v>
      </c>
      <c r="L42" s="62">
        <v>46223.0</v>
      </c>
      <c r="M42" s="37">
        <v>0.9375</v>
      </c>
      <c r="N42" s="31"/>
      <c r="O42" s="31"/>
      <c r="P42" s="31"/>
      <c r="Q42" s="31"/>
      <c r="R42" s="4"/>
      <c r="S42" s="4"/>
      <c r="T42" s="4"/>
      <c r="U42" s="4"/>
      <c r="V42" s="4"/>
      <c r="W42" s="4"/>
      <c r="X42" s="4"/>
      <c r="Y42" s="4"/>
      <c r="Z42" s="4"/>
      <c r="AA42" s="4"/>
      <c r="AB42" s="4"/>
      <c r="AC42" s="4"/>
      <c r="AD42" s="4"/>
    </row>
    <row r="43" ht="15.75" customHeight="1">
      <c r="A43" s="29">
        <f t="shared" si="1"/>
        <v>42</v>
      </c>
      <c r="B43" s="62">
        <v>46224.0</v>
      </c>
      <c r="C43" s="37">
        <v>0.4236111111111111</v>
      </c>
      <c r="D43" s="15" t="str">
        <f>VLOOKUP( WEEKDAY(B43) ,Lookup!$A$2:$B$8,2,FALSE)</f>
        <v>Tuesday</v>
      </c>
      <c r="E43" s="31" t="s">
        <v>278</v>
      </c>
      <c r="F43" s="32" t="s">
        <v>280</v>
      </c>
      <c r="G43" s="31"/>
      <c r="H43" s="15" t="str">
        <f>VLOOKUP( WEEKDAY(I43) ,Lookup!$A$2:$B$8,2,FALSE)
</f>
        <v>Tuesday</v>
      </c>
      <c r="I43" s="13">
        <v>46224.0</v>
      </c>
      <c r="J43" s="64">
        <v>0.4236111111111111</v>
      </c>
      <c r="K43" s="15" t="str">
        <f>VLOOKUP( WEEKDAY(L43) ,Lookup!$A$2:$B$8,2,FALSE)</f>
        <v>Tuesday</v>
      </c>
      <c r="L43" s="62">
        <v>46224.0</v>
      </c>
      <c r="M43" s="37">
        <v>0.4340277777777778</v>
      </c>
      <c r="N43" s="31"/>
      <c r="O43" s="31"/>
      <c r="P43" s="31"/>
      <c r="Q43" s="31"/>
      <c r="R43" s="4"/>
      <c r="S43" s="4"/>
      <c r="T43" s="4"/>
      <c r="U43" s="4"/>
      <c r="V43" s="4"/>
      <c r="W43" s="4"/>
      <c r="X43" s="4"/>
      <c r="Y43" s="4"/>
      <c r="Z43" s="4"/>
      <c r="AA43" s="4"/>
      <c r="AB43" s="4"/>
      <c r="AC43" s="4"/>
      <c r="AD43" s="4"/>
    </row>
    <row r="44" ht="15.75" customHeight="1">
      <c r="A44" s="29">
        <f t="shared" si="1"/>
        <v>43</v>
      </c>
      <c r="B44" s="62">
        <v>46224.0</v>
      </c>
      <c r="C44" s="37">
        <v>0.43472222222222223</v>
      </c>
      <c r="D44" s="15" t="str">
        <f>VLOOKUP( WEEKDAY(B44) ,Lookup!$A$2:$B$8,2,FALSE)</f>
        <v>Tuesday</v>
      </c>
      <c r="E44" s="31" t="s">
        <v>281</v>
      </c>
      <c r="F44" s="32" t="s">
        <v>282</v>
      </c>
      <c r="G44" s="31"/>
      <c r="H44" s="15" t="str">
        <f>VLOOKUP( WEEKDAY(I44) ,Lookup!$A$2:$B$8,2,FALSE)
</f>
        <v>Tuesday</v>
      </c>
      <c r="I44" s="13">
        <v>46224.0</v>
      </c>
      <c r="J44" s="37">
        <v>0.43472222222222223</v>
      </c>
      <c r="K44" s="15" t="str">
        <f>VLOOKUP( WEEKDAY(L44) ,Lookup!$A$2:$B$8,2,FALSE)</f>
        <v>Tuesday</v>
      </c>
      <c r="L44" s="62">
        <v>46224.0</v>
      </c>
      <c r="M44" s="37">
        <v>0.44305555555555554</v>
      </c>
      <c r="N44" s="31" t="s">
        <v>104</v>
      </c>
      <c r="O44" s="31"/>
      <c r="P44" s="31"/>
      <c r="Q44" s="31"/>
      <c r="R44" s="4"/>
      <c r="S44" s="4"/>
      <c r="T44" s="4"/>
      <c r="U44" s="4"/>
      <c r="V44" s="4"/>
      <c r="W44" s="4"/>
      <c r="X44" s="4"/>
      <c r="Y44" s="4"/>
      <c r="Z44" s="4"/>
      <c r="AA44" s="4"/>
      <c r="AB44" s="4"/>
      <c r="AC44" s="4"/>
      <c r="AD44" s="4"/>
    </row>
    <row r="45" ht="15.75" customHeight="1">
      <c r="A45" s="29">
        <f t="shared" si="1"/>
        <v>44</v>
      </c>
      <c r="B45" s="65">
        <v>46224.0</v>
      </c>
      <c r="C45" s="66">
        <v>0.4444444444444444</v>
      </c>
      <c r="D45" s="15" t="str">
        <f>VLOOKUP( WEEKDAY(B45) ,Lookup!$A$2:$B$8,2,FALSE)</f>
        <v>Tuesday</v>
      </c>
      <c r="E45" s="31" t="s">
        <v>281</v>
      </c>
      <c r="F45" s="32" t="s">
        <v>283</v>
      </c>
      <c r="G45" s="31"/>
      <c r="H45" s="15" t="str">
        <f>VLOOKUP( WEEKDAY(I45) ,Lookup!$A$2:$B$8,2,FALSE)
</f>
        <v>Tuesday</v>
      </c>
      <c r="I45" s="13">
        <v>46224.0</v>
      </c>
      <c r="J45" s="66">
        <v>0.4486111111111111</v>
      </c>
      <c r="K45" s="15" t="str">
        <f>VLOOKUP( WEEKDAY(L45) ,Lookup!$A$2:$B$8,2,FALSE)</f>
        <v>Tuesday</v>
      </c>
      <c r="L45" s="13">
        <v>46224.0</v>
      </c>
      <c r="M45" s="66">
        <v>0.4618055555555556</v>
      </c>
      <c r="N45" s="31" t="s">
        <v>104</v>
      </c>
      <c r="O45" s="31"/>
      <c r="P45" s="31"/>
      <c r="Q45" s="31"/>
      <c r="R45" s="4"/>
      <c r="S45" s="4"/>
      <c r="T45" s="4"/>
      <c r="U45" s="4"/>
      <c r="V45" s="4"/>
      <c r="W45" s="4"/>
      <c r="X45" s="4"/>
      <c r="Y45" s="4"/>
      <c r="Z45" s="4"/>
      <c r="AA45" s="4"/>
      <c r="AB45" s="4"/>
      <c r="AC45" s="4"/>
      <c r="AD45" s="4"/>
    </row>
    <row r="46" ht="15.75" customHeight="1">
      <c r="A46" s="29">
        <f t="shared" si="1"/>
        <v>45</v>
      </c>
      <c r="B46" s="65">
        <v>46224.0</v>
      </c>
      <c r="C46" s="66">
        <v>0.4722222222222222</v>
      </c>
      <c r="D46" s="15" t="str">
        <f>VLOOKUP( WEEKDAY(B46) ,Lookup!$A$2:$B$8,2,FALSE)</f>
        <v>Tuesday</v>
      </c>
      <c r="E46" s="31" t="s">
        <v>284</v>
      </c>
      <c r="F46" s="32" t="s">
        <v>285</v>
      </c>
      <c r="G46" s="31"/>
      <c r="H46" s="15" t="str">
        <f>VLOOKUP( WEEKDAY(I46) ,Lookup!$A$2:$B$8,2,FALSE)
</f>
        <v>Tuesday</v>
      </c>
      <c r="I46" s="13">
        <v>46224.0</v>
      </c>
      <c r="J46" s="31"/>
      <c r="K46" s="15" t="str">
        <f>VLOOKUP( WEEKDAY(L46) ,Lookup!$A$2:$B$8,2,FALSE)</f>
        <v>Tuesday</v>
      </c>
      <c r="L46" s="13">
        <v>46224.0</v>
      </c>
      <c r="M46" s="31"/>
      <c r="N46" s="31"/>
      <c r="O46" s="31"/>
      <c r="P46" s="31"/>
      <c r="Q46" s="31"/>
      <c r="R46" s="4"/>
      <c r="S46" s="4"/>
      <c r="T46" s="4"/>
      <c r="U46" s="4"/>
      <c r="V46" s="4"/>
      <c r="W46" s="4"/>
      <c r="X46" s="4"/>
      <c r="Y46" s="4"/>
      <c r="Z46" s="4"/>
      <c r="AA46" s="4"/>
      <c r="AB46" s="4"/>
      <c r="AC46" s="4"/>
      <c r="AD46" s="4"/>
    </row>
    <row r="47" ht="15.75" customHeight="1">
      <c r="A47" s="29">
        <f t="shared" si="1"/>
        <v>46</v>
      </c>
      <c r="B47" s="65">
        <v>46224.0</v>
      </c>
      <c r="C47" s="66">
        <v>0.4756944444444444</v>
      </c>
      <c r="D47" s="15" t="str">
        <f>VLOOKUP( WEEKDAY(B47) ,Lookup!$A$2:$B$8,2,FALSE)</f>
        <v>Tuesday</v>
      </c>
      <c r="E47" s="31" t="s">
        <v>79</v>
      </c>
      <c r="F47" s="32" t="s">
        <v>286</v>
      </c>
      <c r="G47" s="31"/>
      <c r="H47" s="15" t="str">
        <f>VLOOKUP( WEEKDAY(I47) ,Lookup!$A$2:$B$8,2,FALSE)
</f>
        <v>Tuesday</v>
      </c>
      <c r="I47" s="13">
        <v>46224.0</v>
      </c>
      <c r="J47" s="31"/>
      <c r="K47" s="15" t="str">
        <f>VLOOKUP( WEEKDAY(L47) ,Lookup!$A$2:$B$8,2,FALSE)</f>
        <v>Tuesday</v>
      </c>
      <c r="L47" s="13">
        <v>46224.0</v>
      </c>
      <c r="M47" s="31"/>
      <c r="N47" s="31"/>
      <c r="O47" s="31"/>
      <c r="P47" s="31"/>
      <c r="Q47" s="31"/>
      <c r="R47" s="4"/>
      <c r="S47" s="4"/>
      <c r="T47" s="4"/>
      <c r="U47" s="4"/>
      <c r="V47" s="4"/>
      <c r="W47" s="4"/>
      <c r="X47" s="4"/>
      <c r="Y47" s="4"/>
      <c r="Z47" s="4"/>
      <c r="AA47" s="4"/>
      <c r="AB47" s="4"/>
      <c r="AC47" s="4"/>
      <c r="AD47" s="4"/>
    </row>
    <row r="48" ht="15.75" customHeight="1">
      <c r="A48" s="29">
        <f t="shared" si="1"/>
        <v>47</v>
      </c>
      <c r="B48" s="65">
        <v>46224.0</v>
      </c>
      <c r="C48" s="66">
        <v>0.0</v>
      </c>
      <c r="D48" s="15" t="str">
        <f>VLOOKUP( WEEKDAY(B48) ,Lookup!$A$2:$B$8,2,FALSE)</f>
        <v>Tuesday</v>
      </c>
      <c r="E48" s="31" t="s">
        <v>287</v>
      </c>
      <c r="F48" s="32" t="s">
        <v>44</v>
      </c>
      <c r="G48" s="31"/>
      <c r="H48" s="15" t="str">
        <f>VLOOKUP( WEEKDAY(I48) ,Lookup!$A$2:$B$8,2,FALSE)
</f>
        <v>Tuesday</v>
      </c>
      <c r="I48" s="13">
        <v>46224.0</v>
      </c>
      <c r="J48" s="66">
        <v>0.0</v>
      </c>
      <c r="K48" s="15" t="str">
        <f>VLOOKUP( WEEKDAY(L48) ,Lookup!$A$2:$B$8,2,FALSE)</f>
        <v>Tuesday</v>
      </c>
      <c r="L48" s="65">
        <v>46224.0</v>
      </c>
      <c r="M48" s="66">
        <v>0.017361111111111112</v>
      </c>
      <c r="N48" s="31"/>
      <c r="O48" s="31"/>
      <c r="P48" s="31"/>
      <c r="Q48" s="31"/>
      <c r="R48" s="4"/>
      <c r="S48" s="4"/>
      <c r="T48" s="4"/>
      <c r="U48" s="4"/>
      <c r="V48" s="4"/>
      <c r="W48" s="4"/>
      <c r="X48" s="4"/>
      <c r="Y48" s="4"/>
      <c r="Z48" s="4"/>
      <c r="AA48" s="4"/>
      <c r="AB48" s="4"/>
      <c r="AC48" s="4"/>
      <c r="AD48" s="4"/>
    </row>
    <row r="49" ht="15.75" customHeight="1">
      <c r="A49" s="29">
        <f t="shared" si="1"/>
        <v>48</v>
      </c>
      <c r="B49" s="65">
        <v>46224.0</v>
      </c>
      <c r="C49" s="66">
        <v>0.017361111111111112</v>
      </c>
      <c r="D49" s="15" t="str">
        <f>VLOOKUP( WEEKDAY(B49) ,Lookup!$A$2:$B$8,2,FALSE)</f>
        <v>Tuesday</v>
      </c>
      <c r="E49" s="31" t="s">
        <v>288</v>
      </c>
      <c r="F49" s="32" t="s">
        <v>289</v>
      </c>
      <c r="G49" s="31"/>
      <c r="H49" s="15" t="str">
        <f>VLOOKUP( WEEKDAY(I49) ,Lookup!$A$2:$B$8,2,FALSE)
</f>
        <v>Tuesday</v>
      </c>
      <c r="I49" s="13">
        <v>46224.0</v>
      </c>
      <c r="J49" s="66">
        <v>0.027777777777777776</v>
      </c>
      <c r="K49" s="15" t="str">
        <f>VLOOKUP( WEEKDAY(L49) ,Lookup!$A$2:$B$8,2,FALSE)</f>
        <v>Tuesday</v>
      </c>
      <c r="L49" s="65">
        <v>46224.0</v>
      </c>
      <c r="M49" s="66">
        <v>0.020833333333333332</v>
      </c>
      <c r="N49" s="31"/>
      <c r="O49" s="31"/>
      <c r="P49" s="31"/>
      <c r="Q49" s="31"/>
      <c r="R49" s="4"/>
      <c r="S49" s="4"/>
      <c r="T49" s="4"/>
      <c r="U49" s="4"/>
      <c r="V49" s="4"/>
      <c r="W49" s="4"/>
      <c r="X49" s="4"/>
      <c r="Y49" s="4"/>
      <c r="Z49" s="4"/>
      <c r="AA49" s="4"/>
      <c r="AB49" s="4"/>
      <c r="AC49" s="4"/>
      <c r="AD49" s="4"/>
    </row>
    <row r="50" ht="15.75" customHeight="1">
      <c r="A50" s="29">
        <f t="shared" si="1"/>
        <v>49</v>
      </c>
      <c r="B50" s="65">
        <v>46224.0</v>
      </c>
      <c r="C50" s="66">
        <v>0.020833333333333332</v>
      </c>
      <c r="D50" s="15" t="str">
        <f>VLOOKUP( WEEKDAY(B50) ,Lookup!$A$2:$B$8,2,FALSE)</f>
        <v>Tuesday</v>
      </c>
      <c r="E50" s="31" t="s">
        <v>290</v>
      </c>
      <c r="F50" s="32" t="s">
        <v>139</v>
      </c>
      <c r="G50" s="31"/>
      <c r="H50" s="15" t="str">
        <f>VLOOKUP( WEEKDAY(I50) ,Lookup!$A$2:$B$8,2,FALSE)
</f>
        <v>Tuesday</v>
      </c>
      <c r="I50" s="13">
        <v>46224.0</v>
      </c>
      <c r="J50" s="66">
        <v>0.020833333333333332</v>
      </c>
      <c r="K50" s="15" t="str">
        <f>VLOOKUP( WEEKDAY(L50) ,Lookup!$A$2:$B$8,2,FALSE)</f>
        <v>Tuesday</v>
      </c>
      <c r="L50" s="65">
        <v>46224.0</v>
      </c>
      <c r="M50" s="66">
        <v>0.5416666666666666</v>
      </c>
      <c r="N50" s="31"/>
      <c r="O50" s="31"/>
      <c r="P50" s="31"/>
      <c r="Q50" s="31"/>
      <c r="R50" s="4"/>
      <c r="S50" s="4"/>
      <c r="T50" s="4"/>
      <c r="U50" s="4"/>
      <c r="V50" s="4"/>
      <c r="W50" s="4"/>
      <c r="X50" s="4"/>
      <c r="Y50" s="4"/>
      <c r="Z50" s="4"/>
      <c r="AA50" s="4"/>
      <c r="AB50" s="4"/>
      <c r="AC50" s="4"/>
      <c r="AD50" s="4"/>
    </row>
    <row r="51" ht="15.75" customHeight="1">
      <c r="A51" s="29">
        <f t="shared" si="1"/>
        <v>50</v>
      </c>
      <c r="B51" s="65">
        <v>46224.0</v>
      </c>
      <c r="C51" s="66">
        <v>0.5625</v>
      </c>
      <c r="D51" s="15" t="str">
        <f>VLOOKUP( WEEKDAY(B51) ,Lookup!$A$2:$B$8,2,FALSE)</f>
        <v>Tuesday</v>
      </c>
      <c r="E51" s="31" t="s">
        <v>287</v>
      </c>
      <c r="F51" s="32" t="s">
        <v>291</v>
      </c>
      <c r="G51" s="31"/>
      <c r="H51" s="15" t="str">
        <f>VLOOKUP( WEEKDAY(I51) ,Lookup!$A$2:$B$8,2,FALSE)
</f>
        <v>Tuesday</v>
      </c>
      <c r="I51" s="13">
        <v>46224.0</v>
      </c>
      <c r="J51" s="66">
        <v>0.5625</v>
      </c>
      <c r="K51" s="15" t="str">
        <f>VLOOKUP( WEEKDAY(L51) ,Lookup!$A$2:$B$8,2,FALSE)</f>
        <v>Tuesday</v>
      </c>
      <c r="L51" s="65">
        <v>46224.0</v>
      </c>
      <c r="M51" s="66">
        <v>0.5625</v>
      </c>
      <c r="N51" s="31"/>
      <c r="O51" s="31"/>
      <c r="P51" s="31"/>
      <c r="Q51" s="31"/>
      <c r="R51" s="4"/>
      <c r="S51" s="4"/>
      <c r="T51" s="4"/>
      <c r="U51" s="4"/>
      <c r="V51" s="4"/>
      <c r="W51" s="4"/>
      <c r="X51" s="4"/>
      <c r="Y51" s="4"/>
      <c r="Z51" s="4"/>
      <c r="AA51" s="4"/>
      <c r="AB51" s="4"/>
      <c r="AC51" s="4"/>
      <c r="AD51" s="4"/>
    </row>
    <row r="52" ht="15.75" customHeight="1">
      <c r="A52" s="29">
        <f t="shared" si="1"/>
        <v>51</v>
      </c>
      <c r="B52" s="65">
        <v>46224.0</v>
      </c>
      <c r="C52" s="66">
        <v>0.0798611111111111</v>
      </c>
      <c r="D52" s="15" t="str">
        <f>VLOOKUP( WEEKDAY(B52) ,Lookup!$A$2:$B$8,2,FALSE)</f>
        <v>Tuesday</v>
      </c>
      <c r="E52" s="31" t="s">
        <v>288</v>
      </c>
      <c r="F52" s="32" t="s">
        <v>289</v>
      </c>
      <c r="G52" s="31"/>
      <c r="H52" s="15" t="str">
        <f>VLOOKUP( WEEKDAY(I52) ,Lookup!$A$2:$B$8,2,FALSE)
</f>
        <v>Tuesday</v>
      </c>
      <c r="I52" s="13">
        <v>46224.0</v>
      </c>
      <c r="J52" s="66">
        <v>0.5763888888888888</v>
      </c>
      <c r="K52" s="15" t="str">
        <f>VLOOKUP( WEEKDAY(L52) ,Lookup!$A$2:$B$8,2,FALSE)</f>
        <v>Tuesday</v>
      </c>
      <c r="L52" s="65">
        <v>46224.0</v>
      </c>
      <c r="M52" s="66">
        <v>0.5763888888888888</v>
      </c>
      <c r="N52" s="31"/>
      <c r="O52" s="31"/>
      <c r="P52" s="31"/>
      <c r="Q52" s="31"/>
      <c r="R52" s="4"/>
      <c r="S52" s="4"/>
      <c r="T52" s="4"/>
      <c r="U52" s="4"/>
      <c r="V52" s="4"/>
      <c r="W52" s="4"/>
      <c r="X52" s="4"/>
      <c r="Y52" s="4"/>
      <c r="Z52" s="4"/>
      <c r="AA52" s="4"/>
      <c r="AB52" s="4"/>
      <c r="AC52" s="4"/>
      <c r="AD52" s="4"/>
    </row>
    <row r="53" ht="15.75" customHeight="1">
      <c r="A53" s="29">
        <f t="shared" si="1"/>
        <v>52</v>
      </c>
      <c r="B53" s="65">
        <v>46224.0</v>
      </c>
      <c r="C53" s="66">
        <v>0.0798611111111111</v>
      </c>
      <c r="D53" s="15" t="str">
        <f>VLOOKUP( WEEKDAY(B53) ,Lookup!$A$2:$B$8,2,FALSE)</f>
        <v>Tuesday</v>
      </c>
      <c r="E53" s="31" t="s">
        <v>290</v>
      </c>
      <c r="F53" s="32" t="s">
        <v>139</v>
      </c>
      <c r="G53" s="31"/>
      <c r="H53" s="15" t="str">
        <f>VLOOKUP( WEEKDAY(I53) ,Lookup!$A$2:$B$8,2,FALSE)
</f>
        <v>Tuesday</v>
      </c>
      <c r="I53" s="13">
        <v>46224.0</v>
      </c>
      <c r="J53" s="66">
        <v>0.5833333333333334</v>
      </c>
      <c r="K53" s="15" t="str">
        <f>VLOOKUP( WEEKDAY(L53) ,Lookup!$A$2:$B$8,2,FALSE)</f>
        <v>Tuesday</v>
      </c>
      <c r="L53" s="65">
        <v>46224.0</v>
      </c>
      <c r="M53" s="66">
        <v>0.5972222222222222</v>
      </c>
      <c r="N53" s="31"/>
      <c r="O53" s="31"/>
      <c r="P53" s="31"/>
      <c r="Q53" s="31"/>
      <c r="R53" s="4"/>
      <c r="S53" s="4"/>
      <c r="T53" s="4"/>
      <c r="U53" s="4"/>
      <c r="V53" s="4"/>
      <c r="W53" s="4"/>
      <c r="X53" s="4"/>
      <c r="Y53" s="4"/>
      <c r="Z53" s="4"/>
      <c r="AA53" s="4"/>
      <c r="AB53" s="4"/>
      <c r="AC53" s="4"/>
      <c r="AD53" s="4"/>
    </row>
    <row r="54" ht="15.75" customHeight="1">
      <c r="A54" s="29">
        <f t="shared" si="1"/>
        <v>53</v>
      </c>
      <c r="B54" s="65">
        <v>46224.0</v>
      </c>
      <c r="C54" s="37">
        <v>0.5972222222222222</v>
      </c>
      <c r="D54" s="15" t="str">
        <f>VLOOKUP( WEEKDAY(B54) ,Lookup!$A$2:$B$8,2,FALSE)</f>
        <v>Tuesday</v>
      </c>
      <c r="E54" s="31" t="s">
        <v>292</v>
      </c>
      <c r="F54" s="32" t="s">
        <v>292</v>
      </c>
      <c r="G54" s="31"/>
      <c r="H54" s="15" t="str">
        <f>VLOOKUP( WEEKDAY(I54) ,Lookup!$A$2:$B$8,2,FALSE)
</f>
        <v>Tuesday</v>
      </c>
      <c r="I54" s="13">
        <v>46224.0</v>
      </c>
      <c r="J54" s="37">
        <v>0.5972222222222222</v>
      </c>
      <c r="K54" s="15" t="str">
        <f>VLOOKUP( WEEKDAY(L54) ,Lookup!$A$2:$B$8,2,FALSE)</f>
        <v>Tuesday</v>
      </c>
      <c r="L54" s="65">
        <v>46224.0</v>
      </c>
      <c r="M54" s="37">
        <v>0.625</v>
      </c>
      <c r="N54" s="31"/>
      <c r="O54" s="31"/>
      <c r="P54" s="31"/>
      <c r="Q54" s="31"/>
      <c r="R54" s="4"/>
      <c r="S54" s="4"/>
      <c r="T54" s="4"/>
      <c r="U54" s="4"/>
      <c r="V54" s="4"/>
      <c r="W54" s="4"/>
      <c r="X54" s="4"/>
      <c r="Y54" s="4"/>
      <c r="Z54" s="4"/>
      <c r="AA54" s="4"/>
      <c r="AB54" s="4"/>
      <c r="AC54" s="4"/>
      <c r="AD54" s="4"/>
    </row>
    <row r="55" ht="15.75" customHeight="1">
      <c r="A55" s="29">
        <f t="shared" si="1"/>
        <v>54</v>
      </c>
      <c r="B55" s="65">
        <v>46224.0</v>
      </c>
      <c r="C55" s="37">
        <v>0.625</v>
      </c>
      <c r="D55" s="15" t="str">
        <f>VLOOKUP( WEEKDAY(B55) ,Lookup!$A$2:$B$8,2,FALSE)</f>
        <v>Tuesday</v>
      </c>
      <c r="E55" s="31" t="s">
        <v>293</v>
      </c>
      <c r="F55" s="32" t="s">
        <v>294</v>
      </c>
      <c r="G55" s="31"/>
      <c r="H55" s="15" t="str">
        <f>VLOOKUP( WEEKDAY(I55) ,Lookup!$A$2:$B$8,2,FALSE)
</f>
        <v>Tuesday</v>
      </c>
      <c r="I55" s="13">
        <v>46224.0</v>
      </c>
      <c r="J55" s="37">
        <v>0.625</v>
      </c>
      <c r="K55" s="15" t="str">
        <f>VLOOKUP( WEEKDAY(L55) ,Lookup!$A$2:$B$8,2,FALSE)</f>
        <v>Tuesday</v>
      </c>
      <c r="L55" s="65">
        <v>46224.0</v>
      </c>
      <c r="M55" s="37">
        <v>0.6458333333333334</v>
      </c>
      <c r="N55" s="31"/>
      <c r="O55" s="31"/>
      <c r="P55" s="31"/>
      <c r="Q55" s="31"/>
      <c r="R55" s="4"/>
      <c r="S55" s="4"/>
      <c r="T55" s="4"/>
      <c r="U55" s="4"/>
      <c r="V55" s="4"/>
      <c r="W55" s="4"/>
      <c r="X55" s="4"/>
      <c r="Y55" s="4"/>
      <c r="Z55" s="4"/>
      <c r="AA55" s="4"/>
      <c r="AB55" s="4"/>
      <c r="AC55" s="4"/>
      <c r="AD55" s="4"/>
    </row>
    <row r="56" ht="15.75" customHeight="1">
      <c r="A56" s="29">
        <f t="shared" si="1"/>
        <v>55</v>
      </c>
      <c r="B56" s="65">
        <v>46224.0</v>
      </c>
      <c r="C56" s="37">
        <v>0.6458333333333334</v>
      </c>
      <c r="D56" s="15" t="str">
        <f>VLOOKUP( WEEKDAY(B56) ,Lookup!$A$2:$B$8,2,FALSE)</f>
        <v>Tuesday</v>
      </c>
      <c r="E56" s="31" t="s">
        <v>293</v>
      </c>
      <c r="F56" s="32" t="s">
        <v>295</v>
      </c>
      <c r="G56" s="31"/>
      <c r="H56" s="15" t="str">
        <f>VLOOKUP( WEEKDAY(I56) ,Lookup!$A$2:$B$8,2,FALSE)
</f>
        <v>Tuesday</v>
      </c>
      <c r="I56" s="13">
        <v>46224.0</v>
      </c>
      <c r="J56" s="37">
        <v>0.6458333333333334</v>
      </c>
      <c r="K56" s="15" t="str">
        <f>VLOOKUP( WEEKDAY(L56) ,Lookup!$A$2:$B$8,2,FALSE)</f>
        <v>Tuesday</v>
      </c>
      <c r="L56" s="65">
        <v>46224.0</v>
      </c>
      <c r="M56" s="37">
        <v>0.65625</v>
      </c>
      <c r="N56" s="31"/>
      <c r="O56" s="31"/>
      <c r="P56" s="31"/>
      <c r="Q56" s="31"/>
      <c r="R56" s="4"/>
      <c r="S56" s="4"/>
      <c r="T56" s="4"/>
      <c r="U56" s="4"/>
      <c r="V56" s="4"/>
      <c r="W56" s="4"/>
      <c r="X56" s="4"/>
      <c r="Y56" s="4"/>
      <c r="Z56" s="4"/>
      <c r="AA56" s="4"/>
      <c r="AB56" s="4"/>
      <c r="AC56" s="4"/>
      <c r="AD56" s="4"/>
    </row>
    <row r="57" ht="15.75" customHeight="1">
      <c r="A57" s="29">
        <f t="shared" si="1"/>
        <v>56</v>
      </c>
      <c r="B57" s="65">
        <v>46224.0</v>
      </c>
      <c r="C57" s="37">
        <v>0.6597222222222222</v>
      </c>
      <c r="D57" s="15" t="str">
        <f>VLOOKUP( WEEKDAY(B57) ,Lookup!$A$2:$B$8,2,FALSE)</f>
        <v>Tuesday</v>
      </c>
      <c r="E57" s="31" t="s">
        <v>293</v>
      </c>
      <c r="F57" s="32" t="s">
        <v>296</v>
      </c>
      <c r="G57" s="31"/>
      <c r="H57" s="15" t="str">
        <f>VLOOKUP( WEEKDAY(I57) ,Lookup!$A$2:$B$8,2,FALSE)
</f>
        <v>Tuesday</v>
      </c>
      <c r="I57" s="13">
        <v>46224.0</v>
      </c>
      <c r="J57" s="37">
        <v>0.6597222222222222</v>
      </c>
      <c r="K57" s="15" t="str">
        <f>VLOOKUP( WEEKDAY(L57) ,Lookup!$A$2:$B$8,2,FALSE)</f>
        <v>Tuesday</v>
      </c>
      <c r="L57" s="65">
        <v>46224.0</v>
      </c>
      <c r="M57" s="37">
        <v>0.6666666666666666</v>
      </c>
      <c r="N57" s="31"/>
      <c r="O57" s="31"/>
      <c r="P57" s="31"/>
      <c r="Q57" s="31"/>
      <c r="R57" s="4"/>
      <c r="S57" s="4"/>
      <c r="T57" s="4"/>
      <c r="U57" s="4"/>
      <c r="V57" s="4"/>
      <c r="W57" s="4"/>
      <c r="X57" s="4"/>
      <c r="Y57" s="4"/>
      <c r="Z57" s="4"/>
      <c r="AA57" s="4"/>
      <c r="AB57" s="4"/>
      <c r="AC57" s="4"/>
      <c r="AD57" s="4"/>
    </row>
    <row r="58" ht="15.75" customHeight="1">
      <c r="A58" s="29">
        <f t="shared" si="1"/>
        <v>57</v>
      </c>
      <c r="B58" s="13">
        <v>46224.0</v>
      </c>
      <c r="C58" s="66">
        <v>0.16666666666666666</v>
      </c>
      <c r="D58" s="15" t="str">
        <f>VLOOKUP( WEEKDAY(B58) ,Lookup!$A$2:$B$8,2,FALSE)</f>
        <v>Tuesday</v>
      </c>
      <c r="E58" s="31" t="s">
        <v>58</v>
      </c>
      <c r="F58" s="32" t="s">
        <v>67</v>
      </c>
      <c r="G58" s="42" t="s">
        <v>68</v>
      </c>
      <c r="H58" s="15" t="str">
        <f>VLOOKUP( WEEKDAY(I58) ,Lookup!$A$2:$B$8,2,FALSE)
</f>
        <v>Tuesday</v>
      </c>
      <c r="I58" s="13">
        <v>46224.0</v>
      </c>
      <c r="J58" s="64">
        <v>0.6666666666666666</v>
      </c>
      <c r="K58" s="15" t="str">
        <f>VLOOKUP( WEEKDAY(L58) ,Lookup!$A$2:$B$8,2,FALSE)</f>
        <v>Tuesday</v>
      </c>
      <c r="L58" s="65">
        <v>46224.0</v>
      </c>
      <c r="M58" s="37">
        <v>0.6805555555555556</v>
      </c>
      <c r="N58" s="31"/>
      <c r="O58" s="31"/>
      <c r="P58" s="31"/>
      <c r="Q58" s="31"/>
      <c r="R58" s="4"/>
      <c r="S58" s="4"/>
      <c r="T58" s="4"/>
      <c r="U58" s="4"/>
      <c r="V58" s="4"/>
      <c r="W58" s="4"/>
      <c r="X58" s="4"/>
      <c r="Y58" s="4"/>
      <c r="Z58" s="4"/>
      <c r="AA58" s="4"/>
      <c r="AB58" s="4"/>
      <c r="AC58" s="4"/>
      <c r="AD58" s="4"/>
    </row>
    <row r="59" ht="15.75" customHeight="1">
      <c r="A59" s="29">
        <f t="shared" si="1"/>
        <v>58</v>
      </c>
      <c r="B59" s="13">
        <v>46224.0</v>
      </c>
      <c r="C59" s="66">
        <v>0.16666666666666666</v>
      </c>
      <c r="D59" s="15" t="str">
        <f>VLOOKUP( WEEKDAY(B59) ,Lookup!$A$2:$B$8,2,FALSE)</f>
        <v>Tuesday</v>
      </c>
      <c r="E59" s="31" t="s">
        <v>297</v>
      </c>
      <c r="F59" s="32" t="s">
        <v>298</v>
      </c>
      <c r="G59" s="31"/>
      <c r="H59" s="15" t="str">
        <f>VLOOKUP( WEEKDAY(I59) ,Lookup!$A$2:$B$8,2,FALSE)
</f>
        <v>Tuesday</v>
      </c>
      <c r="I59" s="13">
        <v>46224.0</v>
      </c>
      <c r="J59" s="37">
        <v>0.6805555555555556</v>
      </c>
      <c r="K59" s="15" t="str">
        <f>VLOOKUP( WEEKDAY(L59) ,Lookup!$A$2:$B$8,2,FALSE)</f>
        <v>Tuesday</v>
      </c>
      <c r="L59" s="65">
        <v>46224.0</v>
      </c>
      <c r="M59" s="37">
        <v>0.6840277777777778</v>
      </c>
      <c r="N59" s="31"/>
      <c r="O59" s="31"/>
      <c r="P59" s="31"/>
      <c r="Q59" s="31"/>
      <c r="R59" s="4"/>
      <c r="S59" s="4"/>
      <c r="T59" s="4"/>
      <c r="U59" s="4"/>
      <c r="V59" s="4"/>
      <c r="W59" s="4"/>
      <c r="X59" s="4"/>
      <c r="Y59" s="4"/>
      <c r="Z59" s="4"/>
      <c r="AA59" s="4"/>
      <c r="AB59" s="4"/>
      <c r="AC59" s="4"/>
      <c r="AD59" s="4"/>
    </row>
    <row r="60" ht="15.75" customHeight="1">
      <c r="A60" s="29">
        <f t="shared" si="1"/>
        <v>59</v>
      </c>
      <c r="B60" s="13">
        <v>46224.0</v>
      </c>
      <c r="C60" s="66">
        <v>0.6875</v>
      </c>
      <c r="D60" s="15" t="str">
        <f>VLOOKUP( WEEKDAY(B60) ,Lookup!$A$2:$B$8,2,FALSE)</f>
        <v>Tuesday</v>
      </c>
      <c r="E60" s="31" t="s">
        <v>274</v>
      </c>
      <c r="F60" s="32" t="s">
        <v>294</v>
      </c>
      <c r="G60" s="31"/>
      <c r="H60" s="15" t="str">
        <f>VLOOKUP( WEEKDAY(I60) ,Lookup!$A$2:$B$8,2,FALSE)
</f>
        <v>Tuesday</v>
      </c>
      <c r="I60" s="13">
        <v>46224.0</v>
      </c>
      <c r="J60" s="37">
        <v>0.6875</v>
      </c>
      <c r="K60" s="15" t="str">
        <f>VLOOKUP( WEEKDAY(L60) ,Lookup!$A$2:$B$8,2,FALSE)</f>
        <v>Tuesday</v>
      </c>
      <c r="L60" s="65">
        <v>46224.0</v>
      </c>
      <c r="M60" s="31" t="s">
        <v>299</v>
      </c>
      <c r="N60" s="31"/>
      <c r="O60" s="31"/>
      <c r="P60" s="31"/>
      <c r="Q60" s="31"/>
      <c r="R60" s="4"/>
      <c r="S60" s="4"/>
      <c r="T60" s="4"/>
      <c r="U60" s="4"/>
      <c r="V60" s="4"/>
      <c r="W60" s="4"/>
      <c r="X60" s="4"/>
      <c r="Y60" s="4"/>
      <c r="Z60" s="4"/>
      <c r="AA60" s="4"/>
      <c r="AB60" s="4"/>
      <c r="AC60" s="4"/>
      <c r="AD60" s="4"/>
    </row>
    <row r="61" ht="15.75" customHeight="1">
      <c r="A61" s="29">
        <f t="shared" si="1"/>
        <v>60</v>
      </c>
      <c r="B61" s="13">
        <v>46224.0</v>
      </c>
      <c r="C61" s="66">
        <v>0.8958333333333334</v>
      </c>
      <c r="D61" s="15" t="str">
        <f>VLOOKUP( WEEKDAY(B61) ,Lookup!$A$2:$B$8,2,FALSE)</f>
        <v>Tuesday</v>
      </c>
      <c r="E61" s="31" t="s">
        <v>274</v>
      </c>
      <c r="F61" s="32" t="s">
        <v>167</v>
      </c>
      <c r="G61" s="31"/>
      <c r="H61" s="15" t="str">
        <f>VLOOKUP( WEEKDAY(I61) ,Lookup!$A$2:$B$8,2,FALSE)
</f>
        <v>Tuesday</v>
      </c>
      <c r="I61" s="13">
        <v>46224.0</v>
      </c>
      <c r="J61" s="37">
        <v>0.8958333333333334</v>
      </c>
      <c r="K61" s="15" t="str">
        <f>VLOOKUP( WEEKDAY(L61) ,Lookup!$A$2:$B$8,2,FALSE)</f>
        <v>Tuesday</v>
      </c>
      <c r="L61" s="65">
        <v>46224.0</v>
      </c>
      <c r="M61" s="37">
        <v>0.9375</v>
      </c>
      <c r="N61" s="31"/>
      <c r="O61" s="31"/>
      <c r="P61" s="31"/>
      <c r="Q61" s="31"/>
      <c r="R61" s="4"/>
      <c r="S61" s="4"/>
      <c r="T61" s="4"/>
      <c r="U61" s="4"/>
      <c r="V61" s="4"/>
      <c r="W61" s="4"/>
      <c r="X61" s="4"/>
      <c r="Y61" s="4"/>
      <c r="Z61" s="4"/>
      <c r="AA61" s="4"/>
      <c r="AB61" s="4"/>
      <c r="AC61" s="4"/>
      <c r="AD61" s="4"/>
    </row>
    <row r="62" ht="15.75" customHeight="1">
      <c r="A62" s="29">
        <f t="shared" si="1"/>
        <v>61</v>
      </c>
      <c r="B62" s="13">
        <v>46224.0</v>
      </c>
      <c r="C62" s="66">
        <v>0.9375</v>
      </c>
      <c r="D62" s="15" t="str">
        <f>VLOOKUP( WEEKDAY(B62) ,Lookup!$A$2:$B$8,2,FALSE)</f>
        <v>Tuesday</v>
      </c>
      <c r="E62" s="31" t="s">
        <v>55</v>
      </c>
      <c r="F62" s="32" t="s">
        <v>300</v>
      </c>
      <c r="G62" s="31"/>
      <c r="H62" s="15" t="str">
        <f>VLOOKUP( WEEKDAY(I62) ,Lookup!$A$2:$B$8,2,FALSE)
</f>
        <v>Tuesday</v>
      </c>
      <c r="I62" s="13">
        <v>46224.0</v>
      </c>
      <c r="J62" s="67">
        <v>0.9375</v>
      </c>
      <c r="K62" s="15" t="str">
        <f>VLOOKUP( WEEKDAY(L62) ,Lookup!$A$2:$B$8,2,FALSE)</f>
        <v>Tuesday</v>
      </c>
      <c r="L62" s="65">
        <v>46224.0</v>
      </c>
      <c r="M62" s="37">
        <v>0.96875</v>
      </c>
      <c r="N62" s="31"/>
      <c r="O62" s="31"/>
      <c r="P62" s="31"/>
      <c r="Q62" s="31"/>
      <c r="R62" s="4"/>
      <c r="S62" s="4"/>
      <c r="T62" s="4"/>
      <c r="U62" s="4"/>
      <c r="V62" s="4"/>
      <c r="W62" s="4"/>
      <c r="X62" s="4"/>
      <c r="Y62" s="4"/>
      <c r="Z62" s="4"/>
      <c r="AA62" s="4"/>
      <c r="AB62" s="4"/>
      <c r="AC62" s="4"/>
      <c r="AD62" s="4"/>
    </row>
    <row r="63" ht="15.75" customHeight="1">
      <c r="A63" s="29">
        <f t="shared" si="1"/>
        <v>62</v>
      </c>
      <c r="B63" s="62">
        <v>46225.0</v>
      </c>
      <c r="C63" s="37">
        <v>0.4305555555555556</v>
      </c>
      <c r="D63" s="15" t="str">
        <f>VLOOKUP( WEEKDAY(B63) ,Lookup!$A$2:$B$8,2,FALSE)</f>
        <v>Wednesday</v>
      </c>
      <c r="E63" s="31" t="s">
        <v>88</v>
      </c>
      <c r="F63" s="32" t="s">
        <v>301</v>
      </c>
      <c r="G63" s="31"/>
      <c r="H63" s="15" t="str">
        <f>VLOOKUP( WEEKDAY(I63) ,Lookup!$A$2:$B$8,2,FALSE)
</f>
        <v>Wednesday</v>
      </c>
      <c r="I63" s="13">
        <v>46225.0</v>
      </c>
      <c r="J63" s="37">
        <v>0.4375</v>
      </c>
      <c r="K63" s="15" t="str">
        <f>VLOOKUP( WEEKDAY(L63) ,Lookup!$A$2:$B$8,2,FALSE)</f>
        <v>Tuesday</v>
      </c>
      <c r="L63" s="62">
        <v>46224.0</v>
      </c>
      <c r="M63" s="37">
        <v>0.4861111111111111</v>
      </c>
      <c r="N63" s="31"/>
      <c r="O63" s="31"/>
      <c r="P63" s="31"/>
      <c r="Q63" s="31"/>
      <c r="R63" s="4"/>
      <c r="S63" s="4"/>
      <c r="T63" s="4"/>
      <c r="U63" s="4"/>
      <c r="V63" s="4"/>
      <c r="W63" s="4"/>
      <c r="X63" s="4"/>
      <c r="Y63" s="4"/>
      <c r="Z63" s="4"/>
      <c r="AA63" s="4"/>
      <c r="AB63" s="4"/>
      <c r="AC63" s="4"/>
      <c r="AD63" s="4"/>
    </row>
    <row r="64" ht="15.75" customHeight="1">
      <c r="A64" s="29">
        <f t="shared" si="1"/>
        <v>63</v>
      </c>
      <c r="B64" s="62">
        <v>46225.0</v>
      </c>
      <c r="C64" s="37">
        <v>0.4861111111111111</v>
      </c>
      <c r="D64" s="15" t="str">
        <f>VLOOKUP( WEEKDAY(B64) ,Lookup!$A$2:$B$8,2,FALSE)</f>
        <v>Wednesday</v>
      </c>
      <c r="E64" s="42" t="s">
        <v>230</v>
      </c>
      <c r="F64" s="68" t="s">
        <v>302</v>
      </c>
      <c r="G64" s="31"/>
      <c r="H64" s="15" t="str">
        <f>VLOOKUP( WEEKDAY(I64) ,Lookup!$A$2:$B$8,2,FALSE)
</f>
        <v>Wednesday</v>
      </c>
      <c r="I64" s="13">
        <v>46225.0</v>
      </c>
      <c r="J64" s="37">
        <v>0.4861111111111111</v>
      </c>
      <c r="K64" s="15" t="str">
        <f>VLOOKUP( WEEKDAY(L64) ,Lookup!$A$2:$B$8,2,FALSE)</f>
        <v>Wednesday</v>
      </c>
      <c r="L64" s="62">
        <v>46225.0</v>
      </c>
      <c r="M64" s="37">
        <v>0.4930555555555556</v>
      </c>
      <c r="N64" s="31"/>
      <c r="O64" s="31"/>
      <c r="P64" s="31"/>
      <c r="Q64" s="31"/>
      <c r="R64" s="4"/>
      <c r="S64" s="4"/>
      <c r="T64" s="4"/>
      <c r="U64" s="4"/>
      <c r="V64" s="4"/>
      <c r="W64" s="4"/>
      <c r="X64" s="4"/>
      <c r="Y64" s="4"/>
      <c r="Z64" s="4"/>
      <c r="AA64" s="4"/>
      <c r="AB64" s="4"/>
      <c r="AC64" s="4"/>
      <c r="AD64" s="4"/>
    </row>
    <row r="65" ht="15.75" customHeight="1">
      <c r="A65" s="29">
        <f t="shared" si="1"/>
        <v>64</v>
      </c>
      <c r="B65" s="62">
        <v>46225.0</v>
      </c>
      <c r="C65" s="37">
        <v>0.4930555555555556</v>
      </c>
      <c r="D65" s="15" t="str">
        <f>VLOOKUP( WEEKDAY(B65) ,Lookup!$A$2:$B$8,2,FALSE)</f>
        <v>Wednesday</v>
      </c>
      <c r="E65" s="31" t="s">
        <v>303</v>
      </c>
      <c r="F65" s="32" t="s">
        <v>304</v>
      </c>
      <c r="G65" s="31"/>
      <c r="H65" s="15" t="str">
        <f>VLOOKUP( WEEKDAY(I65) ,Lookup!$A$2:$B$8,2,FALSE)
</f>
        <v>Wednesday</v>
      </c>
      <c r="I65" s="13">
        <v>46225.0</v>
      </c>
      <c r="J65" s="37">
        <v>0.4930555555555556</v>
      </c>
      <c r="K65" s="15" t="str">
        <f>VLOOKUP( WEEKDAY(L65) ,Lookup!$A$2:$B$8,2,FALSE)</f>
        <v>Wednesday</v>
      </c>
      <c r="L65" s="62">
        <v>46225.0</v>
      </c>
      <c r="M65" s="37">
        <v>0.5</v>
      </c>
      <c r="N65" s="31"/>
      <c r="O65" s="31"/>
      <c r="P65" s="31"/>
      <c r="Q65" s="31"/>
      <c r="R65" s="4"/>
      <c r="S65" s="4"/>
      <c r="T65" s="4"/>
      <c r="U65" s="4"/>
      <c r="V65" s="4"/>
      <c r="W65" s="4"/>
      <c r="X65" s="4"/>
      <c r="Y65" s="4"/>
      <c r="Z65" s="4"/>
      <c r="AA65" s="4"/>
      <c r="AB65" s="4"/>
      <c r="AC65" s="4"/>
      <c r="AD65" s="4"/>
    </row>
    <row r="66" ht="15.75" customHeight="1">
      <c r="A66" s="29">
        <f t="shared" si="1"/>
        <v>65</v>
      </c>
      <c r="B66" s="62">
        <v>46225.0</v>
      </c>
      <c r="C66" s="37">
        <v>0.5</v>
      </c>
      <c r="D66" s="15" t="str">
        <f>VLOOKUP( WEEKDAY(B66) ,Lookup!$A$2:$B$8,2,FALSE)</f>
        <v>Wednesday</v>
      </c>
      <c r="E66" s="42" t="s">
        <v>305</v>
      </c>
      <c r="F66" s="69" t="s">
        <v>306</v>
      </c>
      <c r="G66" s="31"/>
      <c r="H66" s="15" t="str">
        <f>VLOOKUP( WEEKDAY(I66) ,Lookup!$A$2:$B$8,2,FALSE)
</f>
        <v>Wednesday</v>
      </c>
      <c r="I66" s="13">
        <v>46225.0</v>
      </c>
      <c r="J66" s="37">
        <v>0.5</v>
      </c>
      <c r="K66" s="15" t="str">
        <f>VLOOKUP( WEEKDAY(L66) ,Lookup!$A$2:$B$8,2,FALSE)</f>
        <v>Wednesday</v>
      </c>
      <c r="L66" s="62">
        <v>46225.0</v>
      </c>
      <c r="M66" s="37">
        <v>0.53125</v>
      </c>
      <c r="N66" s="31"/>
      <c r="O66" s="31"/>
      <c r="P66" s="31"/>
      <c r="Q66" s="31"/>
      <c r="R66" s="4"/>
      <c r="S66" s="4"/>
      <c r="T66" s="4"/>
      <c r="U66" s="4"/>
      <c r="V66" s="4"/>
      <c r="W66" s="4"/>
      <c r="X66" s="4"/>
      <c r="Y66" s="4"/>
      <c r="Z66" s="4"/>
      <c r="AA66" s="4"/>
      <c r="AB66" s="4"/>
      <c r="AC66" s="4"/>
      <c r="AD66" s="4"/>
    </row>
    <row r="67" ht="15.75" customHeight="1">
      <c r="A67" s="29">
        <f t="shared" si="1"/>
        <v>66</v>
      </c>
      <c r="B67" s="62">
        <v>46225.0</v>
      </c>
      <c r="C67" s="37">
        <v>0.53125</v>
      </c>
      <c r="D67" s="15" t="str">
        <f>VLOOKUP( WEEKDAY(B67) ,Lookup!$A$2:$B$8,2,FALSE)</f>
        <v>Wednesday</v>
      </c>
      <c r="E67" s="31" t="s">
        <v>281</v>
      </c>
      <c r="F67" s="32" t="s">
        <v>307</v>
      </c>
      <c r="G67" s="31"/>
      <c r="H67" s="15" t="str">
        <f>VLOOKUP( WEEKDAY(I67) ,Lookup!$A$2:$B$8,2,FALSE)
</f>
        <v>Wednesday</v>
      </c>
      <c r="I67" s="13">
        <v>46225.0</v>
      </c>
      <c r="J67" s="37">
        <v>0.53125</v>
      </c>
      <c r="K67" s="15" t="str">
        <f>VLOOKUP( WEEKDAY(L67) ,Lookup!$A$2:$B$8,2,FALSE)</f>
        <v>Wednesday</v>
      </c>
      <c r="L67" s="62">
        <v>46225.0</v>
      </c>
      <c r="M67" s="37">
        <v>0.5486111111111112</v>
      </c>
      <c r="N67" s="31"/>
      <c r="O67" s="31"/>
      <c r="P67" s="31"/>
      <c r="Q67" s="31"/>
      <c r="R67" s="4"/>
      <c r="S67" s="4"/>
      <c r="T67" s="4"/>
      <c r="U67" s="4"/>
      <c r="V67" s="4"/>
      <c r="W67" s="4"/>
      <c r="X67" s="4"/>
      <c r="Y67" s="4"/>
      <c r="Z67" s="4"/>
      <c r="AA67" s="4"/>
      <c r="AB67" s="4"/>
      <c r="AC67" s="4"/>
      <c r="AD67" s="4"/>
    </row>
    <row r="68" ht="15.75" customHeight="1">
      <c r="A68" s="29">
        <f t="shared" si="1"/>
        <v>67</v>
      </c>
      <c r="B68" s="62">
        <v>46225.0</v>
      </c>
      <c r="C68" s="37">
        <v>0.5486111111111112</v>
      </c>
      <c r="D68" s="15" t="str">
        <f>VLOOKUP( WEEKDAY(B68) ,Lookup!$A$2:$B$8,2,FALSE)</f>
        <v>Wednesday</v>
      </c>
      <c r="E68" s="31" t="s">
        <v>110</v>
      </c>
      <c r="F68" s="32" t="s">
        <v>308</v>
      </c>
      <c r="G68" s="31"/>
      <c r="H68" s="15" t="str">
        <f>VLOOKUP( WEEKDAY(I68) ,Lookup!$A$2:$B$8,2,FALSE)
</f>
        <v>Wednesday</v>
      </c>
      <c r="I68" s="13">
        <v>46225.0</v>
      </c>
      <c r="J68" s="37">
        <v>0.5590277777777778</v>
      </c>
      <c r="K68" s="15" t="str">
        <f>VLOOKUP( WEEKDAY(L68) ,Lookup!$A$2:$B$8,2,FALSE)</f>
        <v>Wednesday</v>
      </c>
      <c r="L68" s="62">
        <v>46225.0</v>
      </c>
      <c r="M68" s="37">
        <v>0.5729166666666666</v>
      </c>
      <c r="N68" s="31"/>
      <c r="O68" s="31"/>
      <c r="P68" s="31"/>
      <c r="Q68" s="31"/>
      <c r="R68" s="4"/>
      <c r="S68" s="4"/>
      <c r="T68" s="4"/>
      <c r="U68" s="4"/>
      <c r="V68" s="4"/>
      <c r="W68" s="4"/>
      <c r="X68" s="4"/>
      <c r="Y68" s="4"/>
      <c r="Z68" s="4"/>
      <c r="AA68" s="4"/>
      <c r="AB68" s="4"/>
      <c r="AC68" s="4"/>
      <c r="AD68" s="4"/>
    </row>
    <row r="69" ht="15.75" customHeight="1">
      <c r="A69" s="29">
        <f t="shared" si="1"/>
        <v>68</v>
      </c>
      <c r="B69" s="62">
        <v>46225.0</v>
      </c>
      <c r="C69" s="37">
        <v>0.5729166666666666</v>
      </c>
      <c r="D69" s="15" t="str">
        <f>VLOOKUP( WEEKDAY(B69) ,Lookup!$A$2:$B$8,2,FALSE)</f>
        <v>Wednesday</v>
      </c>
      <c r="E69" s="31" t="s">
        <v>309</v>
      </c>
      <c r="F69" s="32" t="s">
        <v>310</v>
      </c>
      <c r="G69" s="31"/>
      <c r="H69" s="15" t="str">
        <f>VLOOKUP( WEEKDAY(I69) ,Lookup!$A$2:$B$8,2,FALSE)
</f>
        <v>Wednesday</v>
      </c>
      <c r="I69" s="13">
        <v>46225.0</v>
      </c>
      <c r="J69" s="37">
        <v>0.5729166666666666</v>
      </c>
      <c r="K69" s="15" t="str">
        <f>VLOOKUP( WEEKDAY(L69) ,Lookup!$A$2:$B$8,2,FALSE)</f>
        <v>Wednesday</v>
      </c>
      <c r="L69" s="62">
        <v>46225.0</v>
      </c>
      <c r="M69" s="37">
        <v>0.5798611111111112</v>
      </c>
      <c r="N69" s="31"/>
      <c r="O69" s="31"/>
      <c r="P69" s="31"/>
      <c r="Q69" s="31"/>
      <c r="R69" s="4"/>
      <c r="S69" s="4"/>
      <c r="T69" s="4"/>
      <c r="U69" s="4"/>
      <c r="V69" s="4"/>
      <c r="W69" s="4"/>
      <c r="X69" s="4"/>
      <c r="Y69" s="4"/>
      <c r="Z69" s="4"/>
      <c r="AA69" s="4"/>
      <c r="AB69" s="4"/>
      <c r="AC69" s="4"/>
      <c r="AD69" s="4"/>
    </row>
    <row r="70" ht="15.75" customHeight="1">
      <c r="A70" s="29">
        <f t="shared" si="1"/>
        <v>69</v>
      </c>
      <c r="B70" s="62">
        <v>46225.0</v>
      </c>
      <c r="C70" s="37">
        <v>0.5833333333333334</v>
      </c>
      <c r="D70" s="15" t="str">
        <f>VLOOKUP( WEEKDAY(B70) ,Lookup!$A$2:$B$8,2,FALSE)</f>
        <v>Wednesday</v>
      </c>
      <c r="E70" s="31" t="s">
        <v>311</v>
      </c>
      <c r="F70" s="32" t="s">
        <v>292</v>
      </c>
      <c r="G70" s="31"/>
      <c r="H70" s="15" t="str">
        <f>VLOOKUP( WEEKDAY(I70) ,Lookup!$A$2:$B$8,2,FALSE)
</f>
        <v>Wednesday</v>
      </c>
      <c r="I70" s="13">
        <v>46225.0</v>
      </c>
      <c r="J70" s="37">
        <v>0.5833333333333334</v>
      </c>
      <c r="K70" s="15" t="str">
        <f>VLOOKUP( WEEKDAY(L70) ,Lookup!$A$2:$B$8,2,FALSE)</f>
        <v>Wednesday</v>
      </c>
      <c r="L70" s="62">
        <v>46225.0</v>
      </c>
      <c r="M70" s="37">
        <v>0.6041666666666666</v>
      </c>
      <c r="N70" s="31"/>
      <c r="O70" s="31"/>
      <c r="P70" s="31"/>
      <c r="Q70" s="31"/>
      <c r="R70" s="4"/>
      <c r="S70" s="4"/>
      <c r="T70" s="4"/>
      <c r="U70" s="4"/>
      <c r="V70" s="4"/>
      <c r="W70" s="4"/>
      <c r="X70" s="4"/>
      <c r="Y70" s="4"/>
      <c r="Z70" s="4"/>
      <c r="AA70" s="4"/>
      <c r="AB70" s="4"/>
      <c r="AC70" s="4"/>
      <c r="AD70" s="4"/>
    </row>
    <row r="71" ht="15.75" customHeight="1">
      <c r="A71" s="29">
        <f t="shared" si="1"/>
        <v>70</v>
      </c>
      <c r="B71" s="62">
        <v>46225.0</v>
      </c>
      <c r="C71" s="37">
        <v>0.6041666666666666</v>
      </c>
      <c r="D71" s="15" t="str">
        <f>VLOOKUP( WEEKDAY(B71) ,Lookup!$A$2:$B$8,2,FALSE)</f>
        <v>Wednesday</v>
      </c>
      <c r="E71" s="31" t="s">
        <v>312</v>
      </c>
      <c r="F71" s="69" t="s">
        <v>306</v>
      </c>
      <c r="G71" s="31"/>
      <c r="H71" s="15" t="str">
        <f>VLOOKUP( WEEKDAY(I71) ,Lookup!$A$2:$B$8,2,FALSE)
</f>
        <v>Wednesday</v>
      </c>
      <c r="I71" s="13">
        <v>46225.0</v>
      </c>
      <c r="J71" s="37">
        <v>0.6041666666666666</v>
      </c>
      <c r="K71" s="15" t="str">
        <f>VLOOKUP( WEEKDAY(L71) ,Lookup!$A$2:$B$8,2,FALSE)</f>
        <v>Wednesday</v>
      </c>
      <c r="L71" s="62">
        <v>46225.0</v>
      </c>
      <c r="M71" s="37">
        <v>0.625</v>
      </c>
      <c r="N71" s="31"/>
      <c r="O71" s="31"/>
      <c r="P71" s="31"/>
      <c r="Q71" s="31"/>
      <c r="R71" s="4"/>
      <c r="S71" s="4"/>
      <c r="T71" s="4"/>
      <c r="U71" s="4"/>
      <c r="V71" s="4"/>
      <c r="W71" s="4"/>
      <c r="X71" s="4"/>
      <c r="Y71" s="4"/>
      <c r="Z71" s="4"/>
      <c r="AA71" s="4"/>
      <c r="AB71" s="4"/>
      <c r="AC71" s="4"/>
      <c r="AD71" s="4"/>
    </row>
    <row r="72" ht="15.75" customHeight="1">
      <c r="A72" s="29">
        <f t="shared" si="1"/>
        <v>71</v>
      </c>
      <c r="B72" s="62">
        <v>46225.0</v>
      </c>
      <c r="C72" s="37">
        <v>0.625</v>
      </c>
      <c r="D72" s="15" t="str">
        <f>VLOOKUP( WEEKDAY(B72) ,Lookup!$A$2:$B$8,2,FALSE)</f>
        <v>Wednesday</v>
      </c>
      <c r="E72" s="31"/>
      <c r="F72" s="32" t="s">
        <v>313</v>
      </c>
      <c r="G72" s="31"/>
      <c r="H72" s="15" t="str">
        <f>VLOOKUP( WEEKDAY(I72) ,Lookup!$A$2:$B$8,2,FALSE)
</f>
        <v>Wednesday</v>
      </c>
      <c r="I72" s="13">
        <v>46225.0</v>
      </c>
      <c r="J72" s="37">
        <v>0.625</v>
      </c>
      <c r="K72" s="15" t="str">
        <f>VLOOKUP( WEEKDAY(L72) ,Lookup!$A$2:$B$8,2,FALSE)</f>
        <v>Wednesday</v>
      </c>
      <c r="L72" s="62">
        <v>46225.0</v>
      </c>
      <c r="M72" s="37">
        <v>0.6770833333333334</v>
      </c>
      <c r="N72" s="31"/>
      <c r="O72" s="31"/>
      <c r="P72" s="31"/>
      <c r="Q72" s="31"/>
      <c r="R72" s="4"/>
      <c r="S72" s="4"/>
      <c r="T72" s="4"/>
      <c r="U72" s="4"/>
      <c r="V72" s="4"/>
      <c r="W72" s="4"/>
      <c r="X72" s="4"/>
      <c r="Y72" s="4"/>
      <c r="Z72" s="4"/>
      <c r="AA72" s="4"/>
      <c r="AB72" s="4"/>
      <c r="AC72" s="4"/>
      <c r="AD72" s="4"/>
    </row>
    <row r="73" ht="15.75" customHeight="1">
      <c r="A73" s="29">
        <f t="shared" si="1"/>
        <v>72</v>
      </c>
      <c r="B73" s="62">
        <v>46225.0</v>
      </c>
      <c r="C73" s="37">
        <v>0.6770833333333334</v>
      </c>
      <c r="D73" s="15" t="str">
        <f>VLOOKUP( WEEKDAY(B73) ,Lookup!$A$2:$B$8,2,FALSE)</f>
        <v>Wednesday</v>
      </c>
      <c r="E73" s="31" t="s">
        <v>311</v>
      </c>
      <c r="F73" s="32" t="s">
        <v>314</v>
      </c>
      <c r="G73" s="31"/>
      <c r="H73" s="15" t="str">
        <f>VLOOKUP( WEEKDAY(I73) ,Lookup!$A$2:$B$8,2,FALSE)
</f>
        <v>Wednesday</v>
      </c>
      <c r="I73" s="13">
        <v>46225.0</v>
      </c>
      <c r="J73" s="37">
        <v>0.6770833333333334</v>
      </c>
      <c r="K73" s="15" t="str">
        <f>VLOOKUP( WEEKDAY(L73) ,Lookup!$A$2:$B$8,2,FALSE)</f>
        <v>Wednesday</v>
      </c>
      <c r="L73" s="62">
        <v>46225.0</v>
      </c>
      <c r="M73" s="37">
        <v>0.6875</v>
      </c>
      <c r="N73" s="31"/>
      <c r="O73" s="31"/>
      <c r="P73" s="31"/>
      <c r="Q73" s="31"/>
      <c r="R73" s="4"/>
      <c r="S73" s="4"/>
      <c r="T73" s="4"/>
      <c r="U73" s="4"/>
      <c r="V73" s="4"/>
      <c r="W73" s="4"/>
      <c r="X73" s="4"/>
      <c r="Y73" s="4"/>
      <c r="Z73" s="4"/>
      <c r="AA73" s="4"/>
      <c r="AB73" s="4"/>
      <c r="AC73" s="4"/>
      <c r="AD73" s="4"/>
    </row>
    <row r="74" ht="15.75" customHeight="1">
      <c r="A74" s="29">
        <f t="shared" si="1"/>
        <v>73</v>
      </c>
      <c r="B74" s="62">
        <v>46225.0</v>
      </c>
      <c r="C74" s="37">
        <v>0.6875</v>
      </c>
      <c r="D74" s="15" t="str">
        <f>VLOOKUP( WEEKDAY(B74) ,Lookup!$A$2:$B$8,2,FALSE)</f>
        <v>Wednesday</v>
      </c>
      <c r="E74" s="31"/>
      <c r="F74" s="32" t="s">
        <v>170</v>
      </c>
      <c r="G74" s="31"/>
      <c r="H74" s="15" t="str">
        <f>VLOOKUP( WEEKDAY(I74) ,Lookup!$A$2:$B$8,2,FALSE)
</f>
        <v>Wednesday</v>
      </c>
      <c r="I74" s="13">
        <v>46225.0</v>
      </c>
      <c r="J74" s="37">
        <v>0.6875</v>
      </c>
      <c r="K74" s="15" t="str">
        <f>VLOOKUP( WEEKDAY(L74) ,Lookup!$A$2:$B$8,2,FALSE)</f>
        <v>Wednesday</v>
      </c>
      <c r="L74" s="62">
        <v>46225.0</v>
      </c>
      <c r="M74" s="37">
        <v>0.7430555555555556</v>
      </c>
      <c r="N74" s="31"/>
      <c r="O74" s="31"/>
      <c r="P74" s="31"/>
      <c r="Q74" s="31"/>
      <c r="R74" s="4"/>
      <c r="S74" s="4"/>
      <c r="T74" s="4"/>
      <c r="U74" s="4"/>
      <c r="V74" s="4"/>
      <c r="W74" s="4"/>
      <c r="X74" s="4"/>
      <c r="Y74" s="4"/>
      <c r="Z74" s="4"/>
      <c r="AA74" s="4"/>
      <c r="AB74" s="4"/>
      <c r="AC74" s="4"/>
      <c r="AD74" s="4"/>
    </row>
    <row r="75" ht="15.75" customHeight="1">
      <c r="A75" s="29">
        <f t="shared" si="1"/>
        <v>74</v>
      </c>
      <c r="B75" s="62">
        <v>46225.0</v>
      </c>
      <c r="C75" s="37">
        <v>0.7430555555555556</v>
      </c>
      <c r="D75" s="15" t="str">
        <f>VLOOKUP( WEEKDAY(B75) ,Lookup!$A$2:$B$8,2,FALSE)</f>
        <v>Wednesday</v>
      </c>
      <c r="E75" s="31"/>
      <c r="F75" s="32" t="s">
        <v>315</v>
      </c>
      <c r="G75" s="31"/>
      <c r="H75" s="15" t="str">
        <f>VLOOKUP( WEEKDAY(I75) ,Lookup!$A$2:$B$8,2,FALSE)
</f>
        <v>Wednesday</v>
      </c>
      <c r="I75" s="13">
        <v>46225.0</v>
      </c>
      <c r="J75" s="37">
        <v>0.7430555555555556</v>
      </c>
      <c r="K75" s="15" t="str">
        <f>VLOOKUP( WEEKDAY(L75) ,Lookup!$A$2:$B$8,2,FALSE)</f>
        <v>Wednesday</v>
      </c>
      <c r="L75" s="62">
        <v>46225.0</v>
      </c>
      <c r="M75" s="37">
        <v>0.7986111111111112</v>
      </c>
      <c r="N75" s="31"/>
      <c r="O75" s="31"/>
      <c r="P75" s="31"/>
      <c r="Q75" s="31"/>
      <c r="R75" s="4"/>
      <c r="S75" s="4"/>
      <c r="T75" s="4"/>
      <c r="U75" s="4"/>
      <c r="V75" s="4"/>
      <c r="W75" s="4"/>
      <c r="X75" s="4"/>
      <c r="Y75" s="4"/>
      <c r="Z75" s="4"/>
      <c r="AA75" s="4"/>
      <c r="AB75" s="4"/>
      <c r="AC75" s="4"/>
      <c r="AD75" s="4"/>
    </row>
    <row r="76" ht="15.75" customHeight="1">
      <c r="A76" s="29">
        <f t="shared" si="1"/>
        <v>75</v>
      </c>
      <c r="B76" s="62">
        <v>46225.0</v>
      </c>
      <c r="C76" s="37">
        <v>0.8645833333333334</v>
      </c>
      <c r="D76" s="15" t="str">
        <f>VLOOKUP( WEEKDAY(B76) ,Lookup!$A$2:$B$8,2,FALSE)</f>
        <v>Wednesday</v>
      </c>
      <c r="E76" s="31" t="s">
        <v>90</v>
      </c>
      <c r="F76" s="32" t="s">
        <v>155</v>
      </c>
      <c r="G76" s="31" t="s">
        <v>40</v>
      </c>
      <c r="H76" s="15" t="str">
        <f>VLOOKUP( WEEKDAY(I76) ,Lookup!$A$2:$B$8,2,FALSE)
</f>
        <v>Wednesday</v>
      </c>
      <c r="I76" s="13">
        <v>46225.0</v>
      </c>
      <c r="J76" s="37">
        <v>0.8645833333333334</v>
      </c>
      <c r="K76" s="15" t="str">
        <f>VLOOKUP( WEEKDAY(L76) ,Lookup!$A$2:$B$8,2,FALSE)</f>
        <v>Wednesday</v>
      </c>
      <c r="L76" s="62">
        <v>46225.0</v>
      </c>
      <c r="M76" s="37">
        <v>0.875</v>
      </c>
      <c r="N76" s="31"/>
      <c r="O76" s="31"/>
      <c r="P76" s="31"/>
      <c r="Q76" s="31"/>
      <c r="R76" s="4"/>
      <c r="S76" s="4"/>
      <c r="T76" s="4"/>
      <c r="U76" s="4"/>
      <c r="V76" s="4"/>
      <c r="W76" s="4"/>
      <c r="X76" s="4"/>
      <c r="Y76" s="4"/>
      <c r="Z76" s="4"/>
      <c r="AA76" s="4"/>
      <c r="AB76" s="4"/>
      <c r="AC76" s="4"/>
      <c r="AD76" s="4"/>
    </row>
    <row r="77" ht="15.75" customHeight="1">
      <c r="A77" s="29">
        <f t="shared" si="1"/>
        <v>76</v>
      </c>
      <c r="B77" s="62">
        <v>46225.0</v>
      </c>
      <c r="C77" s="37">
        <v>0.875</v>
      </c>
      <c r="D77" s="15" t="str">
        <f>VLOOKUP( WEEKDAY(B77) ,Lookup!$A$2:$B$8,2,FALSE)</f>
        <v>Wednesday</v>
      </c>
      <c r="E77" s="31" t="s">
        <v>90</v>
      </c>
      <c r="F77" s="32" t="s">
        <v>158</v>
      </c>
      <c r="G77" s="31" t="s">
        <v>40</v>
      </c>
      <c r="H77" s="15" t="str">
        <f>VLOOKUP( WEEKDAY(I77) ,Lookup!$A$2:$B$8,2,FALSE)
</f>
        <v>Wednesday</v>
      </c>
      <c r="I77" s="13">
        <v>46225.0</v>
      </c>
      <c r="J77" s="37">
        <v>0.875</v>
      </c>
      <c r="K77" s="15" t="str">
        <f>VLOOKUP( WEEKDAY(L77) ,Lookup!$A$2:$B$8,2,FALSE)</f>
        <v>Wednesday</v>
      </c>
      <c r="L77" s="62">
        <v>46225.0</v>
      </c>
      <c r="M77" s="37">
        <v>0.8958333333333334</v>
      </c>
      <c r="N77" s="31"/>
      <c r="O77" s="31"/>
      <c r="P77" s="31"/>
      <c r="Q77" s="31"/>
      <c r="R77" s="4"/>
      <c r="S77" s="4"/>
      <c r="T77" s="4"/>
      <c r="U77" s="4"/>
      <c r="V77" s="4"/>
      <c r="W77" s="4"/>
      <c r="X77" s="4"/>
      <c r="Y77" s="4"/>
      <c r="Z77" s="4"/>
      <c r="AA77" s="4"/>
      <c r="AB77" s="4"/>
      <c r="AC77" s="4"/>
      <c r="AD77" s="4"/>
    </row>
    <row r="78" ht="15.75" customHeight="1">
      <c r="A78" s="29">
        <f t="shared" si="1"/>
        <v>77</v>
      </c>
      <c r="B78" s="62">
        <v>46225.0</v>
      </c>
      <c r="C78" s="37">
        <v>0.8958333333333334</v>
      </c>
      <c r="D78" s="15" t="str">
        <f>VLOOKUP( WEEKDAY(B78) ,Lookup!$A$2:$B$8,2,FALSE)</f>
        <v>Wednesday</v>
      </c>
      <c r="E78" s="31" t="s">
        <v>90</v>
      </c>
      <c r="F78" s="32" t="s">
        <v>162</v>
      </c>
      <c r="G78" s="31" t="s">
        <v>40</v>
      </c>
      <c r="H78" s="15" t="str">
        <f>VLOOKUP( WEEKDAY(I78) ,Lookup!$A$2:$B$8,2,FALSE)
</f>
        <v>Wednesday</v>
      </c>
      <c r="I78" s="13">
        <v>46225.0</v>
      </c>
      <c r="J78" s="37">
        <v>0.8958333333333334</v>
      </c>
      <c r="K78" s="15" t="str">
        <f>VLOOKUP( WEEKDAY(L78) ,Lookup!$A$2:$B$8,2,FALSE)</f>
        <v>Wednesday</v>
      </c>
      <c r="L78" s="62">
        <v>46225.0</v>
      </c>
      <c r="M78" s="37">
        <v>0.9027777777777778</v>
      </c>
      <c r="N78" s="31"/>
      <c r="O78" s="31"/>
      <c r="P78" s="31"/>
      <c r="Q78" s="31"/>
      <c r="R78" s="4"/>
      <c r="S78" s="4"/>
      <c r="T78" s="4"/>
      <c r="U78" s="4"/>
      <c r="V78" s="4"/>
      <c r="W78" s="4"/>
      <c r="X78" s="4"/>
      <c r="Y78" s="4"/>
      <c r="Z78" s="4"/>
      <c r="AA78" s="4"/>
      <c r="AB78" s="4"/>
      <c r="AC78" s="4"/>
      <c r="AD78" s="4"/>
    </row>
    <row r="79" ht="15.75" customHeight="1">
      <c r="A79" s="29">
        <f t="shared" si="1"/>
        <v>78</v>
      </c>
      <c r="B79" s="62">
        <v>46225.0</v>
      </c>
      <c r="C79" s="37">
        <v>0.9027777777777778</v>
      </c>
      <c r="D79" s="15" t="str">
        <f>VLOOKUP( WEEKDAY(B79) ,Lookup!$A$2:$B$8,2,FALSE)</f>
        <v>Wednesday</v>
      </c>
      <c r="E79" s="31" t="s">
        <v>90</v>
      </c>
      <c r="F79" s="32" t="s">
        <v>164</v>
      </c>
      <c r="G79" s="31" t="s">
        <v>40</v>
      </c>
      <c r="H79" s="15" t="str">
        <f>VLOOKUP( WEEKDAY(I79) ,Lookup!$A$2:$B$8,2,FALSE)
</f>
        <v>Wednesday</v>
      </c>
      <c r="I79" s="13">
        <v>46225.0</v>
      </c>
      <c r="J79" s="37">
        <v>0.9027777777777778</v>
      </c>
      <c r="K79" s="15" t="str">
        <f>VLOOKUP( WEEKDAY(L79) ,Lookup!$A$2:$B$8,2,FALSE)</f>
        <v>Wednesday</v>
      </c>
      <c r="L79" s="62">
        <v>46225.0</v>
      </c>
      <c r="M79" s="37">
        <v>0.9166666666666666</v>
      </c>
      <c r="N79" s="31"/>
      <c r="O79" s="31"/>
      <c r="P79" s="31"/>
      <c r="Q79" s="31"/>
      <c r="R79" s="4"/>
      <c r="S79" s="4"/>
      <c r="T79" s="4"/>
      <c r="U79" s="4"/>
      <c r="V79" s="4"/>
      <c r="W79" s="4"/>
      <c r="X79" s="4"/>
      <c r="Y79" s="4"/>
      <c r="Z79" s="4"/>
      <c r="AA79" s="4"/>
      <c r="AB79" s="4"/>
      <c r="AC79" s="4"/>
      <c r="AD79" s="4"/>
    </row>
    <row r="80" ht="15.75" customHeight="1">
      <c r="A80" s="29">
        <f t="shared" si="1"/>
        <v>79</v>
      </c>
      <c r="B80" s="62">
        <v>46225.0</v>
      </c>
      <c r="C80" s="37">
        <v>0.9166666666666666</v>
      </c>
      <c r="D80" s="15" t="str">
        <f>VLOOKUP( WEEKDAY(B80) ,Lookup!$A$2:$B$8,2,FALSE)</f>
        <v>Wednesday</v>
      </c>
      <c r="E80" s="31" t="s">
        <v>76</v>
      </c>
      <c r="F80" s="32" t="s">
        <v>166</v>
      </c>
      <c r="G80" s="31" t="s">
        <v>40</v>
      </c>
      <c r="H80" s="15" t="str">
        <f>VLOOKUP( WEEKDAY(I80) ,Lookup!$A$2:$B$8,2,FALSE)
</f>
        <v>Wednesday</v>
      </c>
      <c r="I80" s="13">
        <v>46225.0</v>
      </c>
      <c r="J80" s="37">
        <v>0.9166666666666666</v>
      </c>
      <c r="K80" s="15" t="str">
        <f>VLOOKUP( WEEKDAY(L80) ,Lookup!$A$2:$B$8,2,FALSE)</f>
        <v>Wednesday</v>
      </c>
      <c r="L80" s="62">
        <v>46225.0</v>
      </c>
      <c r="M80" s="37">
        <v>0.9618055555555556</v>
      </c>
      <c r="N80" s="31"/>
      <c r="O80" s="31"/>
      <c r="P80" s="31"/>
      <c r="Q80" s="31"/>
      <c r="R80" s="4"/>
      <c r="S80" s="4"/>
      <c r="T80" s="4"/>
      <c r="U80" s="4"/>
      <c r="V80" s="4"/>
      <c r="W80" s="4"/>
      <c r="X80" s="4"/>
      <c r="Y80" s="4"/>
      <c r="Z80" s="4"/>
      <c r="AA80" s="4"/>
      <c r="AB80" s="4"/>
      <c r="AC80" s="4"/>
      <c r="AD80" s="4"/>
    </row>
    <row r="81" ht="15.75" customHeight="1">
      <c r="A81" s="29">
        <f t="shared" si="1"/>
        <v>80</v>
      </c>
      <c r="B81" s="62">
        <v>46226.0</v>
      </c>
      <c r="C81" s="37">
        <v>0.3854166666666667</v>
      </c>
      <c r="D81" s="15" t="str">
        <f>VLOOKUP( WEEKDAY(B81) ,Lookup!$A$2:$B$8,2,FALSE)</f>
        <v>Thursday</v>
      </c>
      <c r="E81" s="31" t="s">
        <v>316</v>
      </c>
      <c r="F81" s="32" t="s">
        <v>317</v>
      </c>
      <c r="G81" s="31" t="s">
        <v>40</v>
      </c>
      <c r="H81" s="15" t="str">
        <f>VLOOKUP( WEEKDAY(I81) ,Lookup!$A$2:$B$8,2,FALSE)
</f>
        <v>Thursday</v>
      </c>
      <c r="I81" s="13">
        <v>46226.0</v>
      </c>
      <c r="J81" s="37">
        <v>0.3854166666666667</v>
      </c>
      <c r="K81" s="15" t="str">
        <f>VLOOKUP( WEEKDAY(L81) ,Lookup!$A$2:$B$8,2,FALSE)</f>
        <v>Thursday</v>
      </c>
      <c r="L81" s="62">
        <v>46226.0</v>
      </c>
      <c r="M81" s="37">
        <v>0.40625</v>
      </c>
      <c r="N81" s="31"/>
      <c r="O81" s="31"/>
      <c r="P81" s="31"/>
      <c r="Q81" s="31"/>
      <c r="R81" s="4"/>
      <c r="S81" s="4"/>
      <c r="T81" s="4"/>
      <c r="U81" s="4"/>
      <c r="V81" s="4"/>
      <c r="W81" s="4"/>
      <c r="X81" s="4"/>
      <c r="Y81" s="4"/>
      <c r="Z81" s="4"/>
      <c r="AA81" s="4"/>
      <c r="AB81" s="4"/>
      <c r="AC81" s="4"/>
      <c r="AD81" s="4"/>
    </row>
    <row r="82" ht="15.75" customHeight="1">
      <c r="A82" s="29">
        <f t="shared" si="1"/>
        <v>81</v>
      </c>
      <c r="B82" s="62">
        <v>46226.0</v>
      </c>
      <c r="C82" s="37">
        <v>0.40625</v>
      </c>
      <c r="D82" s="15" t="str">
        <f>VLOOKUP( WEEKDAY(B82) ,Lookup!$A$2:$B$8,2,FALSE)</f>
        <v>Thursday</v>
      </c>
      <c r="E82" s="31" t="s">
        <v>318</v>
      </c>
      <c r="F82" s="32" t="s">
        <v>319</v>
      </c>
      <c r="G82" s="31"/>
      <c r="H82" s="15" t="str">
        <f>VLOOKUP( WEEKDAY(I82) ,Lookup!$A$2:$B$8,2,FALSE)
</f>
        <v>Thursday</v>
      </c>
      <c r="I82" s="13">
        <v>46226.0</v>
      </c>
      <c r="J82" s="37">
        <v>0.40625</v>
      </c>
      <c r="K82" s="15" t="str">
        <f>VLOOKUP( WEEKDAY(L82) ,Lookup!$A$2:$B$8,2,FALSE)</f>
        <v>Thursday</v>
      </c>
      <c r="L82" s="62">
        <v>46226.0</v>
      </c>
      <c r="M82" s="70">
        <v>0.4270833333333333</v>
      </c>
      <c r="N82" s="71" t="s">
        <v>320</v>
      </c>
      <c r="O82" s="71" t="s">
        <v>321</v>
      </c>
      <c r="P82" s="31"/>
      <c r="Q82" s="31"/>
      <c r="R82" s="4"/>
      <c r="S82" s="4"/>
      <c r="T82" s="4"/>
      <c r="U82" s="4"/>
      <c r="V82" s="4"/>
      <c r="W82" s="4"/>
      <c r="X82" s="4"/>
      <c r="Y82" s="4"/>
      <c r="Z82" s="4"/>
      <c r="AA82" s="4"/>
      <c r="AB82" s="4"/>
      <c r="AC82" s="4"/>
      <c r="AD82" s="4"/>
    </row>
    <row r="83" ht="15.75" customHeight="1">
      <c r="A83" s="29">
        <f t="shared" si="1"/>
        <v>82</v>
      </c>
      <c r="B83" s="62">
        <v>46226.0</v>
      </c>
      <c r="C83" s="70">
        <v>0.4270833333333333</v>
      </c>
      <c r="D83" s="15" t="str">
        <f>VLOOKUP( WEEKDAY(B83) ,Lookup!$A$2:$B$8,2,FALSE)</f>
        <v>Thursday</v>
      </c>
      <c r="E83" s="71" t="s">
        <v>322</v>
      </c>
      <c r="F83" s="72" t="s">
        <v>323</v>
      </c>
      <c r="G83" s="31"/>
      <c r="H83" s="15" t="str">
        <f>VLOOKUP( WEEKDAY(I83) ,Lookup!$A$2:$B$8,2,FALSE)
</f>
        <v>Thursday</v>
      </c>
      <c r="I83" s="13">
        <v>46226.0</v>
      </c>
      <c r="J83" s="70">
        <v>0.4270833333333333</v>
      </c>
      <c r="K83" s="15" t="str">
        <f>VLOOKUP( WEEKDAY(L83) ,Lookup!$A$2:$B$8,2,FALSE)</f>
        <v>Thursday</v>
      </c>
      <c r="L83" s="62">
        <v>46226.0</v>
      </c>
      <c r="M83" s="70">
        <v>0.4583333333333333</v>
      </c>
      <c r="N83" s="71" t="s">
        <v>324</v>
      </c>
      <c r="O83" s="73" t="s">
        <v>126</v>
      </c>
      <c r="P83" s="31"/>
      <c r="Q83" s="31"/>
      <c r="R83" s="4"/>
      <c r="S83" s="4"/>
      <c r="T83" s="4"/>
      <c r="U83" s="4"/>
      <c r="V83" s="4"/>
      <c r="W83" s="4"/>
      <c r="X83" s="4"/>
      <c r="Y83" s="4"/>
      <c r="Z83" s="4"/>
      <c r="AA83" s="4"/>
      <c r="AB83" s="4"/>
      <c r="AC83" s="4"/>
      <c r="AD83" s="4"/>
    </row>
    <row r="84" ht="15.75" customHeight="1">
      <c r="A84" s="29">
        <f t="shared" si="1"/>
        <v>83</v>
      </c>
      <c r="B84" s="62">
        <v>46226.0</v>
      </c>
      <c r="C84" s="70">
        <v>0.4583333333333333</v>
      </c>
      <c r="D84" s="15" t="str">
        <f>VLOOKUP( WEEKDAY(B84) ,Lookup!$A$2:$B$8,2,FALSE)</f>
        <v>Thursday</v>
      </c>
      <c r="E84" s="71" t="s">
        <v>311</v>
      </c>
      <c r="F84" s="72" t="s">
        <v>314</v>
      </c>
      <c r="G84" s="31"/>
      <c r="H84" s="15" t="str">
        <f>VLOOKUP( WEEKDAY(I84) ,Lookup!$A$2:$B$8,2,FALSE)
</f>
        <v>Thursday</v>
      </c>
      <c r="I84" s="13">
        <v>46226.0</v>
      </c>
      <c r="J84" s="70">
        <v>0.4583333333333333</v>
      </c>
      <c r="K84" s="15" t="str">
        <f>VLOOKUP( WEEKDAY(L84) ,Lookup!$A$2:$B$8,2,FALSE)</f>
        <v>Thursday</v>
      </c>
      <c r="L84" s="62">
        <v>46226.0</v>
      </c>
      <c r="M84" s="70">
        <v>0.46875</v>
      </c>
      <c r="N84" s="31"/>
      <c r="O84" s="31"/>
      <c r="P84" s="31"/>
      <c r="Q84" s="31"/>
      <c r="R84" s="4"/>
      <c r="S84" s="4"/>
      <c r="T84" s="4"/>
      <c r="U84" s="4"/>
      <c r="V84" s="4"/>
      <c r="W84" s="4"/>
      <c r="X84" s="4"/>
      <c r="Y84" s="4"/>
      <c r="Z84" s="4"/>
      <c r="AA84" s="4"/>
      <c r="AB84" s="4"/>
      <c r="AC84" s="4"/>
      <c r="AD84" s="4"/>
    </row>
    <row r="85" ht="15.75" customHeight="1">
      <c r="A85" s="29">
        <f t="shared" si="1"/>
        <v>84</v>
      </c>
      <c r="B85" s="62">
        <v>46226.0</v>
      </c>
      <c r="C85" s="70">
        <v>0.46875</v>
      </c>
      <c r="D85" s="15" t="str">
        <f>VLOOKUP( WEEKDAY(B85) ,Lookup!$A$2:$B$8,2,FALSE)</f>
        <v>Thursday</v>
      </c>
      <c r="E85" s="71" t="s">
        <v>39</v>
      </c>
      <c r="F85" s="72" t="s">
        <v>325</v>
      </c>
      <c r="G85" s="31"/>
      <c r="H85" s="15" t="str">
        <f>VLOOKUP( WEEKDAY(I85) ,Lookup!$A$2:$B$8,2,FALSE)
</f>
        <v>Thursday</v>
      </c>
      <c r="I85" s="13">
        <v>46226.0</v>
      </c>
      <c r="J85" s="70">
        <v>0.46875</v>
      </c>
      <c r="K85" s="15" t="str">
        <f>VLOOKUP( WEEKDAY(L85) ,Lookup!$A$2:$B$8,2,FALSE)</f>
        <v>Thursday</v>
      </c>
      <c r="L85" s="62">
        <v>46226.0</v>
      </c>
      <c r="M85" s="70">
        <v>0.4791666666666667</v>
      </c>
      <c r="N85" s="31"/>
      <c r="O85" s="71" t="s">
        <v>326</v>
      </c>
      <c r="P85" s="31"/>
      <c r="Q85" s="31"/>
      <c r="R85" s="4"/>
      <c r="S85" s="4"/>
      <c r="T85" s="4"/>
      <c r="U85" s="4"/>
      <c r="V85" s="4"/>
      <c r="W85" s="4"/>
      <c r="X85" s="4"/>
      <c r="Y85" s="4"/>
      <c r="Z85" s="4"/>
      <c r="AA85" s="4"/>
      <c r="AB85" s="4"/>
      <c r="AC85" s="4"/>
      <c r="AD85" s="4"/>
    </row>
    <row r="86" ht="15.75" customHeight="1">
      <c r="A86" s="29">
        <f t="shared" si="1"/>
        <v>85</v>
      </c>
      <c r="B86" s="62">
        <v>46226.0</v>
      </c>
      <c r="C86" s="70">
        <v>0.4791666666666667</v>
      </c>
      <c r="D86" s="15" t="str">
        <f>VLOOKUP( WEEKDAY(B86) ,Lookup!$A$2:$B$8,2,FALSE)</f>
        <v>Thursday</v>
      </c>
      <c r="E86" s="71" t="s">
        <v>303</v>
      </c>
      <c r="F86" s="72" t="s">
        <v>327</v>
      </c>
      <c r="G86" s="31"/>
      <c r="H86" s="15" t="str">
        <f>VLOOKUP( WEEKDAY(I86) ,Lookup!$A$2:$B$8,2,FALSE)
</f>
        <v>Thursday</v>
      </c>
      <c r="I86" s="13">
        <v>46226.0</v>
      </c>
      <c r="J86" s="70">
        <v>0.4791666666666667</v>
      </c>
      <c r="K86" s="15" t="str">
        <f>VLOOKUP( WEEKDAY(L86) ,Lookup!$A$2:$B$8,2,FALSE)</f>
        <v>Thursday</v>
      </c>
      <c r="L86" s="62">
        <v>46226.0</v>
      </c>
      <c r="M86" s="70">
        <v>0.4861111111111111</v>
      </c>
      <c r="N86" s="31"/>
      <c r="O86" s="31"/>
      <c r="P86" s="31"/>
      <c r="Q86" s="31"/>
      <c r="R86" s="4"/>
      <c r="S86" s="4"/>
      <c r="T86" s="4"/>
      <c r="U86" s="4"/>
      <c r="V86" s="4"/>
      <c r="W86" s="4"/>
      <c r="X86" s="4"/>
      <c r="Y86" s="4"/>
      <c r="Z86" s="4"/>
      <c r="AA86" s="4"/>
      <c r="AB86" s="4"/>
      <c r="AC86" s="4"/>
      <c r="AD86" s="4"/>
    </row>
    <row r="87" ht="15.75" customHeight="1">
      <c r="A87" s="29">
        <f t="shared" si="1"/>
        <v>86</v>
      </c>
      <c r="B87" s="62">
        <v>46226.0</v>
      </c>
      <c r="C87" s="70">
        <v>0.4861111111111111</v>
      </c>
      <c r="D87" s="15" t="str">
        <f>VLOOKUP( WEEKDAY(B87) ,Lookup!$A$2:$B$8,2,FALSE)</f>
        <v>Thursday</v>
      </c>
      <c r="E87" s="71" t="s">
        <v>311</v>
      </c>
      <c r="F87" s="72"/>
      <c r="G87" s="31"/>
      <c r="H87" s="15" t="str">
        <f>VLOOKUP( WEEKDAY(I87) ,Lookup!$A$2:$B$8,2,FALSE)
</f>
        <v>Thursday</v>
      </c>
      <c r="I87" s="13">
        <v>46226.0</v>
      </c>
      <c r="J87" s="70">
        <v>0.4861111111111111</v>
      </c>
      <c r="K87" s="15" t="str">
        <f>VLOOKUP( WEEKDAY(L87) ,Lookup!$A$2:$B$8,2,FALSE)</f>
        <v>Thursday</v>
      </c>
      <c r="L87" s="62">
        <v>46226.0</v>
      </c>
      <c r="M87" s="70">
        <v>0.0</v>
      </c>
      <c r="N87" s="31"/>
      <c r="O87" s="31"/>
      <c r="P87" s="31"/>
      <c r="Q87" s="31"/>
      <c r="R87" s="4"/>
      <c r="S87" s="4"/>
      <c r="T87" s="4"/>
      <c r="U87" s="4"/>
      <c r="V87" s="4"/>
      <c r="W87" s="4"/>
      <c r="X87" s="4"/>
      <c r="Y87" s="4"/>
      <c r="Z87" s="4"/>
      <c r="AA87" s="4"/>
      <c r="AB87" s="4"/>
      <c r="AC87" s="4"/>
      <c r="AD87" s="4"/>
    </row>
    <row r="88" ht="15.75" customHeight="1">
      <c r="A88" s="29">
        <f t="shared" si="1"/>
        <v>87</v>
      </c>
      <c r="B88" s="62">
        <v>46226.0</v>
      </c>
      <c r="C88" s="70">
        <v>0.5</v>
      </c>
      <c r="D88" s="15" t="str">
        <f>VLOOKUP( WEEKDAY(B88) ,Lookup!$A$2:$B$8,2,FALSE)</f>
        <v>Thursday</v>
      </c>
      <c r="E88" s="71" t="s">
        <v>328</v>
      </c>
      <c r="F88" s="72" t="s">
        <v>329</v>
      </c>
      <c r="G88" s="31"/>
      <c r="H88" s="15" t="str">
        <f>VLOOKUP( WEEKDAY(I88) ,Lookup!$A$2:$B$8,2,FALSE)
</f>
        <v>Thursday</v>
      </c>
      <c r="I88" s="13">
        <v>46226.0</v>
      </c>
      <c r="J88" s="70">
        <v>0.5</v>
      </c>
      <c r="K88" s="15" t="str">
        <f>VLOOKUP( WEEKDAY(L88) ,Lookup!$A$2:$B$8,2,FALSE)</f>
        <v>Thursday</v>
      </c>
      <c r="L88" s="62">
        <v>46226.0</v>
      </c>
      <c r="M88" s="70">
        <v>0.5138888888888888</v>
      </c>
      <c r="N88" s="71" t="s">
        <v>104</v>
      </c>
      <c r="O88" s="31"/>
      <c r="P88" s="31"/>
      <c r="Q88" s="31"/>
      <c r="R88" s="4"/>
      <c r="S88" s="4"/>
      <c r="T88" s="4"/>
      <c r="U88" s="4"/>
      <c r="V88" s="4"/>
      <c r="W88" s="4"/>
      <c r="X88" s="4"/>
      <c r="Y88" s="4"/>
      <c r="Z88" s="4"/>
      <c r="AA88" s="4"/>
      <c r="AB88" s="4"/>
      <c r="AC88" s="4"/>
      <c r="AD88" s="4"/>
    </row>
    <row r="89" ht="15.75" customHeight="1">
      <c r="A89" s="29">
        <f t="shared" si="1"/>
        <v>88</v>
      </c>
      <c r="B89" s="62">
        <v>46226.0</v>
      </c>
      <c r="C89" s="70">
        <v>0.5138888888888888</v>
      </c>
      <c r="D89" s="15" t="str">
        <f>VLOOKUP( WEEKDAY(B89) ,Lookup!$A$2:$B$8,2,FALSE)</f>
        <v>Thursday</v>
      </c>
      <c r="E89" s="71" t="s">
        <v>330</v>
      </c>
      <c r="F89" s="72" t="s">
        <v>331</v>
      </c>
      <c r="G89" s="31"/>
      <c r="H89" s="15" t="str">
        <f>VLOOKUP( WEEKDAY(I89) ,Lookup!$A$2:$B$8,2,FALSE)
</f>
        <v>Thursday</v>
      </c>
      <c r="I89" s="13">
        <v>46226.0</v>
      </c>
      <c r="J89" s="70">
        <v>0.5138888888888888</v>
      </c>
      <c r="K89" s="15" t="str">
        <f>VLOOKUP( WEEKDAY(L89) ,Lookup!$A$2:$B$8,2,FALSE)</f>
        <v>Thursday</v>
      </c>
      <c r="L89" s="62">
        <v>46226.0</v>
      </c>
      <c r="M89" s="70">
        <v>0.5208333333333334</v>
      </c>
      <c r="N89" s="31"/>
      <c r="O89" s="31"/>
      <c r="P89" s="31"/>
      <c r="Q89" s="31"/>
      <c r="R89" s="4"/>
      <c r="S89" s="4"/>
      <c r="T89" s="4"/>
      <c r="U89" s="4"/>
      <c r="V89" s="4"/>
      <c r="W89" s="4"/>
      <c r="X89" s="4"/>
      <c r="Y89" s="4"/>
      <c r="Z89" s="4"/>
      <c r="AA89" s="4"/>
      <c r="AB89" s="4"/>
      <c r="AC89" s="4"/>
      <c r="AD89" s="4"/>
    </row>
    <row r="90" ht="15.75" customHeight="1">
      <c r="A90" s="29">
        <f t="shared" si="1"/>
        <v>89</v>
      </c>
      <c r="B90" s="62">
        <v>46226.0</v>
      </c>
      <c r="C90" s="70">
        <v>0.5208333333333334</v>
      </c>
      <c r="D90" s="15" t="str">
        <f>VLOOKUP( WEEKDAY(B90) ,Lookup!$A$2:$B$8,2,FALSE)</f>
        <v>Thursday</v>
      </c>
      <c r="E90" s="71" t="s">
        <v>311</v>
      </c>
      <c r="F90" s="32"/>
      <c r="G90" s="31"/>
      <c r="H90" s="15" t="str">
        <f>VLOOKUP( WEEKDAY(I90) ,Lookup!$A$2:$B$8,2,FALSE)
</f>
        <v>Saturday</v>
      </c>
      <c r="I90" s="13"/>
      <c r="J90" s="31"/>
      <c r="K90" s="15" t="str">
        <f>VLOOKUP( WEEKDAY(L90) ,Lookup!$A$2:$B$8,2,FALSE)</f>
        <v>Saturday</v>
      </c>
      <c r="L90" s="31"/>
      <c r="M90" s="31"/>
      <c r="N90" s="31"/>
      <c r="O90" s="31"/>
      <c r="P90" s="31"/>
      <c r="Q90" s="31"/>
      <c r="R90" s="4"/>
      <c r="S90" s="4"/>
      <c r="T90" s="4"/>
      <c r="U90" s="4"/>
      <c r="V90" s="4"/>
      <c r="W90" s="4"/>
      <c r="X90" s="4"/>
      <c r="Y90" s="4"/>
      <c r="Z90" s="4"/>
      <c r="AA90" s="4"/>
      <c r="AB90" s="4"/>
      <c r="AC90" s="4"/>
      <c r="AD90" s="4"/>
    </row>
    <row r="91" ht="15.75" customHeight="1">
      <c r="A91" s="29">
        <f t="shared" si="1"/>
        <v>90</v>
      </c>
      <c r="B91" s="62">
        <v>46226.0</v>
      </c>
      <c r="C91" s="70">
        <v>0.5451388888888888</v>
      </c>
      <c r="D91" s="15" t="str">
        <f>VLOOKUP( WEEKDAY(B91) ,Lookup!$A$2:$B$8,2,FALSE)</f>
        <v>Thursday</v>
      </c>
      <c r="E91" s="71" t="s">
        <v>293</v>
      </c>
      <c r="F91" s="72" t="s">
        <v>315</v>
      </c>
      <c r="G91" s="31"/>
      <c r="H91" s="15" t="str">
        <f>VLOOKUP( WEEKDAY(I91) ,Lookup!$A$2:$B$8,2,FALSE)
</f>
        <v>Thursday</v>
      </c>
      <c r="I91" s="13">
        <v>46226.0</v>
      </c>
      <c r="J91" s="70">
        <v>0.5451388888888888</v>
      </c>
      <c r="K91" s="15" t="str">
        <f>VLOOKUP( WEEKDAY(L91) ,Lookup!$A$2:$B$8,2,FALSE)</f>
        <v>Thursday</v>
      </c>
      <c r="L91" s="62">
        <v>46226.0</v>
      </c>
      <c r="M91" s="70">
        <v>0.5833333333333334</v>
      </c>
      <c r="N91" s="31"/>
      <c r="O91" s="31"/>
      <c r="P91" s="31"/>
      <c r="Q91" s="31"/>
      <c r="R91" s="4"/>
      <c r="S91" s="4"/>
      <c r="T91" s="4"/>
      <c r="U91" s="4"/>
      <c r="V91" s="4"/>
      <c r="W91" s="4"/>
      <c r="X91" s="4"/>
      <c r="Y91" s="4"/>
      <c r="Z91" s="4"/>
      <c r="AA91" s="4"/>
      <c r="AB91" s="4"/>
      <c r="AC91" s="4"/>
      <c r="AD91" s="4"/>
    </row>
    <row r="92" ht="15.75" customHeight="1">
      <c r="A92" s="29">
        <f t="shared" si="1"/>
        <v>91</v>
      </c>
      <c r="B92" s="62">
        <v>46226.0</v>
      </c>
      <c r="C92" s="70">
        <v>0.5833333333333334</v>
      </c>
      <c r="D92" s="15" t="str">
        <f>VLOOKUP( WEEKDAY(B92) ,Lookup!$A$2:$B$8,2,FALSE)</f>
        <v>Thursday</v>
      </c>
      <c r="E92" s="71" t="s">
        <v>311</v>
      </c>
      <c r="F92" s="32"/>
      <c r="G92" s="31"/>
      <c r="H92" s="15" t="str">
        <f>VLOOKUP( WEEKDAY(I92) ,Lookup!$A$2:$B$8,2,FALSE)
</f>
        <v>Saturday</v>
      </c>
      <c r="I92" s="13"/>
      <c r="J92" s="31"/>
      <c r="K92" s="15" t="str">
        <f>VLOOKUP( WEEKDAY(L92) ,Lookup!$A$2:$B$8,2,FALSE)</f>
        <v>Saturday</v>
      </c>
      <c r="L92" s="31"/>
      <c r="M92" s="31"/>
      <c r="N92" s="31"/>
      <c r="O92" s="31"/>
      <c r="P92" s="31"/>
      <c r="Q92" s="31"/>
      <c r="R92" s="4"/>
      <c r="S92" s="4"/>
      <c r="T92" s="4"/>
      <c r="U92" s="4"/>
      <c r="V92" s="4"/>
      <c r="W92" s="4"/>
      <c r="X92" s="4"/>
      <c r="Y92" s="4"/>
      <c r="Z92" s="4"/>
      <c r="AA92" s="4"/>
      <c r="AB92" s="4"/>
      <c r="AC92" s="4"/>
      <c r="AD92" s="4"/>
    </row>
    <row r="93" ht="15.75" customHeight="1">
      <c r="A93" s="29">
        <f t="shared" si="1"/>
        <v>92</v>
      </c>
      <c r="B93" s="62">
        <v>46226.0</v>
      </c>
      <c r="C93" s="70">
        <v>0.59375</v>
      </c>
      <c r="D93" s="15" t="str">
        <f>VLOOKUP( WEEKDAY(B93) ,Lookup!$A$2:$B$8,2,FALSE)</f>
        <v>Thursday</v>
      </c>
      <c r="E93" s="71" t="s">
        <v>142</v>
      </c>
      <c r="F93" s="72" t="s">
        <v>332</v>
      </c>
      <c r="G93" s="31"/>
      <c r="H93" s="15" t="str">
        <f>VLOOKUP( WEEKDAY(I93) ,Lookup!$A$2:$B$8,2,FALSE)
</f>
        <v>Thursday</v>
      </c>
      <c r="I93" s="13">
        <v>46226.0</v>
      </c>
      <c r="J93" s="70">
        <v>0.59375</v>
      </c>
      <c r="K93" s="15" t="str">
        <f>VLOOKUP( WEEKDAY(L93) ,Lookup!$A$2:$B$8,2,FALSE)</f>
        <v>Thursday</v>
      </c>
      <c r="L93" s="62">
        <v>46226.0</v>
      </c>
      <c r="M93" s="70">
        <v>0.6041666666666666</v>
      </c>
      <c r="N93" s="31"/>
      <c r="O93" s="31"/>
      <c r="P93" s="31"/>
      <c r="Q93" s="31"/>
      <c r="R93" s="4"/>
      <c r="S93" s="4"/>
      <c r="T93" s="4"/>
      <c r="U93" s="4"/>
      <c r="V93" s="4"/>
      <c r="W93" s="4"/>
      <c r="X93" s="4"/>
      <c r="Y93" s="4"/>
      <c r="Z93" s="4"/>
      <c r="AA93" s="4"/>
      <c r="AB93" s="4"/>
      <c r="AC93" s="4"/>
      <c r="AD93" s="4"/>
    </row>
    <row r="94" ht="15.75" customHeight="1">
      <c r="A94" s="29">
        <f t="shared" si="1"/>
        <v>93</v>
      </c>
      <c r="B94" s="62">
        <v>46226.0</v>
      </c>
      <c r="C94" s="70">
        <v>0.6041666666666666</v>
      </c>
      <c r="D94" s="15" t="str">
        <f>VLOOKUP( WEEKDAY(B94) ,Lookup!$A$2:$B$8,2,FALSE)</f>
        <v>Thursday</v>
      </c>
      <c r="E94" s="31"/>
      <c r="F94" s="72" t="s">
        <v>311</v>
      </c>
      <c r="G94" s="31"/>
      <c r="H94" s="15" t="str">
        <f>VLOOKUP( WEEKDAY(I94) ,Lookup!$A$2:$B$8,2,FALSE)
</f>
        <v>Thursday</v>
      </c>
      <c r="I94" s="13">
        <v>46226.0</v>
      </c>
      <c r="J94" s="70">
        <v>0.6041666666666666</v>
      </c>
      <c r="K94" s="15" t="str">
        <f>VLOOKUP( WEEKDAY(L94) ,Lookup!$A$2:$B$8,2,FALSE)</f>
        <v>Thursday</v>
      </c>
      <c r="L94" s="62">
        <v>46226.0</v>
      </c>
      <c r="M94" s="74">
        <v>0.75</v>
      </c>
      <c r="N94" s="31"/>
      <c r="O94" s="31"/>
      <c r="P94" s="31"/>
      <c r="Q94" s="31"/>
      <c r="R94" s="4"/>
      <c r="S94" s="4"/>
      <c r="T94" s="4"/>
      <c r="U94" s="4"/>
      <c r="V94" s="4"/>
      <c r="W94" s="4"/>
      <c r="X94" s="4"/>
      <c r="Y94" s="4"/>
      <c r="Z94" s="4"/>
      <c r="AA94" s="4"/>
      <c r="AB94" s="4"/>
      <c r="AC94" s="4"/>
      <c r="AD94" s="4"/>
    </row>
    <row r="95" ht="15.75" customHeight="1">
      <c r="A95" s="29">
        <f t="shared" si="1"/>
        <v>94</v>
      </c>
      <c r="B95" s="62">
        <v>46226.0</v>
      </c>
      <c r="C95" s="74">
        <v>0.75</v>
      </c>
      <c r="D95" s="15" t="str">
        <f>VLOOKUP( WEEKDAY(B95) ,Lookup!$A$2:$B$8,2,FALSE)</f>
        <v>Thursday</v>
      </c>
      <c r="E95" s="71" t="s">
        <v>74</v>
      </c>
      <c r="F95" s="72" t="s">
        <v>75</v>
      </c>
      <c r="G95" s="31"/>
      <c r="H95" s="15" t="str">
        <f>VLOOKUP( WEEKDAY(I95) ,Lookup!$A$2:$B$8,2,FALSE)
</f>
        <v>Thursday</v>
      </c>
      <c r="I95" s="13">
        <v>46226.0</v>
      </c>
      <c r="J95" s="74">
        <v>0.75</v>
      </c>
      <c r="K95" s="15" t="str">
        <f>VLOOKUP( WEEKDAY(L95) ,Lookup!$A$2:$B$8,2,FALSE)</f>
        <v>Thursday</v>
      </c>
      <c r="L95" s="62">
        <v>46226.0</v>
      </c>
      <c r="M95" s="74">
        <v>0.7916666666666666</v>
      </c>
      <c r="N95" s="31"/>
      <c r="O95" s="31"/>
      <c r="P95" s="31"/>
      <c r="Q95" s="31"/>
      <c r="R95" s="4"/>
      <c r="S95" s="4"/>
      <c r="T95" s="4"/>
      <c r="U95" s="4"/>
      <c r="V95" s="4"/>
      <c r="W95" s="4"/>
      <c r="X95" s="4"/>
      <c r="Y95" s="4"/>
      <c r="Z95" s="4"/>
      <c r="AA95" s="4"/>
      <c r="AB95" s="4"/>
      <c r="AC95" s="4"/>
      <c r="AD95" s="4"/>
    </row>
    <row r="96" ht="15.75" customHeight="1">
      <c r="A96" s="29">
        <f t="shared" si="1"/>
        <v>95</v>
      </c>
      <c r="B96" s="62">
        <v>46226.0</v>
      </c>
      <c r="C96" s="74">
        <v>0.7916666666666666</v>
      </c>
      <c r="D96" s="15" t="str">
        <f>VLOOKUP( WEEKDAY(B96) ,Lookup!$A$2:$B$8,2,FALSE)</f>
        <v>Thursday</v>
      </c>
      <c r="E96" s="71" t="s">
        <v>74</v>
      </c>
      <c r="F96" s="72" t="s">
        <v>333</v>
      </c>
      <c r="G96" s="31"/>
      <c r="H96" s="15" t="str">
        <f>VLOOKUP( WEEKDAY(I96) ,Lookup!$A$2:$B$8,2,FALSE)
</f>
        <v>Thursday</v>
      </c>
      <c r="I96" s="13">
        <v>46226.0</v>
      </c>
      <c r="J96" s="74">
        <v>0.7916666666666666</v>
      </c>
      <c r="K96" s="15" t="str">
        <f>VLOOKUP( WEEKDAY(L96) ,Lookup!$A$2:$B$8,2,FALSE)</f>
        <v>Thursday</v>
      </c>
      <c r="L96" s="62">
        <v>46226.0</v>
      </c>
      <c r="M96" s="74">
        <v>0.8159722222222222</v>
      </c>
      <c r="N96" s="31"/>
      <c r="O96" s="31"/>
      <c r="P96" s="31"/>
      <c r="Q96" s="31"/>
      <c r="R96" s="4"/>
      <c r="S96" s="4"/>
      <c r="T96" s="4"/>
      <c r="U96" s="4"/>
      <c r="V96" s="4"/>
      <c r="W96" s="4"/>
      <c r="X96" s="4"/>
      <c r="Y96" s="4"/>
      <c r="Z96" s="4"/>
      <c r="AA96" s="4"/>
      <c r="AB96" s="4"/>
      <c r="AC96" s="4"/>
      <c r="AD96" s="4"/>
    </row>
    <row r="97" ht="15.75" customHeight="1">
      <c r="A97" s="29">
        <f t="shared" si="1"/>
        <v>96</v>
      </c>
      <c r="B97" s="62">
        <v>46226.0</v>
      </c>
      <c r="C97" s="74">
        <v>0.8159722222222222</v>
      </c>
      <c r="D97" s="15" t="str">
        <f>VLOOKUP( WEEKDAY(B97) ,Lookup!$A$2:$B$8,2,FALSE)</f>
        <v>Thursday</v>
      </c>
      <c r="E97" s="31"/>
      <c r="F97" s="72" t="s">
        <v>311</v>
      </c>
      <c r="G97" s="31"/>
      <c r="H97" s="15" t="str">
        <f>VLOOKUP( WEEKDAY(I97) ,Lookup!$A$2:$B$8,2,FALSE)
</f>
        <v>Thursday</v>
      </c>
      <c r="I97" s="13">
        <v>46226.0</v>
      </c>
      <c r="J97" s="74">
        <v>0.8159722222222222</v>
      </c>
      <c r="K97" s="15" t="str">
        <f>VLOOKUP( WEEKDAY(L97) ,Lookup!$A$2:$B$8,2,FALSE)</f>
        <v>Thursday</v>
      </c>
      <c r="L97" s="62">
        <v>46226.0</v>
      </c>
      <c r="M97" s="74">
        <v>0.9375</v>
      </c>
      <c r="N97" s="31"/>
      <c r="O97" s="31"/>
      <c r="P97" s="31"/>
      <c r="Q97" s="31"/>
      <c r="R97" s="4"/>
      <c r="S97" s="4"/>
      <c r="T97" s="4"/>
      <c r="U97" s="4"/>
      <c r="V97" s="4"/>
      <c r="W97" s="4"/>
      <c r="X97" s="4"/>
      <c r="Y97" s="4"/>
      <c r="Z97" s="4"/>
      <c r="AA97" s="4"/>
      <c r="AB97" s="4"/>
      <c r="AC97" s="4"/>
      <c r="AD97" s="4"/>
    </row>
    <row r="98" ht="15.75" customHeight="1">
      <c r="A98" s="29">
        <f t="shared" si="1"/>
        <v>97</v>
      </c>
      <c r="B98" s="62">
        <v>46226.0</v>
      </c>
      <c r="C98" s="74">
        <v>0.9375</v>
      </c>
      <c r="D98" s="15" t="str">
        <f>VLOOKUP( WEEKDAY(B98) ,Lookup!$A$2:$B$8,2,FALSE)</f>
        <v>Thursday</v>
      </c>
      <c r="E98" s="71" t="s">
        <v>278</v>
      </c>
      <c r="F98" s="72" t="s">
        <v>334</v>
      </c>
      <c r="G98" s="31"/>
      <c r="H98" s="15" t="str">
        <f>VLOOKUP( WEEKDAY(I98) ,Lookup!$A$2:$B$8,2,FALSE)
</f>
        <v>Thursday</v>
      </c>
      <c r="I98" s="13">
        <v>46226.0</v>
      </c>
      <c r="J98" s="74">
        <v>0.9375</v>
      </c>
      <c r="K98" s="15" t="str">
        <f>VLOOKUP( WEEKDAY(L98) ,Lookup!$A$2:$B$8,2,FALSE)</f>
        <v>Thursday</v>
      </c>
      <c r="L98" s="62">
        <v>46226.0</v>
      </c>
      <c r="M98" s="74">
        <v>0.9513888888888888</v>
      </c>
      <c r="N98" s="31"/>
      <c r="O98" s="31"/>
      <c r="P98" s="31"/>
      <c r="Q98" s="31"/>
      <c r="R98" s="4"/>
      <c r="S98" s="4"/>
      <c r="T98" s="4"/>
      <c r="U98" s="4"/>
      <c r="V98" s="4"/>
      <c r="W98" s="4"/>
      <c r="X98" s="4"/>
      <c r="Y98" s="4"/>
      <c r="Z98" s="4"/>
      <c r="AA98" s="4"/>
      <c r="AB98" s="4"/>
      <c r="AC98" s="4"/>
      <c r="AD98" s="4"/>
    </row>
    <row r="99" ht="15.75" customHeight="1">
      <c r="A99" s="29">
        <f t="shared" si="1"/>
        <v>98</v>
      </c>
      <c r="B99" s="75">
        <v>46227.0</v>
      </c>
      <c r="C99" s="70">
        <v>0.3958333333333333</v>
      </c>
      <c r="D99" s="15" t="str">
        <f>VLOOKUP( WEEKDAY(B99) ,Lookup!$A$2:$B$8,2,FALSE)</f>
        <v>Friday</v>
      </c>
      <c r="E99" s="71" t="s">
        <v>335</v>
      </c>
      <c r="F99" s="72" t="s">
        <v>336</v>
      </c>
      <c r="G99" s="31"/>
      <c r="H99" s="15" t="str">
        <f>VLOOKUP( WEEKDAY(I99) ,Lookup!$A$2:$B$8,2,FALSE)
</f>
        <v>Friday</v>
      </c>
      <c r="I99" s="13">
        <v>46227.0</v>
      </c>
      <c r="J99" s="71" t="s">
        <v>337</v>
      </c>
      <c r="K99" s="15" t="str">
        <f>VLOOKUP( WEEKDAY(L99) ,Lookup!$A$2:$B$8,2,FALSE)</f>
        <v>Friday</v>
      </c>
      <c r="L99" s="75">
        <v>46227.0</v>
      </c>
      <c r="M99" s="70">
        <v>0.4722222222222222</v>
      </c>
      <c r="N99" s="31"/>
      <c r="O99" s="31"/>
      <c r="P99" s="31"/>
      <c r="Q99" s="31"/>
      <c r="R99" s="4"/>
      <c r="S99" s="4"/>
      <c r="T99" s="4"/>
      <c r="U99" s="4"/>
      <c r="V99" s="4"/>
      <c r="W99" s="4"/>
      <c r="X99" s="4"/>
      <c r="Y99" s="4"/>
      <c r="Z99" s="4"/>
      <c r="AA99" s="4"/>
      <c r="AB99" s="4"/>
      <c r="AC99" s="4"/>
      <c r="AD99" s="4"/>
    </row>
    <row r="100" ht="15.75" customHeight="1">
      <c r="A100" s="29">
        <f t="shared" si="1"/>
        <v>99</v>
      </c>
      <c r="B100" s="75">
        <v>46227.0</v>
      </c>
      <c r="C100" s="70">
        <v>0.4722222222222222</v>
      </c>
      <c r="D100" s="15" t="str">
        <f>VLOOKUP( WEEKDAY(B100) ,Lookup!$A$2:$B$8,2,FALSE)</f>
        <v>Friday</v>
      </c>
      <c r="E100" s="71" t="s">
        <v>338</v>
      </c>
      <c r="F100" s="76" t="s">
        <v>339</v>
      </c>
      <c r="G100" s="31"/>
      <c r="H100" s="15" t="str">
        <f>VLOOKUP( WEEKDAY(I100) ,Lookup!$A$2:$B$8,2,FALSE)
</f>
        <v>Friday</v>
      </c>
      <c r="I100" s="13">
        <v>46227.0</v>
      </c>
      <c r="J100" s="70">
        <v>0.4722222222222222</v>
      </c>
      <c r="K100" s="15" t="str">
        <f>VLOOKUP( WEEKDAY(L100) ,Lookup!$A$2:$B$8,2,FALSE)</f>
        <v>Friday</v>
      </c>
      <c r="L100" s="75">
        <v>46227.0</v>
      </c>
      <c r="M100" s="70">
        <v>0.4791666666666667</v>
      </c>
      <c r="N100" s="31"/>
      <c r="O100" s="31"/>
      <c r="P100" s="31"/>
      <c r="Q100" s="31"/>
      <c r="R100" s="4"/>
      <c r="S100" s="4"/>
      <c r="T100" s="4"/>
      <c r="U100" s="4"/>
      <c r="V100" s="4"/>
      <c r="W100" s="4"/>
      <c r="X100" s="4"/>
      <c r="Y100" s="4"/>
      <c r="Z100" s="4"/>
      <c r="AA100" s="4"/>
      <c r="AB100" s="4"/>
      <c r="AC100" s="4"/>
      <c r="AD100" s="4"/>
    </row>
    <row r="101" ht="15.75" customHeight="1">
      <c r="A101" s="29">
        <f t="shared" si="1"/>
        <v>100</v>
      </c>
      <c r="B101" s="75">
        <v>46227.0</v>
      </c>
      <c r="C101" s="70">
        <v>0.4791666666666667</v>
      </c>
      <c r="D101" s="15" t="str">
        <f>VLOOKUP( WEEKDAY(B101) ,Lookup!$A$2:$B$8,2,FALSE)</f>
        <v>Friday</v>
      </c>
      <c r="E101" s="71" t="s">
        <v>340</v>
      </c>
      <c r="F101" s="76" t="s">
        <v>341</v>
      </c>
      <c r="G101" s="31"/>
      <c r="H101" s="15" t="str">
        <f>VLOOKUP( WEEKDAY(I101) ,Lookup!$A$2:$B$8,2,FALSE)
</f>
        <v>Friday</v>
      </c>
      <c r="I101" s="13">
        <v>46227.0</v>
      </c>
      <c r="J101" s="70">
        <v>0.4791666666666667</v>
      </c>
      <c r="K101" s="15" t="str">
        <f>VLOOKUP( WEEKDAY(L101) ,Lookup!$A$2:$B$8,2,FALSE)</f>
        <v>Friday</v>
      </c>
      <c r="L101" s="75">
        <v>46227.0</v>
      </c>
      <c r="M101" s="70">
        <v>0.4826388888888889</v>
      </c>
      <c r="N101" s="31"/>
      <c r="O101" s="31"/>
      <c r="P101" s="31"/>
      <c r="Q101" s="31"/>
      <c r="R101" s="4"/>
      <c r="S101" s="4"/>
      <c r="T101" s="4"/>
      <c r="U101" s="4"/>
      <c r="V101" s="4"/>
      <c r="W101" s="4"/>
      <c r="X101" s="4"/>
      <c r="Y101" s="4"/>
      <c r="Z101" s="4"/>
      <c r="AA101" s="4"/>
      <c r="AB101" s="4"/>
      <c r="AC101" s="4"/>
      <c r="AD101" s="4"/>
    </row>
    <row r="102" ht="15.75" customHeight="1">
      <c r="A102" s="29">
        <f t="shared" si="1"/>
        <v>101</v>
      </c>
      <c r="B102" s="75">
        <v>46227.0</v>
      </c>
      <c r="C102" s="70">
        <v>0.4826388888888889</v>
      </c>
      <c r="D102" s="15" t="str">
        <f>VLOOKUP( WEEKDAY(B102) ,Lookup!$A$2:$B$8,2,FALSE)</f>
        <v>Friday</v>
      </c>
      <c r="E102" s="71" t="s">
        <v>116</v>
      </c>
      <c r="F102" s="72" t="s">
        <v>342</v>
      </c>
      <c r="G102" s="31"/>
      <c r="H102" s="15" t="str">
        <f>VLOOKUP( WEEKDAY(I102) ,Lookup!$A$2:$B$8,2,FALSE)
</f>
        <v>Friday</v>
      </c>
      <c r="I102" s="13">
        <v>46227.0</v>
      </c>
      <c r="J102" s="70">
        <v>0.4826388888888889</v>
      </c>
      <c r="K102" s="15" t="str">
        <f>VLOOKUP( WEEKDAY(L102) ,Lookup!$A$2:$B$8,2,FALSE)</f>
        <v>Friday</v>
      </c>
      <c r="L102" s="75">
        <v>46227.0</v>
      </c>
      <c r="M102" s="70">
        <v>0.08333333333333333</v>
      </c>
      <c r="N102" s="31"/>
      <c r="O102" s="31"/>
      <c r="P102" s="31"/>
      <c r="Q102" s="31"/>
      <c r="R102" s="4"/>
      <c r="S102" s="4"/>
      <c r="T102" s="4"/>
      <c r="U102" s="4"/>
      <c r="V102" s="4"/>
      <c r="W102" s="4"/>
      <c r="X102" s="4"/>
      <c r="Y102" s="4"/>
      <c r="Z102" s="4"/>
      <c r="AA102" s="4"/>
      <c r="AB102" s="4"/>
      <c r="AC102" s="4"/>
      <c r="AD102" s="4"/>
    </row>
    <row r="103" ht="15.75" customHeight="1">
      <c r="A103" s="29">
        <f t="shared" si="1"/>
        <v>102</v>
      </c>
      <c r="B103" s="75">
        <v>46227.0</v>
      </c>
      <c r="C103" s="70">
        <v>0.5833333333333334</v>
      </c>
      <c r="D103" s="15" t="str">
        <f>VLOOKUP( WEEKDAY(B103) ,Lookup!$A$2:$B$8,2,FALSE)</f>
        <v>Friday</v>
      </c>
      <c r="E103" s="71" t="s">
        <v>311</v>
      </c>
      <c r="F103" s="72" t="s">
        <v>292</v>
      </c>
      <c r="G103" s="31"/>
      <c r="H103" s="15" t="str">
        <f>VLOOKUP( WEEKDAY(I103) ,Lookup!$A$2:$B$8,2,FALSE)
</f>
        <v>Friday</v>
      </c>
      <c r="I103" s="13">
        <v>46227.0</v>
      </c>
      <c r="J103" s="70">
        <v>0.08333333333333333</v>
      </c>
      <c r="K103" s="15" t="str">
        <f>VLOOKUP( WEEKDAY(L103) ,Lookup!$A$2:$B$8,2,FALSE)</f>
        <v>Friday</v>
      </c>
      <c r="L103" s="75">
        <v>46227.0</v>
      </c>
      <c r="M103" s="71" t="s">
        <v>343</v>
      </c>
      <c r="N103" s="31"/>
      <c r="O103" s="31"/>
      <c r="P103" s="31"/>
      <c r="Q103" s="31"/>
      <c r="R103" s="4"/>
      <c r="S103" s="4"/>
      <c r="T103" s="4"/>
      <c r="U103" s="4"/>
      <c r="V103" s="4"/>
      <c r="W103" s="4"/>
      <c r="X103" s="4"/>
      <c r="Y103" s="4"/>
      <c r="Z103" s="4"/>
      <c r="AA103" s="4"/>
      <c r="AB103" s="4"/>
      <c r="AC103" s="4"/>
      <c r="AD103" s="4"/>
    </row>
    <row r="104" ht="15.75" customHeight="1">
      <c r="A104" s="29">
        <f t="shared" si="1"/>
        <v>103</v>
      </c>
      <c r="B104" s="75">
        <v>46227.0</v>
      </c>
      <c r="C104" s="70">
        <v>0.6041666666666666</v>
      </c>
      <c r="D104" s="15" t="str">
        <f>VLOOKUP( WEEKDAY(B104) ,Lookup!$A$2:$B$8,2,FALSE)</f>
        <v>Friday</v>
      </c>
      <c r="E104" s="71" t="s">
        <v>344</v>
      </c>
      <c r="F104" s="72" t="s">
        <v>345</v>
      </c>
      <c r="G104" s="31"/>
      <c r="H104" s="15" t="str">
        <f>VLOOKUP( WEEKDAY(I104) ,Lookup!$A$2:$B$8,2,FALSE)
</f>
        <v>Friday</v>
      </c>
      <c r="I104" s="13">
        <v>46227.0</v>
      </c>
      <c r="J104" s="71" t="s">
        <v>343</v>
      </c>
      <c r="K104" s="15" t="str">
        <f>VLOOKUP( WEEKDAY(L104) ,Lookup!$A$2:$B$8,2,FALSE)</f>
        <v>Friday</v>
      </c>
      <c r="L104" s="75">
        <v>46227.0</v>
      </c>
      <c r="M104" s="71" t="s">
        <v>346</v>
      </c>
      <c r="N104" s="31"/>
      <c r="O104" s="31"/>
      <c r="P104" s="31"/>
      <c r="Q104" s="31"/>
      <c r="R104" s="4"/>
      <c r="S104" s="4"/>
      <c r="T104" s="4"/>
      <c r="U104" s="4"/>
      <c r="V104" s="4"/>
      <c r="W104" s="4"/>
      <c r="X104" s="4"/>
      <c r="Y104" s="4"/>
      <c r="Z104" s="4"/>
      <c r="AA104" s="4"/>
      <c r="AB104" s="4"/>
      <c r="AC104" s="4"/>
      <c r="AD104" s="4"/>
    </row>
    <row r="105" ht="15.75" customHeight="1">
      <c r="A105" s="29">
        <f t="shared" si="1"/>
        <v>104</v>
      </c>
      <c r="B105" s="75">
        <v>46227.0</v>
      </c>
      <c r="C105" s="70">
        <v>0.6131944444444445</v>
      </c>
      <c r="D105" s="15" t="str">
        <f>VLOOKUP( WEEKDAY(B105) ,Lookup!$A$2:$B$8,2,FALSE)</f>
        <v>Friday</v>
      </c>
      <c r="E105" s="71" t="s">
        <v>344</v>
      </c>
      <c r="F105" s="72" t="s">
        <v>345</v>
      </c>
      <c r="G105" s="31"/>
      <c r="H105" s="15" t="str">
        <f>VLOOKUP( WEEKDAY(I105) ,Lookup!$A$2:$B$8,2,FALSE)
</f>
        <v>Friday</v>
      </c>
      <c r="I105" s="13">
        <v>46227.0</v>
      </c>
      <c r="J105" s="71" t="s">
        <v>347</v>
      </c>
      <c r="K105" s="15" t="str">
        <f>VLOOKUP( WEEKDAY(L105) ,Lookup!$A$2:$B$8,2,FALSE)</f>
        <v>Friday</v>
      </c>
      <c r="L105" s="75">
        <v>46227.0</v>
      </c>
      <c r="M105" s="70">
        <v>0.625</v>
      </c>
      <c r="N105" s="31"/>
      <c r="O105" s="31"/>
      <c r="P105" s="31"/>
      <c r="Q105" s="31"/>
      <c r="R105" s="4"/>
      <c r="S105" s="4"/>
      <c r="T105" s="4"/>
      <c r="U105" s="4"/>
      <c r="V105" s="4"/>
      <c r="W105" s="4"/>
      <c r="X105" s="4"/>
      <c r="Y105" s="4"/>
      <c r="Z105" s="4"/>
      <c r="AA105" s="4"/>
      <c r="AB105" s="4"/>
      <c r="AC105" s="4"/>
      <c r="AD105" s="4"/>
    </row>
    <row r="106" ht="15.75" customHeight="1">
      <c r="A106" s="29">
        <f t="shared" si="1"/>
        <v>105</v>
      </c>
      <c r="B106" s="75">
        <v>46227.0</v>
      </c>
      <c r="C106" s="70">
        <v>0.625</v>
      </c>
      <c r="D106" s="15" t="str">
        <f>VLOOKUP( WEEKDAY(B106) ,Lookup!$A$2:$B$8,2,FALSE)</f>
        <v>Friday</v>
      </c>
      <c r="E106" s="71" t="s">
        <v>74</v>
      </c>
      <c r="F106" s="72" t="s">
        <v>348</v>
      </c>
      <c r="G106" s="31"/>
      <c r="H106" s="15" t="str">
        <f>VLOOKUP( WEEKDAY(I106) ,Lookup!$A$2:$B$8,2,FALSE)
</f>
        <v>Friday</v>
      </c>
      <c r="I106" s="13">
        <v>46227.0</v>
      </c>
      <c r="J106" s="70">
        <v>0.625</v>
      </c>
      <c r="K106" s="15" t="str">
        <f>VLOOKUP( WEEKDAY(L106) ,Lookup!$A$2:$B$8,2,FALSE)</f>
        <v>Friday</v>
      </c>
      <c r="L106" s="75">
        <v>46227.0</v>
      </c>
      <c r="M106" s="70">
        <v>0.6666666666666666</v>
      </c>
      <c r="N106" s="31"/>
      <c r="O106" s="31"/>
      <c r="P106" s="31"/>
      <c r="Q106" s="31"/>
      <c r="R106" s="4"/>
      <c r="S106" s="4"/>
      <c r="T106" s="4"/>
      <c r="U106" s="4"/>
      <c r="V106" s="4"/>
      <c r="W106" s="4"/>
      <c r="X106" s="4"/>
      <c r="Y106" s="4"/>
      <c r="Z106" s="4"/>
      <c r="AA106" s="4"/>
      <c r="AB106" s="4"/>
      <c r="AC106" s="4"/>
      <c r="AD106" s="4"/>
    </row>
    <row r="107" ht="15.75" customHeight="1">
      <c r="A107" s="29">
        <f t="shared" si="1"/>
        <v>106</v>
      </c>
      <c r="B107" s="75">
        <v>46227.0</v>
      </c>
      <c r="C107" s="70">
        <v>0.6666666666666666</v>
      </c>
      <c r="D107" s="15" t="str">
        <f>VLOOKUP( WEEKDAY(B107) ,Lookup!$A$2:$B$8,2,FALSE)</f>
        <v>Friday</v>
      </c>
      <c r="E107" s="71" t="s">
        <v>74</v>
      </c>
      <c r="F107" s="72" t="s">
        <v>349</v>
      </c>
      <c r="G107" s="31"/>
      <c r="H107" s="15" t="str">
        <f>VLOOKUP( WEEKDAY(I107) ,Lookup!$A$2:$B$8,2,FALSE)
</f>
        <v>Friday</v>
      </c>
      <c r="I107" s="13">
        <v>46227.0</v>
      </c>
      <c r="J107" s="70">
        <v>0.6666666666666666</v>
      </c>
      <c r="K107" s="15" t="str">
        <f>VLOOKUP( WEEKDAY(L107) ,Lookup!$A$2:$B$8,2,FALSE)</f>
        <v>Friday</v>
      </c>
      <c r="L107" s="75">
        <v>46227.0</v>
      </c>
      <c r="M107" s="70">
        <v>0.6875</v>
      </c>
      <c r="N107" s="31"/>
      <c r="O107" s="31"/>
      <c r="P107" s="31"/>
      <c r="Q107" s="31"/>
      <c r="R107" s="4"/>
      <c r="S107" s="4"/>
      <c r="T107" s="4"/>
      <c r="U107" s="4"/>
      <c r="V107" s="4"/>
      <c r="W107" s="4"/>
      <c r="X107" s="4"/>
      <c r="Y107" s="4"/>
      <c r="Z107" s="4"/>
      <c r="AA107" s="4"/>
      <c r="AB107" s="4"/>
      <c r="AC107" s="4"/>
      <c r="AD107" s="4"/>
    </row>
    <row r="108" ht="15.75" customHeight="1">
      <c r="A108" s="29">
        <f t="shared" si="1"/>
        <v>107</v>
      </c>
      <c r="B108" s="75">
        <v>46227.0</v>
      </c>
      <c r="C108" s="70">
        <v>0.6875</v>
      </c>
      <c r="D108" s="15" t="str">
        <f>VLOOKUP( WEEKDAY(B108) ,Lookup!$A$2:$B$8,2,FALSE)</f>
        <v>Friday</v>
      </c>
      <c r="E108" s="71" t="s">
        <v>74</v>
      </c>
      <c r="F108" s="72" t="s">
        <v>75</v>
      </c>
      <c r="G108" s="31"/>
      <c r="H108" s="15" t="str">
        <f>VLOOKUP( WEEKDAY(I108) ,Lookup!$A$2:$B$8,2,FALSE)
</f>
        <v>Friday</v>
      </c>
      <c r="I108" s="13">
        <v>46227.0</v>
      </c>
      <c r="J108" s="70">
        <v>0.6875</v>
      </c>
      <c r="K108" s="15" t="str">
        <f>VLOOKUP( WEEKDAY(L108) ,Lookup!$A$2:$B$8,2,FALSE)</f>
        <v>Friday</v>
      </c>
      <c r="L108" s="75">
        <v>46227.0</v>
      </c>
      <c r="M108" s="70">
        <v>0.7291666666666666</v>
      </c>
      <c r="N108" s="31"/>
      <c r="O108" s="31"/>
      <c r="P108" s="31"/>
      <c r="Q108" s="31"/>
      <c r="R108" s="4"/>
      <c r="S108" s="4"/>
      <c r="T108" s="4"/>
      <c r="U108" s="4"/>
      <c r="V108" s="4"/>
      <c r="W108" s="4"/>
      <c r="X108" s="4"/>
      <c r="Y108" s="4"/>
      <c r="Z108" s="4"/>
      <c r="AA108" s="4"/>
      <c r="AB108" s="4"/>
      <c r="AC108" s="4"/>
      <c r="AD108" s="4"/>
    </row>
    <row r="109" ht="15.75" customHeight="1">
      <c r="A109" s="29">
        <f t="shared" si="1"/>
        <v>108</v>
      </c>
      <c r="B109" s="75">
        <v>46227.0</v>
      </c>
      <c r="C109" s="70">
        <v>0.7604166666666666</v>
      </c>
      <c r="D109" s="15" t="str">
        <f>VLOOKUP( WEEKDAY(B109) ,Lookup!$A$2:$B$8,2,FALSE)</f>
        <v>Friday</v>
      </c>
      <c r="E109" s="71" t="s">
        <v>58</v>
      </c>
      <c r="F109" s="76" t="s">
        <v>171</v>
      </c>
      <c r="G109" s="31"/>
      <c r="H109" s="15" t="str">
        <f>VLOOKUP( WEEKDAY(I109) ,Lookup!$A$2:$B$8,2,FALSE)
</f>
        <v>Friday</v>
      </c>
      <c r="I109" s="13">
        <v>46227.0</v>
      </c>
      <c r="J109" s="70">
        <v>0.7604166666666666</v>
      </c>
      <c r="K109" s="15" t="str">
        <f>VLOOKUP( WEEKDAY(L109) ,Lookup!$A$2:$B$8,2,FALSE)</f>
        <v>Friday</v>
      </c>
      <c r="L109" s="75">
        <v>46227.0</v>
      </c>
      <c r="M109" s="70">
        <v>0.7638888888888888</v>
      </c>
      <c r="N109" s="31"/>
      <c r="O109" s="71" t="s">
        <v>350</v>
      </c>
      <c r="P109" s="31"/>
      <c r="Q109" s="31"/>
      <c r="R109" s="4"/>
      <c r="S109" s="4"/>
      <c r="T109" s="4"/>
      <c r="U109" s="4"/>
      <c r="V109" s="4"/>
      <c r="W109" s="4"/>
      <c r="X109" s="4"/>
      <c r="Y109" s="4"/>
      <c r="Z109" s="4"/>
      <c r="AA109" s="4"/>
      <c r="AB109" s="4"/>
      <c r="AC109" s="4"/>
      <c r="AD109" s="4"/>
    </row>
    <row r="110" ht="15.75" customHeight="1">
      <c r="A110" s="29">
        <f t="shared" si="1"/>
        <v>109</v>
      </c>
      <c r="B110" s="75">
        <v>46227.0</v>
      </c>
      <c r="C110" s="70">
        <v>0.7638888888888888</v>
      </c>
      <c r="D110" s="15" t="str">
        <f>VLOOKUP( WEEKDAY(B110) ,Lookup!$A$2:$B$8,2,FALSE)</f>
        <v>Friday</v>
      </c>
      <c r="E110" s="71" t="s">
        <v>116</v>
      </c>
      <c r="F110" s="72" t="s">
        <v>351</v>
      </c>
      <c r="G110" s="31"/>
      <c r="H110" s="15" t="str">
        <f>VLOOKUP( WEEKDAY(I110) ,Lookup!$A$2:$B$8,2,FALSE)
</f>
        <v>Friday</v>
      </c>
      <c r="I110" s="13">
        <v>46227.0</v>
      </c>
      <c r="J110" s="70">
        <v>0.7638888888888888</v>
      </c>
      <c r="K110" s="15" t="str">
        <f>VLOOKUP( WEEKDAY(L110) ,Lookup!$A$2:$B$8,2,FALSE)</f>
        <v>Friday</v>
      </c>
      <c r="L110" s="75">
        <v>46227.0</v>
      </c>
      <c r="M110" s="70">
        <v>0.7916666666666666</v>
      </c>
      <c r="N110" s="31"/>
      <c r="O110" s="31"/>
      <c r="P110" s="31"/>
      <c r="Q110" s="31"/>
      <c r="R110" s="4"/>
      <c r="S110" s="4"/>
      <c r="T110" s="4"/>
      <c r="U110" s="4"/>
      <c r="V110" s="4"/>
      <c r="W110" s="4"/>
      <c r="X110" s="4"/>
      <c r="Y110" s="4"/>
      <c r="Z110" s="4"/>
      <c r="AA110" s="4"/>
      <c r="AB110" s="4"/>
      <c r="AC110" s="4"/>
      <c r="AD110" s="4"/>
    </row>
    <row r="111" ht="15.75" customHeight="1">
      <c r="A111" s="29">
        <f t="shared" si="1"/>
        <v>110</v>
      </c>
      <c r="B111" s="75">
        <v>46227.0</v>
      </c>
      <c r="C111" s="70">
        <v>0.7916666666666666</v>
      </c>
      <c r="D111" s="15" t="str">
        <f>VLOOKUP( WEEKDAY(B111) ,Lookup!$A$2:$B$8,2,FALSE)</f>
        <v>Friday</v>
      </c>
      <c r="E111" s="71" t="s">
        <v>74</v>
      </c>
      <c r="F111" s="72" t="s">
        <v>352</v>
      </c>
      <c r="G111" s="31"/>
      <c r="H111" s="15" t="str">
        <f>VLOOKUP( WEEKDAY(I111) ,Lookup!$A$2:$B$8,2,FALSE)
</f>
        <v>Friday</v>
      </c>
      <c r="I111" s="13">
        <v>46227.0</v>
      </c>
      <c r="J111" s="70">
        <v>0.7916666666666666</v>
      </c>
      <c r="K111" s="15" t="str">
        <f>VLOOKUP( WEEKDAY(L111) ,Lookup!$A$2:$B$8,2,FALSE)</f>
        <v>Friday</v>
      </c>
      <c r="L111" s="75">
        <v>46227.0</v>
      </c>
      <c r="M111" s="70">
        <v>0.8090277777777778</v>
      </c>
      <c r="N111" s="31"/>
      <c r="O111" s="31"/>
      <c r="P111" s="31"/>
      <c r="Q111" s="31"/>
      <c r="R111" s="4"/>
      <c r="S111" s="4"/>
      <c r="T111" s="4"/>
      <c r="U111" s="4"/>
      <c r="V111" s="4"/>
      <c r="W111" s="4"/>
      <c r="X111" s="4"/>
      <c r="Y111" s="4"/>
      <c r="Z111" s="4"/>
      <c r="AA111" s="4"/>
      <c r="AB111" s="4"/>
      <c r="AC111" s="4"/>
      <c r="AD111" s="4"/>
    </row>
    <row r="112" ht="15.75" customHeight="1">
      <c r="A112" s="29">
        <f t="shared" si="1"/>
        <v>111</v>
      </c>
      <c r="B112" s="75">
        <v>46227.0</v>
      </c>
      <c r="C112" s="70">
        <v>0.9166666666666666</v>
      </c>
      <c r="D112" s="15" t="str">
        <f>VLOOKUP( WEEKDAY(B112) ,Lookup!$A$2:$B$8,2,FALSE)</f>
        <v>Friday</v>
      </c>
      <c r="E112" s="71" t="s">
        <v>316</v>
      </c>
      <c r="F112" s="72" t="s">
        <v>353</v>
      </c>
      <c r="G112" s="31"/>
      <c r="H112" s="15" t="str">
        <f>VLOOKUP( WEEKDAY(I112) ,Lookup!$A$2:$B$8,2,FALSE)
</f>
        <v>Friday</v>
      </c>
      <c r="I112" s="13">
        <v>46227.0</v>
      </c>
      <c r="J112" s="70">
        <v>0.9166666666666666</v>
      </c>
      <c r="K112" s="15" t="str">
        <f>VLOOKUP( WEEKDAY(L112) ,Lookup!$A$2:$B$8,2,FALSE)</f>
        <v>Friday</v>
      </c>
      <c r="L112" s="75">
        <v>46227.0</v>
      </c>
      <c r="M112" s="70">
        <v>0.9375</v>
      </c>
      <c r="N112" s="31"/>
      <c r="O112" s="31"/>
      <c r="P112" s="31"/>
      <c r="Q112" s="31"/>
      <c r="R112" s="4"/>
      <c r="S112" s="4"/>
      <c r="T112" s="4"/>
      <c r="U112" s="4"/>
      <c r="V112" s="4"/>
      <c r="W112" s="4"/>
      <c r="X112" s="4"/>
      <c r="Y112" s="4"/>
      <c r="Z112" s="4"/>
      <c r="AA112" s="4"/>
      <c r="AB112" s="4"/>
      <c r="AC112" s="4"/>
      <c r="AD112" s="4"/>
    </row>
    <row r="113" ht="15.75" customHeight="1">
      <c r="A113" s="29">
        <f t="shared" si="1"/>
        <v>112</v>
      </c>
      <c r="B113" s="75">
        <v>46228.0</v>
      </c>
      <c r="C113" s="70">
        <v>0.4236111111111111</v>
      </c>
      <c r="D113" s="15" t="str">
        <f>VLOOKUP( WEEKDAY(B113) ,Lookup!$A$2:$B$8,2,FALSE)</f>
        <v>Saturday</v>
      </c>
      <c r="E113" s="71" t="s">
        <v>36</v>
      </c>
      <c r="F113" s="72" t="s">
        <v>354</v>
      </c>
      <c r="G113" s="31"/>
      <c r="H113" s="15" t="str">
        <f>VLOOKUP( WEEKDAY(I113) ,Lookup!$A$2:$B$8,2,FALSE)
</f>
        <v>Saturday</v>
      </c>
      <c r="I113" s="13">
        <v>46228.0</v>
      </c>
      <c r="J113" s="70">
        <v>0.4236111111111111</v>
      </c>
      <c r="K113" s="15" t="str">
        <f>VLOOKUP( WEEKDAY(L113) ,Lookup!$A$2:$B$8,2,FALSE)</f>
        <v>Friday</v>
      </c>
      <c r="L113" s="75">
        <v>46227.0</v>
      </c>
      <c r="M113" s="70">
        <v>0.4270833333333333</v>
      </c>
      <c r="N113" s="31"/>
      <c r="O113" s="31"/>
      <c r="P113" s="31"/>
      <c r="Q113" s="31"/>
      <c r="R113" s="4"/>
      <c r="S113" s="4"/>
      <c r="T113" s="4"/>
      <c r="U113" s="4"/>
      <c r="V113" s="4"/>
      <c r="W113" s="4"/>
      <c r="X113" s="4"/>
      <c r="Y113" s="4"/>
      <c r="Z113" s="4"/>
      <c r="AA113" s="4"/>
      <c r="AB113" s="4"/>
      <c r="AC113" s="4"/>
      <c r="AD113" s="4"/>
    </row>
    <row r="114" ht="15.75" customHeight="1">
      <c r="A114" s="29">
        <f t="shared" si="1"/>
        <v>113</v>
      </c>
      <c r="B114" s="75">
        <v>46228.0</v>
      </c>
      <c r="C114" s="70">
        <v>0.4270833333333333</v>
      </c>
      <c r="D114" s="15" t="str">
        <f>VLOOKUP( WEEKDAY(B114) ,Lookup!$A$2:$B$8,2,FALSE)</f>
        <v>Saturday</v>
      </c>
      <c r="E114" s="71" t="s">
        <v>169</v>
      </c>
      <c r="F114" s="72" t="s">
        <v>355</v>
      </c>
      <c r="G114" s="31"/>
      <c r="H114" s="15" t="str">
        <f>VLOOKUP( WEEKDAY(I114) ,Lookup!$A$2:$B$8,2,FALSE)
</f>
        <v>Saturday</v>
      </c>
      <c r="I114" s="13">
        <v>46228.0</v>
      </c>
      <c r="J114" s="70">
        <v>0.4270833333333333</v>
      </c>
      <c r="K114" s="15" t="str">
        <f>VLOOKUP( WEEKDAY(L114) ,Lookup!$A$2:$B$8,2,FALSE)</f>
        <v>Saturday</v>
      </c>
      <c r="L114" s="75">
        <v>46228.0</v>
      </c>
      <c r="M114" s="70">
        <v>0.5833333333333334</v>
      </c>
      <c r="N114" s="31"/>
      <c r="O114" s="31"/>
      <c r="P114" s="31"/>
      <c r="Q114" s="31"/>
      <c r="R114" s="4"/>
      <c r="S114" s="4"/>
      <c r="T114" s="4"/>
      <c r="U114" s="4"/>
      <c r="V114" s="4"/>
      <c r="W114" s="4"/>
      <c r="X114" s="4"/>
      <c r="Y114" s="4"/>
      <c r="Z114" s="4"/>
      <c r="AA114" s="4"/>
      <c r="AB114" s="4"/>
      <c r="AC114" s="4"/>
      <c r="AD114" s="4"/>
    </row>
    <row r="115" ht="15.75" customHeight="1">
      <c r="A115" s="29">
        <f t="shared" si="1"/>
        <v>114</v>
      </c>
      <c r="B115" s="75">
        <v>46228.0</v>
      </c>
      <c r="C115" s="70">
        <v>0.5833333333333334</v>
      </c>
      <c r="D115" s="15" t="str">
        <f>VLOOKUP( WEEKDAY(B115) ,Lookup!$A$2:$B$8,2,FALSE)</f>
        <v>Saturday</v>
      </c>
      <c r="E115" s="71" t="s">
        <v>311</v>
      </c>
      <c r="F115" s="72" t="s">
        <v>311</v>
      </c>
      <c r="G115" s="31"/>
      <c r="H115" s="15" t="str">
        <f>VLOOKUP( WEEKDAY(I115) ,Lookup!$A$2:$B$8,2,FALSE)
</f>
        <v>Saturday</v>
      </c>
      <c r="I115" s="13">
        <v>46228.0</v>
      </c>
      <c r="J115" s="70">
        <v>0.5833333333333334</v>
      </c>
      <c r="K115" s="15" t="str">
        <f>VLOOKUP( WEEKDAY(L115) ,Lookup!$A$2:$B$8,2,FALSE)</f>
        <v>Saturday</v>
      </c>
      <c r="L115" s="75">
        <v>46228.0</v>
      </c>
      <c r="M115" s="70">
        <v>0.6111111111111112</v>
      </c>
      <c r="N115" s="31"/>
      <c r="O115" s="31"/>
      <c r="P115" s="31"/>
      <c r="Q115" s="31"/>
      <c r="R115" s="4"/>
      <c r="S115" s="4"/>
      <c r="T115" s="4"/>
      <c r="U115" s="4"/>
      <c r="V115" s="4"/>
      <c r="W115" s="4"/>
      <c r="X115" s="4"/>
      <c r="Y115" s="4"/>
      <c r="Z115" s="4"/>
      <c r="AA115" s="4"/>
      <c r="AB115" s="4"/>
      <c r="AC115" s="4"/>
      <c r="AD115" s="4"/>
    </row>
    <row r="116" ht="15.75" customHeight="1">
      <c r="A116" s="29">
        <f t="shared" si="1"/>
        <v>115</v>
      </c>
      <c r="B116" s="75">
        <v>46228.0</v>
      </c>
      <c r="C116" s="70">
        <v>0.6180555555555556</v>
      </c>
      <c r="D116" s="15" t="str">
        <f>VLOOKUP( WEEKDAY(B116) ,Lookup!$A$2:$B$8,2,FALSE)</f>
        <v>Saturday</v>
      </c>
      <c r="E116" s="71" t="s">
        <v>36</v>
      </c>
      <c r="F116" s="72" t="s">
        <v>354</v>
      </c>
      <c r="G116" s="31"/>
      <c r="H116" s="15" t="str">
        <f>VLOOKUP( WEEKDAY(I116) ,Lookup!$A$2:$B$8,2,FALSE)
</f>
        <v>Saturday</v>
      </c>
      <c r="I116" s="13">
        <v>46228.0</v>
      </c>
      <c r="J116" s="70">
        <v>0.6180555555555556</v>
      </c>
      <c r="K116" s="15" t="str">
        <f>VLOOKUP( WEEKDAY(L116) ,Lookup!$A$2:$B$8,2,FALSE)</f>
        <v>Saturday</v>
      </c>
      <c r="L116" s="75">
        <v>46228.0</v>
      </c>
      <c r="M116" s="70">
        <v>0.6284722222222222</v>
      </c>
      <c r="N116" s="31"/>
      <c r="O116" s="31"/>
      <c r="P116" s="31"/>
      <c r="Q116" s="31"/>
      <c r="R116" s="4"/>
      <c r="S116" s="4"/>
      <c r="T116" s="4"/>
      <c r="U116" s="4"/>
      <c r="V116" s="4"/>
      <c r="W116" s="4"/>
      <c r="X116" s="4"/>
      <c r="Y116" s="4"/>
      <c r="Z116" s="4"/>
      <c r="AA116" s="4"/>
      <c r="AB116" s="4"/>
      <c r="AC116" s="4"/>
      <c r="AD116" s="4"/>
    </row>
    <row r="117" ht="15.75" customHeight="1">
      <c r="A117" s="29">
        <f t="shared" si="1"/>
        <v>116</v>
      </c>
      <c r="B117" s="75">
        <v>46228.0</v>
      </c>
      <c r="C117" s="70">
        <v>0.6284722222222222</v>
      </c>
      <c r="D117" s="15" t="str">
        <f>VLOOKUP( WEEKDAY(B117) ,Lookup!$A$2:$B$8,2,FALSE)</f>
        <v>Saturday</v>
      </c>
      <c r="E117" s="71" t="s">
        <v>116</v>
      </c>
      <c r="F117" s="72" t="s">
        <v>342</v>
      </c>
      <c r="G117" s="31"/>
      <c r="H117" s="15" t="str">
        <f>VLOOKUP( WEEKDAY(I117) ,Lookup!$A$2:$B$8,2,FALSE)
</f>
        <v>Saturday</v>
      </c>
      <c r="I117" s="13">
        <v>46228.0</v>
      </c>
      <c r="J117" s="70">
        <v>0.6284722222222222</v>
      </c>
      <c r="K117" s="15" t="str">
        <f>VLOOKUP( WEEKDAY(L117) ,Lookup!$A$2:$B$8,2,FALSE)</f>
        <v>Saturday</v>
      </c>
      <c r="L117" s="75">
        <v>46228.0</v>
      </c>
      <c r="M117" s="70">
        <v>0.7083333333333334</v>
      </c>
      <c r="N117" s="31"/>
      <c r="O117" s="31"/>
      <c r="P117" s="31"/>
      <c r="Q117" s="31"/>
      <c r="R117" s="4"/>
      <c r="S117" s="4"/>
      <c r="T117" s="4"/>
      <c r="U117" s="4"/>
      <c r="V117" s="4"/>
      <c r="W117" s="4"/>
      <c r="X117" s="4"/>
      <c r="Y117" s="4"/>
      <c r="Z117" s="4"/>
      <c r="AA117" s="4"/>
      <c r="AB117" s="4"/>
      <c r="AC117" s="4"/>
      <c r="AD117" s="4"/>
    </row>
    <row r="118" ht="15.75" customHeight="1">
      <c r="A118" s="29">
        <f t="shared" si="1"/>
        <v>117</v>
      </c>
      <c r="B118" s="75">
        <v>46228.0</v>
      </c>
      <c r="C118" s="70">
        <v>0.75</v>
      </c>
      <c r="D118" s="15" t="str">
        <f>VLOOKUP( WEEKDAY(B118) ,Lookup!$A$2:$B$8,2,FALSE)</f>
        <v>Saturday</v>
      </c>
      <c r="E118" s="71" t="s">
        <v>74</v>
      </c>
      <c r="F118" s="72" t="s">
        <v>356</v>
      </c>
      <c r="G118" s="31"/>
      <c r="H118" s="15" t="str">
        <f>VLOOKUP( WEEKDAY(I118) ,Lookup!$A$2:$B$8,2,FALSE)
</f>
        <v>Saturday</v>
      </c>
      <c r="I118" s="13">
        <v>46228.0</v>
      </c>
      <c r="J118" s="70">
        <v>0.75</v>
      </c>
      <c r="K118" s="15" t="str">
        <f>VLOOKUP( WEEKDAY(L118) ,Lookup!$A$2:$B$8,2,FALSE)</f>
        <v>Saturday</v>
      </c>
      <c r="L118" s="75">
        <v>46228.0</v>
      </c>
      <c r="M118" s="70">
        <v>0.8888888888888888</v>
      </c>
      <c r="N118" s="31"/>
      <c r="O118" s="31"/>
      <c r="P118" s="31"/>
      <c r="Q118" s="31"/>
      <c r="R118" s="4"/>
      <c r="S118" s="4"/>
      <c r="T118" s="4"/>
      <c r="U118" s="4"/>
      <c r="V118" s="4"/>
      <c r="W118" s="4"/>
      <c r="X118" s="4"/>
      <c r="Y118" s="4"/>
      <c r="Z118" s="4"/>
      <c r="AA118" s="4"/>
      <c r="AB118" s="4"/>
      <c r="AC118" s="4"/>
      <c r="AD118" s="4"/>
    </row>
    <row r="119" ht="15.75" customHeight="1">
      <c r="A119" s="29">
        <f t="shared" si="1"/>
        <v>118</v>
      </c>
      <c r="B119" s="75">
        <v>46229.0</v>
      </c>
      <c r="C119" s="71" t="s">
        <v>357</v>
      </c>
      <c r="D119" s="15" t="str">
        <f>VLOOKUP( WEEKDAY(B119) ,Lookup!$A$2:$B$8,2,FALSE)</f>
        <v>Sunday</v>
      </c>
      <c r="E119" s="71" t="s">
        <v>358</v>
      </c>
      <c r="F119" s="72" t="s">
        <v>359</v>
      </c>
      <c r="G119" s="31"/>
      <c r="H119" s="15" t="str">
        <f>VLOOKUP( WEEKDAY(I119) ,Lookup!$A$2:$B$8,2,FALSE)
</f>
        <v>Sunday</v>
      </c>
      <c r="I119" s="13">
        <v>46229.0</v>
      </c>
      <c r="J119" s="71" t="s">
        <v>357</v>
      </c>
      <c r="K119" s="15" t="str">
        <f>VLOOKUP( WEEKDAY(L119) ,Lookup!$A$2:$B$8,2,FALSE)</f>
        <v>Sunday</v>
      </c>
      <c r="L119" s="75">
        <v>46229.0</v>
      </c>
      <c r="M119" s="70">
        <v>0.9097222222222222</v>
      </c>
      <c r="N119" s="31"/>
      <c r="O119" s="31"/>
      <c r="P119" s="31"/>
      <c r="Q119" s="31"/>
      <c r="R119" s="4"/>
      <c r="S119" s="4"/>
      <c r="T119" s="4"/>
      <c r="U119" s="4"/>
      <c r="V119" s="4"/>
      <c r="W119" s="4"/>
      <c r="X119" s="4"/>
      <c r="Y119" s="4"/>
      <c r="Z119" s="4"/>
      <c r="AA119" s="4"/>
      <c r="AB119" s="4"/>
      <c r="AC119" s="4"/>
      <c r="AD119" s="4"/>
    </row>
    <row r="120" ht="15.75" customHeight="1">
      <c r="A120" s="29">
        <f t="shared" si="1"/>
        <v>119</v>
      </c>
      <c r="B120" s="75">
        <v>46229.0</v>
      </c>
      <c r="C120" s="70">
        <v>0.9097222222222222</v>
      </c>
      <c r="D120" s="15" t="str">
        <f>VLOOKUP( WEEKDAY(B120) ,Lookup!$A$2:$B$8,2,FALSE)</f>
        <v>Sunday</v>
      </c>
      <c r="E120" s="71" t="s">
        <v>58</v>
      </c>
      <c r="F120" s="72" t="s">
        <v>360</v>
      </c>
      <c r="G120" s="31"/>
      <c r="H120" s="15" t="str">
        <f>VLOOKUP( WEEKDAY(I120) ,Lookup!$A$2:$B$8,2,FALSE)
</f>
        <v>Sunday</v>
      </c>
      <c r="I120" s="13">
        <v>46229.0</v>
      </c>
      <c r="J120" s="70">
        <v>0.9097222222222222</v>
      </c>
      <c r="K120" s="15" t="str">
        <f>VLOOKUP( WEEKDAY(L120) ,Lookup!$A$2:$B$8,2,FALSE)</f>
        <v>Sunday</v>
      </c>
      <c r="L120" s="75">
        <v>46229.0</v>
      </c>
      <c r="M120" s="70">
        <v>0.5</v>
      </c>
      <c r="N120" s="31"/>
      <c r="O120" s="31"/>
      <c r="P120" s="31"/>
      <c r="Q120" s="31"/>
      <c r="R120" s="4"/>
      <c r="S120" s="4"/>
      <c r="T120" s="4"/>
      <c r="U120" s="4"/>
      <c r="V120" s="4"/>
      <c r="W120" s="4"/>
      <c r="X120" s="4"/>
      <c r="Y120" s="4"/>
      <c r="Z120" s="4"/>
      <c r="AA120" s="4"/>
      <c r="AB120" s="4"/>
      <c r="AC120" s="4"/>
      <c r="AD120" s="4"/>
    </row>
    <row r="121" ht="15.75" customHeight="1">
      <c r="A121" s="29">
        <f t="shared" si="1"/>
        <v>120</v>
      </c>
      <c r="B121" s="75">
        <v>46229.0</v>
      </c>
      <c r="C121" s="70">
        <v>0.5729166666666666</v>
      </c>
      <c r="D121" s="15" t="str">
        <f>VLOOKUP( WEEKDAY(B121) ,Lookup!$A$2:$B$8,2,FALSE)</f>
        <v>Sunday</v>
      </c>
      <c r="E121" s="71" t="s">
        <v>116</v>
      </c>
      <c r="F121" s="72" t="s">
        <v>342</v>
      </c>
      <c r="G121" s="31"/>
      <c r="H121" s="15" t="str">
        <f>VLOOKUP( WEEKDAY(I121) ,Lookup!$A$2:$B$8,2,FALSE)
</f>
        <v>Sunday</v>
      </c>
      <c r="I121" s="13">
        <v>46229.0</v>
      </c>
      <c r="J121" s="77">
        <v>0.5729166666666666</v>
      </c>
      <c r="K121" s="15" t="str">
        <f>VLOOKUP( WEEKDAY(L121) ,Lookup!$A$2:$B$8,2,FALSE)</f>
        <v>Sunday</v>
      </c>
      <c r="L121" s="75">
        <v>46229.0</v>
      </c>
      <c r="M121" s="77">
        <v>0.625</v>
      </c>
      <c r="N121" s="31"/>
      <c r="O121" s="31"/>
      <c r="P121" s="31"/>
      <c r="Q121" s="31"/>
      <c r="R121" s="4"/>
      <c r="S121" s="4"/>
      <c r="T121" s="4"/>
      <c r="U121" s="4"/>
      <c r="V121" s="4"/>
      <c r="W121" s="4"/>
      <c r="X121" s="4"/>
      <c r="Y121" s="4"/>
      <c r="Z121" s="4"/>
      <c r="AA121" s="4"/>
      <c r="AB121" s="4"/>
      <c r="AC121" s="4"/>
      <c r="AD121" s="4"/>
    </row>
    <row r="122" ht="15.75" customHeight="1">
      <c r="A122" s="29">
        <f t="shared" si="1"/>
        <v>121</v>
      </c>
      <c r="B122" s="75">
        <v>46229.0</v>
      </c>
      <c r="C122" s="70">
        <v>0.75</v>
      </c>
      <c r="D122" s="15" t="str">
        <f>VLOOKUP( WEEKDAY(B122) ,Lookup!$A$2:$B$8,2,FALSE)</f>
        <v>Sunday</v>
      </c>
      <c r="E122" s="71" t="s">
        <v>74</v>
      </c>
      <c r="F122" s="72" t="s">
        <v>356</v>
      </c>
      <c r="G122" s="31"/>
      <c r="H122" s="15" t="str">
        <f>VLOOKUP( WEEKDAY(I122) ,Lookup!$A$2:$B$8,2,FALSE)
</f>
        <v>Sunday</v>
      </c>
      <c r="I122" s="13">
        <v>46229.0</v>
      </c>
      <c r="J122" s="70">
        <v>0.75</v>
      </c>
      <c r="K122" s="15" t="str">
        <f>VLOOKUP( WEEKDAY(L122) ,Lookup!$A$2:$B$8,2,FALSE)</f>
        <v>Sunday</v>
      </c>
      <c r="L122" s="75">
        <v>46229.0</v>
      </c>
      <c r="M122" s="70">
        <v>0.8958333333333334</v>
      </c>
      <c r="N122" s="31"/>
      <c r="O122" s="31"/>
      <c r="P122" s="31"/>
      <c r="Q122" s="31"/>
      <c r="R122" s="4"/>
      <c r="S122" s="4"/>
      <c r="T122" s="4"/>
      <c r="U122" s="4"/>
      <c r="V122" s="4"/>
      <c r="W122" s="4"/>
      <c r="X122" s="4"/>
      <c r="Y122" s="4"/>
      <c r="Z122" s="4"/>
      <c r="AA122" s="4"/>
      <c r="AB122" s="4"/>
      <c r="AC122" s="4"/>
      <c r="AD122" s="4"/>
    </row>
    <row r="123" ht="15.75" customHeight="1">
      <c r="A123" s="29">
        <f t="shared" si="1"/>
        <v>122</v>
      </c>
      <c r="B123" s="75">
        <v>46229.0</v>
      </c>
      <c r="C123" s="70">
        <v>0.9166666666666666</v>
      </c>
      <c r="D123" s="15" t="str">
        <f>VLOOKUP( WEEKDAY(B123) ,Lookup!$A$2:$B$8,2,FALSE)</f>
        <v>Sunday</v>
      </c>
      <c r="E123" s="71" t="s">
        <v>116</v>
      </c>
      <c r="F123" s="72" t="s">
        <v>170</v>
      </c>
      <c r="G123" s="31"/>
      <c r="H123" s="15" t="str">
        <f>VLOOKUP( WEEKDAY(I123) ,Lookup!$A$2:$B$8,2,FALSE)
</f>
        <v>Sunday</v>
      </c>
      <c r="I123" s="13">
        <v>46229.0</v>
      </c>
      <c r="J123" s="70">
        <v>0.9166666666666666</v>
      </c>
      <c r="K123" s="15" t="str">
        <f>VLOOKUP( WEEKDAY(L123) ,Lookup!$A$2:$B$8,2,FALSE)</f>
        <v>Monday</v>
      </c>
      <c r="L123" s="75">
        <v>46230.0</v>
      </c>
      <c r="M123" s="70">
        <v>0.5833333333333334</v>
      </c>
      <c r="N123" s="31"/>
      <c r="O123" s="31"/>
      <c r="P123" s="31"/>
      <c r="Q123" s="31"/>
      <c r="R123" s="4"/>
      <c r="S123" s="4"/>
      <c r="T123" s="4"/>
      <c r="U123" s="4"/>
      <c r="V123" s="4"/>
      <c r="W123" s="4"/>
      <c r="X123" s="4"/>
      <c r="Y123" s="4"/>
      <c r="Z123" s="4"/>
      <c r="AA123" s="4"/>
      <c r="AB123" s="4"/>
      <c r="AC123" s="4"/>
      <c r="AD123" s="4"/>
    </row>
    <row r="124" ht="15.75" customHeight="1">
      <c r="A124" s="29">
        <f t="shared" si="1"/>
        <v>123</v>
      </c>
      <c r="B124" s="78">
        <v>46230.0</v>
      </c>
      <c r="C124" s="70">
        <v>0.9409722222222222</v>
      </c>
      <c r="D124" s="15" t="str">
        <f>VLOOKUP( WEEKDAY(B124) ,Lookup!$A$2:$B$8,2,FALSE)</f>
        <v>Monday</v>
      </c>
      <c r="E124" s="71" t="s">
        <v>116</v>
      </c>
      <c r="F124" s="72" t="s">
        <v>361</v>
      </c>
      <c r="G124" s="31"/>
      <c r="H124" s="15" t="str">
        <f>VLOOKUP( WEEKDAY(I124) ,Lookup!$A$2:$B$8,2,FALSE)
</f>
        <v>Saturday</v>
      </c>
      <c r="I124" s="13"/>
      <c r="J124" s="31"/>
      <c r="K124" s="15" t="str">
        <f>VLOOKUP( WEEKDAY(L124) ,Lookup!$A$2:$B$8,2,FALSE)</f>
        <v>Saturday</v>
      </c>
      <c r="L124" s="31"/>
      <c r="M124" s="31"/>
      <c r="N124" s="31"/>
      <c r="O124" s="31"/>
      <c r="P124" s="31"/>
      <c r="Q124" s="31"/>
      <c r="R124" s="4"/>
      <c r="S124" s="4"/>
      <c r="T124" s="4"/>
      <c r="U124" s="4"/>
      <c r="V124" s="4"/>
      <c r="W124" s="4"/>
      <c r="X124" s="4"/>
      <c r="Y124" s="4"/>
      <c r="Z124" s="4"/>
      <c r="AA124" s="4"/>
      <c r="AB124" s="4"/>
      <c r="AC124" s="4"/>
      <c r="AD124" s="4"/>
    </row>
    <row r="125" ht="15.75" customHeight="1">
      <c r="A125" s="29">
        <f t="shared" si="1"/>
        <v>124</v>
      </c>
      <c r="B125" s="78">
        <v>46230.0</v>
      </c>
      <c r="C125" s="70">
        <v>0.5729166666666666</v>
      </c>
      <c r="D125" s="15" t="str">
        <f>VLOOKUP( WEEKDAY(B125) ,Lookup!$A$2:$B$8,2,FALSE)</f>
        <v>Monday</v>
      </c>
      <c r="E125" s="71" t="s">
        <v>362</v>
      </c>
      <c r="F125" s="72" t="s">
        <v>363</v>
      </c>
      <c r="G125" s="31"/>
      <c r="H125" s="15" t="str">
        <f>VLOOKUP( WEEKDAY(I125) ,Lookup!$A$2:$B$8,2,FALSE)
</f>
        <v>Monday</v>
      </c>
      <c r="I125" s="13">
        <v>46230.0</v>
      </c>
      <c r="J125" s="70">
        <v>0.5729166666666666</v>
      </c>
      <c r="K125" s="15" t="str">
        <f>VLOOKUP( WEEKDAY(L125) ,Lookup!$A$2:$B$8,2,FALSE)</f>
        <v>Monday</v>
      </c>
      <c r="L125" s="78">
        <v>46230.0</v>
      </c>
      <c r="M125" s="70">
        <v>0.5743055555555555</v>
      </c>
      <c r="N125" s="71" t="s">
        <v>364</v>
      </c>
      <c r="O125" s="31"/>
      <c r="P125" s="31"/>
      <c r="Q125" s="31"/>
      <c r="R125" s="4"/>
      <c r="S125" s="4"/>
      <c r="T125" s="4"/>
      <c r="U125" s="4"/>
      <c r="V125" s="4"/>
      <c r="W125" s="4"/>
      <c r="X125" s="4"/>
      <c r="Y125" s="4"/>
      <c r="Z125" s="4"/>
      <c r="AA125" s="4"/>
      <c r="AB125" s="4"/>
      <c r="AC125" s="4"/>
      <c r="AD125" s="4"/>
    </row>
    <row r="126" ht="15.75" customHeight="1">
      <c r="A126" s="29">
        <f t="shared" si="1"/>
        <v>125</v>
      </c>
      <c r="B126" s="78">
        <v>46230.0</v>
      </c>
      <c r="C126" s="70">
        <v>0.5763888888888888</v>
      </c>
      <c r="D126" s="15" t="str">
        <f>VLOOKUP( WEEKDAY(B126) ,Lookup!$A$2:$B$8,2,FALSE)</f>
        <v>Monday</v>
      </c>
      <c r="E126" s="71" t="s">
        <v>230</v>
      </c>
      <c r="F126" s="72" t="s">
        <v>365</v>
      </c>
      <c r="G126" s="31"/>
      <c r="H126" s="15" t="str">
        <f>VLOOKUP( WEEKDAY(I126) ,Lookup!$A$2:$B$8,2,FALSE)
</f>
        <v>Monday</v>
      </c>
      <c r="I126" s="13">
        <v>46230.0</v>
      </c>
      <c r="J126" s="70">
        <v>0.5763888888888888</v>
      </c>
      <c r="K126" s="15" t="str">
        <f>VLOOKUP( WEEKDAY(L126) ,Lookup!$A$2:$B$8,2,FALSE)</f>
        <v>Monday</v>
      </c>
      <c r="L126" s="78">
        <v>46230.0</v>
      </c>
      <c r="M126" s="70">
        <v>0.5777777777777777</v>
      </c>
      <c r="N126" s="71" t="s">
        <v>366</v>
      </c>
      <c r="O126" s="31"/>
      <c r="P126" s="31"/>
      <c r="Q126" s="31"/>
      <c r="R126" s="4"/>
      <c r="S126" s="4"/>
      <c r="T126" s="4"/>
      <c r="U126" s="4"/>
      <c r="V126" s="4"/>
      <c r="W126" s="4"/>
      <c r="X126" s="4"/>
      <c r="Y126" s="4"/>
      <c r="Z126" s="4"/>
      <c r="AA126" s="4"/>
      <c r="AB126" s="4"/>
      <c r="AC126" s="4"/>
      <c r="AD126" s="4"/>
    </row>
    <row r="127" ht="15.75" customHeight="1">
      <c r="A127" s="29">
        <f t="shared" si="1"/>
        <v>126</v>
      </c>
      <c r="B127" s="78">
        <v>46230.0</v>
      </c>
      <c r="C127" s="70">
        <v>0.5847222222222223</v>
      </c>
      <c r="D127" s="15" t="str">
        <f>VLOOKUP( WEEKDAY(B127) ,Lookup!$A$2:$B$8,2,FALSE)</f>
        <v>Monday</v>
      </c>
      <c r="E127" s="71" t="s">
        <v>367</v>
      </c>
      <c r="F127" s="72" t="s">
        <v>368</v>
      </c>
      <c r="G127" s="31"/>
      <c r="H127" s="15" t="str">
        <f>VLOOKUP( WEEKDAY(I127) ,Lookup!$A$2:$B$8,2,FALSE)
</f>
        <v>Monday</v>
      </c>
      <c r="I127" s="13">
        <v>46230.0</v>
      </c>
      <c r="J127" s="70">
        <v>0.5847222222222223</v>
      </c>
      <c r="K127" s="15" t="str">
        <f>VLOOKUP( WEEKDAY(L127) ,Lookup!$A$2:$B$8,2,FALSE)</f>
        <v>Monday</v>
      </c>
      <c r="L127" s="78">
        <v>46230.0</v>
      </c>
      <c r="M127" s="70">
        <v>0.5902777777777778</v>
      </c>
      <c r="N127" s="71" t="s">
        <v>369</v>
      </c>
      <c r="O127" s="31"/>
      <c r="P127" s="31"/>
      <c r="Q127" s="31"/>
      <c r="R127" s="4"/>
      <c r="S127" s="4"/>
      <c r="T127" s="4"/>
      <c r="U127" s="4"/>
      <c r="V127" s="4"/>
      <c r="W127" s="4"/>
      <c r="X127" s="4"/>
      <c r="Y127" s="4"/>
      <c r="Z127" s="4"/>
      <c r="AA127" s="4"/>
      <c r="AB127" s="4"/>
      <c r="AC127" s="4"/>
      <c r="AD127" s="4"/>
    </row>
    <row r="128" ht="15.75" customHeight="1">
      <c r="A128" s="29">
        <f t="shared" si="1"/>
        <v>127</v>
      </c>
      <c r="B128" s="78">
        <v>46230.0</v>
      </c>
      <c r="C128" s="70">
        <v>0.5902777777777778</v>
      </c>
      <c r="D128" s="15" t="str">
        <f>VLOOKUP( WEEKDAY(B128) ,Lookup!$A$2:$B$8,2,FALSE)</f>
        <v>Monday</v>
      </c>
      <c r="E128" s="71" t="s">
        <v>36</v>
      </c>
      <c r="F128" s="72" t="s">
        <v>370</v>
      </c>
      <c r="G128" s="31"/>
      <c r="H128" s="15" t="str">
        <f>VLOOKUP( WEEKDAY(I128) ,Lookup!$A$2:$B$8,2,FALSE)
</f>
        <v>Monday</v>
      </c>
      <c r="I128" s="13">
        <v>46230.0</v>
      </c>
      <c r="J128" s="70">
        <v>0.5902777777777778</v>
      </c>
      <c r="K128" s="15" t="str">
        <f>VLOOKUP( WEEKDAY(L128) ,Lookup!$A$2:$B$8,2,FALSE)</f>
        <v>Monday</v>
      </c>
      <c r="L128" s="78">
        <v>46230.0</v>
      </c>
      <c r="M128" s="70">
        <v>0.6041666666666666</v>
      </c>
      <c r="N128" s="31"/>
      <c r="O128" s="31"/>
      <c r="P128" s="31"/>
      <c r="Q128" s="31"/>
      <c r="R128" s="4"/>
      <c r="S128" s="4"/>
      <c r="T128" s="4"/>
      <c r="U128" s="4"/>
      <c r="V128" s="4"/>
      <c r="W128" s="4"/>
      <c r="X128" s="4"/>
      <c r="Y128" s="4"/>
      <c r="Z128" s="4"/>
      <c r="AA128" s="4"/>
      <c r="AB128" s="4"/>
      <c r="AC128" s="4"/>
      <c r="AD128" s="4"/>
    </row>
    <row r="129" ht="15.75" customHeight="1">
      <c r="A129" s="29">
        <f t="shared" si="1"/>
        <v>128</v>
      </c>
      <c r="B129" s="78">
        <v>46230.0</v>
      </c>
      <c r="C129" s="31"/>
      <c r="D129" s="15" t="str">
        <f>VLOOKUP( WEEKDAY(B129) ,Lookup!$A$2:$B$8,2,FALSE)</f>
        <v>Monday</v>
      </c>
      <c r="E129" s="71" t="s">
        <v>36</v>
      </c>
      <c r="F129" s="72" t="s">
        <v>371</v>
      </c>
      <c r="G129" s="31"/>
      <c r="H129" s="15" t="str">
        <f>VLOOKUP( WEEKDAY(I129) ,Lookup!$A$2:$B$8,2,FALSE)
</f>
        <v>Saturday</v>
      </c>
      <c r="I129" s="13"/>
      <c r="J129" s="31"/>
      <c r="K129" s="15" t="str">
        <f>VLOOKUP( WEEKDAY(L129) ,Lookup!$A$2:$B$8,2,FALSE)</f>
        <v>Monday</v>
      </c>
      <c r="L129" s="78">
        <v>46230.0</v>
      </c>
      <c r="M129" s="31"/>
      <c r="N129" s="31"/>
      <c r="O129" s="31"/>
      <c r="P129" s="31"/>
      <c r="Q129" s="31"/>
      <c r="R129" s="4"/>
      <c r="S129" s="4"/>
      <c r="T129" s="4"/>
      <c r="U129" s="4"/>
      <c r="V129" s="4"/>
      <c r="W129" s="4"/>
      <c r="X129" s="4"/>
      <c r="Y129" s="4"/>
      <c r="Z129" s="4"/>
      <c r="AA129" s="4"/>
      <c r="AB129" s="4"/>
      <c r="AC129" s="4"/>
      <c r="AD129" s="4"/>
    </row>
    <row r="130" ht="15.75" customHeight="1">
      <c r="A130" s="29">
        <f t="shared" si="1"/>
        <v>129</v>
      </c>
      <c r="B130" s="78">
        <v>46230.0</v>
      </c>
      <c r="C130" s="70">
        <v>0.6527777777777778</v>
      </c>
      <c r="D130" s="15" t="str">
        <f>VLOOKUP( WEEKDAY(B130) ,Lookup!$A$2:$B$8,2,FALSE)</f>
        <v>Monday</v>
      </c>
      <c r="E130" s="71" t="s">
        <v>372</v>
      </c>
      <c r="F130" s="72" t="s">
        <v>373</v>
      </c>
      <c r="G130" s="31"/>
      <c r="H130" s="15" t="str">
        <f>VLOOKUP( WEEKDAY(I130) ,Lookup!$A$2:$B$8,2,FALSE)
</f>
        <v>Monday</v>
      </c>
      <c r="I130" s="13">
        <v>46230.0</v>
      </c>
      <c r="J130" s="70">
        <v>0.6527777777777778</v>
      </c>
      <c r="K130" s="15" t="str">
        <f>VLOOKUP( WEEKDAY(L130) ,Lookup!$A$2:$B$8,2,FALSE)</f>
        <v>Monday</v>
      </c>
      <c r="L130" s="78">
        <v>46230.0</v>
      </c>
      <c r="M130" s="70">
        <v>0.6666666666666666</v>
      </c>
      <c r="N130" s="31"/>
      <c r="O130" s="31"/>
      <c r="P130" s="31"/>
      <c r="Q130" s="31"/>
      <c r="R130" s="4"/>
      <c r="S130" s="4"/>
      <c r="T130" s="4"/>
      <c r="U130" s="4"/>
      <c r="V130" s="4"/>
      <c r="W130" s="4"/>
      <c r="X130" s="4"/>
      <c r="Y130" s="4"/>
      <c r="Z130" s="4"/>
      <c r="AA130" s="4"/>
      <c r="AB130" s="4"/>
      <c r="AC130" s="4"/>
      <c r="AD130" s="4"/>
    </row>
    <row r="131" ht="15.75" customHeight="1">
      <c r="A131" s="29">
        <f t="shared" si="1"/>
        <v>130</v>
      </c>
      <c r="B131" s="78">
        <v>46231.0</v>
      </c>
      <c r="C131" s="79">
        <v>0.4305555555555556</v>
      </c>
      <c r="D131" s="15" t="str">
        <f>VLOOKUP( WEEKDAY(B131) ,Lookup!$A$2:$B$8,2,FALSE)</f>
        <v>Tuesday</v>
      </c>
      <c r="E131" s="71" t="s">
        <v>374</v>
      </c>
      <c r="F131" s="72" t="s">
        <v>375</v>
      </c>
      <c r="G131" s="31"/>
      <c r="H131" s="15" t="str">
        <f>VLOOKUP( WEEKDAY(I131) ,Lookup!$A$2:$B$8,2,FALSE)
</f>
        <v>Tuesday</v>
      </c>
      <c r="I131" s="13">
        <v>46231.0</v>
      </c>
      <c r="J131" s="79">
        <v>0.4305555555555556</v>
      </c>
      <c r="K131" s="15" t="str">
        <f>VLOOKUP( WEEKDAY(L131) ,Lookup!$A$2:$B$8,2,FALSE)</f>
        <v>Tuesday</v>
      </c>
      <c r="L131" s="78">
        <v>46231.0</v>
      </c>
      <c r="M131" s="70">
        <v>0.4791666666666667</v>
      </c>
      <c r="N131" s="31"/>
      <c r="O131" s="31"/>
      <c r="P131" s="31"/>
      <c r="Q131" s="31"/>
      <c r="R131" s="4"/>
      <c r="S131" s="4"/>
      <c r="T131" s="4"/>
      <c r="U131" s="4"/>
      <c r="V131" s="4"/>
      <c r="W131" s="4"/>
      <c r="X131" s="4"/>
      <c r="Y131" s="4"/>
      <c r="Z131" s="4"/>
      <c r="AA131" s="4"/>
      <c r="AB131" s="4"/>
      <c r="AC131" s="4"/>
      <c r="AD131" s="4"/>
    </row>
    <row r="132" ht="15.75" customHeight="1">
      <c r="A132" s="29">
        <f t="shared" si="1"/>
        <v>131</v>
      </c>
      <c r="B132" s="78">
        <v>46231.0</v>
      </c>
      <c r="C132" s="79">
        <v>0.4305555555555556</v>
      </c>
      <c r="D132" s="15" t="str">
        <f>VLOOKUP( WEEKDAY(B132) ,Lookup!$A$2:$B$8,2,FALSE)</f>
        <v>Tuesday</v>
      </c>
      <c r="E132" s="71" t="s">
        <v>76</v>
      </c>
      <c r="F132" s="72" t="s">
        <v>376</v>
      </c>
      <c r="G132" s="31"/>
      <c r="H132" s="15" t="str">
        <f>VLOOKUP( WEEKDAY(I132) ,Lookup!$A$2:$B$8,2,FALSE)
</f>
        <v>Tuesday</v>
      </c>
      <c r="I132" s="13">
        <v>46231.0</v>
      </c>
      <c r="J132" s="79">
        <v>0.4305555555555556</v>
      </c>
      <c r="K132" s="15" t="str">
        <f>VLOOKUP( WEEKDAY(L132) ,Lookup!$A$2:$B$8,2,FALSE)</f>
        <v>Tuesday</v>
      </c>
      <c r="L132" s="78">
        <v>46231.0</v>
      </c>
      <c r="M132" s="70">
        <v>0.4791666666666667</v>
      </c>
      <c r="N132" s="31"/>
      <c r="O132" s="31"/>
      <c r="P132" s="31"/>
      <c r="Q132" s="31"/>
      <c r="R132" s="4"/>
      <c r="S132" s="4"/>
      <c r="T132" s="4"/>
      <c r="U132" s="4"/>
      <c r="V132" s="4"/>
      <c r="W132" s="4"/>
      <c r="X132" s="4"/>
      <c r="Y132" s="4"/>
      <c r="Z132" s="4"/>
      <c r="AA132" s="4"/>
      <c r="AB132" s="4"/>
      <c r="AC132" s="4"/>
      <c r="AD132" s="4"/>
    </row>
    <row r="133" ht="15.75" customHeight="1">
      <c r="A133" s="29">
        <f t="shared" si="1"/>
        <v>132</v>
      </c>
      <c r="B133" s="78">
        <v>46231.0</v>
      </c>
      <c r="C133" s="70">
        <v>0.4791666666666667</v>
      </c>
      <c r="D133" s="15" t="str">
        <f>VLOOKUP( WEEKDAY(B133) ,Lookup!$A$2:$B$8,2,FALSE)</f>
        <v>Tuesday</v>
      </c>
      <c r="E133" s="71" t="s">
        <v>191</v>
      </c>
      <c r="F133" s="72" t="s">
        <v>377</v>
      </c>
      <c r="G133" s="31"/>
      <c r="H133" s="15" t="str">
        <f>VLOOKUP( WEEKDAY(I133) ,Lookup!$A$2:$B$8,2,FALSE)
</f>
        <v>Tuesday</v>
      </c>
      <c r="I133" s="13">
        <v>46231.0</v>
      </c>
      <c r="J133" s="70">
        <v>0.4791666666666667</v>
      </c>
      <c r="K133" s="15" t="str">
        <f>VLOOKUP( WEEKDAY(L133) ,Lookup!$A$2:$B$8,2,FALSE)</f>
        <v>Tuesday</v>
      </c>
      <c r="L133" s="78">
        <v>46231.0</v>
      </c>
      <c r="M133" s="70">
        <v>0.5277777777777778</v>
      </c>
      <c r="N133" s="31"/>
      <c r="O133" s="31"/>
      <c r="P133" s="31"/>
      <c r="Q133" s="31"/>
      <c r="R133" s="4"/>
      <c r="S133" s="4"/>
      <c r="T133" s="4"/>
      <c r="U133" s="4"/>
      <c r="V133" s="4"/>
      <c r="W133" s="4"/>
      <c r="X133" s="4"/>
      <c r="Y133" s="4"/>
      <c r="Z133" s="4"/>
      <c r="AA133" s="4"/>
      <c r="AB133" s="4"/>
      <c r="AC133" s="4"/>
      <c r="AD133" s="4"/>
    </row>
    <row r="134" ht="15.75" customHeight="1">
      <c r="A134" s="29">
        <f t="shared" si="1"/>
        <v>133</v>
      </c>
      <c r="B134" s="78">
        <v>46231.0</v>
      </c>
      <c r="C134" s="70">
        <v>0.5347222222222222</v>
      </c>
      <c r="D134" s="15" t="str">
        <f>VLOOKUP( WEEKDAY(B134) ,Lookup!$A$2:$B$8,2,FALSE)</f>
        <v>Tuesday</v>
      </c>
      <c r="E134" s="71" t="s">
        <v>76</v>
      </c>
      <c r="F134" s="72" t="s">
        <v>376</v>
      </c>
      <c r="G134" s="31"/>
      <c r="H134" s="15" t="str">
        <f>VLOOKUP( WEEKDAY(I134) ,Lookup!$A$2:$B$8,2,FALSE)
</f>
        <v>Tuesday</v>
      </c>
      <c r="I134" s="13">
        <v>46231.0</v>
      </c>
      <c r="J134" s="70">
        <v>0.5347222222222222</v>
      </c>
      <c r="K134" s="15" t="str">
        <f>VLOOKUP( WEEKDAY(L134) ,Lookup!$A$2:$B$8,2,FALSE)</f>
        <v>Saturday</v>
      </c>
      <c r="L134" s="31"/>
      <c r="M134" s="31"/>
      <c r="N134" s="31"/>
      <c r="O134" s="31"/>
      <c r="P134" s="31"/>
      <c r="Q134" s="31"/>
      <c r="R134" s="4"/>
      <c r="S134" s="4"/>
      <c r="T134" s="4"/>
      <c r="U134" s="4"/>
      <c r="V134" s="4"/>
      <c r="W134" s="4"/>
      <c r="X134" s="4"/>
      <c r="Y134" s="4"/>
      <c r="Z134" s="4"/>
      <c r="AA134" s="4"/>
      <c r="AB134" s="4"/>
      <c r="AC134" s="4"/>
      <c r="AD134" s="4"/>
    </row>
    <row r="135" ht="15.75" customHeight="1">
      <c r="A135" s="29">
        <f t="shared" si="1"/>
        <v>134</v>
      </c>
      <c r="B135" s="78">
        <v>46231.0</v>
      </c>
      <c r="C135" s="31"/>
      <c r="D135" s="15" t="str">
        <f>VLOOKUP( WEEKDAY(B135) ,Lookup!$A$2:$B$8,2,FALSE)</f>
        <v>Tuesday</v>
      </c>
      <c r="E135" s="31"/>
      <c r="F135" s="72" t="s">
        <v>229</v>
      </c>
      <c r="G135" s="31"/>
      <c r="H135" s="15" t="str">
        <f>VLOOKUP( WEEKDAY(I135) ,Lookup!$A$2:$B$8,2,FALSE)
</f>
        <v>Tuesday</v>
      </c>
      <c r="I135" s="13">
        <v>46231.0</v>
      </c>
      <c r="J135" s="70">
        <v>0.5520833333333334</v>
      </c>
      <c r="K135" s="15" t="str">
        <f>VLOOKUP( WEEKDAY(L135) ,Lookup!$A$2:$B$8,2,FALSE)</f>
        <v>Tuesday</v>
      </c>
      <c r="L135" s="78">
        <v>46231.0</v>
      </c>
      <c r="M135" s="70">
        <v>0.5555555555555556</v>
      </c>
      <c r="N135" s="31"/>
      <c r="O135" s="31"/>
      <c r="P135" s="31"/>
      <c r="Q135" s="31"/>
      <c r="R135" s="4"/>
      <c r="S135" s="4"/>
      <c r="T135" s="4"/>
      <c r="U135" s="4"/>
      <c r="V135" s="4"/>
      <c r="W135" s="4"/>
      <c r="X135" s="4"/>
      <c r="Y135" s="4"/>
      <c r="Z135" s="4"/>
      <c r="AA135" s="4"/>
      <c r="AB135" s="4"/>
      <c r="AC135" s="4"/>
      <c r="AD135" s="4"/>
    </row>
    <row r="136" ht="15.75" customHeight="1">
      <c r="A136" s="29">
        <f t="shared" si="1"/>
        <v>135</v>
      </c>
      <c r="B136" s="78">
        <v>46231.0</v>
      </c>
      <c r="C136" s="70">
        <v>0.7083333333333334</v>
      </c>
      <c r="D136" s="15" t="str">
        <f>VLOOKUP( WEEKDAY(B136) ,Lookup!$A$2:$B$8,2,FALSE)</f>
        <v>Tuesday</v>
      </c>
      <c r="E136" s="71"/>
      <c r="F136" s="72" t="s">
        <v>378</v>
      </c>
      <c r="G136" s="31"/>
      <c r="H136" s="15" t="str">
        <f>VLOOKUP( WEEKDAY(I136) ,Lookup!$A$2:$B$8,2,FALSE)
</f>
        <v>Tuesday</v>
      </c>
      <c r="I136" s="13">
        <v>46231.0</v>
      </c>
      <c r="J136" s="70">
        <v>0.7083333333333334</v>
      </c>
      <c r="K136" s="15" t="str">
        <f>VLOOKUP( WEEKDAY(L136) ,Lookup!$A$2:$B$8,2,FALSE)</f>
        <v>Tuesday</v>
      </c>
      <c r="L136" s="78">
        <v>46231.0</v>
      </c>
      <c r="M136" s="70">
        <v>0.7395833333333334</v>
      </c>
      <c r="N136" s="31"/>
      <c r="O136" s="31"/>
      <c r="P136" s="31"/>
      <c r="Q136" s="31"/>
      <c r="R136" s="4"/>
      <c r="S136" s="4"/>
      <c r="T136" s="4"/>
      <c r="U136" s="4"/>
      <c r="V136" s="4"/>
      <c r="W136" s="4"/>
      <c r="X136" s="4"/>
      <c r="Y136" s="4"/>
      <c r="Z136" s="4"/>
      <c r="AA136" s="4"/>
      <c r="AB136" s="4"/>
      <c r="AC136" s="4"/>
      <c r="AD136" s="4"/>
    </row>
    <row r="137" ht="15.75" customHeight="1">
      <c r="A137" s="29">
        <f t="shared" si="1"/>
        <v>136</v>
      </c>
      <c r="B137" s="78">
        <v>46231.0</v>
      </c>
      <c r="C137" s="70">
        <v>0.7395833333333334</v>
      </c>
      <c r="D137" s="15" t="str">
        <f>VLOOKUP( WEEKDAY(B137) ,Lookup!$A$2:$B$8,2,FALSE)</f>
        <v>Tuesday</v>
      </c>
      <c r="E137" s="71" t="s">
        <v>379</v>
      </c>
      <c r="F137" s="72" t="s">
        <v>380</v>
      </c>
      <c r="G137" s="31"/>
      <c r="H137" s="15" t="str">
        <f>VLOOKUP( WEEKDAY(I137) ,Lookup!$A$2:$B$8,2,FALSE)
</f>
        <v>Tuesday</v>
      </c>
      <c r="I137" s="13">
        <v>46231.0</v>
      </c>
      <c r="J137" s="70">
        <v>0.7395833333333334</v>
      </c>
      <c r="K137" s="15" t="str">
        <f>VLOOKUP( WEEKDAY(L137) ,Lookup!$A$2:$B$8,2,FALSE)</f>
        <v>Tuesday</v>
      </c>
      <c r="L137" s="78">
        <v>46231.0</v>
      </c>
      <c r="M137" s="70">
        <v>0.7465277777777778</v>
      </c>
      <c r="N137" s="31"/>
      <c r="O137" s="31"/>
      <c r="P137" s="31"/>
      <c r="Q137" s="31"/>
      <c r="R137" s="4"/>
      <c r="S137" s="4"/>
      <c r="T137" s="4"/>
      <c r="U137" s="4"/>
      <c r="V137" s="4"/>
      <c r="W137" s="4"/>
      <c r="X137" s="4"/>
      <c r="Y137" s="4"/>
      <c r="Z137" s="4"/>
      <c r="AA137" s="4"/>
      <c r="AB137" s="4"/>
      <c r="AC137" s="4"/>
      <c r="AD137" s="4"/>
    </row>
    <row r="138" ht="15.75" customHeight="1">
      <c r="A138" s="29">
        <f t="shared" si="1"/>
        <v>137</v>
      </c>
      <c r="B138" s="78">
        <v>46231.0</v>
      </c>
      <c r="C138" s="70">
        <v>0.75</v>
      </c>
      <c r="D138" s="15" t="str">
        <f>VLOOKUP( WEEKDAY(B138) ,Lookup!$A$2:$B$8,2,FALSE)</f>
        <v>Tuesday</v>
      </c>
      <c r="E138" s="71" t="s">
        <v>381</v>
      </c>
      <c r="F138" s="32" t="s">
        <v>382</v>
      </c>
      <c r="G138" s="31"/>
      <c r="H138" s="15" t="str">
        <f>VLOOKUP( WEEKDAY(I138) ,Lookup!$A$2:$B$8,2,FALSE)
</f>
        <v>Tuesday</v>
      </c>
      <c r="I138" s="13">
        <v>46231.0</v>
      </c>
      <c r="J138" s="74">
        <v>0.75</v>
      </c>
      <c r="K138" s="15" t="str">
        <f>VLOOKUP( WEEKDAY(L138) ,Lookup!$A$2:$B$8,2,FALSE)</f>
        <v>Tuesday</v>
      </c>
      <c r="L138" s="78">
        <v>46231.0</v>
      </c>
      <c r="M138" s="80">
        <v>0.7604166666666666</v>
      </c>
      <c r="N138" s="81" t="s">
        <v>383</v>
      </c>
      <c r="O138" s="31"/>
      <c r="P138" s="31"/>
      <c r="Q138" s="31"/>
      <c r="R138" s="4"/>
      <c r="S138" s="4"/>
      <c r="T138" s="4"/>
      <c r="U138" s="4"/>
      <c r="V138" s="4"/>
      <c r="W138" s="4"/>
      <c r="X138" s="4"/>
      <c r="Y138" s="4"/>
      <c r="Z138" s="4"/>
      <c r="AA138" s="4"/>
      <c r="AB138" s="4"/>
      <c r="AC138" s="4"/>
      <c r="AD138" s="4"/>
    </row>
    <row r="139" ht="15.75" customHeight="1">
      <c r="A139" s="29">
        <f t="shared" si="1"/>
        <v>138</v>
      </c>
      <c r="B139" s="78">
        <v>46231.0</v>
      </c>
      <c r="C139" s="70">
        <v>0.7638888888888888</v>
      </c>
      <c r="D139" s="15" t="str">
        <f>VLOOKUP( WEEKDAY(B139) ,Lookup!$A$2:$B$8,2,FALSE)</f>
        <v>Tuesday</v>
      </c>
      <c r="E139" s="71" t="s">
        <v>116</v>
      </c>
      <c r="F139" s="72" t="s">
        <v>384</v>
      </c>
      <c r="G139" s="31"/>
      <c r="H139" s="15" t="str">
        <f>VLOOKUP( WEEKDAY(I139) ,Lookup!$A$2:$B$8,2,FALSE)
</f>
        <v>Tuesday</v>
      </c>
      <c r="I139" s="13">
        <v>46231.0</v>
      </c>
      <c r="J139" s="70">
        <v>0.7638888888888888</v>
      </c>
      <c r="K139" s="15" t="str">
        <f>VLOOKUP( WEEKDAY(L139) ,Lookup!$A$2:$B$8,2,FALSE)</f>
        <v>Tuesday</v>
      </c>
      <c r="L139" s="78">
        <v>46231.0</v>
      </c>
      <c r="M139" s="80">
        <v>0.2708333333333333</v>
      </c>
      <c r="N139" s="71" t="s">
        <v>385</v>
      </c>
      <c r="O139" s="31"/>
      <c r="P139" s="31"/>
      <c r="Q139" s="31"/>
      <c r="R139" s="4"/>
      <c r="S139" s="4"/>
      <c r="T139" s="4"/>
      <c r="U139" s="4"/>
      <c r="V139" s="4"/>
      <c r="W139" s="4"/>
      <c r="X139" s="4"/>
      <c r="Y139" s="4"/>
      <c r="Z139" s="4"/>
      <c r="AA139" s="4"/>
      <c r="AB139" s="4"/>
      <c r="AC139" s="4"/>
      <c r="AD139" s="4"/>
    </row>
    <row r="140" ht="15.75" customHeight="1">
      <c r="A140" s="29">
        <f t="shared" si="1"/>
        <v>139</v>
      </c>
      <c r="B140" s="78">
        <v>46231.0</v>
      </c>
      <c r="C140" s="80">
        <v>0.7083333333333334</v>
      </c>
      <c r="D140" s="15" t="str">
        <f>VLOOKUP( WEEKDAY(B140) ,Lookup!$A$2:$B$8,2,FALSE)</f>
        <v>Tuesday</v>
      </c>
      <c r="E140" s="71" t="s">
        <v>386</v>
      </c>
      <c r="F140" s="72" t="s">
        <v>387</v>
      </c>
      <c r="G140" s="31"/>
      <c r="H140" s="15" t="str">
        <f>VLOOKUP( WEEKDAY(I140) ,Lookup!$A$2:$B$8,2,FALSE)
</f>
        <v>Tuesday</v>
      </c>
      <c r="I140" s="13">
        <v>46231.0</v>
      </c>
      <c r="J140" s="70">
        <v>0.7083333333333334</v>
      </c>
      <c r="K140" s="15" t="str">
        <f>VLOOKUP( WEEKDAY(L140) ,Lookup!$A$2:$B$8,2,FALSE)</f>
        <v>Tuesday</v>
      </c>
      <c r="L140" s="78">
        <v>46231.0</v>
      </c>
      <c r="M140" s="70">
        <v>0.78125</v>
      </c>
      <c r="N140" s="71" t="s">
        <v>104</v>
      </c>
      <c r="O140" s="31"/>
      <c r="P140" s="31"/>
      <c r="Q140" s="31"/>
      <c r="R140" s="4"/>
      <c r="S140" s="4"/>
      <c r="T140" s="4"/>
      <c r="U140" s="4"/>
      <c r="V140" s="4"/>
      <c r="W140" s="4"/>
      <c r="X140" s="4"/>
      <c r="Y140" s="4"/>
      <c r="Z140" s="4"/>
      <c r="AA140" s="4"/>
      <c r="AB140" s="4"/>
      <c r="AC140" s="4"/>
      <c r="AD140" s="4"/>
    </row>
    <row r="141" ht="15.75" customHeight="1">
      <c r="A141" s="29">
        <f t="shared" si="1"/>
        <v>140</v>
      </c>
      <c r="B141" s="78">
        <v>46231.0</v>
      </c>
      <c r="C141" s="70">
        <v>0.7916666666666666</v>
      </c>
      <c r="D141" s="15" t="str">
        <f>VLOOKUP( WEEKDAY(B141) ,Lookup!$A$2:$B$8,2,FALSE)</f>
        <v>Tuesday</v>
      </c>
      <c r="E141" s="31"/>
      <c r="F141" s="72" t="s">
        <v>388</v>
      </c>
      <c r="G141" s="31"/>
      <c r="H141" s="15" t="str">
        <f>VLOOKUP( WEEKDAY(I141) ,Lookup!$A$2:$B$8,2,FALSE)
</f>
        <v>Tuesday</v>
      </c>
      <c r="I141" s="13">
        <v>46231.0</v>
      </c>
      <c r="J141" s="70">
        <v>0.7916666666666666</v>
      </c>
      <c r="K141" s="15" t="str">
        <f>VLOOKUP( WEEKDAY(L141) ,Lookup!$A$2:$B$8,2,FALSE)</f>
        <v>Tuesday</v>
      </c>
      <c r="L141" s="78">
        <v>46231.0</v>
      </c>
      <c r="M141" s="70">
        <v>0.8020833333333334</v>
      </c>
      <c r="N141" s="31"/>
      <c r="O141" s="31"/>
      <c r="P141" s="31"/>
      <c r="Q141" s="31"/>
      <c r="R141" s="4"/>
      <c r="S141" s="4"/>
      <c r="T141" s="4"/>
      <c r="U141" s="4"/>
      <c r="V141" s="4"/>
      <c r="W141" s="4"/>
      <c r="X141" s="4"/>
      <c r="Y141" s="4"/>
      <c r="Z141" s="4"/>
      <c r="AA141" s="4"/>
      <c r="AB141" s="4"/>
      <c r="AC141" s="4"/>
      <c r="AD141" s="4"/>
    </row>
    <row r="142" ht="15.75" customHeight="1">
      <c r="A142" s="29">
        <f t="shared" si="1"/>
        <v>141</v>
      </c>
      <c r="B142" s="78">
        <v>46231.0</v>
      </c>
      <c r="C142" s="70">
        <v>0.8020833333333334</v>
      </c>
      <c r="D142" s="15" t="str">
        <f>VLOOKUP( WEEKDAY(B142) ,Lookup!$A$2:$B$8,2,FALSE)</f>
        <v>Tuesday</v>
      </c>
      <c r="E142" s="71" t="s">
        <v>311</v>
      </c>
      <c r="F142" s="32"/>
      <c r="G142" s="31"/>
      <c r="H142" s="15" t="str">
        <f>VLOOKUP( WEEKDAY(I142) ,Lookup!$A$2:$B$8,2,FALSE)
</f>
        <v>Tuesday</v>
      </c>
      <c r="I142" s="13">
        <v>46231.0</v>
      </c>
      <c r="J142" s="70">
        <v>0.8020833333333334</v>
      </c>
      <c r="K142" s="15" t="str">
        <f>VLOOKUP( WEEKDAY(L142) ,Lookup!$A$2:$B$8,2,FALSE)</f>
        <v>Tuesday</v>
      </c>
      <c r="L142" s="78">
        <v>46231.0</v>
      </c>
      <c r="M142" s="70">
        <v>0.8958333333333334</v>
      </c>
      <c r="N142" s="31"/>
      <c r="O142" s="31"/>
      <c r="P142" s="31"/>
      <c r="Q142" s="31"/>
      <c r="R142" s="4"/>
      <c r="S142" s="4"/>
      <c r="T142" s="4"/>
      <c r="U142" s="4"/>
      <c r="V142" s="4"/>
      <c r="W142" s="4"/>
      <c r="X142" s="4"/>
      <c r="Y142" s="4"/>
      <c r="Z142" s="4"/>
      <c r="AA142" s="4"/>
      <c r="AB142" s="4"/>
      <c r="AC142" s="4"/>
      <c r="AD142" s="4"/>
    </row>
    <row r="143" ht="15.75" customHeight="1">
      <c r="A143" s="29">
        <f t="shared" si="1"/>
        <v>142</v>
      </c>
      <c r="B143" s="78">
        <v>46231.0</v>
      </c>
      <c r="C143" s="70">
        <v>0.8958333333333334</v>
      </c>
      <c r="D143" s="15" t="str">
        <f>VLOOKUP( WEEKDAY(B143) ,Lookup!$A$2:$B$8,2,FALSE)</f>
        <v>Tuesday</v>
      </c>
      <c r="E143" s="71" t="s">
        <v>389</v>
      </c>
      <c r="F143" s="72" t="s">
        <v>390</v>
      </c>
      <c r="G143" s="31"/>
      <c r="H143" s="15" t="str">
        <f>VLOOKUP( WEEKDAY(I143) ,Lookup!$A$2:$B$8,2,FALSE)
</f>
        <v>Tuesday</v>
      </c>
      <c r="I143" s="13">
        <v>46231.0</v>
      </c>
      <c r="J143" s="70">
        <v>0.8958333333333334</v>
      </c>
      <c r="K143" s="15" t="str">
        <f>VLOOKUP( WEEKDAY(L143) ,Lookup!$A$2:$B$8,2,FALSE)</f>
        <v>Tuesday</v>
      </c>
      <c r="L143" s="78">
        <v>46231.0</v>
      </c>
      <c r="M143" s="70">
        <v>0.013888888888888888</v>
      </c>
      <c r="N143" s="31"/>
      <c r="O143" s="31"/>
      <c r="P143" s="31"/>
      <c r="Q143" s="31"/>
      <c r="R143" s="4"/>
      <c r="S143" s="4"/>
      <c r="T143" s="4"/>
      <c r="U143" s="4"/>
      <c r="V143" s="4"/>
      <c r="W143" s="4"/>
      <c r="X143" s="4"/>
      <c r="Y143" s="4"/>
      <c r="Z143" s="4"/>
      <c r="AA143" s="4"/>
      <c r="AB143" s="4"/>
      <c r="AC143" s="4"/>
      <c r="AD143" s="4"/>
    </row>
    <row r="144" ht="15.75" customHeight="1">
      <c r="A144" s="29">
        <f t="shared" si="1"/>
        <v>143</v>
      </c>
      <c r="B144" s="78">
        <v>46232.0</v>
      </c>
      <c r="C144" s="70">
        <v>0.4201388888888889</v>
      </c>
      <c r="D144" s="15" t="str">
        <f>VLOOKUP( WEEKDAY(B144) ,Lookup!$A$2:$B$8,2,FALSE)</f>
        <v>Wednesday</v>
      </c>
      <c r="E144" s="71" t="s">
        <v>391</v>
      </c>
      <c r="F144" s="72" t="s">
        <v>392</v>
      </c>
      <c r="G144" s="31"/>
      <c r="H144" s="15" t="str">
        <f>VLOOKUP( WEEKDAY(I144) ,Lookup!$A$2:$B$8,2,FALSE)
</f>
        <v>Wednesday</v>
      </c>
      <c r="I144" s="13">
        <v>46232.0</v>
      </c>
      <c r="J144" s="70">
        <v>0.4201388888888889</v>
      </c>
      <c r="K144" s="15" t="str">
        <f>VLOOKUP( WEEKDAY(L144) ,Lookup!$A$2:$B$8,2,FALSE)</f>
        <v>Wednesday</v>
      </c>
      <c r="L144" s="78">
        <v>46232.0</v>
      </c>
      <c r="M144" s="70">
        <v>0.4305555555555556</v>
      </c>
      <c r="N144" s="31"/>
      <c r="O144" s="31"/>
      <c r="P144" s="31"/>
      <c r="Q144" s="31"/>
      <c r="R144" s="4"/>
      <c r="S144" s="4"/>
      <c r="T144" s="4"/>
      <c r="U144" s="4"/>
      <c r="V144" s="4"/>
      <c r="W144" s="4"/>
      <c r="X144" s="4"/>
      <c r="Y144" s="4"/>
      <c r="Z144" s="4"/>
      <c r="AA144" s="4"/>
      <c r="AB144" s="4"/>
      <c r="AC144" s="4"/>
      <c r="AD144" s="4"/>
    </row>
    <row r="145" ht="15.75" customHeight="1">
      <c r="A145" s="29">
        <f t="shared" si="1"/>
        <v>144</v>
      </c>
      <c r="B145" s="78">
        <v>46232.0</v>
      </c>
      <c r="C145" s="70">
        <v>0.4305555555555556</v>
      </c>
      <c r="D145" s="15" t="str">
        <f>VLOOKUP( WEEKDAY(B145) ,Lookup!$A$2:$B$8,2,FALSE)</f>
        <v>Wednesday</v>
      </c>
      <c r="E145" s="71" t="s">
        <v>297</v>
      </c>
      <c r="F145" s="72" t="s">
        <v>393</v>
      </c>
      <c r="G145" s="31"/>
      <c r="H145" s="15" t="str">
        <f>VLOOKUP( WEEKDAY(I145) ,Lookup!$A$2:$B$8,2,FALSE)
</f>
        <v>Wednesday</v>
      </c>
      <c r="I145" s="13">
        <v>46232.0</v>
      </c>
      <c r="J145" s="70">
        <v>0.4305555555555556</v>
      </c>
      <c r="K145" s="15" t="str">
        <f>VLOOKUP( WEEKDAY(L145) ,Lookup!$A$2:$B$8,2,FALSE)</f>
        <v>Wednesday</v>
      </c>
      <c r="L145" s="78">
        <v>46232.0</v>
      </c>
      <c r="M145" s="70">
        <v>0.4583333333333333</v>
      </c>
      <c r="N145" s="31"/>
      <c r="O145" s="31"/>
      <c r="P145" s="31"/>
      <c r="Q145" s="31"/>
      <c r="R145" s="4"/>
      <c r="S145" s="4"/>
      <c r="T145" s="4"/>
      <c r="U145" s="4"/>
      <c r="V145" s="4"/>
      <c r="W145" s="4"/>
      <c r="X145" s="4"/>
      <c r="Y145" s="4"/>
      <c r="Z145" s="4"/>
      <c r="AA145" s="4"/>
      <c r="AB145" s="4"/>
      <c r="AC145" s="4"/>
      <c r="AD145" s="4"/>
    </row>
    <row r="146" ht="15.75" customHeight="1">
      <c r="A146" s="29">
        <f t="shared" si="1"/>
        <v>145</v>
      </c>
      <c r="B146" s="78">
        <v>46232.0</v>
      </c>
      <c r="C146" s="70">
        <v>0.4583333333333333</v>
      </c>
      <c r="D146" s="15" t="str">
        <f>VLOOKUP( WEEKDAY(B146) ,Lookup!$A$2:$B$8,2,FALSE)</f>
        <v>Wednesday</v>
      </c>
      <c r="E146" s="71" t="s">
        <v>223</v>
      </c>
      <c r="F146" s="72" t="s">
        <v>394</v>
      </c>
      <c r="G146" s="31"/>
      <c r="H146" s="15" t="str">
        <f>VLOOKUP( WEEKDAY(I146) ,Lookup!$A$2:$B$8,2,FALSE)
</f>
        <v>Wednesday</v>
      </c>
      <c r="I146" s="13">
        <v>46232.0</v>
      </c>
      <c r="J146" s="70">
        <v>0.4583333333333333</v>
      </c>
      <c r="K146" s="15" t="str">
        <f>VLOOKUP( WEEKDAY(L146) ,Lookup!$A$2:$B$8,2,FALSE)</f>
        <v>Wednesday</v>
      </c>
      <c r="L146" s="78">
        <v>46232.0</v>
      </c>
      <c r="M146" s="70">
        <v>0.5416666666666666</v>
      </c>
      <c r="N146" s="31"/>
      <c r="O146" s="31"/>
      <c r="P146" s="31"/>
      <c r="Q146" s="31"/>
      <c r="R146" s="4"/>
      <c r="S146" s="4"/>
      <c r="T146" s="4"/>
      <c r="U146" s="4"/>
      <c r="V146" s="4"/>
      <c r="W146" s="4"/>
      <c r="X146" s="4"/>
      <c r="Y146" s="4"/>
      <c r="Z146" s="4"/>
      <c r="AA146" s="4"/>
      <c r="AB146" s="4"/>
      <c r="AC146" s="4"/>
      <c r="AD146" s="4"/>
    </row>
    <row r="147" ht="15.75" customHeight="1">
      <c r="A147" s="29">
        <f t="shared" si="1"/>
        <v>146</v>
      </c>
      <c r="B147" s="78">
        <v>46232.0</v>
      </c>
      <c r="C147" s="70">
        <v>0.4583333333333333</v>
      </c>
      <c r="D147" s="15" t="str">
        <f>VLOOKUP( WEEKDAY(B147) ,Lookup!$A$2:$B$8,2,FALSE)</f>
        <v>Wednesday</v>
      </c>
      <c r="E147" s="71" t="s">
        <v>230</v>
      </c>
      <c r="F147" s="72" t="s">
        <v>395</v>
      </c>
      <c r="G147" s="31"/>
      <c r="H147" s="15" t="str">
        <f>VLOOKUP( WEEKDAY(I147) ,Lookup!$A$2:$B$8,2,FALSE)
</f>
        <v>Wednesday</v>
      </c>
      <c r="I147" s="13">
        <v>46232.0</v>
      </c>
      <c r="J147" s="70">
        <v>0.4583333333333333</v>
      </c>
      <c r="K147" s="15" t="str">
        <f>VLOOKUP( WEEKDAY(L147) ,Lookup!$A$2:$B$8,2,FALSE)</f>
        <v>Wednesday</v>
      </c>
      <c r="L147" s="78">
        <v>46232.0</v>
      </c>
      <c r="M147" s="70">
        <v>0.5416666666666666</v>
      </c>
      <c r="N147" s="31"/>
      <c r="O147" s="31"/>
      <c r="P147" s="31"/>
      <c r="Q147" s="31"/>
      <c r="R147" s="4"/>
      <c r="S147" s="4"/>
      <c r="T147" s="4"/>
      <c r="U147" s="4"/>
      <c r="V147" s="4"/>
      <c r="W147" s="4"/>
      <c r="X147" s="4"/>
      <c r="Y147" s="4"/>
      <c r="Z147" s="4"/>
      <c r="AA147" s="4"/>
      <c r="AB147" s="4"/>
      <c r="AC147" s="4"/>
      <c r="AD147" s="4"/>
    </row>
    <row r="148" ht="15.75" customHeight="1">
      <c r="A148" s="29">
        <f t="shared" si="1"/>
        <v>147</v>
      </c>
      <c r="B148" s="78">
        <v>46232.0</v>
      </c>
      <c r="C148" s="70">
        <v>0.5416666666666666</v>
      </c>
      <c r="D148" s="15" t="str">
        <f>VLOOKUP( WEEKDAY(B148) ,Lookup!$A$2:$B$8,2,FALSE)</f>
        <v>Wednesday</v>
      </c>
      <c r="E148" s="71" t="s">
        <v>221</v>
      </c>
      <c r="F148" s="76" t="s">
        <v>396</v>
      </c>
      <c r="G148" s="31"/>
      <c r="H148" s="15" t="str">
        <f>VLOOKUP( WEEKDAY(I148) ,Lookup!$A$2:$B$8,2,FALSE)
</f>
        <v>Wednesday</v>
      </c>
      <c r="I148" s="13">
        <v>46232.0</v>
      </c>
      <c r="J148" s="70">
        <v>0.5416666666666666</v>
      </c>
      <c r="K148" s="15" t="str">
        <f>VLOOKUP( WEEKDAY(L148) ,Lookup!$A$2:$B$8,2,FALSE)</f>
        <v>Wednesday</v>
      </c>
      <c r="L148" s="78">
        <v>46232.0</v>
      </c>
      <c r="M148" s="70">
        <v>0.5659722222222222</v>
      </c>
      <c r="N148" s="31"/>
      <c r="O148" s="31"/>
      <c r="P148" s="31"/>
      <c r="Q148" s="31"/>
      <c r="R148" s="4"/>
      <c r="S148" s="4"/>
      <c r="T148" s="4"/>
      <c r="U148" s="4"/>
      <c r="V148" s="4"/>
      <c r="W148" s="4"/>
      <c r="X148" s="4"/>
      <c r="Y148" s="4"/>
      <c r="Z148" s="4"/>
      <c r="AA148" s="4"/>
      <c r="AB148" s="4"/>
      <c r="AC148" s="4"/>
      <c r="AD148" s="4"/>
    </row>
    <row r="149" ht="15.75" customHeight="1">
      <c r="A149" s="29">
        <f t="shared" si="1"/>
        <v>148</v>
      </c>
      <c r="B149" s="78">
        <v>46232.0</v>
      </c>
      <c r="C149" s="70">
        <v>0.5659722222222222</v>
      </c>
      <c r="D149" s="15" t="str">
        <f>VLOOKUP( WEEKDAY(B149) ,Lookup!$A$2:$B$8,2,FALSE)</f>
        <v>Wednesday</v>
      </c>
      <c r="E149" s="71" t="s">
        <v>311</v>
      </c>
      <c r="F149" s="72" t="s">
        <v>292</v>
      </c>
      <c r="G149" s="31"/>
      <c r="H149" s="15" t="str">
        <f>VLOOKUP( WEEKDAY(I149) ,Lookup!$A$2:$B$8,2,FALSE)
</f>
        <v>Wednesday</v>
      </c>
      <c r="I149" s="13">
        <v>46232.0</v>
      </c>
      <c r="J149" s="70">
        <v>0.5659722222222222</v>
      </c>
      <c r="K149" s="15" t="str">
        <f>VLOOKUP( WEEKDAY(L149) ,Lookup!$A$2:$B$8,2,FALSE)</f>
        <v>Wednesday</v>
      </c>
      <c r="L149" s="78">
        <v>46232.0</v>
      </c>
      <c r="M149" s="70">
        <v>0.5833333333333334</v>
      </c>
      <c r="N149" s="31"/>
      <c r="O149" s="31"/>
      <c r="P149" s="31"/>
      <c r="Q149" s="31"/>
      <c r="R149" s="4"/>
      <c r="S149" s="4"/>
      <c r="T149" s="4"/>
      <c r="U149" s="4"/>
      <c r="V149" s="4"/>
      <c r="W149" s="4"/>
      <c r="X149" s="4"/>
      <c r="Y149" s="4"/>
      <c r="Z149" s="4"/>
      <c r="AA149" s="4"/>
      <c r="AB149" s="4"/>
      <c r="AC149" s="4"/>
      <c r="AD149" s="4"/>
    </row>
    <row r="150" ht="15.75" customHeight="1">
      <c r="A150" s="29">
        <f t="shared" si="1"/>
        <v>149</v>
      </c>
      <c r="B150" s="78">
        <v>46232.0</v>
      </c>
      <c r="C150" s="70">
        <v>0.59375</v>
      </c>
      <c r="D150" s="15" t="str">
        <f>VLOOKUP( WEEKDAY(B150) ,Lookup!$A$2:$B$8,2,FALSE)</f>
        <v>Wednesday</v>
      </c>
      <c r="E150" s="71" t="s">
        <v>223</v>
      </c>
      <c r="F150" s="72" t="s">
        <v>397</v>
      </c>
      <c r="G150" s="31"/>
      <c r="H150" s="15" t="str">
        <f>VLOOKUP( WEEKDAY(I150) ,Lookup!$A$2:$B$8,2,FALSE)
</f>
        <v>Wednesday</v>
      </c>
      <c r="I150" s="13">
        <v>46232.0</v>
      </c>
      <c r="J150" s="70">
        <v>0.59375</v>
      </c>
      <c r="K150" s="15" t="str">
        <f>VLOOKUP( WEEKDAY(L150) ,Lookup!$A$2:$B$8,2,FALSE)</f>
        <v>Wednesday</v>
      </c>
      <c r="L150" s="78">
        <v>46232.0</v>
      </c>
      <c r="M150" s="70">
        <v>0.6111111111111112</v>
      </c>
      <c r="N150" s="31"/>
      <c r="O150" s="31"/>
      <c r="P150" s="31"/>
      <c r="Q150" s="31"/>
      <c r="R150" s="4"/>
      <c r="S150" s="4"/>
      <c r="T150" s="4"/>
      <c r="U150" s="4"/>
      <c r="V150" s="4"/>
      <c r="W150" s="4"/>
      <c r="X150" s="4"/>
      <c r="Y150" s="4"/>
      <c r="Z150" s="4"/>
      <c r="AA150" s="4"/>
      <c r="AB150" s="4"/>
      <c r="AC150" s="4"/>
      <c r="AD150" s="4"/>
    </row>
    <row r="151" ht="15.75" customHeight="1">
      <c r="A151" s="29">
        <f t="shared" si="1"/>
        <v>150</v>
      </c>
      <c r="B151" s="78">
        <v>46232.0</v>
      </c>
      <c r="C151" s="80">
        <v>0.6229166666666667</v>
      </c>
      <c r="D151" s="15" t="str">
        <f>VLOOKUP( WEEKDAY(B151) ,Lookup!$A$2:$B$8,2,FALSE)</f>
        <v>Wednesday</v>
      </c>
      <c r="E151" s="71" t="s">
        <v>398</v>
      </c>
      <c r="F151" s="72" t="s">
        <v>399</v>
      </c>
      <c r="G151" s="31"/>
      <c r="H151" s="15" t="str">
        <f>VLOOKUP( WEEKDAY(I151) ,Lookup!$A$2:$B$8,2,FALSE)
</f>
        <v>Wednesday</v>
      </c>
      <c r="I151" s="13">
        <v>46232.0</v>
      </c>
      <c r="J151" s="80">
        <v>0.6229166666666667</v>
      </c>
      <c r="K151" s="15" t="str">
        <f>VLOOKUP( WEEKDAY(L151) ,Lookup!$A$2:$B$8,2,FALSE)</f>
        <v>Wednesday</v>
      </c>
      <c r="L151" s="78">
        <v>46232.0</v>
      </c>
      <c r="M151" s="70">
        <v>0.6388888888888888</v>
      </c>
      <c r="N151" s="31"/>
      <c r="O151" s="31"/>
      <c r="P151" s="31"/>
      <c r="Q151" s="31"/>
      <c r="R151" s="4"/>
      <c r="S151" s="4"/>
      <c r="T151" s="4"/>
      <c r="U151" s="4"/>
      <c r="V151" s="4"/>
      <c r="W151" s="4"/>
      <c r="X151" s="4"/>
      <c r="Y151" s="4"/>
      <c r="Z151" s="4"/>
      <c r="AA151" s="4"/>
      <c r="AB151" s="4"/>
      <c r="AC151" s="4"/>
      <c r="AD151" s="4"/>
    </row>
    <row r="152" ht="15.75" customHeight="1">
      <c r="A152" s="29">
        <f t="shared" si="1"/>
        <v>151</v>
      </c>
      <c r="B152" s="78">
        <v>46232.0</v>
      </c>
      <c r="C152" s="70">
        <v>0.6388888888888888</v>
      </c>
      <c r="D152" s="15" t="str">
        <f>VLOOKUP( WEEKDAY(B152) ,Lookup!$A$2:$B$8,2,FALSE)</f>
        <v>Wednesday</v>
      </c>
      <c r="E152" s="71" t="s">
        <v>400</v>
      </c>
      <c r="F152" s="72" t="s">
        <v>401</v>
      </c>
      <c r="G152" s="31"/>
      <c r="H152" s="15" t="str">
        <f>VLOOKUP( WEEKDAY(I152) ,Lookup!$A$2:$B$8,2,FALSE)
</f>
        <v>Wednesday</v>
      </c>
      <c r="I152" s="13">
        <v>46232.0</v>
      </c>
      <c r="J152" s="70">
        <v>0.6388888888888888</v>
      </c>
      <c r="K152" s="15" t="str">
        <f>VLOOKUP( WEEKDAY(L152) ,Lookup!$A$2:$B$8,2,FALSE)</f>
        <v>Wednesday</v>
      </c>
      <c r="L152" s="78">
        <v>46232.0</v>
      </c>
      <c r="M152" s="70">
        <v>0.6875</v>
      </c>
      <c r="N152" s="31"/>
      <c r="O152" s="31"/>
      <c r="P152" s="31"/>
      <c r="Q152" s="31"/>
      <c r="R152" s="4"/>
      <c r="S152" s="4"/>
      <c r="T152" s="4"/>
      <c r="U152" s="4"/>
      <c r="V152" s="4"/>
      <c r="W152" s="4"/>
      <c r="X152" s="4"/>
      <c r="Y152" s="4"/>
      <c r="Z152" s="4"/>
      <c r="AA152" s="4"/>
      <c r="AB152" s="4"/>
      <c r="AC152" s="4"/>
      <c r="AD152" s="4"/>
    </row>
    <row r="153" ht="15.75" customHeight="1">
      <c r="A153" s="29">
        <f t="shared" si="1"/>
        <v>152</v>
      </c>
      <c r="B153" s="78">
        <v>46232.0</v>
      </c>
      <c r="C153" s="70">
        <v>0.6875</v>
      </c>
      <c r="D153" s="15" t="str">
        <f>VLOOKUP( WEEKDAY(B153) ,Lookup!$A$2:$B$8,2,FALSE)</f>
        <v>Wednesday</v>
      </c>
      <c r="E153" s="71" t="s">
        <v>58</v>
      </c>
      <c r="F153" s="72" t="s">
        <v>402</v>
      </c>
      <c r="G153" s="31"/>
      <c r="H153" s="15" t="str">
        <f>VLOOKUP( WEEKDAY(I153) ,Lookup!$A$2:$B$8,2,FALSE)
</f>
        <v>Wednesday</v>
      </c>
      <c r="I153" s="13">
        <v>46232.0</v>
      </c>
      <c r="J153" s="70">
        <v>0.6875</v>
      </c>
      <c r="K153" s="15" t="str">
        <f>VLOOKUP( WEEKDAY(L153) ,Lookup!$A$2:$B$8,2,FALSE)</f>
        <v>Wednesday</v>
      </c>
      <c r="L153" s="78">
        <v>46232.0</v>
      </c>
      <c r="M153" s="70">
        <v>0.6979166666666666</v>
      </c>
      <c r="N153" s="31"/>
      <c r="O153" s="31"/>
      <c r="P153" s="31"/>
      <c r="Q153" s="31"/>
      <c r="R153" s="4"/>
      <c r="S153" s="4"/>
      <c r="T153" s="4"/>
      <c r="U153" s="4"/>
      <c r="V153" s="4"/>
      <c r="W153" s="4"/>
      <c r="X153" s="4"/>
      <c r="Y153" s="4"/>
      <c r="Z153" s="4"/>
      <c r="AA153" s="4"/>
      <c r="AB153" s="4"/>
      <c r="AC153" s="4"/>
      <c r="AD153" s="4"/>
    </row>
    <row r="154" ht="15.75" customHeight="1">
      <c r="A154" s="29">
        <f t="shared" si="1"/>
        <v>153</v>
      </c>
      <c r="B154" s="78">
        <v>46232.0</v>
      </c>
      <c r="C154" s="70">
        <v>0.6979166666666666</v>
      </c>
      <c r="D154" s="15" t="str">
        <f>VLOOKUP( WEEKDAY(B154) ,Lookup!$A$2:$B$8,2,FALSE)</f>
        <v>Wednesday</v>
      </c>
      <c r="E154" s="71" t="s">
        <v>74</v>
      </c>
      <c r="F154" s="72" t="s">
        <v>75</v>
      </c>
      <c r="G154" s="31"/>
      <c r="H154" s="15" t="str">
        <f>VLOOKUP( WEEKDAY(I154) ,Lookup!$A$2:$B$8,2,FALSE)
</f>
        <v>Wednesday</v>
      </c>
      <c r="I154" s="13">
        <v>46232.0</v>
      </c>
      <c r="J154" s="70">
        <v>0.6979166666666666</v>
      </c>
      <c r="K154" s="15" t="str">
        <f>VLOOKUP( WEEKDAY(L154) ,Lookup!$A$2:$B$8,2,FALSE)</f>
        <v>Wednesday</v>
      </c>
      <c r="L154" s="78">
        <v>46232.0</v>
      </c>
      <c r="M154" s="70">
        <v>0.71875</v>
      </c>
      <c r="N154" s="31"/>
      <c r="O154" s="31"/>
      <c r="P154" s="31"/>
      <c r="Q154" s="31"/>
      <c r="R154" s="4"/>
      <c r="S154" s="4"/>
      <c r="T154" s="4"/>
      <c r="U154" s="4"/>
      <c r="V154" s="4"/>
      <c r="W154" s="4"/>
      <c r="X154" s="4"/>
      <c r="Y154" s="4"/>
      <c r="Z154" s="4"/>
      <c r="AA154" s="4"/>
      <c r="AB154" s="4"/>
      <c r="AC154" s="4"/>
      <c r="AD154" s="4"/>
    </row>
    <row r="155" ht="15.75" customHeight="1">
      <c r="A155" s="29">
        <f t="shared" si="1"/>
        <v>154</v>
      </c>
      <c r="B155" s="78">
        <v>46232.0</v>
      </c>
      <c r="C155" s="70">
        <v>0.71875</v>
      </c>
      <c r="D155" s="15" t="str">
        <f>VLOOKUP( WEEKDAY(B155) ,Lookup!$A$2:$B$8,2,FALSE)</f>
        <v>Wednesday</v>
      </c>
      <c r="E155" s="71" t="s">
        <v>116</v>
      </c>
      <c r="F155" s="76" t="s">
        <v>195</v>
      </c>
      <c r="G155" s="31"/>
      <c r="H155" s="15" t="str">
        <f>VLOOKUP( WEEKDAY(I155) ,Lookup!$A$2:$B$8,2,FALSE)
</f>
        <v>Wednesday</v>
      </c>
      <c r="I155" s="13">
        <v>46232.0</v>
      </c>
      <c r="J155" s="70">
        <v>0.71875</v>
      </c>
      <c r="K155" s="15" t="str">
        <f>VLOOKUP( WEEKDAY(L155) ,Lookup!$A$2:$B$8,2,FALSE)</f>
        <v>Wednesday</v>
      </c>
      <c r="L155" s="78">
        <v>46232.0</v>
      </c>
      <c r="M155" s="70">
        <v>0.7222222222222222</v>
      </c>
      <c r="N155" s="31"/>
      <c r="O155" s="31"/>
      <c r="P155" s="31"/>
      <c r="Q155" s="31"/>
      <c r="R155" s="4"/>
      <c r="S155" s="4"/>
      <c r="T155" s="4"/>
      <c r="U155" s="4"/>
      <c r="V155" s="4"/>
      <c r="W155" s="4"/>
      <c r="X155" s="4"/>
      <c r="Y155" s="4"/>
      <c r="Z155" s="4"/>
      <c r="AA155" s="4"/>
      <c r="AB155" s="4"/>
      <c r="AC155" s="4"/>
      <c r="AD155" s="4"/>
    </row>
    <row r="156" ht="15.75" customHeight="1">
      <c r="A156" s="29">
        <f t="shared" si="1"/>
        <v>155</v>
      </c>
      <c r="B156" s="78">
        <v>46232.0</v>
      </c>
      <c r="C156" s="70">
        <v>0.7222222222222222</v>
      </c>
      <c r="D156" s="15" t="str">
        <f>VLOOKUP( WEEKDAY(B156) ,Lookup!$A$2:$B$8,2,FALSE)</f>
        <v>Wednesday</v>
      </c>
      <c r="E156" s="71" t="s">
        <v>403</v>
      </c>
      <c r="F156" s="76" t="s">
        <v>201</v>
      </c>
      <c r="G156" s="31"/>
      <c r="H156" s="15" t="str">
        <f>VLOOKUP( WEEKDAY(I156) ,Lookup!$A$2:$B$8,2,FALSE)
</f>
        <v>Wednesday</v>
      </c>
      <c r="I156" s="13">
        <v>46232.0</v>
      </c>
      <c r="J156" s="70">
        <v>0.7222222222222222</v>
      </c>
      <c r="K156" s="15" t="str">
        <f>VLOOKUP( WEEKDAY(L156) ,Lookup!$A$2:$B$8,2,FALSE)</f>
        <v>Wednesday</v>
      </c>
      <c r="L156" s="78">
        <v>46232.0</v>
      </c>
      <c r="M156" s="70">
        <v>0.7256944444444444</v>
      </c>
      <c r="N156" s="31"/>
      <c r="O156" s="31"/>
      <c r="P156" s="31"/>
      <c r="Q156" s="31"/>
      <c r="R156" s="4"/>
      <c r="S156" s="4"/>
      <c r="T156" s="4"/>
      <c r="U156" s="4"/>
      <c r="V156" s="4"/>
      <c r="W156" s="4"/>
      <c r="X156" s="4"/>
      <c r="Y156" s="4"/>
      <c r="Z156" s="4"/>
      <c r="AA156" s="4"/>
      <c r="AB156" s="4"/>
      <c r="AC156" s="4"/>
      <c r="AD156" s="4"/>
    </row>
    <row r="157" ht="15.75" customHeight="1">
      <c r="A157" s="29">
        <f t="shared" si="1"/>
        <v>156</v>
      </c>
      <c r="B157" s="78">
        <v>46232.0</v>
      </c>
      <c r="C157" s="70">
        <v>0.7256944444444444</v>
      </c>
      <c r="D157" s="15" t="str">
        <f>VLOOKUP( WEEKDAY(B157) ,Lookup!$A$2:$B$8,2,FALSE)</f>
        <v>Wednesday</v>
      </c>
      <c r="E157" s="71" t="s">
        <v>403</v>
      </c>
      <c r="F157" s="76" t="s">
        <v>202</v>
      </c>
      <c r="G157" s="31"/>
      <c r="H157" s="15" t="str">
        <f>VLOOKUP( WEEKDAY(I157) ,Lookup!$A$2:$B$8,2,FALSE)
</f>
        <v>Wednesday</v>
      </c>
      <c r="I157" s="13">
        <v>46232.0</v>
      </c>
      <c r="J157" s="70">
        <v>0.7256944444444444</v>
      </c>
      <c r="K157" s="15" t="str">
        <f>VLOOKUP( WEEKDAY(L157) ,Lookup!$A$2:$B$8,2,FALSE)</f>
        <v>Wednesday</v>
      </c>
      <c r="L157" s="78">
        <v>46232.0</v>
      </c>
      <c r="M157" s="70">
        <v>0.7291666666666666</v>
      </c>
      <c r="N157" s="31"/>
      <c r="O157" s="31"/>
      <c r="P157" s="31"/>
      <c r="Q157" s="31"/>
      <c r="R157" s="4"/>
      <c r="S157" s="4"/>
      <c r="T157" s="4"/>
      <c r="U157" s="4"/>
      <c r="V157" s="4"/>
      <c r="W157" s="4"/>
      <c r="X157" s="4"/>
      <c r="Y157" s="4"/>
      <c r="Z157" s="4"/>
      <c r="AA157" s="4"/>
      <c r="AB157" s="4"/>
      <c r="AC157" s="4"/>
      <c r="AD157" s="4"/>
    </row>
    <row r="158" ht="15.75" customHeight="1">
      <c r="A158" s="29">
        <f t="shared" si="1"/>
        <v>157</v>
      </c>
      <c r="B158" s="78">
        <v>46232.0</v>
      </c>
      <c r="C158" s="70">
        <v>0.7291666666666666</v>
      </c>
      <c r="D158" s="15" t="str">
        <f>VLOOKUP( WEEKDAY(B158) ,Lookup!$A$2:$B$8,2,FALSE)</f>
        <v>Wednesday</v>
      </c>
      <c r="E158" s="71" t="s">
        <v>403</v>
      </c>
      <c r="F158" s="72" t="s">
        <v>404</v>
      </c>
      <c r="G158" s="31"/>
      <c r="H158" s="15" t="str">
        <f>VLOOKUP( WEEKDAY(I158) ,Lookup!$A$2:$B$8,2,FALSE)
</f>
        <v>Wednesday</v>
      </c>
      <c r="I158" s="13">
        <v>46232.0</v>
      </c>
      <c r="J158" s="70">
        <v>0.7291666666666666</v>
      </c>
      <c r="K158" s="15" t="str">
        <f>VLOOKUP( WEEKDAY(L158) ,Lookup!$A$2:$B$8,2,FALSE)</f>
        <v>Wednesday</v>
      </c>
      <c r="L158" s="78">
        <v>46232.0</v>
      </c>
      <c r="M158" s="80">
        <v>0.7326388888888888</v>
      </c>
      <c r="N158" s="31"/>
      <c r="O158" s="31"/>
      <c r="P158" s="31"/>
      <c r="Q158" s="31"/>
      <c r="R158" s="4"/>
      <c r="S158" s="4"/>
      <c r="T158" s="4"/>
      <c r="U158" s="4"/>
      <c r="V158" s="4"/>
      <c r="W158" s="4"/>
      <c r="X158" s="4"/>
      <c r="Y158" s="4"/>
      <c r="Z158" s="4"/>
      <c r="AA158" s="4"/>
      <c r="AB158" s="4"/>
      <c r="AC158" s="4"/>
      <c r="AD158" s="4"/>
    </row>
    <row r="159" ht="15.75" customHeight="1">
      <c r="A159" s="29">
        <f t="shared" si="1"/>
        <v>158</v>
      </c>
      <c r="B159" s="78">
        <v>46232.0</v>
      </c>
      <c r="C159" s="70">
        <v>0.7916666666666666</v>
      </c>
      <c r="D159" s="15" t="str">
        <f>VLOOKUP( WEEKDAY(B159) ,Lookup!$A$2:$B$8,2,FALSE)</f>
        <v>Wednesday</v>
      </c>
      <c r="E159" s="71" t="s">
        <v>223</v>
      </c>
      <c r="F159" s="72" t="s">
        <v>405</v>
      </c>
      <c r="G159" s="31"/>
      <c r="H159" s="15" t="str">
        <f>VLOOKUP( WEEKDAY(I159) ,Lookup!$A$2:$B$8,2,FALSE)
</f>
        <v>Wednesday</v>
      </c>
      <c r="I159" s="13">
        <v>46232.0</v>
      </c>
      <c r="J159" s="80">
        <v>0.7326388888888888</v>
      </c>
      <c r="K159" s="15" t="str">
        <f>VLOOKUP( WEEKDAY(L159) ,Lookup!$A$2:$B$8,2,FALSE)</f>
        <v>Wednesday</v>
      </c>
      <c r="L159" s="78">
        <v>46232.0</v>
      </c>
      <c r="M159" s="70">
        <v>0.7916666666666666</v>
      </c>
      <c r="N159" s="31"/>
      <c r="O159" s="31"/>
      <c r="P159" s="31"/>
      <c r="Q159" s="31"/>
      <c r="R159" s="4"/>
      <c r="S159" s="4"/>
      <c r="T159" s="4"/>
      <c r="U159" s="4"/>
      <c r="V159" s="4"/>
      <c r="W159" s="4"/>
      <c r="X159" s="4"/>
      <c r="Y159" s="4"/>
      <c r="Z159" s="4"/>
      <c r="AA159" s="4"/>
      <c r="AB159" s="4"/>
      <c r="AC159" s="4"/>
      <c r="AD159" s="4"/>
    </row>
    <row r="160" ht="15.75" customHeight="1">
      <c r="A160" s="29">
        <f t="shared" si="1"/>
        <v>159</v>
      </c>
      <c r="B160" s="78">
        <v>46232.0</v>
      </c>
      <c r="C160" s="70">
        <v>0.7916666666666666</v>
      </c>
      <c r="D160" s="15" t="str">
        <f>VLOOKUP( WEEKDAY(B160) ,Lookup!$A$2:$B$8,2,FALSE)</f>
        <v>Wednesday</v>
      </c>
      <c r="E160" s="71" t="s">
        <v>74</v>
      </c>
      <c r="F160" s="72" t="s">
        <v>352</v>
      </c>
      <c r="G160" s="31"/>
      <c r="H160" s="15" t="str">
        <f>VLOOKUP( WEEKDAY(I160) ,Lookup!$A$2:$B$8,2,FALSE)
</f>
        <v>Wednesday</v>
      </c>
      <c r="I160" s="13">
        <v>46232.0</v>
      </c>
      <c r="J160" s="70">
        <v>0.7916666666666666</v>
      </c>
      <c r="K160" s="15" t="str">
        <f>VLOOKUP( WEEKDAY(L160) ,Lookup!$A$2:$B$8,2,FALSE)</f>
        <v>Wednesday</v>
      </c>
      <c r="L160" s="78">
        <v>46232.0</v>
      </c>
      <c r="M160" s="70">
        <v>0.8194444444444444</v>
      </c>
      <c r="N160" s="31"/>
      <c r="O160" s="31"/>
      <c r="P160" s="31"/>
      <c r="Q160" s="31"/>
      <c r="R160" s="4"/>
      <c r="S160" s="4"/>
      <c r="T160" s="4"/>
      <c r="U160" s="4"/>
      <c r="V160" s="4"/>
      <c r="W160" s="4"/>
      <c r="X160" s="4"/>
      <c r="Y160" s="4"/>
      <c r="Z160" s="4"/>
      <c r="AA160" s="4"/>
      <c r="AB160" s="4"/>
      <c r="AC160" s="4"/>
      <c r="AD160" s="4"/>
    </row>
    <row r="161" ht="15.75" customHeight="1">
      <c r="A161" s="29">
        <f t="shared" si="1"/>
        <v>160</v>
      </c>
      <c r="B161" s="78">
        <v>46232.0</v>
      </c>
      <c r="C161" s="70">
        <v>0.8888888888888888</v>
      </c>
      <c r="D161" s="15" t="str">
        <f>VLOOKUP( WEEKDAY(B161) ,Lookup!$A$2:$B$8,2,FALSE)</f>
        <v>Wednesday</v>
      </c>
      <c r="E161" s="71" t="s">
        <v>406</v>
      </c>
      <c r="F161" s="72" t="s">
        <v>407</v>
      </c>
      <c r="G161" s="31"/>
      <c r="H161" s="15" t="str">
        <f>VLOOKUP( WEEKDAY(I161) ,Lookup!$A$2:$B$8,2,FALSE)
</f>
        <v>Wednesday</v>
      </c>
      <c r="I161" s="13">
        <v>46232.0</v>
      </c>
      <c r="J161" s="70">
        <v>0.8888888888888888</v>
      </c>
      <c r="K161" s="15" t="str">
        <f>VLOOKUP( WEEKDAY(L161) ,Lookup!$A$2:$B$8,2,FALSE)</f>
        <v>Wednesday</v>
      </c>
      <c r="L161" s="78">
        <v>46232.0</v>
      </c>
      <c r="M161" s="70">
        <v>0.9930555555555556</v>
      </c>
      <c r="N161" s="31"/>
      <c r="O161" s="31"/>
      <c r="P161" s="31"/>
      <c r="Q161" s="31"/>
      <c r="R161" s="4"/>
      <c r="S161" s="4"/>
      <c r="T161" s="4"/>
      <c r="U161" s="4"/>
      <c r="V161" s="4"/>
      <c r="W161" s="4"/>
      <c r="X161" s="4"/>
      <c r="Y161" s="4"/>
      <c r="Z161" s="4"/>
      <c r="AA161" s="4"/>
      <c r="AB161" s="4"/>
      <c r="AC161" s="4"/>
      <c r="AD161" s="4"/>
    </row>
    <row r="162" ht="15.75" customHeight="1">
      <c r="A162" s="29">
        <f t="shared" si="1"/>
        <v>161</v>
      </c>
      <c r="B162" s="78">
        <v>46233.0</v>
      </c>
      <c r="C162" s="70">
        <v>0.4166666666666667</v>
      </c>
      <c r="D162" s="15" t="str">
        <f>VLOOKUP( WEEKDAY(B162) ,Lookup!$A$2:$B$8,2,FALSE)</f>
        <v>Thursday</v>
      </c>
      <c r="E162" s="71" t="s">
        <v>403</v>
      </c>
      <c r="F162" s="76" t="s">
        <v>212</v>
      </c>
      <c r="G162" s="31"/>
      <c r="H162" s="15" t="str">
        <f>VLOOKUP( WEEKDAY(I162) ,Lookup!$A$2:$B$8,2,FALSE)
</f>
        <v>Thursday</v>
      </c>
      <c r="I162" s="13">
        <v>46233.0</v>
      </c>
      <c r="J162" s="70">
        <v>0.4166666666666667</v>
      </c>
      <c r="K162" s="15" t="str">
        <f>VLOOKUP( WEEKDAY(L162) ,Lookup!$A$2:$B$8,2,FALSE)</f>
        <v>Thursday</v>
      </c>
      <c r="L162" s="78">
        <v>46233.0</v>
      </c>
      <c r="M162" s="70">
        <v>0.4583333333333333</v>
      </c>
      <c r="N162" s="31"/>
      <c r="O162" s="31"/>
      <c r="P162" s="31"/>
      <c r="Q162" s="31"/>
      <c r="R162" s="4"/>
      <c r="S162" s="4"/>
      <c r="T162" s="4"/>
      <c r="U162" s="4"/>
      <c r="V162" s="4"/>
      <c r="W162" s="4"/>
      <c r="X162" s="4"/>
      <c r="Y162" s="4"/>
      <c r="Z162" s="4"/>
      <c r="AA162" s="4"/>
      <c r="AB162" s="4"/>
      <c r="AC162" s="4"/>
      <c r="AD162" s="4"/>
    </row>
    <row r="163" ht="15.75" customHeight="1">
      <c r="A163" s="29">
        <f t="shared" si="1"/>
        <v>162</v>
      </c>
      <c r="B163" s="78">
        <v>46233.0</v>
      </c>
      <c r="C163" s="70">
        <v>0.5</v>
      </c>
      <c r="D163" s="15" t="str">
        <f>VLOOKUP( WEEKDAY(B163) ,Lookup!$A$2:$B$8,2,FALSE)</f>
        <v>Thursday</v>
      </c>
      <c r="E163" s="71" t="s">
        <v>408</v>
      </c>
      <c r="F163" s="72" t="s">
        <v>215</v>
      </c>
      <c r="G163" s="31"/>
      <c r="H163" s="15" t="str">
        <f>VLOOKUP( WEEKDAY(I163) ,Lookup!$A$2:$B$8,2,FALSE)
</f>
        <v>Thursday</v>
      </c>
      <c r="I163" s="13">
        <v>46233.0</v>
      </c>
      <c r="J163" s="70">
        <v>0.5</v>
      </c>
      <c r="K163" s="15" t="str">
        <f>VLOOKUP( WEEKDAY(L163) ,Lookup!$A$2:$B$8,2,FALSE)</f>
        <v>Thursday</v>
      </c>
      <c r="L163" s="78">
        <v>46233.0</v>
      </c>
      <c r="M163" s="70">
        <v>0.5520833333333334</v>
      </c>
      <c r="N163" s="31"/>
      <c r="O163" s="31"/>
      <c r="P163" s="31"/>
      <c r="Q163" s="31"/>
      <c r="R163" s="4"/>
      <c r="S163" s="4"/>
      <c r="T163" s="4"/>
      <c r="U163" s="4"/>
      <c r="V163" s="4"/>
      <c r="W163" s="4"/>
      <c r="X163" s="4"/>
      <c r="Y163" s="4"/>
      <c r="Z163" s="4"/>
      <c r="AA163" s="4"/>
      <c r="AB163" s="4"/>
      <c r="AC163" s="4"/>
      <c r="AD163" s="4"/>
    </row>
    <row r="164" ht="15.75" customHeight="1">
      <c r="A164" s="29">
        <f t="shared" si="1"/>
        <v>163</v>
      </c>
      <c r="B164" s="78">
        <v>46233.0</v>
      </c>
      <c r="C164" s="70">
        <v>0.5625</v>
      </c>
      <c r="D164" s="15" t="str">
        <f>VLOOKUP( WEEKDAY(B164) ,Lookup!$A$2:$B$8,2,FALSE)</f>
        <v>Thursday</v>
      </c>
      <c r="E164" s="71" t="s">
        <v>36</v>
      </c>
      <c r="F164" s="72" t="s">
        <v>217</v>
      </c>
      <c r="G164" s="31"/>
      <c r="H164" s="15" t="str">
        <f>VLOOKUP( WEEKDAY(I164) ,Lookup!$A$2:$B$8,2,FALSE)
</f>
        <v>Thursday</v>
      </c>
      <c r="I164" s="13">
        <v>46233.0</v>
      </c>
      <c r="J164" s="70">
        <v>0.5625</v>
      </c>
      <c r="K164" s="15" t="str">
        <f>VLOOKUP( WEEKDAY(L164) ,Lookup!$A$2:$B$8,2,FALSE)</f>
        <v>Thursday</v>
      </c>
      <c r="L164" s="78">
        <v>46233.0</v>
      </c>
      <c r="M164" s="70">
        <v>0.5729166666666666</v>
      </c>
      <c r="N164" s="31"/>
      <c r="O164" s="31"/>
      <c r="P164" s="31"/>
      <c r="Q164" s="31"/>
      <c r="R164" s="4"/>
      <c r="S164" s="4"/>
      <c r="T164" s="4"/>
      <c r="U164" s="4"/>
      <c r="V164" s="4"/>
      <c r="W164" s="4"/>
      <c r="X164" s="4"/>
      <c r="Y164" s="4"/>
      <c r="Z164" s="4"/>
      <c r="AA164" s="4"/>
      <c r="AB164" s="4"/>
      <c r="AC164" s="4"/>
      <c r="AD164" s="4"/>
    </row>
    <row r="165" ht="15.75" customHeight="1">
      <c r="A165" s="29">
        <f t="shared" si="1"/>
        <v>164</v>
      </c>
      <c r="B165" s="78">
        <v>46233.0</v>
      </c>
      <c r="C165" s="70">
        <v>0.5729166666666666</v>
      </c>
      <c r="D165" s="15" t="str">
        <f>VLOOKUP( WEEKDAY(B165) ,Lookup!$A$2:$B$8,2,FALSE)</f>
        <v>Thursday</v>
      </c>
      <c r="E165" s="71" t="s">
        <v>409</v>
      </c>
      <c r="F165" s="72" t="s">
        <v>219</v>
      </c>
      <c r="G165" s="31"/>
      <c r="H165" s="15" t="str">
        <f>VLOOKUP( WEEKDAY(I165) ,Lookup!$A$2:$B$8,2,FALSE)
</f>
        <v>Thursday</v>
      </c>
      <c r="I165" s="13">
        <v>46233.0</v>
      </c>
      <c r="J165" s="70">
        <v>0.5729166666666666</v>
      </c>
      <c r="K165" s="15" t="str">
        <f>VLOOKUP( WEEKDAY(L165) ,Lookup!$A$2:$B$8,2,FALSE)</f>
        <v>Thursday</v>
      </c>
      <c r="L165" s="78">
        <v>46233.0</v>
      </c>
      <c r="M165" s="70">
        <v>0.6666666666666666</v>
      </c>
      <c r="N165" s="31"/>
      <c r="O165" s="31"/>
      <c r="P165" s="31"/>
      <c r="Q165" s="31"/>
      <c r="R165" s="4"/>
      <c r="S165" s="4"/>
      <c r="T165" s="4"/>
      <c r="U165" s="4"/>
      <c r="V165" s="4"/>
      <c r="W165" s="4"/>
      <c r="X165" s="4"/>
      <c r="Y165" s="4"/>
      <c r="Z165" s="4"/>
      <c r="AA165" s="4"/>
      <c r="AB165" s="4"/>
      <c r="AC165" s="4"/>
      <c r="AD165" s="4"/>
    </row>
    <row r="166" ht="15.75" customHeight="1">
      <c r="A166" s="29">
        <f t="shared" si="1"/>
        <v>165</v>
      </c>
      <c r="B166" s="78">
        <v>46233.0</v>
      </c>
      <c r="C166" s="70">
        <v>0.6666666666666666</v>
      </c>
      <c r="D166" s="15" t="str">
        <f>VLOOKUP( WEEKDAY(B166) ,Lookup!$A$2:$B$8,2,FALSE)</f>
        <v>Thursday</v>
      </c>
      <c r="E166" s="71" t="s">
        <v>116</v>
      </c>
      <c r="F166" s="72" t="s">
        <v>220</v>
      </c>
      <c r="G166" s="31"/>
      <c r="H166" s="15" t="str">
        <f>VLOOKUP( WEEKDAY(I166) ,Lookup!$A$2:$B$8,2,FALSE)
</f>
        <v>Thursday</v>
      </c>
      <c r="I166" s="13">
        <v>46233.0</v>
      </c>
      <c r="J166" s="70">
        <v>0.6666666666666666</v>
      </c>
      <c r="K166" s="15" t="str">
        <f>VLOOKUP( WEEKDAY(L166) ,Lookup!$A$2:$B$8,2,FALSE)</f>
        <v>Thursday</v>
      </c>
      <c r="L166" s="78">
        <v>46233.0</v>
      </c>
      <c r="M166" s="70">
        <v>0.7430555555555556</v>
      </c>
      <c r="N166" s="31"/>
      <c r="O166" s="31"/>
      <c r="P166" s="31"/>
      <c r="Q166" s="31"/>
      <c r="R166" s="4"/>
      <c r="S166" s="4"/>
      <c r="T166" s="4"/>
      <c r="U166" s="4"/>
      <c r="V166" s="4"/>
      <c r="W166" s="4"/>
      <c r="X166" s="4"/>
      <c r="Y166" s="4"/>
      <c r="Z166" s="4"/>
      <c r="AA166" s="4"/>
      <c r="AB166" s="4"/>
      <c r="AC166" s="4"/>
      <c r="AD166" s="4"/>
    </row>
    <row r="167" ht="15.75" customHeight="1">
      <c r="A167" s="29">
        <f t="shared" si="1"/>
        <v>166</v>
      </c>
      <c r="B167" s="78">
        <v>46233.0</v>
      </c>
      <c r="C167" s="70">
        <v>0.7430555555555556</v>
      </c>
      <c r="D167" s="15" t="str">
        <f>VLOOKUP( WEEKDAY(B167) ,Lookup!$A$2:$B$8,2,FALSE)</f>
        <v>Thursday</v>
      </c>
      <c r="E167" s="71" t="s">
        <v>223</v>
      </c>
      <c r="F167" s="72" t="s">
        <v>224</v>
      </c>
      <c r="G167" s="31"/>
      <c r="H167" s="15" t="str">
        <f>VLOOKUP( WEEKDAY(I167) ,Lookup!$A$2:$B$8,2,FALSE)
</f>
        <v>Thursday</v>
      </c>
      <c r="I167" s="13">
        <v>46233.0</v>
      </c>
      <c r="J167" s="70">
        <v>0.7430555555555556</v>
      </c>
      <c r="K167" s="15" t="str">
        <f>VLOOKUP( WEEKDAY(L167) ,Lookup!$A$2:$B$8,2,FALSE)</f>
        <v>Thursday</v>
      </c>
      <c r="L167" s="78">
        <v>46233.0</v>
      </c>
      <c r="M167" s="70">
        <v>0.7847222222222222</v>
      </c>
      <c r="N167" s="31"/>
      <c r="O167" s="31"/>
      <c r="P167" s="31"/>
      <c r="Q167" s="31"/>
      <c r="R167" s="4"/>
      <c r="S167" s="4"/>
      <c r="T167" s="4"/>
      <c r="U167" s="4"/>
      <c r="V167" s="4"/>
      <c r="W167" s="4"/>
      <c r="X167" s="4"/>
      <c r="Y167" s="4"/>
      <c r="Z167" s="4"/>
      <c r="AA167" s="4"/>
      <c r="AB167" s="4"/>
      <c r="AC167" s="4"/>
      <c r="AD167" s="4"/>
    </row>
    <row r="168" ht="15.75" customHeight="1">
      <c r="A168" s="29">
        <f t="shared" si="1"/>
        <v>167</v>
      </c>
      <c r="B168" s="78">
        <v>46233.0</v>
      </c>
      <c r="C168" s="70">
        <v>0.7847222222222222</v>
      </c>
      <c r="D168" s="15" t="str">
        <f>VLOOKUP( WEEKDAY(B168) ,Lookup!$A$2:$B$8,2,FALSE)</f>
        <v>Thursday</v>
      </c>
      <c r="E168" s="71" t="s">
        <v>391</v>
      </c>
      <c r="F168" s="72" t="s">
        <v>226</v>
      </c>
      <c r="G168" s="31"/>
      <c r="H168" s="15" t="str">
        <f>VLOOKUP( WEEKDAY(I168) ,Lookup!$A$2:$B$8,2,FALSE)
</f>
        <v>Thursday</v>
      </c>
      <c r="I168" s="13">
        <v>46233.0</v>
      </c>
      <c r="J168" s="70">
        <v>0.7847222222222222</v>
      </c>
      <c r="K168" s="15" t="str">
        <f>VLOOKUP( WEEKDAY(L168) ,Lookup!$A$2:$B$8,2,FALSE)</f>
        <v>Thursday</v>
      </c>
      <c r="L168" s="78">
        <v>46233.0</v>
      </c>
      <c r="M168" s="70">
        <v>0.7986111111111112</v>
      </c>
      <c r="N168" s="31"/>
      <c r="O168" s="31"/>
      <c r="P168" s="31"/>
      <c r="Q168" s="31"/>
      <c r="R168" s="4"/>
      <c r="S168" s="4"/>
      <c r="T168" s="4"/>
      <c r="U168" s="4"/>
      <c r="V168" s="4"/>
      <c r="W168" s="4"/>
      <c r="X168" s="4"/>
      <c r="Y168" s="4"/>
      <c r="Z168" s="4"/>
      <c r="AA168" s="4"/>
      <c r="AB168" s="4"/>
      <c r="AC168" s="4"/>
      <c r="AD168" s="4"/>
    </row>
    <row r="169" ht="15.75" customHeight="1">
      <c r="A169" s="29">
        <f t="shared" si="1"/>
        <v>168</v>
      </c>
      <c r="B169" s="78">
        <v>46234.0</v>
      </c>
      <c r="C169" s="70">
        <v>0.4166666666666667</v>
      </c>
      <c r="D169" s="15" t="str">
        <f>VLOOKUP( WEEKDAY(B169) ,Lookup!$A$2:$B$8,2,FALSE)</f>
        <v>Friday</v>
      </c>
      <c r="E169" s="71" t="s">
        <v>173</v>
      </c>
      <c r="F169" s="76" t="s">
        <v>228</v>
      </c>
      <c r="G169" s="31"/>
      <c r="H169" s="15" t="str">
        <f>VLOOKUP( WEEKDAY(I169) ,Lookup!$A$2:$B$8,2,FALSE)
</f>
        <v>Friday</v>
      </c>
      <c r="I169" s="13">
        <v>46234.0</v>
      </c>
      <c r="J169" s="70">
        <v>0.4166666666666667</v>
      </c>
      <c r="K169" s="15" t="str">
        <f>VLOOKUP( WEEKDAY(L169) ,Lookup!$A$2:$B$8,2,FALSE)</f>
        <v>Friday</v>
      </c>
      <c r="L169" s="78">
        <v>46234.0</v>
      </c>
      <c r="M169" s="82">
        <v>0.4791666666666667</v>
      </c>
      <c r="N169" s="31"/>
      <c r="O169" s="31"/>
      <c r="P169" s="31"/>
      <c r="Q169" s="31"/>
      <c r="R169" s="4"/>
      <c r="S169" s="4"/>
      <c r="T169" s="4"/>
      <c r="U169" s="4"/>
      <c r="V169" s="4"/>
      <c r="W169" s="4"/>
      <c r="X169" s="4"/>
      <c r="Y169" s="4"/>
      <c r="Z169" s="4"/>
      <c r="AA169" s="4"/>
      <c r="AB169" s="4"/>
      <c r="AC169" s="4"/>
      <c r="AD169" s="4"/>
    </row>
    <row r="170" ht="15.75" customHeight="1">
      <c r="A170" s="29">
        <f t="shared" si="1"/>
        <v>169</v>
      </c>
      <c r="B170" s="78">
        <v>46234.0</v>
      </c>
      <c r="C170" s="82">
        <v>0.4791666666666667</v>
      </c>
      <c r="D170" s="15" t="str">
        <f>VLOOKUP( WEEKDAY(B170) ,Lookup!$A$2:$B$8,2,FALSE)</f>
        <v>Friday</v>
      </c>
      <c r="E170" s="31"/>
      <c r="F170" s="72" t="s">
        <v>410</v>
      </c>
      <c r="G170" s="31"/>
      <c r="H170" s="15" t="str">
        <f>VLOOKUP( WEEKDAY(I170) ,Lookup!$A$2:$B$8,2,FALSE)
</f>
        <v>Friday</v>
      </c>
      <c r="I170" s="13">
        <v>46234.0</v>
      </c>
      <c r="J170" s="82">
        <v>0.4791666666666667</v>
      </c>
      <c r="K170" s="15" t="str">
        <f>VLOOKUP( WEEKDAY(L170) ,Lookup!$A$2:$B$8,2,FALSE)</f>
        <v>Friday</v>
      </c>
      <c r="L170" s="78">
        <v>46234.0</v>
      </c>
      <c r="M170" s="82">
        <v>0.6458333333333334</v>
      </c>
      <c r="N170" s="31"/>
      <c r="O170" s="31"/>
      <c r="P170" s="31"/>
      <c r="Q170" s="31"/>
      <c r="R170" s="4"/>
      <c r="S170" s="4"/>
      <c r="T170" s="4"/>
      <c r="U170" s="4"/>
      <c r="V170" s="4"/>
      <c r="W170" s="4"/>
      <c r="X170" s="4"/>
      <c r="Y170" s="4"/>
      <c r="Z170" s="4"/>
      <c r="AA170" s="4"/>
      <c r="AB170" s="4"/>
      <c r="AC170" s="4"/>
      <c r="AD170" s="4"/>
    </row>
    <row r="171" ht="15.75" customHeight="1">
      <c r="A171" s="29">
        <f t="shared" si="1"/>
        <v>170</v>
      </c>
      <c r="B171" s="78">
        <v>46234.0</v>
      </c>
      <c r="C171" s="82">
        <v>0.6458333333333334</v>
      </c>
      <c r="D171" s="15" t="str">
        <f>VLOOKUP( WEEKDAY(B171) ,Lookup!$A$2:$B$8,2,FALSE)</f>
        <v>Friday</v>
      </c>
      <c r="E171" s="31"/>
      <c r="F171" s="72" t="s">
        <v>292</v>
      </c>
      <c r="G171" s="31"/>
      <c r="H171" s="15" t="str">
        <f>VLOOKUP( WEEKDAY(I171) ,Lookup!$A$2:$B$8,2,FALSE)
</f>
        <v>Friday</v>
      </c>
      <c r="I171" s="13">
        <v>46234.0</v>
      </c>
      <c r="J171" s="82">
        <v>0.6458333333333334</v>
      </c>
      <c r="K171" s="15" t="str">
        <f>VLOOKUP( WEEKDAY(L171) ,Lookup!$A$2:$B$8,2,FALSE)</f>
        <v>Friday</v>
      </c>
      <c r="L171" s="78">
        <v>46234.0</v>
      </c>
      <c r="M171" s="82">
        <v>0.6666666666666666</v>
      </c>
      <c r="N171" s="31"/>
      <c r="O171" s="31"/>
      <c r="P171" s="31"/>
      <c r="Q171" s="31"/>
      <c r="R171" s="4"/>
      <c r="S171" s="4"/>
      <c r="T171" s="4"/>
      <c r="U171" s="4"/>
      <c r="V171" s="4"/>
      <c r="W171" s="4"/>
      <c r="X171" s="4"/>
      <c r="Y171" s="4"/>
      <c r="Z171" s="4"/>
      <c r="AA171" s="4"/>
      <c r="AB171" s="4"/>
      <c r="AC171" s="4"/>
      <c r="AD171" s="4"/>
    </row>
    <row r="172" ht="15.75" customHeight="1">
      <c r="A172" s="29">
        <f t="shared" si="1"/>
        <v>171</v>
      </c>
      <c r="B172" s="78">
        <v>46234.0</v>
      </c>
      <c r="C172" s="82">
        <v>0.6666666666666666</v>
      </c>
      <c r="D172" s="15" t="str">
        <f>VLOOKUP( WEEKDAY(B172) ,Lookup!$A$2:$B$8,2,FALSE)</f>
        <v>Friday</v>
      </c>
      <c r="E172" s="31"/>
      <c r="F172" s="76" t="s">
        <v>232</v>
      </c>
      <c r="G172" s="31"/>
      <c r="H172" s="15" t="str">
        <f>VLOOKUP( WEEKDAY(I172) ,Lookup!$A$2:$B$8,2,FALSE)
</f>
        <v>Friday</v>
      </c>
      <c r="I172" s="13">
        <v>46234.0</v>
      </c>
      <c r="J172" s="82">
        <v>0.6666666666666666</v>
      </c>
      <c r="K172" s="15" t="str">
        <f>VLOOKUP( WEEKDAY(L172) ,Lookup!$A$2:$B$8,2,FALSE)</f>
        <v>Friday</v>
      </c>
      <c r="L172" s="78">
        <v>46234.0</v>
      </c>
      <c r="M172" s="82">
        <v>0.6701388888888888</v>
      </c>
      <c r="N172" s="31"/>
      <c r="O172" s="31"/>
      <c r="P172" s="31"/>
      <c r="Q172" s="31"/>
      <c r="R172" s="4"/>
      <c r="S172" s="4"/>
      <c r="T172" s="4"/>
      <c r="U172" s="4"/>
      <c r="V172" s="4"/>
      <c r="W172" s="4"/>
      <c r="X172" s="4"/>
      <c r="Y172" s="4"/>
      <c r="Z172" s="4"/>
      <c r="AA172" s="4"/>
      <c r="AB172" s="4"/>
      <c r="AC172" s="4"/>
      <c r="AD172" s="4"/>
    </row>
    <row r="173" ht="15.75" customHeight="1">
      <c r="A173" s="29">
        <f t="shared" si="1"/>
        <v>172</v>
      </c>
      <c r="B173" s="78">
        <v>46234.0</v>
      </c>
      <c r="C173" s="82">
        <v>0.6736111111111112</v>
      </c>
      <c r="D173" s="15" t="str">
        <f>VLOOKUP( WEEKDAY(B173) ,Lookup!$A$2:$B$8,2,FALSE)</f>
        <v>Friday</v>
      </c>
      <c r="E173" s="31"/>
      <c r="F173" s="76" t="s">
        <v>235</v>
      </c>
      <c r="G173" s="31"/>
      <c r="H173" s="15" t="str">
        <f>VLOOKUP( WEEKDAY(I173) ,Lookup!$A$2:$B$8,2,FALSE)
</f>
        <v>Friday</v>
      </c>
      <c r="I173" s="13">
        <v>46234.0</v>
      </c>
      <c r="J173" s="82">
        <v>0.6701388888888888</v>
      </c>
      <c r="K173" s="15" t="str">
        <f>VLOOKUP( WEEKDAY(L173) ,Lookup!$A$2:$B$8,2,FALSE)</f>
        <v>Friday</v>
      </c>
      <c r="L173" s="78">
        <v>46234.0</v>
      </c>
      <c r="M173" s="82">
        <v>0.6736111111111112</v>
      </c>
      <c r="N173" s="31"/>
      <c r="O173" s="31"/>
      <c r="P173" s="31"/>
      <c r="Q173" s="31"/>
      <c r="R173" s="4"/>
      <c r="S173" s="4"/>
      <c r="T173" s="4"/>
      <c r="U173" s="4"/>
      <c r="V173" s="4"/>
      <c r="W173" s="4"/>
      <c r="X173" s="4"/>
      <c r="Y173" s="4"/>
      <c r="Z173" s="4"/>
      <c r="AA173" s="4"/>
      <c r="AB173" s="4"/>
      <c r="AC173" s="4"/>
      <c r="AD173" s="4"/>
    </row>
    <row r="174" ht="15.75" customHeight="1">
      <c r="A174" s="29">
        <f t="shared" si="1"/>
        <v>173</v>
      </c>
      <c r="B174" s="78">
        <v>46234.0</v>
      </c>
      <c r="C174" s="82">
        <v>0.7291666666666666</v>
      </c>
      <c r="D174" s="15" t="str">
        <f>VLOOKUP( WEEKDAY(B174) ,Lookup!$A$2:$B$8,2,FALSE)</f>
        <v>Friday</v>
      </c>
      <c r="E174" s="31"/>
      <c r="F174" s="72" t="s">
        <v>411</v>
      </c>
      <c r="G174" s="31"/>
      <c r="H174" s="15" t="str">
        <f>VLOOKUP( WEEKDAY(I174) ,Lookup!$A$2:$B$8,2,FALSE)
</f>
        <v>Friday</v>
      </c>
      <c r="I174" s="13">
        <v>46234.0</v>
      </c>
      <c r="J174" s="82">
        <v>0.6736111111111112</v>
      </c>
      <c r="K174" s="15" t="str">
        <f>VLOOKUP( WEEKDAY(L174) ,Lookup!$A$2:$B$8,2,FALSE)</f>
        <v>Friday</v>
      </c>
      <c r="L174" s="78">
        <v>46234.0</v>
      </c>
      <c r="M174" s="82">
        <v>0.7291666666666666</v>
      </c>
      <c r="N174" s="31"/>
      <c r="O174" s="31"/>
      <c r="P174" s="31"/>
      <c r="Q174" s="31"/>
      <c r="R174" s="4"/>
      <c r="S174" s="4"/>
      <c r="T174" s="4"/>
      <c r="U174" s="4"/>
      <c r="V174" s="4"/>
      <c r="W174" s="4"/>
      <c r="X174" s="4"/>
      <c r="Y174" s="4"/>
      <c r="Z174" s="4"/>
      <c r="AA174" s="4"/>
      <c r="AB174" s="4"/>
      <c r="AC174" s="4"/>
      <c r="AD174" s="4"/>
    </row>
    <row r="175" ht="15.75" customHeight="1">
      <c r="A175" s="29">
        <f t="shared" si="1"/>
        <v>174</v>
      </c>
      <c r="B175" s="78">
        <v>46234.0</v>
      </c>
      <c r="C175" s="82">
        <v>0.7291666666666666</v>
      </c>
      <c r="D175" s="15" t="str">
        <f>VLOOKUP( WEEKDAY(B175) ,Lookup!$A$2:$B$8,2,FALSE)</f>
        <v>Friday</v>
      </c>
      <c r="E175" s="31"/>
      <c r="F175" s="72" t="s">
        <v>412</v>
      </c>
      <c r="G175" s="31"/>
      <c r="H175" s="15" t="str">
        <f>VLOOKUP( WEEKDAY(I175) ,Lookup!$A$2:$B$8,2,FALSE)
</f>
        <v>Friday</v>
      </c>
      <c r="I175" s="13">
        <v>46234.0</v>
      </c>
      <c r="J175" s="82">
        <v>0.7291666666666666</v>
      </c>
      <c r="K175" s="15" t="str">
        <f>VLOOKUP( WEEKDAY(L175) ,Lookup!$A$2:$B$8,2,FALSE)</f>
        <v>Friday</v>
      </c>
      <c r="L175" s="78">
        <v>46234.0</v>
      </c>
      <c r="M175" s="82">
        <v>0.7708333333333334</v>
      </c>
      <c r="N175" s="31"/>
      <c r="O175" s="31"/>
      <c r="P175" s="31"/>
      <c r="Q175" s="31"/>
      <c r="R175" s="4"/>
      <c r="S175" s="4"/>
      <c r="T175" s="4"/>
      <c r="U175" s="4"/>
      <c r="V175" s="4"/>
      <c r="W175" s="4"/>
      <c r="X175" s="4"/>
      <c r="Y175" s="4"/>
      <c r="Z175" s="4"/>
      <c r="AA175" s="4"/>
      <c r="AB175" s="4"/>
      <c r="AC175" s="4"/>
      <c r="AD175" s="4"/>
    </row>
    <row r="176" ht="15.75" customHeight="1">
      <c r="A176" s="29">
        <f t="shared" si="1"/>
        <v>175</v>
      </c>
      <c r="B176" s="78">
        <v>46234.0</v>
      </c>
      <c r="C176" s="82">
        <v>0.7708333333333334</v>
      </c>
      <c r="D176" s="15" t="str">
        <f>VLOOKUP( WEEKDAY(B176) ,Lookup!$A$2:$B$8,2,FALSE)</f>
        <v>Friday</v>
      </c>
      <c r="E176" s="31"/>
      <c r="F176" s="72" t="s">
        <v>413</v>
      </c>
      <c r="G176" s="31"/>
      <c r="H176" s="15" t="str">
        <f>VLOOKUP( WEEKDAY(I176) ,Lookup!$A$2:$B$8,2,FALSE)
</f>
        <v>Friday</v>
      </c>
      <c r="I176" s="13">
        <v>46234.0</v>
      </c>
      <c r="J176" s="82">
        <v>0.7916666666666666</v>
      </c>
      <c r="K176" s="15" t="str">
        <f>VLOOKUP( WEEKDAY(L176) ,Lookup!$A$2:$B$8,2,FALSE)</f>
        <v>Friday</v>
      </c>
      <c r="L176" s="78">
        <v>46234.0</v>
      </c>
      <c r="M176" s="82">
        <v>0.9027777777777778</v>
      </c>
      <c r="N176" s="31"/>
      <c r="O176" s="31"/>
      <c r="P176" s="31"/>
      <c r="Q176" s="31"/>
      <c r="R176" s="4"/>
      <c r="S176" s="4"/>
      <c r="T176" s="4"/>
      <c r="U176" s="4"/>
      <c r="V176" s="4"/>
      <c r="W176" s="4"/>
      <c r="X176" s="4"/>
      <c r="Y176" s="4"/>
      <c r="Z176" s="4"/>
      <c r="AA176" s="4"/>
      <c r="AB176" s="4"/>
      <c r="AC176" s="4"/>
      <c r="AD176" s="4"/>
    </row>
    <row r="177" ht="15.75" customHeight="1">
      <c r="A177" s="29">
        <f t="shared" si="1"/>
        <v>176</v>
      </c>
      <c r="B177" s="78">
        <v>46235.0</v>
      </c>
      <c r="C177" s="70">
        <v>0.3229166666666667</v>
      </c>
      <c r="D177" s="15" t="str">
        <f>VLOOKUP( WEEKDAY(B177) ,Lookup!$A$2:$B$8,2,FALSE)</f>
        <v>Saturday</v>
      </c>
      <c r="E177" s="31"/>
      <c r="F177" s="72" t="s">
        <v>414</v>
      </c>
      <c r="G177" s="31"/>
      <c r="H177" s="15" t="str">
        <f>VLOOKUP( WEEKDAY(I177) ,Lookup!$A$2:$B$8,2,FALSE)
</f>
        <v>Saturday</v>
      </c>
      <c r="I177" s="13">
        <v>46235.0</v>
      </c>
      <c r="J177" s="70">
        <v>0.3229166666666667</v>
      </c>
      <c r="K177" s="15" t="str">
        <f>VLOOKUP( WEEKDAY(L177) ,Lookup!$A$2:$B$8,2,FALSE)</f>
        <v>Saturday</v>
      </c>
      <c r="L177" s="78">
        <v>46235.0</v>
      </c>
      <c r="M177" s="31"/>
      <c r="N177" s="31"/>
      <c r="O177" s="31"/>
      <c r="P177" s="31"/>
      <c r="Q177" s="31"/>
      <c r="R177" s="4"/>
      <c r="S177" s="4"/>
      <c r="T177" s="4"/>
      <c r="U177" s="4"/>
      <c r="V177" s="4"/>
      <c r="W177" s="4"/>
      <c r="X177" s="4"/>
      <c r="Y177" s="4"/>
      <c r="Z177" s="4"/>
      <c r="AA177" s="4"/>
      <c r="AB177" s="4"/>
      <c r="AC177" s="4"/>
      <c r="AD177" s="4"/>
    </row>
    <row r="178" ht="15.75" customHeight="1">
      <c r="A178" s="29">
        <f t="shared" si="1"/>
        <v>177</v>
      </c>
      <c r="B178" s="78">
        <v>46237.0</v>
      </c>
      <c r="C178" s="70">
        <v>0.46041666666666664</v>
      </c>
      <c r="D178" s="15" t="str">
        <f>VLOOKUP( WEEKDAY(B178) ,Lookup!$A$2:$B$8,2,FALSE)</f>
        <v>Monday</v>
      </c>
      <c r="E178" s="31"/>
      <c r="F178" s="72" t="s">
        <v>415</v>
      </c>
      <c r="G178" s="31"/>
      <c r="H178" s="15" t="str">
        <f>VLOOKUP( WEEKDAY(I178) ,Lookup!$A$2:$B$8,2,FALSE)
</f>
        <v>Saturday</v>
      </c>
      <c r="I178" s="13">
        <v>46235.0</v>
      </c>
      <c r="J178" s="70">
        <v>0.4236111111111111</v>
      </c>
      <c r="K178" s="15" t="str">
        <f>VLOOKUP( WEEKDAY(L178) ,Lookup!$A$2:$B$8,2,FALSE)</f>
        <v>Saturday</v>
      </c>
      <c r="L178" s="78">
        <v>46235.0</v>
      </c>
      <c r="M178" s="70">
        <v>0.5972222222222222</v>
      </c>
      <c r="N178" s="31"/>
      <c r="O178" s="31"/>
      <c r="P178" s="31"/>
      <c r="Q178" s="31"/>
      <c r="R178" s="4"/>
      <c r="S178" s="4"/>
      <c r="T178" s="4"/>
      <c r="U178" s="4"/>
      <c r="V178" s="4"/>
      <c r="W178" s="4"/>
      <c r="X178" s="4"/>
      <c r="Y178" s="4"/>
      <c r="Z178" s="4"/>
      <c r="AA178" s="4"/>
      <c r="AB178" s="4"/>
      <c r="AC178" s="4"/>
      <c r="AD178" s="4"/>
    </row>
    <row r="179" ht="15.75" customHeight="1">
      <c r="A179" s="29">
        <f t="shared" si="1"/>
        <v>178</v>
      </c>
      <c r="B179" s="78">
        <v>46237.0</v>
      </c>
      <c r="C179" s="70">
        <v>0.46041666666666664</v>
      </c>
      <c r="D179" s="15" t="str">
        <f>VLOOKUP( WEEKDAY(B179) ,Lookup!$A$2:$B$8,2,FALSE)</f>
        <v>Monday</v>
      </c>
      <c r="E179" s="31"/>
      <c r="F179" s="72" t="s">
        <v>416</v>
      </c>
      <c r="G179" s="31"/>
      <c r="H179" s="15" t="str">
        <f>VLOOKUP( WEEKDAY(I179) ,Lookup!$A$2:$B$8,2,FALSE)
</f>
        <v>Saturday</v>
      </c>
      <c r="I179" s="13">
        <v>46235.0</v>
      </c>
      <c r="J179" s="70">
        <v>0.7916666666666666</v>
      </c>
      <c r="K179" s="15" t="str">
        <f>VLOOKUP( WEEKDAY(L179) ,Lookup!$A$2:$B$8,2,FALSE)</f>
        <v>Saturday</v>
      </c>
      <c r="L179" s="78">
        <v>46235.0</v>
      </c>
      <c r="M179" s="70">
        <v>0.8958333333333334</v>
      </c>
      <c r="N179" s="31"/>
      <c r="O179" s="31"/>
      <c r="P179" s="31"/>
      <c r="Q179" s="31"/>
      <c r="R179" s="4"/>
      <c r="S179" s="4"/>
      <c r="T179" s="4"/>
      <c r="U179" s="4"/>
      <c r="V179" s="4"/>
      <c r="W179" s="4"/>
      <c r="X179" s="4"/>
      <c r="Y179" s="4"/>
      <c r="Z179" s="4"/>
      <c r="AA179" s="4"/>
      <c r="AB179" s="4"/>
      <c r="AC179" s="4"/>
      <c r="AD179" s="4"/>
    </row>
    <row r="180" ht="15.75" customHeight="1">
      <c r="A180" s="29">
        <f t="shared" si="1"/>
        <v>179</v>
      </c>
      <c r="B180" s="78">
        <v>46237.0</v>
      </c>
      <c r="C180" s="70">
        <v>0.46041666666666664</v>
      </c>
      <c r="D180" s="15" t="str">
        <f>VLOOKUP( WEEKDAY(B180) ,Lookup!$A$2:$B$8,2,FALSE)</f>
        <v>Monday</v>
      </c>
      <c r="E180" s="31"/>
      <c r="F180" s="72" t="s">
        <v>417</v>
      </c>
      <c r="G180" s="31"/>
      <c r="H180" s="15" t="str">
        <f>VLOOKUP( WEEKDAY(I180) ,Lookup!$A$2:$B$8,2,FALSE)
</f>
        <v>Sunday</v>
      </c>
      <c r="I180" s="13">
        <v>46236.0</v>
      </c>
      <c r="J180" s="80">
        <v>0.4652777777777778</v>
      </c>
      <c r="K180" s="15" t="str">
        <f>VLOOKUP( WEEKDAY(L180) ,Lookup!$A$2:$B$8,2,FALSE)</f>
        <v>Sunday</v>
      </c>
      <c r="L180" s="78">
        <v>46236.0</v>
      </c>
      <c r="M180" s="70">
        <v>0.4861111111111111</v>
      </c>
      <c r="N180" s="31"/>
      <c r="O180" s="31"/>
      <c r="P180" s="31"/>
      <c r="Q180" s="31"/>
      <c r="R180" s="4"/>
      <c r="S180" s="4"/>
      <c r="T180" s="4"/>
      <c r="U180" s="4"/>
      <c r="V180" s="4"/>
      <c r="W180" s="4"/>
      <c r="X180" s="4"/>
      <c r="Y180" s="4"/>
      <c r="Z180" s="4"/>
      <c r="AA180" s="4"/>
      <c r="AB180" s="4"/>
      <c r="AC180" s="4"/>
      <c r="AD180" s="4"/>
    </row>
    <row r="181" ht="15.75" customHeight="1">
      <c r="A181" s="29">
        <f t="shared" si="1"/>
        <v>180</v>
      </c>
      <c r="B181" s="78">
        <v>46237.0</v>
      </c>
      <c r="C181" s="70">
        <v>0.46041666666666664</v>
      </c>
      <c r="D181" s="15" t="str">
        <f>VLOOKUP( WEEKDAY(B181) ,Lookup!$A$2:$B$8,2,FALSE)</f>
        <v>Monday</v>
      </c>
      <c r="E181" s="31"/>
      <c r="F181" s="72" t="s">
        <v>418</v>
      </c>
      <c r="G181" s="31"/>
      <c r="H181" s="15" t="str">
        <f>VLOOKUP( WEEKDAY(I181) ,Lookup!$A$2:$B$8,2,FALSE)
</f>
        <v>Sunday</v>
      </c>
      <c r="I181" s="13">
        <v>46236.0</v>
      </c>
      <c r="J181" s="80">
        <v>0.4861111111111111</v>
      </c>
      <c r="K181" s="15" t="str">
        <f>VLOOKUP( WEEKDAY(L181) ,Lookup!$A$2:$B$8,2,FALSE)</f>
        <v>Sunday</v>
      </c>
      <c r="L181" s="78">
        <v>46236.0</v>
      </c>
      <c r="M181" s="70">
        <v>0.5208333333333334</v>
      </c>
      <c r="N181" s="31"/>
      <c r="O181" s="31"/>
      <c r="P181" s="31"/>
      <c r="Q181" s="31"/>
      <c r="R181" s="4"/>
      <c r="S181" s="4"/>
      <c r="T181" s="4"/>
      <c r="U181" s="4"/>
      <c r="V181" s="4"/>
      <c r="W181" s="4"/>
      <c r="X181" s="4"/>
      <c r="Y181" s="4"/>
      <c r="Z181" s="4"/>
      <c r="AA181" s="4"/>
      <c r="AB181" s="4"/>
      <c r="AC181" s="4"/>
      <c r="AD181" s="4"/>
    </row>
    <row r="182" ht="15.75" customHeight="1">
      <c r="A182" s="29">
        <f t="shared" si="1"/>
        <v>181</v>
      </c>
      <c r="B182" s="78">
        <v>46237.0</v>
      </c>
      <c r="C182" s="70">
        <v>0.46041666666666664</v>
      </c>
      <c r="D182" s="15" t="str">
        <f>VLOOKUP( WEEKDAY(B182) ,Lookup!$A$2:$B$8,2,FALSE)</f>
        <v>Monday</v>
      </c>
      <c r="E182" s="31"/>
      <c r="F182" s="72" t="s">
        <v>419</v>
      </c>
      <c r="G182" s="31"/>
      <c r="H182" s="15" t="str">
        <f>VLOOKUP( WEEKDAY(I182) ,Lookup!$A$2:$B$8,2,FALSE)
</f>
        <v>Sunday</v>
      </c>
      <c r="I182" s="13">
        <v>46236.0</v>
      </c>
      <c r="J182" s="70">
        <v>0.625</v>
      </c>
      <c r="K182" s="15" t="str">
        <f>VLOOKUP( WEEKDAY(L182) ,Lookup!$A$2:$B$8,2,FALSE)</f>
        <v>Sunday</v>
      </c>
      <c r="L182" s="78">
        <v>46236.0</v>
      </c>
      <c r="M182" s="70">
        <v>0.6666666666666666</v>
      </c>
      <c r="N182" s="31"/>
      <c r="O182" s="31"/>
      <c r="P182" s="31"/>
      <c r="Q182" s="31"/>
      <c r="R182" s="4"/>
      <c r="S182" s="4"/>
      <c r="T182" s="4"/>
      <c r="U182" s="4"/>
      <c r="V182" s="4"/>
      <c r="W182" s="4"/>
      <c r="X182" s="4"/>
      <c r="Y182" s="4"/>
      <c r="Z182" s="4"/>
      <c r="AA182" s="4"/>
      <c r="AB182" s="4"/>
      <c r="AC182" s="4"/>
      <c r="AD182" s="4"/>
    </row>
    <row r="183" ht="15.75" customHeight="1">
      <c r="A183" s="29">
        <f t="shared" si="1"/>
        <v>182</v>
      </c>
      <c r="B183" s="78">
        <v>46237.0</v>
      </c>
      <c r="C183" s="70">
        <v>0.46041666666666664</v>
      </c>
      <c r="D183" s="15" t="str">
        <f>VLOOKUP( WEEKDAY(B183) ,Lookup!$A$2:$B$8,2,FALSE)</f>
        <v>Monday</v>
      </c>
      <c r="E183" s="31"/>
      <c r="F183" s="72" t="s">
        <v>420</v>
      </c>
      <c r="G183" s="31"/>
      <c r="H183" s="15" t="str">
        <f>VLOOKUP( WEEKDAY(I183) ,Lookup!$A$2:$B$8,2,FALSE)
</f>
        <v>Sunday</v>
      </c>
      <c r="I183" s="13">
        <v>46236.0</v>
      </c>
      <c r="J183" s="70">
        <v>0.7916666666666666</v>
      </c>
      <c r="K183" s="15" t="str">
        <f>VLOOKUP( WEEKDAY(L183) ,Lookup!$A$2:$B$8,2,FALSE)</f>
        <v>Sunday</v>
      </c>
      <c r="L183" s="78">
        <v>46236.0</v>
      </c>
      <c r="M183" s="70">
        <v>0.9027777777777778</v>
      </c>
      <c r="N183" s="31"/>
      <c r="O183" s="31"/>
      <c r="P183" s="31"/>
      <c r="Q183" s="31"/>
      <c r="R183" s="4"/>
      <c r="S183" s="4"/>
      <c r="T183" s="4"/>
      <c r="U183" s="4"/>
      <c r="V183" s="4"/>
      <c r="W183" s="4"/>
      <c r="X183" s="4"/>
      <c r="Y183" s="4"/>
      <c r="Z183" s="4"/>
      <c r="AA183" s="4"/>
      <c r="AB183" s="4"/>
      <c r="AC183" s="4"/>
      <c r="AD183" s="4"/>
    </row>
    <row r="184" ht="15.75" customHeight="1">
      <c r="A184" s="29">
        <f t="shared" si="1"/>
        <v>183</v>
      </c>
      <c r="B184" s="78">
        <v>46237.0</v>
      </c>
      <c r="C184" s="70">
        <v>0.46041666666666664</v>
      </c>
      <c r="D184" s="15" t="str">
        <f>VLOOKUP( WEEKDAY(B184) ,Lookup!$A$2:$B$8,2,FALSE)</f>
        <v>Monday</v>
      </c>
      <c r="E184" s="31"/>
      <c r="F184" s="72" t="s">
        <v>421</v>
      </c>
      <c r="G184" s="31"/>
      <c r="H184" s="15" t="str">
        <f>VLOOKUP( WEEKDAY(I184) ,Lookup!$A$2:$B$8,2,FALSE)
</f>
        <v>Sunday</v>
      </c>
      <c r="I184" s="13">
        <v>46236.0</v>
      </c>
      <c r="J184" s="70">
        <v>0.9375</v>
      </c>
      <c r="K184" s="15" t="str">
        <f>VLOOKUP( WEEKDAY(L184) ,Lookup!$A$2:$B$8,2,FALSE)</f>
        <v>Sunday</v>
      </c>
      <c r="L184" s="78">
        <v>46236.0</v>
      </c>
      <c r="M184" s="70">
        <v>0.5138888888888888</v>
      </c>
      <c r="N184" s="31"/>
      <c r="O184" s="31"/>
      <c r="P184" s="31"/>
      <c r="Q184" s="31"/>
      <c r="R184" s="4"/>
      <c r="S184" s="4"/>
      <c r="T184" s="4"/>
      <c r="U184" s="4"/>
      <c r="V184" s="4"/>
      <c r="W184" s="4"/>
      <c r="X184" s="4"/>
      <c r="Y184" s="4"/>
      <c r="Z184" s="4"/>
      <c r="AA184" s="4"/>
      <c r="AB184" s="4"/>
      <c r="AC184" s="4"/>
      <c r="AD184" s="4"/>
    </row>
    <row r="185" ht="15.75" customHeight="1">
      <c r="A185" s="29">
        <f t="shared" si="1"/>
        <v>184</v>
      </c>
      <c r="B185" s="78">
        <v>46237.0</v>
      </c>
      <c r="C185" s="70">
        <v>0.6986111111111111</v>
      </c>
      <c r="D185" s="15" t="str">
        <f>VLOOKUP( WEEKDAY(B185) ,Lookup!$A$2:$B$8,2,FALSE)</f>
        <v>Monday</v>
      </c>
      <c r="E185" s="31"/>
      <c r="F185" s="72" t="s">
        <v>422</v>
      </c>
      <c r="G185" s="31"/>
      <c r="H185" s="15" t="str">
        <f>VLOOKUP( WEEKDAY(I185) ,Lookup!$A$2:$B$8,2,FALSE)
</f>
        <v>Monday</v>
      </c>
      <c r="I185" s="13">
        <v>46237.0</v>
      </c>
      <c r="J185" s="70">
        <v>0.4583333333333333</v>
      </c>
      <c r="K185" s="15" t="str">
        <f>VLOOKUP( WEEKDAY(L185) ,Lookup!$A$2:$B$8,2,FALSE)</f>
        <v>Monday</v>
      </c>
      <c r="L185" s="78">
        <v>46237.0</v>
      </c>
      <c r="M185" s="70">
        <v>0.46875</v>
      </c>
      <c r="N185" s="31"/>
      <c r="O185" s="31"/>
      <c r="P185" s="31"/>
      <c r="Q185" s="31"/>
      <c r="R185" s="4"/>
      <c r="S185" s="4"/>
      <c r="T185" s="4"/>
      <c r="U185" s="4"/>
      <c r="V185" s="4"/>
      <c r="W185" s="4"/>
      <c r="X185" s="4"/>
      <c r="Y185" s="4"/>
      <c r="Z185" s="4"/>
      <c r="AA185" s="4"/>
      <c r="AB185" s="4"/>
      <c r="AC185" s="4"/>
      <c r="AD185" s="4"/>
    </row>
    <row r="186" ht="15.75" customHeight="1">
      <c r="A186" s="29">
        <f t="shared" si="1"/>
        <v>185</v>
      </c>
      <c r="B186" s="78">
        <v>46237.0</v>
      </c>
      <c r="C186" s="70">
        <v>0.6986111111111111</v>
      </c>
      <c r="D186" s="15" t="str">
        <f>VLOOKUP( WEEKDAY(B186) ,Lookup!$A$2:$B$8,2,FALSE)</f>
        <v>Monday</v>
      </c>
      <c r="E186" s="31"/>
      <c r="F186" s="72" t="s">
        <v>423</v>
      </c>
      <c r="G186" s="31"/>
      <c r="H186" s="15" t="str">
        <f>VLOOKUP( WEEKDAY(I186) ,Lookup!$A$2:$B$8,2,FALSE)
</f>
        <v>Monday</v>
      </c>
      <c r="I186" s="13">
        <v>46237.0</v>
      </c>
      <c r="J186" s="70">
        <v>0.46875</v>
      </c>
      <c r="K186" s="15" t="str">
        <f>VLOOKUP( WEEKDAY(L186) ,Lookup!$A$2:$B$8,2,FALSE)</f>
        <v>Monday</v>
      </c>
      <c r="L186" s="78">
        <v>46237.0</v>
      </c>
      <c r="M186" s="70">
        <v>0.4791666666666667</v>
      </c>
      <c r="N186" s="31"/>
      <c r="O186" s="31"/>
      <c r="P186" s="31"/>
      <c r="Q186" s="31"/>
      <c r="R186" s="4"/>
      <c r="S186" s="4"/>
      <c r="T186" s="4"/>
      <c r="U186" s="4"/>
      <c r="V186" s="4"/>
      <c r="W186" s="4"/>
      <c r="X186" s="4"/>
      <c r="Y186" s="4"/>
      <c r="Z186" s="4"/>
      <c r="AA186" s="4"/>
      <c r="AB186" s="4"/>
      <c r="AC186" s="4"/>
      <c r="AD186" s="4"/>
    </row>
    <row r="187" ht="15.75" customHeight="1">
      <c r="A187" s="29">
        <f t="shared" si="1"/>
        <v>186</v>
      </c>
      <c r="B187" s="78">
        <v>46237.0</v>
      </c>
      <c r="C187" s="70">
        <v>0.6986111111111111</v>
      </c>
      <c r="D187" s="15" t="str">
        <f>VLOOKUP( WEEKDAY(B187) ,Lookup!$A$2:$B$8,2,FALSE)</f>
        <v>Monday</v>
      </c>
      <c r="E187" s="31"/>
      <c r="F187" s="72" t="s">
        <v>424</v>
      </c>
      <c r="G187" s="31"/>
      <c r="H187" s="15" t="str">
        <f>VLOOKUP( WEEKDAY(I187) ,Lookup!$A$2:$B$8,2,FALSE)
</f>
        <v>Monday</v>
      </c>
      <c r="I187" s="13">
        <v>46237.0</v>
      </c>
      <c r="J187" s="70">
        <v>0.4791666666666667</v>
      </c>
      <c r="K187" s="15" t="str">
        <f>VLOOKUP( WEEKDAY(L187) ,Lookup!$A$2:$B$8,2,FALSE)</f>
        <v>Monday</v>
      </c>
      <c r="L187" s="78">
        <v>46237.0</v>
      </c>
      <c r="M187" s="70">
        <v>0.4895833333333333</v>
      </c>
      <c r="N187" s="31"/>
      <c r="O187" s="31"/>
      <c r="P187" s="31"/>
      <c r="Q187" s="31"/>
      <c r="R187" s="4"/>
      <c r="S187" s="4"/>
      <c r="T187" s="4"/>
      <c r="U187" s="4"/>
      <c r="V187" s="4"/>
      <c r="W187" s="4"/>
      <c r="X187" s="4"/>
      <c r="Y187" s="4"/>
      <c r="Z187" s="4"/>
      <c r="AA187" s="4"/>
      <c r="AB187" s="4"/>
      <c r="AC187" s="4"/>
      <c r="AD187" s="4"/>
    </row>
    <row r="188" ht="15.75" customHeight="1">
      <c r="A188" s="29">
        <f t="shared" si="1"/>
        <v>187</v>
      </c>
      <c r="B188" s="78">
        <v>46237.0</v>
      </c>
      <c r="C188" s="70">
        <v>0.6986111111111111</v>
      </c>
      <c r="D188" s="15" t="str">
        <f>VLOOKUP( WEEKDAY(B188) ,Lookup!$A$2:$B$8,2,FALSE)</f>
        <v>Monday</v>
      </c>
      <c r="E188" s="31"/>
      <c r="F188" s="72" t="s">
        <v>425</v>
      </c>
      <c r="G188" s="31"/>
      <c r="H188" s="15" t="str">
        <f>VLOOKUP( WEEKDAY(I188) ,Lookup!$A$2:$B$8,2,FALSE)
</f>
        <v>Monday</v>
      </c>
      <c r="I188" s="13">
        <v>46237.0</v>
      </c>
      <c r="J188" s="70">
        <v>0.5</v>
      </c>
      <c r="K188" s="15" t="str">
        <f>VLOOKUP( WEEKDAY(L188) ,Lookup!$A$2:$B$8,2,FALSE)</f>
        <v>Monday</v>
      </c>
      <c r="L188" s="78">
        <v>46237.0</v>
      </c>
      <c r="M188" s="70">
        <v>0.59375</v>
      </c>
      <c r="N188" s="31"/>
      <c r="O188" s="31"/>
      <c r="P188" s="31"/>
      <c r="Q188" s="31"/>
      <c r="R188" s="4"/>
      <c r="S188" s="4"/>
      <c r="T188" s="4"/>
      <c r="U188" s="4"/>
      <c r="V188" s="4"/>
      <c r="W188" s="4"/>
      <c r="X188" s="4"/>
      <c r="Y188" s="4"/>
      <c r="Z188" s="4"/>
      <c r="AA188" s="4"/>
      <c r="AB188" s="4"/>
      <c r="AC188" s="4"/>
      <c r="AD188" s="4"/>
    </row>
    <row r="189" ht="15.75" customHeight="1">
      <c r="A189" s="29">
        <f t="shared" si="1"/>
        <v>188</v>
      </c>
      <c r="B189" s="78">
        <v>46237.0</v>
      </c>
      <c r="C189" s="70">
        <v>0.6986111111111111</v>
      </c>
      <c r="D189" s="15" t="str">
        <f>VLOOKUP( WEEKDAY(B189) ,Lookup!$A$2:$B$8,2,FALSE)</f>
        <v>Monday</v>
      </c>
      <c r="E189" s="31"/>
      <c r="F189" s="72" t="s">
        <v>426</v>
      </c>
      <c r="G189" s="31"/>
      <c r="H189" s="15" t="str">
        <f>VLOOKUP( WEEKDAY(I189) ,Lookup!$A$2:$B$8,2,FALSE)
</f>
        <v>Monday</v>
      </c>
      <c r="I189" s="13">
        <v>46237.0</v>
      </c>
      <c r="J189" s="70">
        <v>0.59375</v>
      </c>
      <c r="K189" s="15" t="str">
        <f>VLOOKUP( WEEKDAY(L189) ,Lookup!$A$2:$B$8,2,FALSE)</f>
        <v>Monday</v>
      </c>
      <c r="L189" s="78">
        <v>46237.0</v>
      </c>
      <c r="M189" s="70">
        <v>0.625</v>
      </c>
      <c r="N189" s="31"/>
      <c r="O189" s="31"/>
      <c r="P189" s="31"/>
      <c r="Q189" s="31"/>
      <c r="R189" s="4"/>
      <c r="S189" s="4"/>
      <c r="T189" s="4"/>
      <c r="U189" s="4"/>
      <c r="V189" s="4"/>
      <c r="W189" s="4"/>
      <c r="X189" s="4"/>
      <c r="Y189" s="4"/>
      <c r="Z189" s="4"/>
      <c r="AA189" s="4"/>
      <c r="AB189" s="4"/>
      <c r="AC189" s="4"/>
      <c r="AD189" s="4"/>
    </row>
    <row r="190" ht="15.75" customHeight="1">
      <c r="A190" s="29">
        <f t="shared" si="1"/>
        <v>189</v>
      </c>
      <c r="B190" s="78">
        <v>46237.0</v>
      </c>
      <c r="C190" s="70">
        <v>0.6986111111111111</v>
      </c>
      <c r="D190" s="15" t="str">
        <f>VLOOKUP( WEEKDAY(B190) ,Lookup!$A$2:$B$8,2,FALSE)</f>
        <v>Monday</v>
      </c>
      <c r="E190" s="31"/>
      <c r="F190" s="72" t="s">
        <v>427</v>
      </c>
      <c r="G190" s="31"/>
      <c r="H190" s="15" t="str">
        <f>VLOOKUP( WEEKDAY(I190) ,Lookup!$A$2:$B$8,2,FALSE)
</f>
        <v>Monday</v>
      </c>
      <c r="I190" s="13">
        <v>46237.0</v>
      </c>
      <c r="J190" s="70">
        <v>0.625</v>
      </c>
      <c r="K190" s="15" t="str">
        <f>VLOOKUP( WEEKDAY(L190) ,Lookup!$A$2:$B$8,2,FALSE)</f>
        <v>Monday</v>
      </c>
      <c r="L190" s="78">
        <v>46237.0</v>
      </c>
      <c r="M190" s="70">
        <v>0.6319444444444444</v>
      </c>
      <c r="N190" s="31"/>
      <c r="O190" s="31"/>
      <c r="P190" s="31"/>
      <c r="Q190" s="31"/>
      <c r="R190" s="4"/>
      <c r="S190" s="4"/>
      <c r="T190" s="4"/>
      <c r="U190" s="4"/>
      <c r="V190" s="4"/>
      <c r="W190" s="4"/>
      <c r="X190" s="4"/>
      <c r="Y190" s="4"/>
      <c r="Z190" s="4"/>
      <c r="AA190" s="4"/>
      <c r="AB190" s="4"/>
      <c r="AC190" s="4"/>
      <c r="AD190" s="4"/>
    </row>
    <row r="191" ht="15.75" customHeight="1">
      <c r="A191" s="29">
        <f t="shared" si="1"/>
        <v>190</v>
      </c>
      <c r="B191" s="78">
        <v>46237.0</v>
      </c>
      <c r="C191" s="70">
        <v>0.6986111111111111</v>
      </c>
      <c r="D191" s="15" t="str">
        <f>VLOOKUP( WEEKDAY(B191) ,Lookup!$A$2:$B$8,2,FALSE)</f>
        <v>Monday</v>
      </c>
      <c r="E191" s="31"/>
      <c r="F191" s="72" t="s">
        <v>428</v>
      </c>
      <c r="G191" s="31"/>
      <c r="H191" s="15" t="str">
        <f>VLOOKUP( WEEKDAY(I191) ,Lookup!$A$2:$B$8,2,FALSE)
</f>
        <v>Monday</v>
      </c>
      <c r="I191" s="13">
        <v>46237.0</v>
      </c>
      <c r="J191" s="70">
        <v>0.6319444444444444</v>
      </c>
      <c r="K191" s="15" t="str">
        <f>VLOOKUP( WEEKDAY(L191) ,Lookup!$A$2:$B$8,2,FALSE)</f>
        <v>Monday</v>
      </c>
      <c r="L191" s="78">
        <v>46237.0</v>
      </c>
      <c r="M191" s="70">
        <v>0.6388888888888888</v>
      </c>
      <c r="N191" s="31"/>
      <c r="O191" s="31"/>
      <c r="P191" s="31"/>
      <c r="Q191" s="31"/>
      <c r="R191" s="4"/>
      <c r="S191" s="4"/>
      <c r="T191" s="4"/>
      <c r="U191" s="4"/>
      <c r="V191" s="4"/>
      <c r="W191" s="4"/>
      <c r="X191" s="4"/>
      <c r="Y191" s="4"/>
      <c r="Z191" s="4"/>
      <c r="AA191" s="4"/>
      <c r="AB191" s="4"/>
      <c r="AC191" s="4"/>
      <c r="AD191" s="4"/>
    </row>
    <row r="192" ht="15.75" customHeight="1">
      <c r="A192" s="29">
        <f t="shared" si="1"/>
        <v>191</v>
      </c>
      <c r="B192" s="78">
        <v>46237.0</v>
      </c>
      <c r="C192" s="70">
        <v>0.6986111111111111</v>
      </c>
      <c r="D192" s="15" t="str">
        <f>VLOOKUP( WEEKDAY(B192) ,Lookup!$A$2:$B$8,2,FALSE)</f>
        <v>Monday</v>
      </c>
      <c r="E192" s="31"/>
      <c r="F192" s="72" t="s">
        <v>429</v>
      </c>
      <c r="G192" s="31"/>
      <c r="H192" s="15" t="str">
        <f>VLOOKUP( WEEKDAY(I192) ,Lookup!$A$2:$B$8,2,FALSE)
</f>
        <v>Monday</v>
      </c>
      <c r="I192" s="13">
        <v>46237.0</v>
      </c>
      <c r="J192" s="70">
        <v>0.6388888888888888</v>
      </c>
      <c r="K192" s="15" t="str">
        <f>VLOOKUP( WEEKDAY(L192) ,Lookup!$A$2:$B$8,2,FALSE)</f>
        <v>Monday</v>
      </c>
      <c r="L192" s="78">
        <v>46237.0</v>
      </c>
      <c r="M192" s="70">
        <v>0.6423611111111112</v>
      </c>
      <c r="N192" s="31"/>
      <c r="O192" s="31"/>
      <c r="P192" s="31"/>
      <c r="Q192" s="31"/>
      <c r="R192" s="4"/>
      <c r="S192" s="4"/>
      <c r="T192" s="4"/>
      <c r="U192" s="4"/>
      <c r="V192" s="4"/>
      <c r="W192" s="4"/>
      <c r="X192" s="4"/>
      <c r="Y192" s="4"/>
      <c r="Z192" s="4"/>
      <c r="AA192" s="4"/>
      <c r="AB192" s="4"/>
      <c r="AC192" s="4"/>
      <c r="AD192" s="4"/>
    </row>
    <row r="193" ht="15.75" customHeight="1">
      <c r="A193" s="29">
        <f t="shared" si="1"/>
        <v>192</v>
      </c>
      <c r="B193" s="78">
        <v>46237.0</v>
      </c>
      <c r="C193" s="70">
        <v>0.6986111111111111</v>
      </c>
      <c r="D193" s="15" t="str">
        <f>VLOOKUP( WEEKDAY(B193) ,Lookup!$A$2:$B$8,2,FALSE)</f>
        <v>Monday</v>
      </c>
      <c r="E193" s="31"/>
      <c r="F193" s="72" t="s">
        <v>430</v>
      </c>
      <c r="G193" s="31"/>
      <c r="H193" s="15" t="str">
        <f>VLOOKUP( WEEKDAY(I193) ,Lookup!$A$2:$B$8,2,FALSE)
</f>
        <v>Monday</v>
      </c>
      <c r="I193" s="13">
        <v>46237.0</v>
      </c>
      <c r="J193" s="70">
        <v>0.6423611111111112</v>
      </c>
      <c r="K193" s="15" t="str">
        <f>VLOOKUP( WEEKDAY(L193) ,Lookup!$A$2:$B$8,2,FALSE)</f>
        <v>Monday</v>
      </c>
      <c r="L193" s="78">
        <v>46237.0</v>
      </c>
      <c r="M193" s="70">
        <v>0.6875</v>
      </c>
      <c r="N193" s="31"/>
      <c r="O193" s="31"/>
      <c r="P193" s="31"/>
      <c r="Q193" s="31"/>
      <c r="R193" s="4"/>
      <c r="S193" s="4"/>
      <c r="T193" s="4"/>
      <c r="U193" s="4"/>
      <c r="V193" s="4"/>
      <c r="W193" s="4"/>
      <c r="X193" s="4"/>
      <c r="Y193" s="4"/>
      <c r="Z193" s="4"/>
      <c r="AA193" s="4"/>
      <c r="AB193" s="4"/>
      <c r="AC193" s="4"/>
      <c r="AD193" s="4"/>
    </row>
    <row r="194" ht="15.75" customHeight="1">
      <c r="A194" s="29">
        <f t="shared" si="1"/>
        <v>193</v>
      </c>
      <c r="B194" s="78">
        <v>46237.0</v>
      </c>
      <c r="C194" s="70">
        <v>0.5104166666666666</v>
      </c>
      <c r="D194" s="15" t="str">
        <f>VLOOKUP( WEEKDAY(B194) ,Lookup!$A$2:$B$8,2,FALSE)</f>
        <v>Monday</v>
      </c>
      <c r="E194" s="31"/>
      <c r="F194" s="72" t="s">
        <v>431</v>
      </c>
      <c r="G194" s="31"/>
      <c r="H194" s="15" t="str">
        <f>VLOOKUP( WEEKDAY(I194) ,Lookup!$A$2:$B$8,2,FALSE)
</f>
        <v>Monday</v>
      </c>
      <c r="I194" s="13">
        <v>46237.0</v>
      </c>
      <c r="J194" s="31"/>
      <c r="K194" s="15" t="str">
        <f>VLOOKUP( WEEKDAY(L194) ,Lookup!$A$2:$B$8,2,FALSE)</f>
        <v>Monday</v>
      </c>
      <c r="L194" s="78">
        <v>46237.0</v>
      </c>
      <c r="M194" s="31"/>
      <c r="N194" s="31"/>
      <c r="O194" s="31"/>
      <c r="P194" s="4"/>
      <c r="Q194" s="4"/>
      <c r="R194" s="4"/>
      <c r="S194" s="4"/>
      <c r="T194" s="4"/>
      <c r="U194" s="4"/>
      <c r="V194" s="4"/>
      <c r="W194" s="4"/>
      <c r="X194" s="4"/>
      <c r="Y194" s="4"/>
      <c r="Z194" s="4"/>
      <c r="AA194" s="4"/>
      <c r="AB194" s="4"/>
      <c r="AC194" s="4"/>
      <c r="AD194" s="4"/>
    </row>
    <row r="195" ht="15.75" customHeight="1">
      <c r="A195" s="29">
        <f t="shared" si="1"/>
        <v>194</v>
      </c>
      <c r="B195" s="78">
        <v>46237.0</v>
      </c>
      <c r="C195" s="70">
        <v>0.5104166666666666</v>
      </c>
      <c r="D195" s="15" t="str">
        <f>VLOOKUP( WEEKDAY(B195) ,Lookup!$A$2:$B$8,2,FALSE)</f>
        <v>Monday</v>
      </c>
      <c r="E195" s="31"/>
      <c r="F195" s="72" t="s">
        <v>432</v>
      </c>
      <c r="G195" s="31"/>
      <c r="H195" s="15" t="str">
        <f>VLOOKUP( WEEKDAY(I195) ,Lookup!$A$2:$B$8,2,FALSE)
</f>
        <v>Monday</v>
      </c>
      <c r="I195" s="13">
        <v>46237.0</v>
      </c>
      <c r="J195" s="31"/>
      <c r="K195" s="15" t="str">
        <f>VLOOKUP( WEEKDAY(L195) ,Lookup!$A$2:$B$8,2,FALSE)</f>
        <v>Monday</v>
      </c>
      <c r="L195" s="78">
        <v>46237.0</v>
      </c>
      <c r="M195" s="31"/>
      <c r="N195" s="31"/>
      <c r="O195" s="31"/>
      <c r="P195" s="4"/>
      <c r="Q195" s="4"/>
      <c r="R195" s="4"/>
      <c r="S195" s="4"/>
      <c r="T195" s="4"/>
      <c r="U195" s="4"/>
      <c r="V195" s="4"/>
      <c r="W195" s="4"/>
      <c r="X195" s="4"/>
      <c r="Y195" s="4"/>
      <c r="Z195" s="4"/>
      <c r="AA195" s="4"/>
      <c r="AB195" s="4"/>
      <c r="AC195" s="4"/>
      <c r="AD195" s="4"/>
    </row>
    <row r="196" ht="15.75" customHeight="1">
      <c r="A196" s="29">
        <f t="shared" si="1"/>
        <v>195</v>
      </c>
      <c r="B196" s="78">
        <v>46237.0</v>
      </c>
      <c r="C196" s="70">
        <v>0.5104166666666666</v>
      </c>
      <c r="D196" s="15" t="str">
        <f>VLOOKUP( WEEKDAY(B196) ,Lookup!$A$2:$B$8,2,FALSE)</f>
        <v>Monday</v>
      </c>
      <c r="E196" s="31"/>
      <c r="F196" s="72" t="s">
        <v>433</v>
      </c>
      <c r="G196" s="31"/>
      <c r="H196" s="15" t="str">
        <f>VLOOKUP( WEEKDAY(I196) ,Lookup!$A$2:$B$8,2,FALSE)
</f>
        <v>Monday</v>
      </c>
      <c r="I196" s="13">
        <v>46237.0</v>
      </c>
      <c r="J196" s="31"/>
      <c r="K196" s="15" t="str">
        <f>VLOOKUP( WEEKDAY(L196) ,Lookup!$A$2:$B$8,2,FALSE)</f>
        <v>Monday</v>
      </c>
      <c r="L196" s="78">
        <v>46237.0</v>
      </c>
      <c r="M196" s="31"/>
      <c r="N196" s="31"/>
      <c r="O196" s="31"/>
      <c r="P196" s="4"/>
      <c r="Q196" s="4"/>
      <c r="R196" s="4"/>
      <c r="S196" s="4"/>
      <c r="T196" s="4"/>
      <c r="U196" s="4"/>
      <c r="V196" s="4"/>
      <c r="W196" s="4"/>
      <c r="X196" s="4"/>
      <c r="Y196" s="4"/>
      <c r="Z196" s="4"/>
      <c r="AA196" s="4"/>
      <c r="AB196" s="4"/>
      <c r="AC196" s="4"/>
      <c r="AD196" s="4"/>
    </row>
    <row r="197" ht="15.75" customHeight="1">
      <c r="A197" s="29">
        <f t="shared" si="1"/>
        <v>196</v>
      </c>
      <c r="B197" s="78">
        <v>46237.0</v>
      </c>
      <c r="C197" s="70">
        <v>0.5104166666666666</v>
      </c>
      <c r="D197" s="15" t="str">
        <f>VLOOKUP( WEEKDAY(B197) ,Lookup!$A$2:$B$8,2,FALSE)</f>
        <v>Monday</v>
      </c>
      <c r="E197" s="31"/>
      <c r="F197" s="72" t="s">
        <v>416</v>
      </c>
      <c r="G197" s="31"/>
      <c r="H197" s="15" t="str">
        <f>VLOOKUP( WEEKDAY(I197) ,Lookup!$A$2:$B$8,2,FALSE)
</f>
        <v>Monday</v>
      </c>
      <c r="I197" s="13">
        <v>46237.0</v>
      </c>
      <c r="J197" s="70">
        <v>0.7916666666666666</v>
      </c>
      <c r="K197" s="15" t="str">
        <f>VLOOKUP( WEEKDAY(L197) ,Lookup!$A$2:$B$8,2,FALSE)</f>
        <v>Monday</v>
      </c>
      <c r="L197" s="78">
        <v>46237.0</v>
      </c>
      <c r="M197" s="70">
        <v>0.875</v>
      </c>
      <c r="N197" s="31"/>
      <c r="O197" s="31"/>
      <c r="P197" s="4"/>
      <c r="Q197" s="4"/>
      <c r="R197" s="4"/>
      <c r="S197" s="4"/>
      <c r="T197" s="4"/>
      <c r="U197" s="4"/>
      <c r="V197" s="4"/>
      <c r="W197" s="4"/>
      <c r="X197" s="4"/>
      <c r="Y197" s="4"/>
      <c r="Z197" s="4"/>
      <c r="AA197" s="4"/>
      <c r="AB197" s="4"/>
      <c r="AC197" s="4"/>
      <c r="AD197" s="4"/>
    </row>
    <row r="198" ht="15.75" customHeight="1">
      <c r="A198" s="29">
        <f t="shared" si="1"/>
        <v>197</v>
      </c>
      <c r="B198" s="78">
        <v>46237.0</v>
      </c>
      <c r="C198" s="70">
        <v>0.44166666666666665</v>
      </c>
      <c r="D198" s="15" t="str">
        <f>VLOOKUP( WEEKDAY(B198) ,Lookup!$A$2:$B$8,2,FALSE)</f>
        <v>Monday</v>
      </c>
      <c r="E198" s="31"/>
      <c r="F198" s="72" t="s">
        <v>434</v>
      </c>
      <c r="G198" s="31"/>
      <c r="H198" s="15" t="str">
        <f>VLOOKUP( WEEKDAY(I198) ,Lookup!$A$2:$B$8,2,FALSE)
</f>
        <v>Monday</v>
      </c>
      <c r="I198" s="13">
        <v>46237.0</v>
      </c>
      <c r="J198" s="70">
        <v>0.875</v>
      </c>
      <c r="K198" s="15" t="str">
        <f>VLOOKUP( WEEKDAY(L198) ,Lookup!$A$2:$B$8,2,FALSE)</f>
        <v>Monday</v>
      </c>
      <c r="L198" s="78">
        <v>46237.0</v>
      </c>
      <c r="M198" s="70">
        <v>0.9583333333333334</v>
      </c>
      <c r="N198" s="31"/>
      <c r="O198" s="31"/>
      <c r="P198" s="4"/>
      <c r="Q198" s="4"/>
      <c r="R198" s="4"/>
      <c r="S198" s="4"/>
      <c r="T198" s="4"/>
      <c r="U198" s="4"/>
      <c r="V198" s="4"/>
      <c r="W198" s="4"/>
      <c r="X198" s="4"/>
      <c r="Y198" s="4"/>
      <c r="Z198" s="4"/>
      <c r="AA198" s="4"/>
      <c r="AB198" s="4"/>
      <c r="AC198" s="4"/>
      <c r="AD198" s="4"/>
    </row>
    <row r="199" ht="15.75" customHeight="1">
      <c r="A199" s="29">
        <f t="shared" si="1"/>
        <v>198</v>
      </c>
      <c r="B199" s="78">
        <v>46238.0</v>
      </c>
      <c r="C199" s="70">
        <v>0.4375</v>
      </c>
      <c r="D199" s="15" t="str">
        <f>VLOOKUP( WEEKDAY(B199) ,Lookup!$A$2:$B$8,2,FALSE)</f>
        <v>Tuesday</v>
      </c>
      <c r="E199" s="31"/>
      <c r="F199" s="72" t="s">
        <v>435</v>
      </c>
      <c r="G199" s="31"/>
      <c r="H199" s="15" t="str">
        <f>VLOOKUP( WEEKDAY(I199) ,Lookup!$A$2:$B$8,2,FALSE)
</f>
        <v>Tuesday</v>
      </c>
      <c r="I199" s="78">
        <v>46238.0</v>
      </c>
      <c r="J199" s="70">
        <v>0.4375</v>
      </c>
      <c r="K199" s="15" t="str">
        <f>VLOOKUP( WEEKDAY(L199) ,Lookup!$A$2:$B$8,2,FALSE)</f>
        <v>Tuesday</v>
      </c>
      <c r="L199" s="78">
        <v>46238.0</v>
      </c>
      <c r="M199" s="70">
        <v>0.4791666666666667</v>
      </c>
      <c r="N199" s="31"/>
      <c r="O199" s="31"/>
      <c r="P199" s="4"/>
      <c r="Q199" s="4"/>
      <c r="R199" s="4"/>
      <c r="S199" s="4"/>
      <c r="T199" s="4"/>
      <c r="U199" s="4"/>
      <c r="V199" s="4"/>
      <c r="W199" s="4"/>
      <c r="X199" s="4"/>
      <c r="Y199" s="4"/>
      <c r="Z199" s="4"/>
      <c r="AA199" s="4"/>
      <c r="AB199" s="4"/>
      <c r="AC199" s="4"/>
      <c r="AD199" s="4"/>
    </row>
    <row r="200" ht="15.75" customHeight="1">
      <c r="A200" s="29">
        <f t="shared" si="1"/>
        <v>199</v>
      </c>
      <c r="B200" s="78">
        <v>46238.0</v>
      </c>
      <c r="C200" s="70">
        <v>0.4895833333333333</v>
      </c>
      <c r="D200" s="15" t="str">
        <f>VLOOKUP( WEEKDAY(B200) ,Lookup!$A$2:$B$8,2,FALSE)</f>
        <v>Tuesday</v>
      </c>
      <c r="E200" s="31"/>
      <c r="F200" s="72" t="s">
        <v>436</v>
      </c>
      <c r="G200" s="31"/>
      <c r="H200" s="15" t="str">
        <f>VLOOKUP( WEEKDAY(I200) ,Lookup!$A$2:$B$8,2,FALSE)
</f>
        <v>Tuesday</v>
      </c>
      <c r="I200" s="78">
        <v>46238.0</v>
      </c>
      <c r="J200" s="70">
        <v>0.4895833333333333</v>
      </c>
      <c r="K200" s="15" t="str">
        <f>VLOOKUP( WEEKDAY(L200) ,Lookup!$A$2:$B$8,2,FALSE)</f>
        <v>Tuesday</v>
      </c>
      <c r="L200" s="78">
        <v>46238.0</v>
      </c>
      <c r="M200" s="80">
        <v>0.5208333333333334</v>
      </c>
      <c r="N200" s="31"/>
      <c r="O200" s="31"/>
      <c r="P200" s="4"/>
      <c r="Q200" s="4"/>
      <c r="R200" s="4"/>
      <c r="S200" s="4"/>
      <c r="T200" s="4"/>
      <c r="U200" s="4"/>
      <c r="V200" s="4"/>
      <c r="W200" s="4"/>
      <c r="X200" s="4"/>
      <c r="Y200" s="4"/>
      <c r="Z200" s="4"/>
      <c r="AA200" s="4"/>
      <c r="AB200" s="4"/>
      <c r="AC200" s="4"/>
      <c r="AD200" s="4"/>
    </row>
    <row r="201" ht="15.75" customHeight="1">
      <c r="A201" s="29">
        <f t="shared" si="1"/>
        <v>200</v>
      </c>
      <c r="B201" s="78">
        <v>46238.0</v>
      </c>
      <c r="C201" s="80">
        <v>0.5208333333333334</v>
      </c>
      <c r="D201" s="15" t="str">
        <f>VLOOKUP( WEEKDAY(B201) ,Lookup!$A$2:$B$8,2,FALSE)</f>
        <v>Tuesday</v>
      </c>
      <c r="E201" s="31"/>
      <c r="F201" s="72" t="s">
        <v>437</v>
      </c>
      <c r="G201" s="31"/>
      <c r="H201" s="15" t="str">
        <f>VLOOKUP( WEEKDAY(I201) ,Lookup!$A$2:$B$8,2,FALSE)
</f>
        <v>Tuesday</v>
      </c>
      <c r="I201" s="78">
        <v>46238.0</v>
      </c>
      <c r="J201" s="70">
        <v>0.5208333333333334</v>
      </c>
      <c r="K201" s="15" t="str">
        <f>VLOOKUP( WEEKDAY(L201) ,Lookup!$A$2:$B$8,2,FALSE)</f>
        <v>Tuesday</v>
      </c>
      <c r="L201" s="78">
        <v>46238.0</v>
      </c>
      <c r="M201" s="70">
        <v>0.5625</v>
      </c>
      <c r="N201" s="31"/>
      <c r="O201" s="31"/>
      <c r="P201" s="4"/>
      <c r="Q201" s="4"/>
      <c r="R201" s="4"/>
      <c r="S201" s="4"/>
      <c r="T201" s="4"/>
      <c r="U201" s="4"/>
      <c r="V201" s="4"/>
      <c r="W201" s="4"/>
      <c r="X201" s="4"/>
      <c r="Y201" s="4"/>
      <c r="Z201" s="4"/>
      <c r="AA201" s="4"/>
      <c r="AB201" s="4"/>
      <c r="AC201" s="4"/>
      <c r="AD201" s="4"/>
    </row>
    <row r="202" ht="15.75" customHeight="1">
      <c r="A202" s="29">
        <f t="shared" si="1"/>
        <v>201</v>
      </c>
      <c r="B202" s="78">
        <v>46238.0</v>
      </c>
      <c r="C202" s="70">
        <v>0.5625</v>
      </c>
      <c r="D202" s="15" t="str">
        <f>VLOOKUP( WEEKDAY(B202) ,Lookup!$A$2:$B$8,2,FALSE)</f>
        <v>Tuesday</v>
      </c>
      <c r="E202" s="31"/>
      <c r="F202" s="72" t="s">
        <v>438</v>
      </c>
      <c r="G202" s="31"/>
      <c r="H202" s="15" t="str">
        <f>VLOOKUP( WEEKDAY(I202) ,Lookup!$A$2:$B$8,2,FALSE)
</f>
        <v>Tuesday</v>
      </c>
      <c r="I202" s="78">
        <v>46238.0</v>
      </c>
      <c r="J202" s="70">
        <v>0.5625</v>
      </c>
      <c r="K202" s="15" t="str">
        <f>VLOOKUP( WEEKDAY(L202) ,Lookup!$A$2:$B$8,2,FALSE)</f>
        <v>Tuesday</v>
      </c>
      <c r="L202" s="78">
        <v>46238.0</v>
      </c>
      <c r="M202" s="70">
        <v>0.5833333333333334</v>
      </c>
      <c r="N202" s="31"/>
      <c r="O202" s="31"/>
      <c r="P202" s="4"/>
      <c r="Q202" s="4"/>
      <c r="R202" s="4"/>
      <c r="S202" s="4"/>
      <c r="T202" s="4"/>
      <c r="U202" s="4"/>
      <c r="V202" s="4"/>
      <c r="W202" s="4"/>
      <c r="X202" s="4"/>
      <c r="Y202" s="4"/>
      <c r="Z202" s="4"/>
      <c r="AA202" s="4"/>
      <c r="AB202" s="4"/>
      <c r="AC202" s="4"/>
      <c r="AD202" s="4"/>
    </row>
    <row r="203" ht="15.75" customHeight="1">
      <c r="A203" s="29">
        <f t="shared" si="1"/>
        <v>202</v>
      </c>
      <c r="B203" s="78">
        <v>46238.0</v>
      </c>
      <c r="C203" s="70">
        <v>0.5833333333333334</v>
      </c>
      <c r="D203" s="15" t="str">
        <f>VLOOKUP( WEEKDAY(B203) ,Lookup!$A$2:$B$8,2,FALSE)</f>
        <v>Tuesday</v>
      </c>
      <c r="E203" s="31"/>
      <c r="F203" s="72" t="s">
        <v>439</v>
      </c>
      <c r="G203" s="31"/>
      <c r="H203" s="15" t="str">
        <f>VLOOKUP( WEEKDAY(I203) ,Lookup!$A$2:$B$8,2,FALSE)
</f>
        <v>Tuesday</v>
      </c>
      <c r="I203" s="78">
        <v>46238.0</v>
      </c>
      <c r="J203" s="70">
        <v>0.5833333333333334</v>
      </c>
      <c r="K203" s="15" t="str">
        <f>VLOOKUP( WEEKDAY(L203) ,Lookup!$A$2:$B$8,2,FALSE)</f>
        <v>Tuesday</v>
      </c>
      <c r="L203" s="78">
        <v>46238.0</v>
      </c>
      <c r="M203" s="70">
        <v>0.6458333333333334</v>
      </c>
      <c r="N203" s="31"/>
      <c r="O203" s="31"/>
      <c r="P203" s="4"/>
      <c r="Q203" s="4"/>
      <c r="R203" s="4"/>
      <c r="S203" s="4"/>
      <c r="T203" s="4"/>
      <c r="U203" s="4"/>
      <c r="V203" s="4"/>
      <c r="W203" s="4"/>
      <c r="X203" s="4"/>
      <c r="Y203" s="4"/>
      <c r="Z203" s="4"/>
      <c r="AA203" s="4"/>
      <c r="AB203" s="4"/>
      <c r="AC203" s="4"/>
      <c r="AD203" s="4"/>
    </row>
    <row r="204" ht="15.75" customHeight="1">
      <c r="A204" s="29">
        <f t="shared" si="1"/>
        <v>203</v>
      </c>
      <c r="B204" s="78">
        <v>46238.0</v>
      </c>
      <c r="C204" s="70">
        <v>0.6458333333333334</v>
      </c>
      <c r="D204" s="15" t="str">
        <f>VLOOKUP( WEEKDAY(B204) ,Lookup!$A$2:$B$8,2,FALSE)</f>
        <v>Tuesday</v>
      </c>
      <c r="E204" s="31"/>
      <c r="F204" s="72" t="s">
        <v>440</v>
      </c>
      <c r="G204" s="31"/>
      <c r="H204" s="15" t="str">
        <f>VLOOKUP( WEEKDAY(I204) ,Lookup!$A$2:$B$8,2,FALSE)
</f>
        <v>Tuesday</v>
      </c>
      <c r="I204" s="78">
        <v>46238.0</v>
      </c>
      <c r="J204" s="70">
        <v>0.6458333333333334</v>
      </c>
      <c r="K204" s="15" t="str">
        <f>VLOOKUP( WEEKDAY(L204) ,Lookup!$A$2:$B$8,2,FALSE)</f>
        <v>Tuesday</v>
      </c>
      <c r="L204" s="78">
        <v>46238.0</v>
      </c>
      <c r="M204" s="70">
        <v>0.6875</v>
      </c>
      <c r="N204" s="73" t="s">
        <v>441</v>
      </c>
      <c r="O204" s="31"/>
      <c r="P204" s="4"/>
      <c r="Q204" s="4"/>
      <c r="R204" s="4"/>
      <c r="S204" s="4"/>
      <c r="T204" s="4"/>
      <c r="U204" s="4"/>
      <c r="V204" s="4"/>
      <c r="W204" s="4"/>
      <c r="X204" s="4"/>
      <c r="Y204" s="4"/>
      <c r="Z204" s="4"/>
      <c r="AA204" s="4"/>
      <c r="AB204" s="4"/>
      <c r="AC204" s="4"/>
      <c r="AD204" s="4"/>
    </row>
    <row r="205" ht="15.75" customHeight="1">
      <c r="A205" s="29">
        <f t="shared" si="1"/>
        <v>204</v>
      </c>
      <c r="B205" s="78">
        <v>46238.0</v>
      </c>
      <c r="C205" s="70">
        <v>0.6875</v>
      </c>
      <c r="D205" s="15" t="str">
        <f>VLOOKUP( WEEKDAY(B205) ,Lookup!$A$2:$B$8,2,FALSE)</f>
        <v>Tuesday</v>
      </c>
      <c r="E205" s="4"/>
      <c r="F205" s="83" t="s">
        <v>442</v>
      </c>
      <c r="G205" s="4"/>
      <c r="H205" s="15" t="str">
        <f>VLOOKUP( WEEKDAY(I205) ,Lookup!$A$2:$B$8,2,FALSE)
</f>
        <v>Tuesday</v>
      </c>
      <c r="I205" s="78">
        <v>46238.0</v>
      </c>
      <c r="J205" s="49">
        <v>0.6875</v>
      </c>
      <c r="K205" s="15" t="str">
        <f>VLOOKUP( WEEKDAY(L205) ,Lookup!$A$2:$B$8,2,FALSE)</f>
        <v>Tuesday</v>
      </c>
      <c r="L205" s="78">
        <v>46238.0</v>
      </c>
      <c r="M205" s="49">
        <v>0.7083333333333334</v>
      </c>
      <c r="N205" s="4"/>
      <c r="O205" s="4"/>
      <c r="P205" s="4"/>
      <c r="Q205" s="4"/>
      <c r="R205" s="4"/>
      <c r="S205" s="4"/>
      <c r="T205" s="4"/>
      <c r="U205" s="4"/>
      <c r="V205" s="4"/>
      <c r="W205" s="4"/>
      <c r="X205" s="4"/>
      <c r="Y205" s="4"/>
      <c r="Z205" s="4"/>
      <c r="AA205" s="4"/>
      <c r="AB205" s="4"/>
      <c r="AC205" s="4"/>
      <c r="AD205" s="4"/>
    </row>
    <row r="206" ht="15.75" customHeight="1">
      <c r="A206" s="29">
        <f t="shared" si="1"/>
        <v>205</v>
      </c>
      <c r="B206" s="78">
        <v>46238.0</v>
      </c>
      <c r="C206" s="49">
        <v>0.7083333333333334</v>
      </c>
      <c r="D206" s="15" t="str">
        <f>VLOOKUP( WEEKDAY(B206) ,Lookup!$A$2:$B$8,2,FALSE)</f>
        <v>Tuesday</v>
      </c>
      <c r="E206" s="4"/>
      <c r="F206" s="83" t="s">
        <v>311</v>
      </c>
      <c r="G206" s="4"/>
      <c r="H206" s="15" t="str">
        <f>VLOOKUP( WEEKDAY(I206) ,Lookup!$A$2:$B$8,2,FALSE)
</f>
        <v>Tuesday</v>
      </c>
      <c r="I206" s="78">
        <v>46238.0</v>
      </c>
      <c r="J206" s="49">
        <v>0.7083333333333334</v>
      </c>
      <c r="K206" s="15" t="str">
        <f>VLOOKUP( WEEKDAY(L206) ,Lookup!$A$2:$B$8,2,FALSE)</f>
        <v>Tuesday</v>
      </c>
      <c r="L206" s="78">
        <v>46238.0</v>
      </c>
      <c r="M206" s="49">
        <v>0.71875</v>
      </c>
      <c r="N206" s="4"/>
      <c r="O206" s="4"/>
      <c r="P206" s="4"/>
      <c r="Q206" s="4"/>
      <c r="R206" s="4"/>
      <c r="S206" s="4"/>
      <c r="T206" s="4"/>
      <c r="U206" s="4"/>
      <c r="V206" s="4"/>
      <c r="W206" s="4"/>
      <c r="X206" s="4"/>
      <c r="Y206" s="4"/>
      <c r="Z206" s="4"/>
      <c r="AA206" s="4"/>
      <c r="AB206" s="4"/>
      <c r="AC206" s="4"/>
      <c r="AD206" s="4"/>
    </row>
    <row r="207" ht="15.75" customHeight="1">
      <c r="A207" s="29">
        <f t="shared" si="1"/>
        <v>206</v>
      </c>
      <c r="B207" s="78">
        <v>46238.0</v>
      </c>
      <c r="C207" s="49">
        <v>0.71875</v>
      </c>
      <c r="D207" s="15" t="str">
        <f>VLOOKUP( WEEKDAY(B207) ,Lookup!$A$2:$B$8,2,FALSE)</f>
        <v>Tuesday</v>
      </c>
      <c r="E207" s="4"/>
      <c r="F207" s="83" t="s">
        <v>443</v>
      </c>
      <c r="G207" s="4"/>
      <c r="H207" s="15" t="str">
        <f>VLOOKUP( WEEKDAY(I207) ,Lookup!$A$2:$B$8,2,FALSE)
</f>
        <v>Tuesday</v>
      </c>
      <c r="I207" s="78">
        <v>46238.0</v>
      </c>
      <c r="J207" s="49">
        <v>0.71875</v>
      </c>
      <c r="K207" s="15" t="str">
        <f>VLOOKUP( WEEKDAY(L207) ,Lookup!$A$2:$B$8,2,FALSE)</f>
        <v>Tuesday</v>
      </c>
      <c r="L207" s="78">
        <v>46238.0</v>
      </c>
      <c r="M207" s="49">
        <v>0.75</v>
      </c>
      <c r="N207" s="4"/>
      <c r="O207" s="4"/>
      <c r="P207" s="4"/>
      <c r="Q207" s="4"/>
      <c r="R207" s="4"/>
      <c r="S207" s="4"/>
      <c r="T207" s="4"/>
      <c r="U207" s="4"/>
      <c r="V207" s="4"/>
      <c r="W207" s="4"/>
      <c r="X207" s="4"/>
      <c r="Y207" s="4"/>
      <c r="Z207" s="4"/>
      <c r="AA207" s="4"/>
      <c r="AB207" s="4"/>
      <c r="AC207" s="4"/>
      <c r="AD207" s="4"/>
    </row>
    <row r="208" ht="15.75" customHeight="1">
      <c r="A208" s="29">
        <f t="shared" si="1"/>
        <v>207</v>
      </c>
      <c r="B208" s="78">
        <v>46238.0</v>
      </c>
      <c r="C208" s="49">
        <v>0.75</v>
      </c>
      <c r="D208" s="15" t="str">
        <f>VLOOKUP( WEEKDAY(B208) ,Lookup!$A$2:$B$8,2,FALSE)</f>
        <v>Tuesday</v>
      </c>
      <c r="E208" s="4"/>
      <c r="F208" s="83" t="s">
        <v>444</v>
      </c>
      <c r="G208" s="4"/>
      <c r="H208" s="15" t="str">
        <f>VLOOKUP( WEEKDAY(I208) ,Lookup!$A$2:$B$8,2,FALSE)
</f>
        <v>Tuesday</v>
      </c>
      <c r="I208" s="78">
        <v>46238.0</v>
      </c>
      <c r="J208" s="49">
        <v>0.75</v>
      </c>
      <c r="K208" s="15" t="str">
        <f>VLOOKUP( WEEKDAY(L208) ,Lookup!$A$2:$B$8,2,FALSE)</f>
        <v>Tuesday</v>
      </c>
      <c r="L208" s="78">
        <v>46238.0</v>
      </c>
      <c r="M208" s="49">
        <v>0.7708333333333334</v>
      </c>
      <c r="N208" s="4"/>
      <c r="O208" s="4"/>
      <c r="P208" s="4"/>
      <c r="Q208" s="4"/>
      <c r="R208" s="4"/>
      <c r="S208" s="4"/>
      <c r="T208" s="4"/>
      <c r="U208" s="4"/>
      <c r="V208" s="4"/>
      <c r="W208" s="4"/>
      <c r="X208" s="4"/>
      <c r="Y208" s="4"/>
      <c r="Z208" s="4"/>
      <c r="AA208" s="4"/>
      <c r="AB208" s="4"/>
      <c r="AC208" s="4"/>
      <c r="AD208" s="4"/>
    </row>
    <row r="209" ht="15.75" customHeight="1">
      <c r="A209" s="29">
        <f t="shared" si="1"/>
        <v>208</v>
      </c>
      <c r="B209" s="78">
        <v>46238.0</v>
      </c>
      <c r="C209" s="49">
        <v>0.875</v>
      </c>
      <c r="D209" s="15" t="str">
        <f>VLOOKUP( WEEKDAY(B209) ,Lookup!$A$2:$B$8,2,FALSE)</f>
        <v>Tuesday</v>
      </c>
      <c r="E209" s="4"/>
      <c r="F209" s="83" t="s">
        <v>445</v>
      </c>
      <c r="G209" s="4"/>
      <c r="H209" s="15" t="str">
        <f>VLOOKUP( WEEKDAY(I209) ,Lookup!$A$2:$B$8,2,FALSE)
</f>
        <v>Tuesday</v>
      </c>
      <c r="I209" s="78">
        <v>46238.0</v>
      </c>
      <c r="J209" s="49">
        <v>0.875</v>
      </c>
      <c r="K209" s="15" t="str">
        <f>VLOOKUP( WEEKDAY(L209) ,Lookup!$A$2:$B$8,2,FALSE)</f>
        <v>Tuesday</v>
      </c>
      <c r="L209" s="78">
        <v>46238.0</v>
      </c>
      <c r="M209" s="49">
        <v>0.8958333333333334</v>
      </c>
      <c r="N209" s="4"/>
      <c r="O209" s="4"/>
      <c r="P209" s="4"/>
      <c r="Q209" s="4"/>
      <c r="R209" s="4"/>
      <c r="S209" s="4"/>
      <c r="T209" s="4"/>
      <c r="U209" s="4"/>
      <c r="V209" s="4"/>
      <c r="W209" s="4"/>
      <c r="X209" s="4"/>
      <c r="Y209" s="4"/>
      <c r="Z209" s="4"/>
      <c r="AA209" s="4"/>
      <c r="AB209" s="4"/>
      <c r="AC209" s="4"/>
      <c r="AD209" s="4"/>
    </row>
    <row r="210" ht="15.75" customHeight="1">
      <c r="A210" s="29">
        <f t="shared" si="1"/>
        <v>209</v>
      </c>
      <c r="B210" s="78">
        <v>46238.0</v>
      </c>
      <c r="C210" s="49">
        <v>0.8958333333333334</v>
      </c>
      <c r="D210" s="15" t="str">
        <f>VLOOKUP( WEEKDAY(B210) ,Lookup!$A$2:$B$8,2,FALSE)</f>
        <v>Tuesday</v>
      </c>
      <c r="E210" s="4"/>
      <c r="F210" s="83" t="s">
        <v>446</v>
      </c>
      <c r="G210" s="4"/>
      <c r="H210" s="15" t="str">
        <f>VLOOKUP( WEEKDAY(I210) ,Lookup!$A$2:$B$8,2,FALSE)
</f>
        <v>Tuesday</v>
      </c>
      <c r="I210" s="78">
        <v>46238.0</v>
      </c>
      <c r="J210" s="49">
        <v>0.8958333333333334</v>
      </c>
      <c r="K210" s="15" t="str">
        <f>VLOOKUP( WEEKDAY(L210) ,Lookup!$A$2:$B$8,2,FALSE)</f>
        <v>Tuesday</v>
      </c>
      <c r="L210" s="78">
        <v>46238.0</v>
      </c>
      <c r="M210" s="49">
        <v>0.9166666666666666</v>
      </c>
      <c r="N210" s="4"/>
      <c r="O210" s="4"/>
      <c r="P210" s="4"/>
      <c r="Q210" s="4"/>
      <c r="R210" s="4"/>
      <c r="S210" s="4"/>
      <c r="T210" s="4"/>
      <c r="U210" s="4"/>
      <c r="V210" s="4"/>
      <c r="W210" s="4"/>
      <c r="X210" s="4"/>
      <c r="Y210" s="4"/>
      <c r="Z210" s="4"/>
      <c r="AA210" s="4"/>
      <c r="AB210" s="4"/>
      <c r="AC210" s="4"/>
      <c r="AD210" s="4"/>
    </row>
    <row r="211" ht="15.75" customHeight="1">
      <c r="A211" s="29">
        <f t="shared" si="1"/>
        <v>210</v>
      </c>
      <c r="B211" s="78">
        <v>46238.0</v>
      </c>
      <c r="C211" s="49">
        <v>0.9166666666666666</v>
      </c>
      <c r="D211" s="15" t="str">
        <f>VLOOKUP( WEEKDAY(B211) ,Lookup!$A$2:$B$8,2,FALSE)</f>
        <v>Tuesday</v>
      </c>
      <c r="E211" s="4"/>
      <c r="F211" s="83" t="s">
        <v>447</v>
      </c>
      <c r="G211" s="4"/>
      <c r="H211" s="15" t="str">
        <f>VLOOKUP( WEEKDAY(I211) ,Lookup!$A$2:$B$8,2,FALSE)
</f>
        <v>Tuesday</v>
      </c>
      <c r="I211" s="78">
        <v>46238.0</v>
      </c>
      <c r="J211" s="49">
        <v>0.9166666666666666</v>
      </c>
      <c r="K211" s="15" t="str">
        <f>VLOOKUP( WEEKDAY(L211) ,Lookup!$A$2:$B$8,2,FALSE)</f>
        <v>Tuesday</v>
      </c>
      <c r="L211" s="78">
        <v>46238.0</v>
      </c>
      <c r="M211" s="49">
        <v>0.9270833333333334</v>
      </c>
      <c r="N211" s="4"/>
      <c r="O211" s="4"/>
      <c r="P211" s="4"/>
      <c r="Q211" s="4"/>
      <c r="R211" s="4"/>
      <c r="S211" s="4"/>
      <c r="T211" s="4"/>
      <c r="U211" s="4"/>
      <c r="V211" s="4"/>
      <c r="W211" s="4"/>
      <c r="X211" s="4"/>
      <c r="Y211" s="4"/>
      <c r="Z211" s="4"/>
      <c r="AA211" s="4"/>
      <c r="AB211" s="4"/>
      <c r="AC211" s="4"/>
      <c r="AD211" s="4"/>
    </row>
    <row r="212" ht="15.75" customHeight="1">
      <c r="A212" s="29">
        <f t="shared" si="1"/>
        <v>211</v>
      </c>
      <c r="B212" s="78">
        <v>46238.0</v>
      </c>
      <c r="C212" s="49">
        <v>0.9270833333333334</v>
      </c>
      <c r="D212" s="15" t="str">
        <f>VLOOKUP( WEEKDAY(B212) ,Lookup!$A$2:$B$8,2,FALSE)</f>
        <v>Tuesday</v>
      </c>
      <c r="E212" s="4"/>
      <c r="F212" s="83" t="s">
        <v>448</v>
      </c>
      <c r="G212" s="4"/>
      <c r="H212" s="15" t="str">
        <f>VLOOKUP( WEEKDAY(I212) ,Lookup!$A$2:$B$8,2,FALSE)
</f>
        <v>Tuesday</v>
      </c>
      <c r="I212" s="78">
        <v>46238.0</v>
      </c>
      <c r="J212" s="84">
        <v>0.4270833333333333</v>
      </c>
      <c r="K212" s="15" t="str">
        <f>VLOOKUP( WEEKDAY(L212) ,Lookup!$A$2:$B$8,2,FALSE)</f>
        <v>Tuesday</v>
      </c>
      <c r="L212" s="78">
        <v>46238.0</v>
      </c>
      <c r="M212" s="49">
        <v>0.9583333333333334</v>
      </c>
      <c r="N212" s="4"/>
      <c r="O212" s="4"/>
      <c r="P212" s="4"/>
      <c r="Q212" s="4"/>
      <c r="R212" s="4"/>
      <c r="S212" s="4"/>
      <c r="T212" s="4"/>
      <c r="U212" s="4"/>
      <c r="V212" s="4"/>
      <c r="W212" s="4"/>
      <c r="X212" s="4"/>
      <c r="Y212" s="4"/>
      <c r="Z212" s="4"/>
      <c r="AA212" s="4"/>
      <c r="AB212" s="4"/>
      <c r="AC212" s="4"/>
      <c r="AD212" s="4"/>
    </row>
    <row r="213" ht="15.75" customHeight="1">
      <c r="A213" s="50">
        <v>212.0</v>
      </c>
      <c r="B213" s="48">
        <v>46239.0</v>
      </c>
      <c r="C213" s="49">
        <v>0.3840277777777778</v>
      </c>
      <c r="D213" s="15" t="str">
        <f>VLOOKUP( WEEKDAY(B213) ,Lookup!$A$2:$B$8,2,FALSE)</f>
        <v>Wednesday</v>
      </c>
      <c r="E213" s="4"/>
      <c r="F213" s="83" t="s">
        <v>449</v>
      </c>
      <c r="G213" s="4"/>
      <c r="H213" s="15" t="str">
        <f>VLOOKUP( WEEKDAY(I213) ,Lookup!$A$2:$B$8,2,FALSE)
</f>
        <v>Wednesday</v>
      </c>
      <c r="I213" s="48">
        <v>46239.0</v>
      </c>
      <c r="J213" s="49">
        <v>0.3715277777777778</v>
      </c>
      <c r="K213" s="15" t="str">
        <f>VLOOKUP( WEEKDAY(L213) ,Lookup!$A$2:$B$8,2,FALSE)</f>
        <v>Tuesday</v>
      </c>
      <c r="L213" s="78">
        <v>46238.0</v>
      </c>
      <c r="M213" s="49">
        <v>0.3854166666666667</v>
      </c>
      <c r="N213" s="4"/>
      <c r="O213" s="4"/>
      <c r="P213" s="4"/>
      <c r="Q213" s="4"/>
      <c r="R213" s="4"/>
      <c r="S213" s="4"/>
      <c r="T213" s="4"/>
      <c r="U213" s="4"/>
      <c r="V213" s="4"/>
      <c r="W213" s="4"/>
      <c r="X213" s="4"/>
      <c r="Y213" s="4"/>
      <c r="Z213" s="4"/>
      <c r="AA213" s="4"/>
      <c r="AB213" s="4"/>
      <c r="AC213" s="4"/>
      <c r="AD213" s="4"/>
    </row>
    <row r="214" ht="15.75" customHeight="1">
      <c r="A214" s="4"/>
      <c r="B214" s="4"/>
      <c r="C214" s="4"/>
      <c r="D214" s="4"/>
      <c r="E214" s="4"/>
      <c r="F214" s="85"/>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ht="15.75" customHeight="1">
      <c r="A215" s="4"/>
      <c r="B215" s="4"/>
      <c r="C215" s="4"/>
      <c r="D215" s="4"/>
      <c r="E215" s="4"/>
      <c r="F215" s="85"/>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ht="15.75" customHeight="1">
      <c r="A216" s="4"/>
      <c r="B216" s="4"/>
      <c r="C216" s="4"/>
      <c r="D216" s="4"/>
      <c r="E216" s="4"/>
      <c r="F216" s="85"/>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ht="15.75" customHeight="1">
      <c r="A217" s="4"/>
      <c r="B217" s="4"/>
      <c r="C217" s="4"/>
      <c r="D217" s="4"/>
      <c r="E217" s="4"/>
      <c r="F217" s="85"/>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ht="15.75" customHeight="1">
      <c r="A218" s="4"/>
      <c r="B218" s="4"/>
      <c r="C218" s="4"/>
      <c r="D218" s="4"/>
      <c r="E218" s="4"/>
      <c r="F218" s="85"/>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ht="15.75" customHeight="1">
      <c r="A219" s="4"/>
      <c r="B219" s="4"/>
      <c r="C219" s="4"/>
      <c r="D219" s="4"/>
      <c r="E219" s="4"/>
      <c r="F219" s="85"/>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ht="15.75" customHeight="1">
      <c r="A220" s="4"/>
      <c r="B220" s="4"/>
      <c r="C220" s="4"/>
      <c r="D220" s="4"/>
      <c r="E220" s="4"/>
      <c r="F220" s="85"/>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ht="15.75" customHeight="1">
      <c r="A221" s="4"/>
      <c r="B221" s="4"/>
      <c r="C221" s="4"/>
      <c r="D221" s="4"/>
      <c r="E221" s="4"/>
      <c r="F221" s="85"/>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ht="15.75" customHeight="1">
      <c r="A222" s="4"/>
      <c r="B222" s="4"/>
      <c r="C222" s="4"/>
      <c r="D222" s="4"/>
      <c r="E222" s="4"/>
      <c r="F222" s="85"/>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ht="15.75" customHeight="1">
      <c r="A223" s="4"/>
      <c r="B223" s="4"/>
      <c r="C223" s="4"/>
      <c r="D223" s="4"/>
      <c r="E223" s="4"/>
      <c r="F223" s="85"/>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ht="15.75" customHeight="1">
      <c r="A224" s="4"/>
      <c r="B224" s="4"/>
      <c r="C224" s="4"/>
      <c r="D224" s="4"/>
      <c r="E224" s="4"/>
      <c r="F224" s="85"/>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ht="15.75" customHeight="1">
      <c r="A225" s="4"/>
      <c r="B225" s="4"/>
      <c r="C225" s="4"/>
      <c r="D225" s="4"/>
      <c r="E225" s="4"/>
      <c r="F225" s="85"/>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ht="15.75" customHeight="1">
      <c r="A226" s="4"/>
      <c r="B226" s="4"/>
      <c r="C226" s="4"/>
      <c r="D226" s="4"/>
      <c r="E226" s="4"/>
      <c r="F226" s="85"/>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ht="15.75" customHeight="1">
      <c r="A227" s="4"/>
      <c r="B227" s="4"/>
      <c r="C227" s="4"/>
      <c r="D227" s="4"/>
      <c r="E227" s="4"/>
      <c r="F227" s="85"/>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ht="15.75" customHeight="1">
      <c r="A228" s="4"/>
      <c r="B228" s="4"/>
      <c r="C228" s="4"/>
      <c r="D228" s="4"/>
      <c r="E228" s="4"/>
      <c r="F228" s="85"/>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ht="15.75" customHeight="1">
      <c r="A229" s="4"/>
      <c r="B229" s="4"/>
      <c r="C229" s="4"/>
      <c r="D229" s="4"/>
      <c r="E229" s="4"/>
      <c r="F229" s="85"/>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ht="15.75" customHeight="1">
      <c r="A230" s="4"/>
      <c r="B230" s="4"/>
      <c r="C230" s="4"/>
      <c r="D230" s="4"/>
      <c r="E230" s="4"/>
      <c r="F230" s="85"/>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ht="15.75" customHeight="1">
      <c r="A231" s="4"/>
      <c r="B231" s="4"/>
      <c r="C231" s="4"/>
      <c r="D231" s="4"/>
      <c r="E231" s="4"/>
      <c r="F231" s="85"/>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ht="15.75" customHeight="1">
      <c r="A232" s="4"/>
      <c r="B232" s="4"/>
      <c r="C232" s="4"/>
      <c r="D232" s="4"/>
      <c r="E232" s="4"/>
      <c r="F232" s="85"/>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ht="15.75" customHeight="1">
      <c r="A233" s="4"/>
      <c r="B233" s="4"/>
      <c r="C233" s="4"/>
      <c r="D233" s="4"/>
      <c r="E233" s="4"/>
      <c r="F233" s="85"/>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ht="15.75" customHeight="1">
      <c r="A234" s="4"/>
      <c r="B234" s="4"/>
      <c r="C234" s="4"/>
      <c r="D234" s="4"/>
      <c r="E234" s="4"/>
      <c r="F234" s="85"/>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ht="15.75" customHeight="1">
      <c r="A235" s="4"/>
      <c r="B235" s="4"/>
      <c r="C235" s="4"/>
      <c r="D235" s="4"/>
      <c r="E235" s="4"/>
      <c r="F235" s="85"/>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ht="15.75" customHeight="1">
      <c r="A236" s="4"/>
      <c r="B236" s="4"/>
      <c r="C236" s="4"/>
      <c r="D236" s="4"/>
      <c r="E236" s="4"/>
      <c r="F236" s="85"/>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ht="15.75" customHeight="1">
      <c r="A237" s="4"/>
      <c r="B237" s="4"/>
      <c r="C237" s="4"/>
      <c r="D237" s="4"/>
      <c r="E237" s="4"/>
      <c r="F237" s="85"/>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ht="15.75" customHeight="1">
      <c r="A238" s="4"/>
      <c r="B238" s="4"/>
      <c r="C238" s="4"/>
      <c r="D238" s="4"/>
      <c r="E238" s="4"/>
      <c r="F238" s="85"/>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ht="15.75" customHeight="1">
      <c r="A239" s="4"/>
      <c r="B239" s="4"/>
      <c r="C239" s="4"/>
      <c r="D239" s="4"/>
      <c r="E239" s="4"/>
      <c r="F239" s="85"/>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ht="15.75" customHeight="1">
      <c r="A240" s="4"/>
      <c r="B240" s="4"/>
      <c r="C240" s="4"/>
      <c r="D240" s="4"/>
      <c r="E240" s="4"/>
      <c r="F240" s="85"/>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ht="15.75" customHeight="1">
      <c r="A241" s="4"/>
      <c r="B241" s="4"/>
      <c r="C241" s="4"/>
      <c r="D241" s="4"/>
      <c r="E241" s="4"/>
      <c r="F241" s="85"/>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ht="15.75" customHeight="1">
      <c r="A242" s="4"/>
      <c r="B242" s="4"/>
      <c r="C242" s="4"/>
      <c r="D242" s="4"/>
      <c r="E242" s="4"/>
      <c r="F242" s="85"/>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ht="15.75" customHeight="1">
      <c r="A243" s="4"/>
      <c r="B243" s="4"/>
      <c r="C243" s="4"/>
      <c r="D243" s="4"/>
      <c r="E243" s="4"/>
      <c r="F243" s="85"/>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ht="15.75" customHeight="1">
      <c r="A244" s="4"/>
      <c r="B244" s="4"/>
      <c r="C244" s="4"/>
      <c r="D244" s="4"/>
      <c r="E244" s="4"/>
      <c r="F244" s="85"/>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ht="15.75" customHeight="1">
      <c r="A245" s="4"/>
      <c r="B245" s="4"/>
      <c r="C245" s="4"/>
      <c r="D245" s="4"/>
      <c r="E245" s="4"/>
      <c r="F245" s="85"/>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ht="15.75" customHeight="1">
      <c r="A246" s="4"/>
      <c r="B246" s="4"/>
      <c r="C246" s="4"/>
      <c r="D246" s="4"/>
      <c r="E246" s="4"/>
      <c r="F246" s="85"/>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ht="15.75" customHeight="1">
      <c r="A247" s="4"/>
      <c r="B247" s="4"/>
      <c r="C247" s="4"/>
      <c r="D247" s="4"/>
      <c r="E247" s="4"/>
      <c r="F247" s="85"/>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ht="15.75" customHeight="1">
      <c r="A248" s="4"/>
      <c r="B248" s="4"/>
      <c r="C248" s="4"/>
      <c r="D248" s="4"/>
      <c r="E248" s="4"/>
      <c r="F248" s="85"/>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ht="15.75" customHeight="1">
      <c r="A249" s="4"/>
      <c r="B249" s="4"/>
      <c r="C249" s="4"/>
      <c r="D249" s="4"/>
      <c r="E249" s="4"/>
      <c r="F249" s="85"/>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ht="15.75" customHeight="1">
      <c r="A250" s="4"/>
      <c r="B250" s="4"/>
      <c r="C250" s="4"/>
      <c r="D250" s="4"/>
      <c r="E250" s="4"/>
      <c r="F250" s="85"/>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ht="15.75" customHeight="1">
      <c r="A251" s="4"/>
      <c r="B251" s="4"/>
      <c r="C251" s="4"/>
      <c r="D251" s="4"/>
      <c r="E251" s="4"/>
      <c r="F251" s="85"/>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ht="15.75" customHeight="1">
      <c r="A252" s="4"/>
      <c r="B252" s="4"/>
      <c r="C252" s="4"/>
      <c r="D252" s="4"/>
      <c r="E252" s="4"/>
      <c r="F252" s="85"/>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ht="15.75" customHeight="1">
      <c r="A253" s="4"/>
      <c r="B253" s="4"/>
      <c r="C253" s="4"/>
      <c r="D253" s="4"/>
      <c r="E253" s="4"/>
      <c r="F253" s="85"/>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ht="15.75" customHeight="1">
      <c r="A254" s="4"/>
      <c r="B254" s="4"/>
      <c r="C254" s="4"/>
      <c r="D254" s="4"/>
      <c r="E254" s="4"/>
      <c r="F254" s="85"/>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ht="15.75" customHeight="1">
      <c r="A255" s="4"/>
      <c r="B255" s="4"/>
      <c r="C255" s="4"/>
      <c r="D255" s="4"/>
      <c r="E255" s="4"/>
      <c r="F255" s="85"/>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ht="15.75" customHeight="1">
      <c r="A256" s="4"/>
      <c r="B256" s="4"/>
      <c r="C256" s="4"/>
      <c r="D256" s="4"/>
      <c r="E256" s="4"/>
      <c r="F256" s="85"/>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ht="15.75" customHeight="1">
      <c r="A257" s="4"/>
      <c r="B257" s="4"/>
      <c r="C257" s="4"/>
      <c r="D257" s="4"/>
      <c r="E257" s="4"/>
      <c r="F257" s="85"/>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ht="15.75" customHeight="1">
      <c r="A258" s="4"/>
      <c r="B258" s="4"/>
      <c r="C258" s="4"/>
      <c r="D258" s="4"/>
      <c r="E258" s="4"/>
      <c r="F258" s="85"/>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ht="15.75" customHeight="1">
      <c r="A259" s="4"/>
      <c r="B259" s="4"/>
      <c r="C259" s="4"/>
      <c r="D259" s="4"/>
      <c r="E259" s="4"/>
      <c r="F259" s="85"/>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ht="15.75" customHeight="1">
      <c r="A260" s="4"/>
      <c r="B260" s="4"/>
      <c r="C260" s="4"/>
      <c r="D260" s="4"/>
      <c r="E260" s="4"/>
      <c r="F260" s="85"/>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ht="15.75" customHeight="1">
      <c r="A261" s="4"/>
      <c r="B261" s="4"/>
      <c r="C261" s="4"/>
      <c r="D261" s="4"/>
      <c r="E261" s="4"/>
      <c r="F261" s="85"/>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ht="15.75" customHeight="1">
      <c r="A262" s="4"/>
      <c r="B262" s="4"/>
      <c r="C262" s="4"/>
      <c r="D262" s="4"/>
      <c r="E262" s="4"/>
      <c r="F262" s="85"/>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ht="15.75" customHeight="1">
      <c r="A263" s="4"/>
      <c r="B263" s="4"/>
      <c r="C263" s="4"/>
      <c r="D263" s="4"/>
      <c r="E263" s="4"/>
      <c r="F263" s="85"/>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ht="15.75" customHeight="1">
      <c r="A264" s="4"/>
      <c r="B264" s="4"/>
      <c r="C264" s="4"/>
      <c r="D264" s="4"/>
      <c r="E264" s="4"/>
      <c r="F264" s="85"/>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ht="15.75" customHeight="1">
      <c r="A265" s="4"/>
      <c r="B265" s="4"/>
      <c r="C265" s="4"/>
      <c r="D265" s="4"/>
      <c r="E265" s="4"/>
      <c r="F265" s="85"/>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ht="15.75" customHeight="1">
      <c r="A266" s="4"/>
      <c r="B266" s="4"/>
      <c r="C266" s="4"/>
      <c r="D266" s="4"/>
      <c r="E266" s="4"/>
      <c r="F266" s="85"/>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ht="15.75" customHeight="1">
      <c r="A267" s="4"/>
      <c r="B267" s="4"/>
      <c r="C267" s="4"/>
      <c r="D267" s="4"/>
      <c r="E267" s="4"/>
      <c r="F267" s="85"/>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ht="15.75" customHeight="1">
      <c r="A268" s="4"/>
      <c r="B268" s="4"/>
      <c r="C268" s="4"/>
      <c r="D268" s="4"/>
      <c r="E268" s="4"/>
      <c r="F268" s="85"/>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ht="15.75" customHeight="1">
      <c r="A269" s="4"/>
      <c r="B269" s="4"/>
      <c r="C269" s="4"/>
      <c r="D269" s="4"/>
      <c r="E269" s="4"/>
      <c r="F269" s="85"/>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ht="15.75" customHeight="1">
      <c r="A270" s="4"/>
      <c r="B270" s="4"/>
      <c r="C270" s="4"/>
      <c r="D270" s="4"/>
      <c r="E270" s="4"/>
      <c r="F270" s="85"/>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ht="15.75" customHeight="1">
      <c r="A271" s="4"/>
      <c r="B271" s="4"/>
      <c r="C271" s="4"/>
      <c r="D271" s="4"/>
      <c r="E271" s="4"/>
      <c r="F271" s="85"/>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ht="15.75" customHeight="1">
      <c r="A272" s="4"/>
      <c r="B272" s="4"/>
      <c r="C272" s="4"/>
      <c r="D272" s="4"/>
      <c r="E272" s="4"/>
      <c r="F272" s="85"/>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ht="15.75" customHeight="1">
      <c r="A273" s="4"/>
      <c r="B273" s="4"/>
      <c r="C273" s="4"/>
      <c r="D273" s="4"/>
      <c r="E273" s="4"/>
      <c r="F273" s="85"/>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ht="15.75" customHeight="1">
      <c r="A274" s="4"/>
      <c r="B274" s="4"/>
      <c r="C274" s="4"/>
      <c r="D274" s="4"/>
      <c r="E274" s="4"/>
      <c r="F274" s="85"/>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ht="15.75" customHeight="1">
      <c r="A275" s="4"/>
      <c r="B275" s="4"/>
      <c r="C275" s="4"/>
      <c r="D275" s="4"/>
      <c r="E275" s="4"/>
      <c r="F275" s="85"/>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ht="15.75" customHeight="1">
      <c r="A276" s="4"/>
      <c r="B276" s="4"/>
      <c r="C276" s="4"/>
      <c r="D276" s="4"/>
      <c r="E276" s="4"/>
      <c r="F276" s="85"/>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ht="15.75" customHeight="1">
      <c r="A277" s="4"/>
      <c r="B277" s="4"/>
      <c r="C277" s="4"/>
      <c r="D277" s="4"/>
      <c r="E277" s="4"/>
      <c r="F277" s="85"/>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ht="15.75" customHeight="1">
      <c r="A278" s="4"/>
      <c r="B278" s="4"/>
      <c r="C278" s="4"/>
      <c r="D278" s="4"/>
      <c r="E278" s="4"/>
      <c r="F278" s="85"/>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ht="15.75" customHeight="1">
      <c r="A279" s="4"/>
      <c r="B279" s="4"/>
      <c r="C279" s="4"/>
      <c r="D279" s="4"/>
      <c r="E279" s="4"/>
      <c r="F279" s="85"/>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ht="15.75" customHeight="1">
      <c r="A280" s="4"/>
      <c r="B280" s="4"/>
      <c r="C280" s="4"/>
      <c r="D280" s="4"/>
      <c r="E280" s="4"/>
      <c r="F280" s="85"/>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ht="15.75" customHeight="1">
      <c r="A281" s="4"/>
      <c r="B281" s="4"/>
      <c r="C281" s="4"/>
      <c r="D281" s="4"/>
      <c r="E281" s="4"/>
      <c r="F281" s="85"/>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ht="15.75" customHeight="1">
      <c r="A282" s="4"/>
      <c r="B282" s="4"/>
      <c r="C282" s="4"/>
      <c r="D282" s="4"/>
      <c r="E282" s="4"/>
      <c r="F282" s="85"/>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ht="15.75" customHeight="1">
      <c r="A283" s="4"/>
      <c r="B283" s="4"/>
      <c r="C283" s="4"/>
      <c r="D283" s="4"/>
      <c r="E283" s="4"/>
      <c r="F283" s="85"/>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ht="15.75" customHeight="1">
      <c r="A284" s="4"/>
      <c r="B284" s="4"/>
      <c r="C284" s="4"/>
      <c r="D284" s="4"/>
      <c r="E284" s="4"/>
      <c r="F284" s="85"/>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ht="15.75" customHeight="1">
      <c r="A285" s="4"/>
      <c r="B285" s="4"/>
      <c r="C285" s="4"/>
      <c r="D285" s="4"/>
      <c r="E285" s="4"/>
      <c r="F285" s="85"/>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ht="15.75" customHeight="1">
      <c r="A286" s="4"/>
      <c r="B286" s="4"/>
      <c r="C286" s="4"/>
      <c r="D286" s="4"/>
      <c r="E286" s="4"/>
      <c r="F286" s="85"/>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ht="15.75" customHeight="1">
      <c r="F287" s="86"/>
    </row>
    <row r="288" ht="15.75" customHeight="1">
      <c r="F288" s="86"/>
    </row>
    <row r="289" ht="15.75" customHeight="1">
      <c r="F289" s="86"/>
    </row>
    <row r="290" ht="15.75" customHeight="1">
      <c r="F290" s="86"/>
    </row>
    <row r="291" ht="15.75" customHeight="1">
      <c r="F291" s="86"/>
    </row>
    <row r="292" ht="15.75" customHeight="1">
      <c r="F292" s="86"/>
    </row>
    <row r="293" ht="15.75" customHeight="1">
      <c r="F293" s="86"/>
    </row>
    <row r="294" ht="15.75" customHeight="1">
      <c r="F294" s="86"/>
    </row>
    <row r="295" ht="15.75" customHeight="1">
      <c r="F295" s="86"/>
    </row>
    <row r="296" ht="15.75" customHeight="1">
      <c r="F296" s="86"/>
    </row>
    <row r="297" ht="15.75" customHeight="1">
      <c r="F297" s="86"/>
    </row>
    <row r="298" ht="15.75" customHeight="1">
      <c r="F298" s="86"/>
    </row>
    <row r="299" ht="15.75" customHeight="1">
      <c r="F299" s="86"/>
    </row>
    <row r="300" ht="15.75" customHeight="1">
      <c r="F300" s="86"/>
    </row>
    <row r="301" ht="15.75" customHeight="1">
      <c r="F301" s="86"/>
    </row>
    <row r="302" ht="15.75" customHeight="1">
      <c r="F302" s="86"/>
    </row>
    <row r="303" ht="15.75" customHeight="1">
      <c r="F303" s="86"/>
    </row>
    <row r="304" ht="15.75" customHeight="1">
      <c r="F304" s="86"/>
    </row>
    <row r="305" ht="15.75" customHeight="1">
      <c r="F305" s="86"/>
    </row>
    <row r="306" ht="15.75" customHeight="1">
      <c r="F306" s="86"/>
    </row>
    <row r="307" ht="15.75" customHeight="1">
      <c r="F307" s="86"/>
    </row>
    <row r="308" ht="15.75" customHeight="1">
      <c r="F308" s="86"/>
    </row>
    <row r="309" ht="15.75" customHeight="1">
      <c r="F309" s="86"/>
    </row>
    <row r="310" ht="15.75" customHeight="1">
      <c r="F310" s="86"/>
    </row>
    <row r="311" ht="15.75" customHeight="1">
      <c r="F311" s="86"/>
    </row>
    <row r="312" ht="15.75" customHeight="1">
      <c r="F312" s="86"/>
    </row>
    <row r="313" ht="15.75" customHeight="1">
      <c r="F313" s="86"/>
    </row>
    <row r="314" ht="15.75" customHeight="1">
      <c r="F314" s="86"/>
    </row>
    <row r="315" ht="15.75" customHeight="1">
      <c r="F315" s="86"/>
    </row>
    <row r="316" ht="15.75" customHeight="1">
      <c r="F316" s="86"/>
    </row>
    <row r="317" ht="15.75" customHeight="1">
      <c r="F317" s="86"/>
    </row>
    <row r="318" ht="15.75" customHeight="1">
      <c r="F318" s="86"/>
    </row>
    <row r="319" ht="15.75" customHeight="1">
      <c r="F319" s="86"/>
    </row>
    <row r="320" ht="15.75" customHeight="1">
      <c r="F320" s="86"/>
    </row>
    <row r="321" ht="15.75" customHeight="1">
      <c r="F321" s="86"/>
    </row>
    <row r="322" ht="15.75" customHeight="1">
      <c r="F322" s="86"/>
    </row>
    <row r="323" ht="15.75" customHeight="1">
      <c r="F323" s="86"/>
    </row>
    <row r="324" ht="15.75" customHeight="1">
      <c r="F324" s="86"/>
    </row>
    <row r="325" ht="15.75" customHeight="1">
      <c r="F325" s="86"/>
    </row>
    <row r="326" ht="15.75" customHeight="1">
      <c r="F326" s="86"/>
    </row>
    <row r="327" ht="15.75" customHeight="1">
      <c r="F327" s="86"/>
    </row>
    <row r="328" ht="15.75" customHeight="1">
      <c r="F328" s="86"/>
    </row>
    <row r="329" ht="15.75" customHeight="1">
      <c r="F329" s="86"/>
    </row>
    <row r="330" ht="15.75" customHeight="1">
      <c r="F330" s="86"/>
    </row>
    <row r="331" ht="15.75" customHeight="1">
      <c r="F331" s="86"/>
    </row>
    <row r="332" ht="15.75" customHeight="1">
      <c r="F332" s="86"/>
    </row>
    <row r="333" ht="15.75" customHeight="1">
      <c r="F333" s="86"/>
    </row>
    <row r="334" ht="15.75" customHeight="1">
      <c r="F334" s="86"/>
    </row>
    <row r="335" ht="15.75" customHeight="1">
      <c r="F335" s="86"/>
    </row>
    <row r="336" ht="15.75" customHeight="1">
      <c r="F336" s="86"/>
    </row>
    <row r="337" ht="15.75" customHeight="1">
      <c r="F337" s="86"/>
    </row>
    <row r="338" ht="15.75" customHeight="1">
      <c r="F338" s="86"/>
    </row>
    <row r="339" ht="15.75" customHeight="1">
      <c r="F339" s="86"/>
    </row>
    <row r="340" ht="15.75" customHeight="1">
      <c r="F340" s="86"/>
    </row>
    <row r="341" ht="15.75" customHeight="1">
      <c r="F341" s="86"/>
    </row>
    <row r="342" ht="15.75" customHeight="1">
      <c r="F342" s="86"/>
    </row>
    <row r="343" ht="15.75" customHeight="1">
      <c r="F343" s="86"/>
    </row>
    <row r="344" ht="15.75" customHeight="1">
      <c r="F344" s="86"/>
    </row>
    <row r="345" ht="15.75" customHeight="1">
      <c r="F345" s="86"/>
    </row>
    <row r="346" ht="15.75" customHeight="1">
      <c r="F346" s="86"/>
    </row>
    <row r="347" ht="15.75" customHeight="1">
      <c r="F347" s="86"/>
    </row>
    <row r="348" ht="15.75" customHeight="1">
      <c r="F348" s="86"/>
    </row>
    <row r="349" ht="15.75" customHeight="1">
      <c r="F349" s="86"/>
    </row>
    <row r="350" ht="15.75" customHeight="1">
      <c r="F350" s="86"/>
    </row>
    <row r="351" ht="15.75" customHeight="1">
      <c r="F351" s="86"/>
    </row>
    <row r="352" ht="15.75" customHeight="1">
      <c r="F352" s="86"/>
    </row>
    <row r="353" ht="15.75" customHeight="1">
      <c r="F353" s="86"/>
    </row>
    <row r="354" ht="15.75" customHeight="1">
      <c r="F354" s="86"/>
    </row>
    <row r="355" ht="15.75" customHeight="1">
      <c r="F355" s="86"/>
    </row>
    <row r="356" ht="15.75" customHeight="1">
      <c r="F356" s="86"/>
    </row>
    <row r="357" ht="15.75" customHeight="1">
      <c r="F357" s="86"/>
    </row>
    <row r="358" ht="15.75" customHeight="1">
      <c r="F358" s="86"/>
    </row>
    <row r="359" ht="15.75" customHeight="1">
      <c r="F359" s="86"/>
    </row>
    <row r="360" ht="15.75" customHeight="1">
      <c r="F360" s="86"/>
    </row>
    <row r="361" ht="15.75" customHeight="1">
      <c r="F361" s="86"/>
    </row>
    <row r="362" ht="15.75" customHeight="1">
      <c r="F362" s="86"/>
    </row>
    <row r="363" ht="15.75" customHeight="1">
      <c r="F363" s="86"/>
    </row>
    <row r="364" ht="15.75" customHeight="1">
      <c r="F364" s="86"/>
    </row>
    <row r="365" ht="15.75" customHeight="1">
      <c r="F365" s="86"/>
    </row>
    <row r="366" ht="15.75" customHeight="1">
      <c r="F366" s="86"/>
    </row>
    <row r="367" ht="15.75" customHeight="1">
      <c r="F367" s="86"/>
    </row>
    <row r="368" ht="15.75" customHeight="1">
      <c r="F368" s="86"/>
    </row>
    <row r="369" ht="15.75" customHeight="1">
      <c r="F369" s="86"/>
    </row>
    <row r="370" ht="15.75" customHeight="1">
      <c r="F370" s="86"/>
    </row>
    <row r="371" ht="15.75" customHeight="1">
      <c r="F371" s="86"/>
    </row>
    <row r="372" ht="15.75" customHeight="1">
      <c r="F372" s="86"/>
    </row>
    <row r="373" ht="15.75" customHeight="1">
      <c r="F373" s="86"/>
    </row>
    <row r="374" ht="15.75" customHeight="1">
      <c r="F374" s="86"/>
    </row>
    <row r="375" ht="15.75" customHeight="1">
      <c r="F375" s="86"/>
    </row>
    <row r="376" ht="15.75" customHeight="1">
      <c r="F376" s="86"/>
    </row>
    <row r="377" ht="15.75" customHeight="1">
      <c r="F377" s="86"/>
    </row>
    <row r="378" ht="15.75" customHeight="1">
      <c r="F378" s="86"/>
    </row>
    <row r="379" ht="15.75" customHeight="1">
      <c r="F379" s="86"/>
    </row>
    <row r="380" ht="15.75" customHeight="1">
      <c r="F380" s="86"/>
    </row>
    <row r="381" ht="15.75" customHeight="1">
      <c r="F381" s="86"/>
    </row>
    <row r="382" ht="15.75" customHeight="1">
      <c r="F382" s="86"/>
    </row>
    <row r="383" ht="15.75" customHeight="1">
      <c r="F383" s="86"/>
    </row>
    <row r="384" ht="15.75" customHeight="1">
      <c r="F384" s="86"/>
    </row>
    <row r="385" ht="15.75" customHeight="1">
      <c r="F385" s="86"/>
    </row>
    <row r="386" ht="15.75" customHeight="1">
      <c r="F386" s="86"/>
    </row>
    <row r="387" ht="15.75" customHeight="1">
      <c r="F387" s="86"/>
    </row>
    <row r="388" ht="15.75" customHeight="1">
      <c r="F388" s="86"/>
    </row>
    <row r="389" ht="15.75" customHeight="1">
      <c r="F389" s="86"/>
    </row>
    <row r="390" ht="15.75" customHeight="1">
      <c r="F390" s="86"/>
    </row>
    <row r="391" ht="15.75" customHeight="1">
      <c r="F391" s="86"/>
    </row>
    <row r="392" ht="15.75" customHeight="1">
      <c r="F392" s="86"/>
    </row>
    <row r="393" ht="15.75" customHeight="1">
      <c r="F393" s="86"/>
    </row>
    <row r="394" ht="15.75" customHeight="1">
      <c r="F394" s="86"/>
    </row>
    <row r="395" ht="15.75" customHeight="1">
      <c r="F395" s="86"/>
    </row>
    <row r="396" ht="15.75" customHeight="1">
      <c r="F396" s="86"/>
    </row>
    <row r="397" ht="15.75" customHeight="1">
      <c r="F397" s="86"/>
    </row>
    <row r="398" ht="15.75" customHeight="1">
      <c r="F398" s="86"/>
    </row>
    <row r="399" ht="15.75" customHeight="1">
      <c r="F399" s="86"/>
    </row>
    <row r="400" ht="15.75" customHeight="1">
      <c r="F400" s="86"/>
    </row>
    <row r="401" ht="15.75" customHeight="1">
      <c r="F401" s="86"/>
    </row>
    <row r="402" ht="15.75" customHeight="1">
      <c r="F402" s="86"/>
    </row>
    <row r="403" ht="15.75" customHeight="1">
      <c r="F403" s="86"/>
    </row>
    <row r="404" ht="15.75" customHeight="1">
      <c r="F404" s="86"/>
    </row>
    <row r="405" ht="15.75" customHeight="1">
      <c r="F405" s="86"/>
    </row>
    <row r="406" ht="15.75" customHeight="1">
      <c r="F406" s="86"/>
    </row>
    <row r="407" ht="15.75" customHeight="1">
      <c r="F407" s="86"/>
    </row>
    <row r="408" ht="15.75" customHeight="1">
      <c r="F408" s="86"/>
    </row>
    <row r="409" ht="15.75" customHeight="1">
      <c r="F409" s="86"/>
    </row>
    <row r="410" ht="15.75" customHeight="1">
      <c r="F410" s="86"/>
    </row>
    <row r="411" ht="15.75" customHeight="1">
      <c r="F411" s="86"/>
    </row>
    <row r="412" ht="15.75" customHeight="1">
      <c r="F412" s="86"/>
    </row>
    <row r="413" ht="15.75" customHeight="1">
      <c r="F413" s="86"/>
    </row>
    <row r="414" ht="15.75" customHeight="1">
      <c r="F414" s="86"/>
    </row>
    <row r="415" ht="15.75" customHeight="1">
      <c r="F415" s="86"/>
    </row>
    <row r="416" ht="15.75" customHeight="1">
      <c r="F416" s="86"/>
    </row>
    <row r="417" ht="15.75" customHeight="1">
      <c r="F417" s="86"/>
    </row>
    <row r="418" ht="15.75" customHeight="1">
      <c r="F418" s="86"/>
    </row>
    <row r="419" ht="15.75" customHeight="1">
      <c r="F419" s="86"/>
    </row>
    <row r="420" ht="15.75" customHeight="1">
      <c r="F420" s="86"/>
    </row>
    <row r="421" ht="15.75" customHeight="1">
      <c r="F421" s="86"/>
    </row>
    <row r="422" ht="15.75" customHeight="1">
      <c r="F422" s="86"/>
    </row>
    <row r="423" ht="15.75" customHeight="1">
      <c r="F423" s="86"/>
    </row>
    <row r="424" ht="15.75" customHeight="1">
      <c r="F424" s="86"/>
    </row>
    <row r="425" ht="15.75" customHeight="1">
      <c r="F425" s="86"/>
    </row>
    <row r="426" ht="15.75" customHeight="1">
      <c r="F426" s="86"/>
    </row>
    <row r="427" ht="15.75" customHeight="1">
      <c r="F427" s="86"/>
    </row>
    <row r="428" ht="15.75" customHeight="1">
      <c r="F428" s="86"/>
    </row>
    <row r="429" ht="15.75" customHeight="1">
      <c r="F429" s="86"/>
    </row>
    <row r="430" ht="15.75" customHeight="1">
      <c r="F430" s="86"/>
    </row>
    <row r="431" ht="15.75" customHeight="1">
      <c r="F431" s="86"/>
    </row>
    <row r="432" ht="15.75" customHeight="1">
      <c r="F432" s="86"/>
    </row>
    <row r="433" ht="15.75" customHeight="1">
      <c r="F433" s="86"/>
    </row>
    <row r="434" ht="15.75" customHeight="1">
      <c r="F434" s="86"/>
    </row>
    <row r="435" ht="15.75" customHeight="1">
      <c r="F435" s="86"/>
    </row>
    <row r="436" ht="15.75" customHeight="1">
      <c r="F436" s="86"/>
    </row>
    <row r="437" ht="15.75" customHeight="1">
      <c r="F437" s="86"/>
    </row>
    <row r="438" ht="15.75" customHeight="1">
      <c r="F438" s="86"/>
    </row>
    <row r="439" ht="15.75" customHeight="1">
      <c r="F439" s="86"/>
    </row>
    <row r="440" ht="15.75" customHeight="1">
      <c r="F440" s="86"/>
    </row>
    <row r="441" ht="15.75" customHeight="1">
      <c r="F441" s="86"/>
    </row>
    <row r="442" ht="15.75" customHeight="1">
      <c r="F442" s="86"/>
    </row>
    <row r="443" ht="15.75" customHeight="1">
      <c r="F443" s="86"/>
    </row>
    <row r="444" ht="15.75" customHeight="1">
      <c r="F444" s="86"/>
    </row>
    <row r="445" ht="15.75" customHeight="1">
      <c r="F445" s="86"/>
    </row>
    <row r="446" ht="15.75" customHeight="1">
      <c r="F446" s="86"/>
    </row>
    <row r="447" ht="15.75" customHeight="1">
      <c r="F447" s="86"/>
    </row>
    <row r="448" ht="15.75" customHeight="1">
      <c r="F448" s="86"/>
    </row>
    <row r="449" ht="15.75" customHeight="1">
      <c r="F449" s="86"/>
    </row>
    <row r="450" ht="15.75" customHeight="1">
      <c r="F450" s="86"/>
    </row>
    <row r="451" ht="15.75" customHeight="1">
      <c r="F451" s="86"/>
    </row>
    <row r="452" ht="15.75" customHeight="1">
      <c r="F452" s="86"/>
    </row>
    <row r="453" ht="15.75" customHeight="1">
      <c r="F453" s="86"/>
    </row>
    <row r="454" ht="15.75" customHeight="1">
      <c r="F454" s="86"/>
    </row>
    <row r="455" ht="15.75" customHeight="1">
      <c r="F455" s="86"/>
    </row>
    <row r="456" ht="15.75" customHeight="1">
      <c r="F456" s="86"/>
    </row>
    <row r="457" ht="15.75" customHeight="1">
      <c r="F457" s="86"/>
    </row>
    <row r="458" ht="15.75" customHeight="1">
      <c r="F458" s="86"/>
    </row>
    <row r="459" ht="15.75" customHeight="1">
      <c r="F459" s="86"/>
    </row>
    <row r="460" ht="15.75" customHeight="1">
      <c r="F460" s="86"/>
    </row>
    <row r="461" ht="15.75" customHeight="1">
      <c r="F461" s="86"/>
    </row>
    <row r="462" ht="15.75" customHeight="1">
      <c r="F462" s="86"/>
    </row>
    <row r="463" ht="15.75" customHeight="1">
      <c r="F463" s="86"/>
    </row>
    <row r="464" ht="15.75" customHeight="1">
      <c r="F464" s="86"/>
    </row>
    <row r="465" ht="15.75" customHeight="1">
      <c r="F465" s="86"/>
    </row>
    <row r="466" ht="15.75" customHeight="1">
      <c r="F466" s="86"/>
    </row>
    <row r="467" ht="15.75" customHeight="1">
      <c r="F467" s="86"/>
    </row>
    <row r="468" ht="15.75" customHeight="1">
      <c r="F468" s="86"/>
    </row>
    <row r="469" ht="15.75" customHeight="1">
      <c r="F469" s="86"/>
    </row>
    <row r="470" ht="15.75" customHeight="1">
      <c r="F470" s="86"/>
    </row>
    <row r="471" ht="15.75" customHeight="1">
      <c r="F471" s="86"/>
    </row>
    <row r="472" ht="15.75" customHeight="1">
      <c r="F472" s="86"/>
    </row>
    <row r="473" ht="15.75" customHeight="1">
      <c r="F473" s="86"/>
    </row>
    <row r="474" ht="15.75" customHeight="1">
      <c r="F474" s="86"/>
    </row>
    <row r="475" ht="15.75" customHeight="1">
      <c r="F475" s="86"/>
    </row>
    <row r="476" ht="15.75" customHeight="1">
      <c r="F476" s="86"/>
    </row>
    <row r="477" ht="15.75" customHeight="1">
      <c r="F477" s="86"/>
    </row>
    <row r="478" ht="15.75" customHeight="1">
      <c r="F478" s="86"/>
    </row>
    <row r="479" ht="15.75" customHeight="1">
      <c r="F479" s="86"/>
    </row>
    <row r="480" ht="15.75" customHeight="1">
      <c r="F480" s="86"/>
    </row>
    <row r="481" ht="15.75" customHeight="1">
      <c r="F481" s="86"/>
    </row>
    <row r="482" ht="15.75" customHeight="1">
      <c r="F482" s="86"/>
    </row>
    <row r="483" ht="15.75" customHeight="1">
      <c r="F483" s="86"/>
    </row>
    <row r="484" ht="15.75" customHeight="1">
      <c r="F484" s="86"/>
    </row>
    <row r="485" ht="15.75" customHeight="1">
      <c r="F485" s="86"/>
    </row>
    <row r="486" ht="15.75" customHeight="1">
      <c r="F486" s="86"/>
    </row>
    <row r="487" ht="15.75" customHeight="1">
      <c r="F487" s="86"/>
    </row>
    <row r="488" ht="15.75" customHeight="1">
      <c r="F488" s="86"/>
    </row>
    <row r="489" ht="15.75" customHeight="1">
      <c r="F489" s="86"/>
    </row>
    <row r="490" ht="15.75" customHeight="1">
      <c r="F490" s="86"/>
    </row>
    <row r="491" ht="15.75" customHeight="1">
      <c r="F491" s="86"/>
    </row>
    <row r="492" ht="15.75" customHeight="1">
      <c r="F492" s="86"/>
    </row>
    <row r="493" ht="15.75" customHeight="1">
      <c r="F493" s="86"/>
    </row>
    <row r="494" ht="15.75" customHeight="1">
      <c r="F494" s="86"/>
    </row>
    <row r="495" ht="15.75" customHeight="1">
      <c r="F495" s="86"/>
    </row>
    <row r="496" ht="15.75" customHeight="1">
      <c r="F496" s="86"/>
    </row>
    <row r="497" ht="15.75" customHeight="1">
      <c r="F497" s="86"/>
    </row>
    <row r="498" ht="15.75" customHeight="1">
      <c r="F498" s="86"/>
    </row>
    <row r="499" ht="15.75" customHeight="1">
      <c r="F499" s="86"/>
    </row>
    <row r="500" ht="15.75" customHeight="1">
      <c r="F500" s="86"/>
    </row>
    <row r="501" ht="15.75" customHeight="1">
      <c r="F501" s="86"/>
    </row>
    <row r="502" ht="15.75" customHeight="1">
      <c r="F502" s="86"/>
    </row>
    <row r="503" ht="15.75" customHeight="1">
      <c r="F503" s="86"/>
    </row>
    <row r="504" ht="15.75" customHeight="1">
      <c r="F504" s="86"/>
    </row>
    <row r="505" ht="15.75" customHeight="1">
      <c r="F505" s="86"/>
    </row>
    <row r="506" ht="15.75" customHeight="1">
      <c r="F506" s="86"/>
    </row>
    <row r="507" ht="15.75" customHeight="1">
      <c r="F507" s="86"/>
    </row>
    <row r="508" ht="15.75" customHeight="1">
      <c r="F508" s="86"/>
    </row>
    <row r="509" ht="15.75" customHeight="1">
      <c r="F509" s="86"/>
    </row>
    <row r="510" ht="15.75" customHeight="1">
      <c r="F510" s="86"/>
    </row>
    <row r="511" ht="15.75" customHeight="1">
      <c r="F511" s="86"/>
    </row>
    <row r="512" ht="15.75" customHeight="1">
      <c r="F512" s="86"/>
    </row>
    <row r="513" ht="15.75" customHeight="1">
      <c r="F513" s="86"/>
    </row>
    <row r="514" ht="15.75" customHeight="1">
      <c r="F514" s="86"/>
    </row>
    <row r="515" ht="15.75" customHeight="1">
      <c r="F515" s="86"/>
    </row>
    <row r="516" ht="15.75" customHeight="1">
      <c r="F516" s="86"/>
    </row>
    <row r="517" ht="15.75" customHeight="1">
      <c r="F517" s="86"/>
    </row>
    <row r="518" ht="15.75" customHeight="1">
      <c r="F518" s="86"/>
    </row>
    <row r="519" ht="15.75" customHeight="1">
      <c r="F519" s="86"/>
    </row>
    <row r="520" ht="15.75" customHeight="1">
      <c r="F520" s="86"/>
    </row>
    <row r="521" ht="15.75" customHeight="1">
      <c r="F521" s="86"/>
    </row>
    <row r="522" ht="15.75" customHeight="1">
      <c r="F522" s="86"/>
    </row>
    <row r="523" ht="15.75" customHeight="1">
      <c r="F523" s="86"/>
    </row>
    <row r="524" ht="15.75" customHeight="1">
      <c r="F524" s="86"/>
    </row>
    <row r="525" ht="15.75" customHeight="1">
      <c r="F525" s="86"/>
    </row>
    <row r="526" ht="15.75" customHeight="1">
      <c r="F526" s="86"/>
    </row>
    <row r="527" ht="15.75" customHeight="1">
      <c r="F527" s="86"/>
    </row>
    <row r="528" ht="15.75" customHeight="1">
      <c r="F528" s="86"/>
    </row>
    <row r="529" ht="15.75" customHeight="1">
      <c r="F529" s="86"/>
    </row>
    <row r="530" ht="15.75" customHeight="1">
      <c r="F530" s="86"/>
    </row>
    <row r="531" ht="15.75" customHeight="1">
      <c r="F531" s="86"/>
    </row>
    <row r="532" ht="15.75" customHeight="1">
      <c r="F532" s="86"/>
    </row>
    <row r="533" ht="15.75" customHeight="1">
      <c r="F533" s="86"/>
    </row>
    <row r="534" ht="15.75" customHeight="1">
      <c r="F534" s="86"/>
    </row>
    <row r="535" ht="15.75" customHeight="1">
      <c r="F535" s="86"/>
    </row>
    <row r="536" ht="15.75" customHeight="1">
      <c r="F536" s="86"/>
    </row>
    <row r="537" ht="15.75" customHeight="1">
      <c r="F537" s="86"/>
    </row>
    <row r="538" ht="15.75" customHeight="1">
      <c r="F538" s="86"/>
    </row>
    <row r="539" ht="15.75" customHeight="1">
      <c r="F539" s="86"/>
    </row>
    <row r="540" ht="15.75" customHeight="1">
      <c r="F540" s="86"/>
    </row>
    <row r="541" ht="15.75" customHeight="1">
      <c r="F541" s="86"/>
    </row>
    <row r="542" ht="15.75" customHeight="1">
      <c r="F542" s="86"/>
    </row>
    <row r="543" ht="15.75" customHeight="1">
      <c r="F543" s="86"/>
    </row>
    <row r="544" ht="15.75" customHeight="1">
      <c r="F544" s="86"/>
    </row>
    <row r="545" ht="15.75" customHeight="1">
      <c r="F545" s="86"/>
    </row>
    <row r="546" ht="15.75" customHeight="1">
      <c r="F546" s="86"/>
    </row>
    <row r="547" ht="15.75" customHeight="1">
      <c r="F547" s="86"/>
    </row>
    <row r="548" ht="15.75" customHeight="1">
      <c r="F548" s="86"/>
    </row>
    <row r="549" ht="15.75" customHeight="1">
      <c r="F549" s="86"/>
    </row>
    <row r="550" ht="15.75" customHeight="1">
      <c r="F550" s="86"/>
    </row>
    <row r="551" ht="15.75" customHeight="1">
      <c r="F551" s="86"/>
    </row>
    <row r="552" ht="15.75" customHeight="1">
      <c r="F552" s="86"/>
    </row>
    <row r="553" ht="15.75" customHeight="1">
      <c r="F553" s="86"/>
    </row>
    <row r="554" ht="15.75" customHeight="1">
      <c r="F554" s="86"/>
    </row>
    <row r="555" ht="15.75" customHeight="1">
      <c r="F555" s="86"/>
    </row>
    <row r="556" ht="15.75" customHeight="1">
      <c r="F556" s="86"/>
    </row>
    <row r="557" ht="15.75" customHeight="1">
      <c r="F557" s="86"/>
    </row>
    <row r="558" ht="15.75" customHeight="1">
      <c r="F558" s="86"/>
    </row>
    <row r="559" ht="15.75" customHeight="1">
      <c r="F559" s="86"/>
    </row>
    <row r="560" ht="15.75" customHeight="1">
      <c r="F560" s="86"/>
    </row>
    <row r="561" ht="15.75" customHeight="1">
      <c r="F561" s="86"/>
    </row>
    <row r="562" ht="15.75" customHeight="1">
      <c r="F562" s="86"/>
    </row>
    <row r="563" ht="15.75" customHeight="1">
      <c r="F563" s="86"/>
    </row>
    <row r="564" ht="15.75" customHeight="1">
      <c r="F564" s="86"/>
    </row>
    <row r="565" ht="15.75" customHeight="1">
      <c r="F565" s="86"/>
    </row>
    <row r="566" ht="15.75" customHeight="1">
      <c r="F566" s="86"/>
    </row>
    <row r="567" ht="15.75" customHeight="1">
      <c r="F567" s="86"/>
    </row>
    <row r="568" ht="15.75" customHeight="1">
      <c r="F568" s="86"/>
    </row>
    <row r="569" ht="15.75" customHeight="1">
      <c r="F569" s="86"/>
    </row>
    <row r="570" ht="15.75" customHeight="1">
      <c r="F570" s="86"/>
    </row>
    <row r="571" ht="15.75" customHeight="1">
      <c r="F571" s="86"/>
    </row>
    <row r="572" ht="15.75" customHeight="1">
      <c r="F572" s="86"/>
    </row>
    <row r="573" ht="15.75" customHeight="1">
      <c r="F573" s="86"/>
    </row>
    <row r="574" ht="15.75" customHeight="1">
      <c r="F574" s="86"/>
    </row>
    <row r="575" ht="15.75" customHeight="1">
      <c r="F575" s="86"/>
    </row>
    <row r="576" ht="15.75" customHeight="1">
      <c r="F576" s="86"/>
    </row>
    <row r="577" ht="15.75" customHeight="1">
      <c r="F577" s="86"/>
    </row>
    <row r="578" ht="15.75" customHeight="1">
      <c r="F578" s="86"/>
    </row>
    <row r="579" ht="15.75" customHeight="1">
      <c r="F579" s="86"/>
    </row>
    <row r="580" ht="15.75" customHeight="1">
      <c r="F580" s="86"/>
    </row>
    <row r="581" ht="15.75" customHeight="1">
      <c r="F581" s="86"/>
    </row>
    <row r="582" ht="15.75" customHeight="1">
      <c r="F582" s="86"/>
    </row>
    <row r="583" ht="15.75" customHeight="1">
      <c r="F583" s="86"/>
    </row>
    <row r="584" ht="15.75" customHeight="1">
      <c r="F584" s="86"/>
    </row>
    <row r="585" ht="15.75" customHeight="1">
      <c r="F585" s="86"/>
    </row>
    <row r="586" ht="15.75" customHeight="1">
      <c r="F586" s="86"/>
    </row>
    <row r="587" ht="15.75" customHeight="1">
      <c r="F587" s="86"/>
    </row>
    <row r="588" ht="15.75" customHeight="1">
      <c r="F588" s="86"/>
    </row>
    <row r="589" ht="15.75" customHeight="1">
      <c r="F589" s="86"/>
    </row>
    <row r="590" ht="15.75" customHeight="1">
      <c r="F590" s="86"/>
    </row>
    <row r="591" ht="15.75" customHeight="1">
      <c r="F591" s="86"/>
    </row>
    <row r="592" ht="15.75" customHeight="1">
      <c r="F592" s="86"/>
    </row>
    <row r="593" ht="15.75" customHeight="1">
      <c r="F593" s="86"/>
    </row>
    <row r="594" ht="15.75" customHeight="1">
      <c r="F594" s="86"/>
    </row>
    <row r="595" ht="15.75" customHeight="1">
      <c r="F595" s="86"/>
    </row>
    <row r="596" ht="15.75" customHeight="1">
      <c r="F596" s="86"/>
    </row>
    <row r="597" ht="15.75" customHeight="1">
      <c r="F597" s="86"/>
    </row>
    <row r="598" ht="15.75" customHeight="1">
      <c r="F598" s="86"/>
    </row>
    <row r="599" ht="15.75" customHeight="1">
      <c r="F599" s="86"/>
    </row>
    <row r="600" ht="15.75" customHeight="1">
      <c r="F600" s="86"/>
    </row>
    <row r="601" ht="15.75" customHeight="1">
      <c r="F601" s="86"/>
    </row>
    <row r="602" ht="15.75" customHeight="1">
      <c r="F602" s="86"/>
    </row>
    <row r="603" ht="15.75" customHeight="1">
      <c r="F603" s="86"/>
    </row>
    <row r="604" ht="15.75" customHeight="1">
      <c r="F604" s="86"/>
    </row>
    <row r="605" ht="15.75" customHeight="1">
      <c r="F605" s="86"/>
    </row>
    <row r="606" ht="15.75" customHeight="1">
      <c r="F606" s="86"/>
    </row>
    <row r="607" ht="15.75" customHeight="1">
      <c r="F607" s="86"/>
    </row>
    <row r="608" ht="15.75" customHeight="1">
      <c r="F608" s="86"/>
    </row>
    <row r="609" ht="15.75" customHeight="1">
      <c r="F609" s="86"/>
    </row>
    <row r="610" ht="15.75" customHeight="1">
      <c r="F610" s="86"/>
    </row>
    <row r="611" ht="15.75" customHeight="1">
      <c r="F611" s="86"/>
    </row>
    <row r="612" ht="15.75" customHeight="1">
      <c r="F612" s="86"/>
    </row>
    <row r="613" ht="15.75" customHeight="1">
      <c r="F613" s="86"/>
    </row>
    <row r="614" ht="15.75" customHeight="1">
      <c r="F614" s="86"/>
    </row>
    <row r="615" ht="15.75" customHeight="1">
      <c r="F615" s="86"/>
    </row>
    <row r="616" ht="15.75" customHeight="1">
      <c r="F616" s="86"/>
    </row>
    <row r="617" ht="15.75" customHeight="1">
      <c r="F617" s="86"/>
    </row>
    <row r="618" ht="15.75" customHeight="1">
      <c r="F618" s="86"/>
    </row>
    <row r="619" ht="15.75" customHeight="1">
      <c r="F619" s="86"/>
    </row>
    <row r="620" ht="15.75" customHeight="1">
      <c r="F620" s="86"/>
    </row>
    <row r="621" ht="15.75" customHeight="1">
      <c r="F621" s="86"/>
    </row>
    <row r="622" ht="15.75" customHeight="1">
      <c r="F622" s="86"/>
    </row>
    <row r="623" ht="15.75" customHeight="1">
      <c r="F623" s="86"/>
    </row>
    <row r="624" ht="15.75" customHeight="1">
      <c r="F624" s="86"/>
    </row>
    <row r="625" ht="15.75" customHeight="1">
      <c r="F625" s="86"/>
    </row>
    <row r="626" ht="15.75" customHeight="1">
      <c r="F626" s="86"/>
    </row>
    <row r="627" ht="15.75" customHeight="1">
      <c r="F627" s="86"/>
    </row>
    <row r="628" ht="15.75" customHeight="1">
      <c r="F628" s="86"/>
    </row>
    <row r="629" ht="15.75" customHeight="1">
      <c r="F629" s="86"/>
    </row>
    <row r="630" ht="15.75" customHeight="1">
      <c r="F630" s="86"/>
    </row>
    <row r="631" ht="15.75" customHeight="1">
      <c r="F631" s="86"/>
    </row>
    <row r="632" ht="15.75" customHeight="1">
      <c r="F632" s="86"/>
    </row>
    <row r="633" ht="15.75" customHeight="1">
      <c r="F633" s="86"/>
    </row>
    <row r="634" ht="15.75" customHeight="1">
      <c r="F634" s="86"/>
    </row>
    <row r="635" ht="15.75" customHeight="1">
      <c r="F635" s="86"/>
    </row>
    <row r="636" ht="15.75" customHeight="1">
      <c r="F636" s="86"/>
    </row>
    <row r="637" ht="15.75" customHeight="1">
      <c r="F637" s="86"/>
    </row>
    <row r="638" ht="15.75" customHeight="1">
      <c r="F638" s="86"/>
    </row>
    <row r="639" ht="15.75" customHeight="1">
      <c r="F639" s="86"/>
    </row>
    <row r="640" ht="15.75" customHeight="1">
      <c r="F640" s="86"/>
    </row>
    <row r="641" ht="15.75" customHeight="1">
      <c r="F641" s="86"/>
    </row>
    <row r="642" ht="15.75" customHeight="1">
      <c r="F642" s="86"/>
    </row>
    <row r="643" ht="15.75" customHeight="1">
      <c r="F643" s="86"/>
    </row>
    <row r="644" ht="15.75" customHeight="1">
      <c r="F644" s="86"/>
    </row>
    <row r="645" ht="15.75" customHeight="1">
      <c r="F645" s="86"/>
    </row>
    <row r="646" ht="15.75" customHeight="1">
      <c r="F646" s="86"/>
    </row>
    <row r="647" ht="15.75" customHeight="1">
      <c r="F647" s="86"/>
    </row>
    <row r="648" ht="15.75" customHeight="1">
      <c r="F648" s="86"/>
    </row>
    <row r="649" ht="15.75" customHeight="1">
      <c r="F649" s="86"/>
    </row>
    <row r="650" ht="15.75" customHeight="1">
      <c r="F650" s="86"/>
    </row>
    <row r="651" ht="15.75" customHeight="1">
      <c r="F651" s="86"/>
    </row>
    <row r="652" ht="15.75" customHeight="1">
      <c r="F652" s="86"/>
    </row>
    <row r="653" ht="15.75" customHeight="1">
      <c r="F653" s="86"/>
    </row>
    <row r="654" ht="15.75" customHeight="1">
      <c r="F654" s="86"/>
    </row>
    <row r="655" ht="15.75" customHeight="1">
      <c r="F655" s="86"/>
    </row>
    <row r="656" ht="15.75" customHeight="1">
      <c r="F656" s="86"/>
    </row>
    <row r="657" ht="15.75" customHeight="1">
      <c r="F657" s="86"/>
    </row>
    <row r="658" ht="15.75" customHeight="1">
      <c r="F658" s="86"/>
    </row>
    <row r="659" ht="15.75" customHeight="1">
      <c r="F659" s="86"/>
    </row>
    <row r="660" ht="15.75" customHeight="1">
      <c r="F660" s="86"/>
    </row>
    <row r="661" ht="15.75" customHeight="1">
      <c r="F661" s="86"/>
    </row>
    <row r="662" ht="15.75" customHeight="1">
      <c r="F662" s="86"/>
    </row>
    <row r="663" ht="15.75" customHeight="1">
      <c r="F663" s="86"/>
    </row>
    <row r="664" ht="15.75" customHeight="1">
      <c r="F664" s="86"/>
    </row>
    <row r="665" ht="15.75" customHeight="1">
      <c r="F665" s="86"/>
    </row>
    <row r="666" ht="15.75" customHeight="1">
      <c r="F666" s="86"/>
    </row>
    <row r="667" ht="15.75" customHeight="1">
      <c r="F667" s="86"/>
    </row>
    <row r="668" ht="15.75" customHeight="1">
      <c r="F668" s="86"/>
    </row>
    <row r="669" ht="15.75" customHeight="1">
      <c r="F669" s="86"/>
    </row>
    <row r="670" ht="15.75" customHeight="1">
      <c r="F670" s="86"/>
    </row>
    <row r="671" ht="15.75" customHeight="1">
      <c r="F671" s="86"/>
    </row>
    <row r="672" ht="15.75" customHeight="1">
      <c r="F672" s="86"/>
    </row>
    <row r="673" ht="15.75" customHeight="1">
      <c r="F673" s="86"/>
    </row>
    <row r="674" ht="15.75" customHeight="1">
      <c r="F674" s="86"/>
    </row>
    <row r="675" ht="15.75" customHeight="1">
      <c r="F675" s="86"/>
    </row>
    <row r="676" ht="15.75" customHeight="1">
      <c r="F676" s="86"/>
    </row>
    <row r="677" ht="15.75" customHeight="1">
      <c r="F677" s="86"/>
    </row>
    <row r="678" ht="15.75" customHeight="1">
      <c r="F678" s="86"/>
    </row>
    <row r="679" ht="15.75" customHeight="1">
      <c r="F679" s="86"/>
    </row>
    <row r="680" ht="15.75" customHeight="1">
      <c r="F680" s="86"/>
    </row>
    <row r="681" ht="15.75" customHeight="1">
      <c r="F681" s="86"/>
    </row>
    <row r="682" ht="15.75" customHeight="1">
      <c r="F682" s="86"/>
    </row>
    <row r="683" ht="15.75" customHeight="1">
      <c r="F683" s="86"/>
    </row>
    <row r="684" ht="15.75" customHeight="1">
      <c r="F684" s="86"/>
    </row>
    <row r="685" ht="15.75" customHeight="1">
      <c r="F685" s="86"/>
    </row>
    <row r="686" ht="15.75" customHeight="1">
      <c r="F686" s="86"/>
    </row>
    <row r="687" ht="15.75" customHeight="1">
      <c r="F687" s="86"/>
    </row>
    <row r="688" ht="15.75" customHeight="1">
      <c r="F688" s="86"/>
    </row>
    <row r="689" ht="15.75" customHeight="1">
      <c r="F689" s="86"/>
    </row>
    <row r="690" ht="15.75" customHeight="1">
      <c r="F690" s="86"/>
    </row>
    <row r="691" ht="15.75" customHeight="1">
      <c r="F691" s="86"/>
    </row>
    <row r="692" ht="15.75" customHeight="1">
      <c r="F692" s="86"/>
    </row>
    <row r="693" ht="15.75" customHeight="1">
      <c r="F693" s="86"/>
    </row>
    <row r="694" ht="15.75" customHeight="1">
      <c r="F694" s="86"/>
    </row>
    <row r="695" ht="15.75" customHeight="1">
      <c r="F695" s="86"/>
    </row>
    <row r="696" ht="15.75" customHeight="1">
      <c r="F696" s="86"/>
    </row>
    <row r="697" ht="15.75" customHeight="1">
      <c r="F697" s="86"/>
    </row>
    <row r="698" ht="15.75" customHeight="1">
      <c r="F698" s="86"/>
    </row>
    <row r="699" ht="15.75" customHeight="1">
      <c r="F699" s="86"/>
    </row>
    <row r="700" ht="15.75" customHeight="1">
      <c r="F700" s="86"/>
    </row>
    <row r="701" ht="15.75" customHeight="1">
      <c r="F701" s="86"/>
    </row>
    <row r="702" ht="15.75" customHeight="1">
      <c r="F702" s="86"/>
    </row>
    <row r="703" ht="15.75" customHeight="1">
      <c r="F703" s="86"/>
    </row>
    <row r="704" ht="15.75" customHeight="1">
      <c r="F704" s="86"/>
    </row>
    <row r="705" ht="15.75" customHeight="1">
      <c r="F705" s="86"/>
    </row>
    <row r="706" ht="15.75" customHeight="1">
      <c r="F706" s="86"/>
    </row>
    <row r="707" ht="15.75" customHeight="1">
      <c r="F707" s="86"/>
    </row>
    <row r="708" ht="15.75" customHeight="1">
      <c r="F708" s="86"/>
    </row>
    <row r="709" ht="15.75" customHeight="1">
      <c r="F709" s="86"/>
    </row>
    <row r="710" ht="15.75" customHeight="1">
      <c r="F710" s="86"/>
    </row>
    <row r="711" ht="15.75" customHeight="1">
      <c r="F711" s="86"/>
    </row>
    <row r="712" ht="15.75" customHeight="1">
      <c r="F712" s="86"/>
    </row>
    <row r="713" ht="15.75" customHeight="1">
      <c r="F713" s="86"/>
    </row>
    <row r="714" ht="15.75" customHeight="1">
      <c r="F714" s="86"/>
    </row>
    <row r="715" ht="15.75" customHeight="1">
      <c r="F715" s="86"/>
    </row>
    <row r="716" ht="15.75" customHeight="1">
      <c r="F716" s="86"/>
    </row>
    <row r="717" ht="15.75" customHeight="1">
      <c r="F717" s="86"/>
    </row>
    <row r="718" ht="15.75" customHeight="1">
      <c r="F718" s="86"/>
    </row>
    <row r="719" ht="15.75" customHeight="1">
      <c r="F719" s="86"/>
    </row>
    <row r="720" ht="15.75" customHeight="1">
      <c r="F720" s="86"/>
    </row>
    <row r="721" ht="15.75" customHeight="1">
      <c r="F721" s="86"/>
    </row>
    <row r="722" ht="15.75" customHeight="1">
      <c r="F722" s="86"/>
    </row>
    <row r="723" ht="15.75" customHeight="1">
      <c r="F723" s="86"/>
    </row>
    <row r="724" ht="15.75" customHeight="1">
      <c r="F724" s="86"/>
    </row>
    <row r="725" ht="15.75" customHeight="1">
      <c r="F725" s="86"/>
    </row>
    <row r="726" ht="15.75" customHeight="1">
      <c r="F726" s="86"/>
    </row>
    <row r="727" ht="15.75" customHeight="1">
      <c r="F727" s="86"/>
    </row>
    <row r="728" ht="15.75" customHeight="1">
      <c r="F728" s="86"/>
    </row>
    <row r="729" ht="15.75" customHeight="1">
      <c r="F729" s="86"/>
    </row>
    <row r="730" ht="15.75" customHeight="1">
      <c r="F730" s="86"/>
    </row>
    <row r="731" ht="15.75" customHeight="1">
      <c r="F731" s="86"/>
    </row>
    <row r="732" ht="15.75" customHeight="1">
      <c r="F732" s="86"/>
    </row>
    <row r="733" ht="15.75" customHeight="1">
      <c r="F733" s="86"/>
    </row>
    <row r="734" ht="15.75" customHeight="1">
      <c r="F734" s="86"/>
    </row>
    <row r="735" ht="15.75" customHeight="1">
      <c r="F735" s="86"/>
    </row>
    <row r="736" ht="15.75" customHeight="1">
      <c r="F736" s="86"/>
    </row>
    <row r="737" ht="15.75" customHeight="1">
      <c r="F737" s="86"/>
    </row>
    <row r="738" ht="15.75" customHeight="1">
      <c r="F738" s="86"/>
    </row>
    <row r="739" ht="15.75" customHeight="1">
      <c r="F739" s="86"/>
    </row>
    <row r="740" ht="15.75" customHeight="1">
      <c r="F740" s="86"/>
    </row>
    <row r="741" ht="15.75" customHeight="1">
      <c r="F741" s="86"/>
    </row>
    <row r="742" ht="15.75" customHeight="1">
      <c r="F742" s="86"/>
    </row>
    <row r="743" ht="15.75" customHeight="1">
      <c r="F743" s="86"/>
    </row>
    <row r="744" ht="15.75" customHeight="1">
      <c r="F744" s="86"/>
    </row>
    <row r="745" ht="15.75" customHeight="1">
      <c r="F745" s="86"/>
    </row>
    <row r="746" ht="15.75" customHeight="1">
      <c r="F746" s="86"/>
    </row>
    <row r="747" ht="15.75" customHeight="1">
      <c r="F747" s="86"/>
    </row>
    <row r="748" ht="15.75" customHeight="1">
      <c r="F748" s="86"/>
    </row>
    <row r="749" ht="15.75" customHeight="1">
      <c r="F749" s="86"/>
    </row>
    <row r="750" ht="15.75" customHeight="1">
      <c r="F750" s="86"/>
    </row>
    <row r="751" ht="15.75" customHeight="1">
      <c r="F751" s="86"/>
    </row>
    <row r="752" ht="15.75" customHeight="1">
      <c r="F752" s="86"/>
    </row>
    <row r="753" ht="15.75" customHeight="1">
      <c r="F753" s="86"/>
    </row>
    <row r="754" ht="15.75" customHeight="1">
      <c r="F754" s="86"/>
    </row>
    <row r="755" ht="15.75" customHeight="1">
      <c r="F755" s="86"/>
    </row>
    <row r="756" ht="15.75" customHeight="1">
      <c r="F756" s="86"/>
    </row>
    <row r="757" ht="15.75" customHeight="1">
      <c r="F757" s="86"/>
    </row>
    <row r="758" ht="15.75" customHeight="1">
      <c r="F758" s="86"/>
    </row>
    <row r="759" ht="15.75" customHeight="1">
      <c r="F759" s="86"/>
    </row>
    <row r="760" ht="15.75" customHeight="1">
      <c r="F760" s="86"/>
    </row>
    <row r="761" ht="15.75" customHeight="1">
      <c r="F761" s="86"/>
    </row>
    <row r="762" ht="15.75" customHeight="1">
      <c r="F762" s="86"/>
    </row>
    <row r="763" ht="15.75" customHeight="1">
      <c r="F763" s="86"/>
    </row>
    <row r="764" ht="15.75" customHeight="1">
      <c r="F764" s="86"/>
    </row>
    <row r="765" ht="15.75" customHeight="1">
      <c r="F765" s="86"/>
    </row>
    <row r="766" ht="15.75" customHeight="1">
      <c r="F766" s="86"/>
    </row>
    <row r="767" ht="15.75" customHeight="1">
      <c r="F767" s="86"/>
    </row>
    <row r="768" ht="15.75" customHeight="1">
      <c r="F768" s="86"/>
    </row>
    <row r="769" ht="15.75" customHeight="1">
      <c r="F769" s="86"/>
    </row>
    <row r="770" ht="15.75" customHeight="1">
      <c r="F770" s="86"/>
    </row>
    <row r="771" ht="15.75" customHeight="1">
      <c r="F771" s="86"/>
    </row>
    <row r="772" ht="15.75" customHeight="1">
      <c r="F772" s="86"/>
    </row>
    <row r="773" ht="15.75" customHeight="1">
      <c r="F773" s="86"/>
    </row>
    <row r="774" ht="15.75" customHeight="1">
      <c r="F774" s="86"/>
    </row>
    <row r="775" ht="15.75" customHeight="1">
      <c r="F775" s="86"/>
    </row>
    <row r="776" ht="15.75" customHeight="1">
      <c r="F776" s="86"/>
    </row>
    <row r="777" ht="15.75" customHeight="1">
      <c r="F777" s="86"/>
    </row>
    <row r="778" ht="15.75" customHeight="1">
      <c r="F778" s="86"/>
    </row>
    <row r="779" ht="15.75" customHeight="1">
      <c r="F779" s="86"/>
    </row>
    <row r="780" ht="15.75" customHeight="1">
      <c r="F780" s="86"/>
    </row>
    <row r="781" ht="15.75" customHeight="1">
      <c r="F781" s="86"/>
    </row>
    <row r="782" ht="15.75" customHeight="1">
      <c r="F782" s="86"/>
    </row>
    <row r="783" ht="15.75" customHeight="1">
      <c r="F783" s="86"/>
    </row>
    <row r="784" ht="15.75" customHeight="1">
      <c r="F784" s="86"/>
    </row>
    <row r="785" ht="15.75" customHeight="1">
      <c r="F785" s="86"/>
    </row>
    <row r="786" ht="15.75" customHeight="1">
      <c r="F786" s="86"/>
    </row>
    <row r="787" ht="15.75" customHeight="1">
      <c r="F787" s="86"/>
    </row>
    <row r="788" ht="15.75" customHeight="1">
      <c r="F788" s="86"/>
    </row>
    <row r="789" ht="15.75" customHeight="1">
      <c r="F789" s="86"/>
    </row>
    <row r="790" ht="15.75" customHeight="1">
      <c r="F790" s="86"/>
    </row>
    <row r="791" ht="15.75" customHeight="1">
      <c r="F791" s="86"/>
    </row>
    <row r="792" ht="15.75" customHeight="1">
      <c r="F792" s="86"/>
    </row>
    <row r="793" ht="15.75" customHeight="1">
      <c r="F793" s="86"/>
    </row>
    <row r="794" ht="15.75" customHeight="1">
      <c r="F794" s="86"/>
    </row>
    <row r="795" ht="15.75" customHeight="1">
      <c r="F795" s="86"/>
    </row>
    <row r="796" ht="15.75" customHeight="1">
      <c r="F796" s="86"/>
    </row>
    <row r="797" ht="15.75" customHeight="1">
      <c r="F797" s="86"/>
    </row>
    <row r="798" ht="15.75" customHeight="1">
      <c r="F798" s="86"/>
    </row>
    <row r="799" ht="15.75" customHeight="1">
      <c r="F799" s="86"/>
    </row>
    <row r="800" ht="15.75" customHeight="1">
      <c r="F800" s="86"/>
    </row>
    <row r="801" ht="15.75" customHeight="1">
      <c r="F801" s="86"/>
    </row>
    <row r="802" ht="15.75" customHeight="1">
      <c r="F802" s="86"/>
    </row>
    <row r="803" ht="15.75" customHeight="1">
      <c r="F803" s="86"/>
    </row>
    <row r="804" ht="15.75" customHeight="1">
      <c r="F804" s="86"/>
    </row>
    <row r="805" ht="15.75" customHeight="1">
      <c r="F805" s="86"/>
    </row>
    <row r="806" ht="15.75" customHeight="1">
      <c r="F806" s="86"/>
    </row>
    <row r="807" ht="15.75" customHeight="1">
      <c r="F807" s="86"/>
    </row>
    <row r="808" ht="15.75" customHeight="1">
      <c r="F808" s="86"/>
    </row>
    <row r="809" ht="15.75" customHeight="1">
      <c r="F809" s="86"/>
    </row>
    <row r="810" ht="15.75" customHeight="1">
      <c r="F810" s="86"/>
    </row>
    <row r="811" ht="15.75" customHeight="1">
      <c r="F811" s="86"/>
    </row>
    <row r="812" ht="15.75" customHeight="1">
      <c r="F812" s="86"/>
    </row>
    <row r="813" ht="15.75" customHeight="1">
      <c r="F813" s="86"/>
    </row>
    <row r="814" ht="15.75" customHeight="1">
      <c r="F814" s="86"/>
    </row>
    <row r="815" ht="15.75" customHeight="1">
      <c r="F815" s="86"/>
    </row>
    <row r="816" ht="15.75" customHeight="1">
      <c r="F816" s="86"/>
    </row>
    <row r="817" ht="15.75" customHeight="1">
      <c r="F817" s="86"/>
    </row>
    <row r="818" ht="15.75" customHeight="1">
      <c r="F818" s="86"/>
    </row>
    <row r="819" ht="15.75" customHeight="1">
      <c r="F819" s="86"/>
    </row>
    <row r="820" ht="15.75" customHeight="1">
      <c r="F820" s="86"/>
    </row>
    <row r="821" ht="15.75" customHeight="1">
      <c r="F821" s="86"/>
    </row>
    <row r="822" ht="15.75" customHeight="1">
      <c r="F822" s="86"/>
    </row>
    <row r="823" ht="15.75" customHeight="1">
      <c r="F823" s="86"/>
    </row>
    <row r="824" ht="15.75" customHeight="1">
      <c r="F824" s="86"/>
    </row>
    <row r="825" ht="15.75" customHeight="1">
      <c r="F825" s="86"/>
    </row>
    <row r="826" ht="15.75" customHeight="1">
      <c r="F826" s="86"/>
    </row>
    <row r="827" ht="15.75" customHeight="1">
      <c r="F827" s="86"/>
    </row>
    <row r="828" ht="15.75" customHeight="1">
      <c r="F828" s="86"/>
    </row>
    <row r="829" ht="15.75" customHeight="1">
      <c r="F829" s="86"/>
    </row>
    <row r="830" ht="15.75" customHeight="1">
      <c r="F830" s="86"/>
    </row>
    <row r="831" ht="15.75" customHeight="1">
      <c r="F831" s="86"/>
    </row>
    <row r="832" ht="15.75" customHeight="1">
      <c r="F832" s="86"/>
    </row>
    <row r="833" ht="15.75" customHeight="1">
      <c r="F833" s="86"/>
    </row>
    <row r="834" ht="15.75" customHeight="1">
      <c r="F834" s="86"/>
    </row>
    <row r="835" ht="15.75" customHeight="1">
      <c r="F835" s="86"/>
    </row>
    <row r="836" ht="15.75" customHeight="1">
      <c r="F836" s="86"/>
    </row>
    <row r="837" ht="15.75" customHeight="1">
      <c r="F837" s="86"/>
    </row>
    <row r="838" ht="15.75" customHeight="1">
      <c r="F838" s="86"/>
    </row>
    <row r="839" ht="15.75" customHeight="1">
      <c r="F839" s="86"/>
    </row>
    <row r="840" ht="15.75" customHeight="1">
      <c r="F840" s="86"/>
    </row>
    <row r="841" ht="15.75" customHeight="1">
      <c r="F841" s="86"/>
    </row>
    <row r="842" ht="15.75" customHeight="1">
      <c r="F842" s="86"/>
    </row>
    <row r="843" ht="15.75" customHeight="1">
      <c r="F843" s="86"/>
    </row>
    <row r="844" ht="15.75" customHeight="1">
      <c r="F844" s="86"/>
    </row>
    <row r="845" ht="15.75" customHeight="1">
      <c r="F845" s="86"/>
    </row>
    <row r="846" ht="15.75" customHeight="1">
      <c r="F846" s="86"/>
    </row>
    <row r="847" ht="15.75" customHeight="1">
      <c r="F847" s="86"/>
    </row>
    <row r="848" ht="15.75" customHeight="1">
      <c r="F848" s="86"/>
    </row>
    <row r="849" ht="15.75" customHeight="1">
      <c r="F849" s="86"/>
    </row>
    <row r="850" ht="15.75" customHeight="1">
      <c r="F850" s="86"/>
    </row>
    <row r="851" ht="15.75" customHeight="1">
      <c r="F851" s="86"/>
    </row>
    <row r="852" ht="15.75" customHeight="1">
      <c r="F852" s="86"/>
    </row>
    <row r="853" ht="15.75" customHeight="1">
      <c r="F853" s="86"/>
    </row>
    <row r="854" ht="15.75" customHeight="1">
      <c r="F854" s="86"/>
    </row>
    <row r="855" ht="15.75" customHeight="1">
      <c r="F855" s="86"/>
    </row>
    <row r="856" ht="15.75" customHeight="1">
      <c r="F856" s="86"/>
    </row>
    <row r="857" ht="15.75" customHeight="1">
      <c r="F857" s="86"/>
    </row>
    <row r="858" ht="15.75" customHeight="1">
      <c r="F858" s="86"/>
    </row>
    <row r="859" ht="15.75" customHeight="1">
      <c r="F859" s="86"/>
    </row>
    <row r="860" ht="15.75" customHeight="1">
      <c r="F860" s="86"/>
    </row>
    <row r="861" ht="15.75" customHeight="1">
      <c r="F861" s="86"/>
    </row>
    <row r="862" ht="15.75" customHeight="1">
      <c r="F862" s="86"/>
    </row>
    <row r="863" ht="15.75" customHeight="1">
      <c r="F863" s="86"/>
    </row>
    <row r="864" ht="15.75" customHeight="1">
      <c r="F864" s="86"/>
    </row>
    <row r="865" ht="15.75" customHeight="1">
      <c r="F865" s="86"/>
    </row>
    <row r="866" ht="15.75" customHeight="1">
      <c r="F866" s="86"/>
    </row>
    <row r="867" ht="15.75" customHeight="1">
      <c r="F867" s="86"/>
    </row>
    <row r="868" ht="15.75" customHeight="1">
      <c r="F868" s="86"/>
    </row>
    <row r="869" ht="15.75" customHeight="1">
      <c r="F869" s="86"/>
    </row>
    <row r="870" ht="15.75" customHeight="1">
      <c r="F870" s="86"/>
    </row>
    <row r="871" ht="15.75" customHeight="1">
      <c r="F871" s="86"/>
    </row>
    <row r="872" ht="15.75" customHeight="1">
      <c r="F872" s="86"/>
    </row>
    <row r="873" ht="15.75" customHeight="1">
      <c r="F873" s="86"/>
    </row>
    <row r="874" ht="15.75" customHeight="1">
      <c r="F874" s="86"/>
    </row>
    <row r="875" ht="15.75" customHeight="1">
      <c r="F875" s="86"/>
    </row>
    <row r="876" ht="15.75" customHeight="1">
      <c r="F876" s="86"/>
    </row>
    <row r="877" ht="15.75" customHeight="1">
      <c r="F877" s="86"/>
    </row>
    <row r="878" ht="15.75" customHeight="1">
      <c r="F878" s="86"/>
    </row>
    <row r="879" ht="15.75" customHeight="1">
      <c r="F879" s="86"/>
    </row>
    <row r="880" ht="15.75" customHeight="1">
      <c r="F880" s="86"/>
    </row>
    <row r="881" ht="15.75" customHeight="1">
      <c r="F881" s="86"/>
    </row>
    <row r="882" ht="15.75" customHeight="1">
      <c r="F882" s="86"/>
    </row>
    <row r="883" ht="15.75" customHeight="1">
      <c r="F883" s="86"/>
    </row>
    <row r="884" ht="15.75" customHeight="1">
      <c r="F884" s="86"/>
    </row>
    <row r="885" ht="15.75" customHeight="1">
      <c r="F885" s="86"/>
    </row>
    <row r="886" ht="15.75" customHeight="1">
      <c r="F886" s="86"/>
    </row>
    <row r="887" ht="15.75" customHeight="1">
      <c r="F887" s="86"/>
    </row>
    <row r="888" ht="15.75" customHeight="1">
      <c r="F888" s="86"/>
    </row>
    <row r="889" ht="15.75" customHeight="1">
      <c r="F889" s="86"/>
    </row>
    <row r="890" ht="15.75" customHeight="1">
      <c r="F890" s="86"/>
    </row>
    <row r="891" ht="15.75" customHeight="1">
      <c r="F891" s="86"/>
    </row>
    <row r="892" ht="15.75" customHeight="1">
      <c r="F892" s="86"/>
    </row>
    <row r="893" ht="15.75" customHeight="1">
      <c r="F893" s="86"/>
    </row>
    <row r="894" ht="15.75" customHeight="1">
      <c r="F894" s="86"/>
    </row>
    <row r="895" ht="15.75" customHeight="1">
      <c r="F895" s="86"/>
    </row>
    <row r="896" ht="15.75" customHeight="1">
      <c r="F896" s="86"/>
    </row>
    <row r="897" ht="15.75" customHeight="1">
      <c r="F897" s="86"/>
    </row>
    <row r="898" ht="15.75" customHeight="1">
      <c r="F898" s="86"/>
    </row>
    <row r="899" ht="15.75" customHeight="1">
      <c r="F899" s="86"/>
    </row>
    <row r="900" ht="15.75" customHeight="1">
      <c r="F900" s="86"/>
    </row>
    <row r="901" ht="15.75" customHeight="1">
      <c r="F901" s="86"/>
    </row>
    <row r="902" ht="15.75" customHeight="1">
      <c r="F902" s="86"/>
    </row>
    <row r="903" ht="15.75" customHeight="1">
      <c r="F903" s="86"/>
    </row>
    <row r="904" ht="15.75" customHeight="1">
      <c r="F904" s="86"/>
    </row>
    <row r="905" ht="15.75" customHeight="1">
      <c r="F905" s="86"/>
    </row>
    <row r="906" ht="15.75" customHeight="1">
      <c r="F906" s="86"/>
    </row>
    <row r="907" ht="15.75" customHeight="1">
      <c r="F907" s="86"/>
    </row>
    <row r="908" ht="15.75" customHeight="1">
      <c r="F908" s="86"/>
    </row>
    <row r="909" ht="15.75" customHeight="1">
      <c r="F909" s="86"/>
    </row>
    <row r="910" ht="15.75" customHeight="1">
      <c r="F910" s="86"/>
    </row>
    <row r="911" ht="15.75" customHeight="1">
      <c r="F911" s="86"/>
    </row>
    <row r="912" ht="15.75" customHeight="1">
      <c r="F912" s="86"/>
    </row>
    <row r="913" ht="15.75" customHeight="1">
      <c r="F913" s="86"/>
    </row>
    <row r="914" ht="15.75" customHeight="1">
      <c r="F914" s="86"/>
    </row>
    <row r="915" ht="15.75" customHeight="1">
      <c r="F915" s="86"/>
    </row>
    <row r="916" ht="15.75" customHeight="1">
      <c r="F916" s="86"/>
    </row>
    <row r="917" ht="15.75" customHeight="1">
      <c r="F917" s="86"/>
    </row>
    <row r="918" ht="15.75" customHeight="1">
      <c r="F918" s="86"/>
    </row>
    <row r="919" ht="15.75" customHeight="1">
      <c r="F919" s="86"/>
    </row>
    <row r="920" ht="15.75" customHeight="1">
      <c r="F920" s="86"/>
    </row>
    <row r="921" ht="15.75" customHeight="1">
      <c r="F921" s="86"/>
    </row>
    <row r="922" ht="15.75" customHeight="1">
      <c r="F922" s="86"/>
    </row>
    <row r="923" ht="15.75" customHeight="1">
      <c r="F923" s="86"/>
    </row>
    <row r="924" ht="15.75" customHeight="1">
      <c r="F924" s="86"/>
    </row>
    <row r="925" ht="15.75" customHeight="1">
      <c r="F925" s="86"/>
    </row>
    <row r="926" ht="15.75" customHeight="1">
      <c r="F926" s="86"/>
    </row>
    <row r="927" ht="15.75" customHeight="1">
      <c r="F927" s="86"/>
    </row>
    <row r="928" ht="15.75" customHeight="1">
      <c r="F928" s="86"/>
    </row>
    <row r="929" ht="15.75" customHeight="1">
      <c r="F929" s="86"/>
    </row>
    <row r="930" ht="15.75" customHeight="1">
      <c r="F930" s="86"/>
    </row>
    <row r="931" ht="15.75" customHeight="1">
      <c r="F931" s="86"/>
    </row>
    <row r="932" ht="15.75" customHeight="1">
      <c r="F932" s="86"/>
    </row>
    <row r="933" ht="15.75" customHeight="1">
      <c r="F933" s="86"/>
    </row>
    <row r="934" ht="15.75" customHeight="1">
      <c r="F934" s="86"/>
    </row>
    <row r="935" ht="15.75" customHeight="1">
      <c r="F935" s="86"/>
    </row>
    <row r="936" ht="15.75" customHeight="1">
      <c r="F936" s="86"/>
    </row>
    <row r="937" ht="15.75" customHeight="1">
      <c r="F937" s="86"/>
    </row>
    <row r="938" ht="15.75" customHeight="1">
      <c r="F938" s="86"/>
    </row>
    <row r="939" ht="15.75" customHeight="1">
      <c r="F939" s="86"/>
    </row>
    <row r="940" ht="15.75" customHeight="1">
      <c r="F940" s="86"/>
    </row>
    <row r="941" ht="15.75" customHeight="1">
      <c r="F941" s="86"/>
    </row>
    <row r="942" ht="15.75" customHeight="1">
      <c r="F942" s="86"/>
    </row>
    <row r="943" ht="15.75" customHeight="1">
      <c r="F943" s="86"/>
    </row>
    <row r="944" ht="15.75" customHeight="1">
      <c r="F944" s="86"/>
    </row>
    <row r="945" ht="15.75" customHeight="1">
      <c r="F945" s="86"/>
    </row>
    <row r="946" ht="15.75" customHeight="1">
      <c r="F946" s="86"/>
    </row>
    <row r="947" ht="15.75" customHeight="1">
      <c r="F947" s="86"/>
    </row>
    <row r="948" ht="15.75" customHeight="1">
      <c r="F948" s="86"/>
    </row>
    <row r="949" ht="15.75" customHeight="1">
      <c r="F949" s="86"/>
    </row>
    <row r="950" ht="15.75" customHeight="1">
      <c r="F950" s="86"/>
    </row>
    <row r="951" ht="15.75" customHeight="1">
      <c r="F951" s="86"/>
    </row>
    <row r="952" ht="15.75" customHeight="1">
      <c r="F952" s="86"/>
    </row>
    <row r="953" ht="15.75" customHeight="1">
      <c r="F953" s="86"/>
    </row>
    <row r="954" ht="15.75" customHeight="1">
      <c r="F954" s="86"/>
    </row>
    <row r="955" ht="15.75" customHeight="1">
      <c r="F955" s="86"/>
    </row>
    <row r="956" ht="15.75" customHeight="1">
      <c r="F956" s="86"/>
    </row>
    <row r="957" ht="15.75" customHeight="1">
      <c r="F957" s="86"/>
    </row>
    <row r="958" ht="15.75" customHeight="1">
      <c r="F958" s="86"/>
    </row>
    <row r="959" ht="15.75" customHeight="1">
      <c r="F959" s="86"/>
    </row>
    <row r="960" ht="15.75" customHeight="1">
      <c r="F960" s="86"/>
    </row>
    <row r="961" ht="15.75" customHeight="1">
      <c r="F961" s="86"/>
    </row>
    <row r="962" ht="15.75" customHeight="1">
      <c r="F962" s="86"/>
    </row>
    <row r="963" ht="15.75" customHeight="1">
      <c r="F963" s="86"/>
    </row>
    <row r="964" ht="15.75" customHeight="1">
      <c r="F964" s="86"/>
    </row>
    <row r="965" ht="15.75" customHeight="1">
      <c r="F965" s="86"/>
    </row>
    <row r="966" ht="15.75" customHeight="1">
      <c r="F966" s="86"/>
    </row>
    <row r="967" ht="15.75" customHeight="1">
      <c r="F967" s="86"/>
    </row>
    <row r="968" ht="15.75" customHeight="1">
      <c r="F968" s="86"/>
    </row>
    <row r="969" ht="15.75" customHeight="1">
      <c r="F969" s="86"/>
    </row>
    <row r="970" ht="15.75" customHeight="1">
      <c r="F970" s="86"/>
    </row>
    <row r="971" ht="15.75" customHeight="1">
      <c r="F971" s="86"/>
    </row>
    <row r="972" ht="15.75" customHeight="1">
      <c r="F972" s="86"/>
    </row>
    <row r="973" ht="15.75" customHeight="1">
      <c r="F973" s="86"/>
    </row>
    <row r="974" ht="15.75" customHeight="1">
      <c r="F974" s="86"/>
    </row>
    <row r="975" ht="15.75" customHeight="1">
      <c r="F975" s="86"/>
    </row>
    <row r="976" ht="15.75" customHeight="1">
      <c r="F976" s="86"/>
    </row>
    <row r="977" ht="15.75" customHeight="1">
      <c r="F977" s="86"/>
    </row>
    <row r="978" ht="15.75" customHeight="1">
      <c r="F978" s="86"/>
    </row>
    <row r="979" ht="15.75" customHeight="1">
      <c r="F979" s="86"/>
    </row>
    <row r="980" ht="15.75" customHeight="1">
      <c r="F980" s="86"/>
    </row>
    <row r="981" ht="15.75" customHeight="1">
      <c r="F981" s="86"/>
    </row>
    <row r="982" ht="15.75" customHeight="1">
      <c r="F982" s="86"/>
    </row>
    <row r="983" ht="15.75" customHeight="1">
      <c r="F983" s="86"/>
    </row>
    <row r="984" ht="15.75" customHeight="1">
      <c r="F984" s="86"/>
    </row>
    <row r="985" ht="15.75" customHeight="1">
      <c r="F985" s="86"/>
    </row>
    <row r="986" ht="15.75" customHeight="1">
      <c r="F986" s="86"/>
    </row>
    <row r="987" ht="15.75" customHeight="1">
      <c r="F987" s="86"/>
    </row>
    <row r="988" ht="15.75" customHeight="1">
      <c r="F988" s="86"/>
    </row>
    <row r="989" ht="15.75" customHeight="1">
      <c r="F989" s="86"/>
    </row>
    <row r="990" ht="15.75" customHeight="1">
      <c r="F990" s="86"/>
    </row>
    <row r="991" ht="15.75" customHeight="1">
      <c r="F991" s="86"/>
    </row>
    <row r="992" ht="15.75" customHeight="1">
      <c r="F992" s="86"/>
    </row>
    <row r="993" ht="15.75" customHeight="1">
      <c r="F993" s="86"/>
    </row>
    <row r="994" ht="15.75" customHeight="1">
      <c r="F994" s="86"/>
    </row>
    <row r="995" ht="15.75" customHeight="1">
      <c r="F995" s="86"/>
    </row>
    <row r="996" ht="15.75" customHeight="1">
      <c r="F996" s="86"/>
    </row>
    <row r="997" ht="15.75" customHeight="1">
      <c r="F997" s="86"/>
    </row>
    <row r="998" ht="15.75" customHeight="1">
      <c r="F998" s="86"/>
    </row>
    <row r="999" ht="15.75" customHeight="1">
      <c r="F999" s="86"/>
    </row>
    <row r="1000" ht="15.75" customHeight="1">
      <c r="F1000" s="86"/>
    </row>
    <row r="1001" ht="15.75" customHeight="1">
      <c r="F1001" s="86"/>
    </row>
    <row r="1002" ht="15.75" customHeight="1">
      <c r="F1002" s="86"/>
    </row>
    <row r="1003" ht="15.75" customHeight="1">
      <c r="F1003" s="86"/>
    </row>
    <row r="1004" ht="15.75" customHeight="1">
      <c r="F1004" s="86"/>
    </row>
  </sheetData>
  <hyperlinks>
    <hyperlink r:id="rId2" ref="F66"/>
    <hyperlink r:id="rId3" ref="F71"/>
    <hyperlink r:id="rId4" ref="O83"/>
    <hyperlink r:id="rId5" ref="N204"/>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3" width="12.63"/>
    <col customWidth="1" hidden="1" min="4" max="4" width="12.63"/>
    <col customWidth="1" min="5" max="6" width="12.63"/>
    <col customWidth="1" min="9" max="9" width="45.13"/>
  </cols>
  <sheetData>
    <row r="1" ht="15.75" customHeight="1">
      <c r="A1" s="1" t="s">
        <v>1</v>
      </c>
      <c r="B1" s="1" t="s">
        <v>3</v>
      </c>
      <c r="C1" s="1" t="s">
        <v>5</v>
      </c>
      <c r="D1" s="1" t="s">
        <v>6</v>
      </c>
      <c r="E1" s="1" t="s">
        <v>9</v>
      </c>
      <c r="F1" s="1" t="s">
        <v>11</v>
      </c>
      <c r="G1" s="1" t="s">
        <v>7</v>
      </c>
      <c r="H1" s="1" t="s">
        <v>10</v>
      </c>
      <c r="I1" s="1" t="s">
        <v>19</v>
      </c>
      <c r="J1" s="1" t="s">
        <v>13</v>
      </c>
      <c r="K1" s="1" t="s">
        <v>28</v>
      </c>
      <c r="L1" s="1" t="s">
        <v>30</v>
      </c>
      <c r="M1" s="1" t="s">
        <v>31</v>
      </c>
      <c r="N1" s="1" t="s">
        <v>33</v>
      </c>
      <c r="O1" s="1" t="s">
        <v>21</v>
      </c>
      <c r="P1" s="1" t="s">
        <v>22</v>
      </c>
      <c r="Q1" s="1" t="s">
        <v>24</v>
      </c>
      <c r="R1" s="1" t="s">
        <v>25</v>
      </c>
      <c r="S1" s="4"/>
      <c r="T1" s="4"/>
      <c r="U1" s="4"/>
      <c r="V1" s="4"/>
      <c r="W1" s="4"/>
      <c r="X1" s="4"/>
      <c r="Y1" s="4"/>
      <c r="Z1" s="4"/>
      <c r="AA1" s="4"/>
      <c r="AB1" s="4"/>
    </row>
    <row r="2" ht="15.75" customHeight="1">
      <c r="A2" s="8">
        <v>1.0</v>
      </c>
      <c r="B2" s="5">
        <v>46223.0</v>
      </c>
      <c r="C2" s="6">
        <v>0.4166666666666667</v>
      </c>
      <c r="D2" s="4"/>
      <c r="E2" s="4"/>
      <c r="F2" s="4"/>
      <c r="G2" s="4" t="s">
        <v>37</v>
      </c>
      <c r="H2" s="4" t="s">
        <v>39</v>
      </c>
      <c r="I2" s="4" t="s">
        <v>41</v>
      </c>
      <c r="J2" s="4"/>
      <c r="K2" s="11">
        <v>46224.0</v>
      </c>
      <c r="L2" s="4"/>
      <c r="M2" s="11">
        <v>46224.0</v>
      </c>
      <c r="N2" s="4"/>
      <c r="O2" s="4"/>
      <c r="P2" s="4" t="s">
        <v>42</v>
      </c>
      <c r="Q2" s="4"/>
      <c r="R2" s="4"/>
      <c r="S2" s="4"/>
      <c r="T2" s="4"/>
      <c r="U2" s="4"/>
      <c r="V2" s="4"/>
      <c r="W2" s="4"/>
      <c r="X2" s="4"/>
      <c r="Y2" s="4"/>
      <c r="Z2" s="4"/>
      <c r="AA2" s="4"/>
      <c r="AB2" s="4"/>
    </row>
    <row r="3" ht="15.75" customHeight="1">
      <c r="A3" s="8">
        <v>2.0</v>
      </c>
      <c r="B3" s="5">
        <v>46223.0</v>
      </c>
      <c r="C3" s="6">
        <v>0.4166666666666667</v>
      </c>
      <c r="D3" s="4"/>
      <c r="E3" s="4"/>
      <c r="F3" s="4"/>
      <c r="G3" s="4" t="s">
        <v>37</v>
      </c>
      <c r="H3" s="4" t="s">
        <v>39</v>
      </c>
      <c r="I3" s="4" t="s">
        <v>43</v>
      </c>
      <c r="J3" s="4"/>
      <c r="K3" s="4"/>
      <c r="L3" s="4"/>
      <c r="M3" s="4"/>
      <c r="N3" s="4"/>
      <c r="O3" s="4"/>
      <c r="P3" s="4"/>
      <c r="Q3" s="4"/>
      <c r="R3" s="4"/>
      <c r="S3" s="4"/>
      <c r="T3" s="4"/>
      <c r="U3" s="4"/>
      <c r="V3" s="4"/>
      <c r="W3" s="4"/>
      <c r="X3" s="4"/>
      <c r="Y3" s="4"/>
      <c r="Z3" s="4"/>
      <c r="AA3" s="4"/>
      <c r="AB3" s="4"/>
    </row>
    <row r="4" ht="15.75" customHeight="1">
      <c r="A4" s="8">
        <v>3.0</v>
      </c>
      <c r="B4" s="5">
        <v>46223.0</v>
      </c>
      <c r="C4" s="6">
        <v>0.4166666666666667</v>
      </c>
      <c r="D4" s="4"/>
      <c r="E4" s="4"/>
      <c r="F4" s="4"/>
      <c r="G4" s="4" t="s">
        <v>37</v>
      </c>
      <c r="H4" s="4" t="s">
        <v>39</v>
      </c>
      <c r="I4" s="4" t="s">
        <v>45</v>
      </c>
      <c r="J4" s="4"/>
      <c r="K4" s="4"/>
      <c r="L4" s="4"/>
      <c r="M4" s="4"/>
      <c r="N4" s="4"/>
      <c r="O4" s="4"/>
      <c r="P4" s="4"/>
      <c r="Q4" s="4"/>
      <c r="R4" s="4"/>
      <c r="S4" s="4"/>
      <c r="T4" s="4"/>
      <c r="U4" s="4"/>
      <c r="V4" s="4"/>
      <c r="W4" s="4"/>
      <c r="X4" s="4"/>
      <c r="Y4" s="4"/>
      <c r="Z4" s="4"/>
      <c r="AA4" s="4"/>
      <c r="AB4" s="4"/>
    </row>
    <row r="5" ht="15.75" customHeight="1">
      <c r="A5" s="8">
        <v>4.0</v>
      </c>
      <c r="B5" s="5">
        <v>46223.0</v>
      </c>
      <c r="C5" s="6">
        <v>0.4166666666666667</v>
      </c>
      <c r="D5" s="4"/>
      <c r="E5" s="4"/>
      <c r="F5" s="4"/>
      <c r="G5" s="4" t="s">
        <v>37</v>
      </c>
      <c r="H5" s="4" t="s">
        <v>39</v>
      </c>
      <c r="I5" s="4" t="s">
        <v>54</v>
      </c>
      <c r="J5" s="4"/>
      <c r="K5" s="4"/>
      <c r="L5" s="4"/>
      <c r="M5" s="4"/>
      <c r="N5" s="4"/>
      <c r="O5" s="4"/>
      <c r="P5" s="4"/>
      <c r="Q5" s="4"/>
      <c r="R5" s="4"/>
      <c r="S5" s="4"/>
      <c r="T5" s="4"/>
      <c r="U5" s="4"/>
      <c r="V5" s="4"/>
      <c r="W5" s="4"/>
      <c r="X5" s="4"/>
      <c r="Y5" s="4"/>
      <c r="Z5" s="4"/>
      <c r="AA5" s="4"/>
      <c r="AB5" s="4"/>
    </row>
    <row r="6" ht="15.75" customHeight="1">
      <c r="A6" s="8">
        <v>5.0</v>
      </c>
      <c r="B6" s="5">
        <v>46223.0</v>
      </c>
      <c r="C6" s="6">
        <v>0.7881944444444444</v>
      </c>
      <c r="D6" s="23"/>
      <c r="E6" s="5">
        <v>46223.0</v>
      </c>
      <c r="F6" s="6">
        <v>0.7916666666666666</v>
      </c>
      <c r="G6" s="4" t="s">
        <v>37</v>
      </c>
      <c r="H6" s="4" t="s">
        <v>36</v>
      </c>
      <c r="I6" s="4" t="s">
        <v>38</v>
      </c>
      <c r="J6" s="4"/>
      <c r="K6" s="11">
        <v>46224.0</v>
      </c>
      <c r="L6" s="6">
        <v>0.0</v>
      </c>
      <c r="M6" s="11">
        <v>46224.0</v>
      </c>
      <c r="N6" s="6">
        <v>0.017361111111111112</v>
      </c>
      <c r="O6" s="4"/>
      <c r="P6" s="4"/>
      <c r="Q6" s="4"/>
      <c r="R6" s="4"/>
      <c r="S6" s="4"/>
      <c r="T6" s="4"/>
      <c r="U6" s="4"/>
      <c r="V6" s="4"/>
      <c r="W6" s="4"/>
      <c r="X6" s="4"/>
      <c r="Y6" s="4"/>
      <c r="Z6" s="4"/>
      <c r="AA6" s="4"/>
      <c r="AB6" s="4"/>
    </row>
    <row r="7" ht="15.75" customHeight="1">
      <c r="A7" s="8">
        <v>6.0</v>
      </c>
      <c r="B7" s="5">
        <v>46223.0</v>
      </c>
      <c r="C7" s="6">
        <v>0.4166666666666667</v>
      </c>
      <c r="D7" s="4"/>
      <c r="E7" s="4"/>
      <c r="F7" s="4"/>
      <c r="G7" s="4" t="s">
        <v>37</v>
      </c>
      <c r="H7" s="4" t="s">
        <v>36</v>
      </c>
      <c r="I7" s="4" t="s">
        <v>44</v>
      </c>
      <c r="J7" s="4"/>
      <c r="K7" s="11">
        <v>46224.0</v>
      </c>
      <c r="L7" s="6">
        <v>0.020833333333333332</v>
      </c>
      <c r="M7" s="11">
        <v>46224.0</v>
      </c>
      <c r="N7" s="6">
        <v>0.5416666666666666</v>
      </c>
      <c r="O7" s="4"/>
      <c r="P7" s="4" t="s">
        <v>66</v>
      </c>
      <c r="Q7" s="4"/>
      <c r="R7" s="4"/>
      <c r="S7" s="4"/>
      <c r="T7" s="4"/>
      <c r="U7" s="4"/>
      <c r="V7" s="4"/>
      <c r="W7" s="4"/>
      <c r="X7" s="4"/>
      <c r="Y7" s="4"/>
      <c r="Z7" s="4"/>
      <c r="AA7" s="4"/>
      <c r="AB7" s="4"/>
    </row>
    <row r="8" ht="15.75" customHeight="1">
      <c r="A8" s="8">
        <v>7.0</v>
      </c>
      <c r="B8" s="5">
        <v>46223.0</v>
      </c>
      <c r="C8" s="6">
        <v>0.4166666666666667</v>
      </c>
      <c r="D8" s="4"/>
      <c r="E8" s="4"/>
      <c r="F8" s="4"/>
      <c r="G8" s="4" t="s">
        <v>37</v>
      </c>
      <c r="H8" s="4" t="s">
        <v>70</v>
      </c>
      <c r="I8" s="4" t="s">
        <v>71</v>
      </c>
      <c r="J8" s="4"/>
      <c r="K8" s="4"/>
      <c r="L8" s="4"/>
      <c r="M8" s="4"/>
      <c r="N8" s="4"/>
      <c r="O8" s="4" t="s">
        <v>72</v>
      </c>
      <c r="P8" s="4"/>
      <c r="Q8" s="4"/>
      <c r="R8" s="4"/>
      <c r="S8" s="4"/>
      <c r="T8" s="4"/>
      <c r="U8" s="4"/>
      <c r="V8" s="4"/>
      <c r="W8" s="4"/>
      <c r="X8" s="4"/>
      <c r="Y8" s="4"/>
      <c r="Z8" s="4"/>
      <c r="AA8" s="4"/>
      <c r="AB8" s="4"/>
    </row>
    <row r="9" ht="15.75" customHeight="1">
      <c r="A9" s="8">
        <v>8.0</v>
      </c>
      <c r="B9" s="5">
        <v>46223.0</v>
      </c>
      <c r="C9" s="6">
        <v>0.4166666666666667</v>
      </c>
      <c r="D9" s="4"/>
      <c r="E9" s="4"/>
      <c r="F9" s="4"/>
      <c r="G9" s="4" t="s">
        <v>37</v>
      </c>
      <c r="H9" s="4" t="s">
        <v>76</v>
      </c>
      <c r="I9" s="4" t="s">
        <v>77</v>
      </c>
      <c r="J9" s="4"/>
      <c r="K9" s="4"/>
      <c r="L9" s="4"/>
      <c r="M9" s="4"/>
      <c r="N9" s="4"/>
      <c r="O9" s="4"/>
      <c r="P9" s="4"/>
      <c r="Q9" s="4"/>
      <c r="R9" s="4"/>
      <c r="S9" s="4"/>
      <c r="T9" s="4"/>
      <c r="U9" s="4"/>
      <c r="V9" s="4"/>
      <c r="W9" s="4"/>
      <c r="X9" s="4"/>
      <c r="Y9" s="4"/>
      <c r="Z9" s="4"/>
      <c r="AA9" s="4"/>
      <c r="AB9" s="4"/>
    </row>
    <row r="10" ht="15.75" customHeight="1">
      <c r="A10" s="8">
        <v>9.0</v>
      </c>
      <c r="B10" s="5">
        <v>46223.0</v>
      </c>
      <c r="C10" s="6">
        <v>0.6090277777777777</v>
      </c>
      <c r="D10" s="4"/>
      <c r="E10" s="4"/>
      <c r="F10" s="4"/>
      <c r="G10" s="4" t="s">
        <v>37</v>
      </c>
      <c r="H10" s="4" t="s">
        <v>58</v>
      </c>
      <c r="I10" s="4" t="s">
        <v>78</v>
      </c>
      <c r="J10" s="4"/>
      <c r="K10" s="4"/>
      <c r="L10" s="4"/>
      <c r="M10" s="4"/>
      <c r="N10" s="4"/>
      <c r="O10" s="34"/>
      <c r="P10" s="4"/>
      <c r="Q10" s="4"/>
      <c r="R10" s="4"/>
      <c r="S10" s="4"/>
      <c r="T10" s="4"/>
      <c r="U10" s="4"/>
      <c r="V10" s="4"/>
      <c r="W10" s="4"/>
      <c r="X10" s="4"/>
      <c r="Y10" s="4"/>
      <c r="Z10" s="4"/>
      <c r="AA10" s="4"/>
      <c r="AB10" s="4"/>
    </row>
    <row r="11" ht="15.75" customHeight="1">
      <c r="A11" s="8">
        <v>10.0</v>
      </c>
      <c r="B11" s="5">
        <v>46223.0</v>
      </c>
      <c r="C11" s="6">
        <v>0.6284722222222222</v>
      </c>
      <c r="D11" s="4"/>
      <c r="E11" s="4"/>
      <c r="F11" s="4"/>
      <c r="G11" s="4" t="s">
        <v>37</v>
      </c>
      <c r="H11" s="4" t="s">
        <v>74</v>
      </c>
      <c r="I11" s="4" t="s">
        <v>75</v>
      </c>
      <c r="J11" s="4"/>
      <c r="K11" s="4"/>
      <c r="L11" s="4"/>
      <c r="M11" s="4"/>
      <c r="N11" s="4"/>
      <c r="O11" s="4"/>
      <c r="P11" s="4"/>
      <c r="Q11" s="4"/>
      <c r="R11" s="4"/>
      <c r="S11" s="4"/>
      <c r="T11" s="4"/>
      <c r="U11" s="4"/>
      <c r="V11" s="4"/>
      <c r="W11" s="4"/>
      <c r="X11" s="4"/>
      <c r="Y11" s="4"/>
      <c r="Z11" s="4"/>
      <c r="AA11" s="4"/>
      <c r="AB11" s="4"/>
    </row>
    <row r="12" ht="15.75" customHeight="1">
      <c r="A12" s="8">
        <v>11.0</v>
      </c>
      <c r="B12" s="5">
        <v>46223.0</v>
      </c>
      <c r="C12" s="6">
        <v>0.7569444444444444</v>
      </c>
      <c r="D12" s="4"/>
      <c r="E12" s="4"/>
      <c r="F12" s="4"/>
      <c r="G12" s="4" t="s">
        <v>37</v>
      </c>
      <c r="H12" s="4" t="s">
        <v>88</v>
      </c>
      <c r="I12" s="4" t="s">
        <v>89</v>
      </c>
      <c r="J12" s="4"/>
      <c r="K12" s="4"/>
      <c r="L12" s="4"/>
      <c r="M12" s="4"/>
      <c r="N12" s="4"/>
      <c r="O12" s="4"/>
      <c r="P12" s="4"/>
      <c r="Q12" s="4"/>
      <c r="R12" s="4"/>
      <c r="S12" s="4"/>
      <c r="T12" s="4"/>
      <c r="U12" s="4"/>
      <c r="V12" s="4"/>
      <c r="W12" s="4"/>
      <c r="X12" s="4"/>
      <c r="Y12" s="4"/>
      <c r="Z12" s="4"/>
      <c r="AA12" s="4"/>
      <c r="AB12" s="4"/>
    </row>
    <row r="13" ht="15.75" customHeight="1">
      <c r="A13" s="8">
        <v>12.0</v>
      </c>
      <c r="B13" s="5">
        <v>46223.0</v>
      </c>
      <c r="C13" s="6">
        <v>0.7743055555555556</v>
      </c>
      <c r="D13" s="4"/>
      <c r="E13" s="4"/>
      <c r="F13" s="4"/>
      <c r="G13" s="4" t="s">
        <v>37</v>
      </c>
      <c r="H13" s="4" t="s">
        <v>88</v>
      </c>
      <c r="I13" s="4" t="s">
        <v>92</v>
      </c>
      <c r="J13" s="4" t="s">
        <v>93</v>
      </c>
      <c r="K13" s="4"/>
      <c r="L13" s="4"/>
      <c r="M13" s="4"/>
      <c r="N13" s="4"/>
      <c r="O13" s="4"/>
      <c r="P13" s="4"/>
      <c r="Q13" s="4"/>
      <c r="R13" s="4"/>
      <c r="S13" s="4"/>
      <c r="T13" s="4"/>
      <c r="U13" s="4"/>
      <c r="V13" s="4"/>
      <c r="W13" s="4"/>
      <c r="X13" s="4"/>
      <c r="Y13" s="4"/>
      <c r="Z13" s="4"/>
      <c r="AA13" s="4"/>
      <c r="AB13" s="4"/>
    </row>
    <row r="14" ht="15.75" customHeight="1">
      <c r="A14" s="8">
        <v>13.0</v>
      </c>
      <c r="B14" s="5">
        <v>46223.0</v>
      </c>
      <c r="C14" s="6">
        <v>0.7743055555555556</v>
      </c>
      <c r="D14" s="4"/>
      <c r="E14" s="4"/>
      <c r="F14" s="4"/>
      <c r="G14" s="4" t="s">
        <v>37</v>
      </c>
      <c r="H14" s="4" t="s">
        <v>88</v>
      </c>
      <c r="I14" s="4" t="s">
        <v>97</v>
      </c>
      <c r="J14" s="4"/>
      <c r="K14" s="4"/>
      <c r="L14" s="4"/>
      <c r="M14" s="4"/>
      <c r="N14" s="4"/>
      <c r="O14" s="4"/>
      <c r="P14" s="4"/>
      <c r="Q14" s="4"/>
      <c r="R14" s="4"/>
      <c r="S14" s="4"/>
      <c r="T14" s="4"/>
      <c r="U14" s="4"/>
      <c r="V14" s="4"/>
      <c r="W14" s="4"/>
      <c r="X14" s="4"/>
      <c r="Y14" s="4"/>
      <c r="Z14" s="4"/>
      <c r="AA14" s="4"/>
      <c r="AB14" s="4"/>
    </row>
    <row r="15" ht="15.75" customHeight="1">
      <c r="A15" s="8">
        <v>14.0</v>
      </c>
      <c r="B15" s="5">
        <v>46223.0</v>
      </c>
      <c r="C15" s="6">
        <v>0.8958333333333334</v>
      </c>
      <c r="D15" s="4" t="s">
        <v>98</v>
      </c>
      <c r="E15" s="5">
        <v>46223.0</v>
      </c>
      <c r="F15" s="6">
        <v>0.8958564814814814</v>
      </c>
      <c r="G15" s="4" t="s">
        <v>37</v>
      </c>
      <c r="H15" s="4" t="s">
        <v>101</v>
      </c>
      <c r="I15" s="4" t="s">
        <v>102</v>
      </c>
      <c r="J15" s="4" t="s">
        <v>68</v>
      </c>
      <c r="K15" s="11">
        <v>46223.0</v>
      </c>
      <c r="L15" s="6">
        <v>0.8819444444444444</v>
      </c>
      <c r="M15" s="11">
        <v>46223.0</v>
      </c>
      <c r="N15" s="40">
        <v>0.4444444444444444</v>
      </c>
      <c r="O15" s="4" t="s">
        <v>104</v>
      </c>
      <c r="P15" s="4" t="s">
        <v>105</v>
      </c>
      <c r="Q15" s="4" t="s">
        <v>63</v>
      </c>
      <c r="R15" s="4" t="s">
        <v>63</v>
      </c>
      <c r="S15" s="4"/>
      <c r="T15" s="4"/>
      <c r="U15" s="4"/>
      <c r="V15" s="4"/>
      <c r="W15" s="4"/>
      <c r="X15" s="4"/>
      <c r="Y15" s="4"/>
      <c r="Z15" s="4"/>
      <c r="AA15" s="4"/>
      <c r="AB15" s="4"/>
    </row>
    <row r="16" ht="15.75" customHeight="1">
      <c r="A16" s="8">
        <v>15.0</v>
      </c>
      <c r="B16" s="5">
        <v>46223.0</v>
      </c>
      <c r="C16" s="6">
        <v>0.9479166666666666</v>
      </c>
      <c r="D16" s="4" t="s">
        <v>98</v>
      </c>
      <c r="E16" s="5">
        <v>46223.0</v>
      </c>
      <c r="F16" s="6">
        <v>0.9493055555555555</v>
      </c>
      <c r="G16" s="4" t="s">
        <v>37</v>
      </c>
      <c r="H16" s="4"/>
      <c r="I16" s="4" t="s">
        <v>59</v>
      </c>
      <c r="J16" s="4"/>
      <c r="K16" s="4"/>
      <c r="L16" s="4"/>
      <c r="M16" s="4"/>
      <c r="N16" s="4"/>
      <c r="O16" s="4"/>
      <c r="P16" s="4"/>
      <c r="Q16" s="4"/>
      <c r="R16" s="4"/>
      <c r="S16" s="4"/>
      <c r="T16" s="4"/>
      <c r="U16" s="4"/>
      <c r="V16" s="4"/>
      <c r="W16" s="4"/>
      <c r="X16" s="4"/>
      <c r="Y16" s="4"/>
      <c r="Z16" s="4"/>
      <c r="AA16" s="4"/>
      <c r="AB16" s="4"/>
    </row>
    <row r="17" ht="15.75" customHeight="1">
      <c r="A17" s="8">
        <v>16.0</v>
      </c>
      <c r="B17" s="5">
        <v>46223.0</v>
      </c>
      <c r="C17" s="6">
        <v>0.9513888888888888</v>
      </c>
      <c r="D17" s="4" t="s">
        <v>98</v>
      </c>
      <c r="E17" s="5">
        <v>46223.0</v>
      </c>
      <c r="F17" s="6">
        <v>0.9527777777777777</v>
      </c>
      <c r="G17" s="4" t="s">
        <v>37</v>
      </c>
      <c r="H17" s="4"/>
      <c r="I17" s="4" t="s">
        <v>67</v>
      </c>
      <c r="J17" s="4"/>
      <c r="K17" s="4"/>
      <c r="L17" s="4"/>
      <c r="M17" s="4"/>
      <c r="N17" s="4"/>
      <c r="O17" s="4"/>
      <c r="P17" s="4"/>
      <c r="Q17" s="4"/>
      <c r="R17" s="4"/>
      <c r="S17" s="4"/>
      <c r="T17" s="4"/>
      <c r="U17" s="4"/>
      <c r="V17" s="4"/>
      <c r="W17" s="4"/>
      <c r="X17" s="4"/>
      <c r="Y17" s="4"/>
      <c r="Z17" s="4"/>
      <c r="AA17" s="4"/>
      <c r="AB17" s="4"/>
    </row>
    <row r="18" ht="15.75" customHeight="1">
      <c r="A18" s="8">
        <v>17.0</v>
      </c>
      <c r="B18" s="5">
        <v>46223.0</v>
      </c>
      <c r="C18" s="6">
        <v>0.9652777777777778</v>
      </c>
      <c r="D18" s="4" t="s">
        <v>98</v>
      </c>
      <c r="E18" s="5">
        <v>46223.0</v>
      </c>
      <c r="F18" s="6">
        <v>0.9673611111111111</v>
      </c>
      <c r="G18" s="4" t="s">
        <v>37</v>
      </c>
      <c r="H18" s="4" t="s">
        <v>55</v>
      </c>
      <c r="I18" s="4" t="s">
        <v>57</v>
      </c>
      <c r="J18" s="4"/>
      <c r="K18" s="4"/>
      <c r="L18" s="4"/>
      <c r="M18" s="4"/>
      <c r="N18" s="4"/>
      <c r="O18" s="4"/>
      <c r="P18" s="4"/>
      <c r="Q18" s="4"/>
      <c r="R18" s="4"/>
      <c r="S18" s="4"/>
      <c r="T18" s="4"/>
      <c r="U18" s="4"/>
      <c r="V18" s="4"/>
      <c r="W18" s="4"/>
      <c r="X18" s="4"/>
      <c r="Y18" s="4"/>
      <c r="Z18" s="4"/>
      <c r="AA18" s="4"/>
      <c r="AB18" s="4"/>
    </row>
    <row r="19" ht="15.75" customHeight="1">
      <c r="A19" s="8">
        <v>18.0</v>
      </c>
      <c r="B19" s="11">
        <v>46224.0</v>
      </c>
      <c r="C19" s="6">
        <v>0.4236111111111111</v>
      </c>
      <c r="D19" s="4" t="s">
        <v>114</v>
      </c>
      <c r="E19" s="11">
        <v>46224.0</v>
      </c>
      <c r="F19" s="6">
        <v>0.425</v>
      </c>
      <c r="G19" s="4" t="s">
        <v>115</v>
      </c>
      <c r="H19" s="4" t="s">
        <v>116</v>
      </c>
      <c r="I19" s="4" t="s">
        <v>118</v>
      </c>
      <c r="J19" s="4" t="s">
        <v>68</v>
      </c>
      <c r="K19" s="11">
        <v>46224.0</v>
      </c>
      <c r="L19" s="6">
        <v>0.425</v>
      </c>
      <c r="M19" s="4"/>
      <c r="N19" s="4"/>
      <c r="O19" s="4"/>
      <c r="P19" s="4"/>
      <c r="Q19" s="4"/>
      <c r="R19" s="4"/>
      <c r="S19" s="4"/>
      <c r="T19" s="4"/>
      <c r="U19" s="4"/>
      <c r="V19" s="4"/>
      <c r="W19" s="4"/>
      <c r="X19" s="4"/>
      <c r="Y19" s="4"/>
      <c r="Z19" s="4"/>
      <c r="AA19" s="4"/>
      <c r="AB19" s="4"/>
    </row>
    <row r="20" ht="15.75" customHeight="1">
      <c r="A20" s="8">
        <v>19.0</v>
      </c>
      <c r="B20" s="11">
        <v>46224.0</v>
      </c>
      <c r="C20" s="6">
        <v>0.4270833333333333</v>
      </c>
      <c r="D20" s="4" t="s">
        <v>114</v>
      </c>
      <c r="E20" s="11">
        <v>46224.0</v>
      </c>
      <c r="F20" s="6">
        <v>0.4305555555555556</v>
      </c>
      <c r="G20" s="4" t="s">
        <v>115</v>
      </c>
      <c r="H20" s="4" t="s">
        <v>116</v>
      </c>
      <c r="I20" s="4" t="s">
        <v>119</v>
      </c>
      <c r="J20" s="4" t="s">
        <v>68</v>
      </c>
      <c r="K20" s="11">
        <v>46224.0</v>
      </c>
      <c r="L20" s="6">
        <v>0.4305555555555556</v>
      </c>
      <c r="M20" s="4"/>
      <c r="N20" s="4"/>
      <c r="O20" s="4"/>
      <c r="P20" s="4"/>
      <c r="Q20" s="4"/>
      <c r="R20" s="4"/>
      <c r="S20" s="4"/>
      <c r="T20" s="4"/>
      <c r="U20" s="4"/>
      <c r="V20" s="4"/>
      <c r="W20" s="4"/>
      <c r="X20" s="4"/>
      <c r="Y20" s="4"/>
      <c r="Z20" s="4"/>
      <c r="AA20" s="4"/>
      <c r="AB20" s="4"/>
    </row>
    <row r="21" ht="15.75" customHeight="1">
      <c r="A21" s="8">
        <v>20.0</v>
      </c>
      <c r="B21" s="11">
        <v>46224.0</v>
      </c>
      <c r="C21" s="6">
        <v>0.4305555555555556</v>
      </c>
      <c r="D21" s="4" t="s">
        <v>114</v>
      </c>
      <c r="E21" s="11">
        <v>46224.0</v>
      </c>
      <c r="F21" s="6">
        <v>0.4340277777777778</v>
      </c>
      <c r="G21" s="4" t="s">
        <v>115</v>
      </c>
      <c r="H21" s="4" t="s">
        <v>121</v>
      </c>
      <c r="I21" s="4" t="s">
        <v>122</v>
      </c>
      <c r="J21" s="4" t="s">
        <v>40</v>
      </c>
      <c r="K21" s="11">
        <v>46224.0</v>
      </c>
      <c r="L21" s="6">
        <v>0.4340277777777778</v>
      </c>
      <c r="M21" s="4"/>
      <c r="N21" s="4"/>
      <c r="O21" s="4"/>
      <c r="P21" s="4"/>
      <c r="Q21" s="4"/>
      <c r="R21" s="4"/>
      <c r="S21" s="4"/>
      <c r="T21" s="4"/>
      <c r="U21" s="4"/>
      <c r="V21" s="4"/>
      <c r="W21" s="4"/>
      <c r="X21" s="4"/>
      <c r="Y21" s="4"/>
      <c r="Z21" s="4"/>
      <c r="AA21" s="4"/>
      <c r="AB21" s="4"/>
    </row>
    <row r="22" ht="15.75" customHeight="1">
      <c r="A22" s="8">
        <v>21.0</v>
      </c>
      <c r="B22" s="11">
        <v>46224.0</v>
      </c>
      <c r="C22" s="6">
        <v>0.4409722222222222</v>
      </c>
      <c r="D22" s="4" t="s">
        <v>114</v>
      </c>
      <c r="E22" s="11">
        <v>46224.0</v>
      </c>
      <c r="F22" s="6">
        <v>0.46111111111111114</v>
      </c>
      <c r="G22" s="4" t="s">
        <v>115</v>
      </c>
      <c r="H22" s="4" t="s">
        <v>121</v>
      </c>
      <c r="I22" s="4" t="s">
        <v>124</v>
      </c>
      <c r="J22" s="4" t="s">
        <v>68</v>
      </c>
      <c r="K22" s="11">
        <v>46224.0</v>
      </c>
      <c r="L22" s="6">
        <v>0.46111111111111114</v>
      </c>
      <c r="M22" s="4"/>
      <c r="N22" s="4"/>
      <c r="O22" s="4"/>
      <c r="P22" s="4"/>
      <c r="Q22" s="4"/>
      <c r="R22" s="4"/>
      <c r="S22" s="4"/>
      <c r="T22" s="4"/>
      <c r="U22" s="4"/>
      <c r="V22" s="4"/>
      <c r="W22" s="4"/>
      <c r="X22" s="4"/>
      <c r="Y22" s="4"/>
      <c r="Z22" s="4"/>
      <c r="AA22" s="4"/>
      <c r="AB22" s="4"/>
    </row>
    <row r="23" ht="15.75" customHeight="1">
      <c r="A23" s="8">
        <v>22.0</v>
      </c>
      <c r="B23" s="11">
        <v>46224.0</v>
      </c>
      <c r="C23" s="6">
        <v>0.78125</v>
      </c>
      <c r="D23" s="4" t="s">
        <v>114</v>
      </c>
      <c r="E23" s="11">
        <v>46224.0</v>
      </c>
      <c r="F23" s="6">
        <v>0.7826388888888889</v>
      </c>
      <c r="G23" s="4" t="s">
        <v>115</v>
      </c>
      <c r="H23" s="4" t="s">
        <v>58</v>
      </c>
      <c r="I23" s="4" t="s">
        <v>127</v>
      </c>
      <c r="J23" s="4" t="s">
        <v>40</v>
      </c>
      <c r="K23" s="19">
        <v>46226.0</v>
      </c>
      <c r="L23" s="24">
        <v>0.4166666666666667</v>
      </c>
      <c r="M23" s="19">
        <v>46226.0</v>
      </c>
      <c r="N23" s="24">
        <v>0.4270833333333333</v>
      </c>
      <c r="O23" s="45" t="s">
        <v>126</v>
      </c>
      <c r="P23" s="4"/>
      <c r="Q23" s="4"/>
      <c r="R23" s="4"/>
      <c r="S23" s="4"/>
      <c r="T23" s="4"/>
      <c r="U23" s="4"/>
      <c r="V23" s="4"/>
      <c r="W23" s="4"/>
      <c r="X23" s="4"/>
      <c r="Y23" s="4"/>
      <c r="Z23" s="4"/>
      <c r="AA23" s="4"/>
      <c r="AB23" s="4"/>
    </row>
    <row r="24" ht="15.75" customHeight="1">
      <c r="A24" s="8">
        <v>23.0</v>
      </c>
      <c r="B24" s="11">
        <v>46224.0</v>
      </c>
      <c r="C24" s="6">
        <v>0.7826388888888889</v>
      </c>
      <c r="D24" s="4" t="s">
        <v>114</v>
      </c>
      <c r="E24" s="11">
        <v>46224.0</v>
      </c>
      <c r="F24" s="6">
        <v>0.7840277777777778</v>
      </c>
      <c r="G24" s="4" t="s">
        <v>115</v>
      </c>
      <c r="H24" s="4" t="s">
        <v>58</v>
      </c>
      <c r="I24" s="4" t="s">
        <v>129</v>
      </c>
      <c r="J24" s="4" t="s">
        <v>40</v>
      </c>
      <c r="K24" s="11">
        <v>46224.0</v>
      </c>
      <c r="L24" s="6">
        <v>0.7840277777777778</v>
      </c>
      <c r="M24" s="4"/>
      <c r="N24" s="4"/>
      <c r="O24" s="4"/>
      <c r="P24" s="4"/>
      <c r="Q24" s="4"/>
      <c r="R24" s="4"/>
      <c r="S24" s="4"/>
      <c r="T24" s="4"/>
      <c r="U24" s="4"/>
      <c r="V24" s="4"/>
      <c r="W24" s="4"/>
      <c r="X24" s="4"/>
      <c r="Y24" s="4"/>
      <c r="Z24" s="4"/>
      <c r="AA24" s="4"/>
      <c r="AB24" s="4"/>
    </row>
    <row r="25" ht="15.75" customHeight="1">
      <c r="A25" s="8">
        <v>24.0</v>
      </c>
      <c r="B25" s="11">
        <v>46224.0</v>
      </c>
      <c r="C25" s="6">
        <v>0.7840277777777778</v>
      </c>
      <c r="D25" s="4" t="s">
        <v>114</v>
      </c>
      <c r="E25" s="11">
        <v>46224.0</v>
      </c>
      <c r="F25" s="6">
        <v>0.7854166666666667</v>
      </c>
      <c r="G25" s="4" t="s">
        <v>115</v>
      </c>
      <c r="H25" s="4" t="s">
        <v>90</v>
      </c>
      <c r="I25" s="4" t="s">
        <v>130</v>
      </c>
      <c r="J25" s="4" t="s">
        <v>40</v>
      </c>
      <c r="K25" s="11">
        <v>46224.0</v>
      </c>
      <c r="L25" s="6">
        <v>0.7854166666666667</v>
      </c>
      <c r="M25" s="4"/>
      <c r="N25" s="4"/>
      <c r="O25" s="4"/>
      <c r="P25" s="4"/>
      <c r="Q25" s="4"/>
      <c r="R25" s="4"/>
      <c r="S25" s="4"/>
      <c r="T25" s="4"/>
      <c r="U25" s="4"/>
      <c r="V25" s="4"/>
      <c r="W25" s="4"/>
      <c r="X25" s="4"/>
      <c r="Y25" s="4"/>
      <c r="Z25" s="4"/>
      <c r="AA25" s="4"/>
      <c r="AB25" s="4"/>
    </row>
    <row r="26" ht="15.75" customHeight="1">
      <c r="A26" s="8">
        <v>25.0</v>
      </c>
      <c r="B26" s="11">
        <v>46224.0</v>
      </c>
      <c r="C26" s="6">
        <v>0.9444444444444444</v>
      </c>
      <c r="D26" s="4" t="s">
        <v>114</v>
      </c>
      <c r="E26" s="11">
        <v>46224.0</v>
      </c>
      <c r="F26" s="6">
        <v>0.9458333333333333</v>
      </c>
      <c r="G26" s="4" t="s">
        <v>115</v>
      </c>
      <c r="H26" s="4" t="s">
        <v>90</v>
      </c>
      <c r="I26" s="4" t="s">
        <v>135</v>
      </c>
      <c r="J26" s="4" t="s">
        <v>68</v>
      </c>
      <c r="K26" s="11">
        <v>46224.0</v>
      </c>
      <c r="L26" s="6">
        <v>0.9458333333333333</v>
      </c>
      <c r="M26" s="4"/>
      <c r="N26" s="4"/>
      <c r="O26" s="4"/>
      <c r="P26" s="4"/>
      <c r="Q26" s="4"/>
      <c r="R26" s="4"/>
      <c r="S26" s="4"/>
      <c r="T26" s="4"/>
      <c r="U26" s="4"/>
      <c r="V26" s="4"/>
      <c r="W26" s="4"/>
      <c r="X26" s="4"/>
      <c r="Y26" s="4"/>
      <c r="Z26" s="4"/>
      <c r="AA26" s="4"/>
      <c r="AB26" s="4"/>
    </row>
    <row r="27" ht="15.75" customHeight="1">
      <c r="A27" s="8">
        <v>26.0</v>
      </c>
      <c r="B27" s="11">
        <v>46224.0</v>
      </c>
      <c r="C27" s="6">
        <v>0.9444444444444444</v>
      </c>
      <c r="D27" s="4" t="s">
        <v>114</v>
      </c>
      <c r="E27" s="11">
        <v>46224.0</v>
      </c>
      <c r="F27" s="6">
        <v>0.9458333333333333</v>
      </c>
      <c r="G27" s="4" t="s">
        <v>115</v>
      </c>
      <c r="H27" s="4" t="s">
        <v>90</v>
      </c>
      <c r="I27" s="47" t="s">
        <v>141</v>
      </c>
      <c r="J27" s="4" t="s">
        <v>40</v>
      </c>
      <c r="K27" s="11">
        <v>46224.0</v>
      </c>
      <c r="L27" s="6">
        <v>0.9458333333333333</v>
      </c>
      <c r="M27" s="4"/>
      <c r="N27" s="4"/>
      <c r="O27" s="4"/>
      <c r="P27" s="4"/>
      <c r="Q27" s="4"/>
      <c r="R27" s="4"/>
      <c r="S27" s="4"/>
      <c r="T27" s="4"/>
      <c r="U27" s="4"/>
      <c r="V27" s="4"/>
      <c r="W27" s="4"/>
      <c r="X27" s="4"/>
      <c r="Y27" s="4"/>
      <c r="Z27" s="4"/>
      <c r="AA27" s="4"/>
      <c r="AB27" s="4"/>
    </row>
    <row r="28" ht="15.75" customHeight="1">
      <c r="A28" s="8">
        <v>27.0</v>
      </c>
      <c r="B28" s="11">
        <v>46224.0</v>
      </c>
      <c r="C28" s="6">
        <v>0.9444444444444444</v>
      </c>
      <c r="D28" s="4" t="s">
        <v>114</v>
      </c>
      <c r="E28" s="11">
        <v>46224.0</v>
      </c>
      <c r="F28" s="6">
        <v>0.9458333333333333</v>
      </c>
      <c r="G28" s="4" t="s">
        <v>115</v>
      </c>
      <c r="H28" s="4" t="s">
        <v>90</v>
      </c>
      <c r="I28" s="4" t="s">
        <v>145</v>
      </c>
      <c r="J28" s="4" t="s">
        <v>40</v>
      </c>
      <c r="K28" s="11">
        <v>46224.0</v>
      </c>
      <c r="L28" s="6">
        <v>0.9458333333333333</v>
      </c>
      <c r="M28" s="4"/>
      <c r="N28" s="4"/>
      <c r="O28" s="4"/>
      <c r="P28" s="4"/>
      <c r="Q28" s="4"/>
      <c r="R28" s="4"/>
      <c r="S28" s="4"/>
      <c r="T28" s="4"/>
      <c r="U28" s="4"/>
      <c r="V28" s="4"/>
      <c r="W28" s="4"/>
      <c r="X28" s="4"/>
      <c r="Y28" s="4"/>
      <c r="Z28" s="4"/>
      <c r="AA28" s="4"/>
      <c r="AB28" s="4"/>
    </row>
    <row r="29" ht="15.75" customHeight="1">
      <c r="A29" s="8">
        <v>28.0</v>
      </c>
      <c r="B29" s="11">
        <v>46224.0</v>
      </c>
      <c r="C29" s="6">
        <v>0.9513888888888888</v>
      </c>
      <c r="D29" s="4" t="s">
        <v>148</v>
      </c>
      <c r="E29" s="11">
        <v>46224.0</v>
      </c>
      <c r="F29" s="6">
        <v>0.9527777777777777</v>
      </c>
      <c r="G29" s="4" t="s">
        <v>115</v>
      </c>
      <c r="H29" s="4" t="s">
        <v>90</v>
      </c>
      <c r="I29" s="4" t="s">
        <v>149</v>
      </c>
      <c r="J29" s="4" t="s">
        <v>68</v>
      </c>
      <c r="K29" s="11">
        <v>46224.0</v>
      </c>
      <c r="L29" s="6">
        <v>0.9527777777777777</v>
      </c>
      <c r="M29" s="4"/>
      <c r="N29" s="4"/>
      <c r="O29" s="4"/>
      <c r="P29" s="4"/>
      <c r="Q29" s="4"/>
      <c r="R29" s="4"/>
      <c r="S29" s="4"/>
      <c r="T29" s="4"/>
      <c r="U29" s="4"/>
      <c r="V29" s="4"/>
      <c r="W29" s="4"/>
      <c r="X29" s="4"/>
      <c r="Y29" s="4"/>
      <c r="Z29" s="4"/>
      <c r="AA29" s="4"/>
      <c r="AB29" s="4"/>
    </row>
    <row r="30" ht="15.75" customHeight="1">
      <c r="A30" s="8">
        <v>29.0</v>
      </c>
      <c r="B30" s="23">
        <v>46225.0</v>
      </c>
      <c r="C30" s="33">
        <v>0.8645833333333334</v>
      </c>
      <c r="D30" s="4" t="s">
        <v>148</v>
      </c>
      <c r="E30" s="23">
        <v>46225.0</v>
      </c>
      <c r="F30" s="33">
        <v>0.8659722222222223</v>
      </c>
      <c r="G30" s="4" t="s">
        <v>154</v>
      </c>
      <c r="H30" s="4" t="s">
        <v>90</v>
      </c>
      <c r="I30" s="4" t="s">
        <v>155</v>
      </c>
      <c r="J30" s="4" t="s">
        <v>40</v>
      </c>
      <c r="K30" s="23">
        <v>46225.0</v>
      </c>
      <c r="L30" s="33">
        <v>0.8659722222222223</v>
      </c>
      <c r="M30" s="23">
        <v>46225.0</v>
      </c>
      <c r="N30" s="33">
        <v>0.875</v>
      </c>
      <c r="O30" s="4"/>
      <c r="P30" s="4"/>
      <c r="Q30" s="4"/>
      <c r="R30" s="4"/>
      <c r="S30" s="4"/>
      <c r="T30" s="4"/>
      <c r="U30" s="4"/>
      <c r="V30" s="4"/>
      <c r="W30" s="4"/>
      <c r="X30" s="4"/>
      <c r="Y30" s="4"/>
      <c r="Z30" s="4"/>
      <c r="AA30" s="4"/>
      <c r="AB30" s="4"/>
    </row>
    <row r="31" ht="15.75" customHeight="1">
      <c r="A31" s="8">
        <v>30.0</v>
      </c>
      <c r="B31" s="23">
        <v>46225.0</v>
      </c>
      <c r="C31" s="33">
        <v>0.8659722222222223</v>
      </c>
      <c r="D31" s="4" t="s">
        <v>148</v>
      </c>
      <c r="E31" s="23">
        <v>46225.0</v>
      </c>
      <c r="F31" s="33">
        <v>0.8673611111111111</v>
      </c>
      <c r="G31" s="4" t="s">
        <v>154</v>
      </c>
      <c r="H31" s="4" t="s">
        <v>90</v>
      </c>
      <c r="I31" s="4" t="s">
        <v>158</v>
      </c>
      <c r="J31" s="4" t="s">
        <v>40</v>
      </c>
      <c r="K31" s="23">
        <v>46225.0</v>
      </c>
      <c r="L31" s="33">
        <v>0.875</v>
      </c>
      <c r="M31" s="23">
        <v>46225.0</v>
      </c>
      <c r="N31" s="33">
        <v>0.8958333333333334</v>
      </c>
      <c r="O31" s="4"/>
      <c r="P31" s="4"/>
      <c r="Q31" s="4"/>
      <c r="R31" s="4"/>
      <c r="S31" s="4"/>
      <c r="T31" s="4"/>
      <c r="U31" s="4"/>
      <c r="V31" s="4"/>
      <c r="W31" s="4"/>
      <c r="X31" s="4"/>
      <c r="Y31" s="4"/>
      <c r="Z31" s="4"/>
      <c r="AA31" s="4"/>
      <c r="AB31" s="4"/>
    </row>
    <row r="32" ht="15.75" customHeight="1">
      <c r="A32" s="8">
        <v>31.0</v>
      </c>
      <c r="B32" s="23">
        <v>46225.0</v>
      </c>
      <c r="C32" s="33">
        <v>0.8673611111111111</v>
      </c>
      <c r="D32" s="4" t="s">
        <v>148</v>
      </c>
      <c r="E32" s="23">
        <v>46225.0</v>
      </c>
      <c r="F32" s="33">
        <v>0.8694444444444445</v>
      </c>
      <c r="G32" s="4" t="s">
        <v>154</v>
      </c>
      <c r="H32" s="4" t="s">
        <v>90</v>
      </c>
      <c r="I32" s="4" t="s">
        <v>162</v>
      </c>
      <c r="J32" s="4" t="s">
        <v>40</v>
      </c>
      <c r="K32" s="23">
        <v>46225.0</v>
      </c>
      <c r="L32" s="33">
        <v>0.8958333333333334</v>
      </c>
      <c r="M32" s="23">
        <v>46225.0</v>
      </c>
      <c r="N32" s="33">
        <v>0.9027777777777778</v>
      </c>
      <c r="O32" s="4"/>
      <c r="P32" s="4"/>
      <c r="Q32" s="4"/>
      <c r="R32" s="4"/>
      <c r="S32" s="4"/>
      <c r="T32" s="4"/>
      <c r="U32" s="4"/>
      <c r="V32" s="4"/>
      <c r="W32" s="4"/>
      <c r="X32" s="4"/>
      <c r="Y32" s="4"/>
      <c r="Z32" s="4"/>
      <c r="AA32" s="4"/>
      <c r="AB32" s="4"/>
    </row>
    <row r="33" ht="15.75" customHeight="1">
      <c r="A33" s="8">
        <v>32.0</v>
      </c>
      <c r="B33" s="23">
        <v>46225.0</v>
      </c>
      <c r="C33" s="33">
        <v>0.8694444444444445</v>
      </c>
      <c r="D33" s="4" t="s">
        <v>148</v>
      </c>
      <c r="E33" s="23">
        <v>46225.0</v>
      </c>
      <c r="F33" s="33">
        <v>0.8708333333333333</v>
      </c>
      <c r="G33" s="4" t="s">
        <v>154</v>
      </c>
      <c r="H33" s="4" t="s">
        <v>90</v>
      </c>
      <c r="I33" s="4" t="s">
        <v>164</v>
      </c>
      <c r="J33" s="4" t="s">
        <v>40</v>
      </c>
      <c r="K33" s="23">
        <v>46225.0</v>
      </c>
      <c r="L33" s="33">
        <v>0.9027777777777778</v>
      </c>
      <c r="M33" s="23">
        <v>46225.0</v>
      </c>
      <c r="N33" s="33">
        <v>0.9166666666666666</v>
      </c>
      <c r="O33" s="4"/>
      <c r="P33" s="4"/>
      <c r="Q33" s="4"/>
      <c r="R33" s="4"/>
      <c r="S33" s="4"/>
      <c r="T33" s="4"/>
      <c r="U33" s="4"/>
      <c r="V33" s="4"/>
      <c r="W33" s="4"/>
      <c r="X33" s="4"/>
      <c r="Y33" s="4"/>
      <c r="Z33" s="4"/>
      <c r="AA33" s="4"/>
      <c r="AB33" s="4"/>
    </row>
    <row r="34" ht="15.75" customHeight="1">
      <c r="A34" s="8">
        <v>33.0</v>
      </c>
      <c r="B34" s="23">
        <v>46225.0</v>
      </c>
      <c r="C34" s="33">
        <v>0.9166666666666666</v>
      </c>
      <c r="E34" s="23">
        <v>46225.0</v>
      </c>
      <c r="F34" s="33">
        <v>0.9180555555555555</v>
      </c>
      <c r="G34" s="4" t="s">
        <v>154</v>
      </c>
      <c r="H34" s="4" t="s">
        <v>76</v>
      </c>
      <c r="I34" s="4" t="s">
        <v>166</v>
      </c>
      <c r="J34" s="4"/>
      <c r="K34" s="23">
        <v>46225.0</v>
      </c>
      <c r="L34" s="33">
        <v>0.9166666666666666</v>
      </c>
      <c r="M34" s="23">
        <v>46225.0</v>
      </c>
      <c r="N34" s="33">
        <v>0.9618055555555556</v>
      </c>
      <c r="O34" s="4"/>
      <c r="P34" s="4"/>
      <c r="Q34" s="4"/>
      <c r="R34" s="4"/>
      <c r="S34" s="4"/>
      <c r="T34" s="4"/>
      <c r="U34" s="4"/>
      <c r="V34" s="4"/>
      <c r="W34" s="4"/>
      <c r="X34" s="4"/>
      <c r="Y34" s="4"/>
      <c r="Z34" s="4"/>
      <c r="AA34" s="4"/>
      <c r="AB34" s="4"/>
    </row>
    <row r="35" ht="15.75" customHeight="1">
      <c r="A35" s="8">
        <v>34.0</v>
      </c>
      <c r="B35" s="11">
        <v>46226.0</v>
      </c>
      <c r="C35" s="52">
        <v>0.40625</v>
      </c>
      <c r="D35" s="4"/>
      <c r="E35" s="11">
        <v>46226.0</v>
      </c>
      <c r="F35" s="52">
        <v>0.40694444444444444</v>
      </c>
      <c r="G35" s="50" t="s">
        <v>168</v>
      </c>
      <c r="H35" s="4" t="s">
        <v>169</v>
      </c>
      <c r="I35" s="4" t="s">
        <v>170</v>
      </c>
      <c r="J35" s="4"/>
      <c r="K35" s="4"/>
      <c r="L35" s="4"/>
      <c r="M35" s="4"/>
      <c r="N35" s="4"/>
      <c r="O35" s="4"/>
      <c r="P35" s="4"/>
      <c r="Q35" s="4"/>
      <c r="R35" s="4"/>
      <c r="S35" s="4"/>
      <c r="T35" s="4"/>
      <c r="U35" s="4"/>
      <c r="V35" s="4"/>
      <c r="W35" s="4"/>
      <c r="X35" s="4"/>
      <c r="Y35" s="4"/>
      <c r="Z35" s="4"/>
      <c r="AA35" s="4"/>
      <c r="AB35" s="4"/>
    </row>
    <row r="36" ht="15.75" customHeight="1">
      <c r="A36" s="8">
        <v>35.0</v>
      </c>
      <c r="B36" s="11">
        <v>46226.0</v>
      </c>
      <c r="C36" s="52">
        <v>0.40694444444444444</v>
      </c>
      <c r="D36" s="4"/>
      <c r="E36" s="11">
        <v>46226.0</v>
      </c>
      <c r="F36" s="52">
        <v>0.4076388888888889</v>
      </c>
      <c r="G36" s="50" t="s">
        <v>168</v>
      </c>
      <c r="H36" s="4" t="s">
        <v>116</v>
      </c>
      <c r="I36" s="4" t="s">
        <v>173</v>
      </c>
      <c r="J36" s="4"/>
      <c r="K36" s="4"/>
      <c r="L36" s="4"/>
      <c r="M36" s="4"/>
      <c r="N36" s="4"/>
      <c r="O36" s="4"/>
      <c r="P36" s="4"/>
      <c r="Q36" s="4"/>
      <c r="R36" s="4"/>
      <c r="S36" s="4"/>
      <c r="T36" s="4"/>
      <c r="U36" s="4"/>
      <c r="V36" s="4"/>
      <c r="W36" s="4"/>
      <c r="X36" s="4"/>
      <c r="Y36" s="4"/>
      <c r="Z36" s="4"/>
      <c r="AA36" s="4"/>
      <c r="AB36" s="4"/>
    </row>
    <row r="37" ht="15.75" customHeight="1">
      <c r="A37" s="8">
        <v>36.0</v>
      </c>
      <c r="B37" s="11">
        <v>46226.0</v>
      </c>
      <c r="C37" s="52">
        <v>0.4076388888888889</v>
      </c>
      <c r="D37" s="4"/>
      <c r="E37" s="11">
        <v>46226.0</v>
      </c>
      <c r="F37" s="52">
        <v>0.4083333333333333</v>
      </c>
      <c r="G37" s="50" t="s">
        <v>168</v>
      </c>
      <c r="H37" s="4" t="s">
        <v>116</v>
      </c>
      <c r="I37" s="4" t="s">
        <v>176</v>
      </c>
      <c r="J37" s="4"/>
      <c r="K37" s="4"/>
      <c r="L37" s="4"/>
      <c r="M37" s="4"/>
      <c r="N37" s="4"/>
      <c r="O37" s="4"/>
      <c r="P37" s="4"/>
      <c r="Q37" s="4"/>
      <c r="R37" s="4"/>
      <c r="S37" s="4"/>
      <c r="T37" s="4"/>
      <c r="U37" s="4"/>
      <c r="V37" s="4"/>
      <c r="W37" s="4"/>
      <c r="X37" s="4"/>
      <c r="Y37" s="4"/>
      <c r="Z37" s="4"/>
      <c r="AA37" s="4"/>
      <c r="AB37" s="4"/>
    </row>
    <row r="38" ht="15.75" customHeight="1">
      <c r="A38" s="8">
        <v>37.0</v>
      </c>
      <c r="B38" s="11">
        <v>46226.0</v>
      </c>
      <c r="C38" s="52">
        <v>0.9375</v>
      </c>
      <c r="D38" s="4"/>
      <c r="E38" s="11">
        <v>46226.0</v>
      </c>
      <c r="F38" s="52">
        <v>0.9388888888888889</v>
      </c>
      <c r="G38" s="50" t="s">
        <v>168</v>
      </c>
      <c r="H38" s="50" t="s">
        <v>142</v>
      </c>
      <c r="I38" s="50" t="s">
        <v>143</v>
      </c>
      <c r="J38" s="4"/>
      <c r="K38" s="48">
        <v>46227.0</v>
      </c>
      <c r="L38" s="49">
        <v>0.3854166666666667</v>
      </c>
      <c r="M38" s="48">
        <v>46227.0</v>
      </c>
      <c r="N38" s="49">
        <v>0.4270833333333333</v>
      </c>
      <c r="O38" s="4"/>
      <c r="P38" s="4"/>
      <c r="Q38" s="4"/>
      <c r="R38" s="4"/>
      <c r="S38" s="4"/>
      <c r="T38" s="4"/>
      <c r="U38" s="4"/>
      <c r="V38" s="4"/>
      <c r="W38" s="4"/>
      <c r="X38" s="4"/>
      <c r="Y38" s="4"/>
      <c r="Z38" s="4"/>
      <c r="AA38" s="4"/>
      <c r="AB38" s="4"/>
    </row>
    <row r="39" ht="15.75" customHeight="1">
      <c r="A39" s="8">
        <v>38.0</v>
      </c>
      <c r="B39" s="11">
        <v>46226.0</v>
      </c>
      <c r="C39" s="52">
        <v>0.9388888888888889</v>
      </c>
      <c r="D39" s="4"/>
      <c r="E39" s="11">
        <v>46226.0</v>
      </c>
      <c r="F39" s="52">
        <v>0.9402777777777778</v>
      </c>
      <c r="G39" s="50" t="s">
        <v>168</v>
      </c>
      <c r="H39" s="28" t="s">
        <v>146</v>
      </c>
      <c r="I39" s="28" t="s">
        <v>147</v>
      </c>
      <c r="J39" s="4"/>
      <c r="K39" s="4"/>
      <c r="L39" s="4"/>
      <c r="M39" s="4"/>
      <c r="N39" s="4"/>
      <c r="O39" s="4"/>
      <c r="P39" s="4"/>
      <c r="Q39" s="4"/>
      <c r="R39" s="4"/>
      <c r="S39" s="4"/>
      <c r="T39" s="4"/>
      <c r="U39" s="4"/>
      <c r="V39" s="4"/>
      <c r="W39" s="4"/>
      <c r="X39" s="4"/>
      <c r="Y39" s="4"/>
      <c r="Z39" s="4"/>
      <c r="AA39" s="4"/>
      <c r="AB39" s="4"/>
    </row>
    <row r="40" ht="15.75" customHeight="1">
      <c r="A40" s="8">
        <v>39.0</v>
      </c>
      <c r="B40" s="11">
        <v>46226.0</v>
      </c>
      <c r="C40" s="52">
        <v>0.9402777777777778</v>
      </c>
      <c r="D40" s="4"/>
      <c r="E40" s="11">
        <v>46226.0</v>
      </c>
      <c r="F40" s="52">
        <v>0.9416666666666667</v>
      </c>
      <c r="G40" s="50" t="s">
        <v>168</v>
      </c>
      <c r="H40" s="28" t="s">
        <v>150</v>
      </c>
      <c r="I40" s="51" t="s">
        <v>151</v>
      </c>
      <c r="J40" s="4"/>
      <c r="K40" s="4"/>
      <c r="L40" s="4"/>
      <c r="M40" s="4"/>
      <c r="N40" s="4"/>
      <c r="O40" s="4"/>
      <c r="P40" s="4"/>
      <c r="Q40" s="4"/>
      <c r="R40" s="4"/>
      <c r="S40" s="4"/>
      <c r="T40" s="4"/>
      <c r="U40" s="4"/>
      <c r="V40" s="4"/>
      <c r="W40" s="4"/>
      <c r="X40" s="4"/>
      <c r="Y40" s="4"/>
      <c r="Z40" s="4"/>
      <c r="AA40" s="4"/>
      <c r="AB40" s="4"/>
    </row>
    <row r="41" ht="15.75" customHeight="1">
      <c r="A41" s="8">
        <v>40.0</v>
      </c>
      <c r="B41" s="11">
        <v>46226.0</v>
      </c>
      <c r="C41" s="52">
        <v>0.9416666666666667</v>
      </c>
      <c r="D41" s="4"/>
      <c r="E41" s="11">
        <v>46226.0</v>
      </c>
      <c r="F41" s="52">
        <v>0.9430555555555555</v>
      </c>
      <c r="G41" s="50" t="s">
        <v>168</v>
      </c>
      <c r="H41" s="28" t="s">
        <v>156</v>
      </c>
      <c r="I41" s="28" t="s">
        <v>157</v>
      </c>
      <c r="J41" s="4"/>
      <c r="K41" s="4"/>
      <c r="L41" s="4"/>
      <c r="M41" s="4"/>
      <c r="N41" s="4"/>
      <c r="O41" s="4"/>
      <c r="P41" s="4"/>
      <c r="Q41" s="4"/>
      <c r="R41" s="4"/>
      <c r="S41" s="4"/>
      <c r="T41" s="4"/>
      <c r="U41" s="4"/>
      <c r="V41" s="4"/>
      <c r="W41" s="4"/>
      <c r="X41" s="4"/>
      <c r="Y41" s="4"/>
      <c r="Z41" s="4"/>
      <c r="AA41" s="4"/>
      <c r="AB41" s="4"/>
    </row>
    <row r="42" ht="15.75" customHeight="1">
      <c r="A42" s="8">
        <v>41.0</v>
      </c>
      <c r="B42" s="11">
        <v>46226.0</v>
      </c>
      <c r="C42" s="52">
        <v>0.9430555555555555</v>
      </c>
      <c r="D42" s="4"/>
      <c r="E42" s="11">
        <v>46226.0</v>
      </c>
      <c r="F42" s="52">
        <v>0.9444444444444444</v>
      </c>
      <c r="G42" s="50" t="s">
        <v>168</v>
      </c>
      <c r="H42" s="28" t="s">
        <v>116</v>
      </c>
      <c r="I42" s="28" t="s">
        <v>159</v>
      </c>
      <c r="J42" s="4"/>
      <c r="K42" s="4"/>
      <c r="L42" s="4"/>
      <c r="M42" s="4"/>
      <c r="N42" s="4"/>
      <c r="O42" s="4"/>
      <c r="P42" s="4"/>
      <c r="Q42" s="4"/>
      <c r="R42" s="4"/>
      <c r="S42" s="4"/>
      <c r="T42" s="4"/>
      <c r="U42" s="4"/>
      <c r="V42" s="4"/>
      <c r="W42" s="4"/>
      <c r="X42" s="4"/>
      <c r="Y42" s="4"/>
      <c r="Z42" s="4"/>
      <c r="AA42" s="4"/>
      <c r="AB42" s="4"/>
    </row>
    <row r="43" ht="15.75" customHeight="1">
      <c r="A43" s="8">
        <v>42.0</v>
      </c>
      <c r="B43" s="11">
        <v>46226.0</v>
      </c>
      <c r="C43" s="52">
        <v>0.9444444444444444</v>
      </c>
      <c r="D43" s="4"/>
      <c r="E43" s="11">
        <v>46226.0</v>
      </c>
      <c r="F43" s="52">
        <v>0.9458333333333333</v>
      </c>
      <c r="G43" s="50" t="s">
        <v>168</v>
      </c>
      <c r="H43" s="28" t="s">
        <v>160</v>
      </c>
      <c r="I43" s="28" t="s">
        <v>161</v>
      </c>
      <c r="J43" s="4"/>
      <c r="K43" s="4"/>
      <c r="L43" s="4"/>
      <c r="M43" s="4"/>
      <c r="N43" s="4"/>
      <c r="O43" s="4"/>
      <c r="P43" s="4"/>
      <c r="Q43" s="4"/>
      <c r="R43" s="4"/>
      <c r="S43" s="4"/>
      <c r="T43" s="4"/>
      <c r="U43" s="4"/>
      <c r="V43" s="4"/>
      <c r="W43" s="4"/>
      <c r="X43" s="4"/>
      <c r="Y43" s="4"/>
      <c r="Z43" s="4"/>
      <c r="AA43" s="4"/>
      <c r="AB43" s="4"/>
    </row>
    <row r="44" ht="15.75" customHeight="1">
      <c r="A44" s="8">
        <v>43.0</v>
      </c>
      <c r="B44" s="11">
        <v>46226.0</v>
      </c>
      <c r="C44" s="52">
        <v>0.9458333333333333</v>
      </c>
      <c r="D44" s="4"/>
      <c r="E44" s="11">
        <v>46226.0</v>
      </c>
      <c r="F44" s="52">
        <v>0.9472222222222222</v>
      </c>
      <c r="G44" s="50" t="s">
        <v>168</v>
      </c>
      <c r="H44" s="28" t="s">
        <v>74</v>
      </c>
      <c r="I44" s="28" t="s">
        <v>163</v>
      </c>
      <c r="J44" s="4"/>
      <c r="K44" s="4"/>
      <c r="L44" s="4"/>
      <c r="M44" s="4"/>
      <c r="N44" s="4"/>
      <c r="O44" s="4"/>
      <c r="P44" s="4"/>
      <c r="Q44" s="4"/>
      <c r="R44" s="4"/>
      <c r="S44" s="4"/>
      <c r="T44" s="4"/>
      <c r="U44" s="4"/>
      <c r="V44" s="4"/>
      <c r="W44" s="4"/>
      <c r="X44" s="4"/>
      <c r="Y44" s="4"/>
      <c r="Z44" s="4"/>
      <c r="AA44" s="4"/>
      <c r="AB44" s="4"/>
    </row>
    <row r="45" ht="15.75" customHeight="1">
      <c r="A45" s="8">
        <v>44.0</v>
      </c>
      <c r="B45" s="11">
        <v>46226.0</v>
      </c>
      <c r="C45" s="52">
        <v>0.9472222222222222</v>
      </c>
      <c r="D45" s="4"/>
      <c r="E45" s="11">
        <v>46226.0</v>
      </c>
      <c r="F45" s="52">
        <v>0.9486111111111111</v>
      </c>
      <c r="G45" s="50" t="s">
        <v>168</v>
      </c>
      <c r="H45" s="28" t="s">
        <v>55</v>
      </c>
      <c r="I45" s="10" t="s">
        <v>113</v>
      </c>
      <c r="J45" s="4"/>
      <c r="K45" s="4"/>
      <c r="L45" s="4"/>
      <c r="M45" s="4"/>
      <c r="N45" s="4"/>
      <c r="O45" s="4"/>
      <c r="P45" s="4"/>
      <c r="Q45" s="4"/>
      <c r="R45" s="4"/>
      <c r="S45" s="4"/>
      <c r="T45" s="4"/>
      <c r="U45" s="4"/>
      <c r="V45" s="4"/>
      <c r="W45" s="4"/>
      <c r="X45" s="4"/>
      <c r="Y45" s="4"/>
      <c r="Z45" s="4"/>
      <c r="AA45" s="4"/>
      <c r="AB45" s="4"/>
    </row>
    <row r="46" ht="15.75" customHeight="1">
      <c r="A46" s="8">
        <v>45.0</v>
      </c>
      <c r="B46" s="11">
        <v>46226.0</v>
      </c>
      <c r="C46" s="52">
        <v>0.9486111111111111</v>
      </c>
      <c r="D46" s="4"/>
      <c r="E46" s="11">
        <v>46226.0</v>
      </c>
      <c r="F46" s="52">
        <v>0.95</v>
      </c>
      <c r="G46" s="50" t="s">
        <v>168</v>
      </c>
      <c r="H46" s="28" t="s">
        <v>74</v>
      </c>
      <c r="I46" s="28" t="s">
        <v>163</v>
      </c>
      <c r="J46" s="4"/>
      <c r="K46" s="4"/>
      <c r="L46" s="4"/>
      <c r="M46" s="4"/>
      <c r="N46" s="4"/>
      <c r="O46" s="4"/>
      <c r="P46" s="4"/>
      <c r="Q46" s="4"/>
      <c r="R46" s="4"/>
      <c r="S46" s="4"/>
      <c r="T46" s="4"/>
      <c r="U46" s="4"/>
      <c r="V46" s="4"/>
      <c r="W46" s="4"/>
      <c r="X46" s="4"/>
      <c r="Y46" s="4"/>
      <c r="Z46" s="4"/>
      <c r="AA46" s="4"/>
      <c r="AB46" s="4"/>
    </row>
    <row r="47" ht="15.75" customHeight="1">
      <c r="A47" s="8">
        <v>46.0</v>
      </c>
      <c r="B47" s="11">
        <v>46226.0</v>
      </c>
      <c r="C47" s="52">
        <v>0.95</v>
      </c>
      <c r="D47" s="4"/>
      <c r="E47" s="11">
        <v>46226.0</v>
      </c>
      <c r="F47" s="49">
        <v>0.9513888888888888</v>
      </c>
      <c r="G47" s="50" t="s">
        <v>168</v>
      </c>
      <c r="H47" s="28" t="s">
        <v>74</v>
      </c>
      <c r="I47" s="28" t="s">
        <v>167</v>
      </c>
      <c r="J47" s="4"/>
      <c r="K47" s="4"/>
      <c r="L47" s="4"/>
      <c r="M47" s="4"/>
      <c r="N47" s="4"/>
      <c r="O47" s="4"/>
      <c r="P47" s="4"/>
      <c r="Q47" s="4"/>
      <c r="R47" s="4"/>
      <c r="S47" s="4"/>
      <c r="T47" s="4"/>
      <c r="U47" s="4"/>
      <c r="V47" s="4"/>
      <c r="W47" s="4"/>
      <c r="X47" s="4"/>
      <c r="Y47" s="4"/>
      <c r="Z47" s="4"/>
      <c r="AA47" s="4"/>
      <c r="AB47" s="4"/>
    </row>
    <row r="48" ht="15.75" customHeight="1">
      <c r="A48" s="8">
        <v>47.0</v>
      </c>
      <c r="B48" s="48">
        <v>46227.0</v>
      </c>
      <c r="C48" s="49">
        <v>0.75</v>
      </c>
      <c r="D48" s="4"/>
      <c r="E48" s="48">
        <v>46227.0</v>
      </c>
      <c r="F48" s="49">
        <v>0.7534722222222222</v>
      </c>
      <c r="G48" s="50" t="s">
        <v>200</v>
      </c>
      <c r="H48" s="50" t="s">
        <v>58</v>
      </c>
      <c r="I48" s="28" t="s">
        <v>171</v>
      </c>
      <c r="J48" s="4"/>
      <c r="K48" s="4"/>
      <c r="L48" s="4"/>
      <c r="M48" s="4"/>
      <c r="N48" s="4"/>
      <c r="O48" s="4"/>
      <c r="P48" s="4"/>
      <c r="Q48" s="4"/>
      <c r="R48" s="4"/>
      <c r="S48" s="4"/>
      <c r="T48" s="4"/>
      <c r="U48" s="4"/>
      <c r="V48" s="4"/>
      <c r="W48" s="4"/>
      <c r="X48" s="4"/>
      <c r="Y48" s="4"/>
      <c r="Z48" s="4"/>
      <c r="AA48" s="4"/>
      <c r="AB48" s="4"/>
    </row>
    <row r="49" ht="15.75" customHeight="1">
      <c r="A49" s="8">
        <v>48.0</v>
      </c>
      <c r="B49" s="48">
        <v>46228.0</v>
      </c>
      <c r="C49" s="49">
        <v>0.75</v>
      </c>
      <c r="D49" s="4"/>
      <c r="E49" s="53">
        <v>46228.0</v>
      </c>
      <c r="F49" s="4"/>
      <c r="G49" s="50" t="s">
        <v>204</v>
      </c>
      <c r="H49" s="50" t="s">
        <v>205</v>
      </c>
      <c r="I49" s="28" t="s">
        <v>206</v>
      </c>
      <c r="J49" s="4"/>
      <c r="K49" s="4"/>
      <c r="L49" s="4"/>
      <c r="M49" s="4"/>
      <c r="N49" s="4"/>
      <c r="O49" s="4"/>
      <c r="P49" s="4"/>
      <c r="Q49" s="4"/>
      <c r="R49" s="4"/>
      <c r="S49" s="4"/>
      <c r="T49" s="4"/>
      <c r="U49" s="4"/>
      <c r="V49" s="4"/>
      <c r="W49" s="4"/>
      <c r="X49" s="4"/>
      <c r="Y49" s="4"/>
      <c r="Z49" s="4"/>
      <c r="AA49" s="4"/>
      <c r="AB49" s="4"/>
    </row>
    <row r="50" ht="15.75" customHeight="1">
      <c r="A50" s="8">
        <v>49.0</v>
      </c>
      <c r="B50" s="53">
        <v>46229.0</v>
      </c>
      <c r="C50" s="49">
        <v>0.90625</v>
      </c>
      <c r="D50" s="4"/>
      <c r="E50" s="53">
        <v>46229.0</v>
      </c>
      <c r="F50" s="4"/>
      <c r="G50" s="50" t="s">
        <v>208</v>
      </c>
      <c r="H50" s="4"/>
      <c r="I50" s="50" t="s">
        <v>210</v>
      </c>
      <c r="J50" s="4"/>
      <c r="K50" s="4"/>
      <c r="L50" s="4"/>
      <c r="M50" s="4"/>
      <c r="N50" s="4"/>
      <c r="O50" s="4"/>
      <c r="P50" s="4"/>
      <c r="Q50" s="4"/>
      <c r="R50" s="4"/>
      <c r="S50" s="4"/>
      <c r="T50" s="4"/>
      <c r="U50" s="4"/>
      <c r="V50" s="4"/>
      <c r="W50" s="4"/>
      <c r="X50" s="4"/>
      <c r="Y50" s="4"/>
      <c r="Z50" s="4"/>
      <c r="AA50" s="4"/>
      <c r="AB50" s="4"/>
    </row>
    <row r="51" ht="15.75" customHeight="1">
      <c r="A51" s="4"/>
      <c r="B51" s="53">
        <v>46229.0</v>
      </c>
      <c r="C51" s="49">
        <v>0.90625</v>
      </c>
      <c r="D51" s="4"/>
      <c r="E51" s="53">
        <v>46229.0</v>
      </c>
      <c r="F51" s="4"/>
      <c r="G51" s="50" t="s">
        <v>208</v>
      </c>
      <c r="H51" s="4"/>
      <c r="I51" s="50" t="s">
        <v>213</v>
      </c>
      <c r="J51" s="4"/>
      <c r="K51" s="4"/>
      <c r="L51" s="4"/>
      <c r="M51" s="4"/>
      <c r="N51" s="4"/>
      <c r="O51" s="4"/>
      <c r="P51" s="4"/>
      <c r="Q51" s="4"/>
      <c r="R51" s="4"/>
      <c r="S51" s="4"/>
      <c r="T51" s="4"/>
      <c r="U51" s="4"/>
      <c r="V51" s="4"/>
      <c r="W51" s="4"/>
      <c r="X51" s="4"/>
      <c r="Y51" s="4"/>
      <c r="Z51" s="4"/>
      <c r="AA51" s="4"/>
      <c r="AB51" s="4"/>
    </row>
    <row r="52" ht="15.75" customHeight="1">
      <c r="A52" s="4"/>
      <c r="B52" s="53">
        <v>46229.0</v>
      </c>
      <c r="C52" s="49">
        <v>0.9083333333333333</v>
      </c>
      <c r="D52" s="4"/>
      <c r="E52" s="53">
        <v>46229.0</v>
      </c>
      <c r="F52" s="4"/>
      <c r="G52" s="50" t="s">
        <v>208</v>
      </c>
      <c r="H52" s="4"/>
      <c r="I52" s="50" t="s">
        <v>216</v>
      </c>
      <c r="J52" s="4"/>
      <c r="K52" s="4"/>
      <c r="L52" s="4"/>
      <c r="M52" s="4"/>
      <c r="N52" s="4"/>
      <c r="O52" s="4"/>
      <c r="P52" s="4"/>
      <c r="Q52" s="4"/>
      <c r="R52" s="4"/>
      <c r="S52" s="4"/>
      <c r="T52" s="4"/>
      <c r="U52" s="4"/>
      <c r="V52" s="4"/>
      <c r="W52" s="4"/>
      <c r="X52" s="4"/>
      <c r="Y52" s="4"/>
      <c r="Z52" s="4"/>
      <c r="AA52" s="4"/>
      <c r="AB52" s="4"/>
    </row>
    <row r="53" ht="15.75" customHeight="1">
      <c r="A53" s="4"/>
      <c r="B53" s="48">
        <v>46230.0</v>
      </c>
      <c r="C53" s="49">
        <v>0.4340277777777778</v>
      </c>
      <c r="D53" s="4"/>
      <c r="E53" s="48">
        <v>46230.0</v>
      </c>
      <c r="F53" s="4"/>
      <c r="G53" s="50" t="s">
        <v>37</v>
      </c>
      <c r="H53" s="4"/>
      <c r="I53" s="50" t="s">
        <v>186</v>
      </c>
      <c r="J53" s="4"/>
      <c r="K53" s="4"/>
      <c r="L53" s="4"/>
      <c r="M53" s="4"/>
      <c r="N53" s="4"/>
      <c r="O53" s="4"/>
      <c r="P53" s="4"/>
      <c r="Q53" s="4"/>
      <c r="R53" s="4"/>
      <c r="S53" s="4"/>
      <c r="T53" s="4"/>
      <c r="U53" s="4"/>
      <c r="V53" s="4"/>
      <c r="W53" s="4"/>
      <c r="X53" s="4"/>
      <c r="Y53" s="4"/>
      <c r="Z53" s="4"/>
      <c r="AA53" s="4"/>
      <c r="AB53" s="4"/>
    </row>
    <row r="54" ht="15.75" customHeight="1">
      <c r="A54" s="4"/>
      <c r="B54" s="48">
        <v>46230.0</v>
      </c>
      <c r="C54" s="49">
        <v>0.4340277777777778</v>
      </c>
      <c r="D54" s="4"/>
      <c r="E54" s="48">
        <v>46230.0</v>
      </c>
      <c r="F54" s="4"/>
      <c r="G54" s="50" t="s">
        <v>37</v>
      </c>
      <c r="H54" s="4"/>
      <c r="I54" s="50" t="s">
        <v>189</v>
      </c>
      <c r="J54" s="4"/>
      <c r="K54" s="48">
        <v>46230.0</v>
      </c>
      <c r="L54" s="49">
        <v>0.4340277777777778</v>
      </c>
      <c r="M54" s="48">
        <v>46231.0</v>
      </c>
      <c r="N54" s="49">
        <v>0.5277777777777778</v>
      </c>
      <c r="O54" s="4"/>
      <c r="P54" s="4"/>
      <c r="Q54" s="4"/>
      <c r="R54" s="4"/>
      <c r="S54" s="4"/>
      <c r="T54" s="4"/>
      <c r="U54" s="4"/>
      <c r="V54" s="4"/>
      <c r="W54" s="4"/>
      <c r="X54" s="4"/>
      <c r="Y54" s="4"/>
      <c r="Z54" s="4"/>
      <c r="AA54" s="4"/>
      <c r="AB54" s="4"/>
    </row>
    <row r="55" ht="15.75" customHeight="1">
      <c r="A55" s="4"/>
      <c r="B55" s="4"/>
      <c r="C55" s="4"/>
      <c r="D55" s="4"/>
      <c r="E55" s="4"/>
      <c r="F55" s="4"/>
      <c r="G55" s="50" t="s">
        <v>115</v>
      </c>
      <c r="H55" s="4"/>
      <c r="I55" s="28" t="s">
        <v>190</v>
      </c>
      <c r="J55" s="4"/>
      <c r="K55" s="4"/>
      <c r="L55" s="4"/>
      <c r="M55" s="4"/>
      <c r="N55" s="4"/>
      <c r="O55" s="4"/>
      <c r="P55" s="4"/>
      <c r="Q55" s="4"/>
      <c r="R55" s="4"/>
      <c r="S55" s="4"/>
      <c r="T55" s="4"/>
      <c r="U55" s="4"/>
      <c r="V55" s="4"/>
      <c r="W55" s="4"/>
      <c r="X55" s="4"/>
      <c r="Y55" s="4"/>
      <c r="Z55" s="4"/>
      <c r="AA55" s="4"/>
      <c r="AB55" s="4"/>
    </row>
    <row r="56" ht="15.75" customHeight="1">
      <c r="A56" s="4"/>
      <c r="B56" s="4"/>
      <c r="C56" s="4"/>
      <c r="D56" s="4"/>
      <c r="E56" s="4"/>
      <c r="F56" s="4"/>
      <c r="G56" s="50" t="s">
        <v>115</v>
      </c>
      <c r="H56" s="4"/>
      <c r="I56" s="50" t="s">
        <v>227</v>
      </c>
      <c r="J56" s="4"/>
      <c r="K56" s="4"/>
      <c r="L56" s="4"/>
      <c r="M56" s="4"/>
      <c r="N56" s="4"/>
      <c r="O56" s="4"/>
      <c r="P56" s="4"/>
      <c r="Q56" s="4"/>
      <c r="R56" s="4"/>
      <c r="S56" s="4"/>
      <c r="T56" s="4"/>
      <c r="U56" s="4"/>
      <c r="V56" s="4"/>
      <c r="W56" s="4"/>
      <c r="X56" s="4"/>
      <c r="Y56" s="4"/>
      <c r="Z56" s="4"/>
      <c r="AA56" s="4"/>
      <c r="AB56" s="4"/>
    </row>
    <row r="57" ht="15.75" customHeight="1">
      <c r="A57" s="4"/>
      <c r="B57" s="4"/>
      <c r="C57" s="4"/>
      <c r="D57" s="4"/>
      <c r="E57" s="4"/>
      <c r="F57" s="4"/>
      <c r="G57" s="50" t="s">
        <v>115</v>
      </c>
      <c r="H57" s="4"/>
      <c r="I57" s="4" t="s">
        <v>229</v>
      </c>
      <c r="J57" s="4"/>
      <c r="K57" s="4"/>
      <c r="L57" s="4"/>
      <c r="M57" s="4"/>
      <c r="N57" s="4"/>
      <c r="O57" s="4"/>
      <c r="P57" s="4"/>
      <c r="Q57" s="4"/>
      <c r="R57" s="4"/>
      <c r="S57" s="4"/>
      <c r="T57" s="4"/>
      <c r="U57" s="4"/>
      <c r="V57" s="4"/>
      <c r="W57" s="4"/>
      <c r="X57" s="4"/>
      <c r="Y57" s="4"/>
      <c r="Z57" s="4"/>
      <c r="AA57" s="4"/>
      <c r="AB57" s="4"/>
    </row>
    <row r="58" ht="15.75" customHeight="1">
      <c r="A58" s="4"/>
      <c r="B58" s="48">
        <v>46233.0</v>
      </c>
      <c r="C58" s="49">
        <v>0.4166666666666667</v>
      </c>
      <c r="D58" s="50" t="s">
        <v>168</v>
      </c>
      <c r="E58" s="48">
        <v>46233.0</v>
      </c>
      <c r="F58" s="4"/>
      <c r="G58" s="50" t="s">
        <v>168</v>
      </c>
      <c r="H58" s="4"/>
      <c r="I58" s="55" t="s">
        <v>212</v>
      </c>
      <c r="J58" s="4"/>
      <c r="K58" s="4"/>
      <c r="L58" s="4"/>
      <c r="M58" s="4"/>
      <c r="N58" s="4"/>
      <c r="O58" s="4"/>
      <c r="P58" s="4"/>
      <c r="Q58" s="4"/>
      <c r="R58" s="4"/>
      <c r="S58" s="4"/>
      <c r="T58" s="4"/>
      <c r="U58" s="4"/>
      <c r="V58" s="4"/>
      <c r="W58" s="4"/>
      <c r="X58" s="4"/>
      <c r="Y58" s="4"/>
      <c r="Z58" s="4"/>
      <c r="AA58" s="4"/>
      <c r="AB58" s="4"/>
    </row>
    <row r="59" ht="15.75" customHeight="1">
      <c r="A59" s="4"/>
      <c r="B59" s="48">
        <v>46233.0</v>
      </c>
      <c r="C59" s="49">
        <v>0.4166666666666667</v>
      </c>
      <c r="D59" s="50" t="s">
        <v>168</v>
      </c>
      <c r="E59" s="48">
        <v>46233.0</v>
      </c>
      <c r="F59" s="4"/>
      <c r="G59" s="50" t="s">
        <v>168</v>
      </c>
      <c r="H59" s="4"/>
      <c r="I59" s="50" t="s">
        <v>215</v>
      </c>
      <c r="J59" s="4"/>
      <c r="K59" s="4"/>
      <c r="L59" s="4"/>
      <c r="M59" s="4"/>
      <c r="N59" s="4"/>
      <c r="O59" s="4"/>
      <c r="P59" s="4"/>
      <c r="Q59" s="4"/>
      <c r="R59" s="4"/>
      <c r="S59" s="4"/>
      <c r="T59" s="4"/>
      <c r="U59" s="4"/>
      <c r="V59" s="4"/>
      <c r="W59" s="4"/>
      <c r="X59" s="4"/>
      <c r="Y59" s="4"/>
      <c r="Z59" s="4"/>
      <c r="AA59" s="4"/>
      <c r="AB59" s="4"/>
    </row>
    <row r="60" ht="15.75" customHeight="1">
      <c r="A60" s="4"/>
      <c r="B60" s="48">
        <v>46233.0</v>
      </c>
      <c r="C60" s="49">
        <v>0.4166666666666667</v>
      </c>
      <c r="D60" s="50" t="s">
        <v>168</v>
      </c>
      <c r="E60" s="48">
        <v>46233.0</v>
      </c>
      <c r="F60" s="4"/>
      <c r="G60" s="50" t="s">
        <v>168</v>
      </c>
      <c r="H60" s="4"/>
      <c r="I60" s="50" t="s">
        <v>217</v>
      </c>
      <c r="J60" s="4"/>
      <c r="K60" s="4"/>
      <c r="L60" s="4"/>
      <c r="M60" s="4"/>
      <c r="N60" s="4"/>
      <c r="O60" s="4"/>
      <c r="P60" s="4"/>
      <c r="Q60" s="4"/>
      <c r="R60" s="4"/>
      <c r="S60" s="4"/>
      <c r="T60" s="4"/>
      <c r="U60" s="4"/>
      <c r="V60" s="4"/>
      <c r="W60" s="4"/>
      <c r="X60" s="4"/>
      <c r="Y60" s="4"/>
      <c r="Z60" s="4"/>
      <c r="AA60" s="4"/>
      <c r="AB60" s="4"/>
    </row>
    <row r="61" ht="15.75" customHeight="1">
      <c r="A61" s="4"/>
      <c r="B61" s="48">
        <v>46233.0</v>
      </c>
      <c r="C61" s="49">
        <v>0.4166666666666667</v>
      </c>
      <c r="D61" s="50" t="s">
        <v>168</v>
      </c>
      <c r="E61" s="48">
        <v>46233.0</v>
      </c>
      <c r="F61" s="4"/>
      <c r="G61" s="50" t="s">
        <v>168</v>
      </c>
      <c r="H61" s="4"/>
      <c r="I61" s="50" t="s">
        <v>219</v>
      </c>
      <c r="J61" s="4"/>
      <c r="K61" s="4"/>
      <c r="L61" s="4"/>
      <c r="M61" s="4"/>
      <c r="N61" s="4"/>
      <c r="O61" s="4"/>
      <c r="P61" s="4"/>
      <c r="Q61" s="4"/>
      <c r="R61" s="4"/>
      <c r="S61" s="4"/>
      <c r="T61" s="4"/>
      <c r="U61" s="4"/>
      <c r="V61" s="4"/>
      <c r="W61" s="4"/>
      <c r="X61" s="4"/>
      <c r="Y61" s="4"/>
      <c r="Z61" s="4"/>
      <c r="AA61" s="4"/>
      <c r="AB61" s="4"/>
    </row>
    <row r="62" ht="15.75" customHeight="1">
      <c r="A62" s="4"/>
      <c r="B62" s="48">
        <v>46233.0</v>
      </c>
      <c r="C62" s="49">
        <v>0.4166666666666667</v>
      </c>
      <c r="D62" s="50" t="s">
        <v>168</v>
      </c>
      <c r="E62" s="48">
        <v>46233.0</v>
      </c>
      <c r="F62" s="4"/>
      <c r="G62" s="50" t="s">
        <v>168</v>
      </c>
      <c r="H62" s="4"/>
      <c r="I62" s="50" t="s">
        <v>220</v>
      </c>
      <c r="J62" s="4"/>
      <c r="K62" s="4"/>
      <c r="L62" s="4"/>
      <c r="M62" s="4"/>
      <c r="N62" s="4"/>
      <c r="O62" s="4"/>
      <c r="P62" s="4"/>
      <c r="Q62" s="4"/>
      <c r="R62" s="4"/>
      <c r="S62" s="4"/>
      <c r="T62" s="4"/>
      <c r="U62" s="4"/>
      <c r="V62" s="4"/>
      <c r="W62" s="4"/>
      <c r="X62" s="4"/>
      <c r="Y62" s="4"/>
      <c r="Z62" s="4"/>
      <c r="AA62" s="4"/>
      <c r="AB62" s="4"/>
    </row>
    <row r="63" ht="15.75" customHeight="1">
      <c r="A63" s="4"/>
      <c r="B63" s="48"/>
      <c r="C63" s="49"/>
      <c r="D63" s="50"/>
      <c r="E63" s="4"/>
      <c r="F63" s="4"/>
      <c r="G63" s="4"/>
      <c r="H63" s="4"/>
      <c r="I63" s="50"/>
      <c r="J63" s="4"/>
      <c r="K63" s="4"/>
      <c r="L63" s="4"/>
      <c r="M63" s="4"/>
      <c r="N63" s="4"/>
      <c r="O63" s="4"/>
      <c r="P63" s="4"/>
      <c r="Q63" s="4"/>
      <c r="R63" s="4"/>
      <c r="S63" s="4"/>
      <c r="T63" s="4"/>
      <c r="U63" s="4"/>
      <c r="V63" s="4"/>
      <c r="W63" s="4"/>
      <c r="X63" s="4"/>
      <c r="Y63" s="4"/>
      <c r="Z63" s="4"/>
      <c r="AA63" s="4"/>
      <c r="AB63" s="4"/>
    </row>
    <row r="64" ht="15.75" customHeight="1">
      <c r="A64" s="4"/>
      <c r="B64" s="48"/>
      <c r="C64" s="49"/>
      <c r="D64" s="50"/>
      <c r="E64" s="4"/>
      <c r="F64" s="4"/>
      <c r="G64" s="4"/>
      <c r="H64" s="4"/>
      <c r="I64" s="50"/>
      <c r="J64" s="4"/>
      <c r="K64" s="4"/>
      <c r="L64" s="4"/>
      <c r="M64" s="4"/>
      <c r="N64" s="4"/>
      <c r="O64" s="4"/>
      <c r="P64" s="4"/>
      <c r="Q64" s="4"/>
      <c r="R64" s="4"/>
      <c r="S64" s="4"/>
      <c r="T64" s="4"/>
      <c r="U64" s="4"/>
      <c r="V64" s="4"/>
      <c r="W64" s="4"/>
      <c r="X64" s="4"/>
      <c r="Y64" s="4"/>
      <c r="Z64" s="4"/>
      <c r="AA64" s="4"/>
      <c r="AB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O23"/>
    <hyperlink r:id="rId2" ref="I27"/>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8.13"/>
    <col customWidth="1" min="6" max="6" width="49.63"/>
  </cols>
  <sheetData>
    <row r="1" ht="15.75" customHeight="1">
      <c r="A1" s="1" t="s">
        <v>0</v>
      </c>
      <c r="B1" s="1" t="s">
        <v>2</v>
      </c>
      <c r="C1" s="1" t="s">
        <v>4</v>
      </c>
      <c r="D1" s="1" t="s">
        <v>7</v>
      </c>
      <c r="E1" s="1" t="s">
        <v>10</v>
      </c>
      <c r="F1" s="1" t="s">
        <v>12</v>
      </c>
      <c r="G1" s="1" t="s">
        <v>13</v>
      </c>
      <c r="H1" s="1" t="s">
        <v>15</v>
      </c>
      <c r="I1" s="1" t="s">
        <v>16</v>
      </c>
      <c r="J1" s="1" t="s">
        <v>18</v>
      </c>
      <c r="K1" s="1" t="s">
        <v>20</v>
      </c>
      <c r="L1" s="1" t="s">
        <v>21</v>
      </c>
      <c r="M1" s="1" t="s">
        <v>22</v>
      </c>
      <c r="N1" s="1" t="s">
        <v>24</v>
      </c>
      <c r="O1" s="1" t="s">
        <v>25</v>
      </c>
    </row>
    <row r="2" ht="15.75" customHeight="1">
      <c r="A2" s="4">
        <v>1.0</v>
      </c>
      <c r="B2" s="5">
        <v>46224.0</v>
      </c>
      <c r="C2" s="6">
        <v>0.4166666666666667</v>
      </c>
      <c r="D2" s="9" t="str">
        <f>VLOOKUP( WEEKDAY(B2) ,Lookup!$A$2:$B$8,2,FALSE)</f>
        <v>Tuesday</v>
      </c>
      <c r="E2" s="4" t="s">
        <v>36</v>
      </c>
      <c r="F2" s="4" t="s">
        <v>38</v>
      </c>
      <c r="G2" s="10" t="s">
        <v>40</v>
      </c>
      <c r="H2" s="11">
        <v>46224.0</v>
      </c>
      <c r="I2" s="6">
        <v>0.4375</v>
      </c>
      <c r="J2" s="11">
        <v>46224.0</v>
      </c>
      <c r="K2" s="6">
        <v>0.4583333333333333</v>
      </c>
      <c r="L2" s="4"/>
      <c r="M2" s="11"/>
      <c r="N2" s="4"/>
      <c r="O2" s="4"/>
      <c r="P2" s="4"/>
      <c r="Q2" s="4"/>
      <c r="R2" s="4"/>
      <c r="S2" s="4"/>
      <c r="T2" s="4"/>
      <c r="U2" s="4"/>
      <c r="V2" s="4"/>
      <c r="W2" s="4"/>
      <c r="X2" s="4"/>
      <c r="Y2" s="4"/>
      <c r="Z2" s="4"/>
      <c r="AA2" s="4"/>
      <c r="AB2" s="4"/>
    </row>
    <row r="3" ht="15.75" customHeight="1">
      <c r="A3" s="4">
        <v>2.0</v>
      </c>
      <c r="B3" s="5">
        <v>46224.0</v>
      </c>
      <c r="C3" s="6">
        <v>0.4166666666666667</v>
      </c>
      <c r="D3" s="9" t="str">
        <f>VLOOKUP( WEEKDAY(B3) ,Lookup!$A$2:$B$8,2,FALSE)</f>
        <v>Tuesday</v>
      </c>
      <c r="E3" s="4" t="s">
        <v>36</v>
      </c>
      <c r="F3" s="4" t="s">
        <v>44</v>
      </c>
      <c r="G3" s="10" t="s">
        <v>40</v>
      </c>
      <c r="H3" s="11">
        <v>46224.0</v>
      </c>
      <c r="I3" s="6">
        <v>0.4583333333333333</v>
      </c>
      <c r="J3" s="11">
        <v>46224.0</v>
      </c>
      <c r="K3" s="6">
        <v>0.4791666666666667</v>
      </c>
      <c r="L3" s="4"/>
      <c r="M3" s="11"/>
      <c r="N3" s="4"/>
      <c r="O3" s="4"/>
      <c r="P3" s="4"/>
      <c r="Q3" s="4"/>
      <c r="R3" s="4"/>
      <c r="S3" s="4"/>
      <c r="T3" s="4"/>
      <c r="U3" s="4"/>
      <c r="V3" s="4"/>
      <c r="W3" s="4"/>
      <c r="X3" s="4"/>
      <c r="Y3" s="4"/>
      <c r="Z3" s="4"/>
      <c r="AA3" s="4"/>
      <c r="AB3" s="4"/>
    </row>
    <row r="4" ht="15.75" customHeight="1">
      <c r="A4" s="4">
        <v>3.0</v>
      </c>
      <c r="B4" s="5">
        <v>46224.0</v>
      </c>
      <c r="C4" s="6">
        <v>0.4166666666666667</v>
      </c>
      <c r="D4" s="9" t="str">
        <f>VLOOKUP( WEEKDAY(B4) ,Lookup!$A$2:$B$8,2,FALSE)</f>
        <v>Tuesday</v>
      </c>
      <c r="E4" s="4" t="s">
        <v>55</v>
      </c>
      <c r="F4" s="4" t="s">
        <v>57</v>
      </c>
      <c r="G4" s="10" t="s">
        <v>40</v>
      </c>
      <c r="H4" s="11">
        <v>46224.0</v>
      </c>
      <c r="I4" s="6">
        <v>0.4791666666666667</v>
      </c>
      <c r="J4" s="11">
        <v>46224.0</v>
      </c>
      <c r="K4" s="6">
        <v>0.5833333333333334</v>
      </c>
      <c r="L4" s="4"/>
      <c r="M4" s="4"/>
      <c r="N4" s="4"/>
      <c r="O4" s="4"/>
      <c r="P4" s="4"/>
      <c r="Q4" s="4"/>
      <c r="R4" s="4"/>
      <c r="S4" s="4"/>
      <c r="T4" s="4"/>
      <c r="U4" s="4"/>
      <c r="V4" s="4"/>
      <c r="W4" s="4"/>
      <c r="X4" s="4"/>
      <c r="Y4" s="4"/>
      <c r="Z4" s="4"/>
      <c r="AA4" s="4"/>
      <c r="AB4" s="4"/>
    </row>
    <row r="5" ht="15.75" customHeight="1">
      <c r="A5" s="4">
        <v>4.0</v>
      </c>
      <c r="B5" s="5">
        <v>46224.0</v>
      </c>
      <c r="C5" s="6">
        <v>0.4166666666666667</v>
      </c>
      <c r="D5" s="9" t="str">
        <f>VLOOKUP( WEEKDAY(B5) ,Lookup!$A$2:$B$8,2,FALSE)</f>
        <v>Tuesday</v>
      </c>
      <c r="E5" s="4" t="s">
        <v>58</v>
      </c>
      <c r="F5" s="4" t="s">
        <v>59</v>
      </c>
      <c r="G5" s="10" t="s">
        <v>40</v>
      </c>
      <c r="H5" s="11">
        <v>46224.0</v>
      </c>
      <c r="I5" s="24">
        <v>0.5833333333333334</v>
      </c>
      <c r="J5" s="11">
        <v>46224.0</v>
      </c>
      <c r="K5" s="24">
        <v>0.6041666666666666</v>
      </c>
      <c r="L5" s="4"/>
      <c r="M5" s="4"/>
      <c r="N5" s="4"/>
      <c r="O5" s="4"/>
      <c r="P5" s="4"/>
      <c r="Q5" s="4"/>
      <c r="R5" s="4"/>
      <c r="S5" s="4"/>
      <c r="T5" s="4"/>
      <c r="U5" s="4"/>
      <c r="V5" s="4"/>
      <c r="W5" s="4"/>
      <c r="X5" s="4"/>
      <c r="Y5" s="4"/>
      <c r="Z5" s="4"/>
      <c r="AA5" s="4"/>
      <c r="AB5" s="4"/>
    </row>
    <row r="6" ht="15.75" customHeight="1">
      <c r="A6" s="4">
        <v>5.0</v>
      </c>
      <c r="B6" s="5">
        <v>46224.0</v>
      </c>
      <c r="C6" s="6">
        <v>0.4166666666666667</v>
      </c>
      <c r="D6" s="9" t="str">
        <f>VLOOKUP( WEEKDAY(B6) ,Lookup!$A$2:$B$8,2,FALSE)</f>
        <v>Tuesday</v>
      </c>
      <c r="E6" s="4" t="s">
        <v>58</v>
      </c>
      <c r="F6" s="4" t="s">
        <v>67</v>
      </c>
      <c r="G6" s="10" t="s">
        <v>68</v>
      </c>
      <c r="H6" s="11">
        <v>46224.0</v>
      </c>
      <c r="I6" s="8" t="s">
        <v>69</v>
      </c>
      <c r="J6" s="11">
        <v>46224.0</v>
      </c>
      <c r="K6" s="6">
        <v>0.625</v>
      </c>
      <c r="L6" s="4"/>
      <c r="M6" s="4"/>
      <c r="N6" s="4"/>
      <c r="O6" s="4"/>
      <c r="P6" s="4"/>
      <c r="Q6" s="4"/>
      <c r="R6" s="4"/>
      <c r="S6" s="4"/>
      <c r="T6" s="4"/>
      <c r="U6" s="4"/>
      <c r="V6" s="4"/>
      <c r="W6" s="4"/>
      <c r="X6" s="4"/>
      <c r="Y6" s="4"/>
      <c r="Z6" s="4"/>
      <c r="AA6" s="4"/>
      <c r="AB6" s="4"/>
    </row>
    <row r="7" ht="15.75" customHeight="1">
      <c r="A7" s="4">
        <v>6.0</v>
      </c>
      <c r="B7" s="5">
        <v>46224.0</v>
      </c>
      <c r="C7" s="6">
        <v>0.4166666666666667</v>
      </c>
      <c r="D7" s="9" t="str">
        <f>VLOOKUP( WEEKDAY(B7) ,Lookup!$A$2:$B$8,2,FALSE)</f>
        <v>Tuesday</v>
      </c>
      <c r="E7" s="4" t="s">
        <v>74</v>
      </c>
      <c r="F7" s="4" t="s">
        <v>75</v>
      </c>
      <c r="G7" s="10" t="s">
        <v>40</v>
      </c>
      <c r="H7" s="11">
        <v>46224.0</v>
      </c>
      <c r="I7" s="24">
        <v>0.625</v>
      </c>
      <c r="J7" s="11">
        <v>46224.0</v>
      </c>
      <c r="K7" s="33">
        <v>0.6666666666666666</v>
      </c>
      <c r="L7" s="4"/>
      <c r="M7" s="4"/>
      <c r="N7" s="4"/>
      <c r="O7" s="4"/>
      <c r="P7" s="4"/>
      <c r="Q7" s="4"/>
      <c r="R7" s="4"/>
      <c r="S7" s="4"/>
      <c r="T7" s="4"/>
      <c r="U7" s="4"/>
      <c r="V7" s="4"/>
      <c r="W7" s="4"/>
      <c r="X7" s="4"/>
      <c r="Y7" s="4"/>
      <c r="Z7" s="4"/>
      <c r="AA7" s="4"/>
      <c r="AB7" s="4"/>
    </row>
    <row r="8" ht="15.75" customHeight="1">
      <c r="A8" s="4">
        <v>7.0</v>
      </c>
      <c r="B8" s="11">
        <v>46224.0</v>
      </c>
      <c r="C8" s="6">
        <v>0.4756944444444444</v>
      </c>
      <c r="D8" s="9" t="str">
        <f>VLOOKUP( WEEKDAY(B8) ,Lookup!$A$2:$B$8,2,FALSE)</f>
        <v>Tuesday</v>
      </c>
      <c r="E8" s="10" t="s">
        <v>79</v>
      </c>
      <c r="F8" s="10" t="s">
        <v>80</v>
      </c>
      <c r="G8" s="10" t="s">
        <v>68</v>
      </c>
      <c r="H8" s="11">
        <v>46224.0</v>
      </c>
      <c r="I8" s="24">
        <v>0.6666666666666666</v>
      </c>
      <c r="J8" s="11">
        <v>46224.0</v>
      </c>
      <c r="K8" s="24">
        <v>0.7083333333333334</v>
      </c>
      <c r="M8" s="10" t="s">
        <v>81</v>
      </c>
    </row>
    <row r="9" ht="15.75" customHeight="1">
      <c r="A9" s="4">
        <v>8.0</v>
      </c>
      <c r="B9" s="5">
        <v>46224.0</v>
      </c>
      <c r="C9" s="6">
        <v>0.4166666666666667</v>
      </c>
      <c r="D9" s="9" t="str">
        <f>VLOOKUP( WEEKDAY(B9) ,Lookup!$A$2:$B$8,2,FALSE)</f>
        <v>Tuesday</v>
      </c>
      <c r="E9" s="4" t="s">
        <v>76</v>
      </c>
      <c r="F9" s="4" t="s">
        <v>77</v>
      </c>
      <c r="G9" s="10" t="s">
        <v>40</v>
      </c>
      <c r="H9" s="11">
        <v>46224.0</v>
      </c>
      <c r="I9" s="24">
        <v>0.7083333333333334</v>
      </c>
      <c r="J9" s="11">
        <v>46224.0</v>
      </c>
      <c r="K9" s="33">
        <v>0.75</v>
      </c>
      <c r="L9" s="4"/>
      <c r="M9" s="4"/>
      <c r="N9" s="4"/>
      <c r="O9" s="4"/>
      <c r="P9" s="4"/>
      <c r="Q9" s="4"/>
      <c r="R9" s="4"/>
      <c r="S9" s="4"/>
      <c r="T9" s="4"/>
      <c r="U9" s="4"/>
      <c r="V9" s="4"/>
      <c r="W9" s="4"/>
      <c r="X9" s="4"/>
      <c r="Y9" s="4"/>
      <c r="Z9" s="4"/>
      <c r="AA9" s="4"/>
      <c r="AB9" s="4"/>
    </row>
    <row r="10" ht="15.75" customHeight="1">
      <c r="A10" s="4">
        <v>9.0</v>
      </c>
      <c r="B10" s="19">
        <v>46225.0</v>
      </c>
      <c r="C10" s="24">
        <v>0.4166666666666667</v>
      </c>
      <c r="D10" s="9" t="str">
        <f>VLOOKUP( WEEKDAY(B10) ,Lookup!$A$2:$B$8,2,FALSE)</f>
        <v>Wednesday</v>
      </c>
      <c r="E10" s="10" t="s">
        <v>90</v>
      </c>
      <c r="F10" s="38" t="s">
        <v>91</v>
      </c>
      <c r="G10" s="10" t="s">
        <v>40</v>
      </c>
      <c r="H10" s="19">
        <v>46225.0</v>
      </c>
      <c r="I10" s="24">
        <v>0.4166666666666667</v>
      </c>
      <c r="J10" s="19">
        <v>46225.0</v>
      </c>
      <c r="K10" s="24">
        <v>0.4583333333333333</v>
      </c>
    </row>
    <row r="11" ht="15.75" customHeight="1">
      <c r="A11" s="4">
        <v>10.0</v>
      </c>
      <c r="B11" s="19">
        <v>46225.0</v>
      </c>
      <c r="C11" s="24">
        <v>0.4166666666666667</v>
      </c>
      <c r="D11" s="9" t="str">
        <f>VLOOKUP( WEEKDAY(B11) ,Lookup!$A$2:$B$8,2,FALSE)</f>
        <v>Wednesday</v>
      </c>
      <c r="E11" s="10" t="s">
        <v>99</v>
      </c>
      <c r="F11" s="10" t="s">
        <v>100</v>
      </c>
      <c r="G11" s="10" t="s">
        <v>40</v>
      </c>
      <c r="H11" s="19">
        <v>46225.0</v>
      </c>
      <c r="I11" s="24">
        <v>0.4583333333333333</v>
      </c>
      <c r="J11" s="8" t="s">
        <v>103</v>
      </c>
      <c r="K11" s="24">
        <v>0.4791666666666667</v>
      </c>
    </row>
    <row r="12" ht="15.75" customHeight="1">
      <c r="A12" s="4">
        <v>11.0</v>
      </c>
      <c r="B12" s="19">
        <v>46225.0</v>
      </c>
      <c r="C12" s="24">
        <v>0.4166666666666667</v>
      </c>
      <c r="D12" s="9" t="str">
        <f>VLOOKUP( WEEKDAY(B12) ,Lookup!$A$2:$B$8,2,FALSE)</f>
        <v>Wednesday</v>
      </c>
      <c r="E12" s="10" t="s">
        <v>90</v>
      </c>
      <c r="F12" s="10" t="s">
        <v>106</v>
      </c>
      <c r="G12" s="10" t="s">
        <v>40</v>
      </c>
      <c r="H12" s="19">
        <v>46225.0</v>
      </c>
      <c r="I12" s="24">
        <v>0.4791666666666667</v>
      </c>
      <c r="J12" s="19">
        <v>46225.0</v>
      </c>
      <c r="K12" s="24">
        <v>0.010416666666666666</v>
      </c>
    </row>
    <row r="13" ht="15.75" customHeight="1">
      <c r="A13" s="4">
        <v>12.0</v>
      </c>
      <c r="B13" s="19">
        <v>46225.0</v>
      </c>
      <c r="C13" s="24">
        <v>0.4166666666666667</v>
      </c>
      <c r="D13" s="9" t="str">
        <f>VLOOKUP( WEEKDAY(B13) ,Lookup!$A$2:$B$8,2,FALSE)</f>
        <v>Wednesday</v>
      </c>
      <c r="E13" s="10" t="s">
        <v>36</v>
      </c>
      <c r="F13" s="10" t="s">
        <v>109</v>
      </c>
      <c r="G13" s="10" t="s">
        <v>68</v>
      </c>
      <c r="H13" s="19">
        <v>46225.0</v>
      </c>
      <c r="I13" s="24">
        <v>0.5104166666666666</v>
      </c>
      <c r="J13" s="19">
        <v>46225.0</v>
      </c>
      <c r="K13" s="24">
        <v>0.5416666666666666</v>
      </c>
    </row>
    <row r="14" ht="15.75" customHeight="1">
      <c r="A14" s="4">
        <v>13.0</v>
      </c>
      <c r="B14" s="19">
        <v>46225.0</v>
      </c>
      <c r="C14" s="24">
        <v>0.4166666666666667</v>
      </c>
      <c r="D14" s="9" t="str">
        <f>VLOOKUP( WEEKDAY(B14) ,Lookup!$A$2:$B$8,2,FALSE)</f>
        <v>Wednesday</v>
      </c>
      <c r="E14" s="10" t="s">
        <v>110</v>
      </c>
      <c r="F14" s="10" t="s">
        <v>111</v>
      </c>
      <c r="G14" s="10" t="s">
        <v>68</v>
      </c>
      <c r="H14" s="19">
        <v>46225.0</v>
      </c>
      <c r="I14" s="24">
        <v>0.5416666666666666</v>
      </c>
      <c r="J14" s="19">
        <v>46225.0</v>
      </c>
      <c r="K14" s="24">
        <v>0.5833333333333334</v>
      </c>
    </row>
    <row r="15" ht="15.75" customHeight="1">
      <c r="A15" s="4">
        <v>14.0</v>
      </c>
      <c r="B15" s="19">
        <v>46225.0</v>
      </c>
      <c r="C15" s="24">
        <v>0.4166666666666667</v>
      </c>
      <c r="D15" s="9" t="str">
        <f>VLOOKUP( WEEKDAY(B15) ,Lookup!$A$2:$B$8,2,FALSE)</f>
        <v>Wednesday</v>
      </c>
      <c r="E15" s="10" t="s">
        <v>112</v>
      </c>
      <c r="F15" s="10" t="s">
        <v>113</v>
      </c>
      <c r="G15" s="10" t="s">
        <v>40</v>
      </c>
      <c r="H15" s="19">
        <v>46225.0</v>
      </c>
      <c r="I15" s="24">
        <v>0.5833333333333334</v>
      </c>
      <c r="J15" s="19">
        <v>46225.0</v>
      </c>
      <c r="K15" s="24">
        <v>0.6666666666666666</v>
      </c>
    </row>
    <row r="16" ht="15.75" customHeight="1">
      <c r="A16" s="4">
        <v>15.0</v>
      </c>
      <c r="B16" s="19">
        <v>46225.0</v>
      </c>
      <c r="C16" s="24">
        <v>0.4166666666666667</v>
      </c>
      <c r="D16" s="9" t="str">
        <f>VLOOKUP( WEEKDAY(B16) ,Lookup!$A$2:$B$8,2,FALSE)</f>
        <v>Wednesday</v>
      </c>
      <c r="E16" s="10" t="s">
        <v>58</v>
      </c>
      <c r="F16" s="4" t="s">
        <v>59</v>
      </c>
      <c r="G16" s="10" t="s">
        <v>40</v>
      </c>
      <c r="H16" s="19">
        <v>46225.0</v>
      </c>
      <c r="I16" s="24">
        <v>0.6666666666666666</v>
      </c>
      <c r="J16" s="19">
        <v>46225.0</v>
      </c>
      <c r="K16" s="24">
        <v>0.7083333333333334</v>
      </c>
    </row>
    <row r="17" ht="15.75" customHeight="1">
      <c r="A17" s="4">
        <v>16.0</v>
      </c>
      <c r="B17" s="19">
        <v>46225.0</v>
      </c>
      <c r="C17" s="24">
        <v>0.4166666666666667</v>
      </c>
      <c r="D17" s="9" t="str">
        <f>VLOOKUP( WEEKDAY(B17) ,Lookup!$A$2:$B$8,2,FALSE)</f>
        <v>Wednesday</v>
      </c>
      <c r="E17" s="10" t="s">
        <v>74</v>
      </c>
      <c r="F17" s="10" t="s">
        <v>75</v>
      </c>
      <c r="G17" s="10" t="s">
        <v>40</v>
      </c>
      <c r="H17" s="19">
        <v>46225.0</v>
      </c>
      <c r="I17" s="24">
        <v>0.7083333333333334</v>
      </c>
      <c r="J17" s="19">
        <v>46225.0</v>
      </c>
      <c r="K17" s="24">
        <v>0.75</v>
      </c>
    </row>
    <row r="18" ht="15.75" customHeight="1">
      <c r="A18" s="4">
        <v>17.0</v>
      </c>
      <c r="B18" s="19">
        <v>46225.0</v>
      </c>
      <c r="C18" s="24">
        <v>0.4166666666666667</v>
      </c>
      <c r="D18" s="9" t="str">
        <f>VLOOKUP( WEEKDAY(B18) ,Lookup!$A$2:$B$8,2,FALSE)</f>
        <v>Wednesday</v>
      </c>
      <c r="E18" s="10" t="s">
        <v>58</v>
      </c>
      <c r="F18" s="10" t="s">
        <v>120</v>
      </c>
      <c r="G18" s="10" t="s">
        <v>68</v>
      </c>
      <c r="H18" s="19">
        <v>46225.0</v>
      </c>
      <c r="I18" s="24">
        <v>0.75</v>
      </c>
      <c r="J18" s="19">
        <v>46225.0</v>
      </c>
      <c r="K18" s="24">
        <v>0.7708333333333334</v>
      </c>
    </row>
    <row r="19" ht="15.75" customHeight="1">
      <c r="A19" s="4">
        <v>18.0</v>
      </c>
      <c r="B19" s="19">
        <v>46225.0</v>
      </c>
      <c r="C19" s="24">
        <v>0.4270833333333333</v>
      </c>
      <c r="D19" s="9" t="str">
        <f>VLOOKUP( WEEKDAY(B19) ,Lookup!$A$2:$B$8,2,FALSE)</f>
        <v>Wednesday</v>
      </c>
      <c r="E19" s="10" t="s">
        <v>88</v>
      </c>
      <c r="F19" s="10" t="s">
        <v>123</v>
      </c>
      <c r="G19" s="10" t="s">
        <v>40</v>
      </c>
      <c r="H19" s="19">
        <v>46225.0</v>
      </c>
      <c r="I19" s="24">
        <v>0.4305555555555556</v>
      </c>
      <c r="J19" s="19">
        <v>46225.0</v>
      </c>
      <c r="K19" s="24">
        <v>0.4583333333333333</v>
      </c>
      <c r="L19" s="10" t="s">
        <v>104</v>
      </c>
    </row>
    <row r="20" ht="15.75" customHeight="1">
      <c r="A20" s="4">
        <v>19.0</v>
      </c>
      <c r="B20" s="19">
        <v>46226.0</v>
      </c>
      <c r="C20" s="24">
        <v>0.4166666666666667</v>
      </c>
      <c r="D20" s="9" t="str">
        <f>VLOOKUP( WEEKDAY(B20) ,Lookup!$A$2:$B$8,2,FALSE)</f>
        <v>Thursday</v>
      </c>
      <c r="E20" s="10" t="s">
        <v>99</v>
      </c>
      <c r="F20" s="10" t="s">
        <v>100</v>
      </c>
      <c r="G20" s="10" t="s">
        <v>40</v>
      </c>
      <c r="H20" s="19">
        <v>46226.0</v>
      </c>
      <c r="I20" s="24">
        <v>0.3958333333333333</v>
      </c>
      <c r="J20" s="19">
        <v>46226.0</v>
      </c>
      <c r="K20" s="24">
        <v>0.4166666666666667</v>
      </c>
    </row>
    <row r="21" ht="15.75" customHeight="1">
      <c r="A21" s="4">
        <v>20.0</v>
      </c>
      <c r="B21" s="19">
        <v>46226.0</v>
      </c>
      <c r="C21" s="24">
        <v>0.4166666666666667</v>
      </c>
      <c r="D21" s="9" t="str">
        <f>VLOOKUP( WEEKDAY(B21) ,Lookup!$A$2:$B$8,2,FALSE)</f>
        <v>Thursday</v>
      </c>
      <c r="E21" s="10" t="s">
        <v>90</v>
      </c>
      <c r="F21" s="10" t="s">
        <v>106</v>
      </c>
      <c r="G21" s="10" t="s">
        <v>40</v>
      </c>
      <c r="H21" s="19">
        <v>46226.0</v>
      </c>
      <c r="I21" s="24">
        <v>0.4166666666666667</v>
      </c>
      <c r="J21" s="19">
        <v>46226.0</v>
      </c>
      <c r="K21" s="24">
        <v>0.4270833333333333</v>
      </c>
      <c r="L21" s="28" t="s">
        <v>104</v>
      </c>
      <c r="M21" s="44" t="s">
        <v>126</v>
      </c>
    </row>
    <row r="22" ht="15.75" customHeight="1">
      <c r="A22" s="4">
        <v>21.0</v>
      </c>
      <c r="B22" s="19">
        <v>46226.0</v>
      </c>
      <c r="C22" s="24">
        <v>0.4166666666666667</v>
      </c>
      <c r="D22" s="9" t="str">
        <f>VLOOKUP( WEEKDAY(B22) ,Lookup!$A$2:$B$8,2,FALSE)</f>
        <v>Thursday</v>
      </c>
      <c r="E22" s="10" t="s">
        <v>55</v>
      </c>
      <c r="F22" s="10" t="s">
        <v>113</v>
      </c>
      <c r="G22" s="10" t="s">
        <v>40</v>
      </c>
      <c r="H22" s="19">
        <v>46226.0</v>
      </c>
      <c r="I22" s="24">
        <v>0.4270833333333333</v>
      </c>
      <c r="J22" s="19">
        <v>46226.0</v>
      </c>
      <c r="K22" s="24">
        <v>0.0</v>
      </c>
    </row>
    <row r="23" ht="15.75" customHeight="1">
      <c r="A23" s="4">
        <v>22.0</v>
      </c>
      <c r="B23" s="19">
        <v>46226.0</v>
      </c>
      <c r="C23" s="24">
        <v>0.4166666666666667</v>
      </c>
      <c r="D23" s="9" t="str">
        <f>VLOOKUP( WEEKDAY(B23) ,Lookup!$A$2:$B$8,2,FALSE)</f>
        <v>Thursday</v>
      </c>
      <c r="E23" s="10" t="s">
        <v>90</v>
      </c>
      <c r="F23" s="10" t="s">
        <v>120</v>
      </c>
      <c r="G23" s="10" t="s">
        <v>40</v>
      </c>
      <c r="H23" s="19">
        <v>46226.0</v>
      </c>
      <c r="I23" s="24">
        <v>0.0</v>
      </c>
      <c r="J23" s="19">
        <v>46226.0</v>
      </c>
      <c r="K23" s="24">
        <v>0.5416666666666666</v>
      </c>
    </row>
    <row r="24" ht="15.75" customHeight="1">
      <c r="A24" s="4">
        <v>23.0</v>
      </c>
      <c r="B24" s="19">
        <v>46226.0</v>
      </c>
      <c r="C24" s="24">
        <v>0.4166666666666667</v>
      </c>
      <c r="D24" s="9" t="str">
        <f>VLOOKUP( WEEKDAY(B24) ,Lookup!$A$2:$B$8,2,FALSE)</f>
        <v>Thursday</v>
      </c>
      <c r="E24" s="10" t="s">
        <v>90</v>
      </c>
      <c r="F24" s="10" t="s">
        <v>132</v>
      </c>
      <c r="G24" s="10" t="s">
        <v>40</v>
      </c>
      <c r="H24" s="19">
        <v>46226.0</v>
      </c>
      <c r="I24" s="24">
        <v>0.5416666666666666</v>
      </c>
      <c r="J24" s="19">
        <v>46226.0</v>
      </c>
      <c r="K24" s="24">
        <v>0.5833333333333334</v>
      </c>
    </row>
    <row r="25" ht="15.75" customHeight="1">
      <c r="A25" s="4">
        <v>24.0</v>
      </c>
      <c r="B25" s="19">
        <v>46226.0</v>
      </c>
      <c r="C25" s="24">
        <v>0.4166666666666667</v>
      </c>
      <c r="D25" s="9" t="str">
        <f>VLOOKUP( WEEKDAY(B25) ,Lookup!$A$2:$B$8,2,FALSE)</f>
        <v>Thursday</v>
      </c>
      <c r="E25" s="10" t="s">
        <v>134</v>
      </c>
      <c r="F25" s="10" t="s">
        <v>136</v>
      </c>
      <c r="G25" s="10" t="s">
        <v>40</v>
      </c>
      <c r="H25" s="19">
        <v>46226.0</v>
      </c>
      <c r="I25" s="24">
        <v>0.5833333333333334</v>
      </c>
      <c r="J25" s="19">
        <v>46226.0</v>
      </c>
      <c r="K25" s="24">
        <v>0.59375</v>
      </c>
      <c r="L25" s="28" t="s">
        <v>104</v>
      </c>
    </row>
    <row r="26" ht="15.75" customHeight="1">
      <c r="A26" s="4">
        <v>25.0</v>
      </c>
      <c r="B26" s="19">
        <v>46226.0</v>
      </c>
      <c r="C26" s="24">
        <v>0.4166666666666667</v>
      </c>
      <c r="D26" s="9" t="str">
        <f>VLOOKUP( WEEKDAY(B26) ,Lookup!$A$2:$B$8,2,FALSE)</f>
        <v>Thursday</v>
      </c>
      <c r="E26" s="10" t="s">
        <v>137</v>
      </c>
      <c r="F26" s="10" t="s">
        <v>138</v>
      </c>
      <c r="G26" s="10" t="s">
        <v>40</v>
      </c>
      <c r="H26" s="19">
        <v>46226.0</v>
      </c>
      <c r="I26" s="24">
        <v>0.59375</v>
      </c>
      <c r="J26" s="19">
        <v>46226.0</v>
      </c>
      <c r="K26" s="24">
        <v>0.625</v>
      </c>
    </row>
    <row r="27" ht="15.75" customHeight="1">
      <c r="A27" s="4">
        <v>26.0</v>
      </c>
      <c r="B27" s="19">
        <v>46226.0</v>
      </c>
      <c r="C27" s="24">
        <v>0.4166666666666667</v>
      </c>
      <c r="D27" s="9" t="str">
        <f>VLOOKUP( WEEKDAY(B27) ,Lookup!$A$2:$B$8,2,FALSE)</f>
        <v>Thursday</v>
      </c>
      <c r="E27" s="10" t="s">
        <v>79</v>
      </c>
      <c r="F27" s="10" t="s">
        <v>80</v>
      </c>
      <c r="G27" s="10" t="s">
        <v>68</v>
      </c>
      <c r="H27" s="19">
        <v>46226.0</v>
      </c>
      <c r="I27" s="24">
        <v>0.625</v>
      </c>
      <c r="J27" s="19">
        <v>46226.0</v>
      </c>
      <c r="K27" s="24">
        <v>0.6666666666666666</v>
      </c>
    </row>
    <row r="28" ht="15.75" customHeight="1">
      <c r="A28" s="4">
        <v>27.0</v>
      </c>
      <c r="B28" s="48">
        <v>46227.0</v>
      </c>
      <c r="C28" s="49">
        <v>0.3854166666666667</v>
      </c>
      <c r="D28" s="9" t="str">
        <f>VLOOKUP( WEEKDAY(B28) ,Lookup!$A$2:$B$8,2,FALSE)</f>
        <v>Friday</v>
      </c>
      <c r="E28" s="50" t="s">
        <v>142</v>
      </c>
      <c r="F28" s="50" t="s">
        <v>143</v>
      </c>
      <c r="H28" s="48">
        <v>46227.0</v>
      </c>
      <c r="I28" s="49">
        <v>0.3854166666666667</v>
      </c>
      <c r="J28" s="48">
        <v>46227.0</v>
      </c>
      <c r="K28" s="49">
        <v>0.4270833333333333</v>
      </c>
      <c r="L28" s="28" t="s">
        <v>104</v>
      </c>
    </row>
    <row r="29" ht="15.75" customHeight="1">
      <c r="A29" s="4">
        <v>28.0</v>
      </c>
      <c r="B29" s="48">
        <v>46227.0</v>
      </c>
      <c r="C29" s="49">
        <v>0.3854166666666667</v>
      </c>
      <c r="D29" s="9" t="str">
        <f>VLOOKUP( WEEKDAY(B29) ,Lookup!$A$2:$B$8,2,FALSE)</f>
        <v>Friday</v>
      </c>
      <c r="E29" s="28" t="s">
        <v>146</v>
      </c>
      <c r="F29" s="28" t="s">
        <v>147</v>
      </c>
      <c r="H29" s="48">
        <v>46227.0</v>
      </c>
      <c r="I29" s="49">
        <v>0.4270833333333333</v>
      </c>
      <c r="J29" s="48">
        <v>46227.0</v>
      </c>
      <c r="K29" s="49">
        <v>0.4583333333333333</v>
      </c>
    </row>
    <row r="30" ht="15.75" customHeight="1">
      <c r="A30" s="4">
        <v>29.0</v>
      </c>
      <c r="B30" s="48">
        <v>46227.0</v>
      </c>
      <c r="C30" s="49">
        <v>0.3854166666666667</v>
      </c>
      <c r="D30" s="9" t="str">
        <f>VLOOKUP( WEEKDAY(B30) ,Lookup!$A$2:$B$8,2,FALSE)</f>
        <v>Friday</v>
      </c>
      <c r="E30" s="28" t="s">
        <v>150</v>
      </c>
      <c r="F30" s="51" t="s">
        <v>151</v>
      </c>
      <c r="H30" s="48">
        <v>46227.0</v>
      </c>
      <c r="I30" s="49">
        <v>0.4583333333333333</v>
      </c>
      <c r="J30" s="48">
        <v>46227.0</v>
      </c>
      <c r="K30" s="49">
        <v>0.4791666666666667</v>
      </c>
    </row>
    <row r="31" ht="15.75" customHeight="1">
      <c r="A31" s="4">
        <v>30.0</v>
      </c>
      <c r="B31" s="48">
        <v>46227.0</v>
      </c>
      <c r="C31" s="49">
        <v>0.3854166666666667</v>
      </c>
      <c r="D31" s="9" t="str">
        <f>VLOOKUP( WEEKDAY(B31) ,Lookup!$A$2:$B$8,2,FALSE)</f>
        <v>Friday</v>
      </c>
      <c r="E31" s="28" t="s">
        <v>156</v>
      </c>
      <c r="F31" s="28" t="s">
        <v>157</v>
      </c>
      <c r="H31" s="48">
        <v>46227.0</v>
      </c>
      <c r="I31" s="49">
        <v>0.4791666666666667</v>
      </c>
      <c r="J31" s="48">
        <v>46227.0</v>
      </c>
      <c r="K31" s="49">
        <v>0.0</v>
      </c>
    </row>
    <row r="32" ht="15.75" customHeight="1">
      <c r="A32" s="4">
        <v>31.0</v>
      </c>
      <c r="B32" s="48">
        <v>46227.0</v>
      </c>
      <c r="C32" s="49">
        <v>0.3854166666666667</v>
      </c>
      <c r="D32" s="9" t="str">
        <f>VLOOKUP( WEEKDAY(B32) ,Lookup!$A$2:$B$8,2,FALSE)</f>
        <v>Friday</v>
      </c>
      <c r="E32" s="28" t="s">
        <v>116</v>
      </c>
      <c r="F32" s="28" t="s">
        <v>159</v>
      </c>
      <c r="H32" s="48">
        <v>46227.0</v>
      </c>
      <c r="I32" s="49">
        <v>0.0</v>
      </c>
      <c r="J32" s="48">
        <v>46227.0</v>
      </c>
      <c r="K32" s="49">
        <v>0.5833333333333334</v>
      </c>
    </row>
    <row r="33" ht="15.75" customHeight="1">
      <c r="A33" s="4">
        <v>32.0</v>
      </c>
      <c r="B33" s="48">
        <v>46227.0</v>
      </c>
      <c r="C33" s="49">
        <v>0.3854166666666667</v>
      </c>
      <c r="D33" s="9" t="str">
        <f>VLOOKUP( WEEKDAY(B33) ,Lookup!$A$2:$B$8,2,FALSE)</f>
        <v>Friday</v>
      </c>
      <c r="E33" s="28" t="s">
        <v>160</v>
      </c>
      <c r="F33" s="28" t="s">
        <v>161</v>
      </c>
      <c r="H33" s="48">
        <v>46227.0</v>
      </c>
      <c r="I33" s="49">
        <v>0.5833333333333334</v>
      </c>
      <c r="J33" s="48">
        <v>46227.0</v>
      </c>
      <c r="K33" s="49">
        <v>0.6041666666666666</v>
      </c>
      <c r="L33" s="28" t="s">
        <v>104</v>
      </c>
    </row>
    <row r="34" ht="15.75" customHeight="1">
      <c r="A34" s="4">
        <v>33.0</v>
      </c>
      <c r="B34" s="48">
        <v>46227.0</v>
      </c>
      <c r="C34" s="49">
        <v>0.3854166666666667</v>
      </c>
      <c r="D34" s="9" t="str">
        <f>VLOOKUP( WEEKDAY(B34) ,Lookup!$A$2:$B$8,2,FALSE)</f>
        <v>Friday</v>
      </c>
      <c r="E34" s="28" t="s">
        <v>74</v>
      </c>
      <c r="F34" s="28" t="s">
        <v>163</v>
      </c>
      <c r="H34" s="48">
        <v>46227.0</v>
      </c>
      <c r="I34" s="49">
        <v>0.6041666666666666</v>
      </c>
      <c r="J34" s="48">
        <v>46227.0</v>
      </c>
      <c r="K34" s="49">
        <v>0.6875</v>
      </c>
    </row>
    <row r="35" ht="15.75" customHeight="1">
      <c r="A35" s="4">
        <v>34.0</v>
      </c>
      <c r="B35" s="48">
        <v>46227.0</v>
      </c>
      <c r="C35" s="49">
        <v>0.3854166666666667</v>
      </c>
      <c r="D35" s="9" t="str">
        <f>VLOOKUP( WEEKDAY(B35) ,Lookup!$A$2:$B$8,2,FALSE)</f>
        <v>Friday</v>
      </c>
      <c r="E35" s="28" t="s">
        <v>55</v>
      </c>
      <c r="F35" s="10" t="s">
        <v>113</v>
      </c>
      <c r="H35" s="48">
        <v>46227.0</v>
      </c>
      <c r="I35" s="49">
        <v>0.6875</v>
      </c>
      <c r="J35" s="48">
        <v>46227.0</v>
      </c>
      <c r="K35" s="49">
        <v>0.7708333333333334</v>
      </c>
    </row>
    <row r="36" ht="15.75" customHeight="1">
      <c r="A36" s="4">
        <v>35.0</v>
      </c>
      <c r="B36" s="48">
        <v>46227.0</v>
      </c>
      <c r="C36" s="49">
        <v>0.3854166666666667</v>
      </c>
      <c r="D36" s="9" t="str">
        <f>VLOOKUP( WEEKDAY(B36) ,Lookup!$A$2:$B$8,2,FALSE)</f>
        <v>Friday</v>
      </c>
      <c r="E36" s="28" t="s">
        <v>74</v>
      </c>
      <c r="F36" s="28" t="s">
        <v>163</v>
      </c>
      <c r="H36" s="48">
        <v>46227.0</v>
      </c>
      <c r="I36" s="49">
        <v>0.7708333333333334</v>
      </c>
      <c r="J36" s="48">
        <v>46227.0</v>
      </c>
      <c r="K36" s="49">
        <v>0.7916666666666666</v>
      </c>
    </row>
    <row r="37" ht="15.75" customHeight="1">
      <c r="A37" s="4">
        <v>36.0</v>
      </c>
      <c r="B37" s="48">
        <v>46227.0</v>
      </c>
      <c r="C37" s="49">
        <v>0.3854166666666667</v>
      </c>
      <c r="D37" s="9" t="str">
        <f>VLOOKUP( WEEKDAY(B37) ,Lookup!$A$2:$B$8,2,FALSE)</f>
        <v>Friday</v>
      </c>
      <c r="E37" s="28" t="s">
        <v>74</v>
      </c>
      <c r="F37" s="28" t="s">
        <v>167</v>
      </c>
      <c r="H37" s="11">
        <v>46227.0</v>
      </c>
      <c r="I37" s="52">
        <v>0.7916666666666666</v>
      </c>
      <c r="J37" s="11">
        <v>46227.0</v>
      </c>
      <c r="K37" s="39">
        <v>0.8125</v>
      </c>
    </row>
    <row r="38" ht="15.75" customHeight="1">
      <c r="A38" s="4">
        <v>37.0</v>
      </c>
      <c r="B38" s="48">
        <v>46227.0</v>
      </c>
      <c r="C38" s="49">
        <v>0.3854166666666667</v>
      </c>
      <c r="D38" s="9" t="str">
        <f>VLOOKUP( WEEKDAY(B38) ,Lookup!$A$2:$B$8,2,FALSE)</f>
        <v>Friday</v>
      </c>
      <c r="E38" s="28" t="s">
        <v>58</v>
      </c>
      <c r="F38" s="28" t="s">
        <v>171</v>
      </c>
      <c r="H38" s="53">
        <v>46227.0</v>
      </c>
      <c r="I38" s="49">
        <v>0.7604166666666666</v>
      </c>
      <c r="J38" s="53">
        <v>46227.0</v>
      </c>
      <c r="K38" s="49">
        <v>0.7638888888888888</v>
      </c>
    </row>
    <row r="39" ht="15.75" customHeight="1">
      <c r="A39" s="4">
        <v>38.0</v>
      </c>
      <c r="B39" s="48">
        <v>46228.0</v>
      </c>
      <c r="C39" s="49">
        <v>0.3854166666666667</v>
      </c>
      <c r="D39" s="9" t="str">
        <f>VLOOKUP( WEEKDAY(B39) ,Lookup!$A$2:$B$8,2,FALSE)</f>
        <v>Saturday</v>
      </c>
      <c r="E39" s="28" t="s">
        <v>36</v>
      </c>
      <c r="F39" s="28" t="s">
        <v>172</v>
      </c>
      <c r="H39" s="36">
        <v>46228.0</v>
      </c>
      <c r="I39" s="39">
        <v>0.9166666666666666</v>
      </c>
      <c r="J39" s="36">
        <v>46228.0</v>
      </c>
      <c r="K39" s="39">
        <v>0.9375</v>
      </c>
    </row>
    <row r="40" ht="15.75" customHeight="1">
      <c r="A40" s="4">
        <v>39.0</v>
      </c>
      <c r="B40" s="48">
        <v>46228.0</v>
      </c>
      <c r="C40" s="49">
        <v>0.3854166666666667</v>
      </c>
      <c r="D40" s="9" t="str">
        <f>VLOOKUP( WEEKDAY(B40) ,Lookup!$A$2:$B$8,2,FALSE)</f>
        <v>Saturday</v>
      </c>
      <c r="E40" s="28" t="s">
        <v>110</v>
      </c>
      <c r="F40" s="28" t="s">
        <v>174</v>
      </c>
      <c r="H40" s="36">
        <v>46228.0</v>
      </c>
      <c r="I40" s="39">
        <v>0.9375</v>
      </c>
      <c r="J40" s="36">
        <v>46228.0</v>
      </c>
      <c r="K40" s="39">
        <v>0.5</v>
      </c>
    </row>
    <row r="41" ht="15.75" customHeight="1">
      <c r="A41" s="4">
        <v>40.0</v>
      </c>
      <c r="B41" s="48">
        <v>46228.0</v>
      </c>
      <c r="C41" s="49">
        <v>0.3854166666666667</v>
      </c>
      <c r="D41" s="9" t="str">
        <f>VLOOKUP( WEEKDAY(B41) ,Lookup!$A$2:$B$8,2,FALSE)</f>
        <v>Saturday</v>
      </c>
      <c r="E41" s="28" t="s">
        <v>58</v>
      </c>
      <c r="F41" s="28" t="s">
        <v>120</v>
      </c>
      <c r="H41" s="36">
        <v>46228.0</v>
      </c>
      <c r="I41" s="39">
        <v>0.5</v>
      </c>
      <c r="J41" s="36">
        <v>46228.0</v>
      </c>
      <c r="K41" s="39">
        <v>0.5416666666666666</v>
      </c>
    </row>
    <row r="42" ht="15.75" customHeight="1">
      <c r="A42" s="4">
        <v>41.0</v>
      </c>
      <c r="B42" s="48">
        <v>46228.0</v>
      </c>
      <c r="C42" s="49">
        <v>0.3854166666666667</v>
      </c>
      <c r="D42" s="9" t="str">
        <f>VLOOKUP( WEEKDAY(B42) ,Lookup!$A$2:$B$8,2,FALSE)</f>
        <v>Saturday</v>
      </c>
      <c r="E42" s="28" t="s">
        <v>177</v>
      </c>
      <c r="F42" s="28" t="s">
        <v>178</v>
      </c>
      <c r="H42" s="36">
        <v>46228.0</v>
      </c>
      <c r="I42" s="39">
        <v>0.5416666666666666</v>
      </c>
      <c r="J42" s="36">
        <v>46228.0</v>
      </c>
      <c r="K42" s="39">
        <v>0.625</v>
      </c>
    </row>
    <row r="43" ht="15.75" customHeight="1">
      <c r="A43" s="4">
        <v>42.0</v>
      </c>
      <c r="B43" s="48">
        <v>46228.0</v>
      </c>
      <c r="C43" s="49">
        <v>0.3854166666666667</v>
      </c>
      <c r="D43" s="9" t="str">
        <f>VLOOKUP( WEEKDAY(B43) ,Lookup!$A$2:$B$8,2,FALSE)</f>
        <v>Saturday</v>
      </c>
      <c r="E43" s="28" t="s">
        <v>116</v>
      </c>
      <c r="F43" s="28" t="s">
        <v>179</v>
      </c>
      <c r="H43" s="36">
        <v>46228.0</v>
      </c>
      <c r="I43" s="39">
        <v>0.625</v>
      </c>
      <c r="J43" s="36">
        <v>46228.0</v>
      </c>
      <c r="K43" s="39">
        <v>0.6666666666666666</v>
      </c>
    </row>
    <row r="44" ht="15.75" customHeight="1">
      <c r="A44" s="4">
        <v>43.0</v>
      </c>
      <c r="B44" s="48">
        <v>46228.0</v>
      </c>
      <c r="C44" s="49">
        <v>0.3854166666666667</v>
      </c>
      <c r="D44" s="9" t="str">
        <f>VLOOKUP( WEEKDAY(B44) ,Lookup!$A$2:$B$8,2,FALSE)</f>
        <v>Saturday</v>
      </c>
      <c r="E44" s="28" t="s">
        <v>116</v>
      </c>
      <c r="F44" s="28" t="s">
        <v>180</v>
      </c>
      <c r="H44" s="36">
        <v>46228.0</v>
      </c>
      <c r="I44" s="39">
        <v>0.6666666666666666</v>
      </c>
      <c r="J44" s="36">
        <v>46228.0</v>
      </c>
      <c r="K44" s="39">
        <v>0.7083333333333334</v>
      </c>
    </row>
    <row r="45" ht="15.75" customHeight="1">
      <c r="A45" s="4">
        <v>44.0</v>
      </c>
      <c r="B45" s="48">
        <v>46228.0</v>
      </c>
      <c r="C45" s="49">
        <v>0.3854166666666667</v>
      </c>
      <c r="D45" s="9" t="str">
        <f>VLOOKUP( WEEKDAY(B45) ,Lookup!$A$2:$B$8,2,FALSE)</f>
        <v>Saturday</v>
      </c>
      <c r="E45" s="28" t="s">
        <v>74</v>
      </c>
      <c r="F45" s="28" t="s">
        <v>80</v>
      </c>
      <c r="H45" s="36">
        <v>46228.0</v>
      </c>
      <c r="I45" s="39">
        <v>0.7083333333333334</v>
      </c>
      <c r="J45" s="36">
        <v>46228.0</v>
      </c>
      <c r="K45" s="39">
        <v>0.75</v>
      </c>
    </row>
    <row r="46" ht="15.75" customHeight="1">
      <c r="A46" s="4">
        <v>45.0</v>
      </c>
      <c r="B46" s="48">
        <v>46228.0</v>
      </c>
      <c r="C46" s="49">
        <v>0.3854166666666667</v>
      </c>
      <c r="D46" s="9" t="str">
        <f>VLOOKUP( WEEKDAY(B46) ,Lookup!$A$2:$B$8,2,FALSE)</f>
        <v>Saturday</v>
      </c>
      <c r="E46" s="28" t="s">
        <v>74</v>
      </c>
      <c r="F46" s="28" t="s">
        <v>182</v>
      </c>
      <c r="H46" s="36">
        <v>46228.0</v>
      </c>
      <c r="I46" s="39">
        <v>0.75</v>
      </c>
      <c r="K46" s="39">
        <v>0.875</v>
      </c>
    </row>
    <row r="47" ht="15.75" customHeight="1">
      <c r="A47" s="4">
        <v>46.0</v>
      </c>
      <c r="B47" s="27">
        <v>46230.0</v>
      </c>
      <c r="C47" s="39">
        <v>0.4375</v>
      </c>
      <c r="D47" s="9" t="str">
        <f>VLOOKUP( WEEKDAY(B47) ,Lookup!$A$2:$B$8,2,FALSE)</f>
        <v>Monday</v>
      </c>
      <c r="E47" s="28" t="s">
        <v>183</v>
      </c>
      <c r="F47" s="28" t="s">
        <v>184</v>
      </c>
    </row>
    <row r="48" ht="15.75" customHeight="1">
      <c r="A48" s="4">
        <v>47.0</v>
      </c>
      <c r="B48" s="27">
        <v>46230.0</v>
      </c>
      <c r="C48" s="39">
        <v>0.4375</v>
      </c>
      <c r="D48" s="9" t="str">
        <f>VLOOKUP( WEEKDAY(B48) ,Lookup!$A$2:$B$8,2,FALSE)</f>
        <v>Monday</v>
      </c>
      <c r="E48" s="28" t="s">
        <v>185</v>
      </c>
      <c r="F48" s="50" t="s">
        <v>186</v>
      </c>
      <c r="H48" s="48">
        <v>46230.0</v>
      </c>
      <c r="I48" s="49">
        <v>0.5729166666666666</v>
      </c>
      <c r="J48" s="48">
        <v>46230.0</v>
      </c>
      <c r="K48" s="49">
        <v>0.5743055555555555</v>
      </c>
    </row>
    <row r="49" ht="15.75" customHeight="1">
      <c r="A49" s="4">
        <v>48.0</v>
      </c>
      <c r="B49" s="27">
        <v>46230.0</v>
      </c>
      <c r="C49" s="39">
        <v>0.4375</v>
      </c>
      <c r="D49" s="9" t="str">
        <f>VLOOKUP( WEEKDAY(B49) ,Lookup!$A$2:$B$8,2,FALSE)</f>
        <v>Monday</v>
      </c>
      <c r="E49" s="28" t="s">
        <v>188</v>
      </c>
      <c r="F49" s="50" t="s">
        <v>189</v>
      </c>
      <c r="H49" s="48">
        <v>46230.0</v>
      </c>
      <c r="I49" s="49">
        <v>0.5847222222222223</v>
      </c>
      <c r="J49" s="48">
        <v>46230.0</v>
      </c>
      <c r="K49" s="49">
        <v>0.5902777777777778</v>
      </c>
    </row>
    <row r="50" ht="15.75" customHeight="1">
      <c r="A50" s="4">
        <v>49.0</v>
      </c>
      <c r="B50" s="27">
        <v>46230.0</v>
      </c>
      <c r="C50" s="39">
        <v>0.4375</v>
      </c>
      <c r="D50" s="9" t="str">
        <f>VLOOKUP( WEEKDAY(B50) ,Lookup!$A$2:$B$8,2,FALSE)</f>
        <v>Monday</v>
      </c>
      <c r="E50" s="28" t="s">
        <v>185</v>
      </c>
      <c r="F50" s="28" t="s">
        <v>190</v>
      </c>
      <c r="H50" s="48">
        <v>46230.0</v>
      </c>
      <c r="I50" s="49">
        <v>0.5763888888888888</v>
      </c>
      <c r="J50" s="48">
        <v>46230.0</v>
      </c>
      <c r="K50" s="49">
        <v>0.5777777777777777</v>
      </c>
    </row>
    <row r="51" ht="15.75" customHeight="1">
      <c r="A51" s="4">
        <v>50.0</v>
      </c>
      <c r="B51" s="27">
        <v>46231.0</v>
      </c>
      <c r="C51" s="49">
        <v>0.4791666666666667</v>
      </c>
      <c r="D51" s="9" t="str">
        <f>VLOOKUP( WEEKDAY(B51) ,Lookup!$A$2:$B$8,2,FALSE)</f>
        <v>Tuesday</v>
      </c>
      <c r="E51" s="50" t="s">
        <v>191</v>
      </c>
      <c r="F51" s="50" t="s">
        <v>192</v>
      </c>
      <c r="H51" s="48">
        <v>46231.0</v>
      </c>
      <c r="I51" s="49">
        <v>0.4791666666666667</v>
      </c>
      <c r="J51" s="48">
        <v>46231.0</v>
      </c>
      <c r="K51" s="49">
        <v>0.5277777777777778</v>
      </c>
    </row>
    <row r="52" ht="15.75" customHeight="1">
      <c r="A52" s="4">
        <v>51.0</v>
      </c>
      <c r="B52" s="27">
        <v>46231.0</v>
      </c>
      <c r="C52" s="49">
        <v>0.4791666666666667</v>
      </c>
      <c r="D52" s="9" t="str">
        <f>VLOOKUP( WEEKDAY(B52) ,Lookup!$A$2:$B$8,2,FALSE)</f>
        <v>Tuesday</v>
      </c>
      <c r="E52" s="28" t="s">
        <v>58</v>
      </c>
      <c r="F52" s="28" t="s">
        <v>193</v>
      </c>
      <c r="H52" s="48">
        <v>46231.0</v>
      </c>
      <c r="I52" s="49">
        <v>0.7916666666666666</v>
      </c>
      <c r="J52" s="48">
        <v>46231.0</v>
      </c>
      <c r="K52" s="49">
        <v>0.8020833333333334</v>
      </c>
    </row>
    <row r="53" ht="15.75" customHeight="1">
      <c r="A53" s="4">
        <v>52.0</v>
      </c>
      <c r="B53" s="36">
        <v>46232.0</v>
      </c>
      <c r="C53" s="39">
        <v>0.46319444444444446</v>
      </c>
      <c r="D53" s="9" t="str">
        <f>VLOOKUP( WEEKDAY(B53) ,Lookup!$A$2:$B$8,2,FALSE)</f>
        <v>Wednesday</v>
      </c>
      <c r="E53" s="28" t="s">
        <v>58</v>
      </c>
      <c r="F53" s="28" t="s">
        <v>194</v>
      </c>
      <c r="H53" s="48">
        <v>46232.0</v>
      </c>
      <c r="I53" s="39">
        <v>0.4270833333333333</v>
      </c>
    </row>
    <row r="54" ht="15.75" customHeight="1">
      <c r="A54" s="4">
        <v>53.0</v>
      </c>
      <c r="B54" s="36">
        <v>46232.0</v>
      </c>
      <c r="C54" s="39">
        <v>0.46319444444444446</v>
      </c>
      <c r="D54" s="9" t="str">
        <f>VLOOKUP( WEEKDAY(B54) ,Lookup!$A$2:$B$8,2,FALSE)</f>
        <v>Wednesday</v>
      </c>
      <c r="E54" s="28" t="s">
        <v>116</v>
      </c>
      <c r="F54" s="28" t="s">
        <v>195</v>
      </c>
      <c r="H54" s="48">
        <v>46232.0</v>
      </c>
      <c r="I54" s="49">
        <v>0.71875</v>
      </c>
      <c r="J54" s="48">
        <v>46232.0</v>
      </c>
      <c r="K54" s="49">
        <v>0.7222222222222222</v>
      </c>
    </row>
    <row r="55" ht="15.75" customHeight="1">
      <c r="A55" s="4">
        <v>54.0</v>
      </c>
      <c r="B55" s="36">
        <v>46232.0</v>
      </c>
      <c r="C55" s="39">
        <v>0.46319444444444446</v>
      </c>
      <c r="D55" s="9" t="str">
        <f>VLOOKUP( WEEKDAY(B55) ,Lookup!$A$2:$B$8,2,FALSE)</f>
        <v>Wednesday</v>
      </c>
      <c r="E55" s="28" t="s">
        <v>196</v>
      </c>
      <c r="F55" s="28" t="s">
        <v>197</v>
      </c>
      <c r="H55" s="48">
        <v>46232.0</v>
      </c>
      <c r="I55" s="39">
        <v>0.4791666666666667</v>
      </c>
    </row>
    <row r="56" ht="15.75" customHeight="1">
      <c r="A56" s="4">
        <v>55.0</v>
      </c>
      <c r="B56" s="36">
        <v>46232.0</v>
      </c>
      <c r="C56" s="39">
        <v>0.46319444444444446</v>
      </c>
      <c r="D56" s="9" t="str">
        <f>VLOOKUP( WEEKDAY(B56) ,Lookup!$A$2:$B$8,2,FALSE)</f>
        <v>Wednesday</v>
      </c>
      <c r="E56" s="28" t="s">
        <v>116</v>
      </c>
      <c r="F56" s="28" t="s">
        <v>198</v>
      </c>
    </row>
    <row r="57" ht="15.75" customHeight="1">
      <c r="A57" s="4">
        <v>56.0</v>
      </c>
      <c r="B57" s="36">
        <v>46232.0</v>
      </c>
      <c r="C57" s="39">
        <v>0.46319444444444446</v>
      </c>
      <c r="D57" s="9" t="str">
        <f>VLOOKUP( WEEKDAY(B57) ,Lookup!$A$2:$B$8,2,FALSE)</f>
        <v>Wednesday</v>
      </c>
      <c r="E57" s="28" t="s">
        <v>116</v>
      </c>
      <c r="F57" s="28" t="s">
        <v>199</v>
      </c>
    </row>
    <row r="58" ht="15.75" customHeight="1">
      <c r="A58" s="4">
        <v>57.0</v>
      </c>
      <c r="B58" s="36">
        <v>46232.0</v>
      </c>
      <c r="C58" s="39">
        <v>0.46319444444444446</v>
      </c>
      <c r="D58" s="9" t="str">
        <f>VLOOKUP( WEEKDAY(B58) ,Lookup!$A$2:$B$8,2,FALSE)</f>
        <v>Wednesday</v>
      </c>
      <c r="E58" s="28" t="s">
        <v>177</v>
      </c>
      <c r="F58" s="28" t="s">
        <v>201</v>
      </c>
      <c r="H58" s="48">
        <v>46232.0</v>
      </c>
      <c r="I58" s="49">
        <v>0.7222222222222222</v>
      </c>
      <c r="J58" s="48">
        <v>46232.0</v>
      </c>
      <c r="K58" s="49">
        <v>0.7256944444444444</v>
      </c>
    </row>
    <row r="59" ht="15.75" customHeight="1">
      <c r="A59" s="4">
        <v>58.0</v>
      </c>
      <c r="B59" s="36">
        <v>46232.0</v>
      </c>
      <c r="C59" s="39">
        <v>0.46319444444444446</v>
      </c>
      <c r="D59" s="9" t="str">
        <f>VLOOKUP( WEEKDAY(B59) ,Lookup!$A$2:$B$8,2,FALSE)</f>
        <v>Wednesday</v>
      </c>
      <c r="E59" s="28" t="s">
        <v>177</v>
      </c>
      <c r="F59" s="28" t="s">
        <v>202</v>
      </c>
      <c r="H59" s="48">
        <v>46232.0</v>
      </c>
      <c r="I59" s="49">
        <v>0.7256944444444444</v>
      </c>
      <c r="J59" s="48">
        <v>46232.0</v>
      </c>
      <c r="K59" s="49">
        <v>0.7291666666666666</v>
      </c>
    </row>
    <row r="60" ht="15.75" customHeight="1">
      <c r="A60" s="4">
        <v>59.0</v>
      </c>
      <c r="B60" s="36">
        <v>46232.0</v>
      </c>
      <c r="C60" s="39">
        <v>0.46319444444444446</v>
      </c>
      <c r="D60" s="9" t="str">
        <f>VLOOKUP( WEEKDAY(B60) ,Lookup!$A$2:$B$8,2,FALSE)</f>
        <v>Wednesday</v>
      </c>
      <c r="E60" s="28" t="s">
        <v>177</v>
      </c>
      <c r="F60" s="28" t="s">
        <v>207</v>
      </c>
      <c r="H60" s="48">
        <v>46232.0</v>
      </c>
      <c r="I60" s="54">
        <v>0.22916666666666666</v>
      </c>
    </row>
    <row r="61" ht="15.75" customHeight="1">
      <c r="A61" s="4">
        <v>60.0</v>
      </c>
      <c r="B61" s="36">
        <v>46232.0</v>
      </c>
      <c r="C61" s="39">
        <v>0.46319444444444446</v>
      </c>
      <c r="D61" s="9" t="str">
        <f>VLOOKUP( WEEKDAY(B61) ,Lookup!$A$2:$B$8,2,FALSE)</f>
        <v>Wednesday</v>
      </c>
      <c r="E61" s="28" t="s">
        <v>36</v>
      </c>
      <c r="F61" s="28" t="s">
        <v>209</v>
      </c>
      <c r="H61" s="28" t="s">
        <v>211</v>
      </c>
    </row>
    <row r="62" ht="15.75" customHeight="1">
      <c r="A62" s="4">
        <v>61.0</v>
      </c>
      <c r="B62" s="48">
        <v>46233.0</v>
      </c>
      <c r="C62" s="49">
        <v>0.4166666666666667</v>
      </c>
      <c r="D62" s="9" t="str">
        <f>VLOOKUP( WEEKDAY(B62) ,Lookup!$A$2:$B$8,2,FALSE)</f>
        <v>Thursday</v>
      </c>
      <c r="E62" s="28" t="s">
        <v>177</v>
      </c>
      <c r="F62" s="55" t="s">
        <v>212</v>
      </c>
      <c r="G62" s="4"/>
      <c r="H62" s="53">
        <v>46232.0</v>
      </c>
      <c r="I62" s="49">
        <v>0.4166666666666667</v>
      </c>
      <c r="J62" s="53">
        <v>46232.0</v>
      </c>
      <c r="K62" s="49">
        <v>0.4583333333333333</v>
      </c>
    </row>
    <row r="63" ht="15.75" customHeight="1">
      <c r="A63" s="4">
        <v>63.0</v>
      </c>
      <c r="B63" s="48">
        <v>46233.0</v>
      </c>
      <c r="C63" s="49">
        <v>0.5</v>
      </c>
      <c r="D63" s="9" t="str">
        <f>VLOOKUP( WEEKDAY(B63) ,Lookup!$A$2:$B$8,2,FALSE)</f>
        <v>Thursday</v>
      </c>
      <c r="E63" s="28" t="s">
        <v>39</v>
      </c>
      <c r="F63" s="50" t="s">
        <v>215</v>
      </c>
      <c r="G63" s="4"/>
      <c r="H63" s="48">
        <v>46233.0</v>
      </c>
      <c r="I63" s="49">
        <v>0.5</v>
      </c>
      <c r="J63" s="48">
        <v>46233.0</v>
      </c>
      <c r="K63" s="49">
        <v>0.5520833333333334</v>
      </c>
    </row>
    <row r="64" ht="15.75" customHeight="1">
      <c r="A64" s="4">
        <v>64.0</v>
      </c>
      <c r="B64" s="48">
        <v>46233.0</v>
      </c>
      <c r="C64" s="49">
        <v>0.5625</v>
      </c>
      <c r="D64" s="9" t="str">
        <f>VLOOKUP( WEEKDAY(B64) ,Lookup!$A$2:$B$8,2,FALSE)</f>
        <v>Thursday</v>
      </c>
      <c r="E64" s="28" t="s">
        <v>36</v>
      </c>
      <c r="F64" s="50" t="s">
        <v>217</v>
      </c>
      <c r="G64" s="4"/>
      <c r="H64" s="48">
        <v>46223.0</v>
      </c>
      <c r="I64" s="49">
        <v>0.5625</v>
      </c>
      <c r="J64" s="48">
        <v>46223.0</v>
      </c>
      <c r="K64" s="49">
        <v>0.5729166666666666</v>
      </c>
    </row>
    <row r="65" ht="15.75" customHeight="1">
      <c r="A65" s="4">
        <v>65.0</v>
      </c>
      <c r="B65" s="48">
        <v>46233.0</v>
      </c>
      <c r="C65" s="49">
        <v>0.5729166666666666</v>
      </c>
      <c r="D65" s="9" t="str">
        <f>VLOOKUP( WEEKDAY(B65) ,Lookup!$A$2:$B$8,2,FALSE)</f>
        <v>Thursday</v>
      </c>
      <c r="E65" s="28" t="s">
        <v>218</v>
      </c>
      <c r="F65" s="50" t="s">
        <v>219</v>
      </c>
      <c r="G65" s="4"/>
      <c r="H65" s="48">
        <v>46223.0</v>
      </c>
      <c r="I65" s="49">
        <v>0.5729166666666666</v>
      </c>
      <c r="J65" s="48">
        <v>46223.0</v>
      </c>
      <c r="K65" s="49">
        <v>0.6666666666666666</v>
      </c>
    </row>
    <row r="66" ht="15.75" customHeight="1">
      <c r="A66" s="4">
        <v>66.0</v>
      </c>
      <c r="B66" s="48">
        <v>46233.0</v>
      </c>
      <c r="C66" s="49">
        <v>0.6666666666666666</v>
      </c>
      <c r="D66" s="9" t="str">
        <f>VLOOKUP( WEEKDAY(B66) ,Lookup!$A$2:$B$8,2,FALSE)</f>
        <v>Thursday</v>
      </c>
      <c r="E66" s="28" t="s">
        <v>116</v>
      </c>
      <c r="F66" s="50" t="s">
        <v>220</v>
      </c>
      <c r="G66" s="4"/>
      <c r="H66" s="48">
        <v>46223.0</v>
      </c>
      <c r="I66" s="49">
        <v>0.6666666666666666</v>
      </c>
      <c r="J66" s="48">
        <v>46223.0</v>
      </c>
      <c r="K66" s="49">
        <v>0.7430555555555556</v>
      </c>
    </row>
    <row r="67" ht="15.75" customHeight="1">
      <c r="A67" s="4">
        <v>67.0</v>
      </c>
      <c r="B67" s="48">
        <v>46233.0</v>
      </c>
      <c r="C67" s="49">
        <v>0.7430555555555556</v>
      </c>
      <c r="D67" s="9" t="str">
        <f>VLOOKUP( WEEKDAY(B67) ,Lookup!$A$2:$B$8,2,FALSE)</f>
        <v>Thursday</v>
      </c>
      <c r="E67" s="28" t="s">
        <v>223</v>
      </c>
      <c r="F67" s="50" t="s">
        <v>224</v>
      </c>
      <c r="G67" s="4"/>
      <c r="H67" s="48">
        <v>46223.0</v>
      </c>
      <c r="I67" s="49">
        <v>0.7430555555555556</v>
      </c>
      <c r="J67" s="48">
        <v>46223.0</v>
      </c>
      <c r="K67" s="49">
        <v>0.7847222222222222</v>
      </c>
    </row>
    <row r="68" ht="15.75" customHeight="1">
      <c r="A68" s="4">
        <v>68.0</v>
      </c>
      <c r="B68" s="48">
        <v>46233.0</v>
      </c>
      <c r="C68" s="49">
        <v>0.7847222222222222</v>
      </c>
      <c r="D68" s="9" t="str">
        <f>VLOOKUP( WEEKDAY(B68) ,Lookup!$A$2:$B$8,2,FALSE)</f>
        <v>Thursday</v>
      </c>
      <c r="E68" s="28" t="s">
        <v>225</v>
      </c>
      <c r="F68" s="50" t="s">
        <v>226</v>
      </c>
      <c r="G68" s="4"/>
      <c r="H68" s="48">
        <v>46223.0</v>
      </c>
      <c r="I68" s="49">
        <v>0.7847222222222222</v>
      </c>
      <c r="J68" s="48">
        <v>46223.0</v>
      </c>
      <c r="K68" s="49">
        <v>0.7951388888888888</v>
      </c>
    </row>
    <row r="69" ht="15.75" customHeight="1">
      <c r="A69" s="4">
        <v>69.0</v>
      </c>
      <c r="B69" s="36">
        <v>46234.0</v>
      </c>
      <c r="C69" s="39">
        <v>0.4166666666666667</v>
      </c>
      <c r="D69" s="9" t="str">
        <f>VLOOKUP( WEEKDAY(B69) ,Lookup!$A$2:$B$8,2,FALSE)</f>
        <v>Friday</v>
      </c>
      <c r="E69" s="28" t="s">
        <v>173</v>
      </c>
      <c r="F69" s="28" t="s">
        <v>228</v>
      </c>
      <c r="H69" s="48">
        <v>46234.0</v>
      </c>
      <c r="I69" s="49">
        <v>0.4166666666666667</v>
      </c>
      <c r="J69" s="48">
        <v>46234.0</v>
      </c>
      <c r="K69" s="39">
        <v>0.4791666666666667</v>
      </c>
    </row>
    <row r="70" ht="15.75" customHeight="1">
      <c r="A70" s="4">
        <v>70.0</v>
      </c>
      <c r="B70" s="36">
        <v>46234.0</v>
      </c>
      <c r="C70" s="39">
        <v>0.4166666666666667</v>
      </c>
      <c r="D70" s="9" t="str">
        <f>VLOOKUP( WEEKDAY(B70) ,Lookup!$A$2:$B$8,2,FALSE)</f>
        <v>Friday</v>
      </c>
      <c r="E70" s="28" t="s">
        <v>230</v>
      </c>
      <c r="F70" s="28" t="s">
        <v>231</v>
      </c>
      <c r="H70" s="48">
        <v>46234.0</v>
      </c>
      <c r="I70" s="39">
        <v>0.4791666666666667</v>
      </c>
      <c r="J70" s="48">
        <v>46234.0</v>
      </c>
      <c r="K70" s="39">
        <v>0.6458333333333334</v>
      </c>
    </row>
    <row r="71" ht="15.75" customHeight="1">
      <c r="A71" s="4">
        <v>71.0</v>
      </c>
      <c r="B71" s="36">
        <v>46234.0</v>
      </c>
      <c r="C71" s="39">
        <v>0.4166666666666667</v>
      </c>
      <c r="D71" s="9" t="str">
        <f>VLOOKUP( WEEKDAY(B71) ,Lookup!$A$2:$B$8,2,FALSE)</f>
        <v>Friday</v>
      </c>
      <c r="E71" s="28" t="s">
        <v>177</v>
      </c>
      <c r="F71" s="28" t="s">
        <v>232</v>
      </c>
      <c r="H71" s="48">
        <v>46234.0</v>
      </c>
      <c r="I71" s="39">
        <v>0.6666666666666666</v>
      </c>
      <c r="J71" s="48">
        <v>46234.0</v>
      </c>
      <c r="K71" s="39">
        <v>0.6701388888888888</v>
      </c>
    </row>
    <row r="72" ht="15.75" customHeight="1">
      <c r="A72" s="4">
        <v>72.0</v>
      </c>
      <c r="B72" s="36">
        <v>46234.0</v>
      </c>
      <c r="C72" s="39">
        <v>0.4166666666666667</v>
      </c>
      <c r="D72" s="9" t="str">
        <f>VLOOKUP( WEEKDAY(B72) ,Lookup!$A$2:$B$8,2,FALSE)</f>
        <v>Friday</v>
      </c>
      <c r="E72" s="28" t="s">
        <v>177</v>
      </c>
      <c r="F72" s="28" t="s">
        <v>235</v>
      </c>
      <c r="H72" s="48">
        <v>46234.0</v>
      </c>
      <c r="I72" s="39">
        <v>0.6701388888888888</v>
      </c>
      <c r="J72" s="48">
        <v>46234.0</v>
      </c>
      <c r="K72" s="39">
        <v>0.6736111111111112</v>
      </c>
    </row>
    <row r="73" ht="15.75" customHeight="1">
      <c r="A73" s="4">
        <v>73.0</v>
      </c>
      <c r="B73" s="36">
        <v>46234.0</v>
      </c>
      <c r="C73" s="39">
        <v>0.4166666666666667</v>
      </c>
      <c r="D73" s="9" t="str">
        <f>VLOOKUP( WEEKDAY(B73) ,Lookup!$A$2:$B$8,2,FALSE)</f>
        <v>Friday</v>
      </c>
      <c r="E73" s="28" t="s">
        <v>58</v>
      </c>
      <c r="F73" s="28" t="s">
        <v>236</v>
      </c>
      <c r="H73" s="48">
        <v>46234.0</v>
      </c>
      <c r="I73" s="39">
        <v>0.8402777777777778</v>
      </c>
      <c r="J73" s="48">
        <v>46234.0</v>
      </c>
      <c r="K73" s="39">
        <v>0.9166666666666666</v>
      </c>
    </row>
    <row r="74" ht="15.75" customHeight="1">
      <c r="A74" s="4">
        <v>74.0</v>
      </c>
      <c r="B74" s="36">
        <v>46234.0</v>
      </c>
      <c r="C74" s="39">
        <v>0.4166666666666667</v>
      </c>
      <c r="D74" s="9" t="str">
        <f>VLOOKUP( WEEKDAY(B74) ,Lookup!$A$2:$B$8,2,FALSE)</f>
        <v>Friday</v>
      </c>
      <c r="E74" s="28" t="s">
        <v>36</v>
      </c>
      <c r="F74" s="28" t="s">
        <v>237</v>
      </c>
    </row>
    <row r="75" ht="15.75" customHeight="1">
      <c r="A75" s="28">
        <v>75.0</v>
      </c>
      <c r="D75" s="9" t="str">
        <f>VLOOKUP( WEEKDAY(B75) ,Lookup!$A$2:$B$8,2,FALSE)</f>
        <v>Saturday</v>
      </c>
      <c r="F75" s="28" t="s">
        <v>238</v>
      </c>
    </row>
    <row r="76" ht="15.75" customHeight="1">
      <c r="A76" s="28">
        <v>76.0</v>
      </c>
      <c r="B76" s="36">
        <v>46237.0</v>
      </c>
      <c r="C76" s="39">
        <v>0.9583333333333334</v>
      </c>
      <c r="D76" s="9" t="str">
        <f>VLOOKUP( WEEKDAY(B76) ,Lookup!$A$2:$B$8,2,FALSE)</f>
        <v>Monday</v>
      </c>
      <c r="F76" s="28" t="s">
        <v>239</v>
      </c>
    </row>
    <row r="77" ht="15.75" customHeight="1">
      <c r="A77" s="28">
        <v>77.0</v>
      </c>
      <c r="B77" s="36">
        <v>46237.0</v>
      </c>
      <c r="C77" s="39">
        <v>0.9583333333333334</v>
      </c>
      <c r="D77" s="9" t="str">
        <f>VLOOKUP( WEEKDAY(B77) ,Lookup!$A$2:$B$8,2,FALSE)</f>
        <v>Monday</v>
      </c>
      <c r="F77" s="28" t="s">
        <v>240</v>
      </c>
    </row>
    <row r="78" ht="15.75" customHeight="1">
      <c r="A78" s="28">
        <v>78.0</v>
      </c>
      <c r="B78" s="36">
        <v>46237.0</v>
      </c>
      <c r="C78" s="39">
        <v>0.9583333333333334</v>
      </c>
      <c r="D78" s="9" t="str">
        <f>VLOOKUP( WEEKDAY(B78) ,Lookup!$A$2:$B$8,2,FALSE)</f>
        <v>Monday</v>
      </c>
      <c r="F78" s="28" t="s">
        <v>243</v>
      </c>
    </row>
    <row r="79" ht="15.75" customHeight="1">
      <c r="A79" s="28">
        <v>79.0</v>
      </c>
      <c r="B79" s="36">
        <v>46237.0</v>
      </c>
      <c r="C79" s="39">
        <v>0.9583333333333334</v>
      </c>
      <c r="D79" s="9" t="str">
        <f>VLOOKUP( WEEKDAY(B79) ,Lookup!$A$2:$B$8,2,FALSE)</f>
        <v>Monday</v>
      </c>
      <c r="F79" s="28" t="s">
        <v>244</v>
      </c>
    </row>
    <row r="80" ht="15.75" customHeight="1">
      <c r="A80" s="28">
        <v>80.0</v>
      </c>
      <c r="B80" s="36">
        <v>46237.0</v>
      </c>
      <c r="C80" s="39">
        <v>0.9583333333333334</v>
      </c>
      <c r="D80" s="9" t="str">
        <f>VLOOKUP( WEEKDAY(B80) ,Lookup!$A$2:$B$8,2,FALSE)</f>
        <v>Monday</v>
      </c>
      <c r="F80" s="28" t="s">
        <v>245</v>
      </c>
    </row>
    <row r="81" ht="15.75" customHeight="1">
      <c r="A81" s="28">
        <v>81.0</v>
      </c>
      <c r="B81" s="36">
        <v>46237.0</v>
      </c>
      <c r="C81" s="39">
        <v>0.9583333333333334</v>
      </c>
      <c r="D81" s="9" t="str">
        <f>VLOOKUP( WEEKDAY(B81) ,Lookup!$A$2:$B$8,2,FALSE)</f>
        <v>Monday</v>
      </c>
      <c r="F81" s="28" t="s">
        <v>246</v>
      </c>
    </row>
    <row r="82" ht="15.75" customHeight="1">
      <c r="A82" s="28">
        <v>82.0</v>
      </c>
      <c r="B82" s="36">
        <v>46237.0</v>
      </c>
      <c r="C82" s="39">
        <v>0.9583333333333334</v>
      </c>
      <c r="D82" s="9" t="str">
        <f>VLOOKUP( WEEKDAY(B82) ,Lookup!$A$2:$B$8,2,FALSE)</f>
        <v>Monday</v>
      </c>
      <c r="F82" s="28" t="s">
        <v>247</v>
      </c>
    </row>
    <row r="83" ht="15.75" customHeight="1">
      <c r="A83" s="56">
        <v>83.0</v>
      </c>
      <c r="B83" s="36">
        <v>46237.0</v>
      </c>
      <c r="C83" s="57">
        <v>0.7916666666666666</v>
      </c>
      <c r="D83" s="9" t="str">
        <f>VLOOKUP( WEEKDAY(B83) ,Lookup!$A$2:$B$8,2,FALSE)</f>
        <v>Monday</v>
      </c>
      <c r="E83" s="58"/>
      <c r="F83" s="56" t="s">
        <v>248</v>
      </c>
      <c r="G83" s="58"/>
      <c r="H83" s="58"/>
      <c r="I83" s="58"/>
      <c r="J83" s="58"/>
      <c r="K83" s="58"/>
      <c r="L83" s="58"/>
      <c r="M83" s="58"/>
      <c r="N83" s="58"/>
      <c r="O83" s="58"/>
      <c r="P83" s="58"/>
      <c r="Q83" s="58"/>
      <c r="R83" s="58"/>
      <c r="S83" s="58"/>
      <c r="T83" s="58"/>
      <c r="U83" s="58"/>
      <c r="V83" s="58"/>
      <c r="W83" s="58"/>
      <c r="X83" s="58"/>
      <c r="Y83" s="58"/>
      <c r="Z83" s="58"/>
      <c r="AA83" s="58"/>
      <c r="AB83" s="58"/>
    </row>
    <row r="84" ht="15.75" customHeight="1">
      <c r="A84" s="56">
        <v>84.0</v>
      </c>
      <c r="B84" s="59">
        <v>46238.0</v>
      </c>
      <c r="C84" s="57">
        <v>0.9583333333333334</v>
      </c>
      <c r="D84" s="9" t="str">
        <f>VLOOKUP( WEEKDAY(B84) ,Lookup!$A$2:$B$8,2,FALSE)</f>
        <v>Tuesday</v>
      </c>
      <c r="E84" s="58"/>
      <c r="F84" s="56" t="s">
        <v>250</v>
      </c>
      <c r="G84" s="58"/>
      <c r="H84" s="58"/>
      <c r="I84" s="58"/>
      <c r="J84" s="58"/>
      <c r="K84" s="58"/>
      <c r="L84" s="58"/>
      <c r="M84" s="58"/>
      <c r="N84" s="58"/>
      <c r="O84" s="58"/>
      <c r="P84" s="58"/>
      <c r="Q84" s="58"/>
      <c r="R84" s="58"/>
      <c r="S84" s="58"/>
      <c r="T84" s="58"/>
      <c r="U84" s="58"/>
      <c r="V84" s="58"/>
      <c r="W84" s="58"/>
      <c r="X84" s="58"/>
      <c r="Y84" s="58"/>
      <c r="Z84" s="58"/>
      <c r="AA84" s="58"/>
      <c r="AB84" s="58"/>
    </row>
    <row r="85" ht="15.75" customHeight="1">
      <c r="A85" s="56">
        <v>85.0</v>
      </c>
      <c r="B85" s="59">
        <v>46238.0</v>
      </c>
      <c r="C85" s="57">
        <v>0.9583333333333334</v>
      </c>
      <c r="D85" s="9" t="str">
        <f>VLOOKUP( WEEKDAY(B85) ,Lookup!$A$2:$B$8,2,FALSE)</f>
        <v>Tuesday</v>
      </c>
      <c r="E85" s="58"/>
      <c r="F85" s="56" t="s">
        <v>251</v>
      </c>
      <c r="G85" s="58"/>
      <c r="H85" s="58"/>
      <c r="I85" s="58"/>
      <c r="J85" s="58"/>
      <c r="K85" s="58"/>
      <c r="L85" s="58"/>
      <c r="M85" s="58"/>
      <c r="N85" s="58"/>
      <c r="O85" s="58"/>
      <c r="P85" s="58"/>
      <c r="Q85" s="58"/>
      <c r="R85" s="58"/>
      <c r="S85" s="58"/>
      <c r="T85" s="58"/>
      <c r="U85" s="58"/>
      <c r="V85" s="58"/>
      <c r="W85" s="58"/>
      <c r="X85" s="58"/>
      <c r="Y85" s="58"/>
      <c r="Z85" s="58"/>
      <c r="AA85" s="58"/>
      <c r="AB85" s="58"/>
    </row>
    <row r="86" ht="15.75" customHeight="1">
      <c r="A86" s="56">
        <v>86.0</v>
      </c>
      <c r="B86" s="59">
        <v>46238.0</v>
      </c>
      <c r="C86" s="57">
        <v>0.9583333333333334</v>
      </c>
      <c r="D86" s="9" t="str">
        <f>VLOOKUP( WEEKDAY(B86) ,Lookup!$A$2:$B$8,2,FALSE)</f>
        <v>Tuesday</v>
      </c>
      <c r="E86" s="58"/>
      <c r="F86" s="56" t="s">
        <v>252</v>
      </c>
      <c r="G86" s="58"/>
      <c r="H86" s="58"/>
      <c r="I86" s="58"/>
      <c r="J86" s="58"/>
      <c r="K86" s="58"/>
      <c r="L86" s="58"/>
      <c r="M86" s="58"/>
      <c r="N86" s="58"/>
      <c r="O86" s="58"/>
      <c r="P86" s="58"/>
      <c r="Q86" s="58"/>
      <c r="R86" s="58"/>
      <c r="S86" s="58"/>
      <c r="T86" s="58"/>
      <c r="U86" s="58"/>
      <c r="V86" s="58"/>
      <c r="W86" s="58"/>
      <c r="X86" s="58"/>
      <c r="Y86" s="58"/>
      <c r="Z86" s="58"/>
      <c r="AA86" s="58"/>
      <c r="AB86" s="58"/>
    </row>
    <row r="87" ht="15.75" customHeight="1">
      <c r="A87" s="56">
        <v>87.0</v>
      </c>
      <c r="B87" s="59">
        <v>46238.0</v>
      </c>
      <c r="C87" s="57">
        <v>0.9583333333333334</v>
      </c>
      <c r="D87" s="9" t="str">
        <f>VLOOKUP( WEEKDAY(B87) ,Lookup!$A$2:$B$8,2,FALSE)</f>
        <v>Tuesday</v>
      </c>
      <c r="E87" s="58"/>
      <c r="F87" s="56" t="s">
        <v>253</v>
      </c>
      <c r="G87" s="58"/>
      <c r="H87" s="58"/>
      <c r="I87" s="58"/>
      <c r="J87" s="58"/>
      <c r="K87" s="58"/>
      <c r="L87" s="58"/>
      <c r="M87" s="58"/>
      <c r="N87" s="58"/>
      <c r="O87" s="58"/>
      <c r="P87" s="58"/>
      <c r="Q87" s="58"/>
      <c r="R87" s="58"/>
      <c r="S87" s="58"/>
      <c r="T87" s="58"/>
      <c r="U87" s="58"/>
      <c r="V87" s="58"/>
      <c r="W87" s="58"/>
      <c r="X87" s="58"/>
      <c r="Y87" s="58"/>
      <c r="Z87" s="58"/>
      <c r="AA87" s="58"/>
      <c r="AB87" s="58"/>
    </row>
    <row r="88" ht="15.75" customHeight="1">
      <c r="A88" s="56">
        <v>88.0</v>
      </c>
      <c r="B88" s="58"/>
      <c r="C88" s="58"/>
      <c r="D88" s="60"/>
      <c r="E88" s="58"/>
      <c r="F88" s="58"/>
      <c r="G88" s="58"/>
      <c r="H88" s="58"/>
      <c r="I88" s="58"/>
      <c r="J88" s="58"/>
      <c r="K88" s="58"/>
      <c r="L88" s="58"/>
      <c r="M88" s="58"/>
      <c r="N88" s="58"/>
      <c r="O88" s="58"/>
      <c r="P88" s="58"/>
      <c r="Q88" s="58"/>
      <c r="R88" s="58"/>
      <c r="S88" s="58"/>
      <c r="T88" s="58"/>
      <c r="U88" s="58"/>
      <c r="V88" s="58"/>
      <c r="W88" s="58"/>
      <c r="X88" s="58"/>
      <c r="Y88" s="58"/>
      <c r="Z88" s="58"/>
      <c r="AA88" s="58"/>
      <c r="AB88" s="58"/>
    </row>
    <row r="89" ht="15.75" customHeight="1">
      <c r="A89" s="58"/>
      <c r="B89" s="58"/>
      <c r="C89" s="58"/>
      <c r="D89" s="60"/>
      <c r="E89" s="58"/>
      <c r="F89" s="58"/>
      <c r="G89" s="58"/>
      <c r="H89" s="58"/>
      <c r="I89" s="58"/>
      <c r="J89" s="58"/>
      <c r="K89" s="58"/>
      <c r="L89" s="58"/>
      <c r="M89" s="58"/>
      <c r="N89" s="58"/>
      <c r="O89" s="58"/>
      <c r="P89" s="58"/>
      <c r="Q89" s="58"/>
      <c r="R89" s="58"/>
      <c r="S89" s="58"/>
      <c r="T89" s="58"/>
      <c r="U89" s="58"/>
      <c r="V89" s="58"/>
      <c r="W89" s="58"/>
      <c r="X89" s="58"/>
      <c r="Y89" s="58"/>
      <c r="Z89" s="58"/>
      <c r="AA89" s="58"/>
      <c r="AB89" s="58"/>
    </row>
    <row r="90" ht="15.75" customHeight="1">
      <c r="A90" s="58"/>
      <c r="B90" s="58"/>
      <c r="C90" s="58"/>
      <c r="D90" s="60"/>
      <c r="E90" s="58"/>
      <c r="F90" s="58"/>
      <c r="G90" s="58"/>
      <c r="H90" s="58"/>
      <c r="I90" s="58"/>
      <c r="J90" s="58"/>
      <c r="K90" s="58"/>
      <c r="L90" s="58"/>
      <c r="M90" s="58"/>
      <c r="N90" s="58"/>
      <c r="O90" s="58"/>
      <c r="P90" s="58"/>
      <c r="Q90" s="58"/>
      <c r="R90" s="58"/>
      <c r="S90" s="58"/>
      <c r="T90" s="58"/>
      <c r="U90" s="58"/>
      <c r="V90" s="58"/>
      <c r="W90" s="58"/>
      <c r="X90" s="58"/>
      <c r="Y90" s="58"/>
      <c r="Z90" s="58"/>
      <c r="AA90" s="58"/>
      <c r="AB90" s="58"/>
    </row>
    <row r="91" ht="15.75" customHeight="1">
      <c r="A91" s="58"/>
      <c r="B91" s="58"/>
      <c r="C91" s="58"/>
      <c r="D91" s="60"/>
      <c r="E91" s="58"/>
      <c r="F91" s="58"/>
      <c r="G91" s="58"/>
      <c r="H91" s="58"/>
      <c r="I91" s="58"/>
      <c r="J91" s="58"/>
      <c r="K91" s="58"/>
      <c r="L91" s="58"/>
      <c r="M91" s="58"/>
      <c r="N91" s="58"/>
      <c r="O91" s="58"/>
      <c r="P91" s="58"/>
      <c r="Q91" s="58"/>
      <c r="R91" s="58"/>
      <c r="S91" s="58"/>
      <c r="T91" s="58"/>
      <c r="U91" s="58"/>
      <c r="V91" s="58"/>
      <c r="W91" s="58"/>
      <c r="X91" s="58"/>
      <c r="Y91" s="58"/>
      <c r="Z91" s="58"/>
      <c r="AA91" s="58"/>
      <c r="AB91" s="58"/>
    </row>
    <row r="92" ht="15.75" customHeight="1">
      <c r="A92" s="58"/>
      <c r="B92" s="58"/>
      <c r="C92" s="58"/>
      <c r="D92" s="60"/>
      <c r="E92" s="58"/>
      <c r="F92" s="58"/>
      <c r="G92" s="58"/>
      <c r="H92" s="58"/>
      <c r="I92" s="58"/>
      <c r="J92" s="58"/>
      <c r="K92" s="58"/>
      <c r="L92" s="58"/>
      <c r="M92" s="58"/>
      <c r="N92" s="58"/>
      <c r="O92" s="58"/>
      <c r="P92" s="58"/>
      <c r="Q92" s="58"/>
      <c r="R92" s="58"/>
      <c r="S92" s="58"/>
      <c r="T92" s="58"/>
      <c r="U92" s="58"/>
      <c r="V92" s="58"/>
      <c r="W92" s="58"/>
      <c r="X92" s="58"/>
      <c r="Y92" s="58"/>
      <c r="Z92" s="58"/>
      <c r="AA92" s="58"/>
      <c r="AB92" s="58"/>
    </row>
    <row r="93" ht="15.75" customHeight="1">
      <c r="A93" s="58"/>
      <c r="B93" s="58"/>
      <c r="C93" s="58"/>
      <c r="D93" s="60"/>
      <c r="E93" s="58"/>
      <c r="F93" s="58"/>
      <c r="G93" s="58"/>
      <c r="H93" s="58"/>
      <c r="I93" s="58"/>
      <c r="J93" s="58"/>
      <c r="K93" s="58"/>
      <c r="L93" s="58"/>
      <c r="M93" s="58"/>
      <c r="N93" s="58"/>
      <c r="O93" s="58"/>
      <c r="P93" s="58"/>
      <c r="Q93" s="58"/>
      <c r="R93" s="58"/>
      <c r="S93" s="58"/>
      <c r="T93" s="58"/>
      <c r="U93" s="58"/>
      <c r="V93" s="58"/>
      <c r="W93" s="58"/>
      <c r="X93" s="58"/>
      <c r="Y93" s="58"/>
      <c r="Z93" s="58"/>
      <c r="AA93" s="58"/>
      <c r="AB93" s="58"/>
    </row>
    <row r="94" ht="15.75" customHeight="1">
      <c r="A94" s="58"/>
      <c r="B94" s="58"/>
      <c r="C94" s="58"/>
      <c r="D94" s="60"/>
      <c r="E94" s="58"/>
      <c r="F94" s="58"/>
      <c r="G94" s="58"/>
      <c r="H94" s="58"/>
      <c r="I94" s="58"/>
      <c r="J94" s="58"/>
      <c r="K94" s="58"/>
      <c r="L94" s="58"/>
      <c r="M94" s="58"/>
      <c r="N94" s="58"/>
      <c r="O94" s="58"/>
      <c r="P94" s="58"/>
      <c r="Q94" s="58"/>
      <c r="R94" s="58"/>
      <c r="S94" s="58"/>
      <c r="T94" s="58"/>
      <c r="U94" s="58"/>
      <c r="V94" s="58"/>
      <c r="W94" s="58"/>
      <c r="X94" s="58"/>
      <c r="Y94" s="58"/>
      <c r="Z94" s="58"/>
      <c r="AA94" s="58"/>
      <c r="AB94" s="58"/>
    </row>
    <row r="95" ht="15.75" customHeight="1">
      <c r="A95" s="58"/>
      <c r="B95" s="58"/>
      <c r="C95" s="58"/>
      <c r="D95" s="60"/>
      <c r="E95" s="58"/>
      <c r="F95" s="58"/>
      <c r="G95" s="58"/>
      <c r="H95" s="58"/>
      <c r="I95" s="58"/>
      <c r="J95" s="58"/>
      <c r="K95" s="58"/>
      <c r="L95" s="58"/>
      <c r="M95" s="58"/>
      <c r="N95" s="58"/>
      <c r="O95" s="58"/>
      <c r="P95" s="58"/>
      <c r="Q95" s="58"/>
      <c r="R95" s="58"/>
      <c r="S95" s="58"/>
      <c r="T95" s="58"/>
      <c r="U95" s="58"/>
      <c r="V95" s="58"/>
      <c r="W95" s="58"/>
      <c r="X95" s="58"/>
      <c r="Y95" s="58"/>
      <c r="Z95" s="58"/>
      <c r="AA95" s="58"/>
      <c r="AB95" s="58"/>
    </row>
    <row r="96" ht="15.75" customHeight="1">
      <c r="A96" s="58"/>
      <c r="B96" s="58"/>
      <c r="C96" s="58"/>
      <c r="D96" s="60"/>
      <c r="E96" s="58"/>
      <c r="F96" s="58"/>
      <c r="G96" s="58"/>
      <c r="H96" s="58"/>
      <c r="I96" s="58"/>
      <c r="J96" s="58"/>
      <c r="K96" s="58"/>
      <c r="L96" s="58"/>
      <c r="M96" s="58"/>
      <c r="N96" s="58"/>
      <c r="O96" s="58"/>
      <c r="P96" s="58"/>
      <c r="Q96" s="58"/>
      <c r="R96" s="58"/>
      <c r="S96" s="58"/>
      <c r="T96" s="58"/>
      <c r="U96" s="58"/>
      <c r="V96" s="58"/>
      <c r="W96" s="58"/>
      <c r="X96" s="58"/>
      <c r="Y96" s="58"/>
      <c r="Z96" s="58"/>
      <c r="AA96" s="58"/>
      <c r="AB96" s="58"/>
    </row>
    <row r="97" ht="15.75" customHeight="1">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row>
    <row r="98" ht="15.75" customHeight="1">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row>
    <row r="99" ht="15.75" customHeight="1">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row>
    <row r="100" ht="15.75" customHeight="1">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row>
    <row r="101" ht="15.75" customHeight="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row>
    <row r="102" ht="15.75" customHeight="1">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row>
    <row r="103" ht="15.75" customHeight="1">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row>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10"/>
    <hyperlink r:id="rId2" ref="M21"/>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3.38"/>
    <col customWidth="1" min="3" max="4" width="20.0"/>
    <col customWidth="1" min="5" max="5" width="21.38"/>
    <col customWidth="1" min="6" max="8" width="17.38"/>
  </cols>
  <sheetData>
    <row r="1" ht="15.75" customHeight="1">
      <c r="A1" s="10" t="s">
        <v>2</v>
      </c>
      <c r="B1" s="10" t="s">
        <v>46</v>
      </c>
      <c r="C1" s="16" t="s">
        <v>47</v>
      </c>
      <c r="D1" s="10" t="s">
        <v>48</v>
      </c>
      <c r="E1" s="10" t="s">
        <v>49</v>
      </c>
      <c r="F1" s="10" t="s">
        <v>51</v>
      </c>
      <c r="G1" s="10" t="s">
        <v>52</v>
      </c>
      <c r="H1" s="10" t="s">
        <v>53</v>
      </c>
    </row>
    <row r="2" ht="15.75" customHeight="1">
      <c r="A2" s="19">
        <v>46224.0</v>
      </c>
      <c r="B2" s="10" t="s">
        <v>56</v>
      </c>
      <c r="C2" s="20">
        <v>0.40694444444444444</v>
      </c>
      <c r="D2" s="20">
        <v>0.42083333333333334</v>
      </c>
      <c r="E2" s="20">
        <v>0.8069444444444445</v>
      </c>
      <c r="F2" s="20">
        <v>0.8333333333333334</v>
      </c>
      <c r="G2" s="20">
        <v>0.8645833333333334</v>
      </c>
      <c r="H2" s="20">
        <v>0.96875</v>
      </c>
      <c r="I2" s="21"/>
      <c r="J2" s="21"/>
      <c r="K2" s="21"/>
      <c r="L2" s="21"/>
      <c r="M2" s="21"/>
      <c r="N2" s="21"/>
      <c r="O2" s="21"/>
      <c r="P2" s="21"/>
      <c r="Q2" s="21"/>
      <c r="R2" s="21"/>
    </row>
    <row r="3" ht="15.75" customHeight="1">
      <c r="A3" s="22">
        <v>46225.0</v>
      </c>
      <c r="B3" s="10" t="s">
        <v>56</v>
      </c>
      <c r="C3" s="20">
        <v>0.40625</v>
      </c>
      <c r="D3" s="20">
        <v>0.4263888888888889</v>
      </c>
      <c r="E3" s="20">
        <v>0.8159722222222222</v>
      </c>
      <c r="F3" s="20">
        <v>0.8298611111111112</v>
      </c>
      <c r="G3" s="20">
        <v>0.8645833333333334</v>
      </c>
      <c r="H3" s="20">
        <v>0.9652777777777778</v>
      </c>
      <c r="I3" s="21"/>
      <c r="J3" s="21"/>
      <c r="K3" s="21"/>
      <c r="L3" s="21"/>
      <c r="M3" s="21"/>
      <c r="N3" s="21"/>
      <c r="O3" s="21"/>
      <c r="P3" s="21"/>
      <c r="Q3" s="21"/>
      <c r="R3" s="21"/>
    </row>
    <row r="4" ht="15.75" customHeight="1">
      <c r="A4" s="22">
        <v>46226.0</v>
      </c>
      <c r="B4" s="10" t="s">
        <v>56</v>
      </c>
      <c r="C4" s="25" t="s">
        <v>60</v>
      </c>
      <c r="D4" s="25" t="s">
        <v>60</v>
      </c>
      <c r="E4" s="25" t="s">
        <v>62</v>
      </c>
      <c r="F4" s="25" t="s">
        <v>63</v>
      </c>
      <c r="G4" s="20">
        <v>0.3854166666666667</v>
      </c>
      <c r="H4" s="26">
        <v>0.9513888888888888</v>
      </c>
      <c r="I4" s="21"/>
      <c r="J4" s="21"/>
      <c r="K4" s="21"/>
      <c r="L4" s="21"/>
      <c r="M4" s="21"/>
      <c r="N4" s="21"/>
      <c r="O4" s="21"/>
      <c r="P4" s="21"/>
      <c r="Q4" s="21"/>
      <c r="R4" s="21"/>
    </row>
    <row r="5" ht="15.75" customHeight="1">
      <c r="A5" s="27">
        <v>46227.0</v>
      </c>
      <c r="B5" s="28" t="s">
        <v>56</v>
      </c>
      <c r="C5" s="26">
        <v>0.3958333333333333</v>
      </c>
      <c r="D5" s="26">
        <v>0.4722222222222222</v>
      </c>
      <c r="E5" s="26">
        <v>0.825</v>
      </c>
      <c r="F5" s="26">
        <v>0.84375</v>
      </c>
      <c r="G5" s="26">
        <v>0.9166666666666666</v>
      </c>
      <c r="H5" s="26">
        <v>0.9375</v>
      </c>
      <c r="I5" s="21"/>
      <c r="J5" s="21"/>
      <c r="K5" s="21"/>
      <c r="L5" s="21"/>
      <c r="M5" s="21"/>
      <c r="N5" s="21"/>
      <c r="O5" s="21"/>
      <c r="P5" s="21"/>
      <c r="Q5" s="21"/>
      <c r="R5" s="21"/>
    </row>
    <row r="6" ht="15.75" customHeight="1">
      <c r="A6" s="27">
        <v>46228.0</v>
      </c>
      <c r="B6" s="28" t="s">
        <v>56</v>
      </c>
      <c r="C6" s="26">
        <v>0.3819444444444444</v>
      </c>
      <c r="D6" s="26">
        <v>0.4027777777777778</v>
      </c>
      <c r="E6" s="30">
        <v>0.7083333333333334</v>
      </c>
      <c r="F6" s="26">
        <v>0.7361111111111112</v>
      </c>
      <c r="G6" s="26">
        <v>0.75</v>
      </c>
      <c r="H6" s="26">
        <v>0.8888888888888888</v>
      </c>
      <c r="I6" s="21"/>
      <c r="J6" s="21"/>
      <c r="K6" s="21"/>
      <c r="L6" s="21"/>
      <c r="M6" s="21"/>
      <c r="N6" s="21"/>
      <c r="O6" s="21"/>
      <c r="P6" s="21"/>
      <c r="Q6" s="21"/>
      <c r="R6" s="21"/>
    </row>
    <row r="7" ht="15.75" customHeight="1">
      <c r="A7" s="27">
        <v>46229.0</v>
      </c>
      <c r="B7" s="28" t="s">
        <v>56</v>
      </c>
      <c r="C7" s="25" t="s">
        <v>60</v>
      </c>
      <c r="D7" s="25" t="s">
        <v>60</v>
      </c>
      <c r="E7" s="25" t="s">
        <v>60</v>
      </c>
      <c r="F7" s="25" t="s">
        <v>60</v>
      </c>
      <c r="G7" s="26">
        <v>0.3958333333333333</v>
      </c>
      <c r="H7" s="26">
        <v>0.0</v>
      </c>
      <c r="I7" s="21"/>
      <c r="J7" s="21"/>
      <c r="K7" s="21"/>
      <c r="L7" s="21"/>
      <c r="M7" s="21"/>
      <c r="N7" s="21"/>
      <c r="O7" s="21"/>
      <c r="P7" s="21"/>
      <c r="Q7" s="21"/>
      <c r="R7" s="21"/>
    </row>
    <row r="8" ht="15.75" customHeight="1">
      <c r="A8" s="27">
        <v>46229.0</v>
      </c>
      <c r="B8" s="28" t="s">
        <v>56</v>
      </c>
      <c r="C8" s="25" t="s">
        <v>60</v>
      </c>
      <c r="D8" s="25" t="s">
        <v>60</v>
      </c>
      <c r="E8" s="25" t="s">
        <v>60</v>
      </c>
      <c r="F8" s="25" t="s">
        <v>60</v>
      </c>
      <c r="G8" s="26">
        <v>0.5729166666666666</v>
      </c>
      <c r="H8" s="26">
        <v>0.625</v>
      </c>
      <c r="I8" s="21"/>
      <c r="J8" s="21"/>
      <c r="K8" s="21"/>
      <c r="L8" s="21"/>
      <c r="M8" s="21"/>
      <c r="N8" s="21"/>
      <c r="O8" s="21"/>
      <c r="P8" s="21"/>
      <c r="Q8" s="21"/>
      <c r="R8" s="21"/>
    </row>
    <row r="9" ht="15.75" customHeight="1">
      <c r="A9" s="27">
        <v>46229.0</v>
      </c>
      <c r="B9" s="28" t="s">
        <v>56</v>
      </c>
      <c r="C9" s="25" t="s">
        <v>60</v>
      </c>
      <c r="D9" s="25" t="s">
        <v>60</v>
      </c>
      <c r="E9" s="25" t="s">
        <v>60</v>
      </c>
      <c r="F9" s="25" t="s">
        <v>60</v>
      </c>
      <c r="G9" s="26">
        <v>0.75</v>
      </c>
      <c r="H9" s="26">
        <v>0.8958333333333334</v>
      </c>
      <c r="I9" s="21"/>
      <c r="J9" s="21"/>
      <c r="K9" s="21"/>
      <c r="L9" s="21"/>
      <c r="M9" s="21"/>
      <c r="N9" s="21"/>
      <c r="O9" s="21"/>
      <c r="P9" s="21"/>
      <c r="Q9" s="21"/>
      <c r="R9" s="21"/>
    </row>
    <row r="10" ht="15.75" customHeight="1">
      <c r="A10" s="27">
        <v>46229.0</v>
      </c>
      <c r="B10" s="28" t="s">
        <v>56</v>
      </c>
      <c r="C10" s="25" t="s">
        <v>60</v>
      </c>
      <c r="D10" s="25" t="s">
        <v>60</v>
      </c>
      <c r="E10" s="25" t="s">
        <v>60</v>
      </c>
      <c r="F10" s="25" t="s">
        <v>60</v>
      </c>
      <c r="G10" s="26">
        <v>0.9479166666666666</v>
      </c>
      <c r="H10" s="26">
        <v>0.59375</v>
      </c>
      <c r="I10" s="21"/>
      <c r="J10" s="21"/>
      <c r="K10" s="21"/>
      <c r="L10" s="21"/>
      <c r="M10" s="21"/>
      <c r="N10" s="21"/>
      <c r="O10" s="21"/>
      <c r="P10" s="21"/>
      <c r="Q10" s="21"/>
      <c r="R10" s="21"/>
    </row>
    <row r="11" ht="15.75" customHeight="1">
      <c r="A11" s="27">
        <v>46230.0</v>
      </c>
      <c r="B11" s="28" t="s">
        <v>56</v>
      </c>
      <c r="C11" s="26">
        <v>0.9201388888888888</v>
      </c>
      <c r="D11" s="26">
        <v>0.9347222222222222</v>
      </c>
      <c r="E11" s="26">
        <v>0.7298611111111111</v>
      </c>
      <c r="F11" s="26">
        <v>0.7347222222222223</v>
      </c>
      <c r="G11" s="26">
        <v>0.7569444444444444</v>
      </c>
      <c r="H11" s="26">
        <v>0.925</v>
      </c>
      <c r="I11" s="21"/>
      <c r="J11" s="21"/>
      <c r="K11" s="21"/>
      <c r="L11" s="21"/>
      <c r="M11" s="21"/>
      <c r="N11" s="21"/>
      <c r="O11" s="21"/>
      <c r="P11" s="21"/>
      <c r="Q11" s="21"/>
      <c r="R11" s="21"/>
    </row>
    <row r="12" ht="15.75" customHeight="1">
      <c r="A12" s="27">
        <v>46231.0</v>
      </c>
      <c r="B12" s="28" t="s">
        <v>56</v>
      </c>
      <c r="C12" s="35" t="s">
        <v>82</v>
      </c>
      <c r="D12" s="35" t="s">
        <v>83</v>
      </c>
      <c r="E12" s="35" t="s">
        <v>84</v>
      </c>
      <c r="F12" s="35" t="s">
        <v>85</v>
      </c>
      <c r="G12" s="26">
        <v>0.7083333333333334</v>
      </c>
      <c r="H12" s="26">
        <v>0.013888888888888888</v>
      </c>
      <c r="I12" s="21"/>
      <c r="J12" s="21"/>
      <c r="K12" s="21"/>
      <c r="L12" s="21"/>
      <c r="M12" s="21"/>
      <c r="N12" s="21"/>
      <c r="O12" s="21"/>
      <c r="P12" s="21"/>
      <c r="Q12" s="21"/>
      <c r="R12" s="21"/>
    </row>
    <row r="13" ht="15.75" customHeight="1">
      <c r="A13" s="36">
        <v>46232.0</v>
      </c>
      <c r="B13" s="28" t="s">
        <v>56</v>
      </c>
      <c r="C13" s="26">
        <v>0.40625</v>
      </c>
      <c r="D13" s="26">
        <v>0.41944444444444445</v>
      </c>
      <c r="E13" s="26">
        <v>0.8333333333333334</v>
      </c>
      <c r="F13" s="26">
        <v>0.8645833333333334</v>
      </c>
      <c r="G13" s="26">
        <v>0.8888888888888888</v>
      </c>
      <c r="H13" s="26">
        <v>0.9930555555555556</v>
      </c>
      <c r="I13" s="21"/>
      <c r="J13" s="21"/>
      <c r="K13" s="21"/>
      <c r="L13" s="21"/>
      <c r="M13" s="21"/>
      <c r="N13" s="21"/>
      <c r="O13" s="21"/>
      <c r="P13" s="21"/>
      <c r="Q13" s="21"/>
      <c r="R13" s="21"/>
    </row>
    <row r="14" ht="15.75" customHeight="1">
      <c r="A14" s="36">
        <v>46233.0</v>
      </c>
      <c r="B14" s="28" t="s">
        <v>56</v>
      </c>
      <c r="C14" s="26">
        <v>0.39444444444444443</v>
      </c>
      <c r="D14" s="26">
        <v>0.4895833333333333</v>
      </c>
      <c r="E14" s="26">
        <v>0.8055555555555556</v>
      </c>
      <c r="F14" s="26">
        <v>0.8194444444444444</v>
      </c>
      <c r="G14" s="21"/>
      <c r="H14" s="21"/>
      <c r="I14" s="21"/>
      <c r="J14" s="21"/>
      <c r="K14" s="21"/>
      <c r="L14" s="21"/>
      <c r="M14" s="21"/>
      <c r="N14" s="21"/>
      <c r="O14" s="21"/>
      <c r="P14" s="21"/>
      <c r="Q14" s="21"/>
      <c r="R14" s="21"/>
    </row>
    <row r="15" ht="15.75" customHeight="1">
      <c r="A15" s="36">
        <v>46234.0</v>
      </c>
      <c r="B15" s="28" t="s">
        <v>56</v>
      </c>
      <c r="C15" s="26">
        <v>0.3923611111111111</v>
      </c>
      <c r="D15" s="26">
        <v>0.4097222222222222</v>
      </c>
      <c r="E15" s="30">
        <v>0.7743055555555556</v>
      </c>
      <c r="F15" s="26">
        <v>0.7916666666666666</v>
      </c>
      <c r="G15" s="26">
        <v>0.7916666666666666</v>
      </c>
      <c r="H15" s="26">
        <v>0.8958333333333334</v>
      </c>
      <c r="I15" s="21"/>
      <c r="J15" s="21"/>
      <c r="K15" s="21"/>
      <c r="L15" s="21"/>
      <c r="M15" s="21"/>
      <c r="N15" s="21"/>
      <c r="O15" s="21"/>
      <c r="P15" s="21"/>
      <c r="Q15" s="21"/>
      <c r="R15" s="21"/>
    </row>
    <row r="16" ht="15.75" customHeight="1">
      <c r="A16" s="36">
        <v>46235.0</v>
      </c>
      <c r="B16" s="28" t="s">
        <v>56</v>
      </c>
      <c r="C16" s="35" t="s">
        <v>95</v>
      </c>
      <c r="D16" s="21"/>
      <c r="E16" s="21"/>
      <c r="F16" s="35" t="s">
        <v>96</v>
      </c>
      <c r="G16" s="26">
        <v>0.7916666666666666</v>
      </c>
      <c r="H16" s="26">
        <v>0.9027777777777778</v>
      </c>
      <c r="I16" s="21"/>
      <c r="J16" s="21"/>
      <c r="K16" s="21"/>
      <c r="L16" s="21"/>
      <c r="M16" s="21"/>
      <c r="N16" s="21"/>
      <c r="O16" s="21"/>
      <c r="P16" s="21"/>
      <c r="Q16" s="21"/>
      <c r="R16" s="21"/>
    </row>
    <row r="17" ht="15.75" customHeight="1">
      <c r="A17" s="36">
        <v>46236.0</v>
      </c>
      <c r="B17" s="28" t="s">
        <v>56</v>
      </c>
      <c r="G17" s="39">
        <v>0.4513888888888889</v>
      </c>
      <c r="H17" s="39">
        <v>0.9097222222222222</v>
      </c>
      <c r="I17" s="21"/>
      <c r="J17" s="21"/>
      <c r="K17" s="21"/>
      <c r="L17" s="21"/>
      <c r="M17" s="21"/>
      <c r="N17" s="21"/>
      <c r="O17" s="21"/>
      <c r="P17" s="21"/>
      <c r="Q17" s="21"/>
      <c r="R17" s="21"/>
    </row>
    <row r="18" ht="15.75" customHeight="1">
      <c r="A18" s="36">
        <v>46237.0</v>
      </c>
      <c r="B18" s="28" t="s">
        <v>56</v>
      </c>
      <c r="C18" s="26">
        <v>0.4270833333333333</v>
      </c>
      <c r="D18" s="30">
        <v>0.4444444444444444</v>
      </c>
      <c r="E18" s="26">
        <v>0.7708333333333334</v>
      </c>
      <c r="F18" s="26">
        <v>0.7916666666666666</v>
      </c>
      <c r="G18" s="26">
        <v>0.7916666666666666</v>
      </c>
      <c r="H18" s="26">
        <v>0.9583333333333334</v>
      </c>
      <c r="I18" s="21"/>
      <c r="J18" s="21"/>
      <c r="K18" s="21"/>
      <c r="L18" s="21"/>
      <c r="M18" s="21"/>
      <c r="N18" s="21"/>
      <c r="O18" s="21"/>
      <c r="P18" s="21"/>
      <c r="Q18" s="21"/>
      <c r="R18" s="21"/>
    </row>
    <row r="19" ht="15.75" customHeight="1">
      <c r="A19" s="41">
        <v>46238.0</v>
      </c>
      <c r="B19" s="28" t="s">
        <v>56</v>
      </c>
      <c r="C19" s="26">
        <v>0.3888888888888889</v>
      </c>
      <c r="D19" s="26">
        <v>0.4131944444444444</v>
      </c>
      <c r="E19" s="26">
        <v>0.75</v>
      </c>
      <c r="F19" s="26">
        <v>0.7847222222222222</v>
      </c>
      <c r="G19" s="26">
        <v>0.9270833333333334</v>
      </c>
      <c r="H19" s="26">
        <v>0.9583333333333334</v>
      </c>
      <c r="I19" s="21"/>
      <c r="J19" s="21"/>
      <c r="K19" s="21"/>
      <c r="L19" s="21"/>
      <c r="M19" s="21"/>
      <c r="N19" s="21"/>
      <c r="O19" s="21"/>
      <c r="P19" s="21"/>
      <c r="Q19" s="21"/>
      <c r="R19" s="21"/>
    </row>
    <row r="20" ht="15.75" customHeight="1">
      <c r="A20" s="36">
        <v>46239.0</v>
      </c>
      <c r="B20" s="28" t="s">
        <v>56</v>
      </c>
      <c r="C20" s="26">
        <v>0.3541666666666667</v>
      </c>
      <c r="D20" s="26">
        <v>0.3715277777777778</v>
      </c>
      <c r="E20" s="21"/>
      <c r="F20" s="21"/>
      <c r="G20" s="21"/>
      <c r="H20" s="21"/>
      <c r="I20" s="21"/>
      <c r="J20" s="21"/>
      <c r="K20" s="21"/>
      <c r="L20" s="21"/>
      <c r="M20" s="21"/>
      <c r="N20" s="21"/>
      <c r="O20" s="21"/>
      <c r="P20" s="21"/>
      <c r="Q20" s="21"/>
      <c r="R20" s="21"/>
    </row>
    <row r="21" ht="15.75" customHeight="1">
      <c r="C21" s="21"/>
      <c r="D21" s="21"/>
      <c r="E21" s="21"/>
      <c r="F21" s="21"/>
      <c r="G21" s="21"/>
      <c r="H21" s="21"/>
      <c r="I21" s="21"/>
      <c r="J21" s="21"/>
      <c r="K21" s="21"/>
      <c r="L21" s="21"/>
      <c r="M21" s="21"/>
      <c r="N21" s="21"/>
      <c r="O21" s="21"/>
      <c r="P21" s="21"/>
      <c r="Q21" s="21"/>
      <c r="R21" s="21"/>
    </row>
    <row r="22" ht="15.75" customHeight="1">
      <c r="C22" s="21"/>
      <c r="D22" s="21"/>
      <c r="E22" s="21"/>
      <c r="F22" s="21"/>
      <c r="G22" s="21"/>
      <c r="H22" s="21"/>
      <c r="I22" s="21"/>
      <c r="J22" s="21"/>
      <c r="K22" s="21"/>
      <c r="L22" s="21"/>
      <c r="M22" s="21"/>
      <c r="N22" s="21"/>
      <c r="O22" s="21"/>
      <c r="P22" s="21"/>
      <c r="Q22" s="21"/>
      <c r="R22" s="21"/>
    </row>
    <row r="23" ht="15.75" customHeight="1">
      <c r="C23" s="21"/>
      <c r="D23" s="21"/>
      <c r="E23" s="21"/>
      <c r="F23" s="21"/>
      <c r="G23" s="21"/>
      <c r="H23" s="21"/>
      <c r="I23" s="21"/>
      <c r="J23" s="21"/>
      <c r="K23" s="21"/>
      <c r="L23" s="21"/>
      <c r="M23" s="21"/>
      <c r="N23" s="21"/>
      <c r="O23" s="21"/>
      <c r="P23" s="21"/>
      <c r="Q23" s="21"/>
      <c r="R23" s="21"/>
    </row>
    <row r="24" ht="15.75" customHeight="1">
      <c r="C24" s="43"/>
    </row>
    <row r="25" ht="15.75" customHeight="1">
      <c r="C25" s="43"/>
    </row>
    <row r="26" ht="15.75" customHeight="1">
      <c r="C26" s="43"/>
    </row>
    <row r="27" ht="15.75" customHeight="1">
      <c r="C27" s="43"/>
    </row>
    <row r="28" ht="15.75" customHeight="1">
      <c r="C28" s="43"/>
    </row>
    <row r="29" ht="15.75" customHeight="1">
      <c r="C29" s="43"/>
    </row>
    <row r="30" ht="15.75" customHeight="1">
      <c r="C30" s="43"/>
    </row>
    <row r="31" ht="15.75" customHeight="1">
      <c r="C31" s="43"/>
    </row>
    <row r="32" ht="15.75" customHeight="1">
      <c r="C32" s="43"/>
    </row>
    <row r="33" ht="15.75" customHeight="1">
      <c r="C33" s="43"/>
    </row>
    <row r="34" ht="15.75" customHeight="1">
      <c r="C34" s="43"/>
    </row>
    <row r="35" ht="15.75" customHeight="1">
      <c r="C35" s="43"/>
    </row>
    <row r="36" ht="15.75" customHeight="1">
      <c r="C36" s="43"/>
    </row>
    <row r="37" ht="15.75" customHeight="1">
      <c r="C37" s="43"/>
    </row>
    <row r="38" ht="15.75" customHeight="1">
      <c r="C38" s="43"/>
    </row>
    <row r="39" ht="15.75" customHeight="1">
      <c r="C39" s="43"/>
    </row>
    <row r="40" ht="15.75" customHeight="1">
      <c r="C40" s="43"/>
    </row>
    <row r="41" ht="15.75" customHeight="1">
      <c r="C41" s="43"/>
    </row>
    <row r="42" ht="15.75" customHeight="1">
      <c r="C42" s="43"/>
    </row>
    <row r="43" ht="15.75" customHeight="1">
      <c r="C43" s="43"/>
    </row>
    <row r="44" ht="15.75" customHeight="1">
      <c r="C44" s="43"/>
    </row>
    <row r="45" ht="15.75" customHeight="1">
      <c r="C45" s="43"/>
    </row>
    <row r="46" ht="15.75" customHeight="1">
      <c r="C46" s="43"/>
    </row>
    <row r="47" ht="15.75" customHeight="1">
      <c r="C47" s="43"/>
    </row>
    <row r="48" ht="15.75" customHeight="1">
      <c r="C48" s="43"/>
    </row>
    <row r="49" ht="15.75" customHeight="1">
      <c r="C49" s="43"/>
    </row>
    <row r="50" ht="15.75" customHeight="1">
      <c r="C50" s="43"/>
    </row>
    <row r="51" ht="15.75" customHeight="1">
      <c r="C51" s="43"/>
    </row>
    <row r="52" ht="15.75" customHeight="1">
      <c r="C52" s="43"/>
    </row>
    <row r="53" ht="15.75" customHeight="1">
      <c r="C53" s="43"/>
    </row>
    <row r="54" ht="15.75" customHeight="1">
      <c r="C54" s="43"/>
    </row>
    <row r="55" ht="15.75" customHeight="1">
      <c r="C55" s="43"/>
    </row>
    <row r="56" ht="15.75" customHeight="1">
      <c r="C56" s="43"/>
    </row>
    <row r="57" ht="15.75" customHeight="1">
      <c r="C57" s="43"/>
    </row>
    <row r="58" ht="15.75" customHeight="1">
      <c r="C58" s="43"/>
    </row>
    <row r="59" ht="15.75" customHeight="1">
      <c r="C59" s="43"/>
    </row>
    <row r="60" ht="15.75" customHeight="1">
      <c r="C60" s="43"/>
    </row>
    <row r="61" ht="15.75" customHeight="1">
      <c r="C61" s="43"/>
    </row>
    <row r="62" ht="15.75" customHeight="1">
      <c r="C62" s="43"/>
    </row>
    <row r="63" ht="15.75" customHeight="1">
      <c r="C63" s="43"/>
    </row>
    <row r="64" ht="15.75" customHeight="1">
      <c r="C64" s="43"/>
    </row>
    <row r="65" ht="15.75" customHeight="1">
      <c r="C65" s="43"/>
    </row>
    <row r="66" ht="15.75" customHeight="1">
      <c r="C66" s="43"/>
    </row>
    <row r="67" ht="15.75" customHeight="1">
      <c r="C67" s="43"/>
    </row>
    <row r="68" ht="15.75" customHeight="1">
      <c r="C68" s="43"/>
    </row>
    <row r="69" ht="15.75" customHeight="1">
      <c r="C69" s="43"/>
    </row>
    <row r="70" ht="15.75" customHeight="1">
      <c r="C70" s="43"/>
    </row>
    <row r="71" ht="15.75" customHeight="1">
      <c r="C71" s="43"/>
    </row>
    <row r="72" ht="15.75" customHeight="1">
      <c r="C72" s="43"/>
    </row>
    <row r="73" ht="15.75" customHeight="1">
      <c r="C73" s="43"/>
    </row>
    <row r="74" ht="15.75" customHeight="1">
      <c r="C74" s="43"/>
    </row>
    <row r="75" ht="15.75" customHeight="1">
      <c r="C75" s="43"/>
    </row>
    <row r="76" ht="15.75" customHeight="1">
      <c r="C76" s="43"/>
    </row>
    <row r="77" ht="15.75" customHeight="1">
      <c r="C77" s="43"/>
    </row>
    <row r="78" ht="15.75" customHeight="1">
      <c r="C78" s="43"/>
    </row>
    <row r="79" ht="15.75" customHeight="1">
      <c r="C79" s="43"/>
    </row>
    <row r="80" ht="15.75" customHeight="1">
      <c r="C80" s="43"/>
    </row>
    <row r="81" ht="15.75" customHeight="1">
      <c r="C81" s="43"/>
    </row>
    <row r="82" ht="15.75" customHeight="1">
      <c r="C82" s="43"/>
    </row>
    <row r="83" ht="15.75" customHeight="1">
      <c r="C83" s="43"/>
    </row>
    <row r="84" ht="15.75" customHeight="1">
      <c r="C84" s="43"/>
    </row>
    <row r="85" ht="15.75" customHeight="1">
      <c r="C85" s="43"/>
    </row>
    <row r="86" ht="15.75" customHeight="1">
      <c r="C86" s="43"/>
    </row>
    <row r="87" ht="15.75" customHeight="1">
      <c r="C87" s="43"/>
    </row>
    <row r="88" ht="15.75" customHeight="1">
      <c r="C88" s="43"/>
    </row>
    <row r="89" ht="15.75" customHeight="1">
      <c r="C89" s="43"/>
    </row>
    <row r="90" ht="15.75" customHeight="1">
      <c r="C90" s="43"/>
    </row>
    <row r="91" ht="15.75" customHeight="1">
      <c r="C91" s="43"/>
    </row>
    <row r="92" ht="15.75" customHeight="1">
      <c r="C92" s="43"/>
    </row>
    <row r="93" ht="15.75" customHeight="1">
      <c r="C93" s="43"/>
    </row>
    <row r="94" ht="15.75" customHeight="1">
      <c r="C94" s="43"/>
    </row>
    <row r="95" ht="15.75" customHeight="1">
      <c r="C95" s="43"/>
    </row>
    <row r="96" ht="15.75" customHeight="1">
      <c r="C96" s="43"/>
    </row>
    <row r="97" ht="15.75" customHeight="1">
      <c r="C97" s="43"/>
    </row>
    <row r="98" ht="15.75" customHeight="1">
      <c r="C98" s="43"/>
    </row>
    <row r="99" ht="15.75" customHeight="1">
      <c r="C99" s="43"/>
    </row>
    <row r="100" ht="15.75" customHeight="1">
      <c r="C100" s="43"/>
    </row>
    <row r="101" ht="15.75" customHeight="1">
      <c r="C101" s="43"/>
    </row>
    <row r="102" ht="15.75" customHeight="1">
      <c r="C102" s="43"/>
    </row>
    <row r="103" ht="15.75" customHeight="1">
      <c r="C103" s="43"/>
    </row>
    <row r="104" ht="15.75" customHeight="1">
      <c r="C104" s="43"/>
    </row>
    <row r="105" ht="15.75" customHeight="1">
      <c r="C105" s="43"/>
    </row>
    <row r="106" ht="15.75" customHeight="1">
      <c r="C106" s="43"/>
    </row>
    <row r="107" ht="15.75" customHeight="1">
      <c r="C107" s="43"/>
    </row>
    <row r="108" ht="15.75" customHeight="1">
      <c r="C108" s="43"/>
    </row>
    <row r="109" ht="15.75" customHeight="1">
      <c r="C109" s="43"/>
    </row>
    <row r="110" ht="15.75" customHeight="1">
      <c r="C110" s="43"/>
    </row>
    <row r="111" ht="15.75" customHeight="1">
      <c r="C111" s="43"/>
    </row>
    <row r="112" ht="15.75" customHeight="1">
      <c r="C112" s="43"/>
    </row>
    <row r="113" ht="15.75" customHeight="1">
      <c r="C113" s="43"/>
    </row>
    <row r="114" ht="15.75" customHeight="1">
      <c r="C114" s="43"/>
    </row>
    <row r="115" ht="15.75" customHeight="1">
      <c r="C115" s="43"/>
    </row>
    <row r="116" ht="15.75" customHeight="1">
      <c r="C116" s="43"/>
    </row>
    <row r="117" ht="15.75" customHeight="1">
      <c r="C117" s="43"/>
    </row>
    <row r="118" ht="15.75" customHeight="1">
      <c r="C118" s="43"/>
    </row>
    <row r="119" ht="15.75" customHeight="1">
      <c r="C119" s="43"/>
    </row>
    <row r="120" ht="15.75" customHeight="1">
      <c r="C120" s="43"/>
    </row>
    <row r="121" ht="15.75" customHeight="1">
      <c r="C121" s="43"/>
    </row>
    <row r="122" ht="15.75" customHeight="1">
      <c r="C122" s="43"/>
    </row>
    <row r="123" ht="15.75" customHeight="1">
      <c r="C123" s="43"/>
    </row>
    <row r="124" ht="15.75" customHeight="1">
      <c r="C124" s="43"/>
    </row>
    <row r="125" ht="15.75" customHeight="1">
      <c r="C125" s="43"/>
    </row>
    <row r="126" ht="15.75" customHeight="1">
      <c r="C126" s="43"/>
    </row>
    <row r="127" ht="15.75" customHeight="1">
      <c r="C127" s="43"/>
    </row>
    <row r="128" ht="15.75" customHeight="1">
      <c r="C128" s="43"/>
    </row>
    <row r="129" ht="15.75" customHeight="1">
      <c r="C129" s="43"/>
    </row>
    <row r="130" ht="15.75" customHeight="1">
      <c r="C130" s="43"/>
    </row>
    <row r="131" ht="15.75" customHeight="1">
      <c r="C131" s="43"/>
    </row>
    <row r="132" ht="15.75" customHeight="1">
      <c r="C132" s="43"/>
    </row>
    <row r="133" ht="15.75" customHeight="1">
      <c r="C133" s="43"/>
    </row>
    <row r="134" ht="15.75" customHeight="1">
      <c r="C134" s="43"/>
    </row>
    <row r="135" ht="15.75" customHeight="1">
      <c r="C135" s="43"/>
    </row>
    <row r="136" ht="15.75" customHeight="1">
      <c r="C136" s="43"/>
    </row>
    <row r="137" ht="15.75" customHeight="1">
      <c r="C137" s="43"/>
    </row>
    <row r="138" ht="15.75" customHeight="1">
      <c r="C138" s="43"/>
    </row>
    <row r="139" ht="15.75" customHeight="1">
      <c r="C139" s="43"/>
    </row>
    <row r="140" ht="15.75" customHeight="1">
      <c r="C140" s="43"/>
    </row>
    <row r="141" ht="15.75" customHeight="1">
      <c r="C141" s="43"/>
    </row>
    <row r="142" ht="15.75" customHeight="1">
      <c r="C142" s="43"/>
    </row>
    <row r="143" ht="15.75" customHeight="1">
      <c r="C143" s="43"/>
    </row>
    <row r="144" ht="15.75" customHeight="1">
      <c r="C144" s="43"/>
    </row>
    <row r="145" ht="15.75" customHeight="1">
      <c r="C145" s="43"/>
    </row>
    <row r="146" ht="15.75" customHeight="1">
      <c r="C146" s="43"/>
    </row>
    <row r="147" ht="15.75" customHeight="1">
      <c r="C147" s="43"/>
    </row>
    <row r="148" ht="15.75" customHeight="1">
      <c r="C148" s="43"/>
    </row>
    <row r="149" ht="15.75" customHeight="1">
      <c r="C149" s="43"/>
    </row>
    <row r="150" ht="15.75" customHeight="1">
      <c r="C150" s="43"/>
    </row>
    <row r="151" ht="15.75" customHeight="1">
      <c r="C151" s="43"/>
    </row>
    <row r="152" ht="15.75" customHeight="1">
      <c r="C152" s="43"/>
    </row>
    <row r="153" ht="15.75" customHeight="1">
      <c r="C153" s="43"/>
    </row>
    <row r="154" ht="15.75" customHeight="1">
      <c r="C154" s="43"/>
    </row>
    <row r="155" ht="15.75" customHeight="1">
      <c r="C155" s="43"/>
    </row>
    <row r="156" ht="15.75" customHeight="1">
      <c r="C156" s="43"/>
    </row>
    <row r="157" ht="15.75" customHeight="1">
      <c r="C157" s="43"/>
    </row>
    <row r="158" ht="15.75" customHeight="1">
      <c r="C158" s="43"/>
    </row>
    <row r="159" ht="15.75" customHeight="1">
      <c r="C159" s="43"/>
    </row>
    <row r="160" ht="15.75" customHeight="1">
      <c r="C160" s="43"/>
    </row>
    <row r="161" ht="15.75" customHeight="1">
      <c r="C161" s="43"/>
    </row>
    <row r="162" ht="15.75" customHeight="1">
      <c r="C162" s="43"/>
    </row>
    <row r="163" ht="15.75" customHeight="1">
      <c r="C163" s="43"/>
    </row>
    <row r="164" ht="15.75" customHeight="1">
      <c r="C164" s="43"/>
    </row>
    <row r="165" ht="15.75" customHeight="1">
      <c r="C165" s="43"/>
    </row>
    <row r="166" ht="15.75" customHeight="1">
      <c r="C166" s="43"/>
    </row>
    <row r="167" ht="15.75" customHeight="1">
      <c r="C167" s="43"/>
    </row>
    <row r="168" ht="15.75" customHeight="1">
      <c r="C168" s="43"/>
    </row>
    <row r="169" ht="15.75" customHeight="1">
      <c r="C169" s="43"/>
    </row>
    <row r="170" ht="15.75" customHeight="1">
      <c r="C170" s="43"/>
    </row>
    <row r="171" ht="15.75" customHeight="1">
      <c r="C171" s="43"/>
    </row>
    <row r="172" ht="15.75" customHeight="1">
      <c r="C172" s="43"/>
    </row>
    <row r="173" ht="15.75" customHeight="1">
      <c r="C173" s="43"/>
    </row>
    <row r="174" ht="15.75" customHeight="1">
      <c r="C174" s="43"/>
    </row>
    <row r="175" ht="15.75" customHeight="1">
      <c r="C175" s="43"/>
    </row>
    <row r="176" ht="15.75" customHeight="1">
      <c r="C176" s="43"/>
    </row>
    <row r="177" ht="15.75" customHeight="1">
      <c r="C177" s="43"/>
    </row>
    <row r="178" ht="15.75" customHeight="1">
      <c r="C178" s="43"/>
    </row>
    <row r="179" ht="15.75" customHeight="1">
      <c r="C179" s="43"/>
    </row>
    <row r="180" ht="15.75" customHeight="1">
      <c r="C180" s="43"/>
    </row>
    <row r="181" ht="15.75" customHeight="1">
      <c r="C181" s="43"/>
    </row>
    <row r="182" ht="15.75" customHeight="1">
      <c r="C182" s="43"/>
    </row>
    <row r="183" ht="15.75" customHeight="1">
      <c r="C183" s="43"/>
    </row>
    <row r="184" ht="15.75" customHeight="1">
      <c r="C184" s="43"/>
    </row>
    <row r="185" ht="15.75" customHeight="1">
      <c r="C185" s="43"/>
    </row>
    <row r="186" ht="15.75" customHeight="1">
      <c r="C186" s="43"/>
    </row>
    <row r="187" ht="15.75" customHeight="1">
      <c r="C187" s="43"/>
    </row>
    <row r="188" ht="15.75" customHeight="1">
      <c r="C188" s="43"/>
    </row>
    <row r="189" ht="15.75" customHeight="1">
      <c r="C189" s="43"/>
    </row>
    <row r="190" ht="15.75" customHeight="1">
      <c r="C190" s="43"/>
    </row>
    <row r="191" ht="15.75" customHeight="1">
      <c r="C191" s="43"/>
    </row>
    <row r="192" ht="15.75" customHeight="1">
      <c r="C192" s="43"/>
    </row>
    <row r="193" ht="15.75" customHeight="1">
      <c r="C193" s="43"/>
    </row>
    <row r="194" ht="15.75" customHeight="1">
      <c r="C194" s="43"/>
    </row>
    <row r="195" ht="15.75" customHeight="1">
      <c r="C195" s="43"/>
    </row>
    <row r="196" ht="15.75" customHeight="1">
      <c r="C196" s="43"/>
    </row>
    <row r="197" ht="15.75" customHeight="1">
      <c r="C197" s="43"/>
    </row>
    <row r="198" ht="15.75" customHeight="1">
      <c r="C198" s="43"/>
    </row>
    <row r="199" ht="15.75" customHeight="1">
      <c r="C199" s="43"/>
    </row>
    <row r="200" ht="15.75" customHeight="1">
      <c r="C200" s="43"/>
    </row>
    <row r="201" ht="15.75" customHeight="1">
      <c r="C201" s="43"/>
    </row>
    <row r="202" ht="15.75" customHeight="1">
      <c r="C202" s="43"/>
    </row>
    <row r="203" ht="15.75" customHeight="1">
      <c r="C203" s="43"/>
    </row>
    <row r="204" ht="15.75" customHeight="1">
      <c r="C204" s="43"/>
    </row>
    <row r="205" ht="15.75" customHeight="1">
      <c r="C205" s="43"/>
    </row>
    <row r="206" ht="15.75" customHeight="1">
      <c r="C206" s="43"/>
    </row>
    <row r="207" ht="15.75" customHeight="1">
      <c r="C207" s="43"/>
    </row>
    <row r="208" ht="15.75" customHeight="1">
      <c r="C208" s="43"/>
    </row>
    <row r="209" ht="15.75" customHeight="1">
      <c r="C209" s="43"/>
    </row>
    <row r="210" ht="15.75" customHeight="1">
      <c r="C210" s="43"/>
    </row>
    <row r="211" ht="15.75" customHeight="1">
      <c r="C211" s="43"/>
    </row>
    <row r="212" ht="15.75" customHeight="1">
      <c r="C212" s="43"/>
    </row>
    <row r="213" ht="15.75" customHeight="1">
      <c r="C213" s="43"/>
    </row>
    <row r="214" ht="15.75" customHeight="1">
      <c r="C214" s="43"/>
    </row>
    <row r="215" ht="15.75" customHeight="1">
      <c r="C215" s="43"/>
    </row>
    <row r="216" ht="15.75" customHeight="1">
      <c r="C216" s="43"/>
    </row>
    <row r="217" ht="15.75" customHeight="1">
      <c r="C217" s="43"/>
    </row>
    <row r="218" ht="15.75" customHeight="1">
      <c r="C218" s="43"/>
    </row>
    <row r="219" ht="15.75" customHeight="1">
      <c r="C219" s="43"/>
    </row>
    <row r="220" ht="15.75" customHeight="1">
      <c r="C220" s="43"/>
    </row>
    <row r="221" ht="15.75" customHeight="1">
      <c r="C221" s="43"/>
    </row>
    <row r="222" ht="15.75" customHeight="1">
      <c r="C222" s="43"/>
    </row>
    <row r="223" ht="15.75" customHeight="1">
      <c r="C223" s="43"/>
    </row>
    <row r="224" ht="15.75" customHeight="1">
      <c r="C224" s="43"/>
    </row>
    <row r="225" ht="15.75" customHeight="1">
      <c r="C225" s="43"/>
    </row>
    <row r="226" ht="15.75" customHeight="1">
      <c r="C226" s="43"/>
    </row>
    <row r="227" ht="15.75" customHeight="1">
      <c r="C227" s="43"/>
    </row>
    <row r="228" ht="15.75" customHeight="1">
      <c r="C228" s="43"/>
    </row>
    <row r="229" ht="15.75" customHeight="1">
      <c r="C229" s="43"/>
    </row>
    <row r="230" ht="15.75" customHeight="1">
      <c r="C230" s="43"/>
    </row>
    <row r="231" ht="15.75" customHeight="1">
      <c r="C231" s="43"/>
    </row>
    <row r="232" ht="15.75" customHeight="1">
      <c r="C232" s="43"/>
    </row>
    <row r="233" ht="15.75" customHeight="1">
      <c r="C233" s="43"/>
    </row>
    <row r="234" ht="15.75" customHeight="1">
      <c r="C234" s="43"/>
    </row>
    <row r="235" ht="15.75" customHeight="1">
      <c r="C235" s="43"/>
    </row>
    <row r="236" ht="15.75" customHeight="1">
      <c r="C236" s="43"/>
    </row>
    <row r="237" ht="15.75" customHeight="1">
      <c r="C237" s="43"/>
    </row>
    <row r="238" ht="15.75" customHeight="1">
      <c r="C238" s="43"/>
    </row>
    <row r="239" ht="15.75" customHeight="1">
      <c r="C239" s="43"/>
    </row>
    <row r="240" ht="15.75" customHeight="1">
      <c r="C240" s="43"/>
    </row>
    <row r="241" ht="15.75" customHeight="1">
      <c r="C241" s="43"/>
    </row>
    <row r="242" ht="15.75" customHeight="1">
      <c r="C242" s="43"/>
    </row>
    <row r="243" ht="15.75" customHeight="1">
      <c r="C243" s="43"/>
    </row>
    <row r="244" ht="15.75" customHeight="1">
      <c r="C244" s="43"/>
    </row>
    <row r="245" ht="15.75" customHeight="1">
      <c r="C245" s="43"/>
    </row>
    <row r="246" ht="15.75" customHeight="1">
      <c r="C246" s="43"/>
    </row>
    <row r="247" ht="15.75" customHeight="1">
      <c r="C247" s="43"/>
    </row>
    <row r="248" ht="15.75" customHeight="1">
      <c r="C248" s="43"/>
    </row>
    <row r="249" ht="15.75" customHeight="1">
      <c r="C249" s="43"/>
    </row>
    <row r="250" ht="15.75" customHeight="1">
      <c r="C250" s="43"/>
    </row>
    <row r="251" ht="15.75" customHeight="1">
      <c r="C251" s="43"/>
    </row>
    <row r="252" ht="15.75" customHeight="1">
      <c r="C252" s="43"/>
    </row>
    <row r="253" ht="15.75" customHeight="1">
      <c r="C253" s="43"/>
    </row>
    <row r="254" ht="15.75" customHeight="1">
      <c r="C254" s="43"/>
    </row>
    <row r="255" ht="15.75" customHeight="1">
      <c r="C255" s="43"/>
    </row>
    <row r="256" ht="15.75" customHeight="1">
      <c r="C256" s="43"/>
    </row>
    <row r="257" ht="15.75" customHeight="1">
      <c r="C257" s="43"/>
    </row>
    <row r="258" ht="15.75" customHeight="1">
      <c r="C258" s="43"/>
    </row>
    <row r="259" ht="15.75" customHeight="1">
      <c r="C259" s="43"/>
    </row>
    <row r="260" ht="15.75" customHeight="1">
      <c r="C260" s="43"/>
    </row>
    <row r="261" ht="15.75" customHeight="1">
      <c r="C261" s="43"/>
    </row>
    <row r="262" ht="15.75" customHeight="1">
      <c r="C262" s="43"/>
    </row>
    <row r="263" ht="15.75" customHeight="1">
      <c r="C263" s="43"/>
    </row>
    <row r="264" ht="15.75" customHeight="1">
      <c r="C264" s="43"/>
    </row>
    <row r="265" ht="15.75" customHeight="1">
      <c r="C265" s="43"/>
    </row>
    <row r="266" ht="15.75" customHeight="1">
      <c r="C266" s="43"/>
    </row>
    <row r="267" ht="15.75" customHeight="1">
      <c r="C267" s="43"/>
    </row>
    <row r="268" ht="15.75" customHeight="1">
      <c r="C268" s="43"/>
    </row>
    <row r="269" ht="15.75" customHeight="1">
      <c r="C269" s="43"/>
    </row>
    <row r="270" ht="15.75" customHeight="1">
      <c r="C270" s="43"/>
    </row>
    <row r="271" ht="15.75" customHeight="1">
      <c r="C271" s="43"/>
    </row>
    <row r="272" ht="15.75" customHeight="1">
      <c r="C272" s="43"/>
    </row>
    <row r="273" ht="15.75" customHeight="1">
      <c r="C273" s="43"/>
    </row>
    <row r="274" ht="15.75" customHeight="1">
      <c r="C274" s="43"/>
    </row>
    <row r="275" ht="15.75" customHeight="1">
      <c r="C275" s="43"/>
    </row>
    <row r="276" ht="15.75" customHeight="1">
      <c r="C276" s="43"/>
    </row>
    <row r="277" ht="15.75" customHeight="1">
      <c r="C277" s="43"/>
    </row>
    <row r="278" ht="15.75" customHeight="1">
      <c r="C278" s="43"/>
    </row>
    <row r="279" ht="15.75" customHeight="1">
      <c r="C279" s="43"/>
    </row>
    <row r="280" ht="15.75" customHeight="1">
      <c r="C280" s="43"/>
    </row>
    <row r="281" ht="15.75" customHeight="1">
      <c r="C281" s="43"/>
    </row>
    <row r="282" ht="15.75" customHeight="1">
      <c r="C282" s="43"/>
    </row>
    <row r="283" ht="15.75" customHeight="1">
      <c r="C283" s="43"/>
    </row>
    <row r="284" ht="15.75" customHeight="1">
      <c r="C284" s="43"/>
    </row>
    <row r="285" ht="15.75" customHeight="1">
      <c r="C285" s="43"/>
    </row>
    <row r="286" ht="15.75" customHeight="1">
      <c r="C286" s="43"/>
    </row>
    <row r="287" ht="15.75" customHeight="1">
      <c r="C287" s="43"/>
    </row>
    <row r="288" ht="15.75" customHeight="1">
      <c r="C288" s="43"/>
    </row>
    <row r="289" ht="15.75" customHeight="1">
      <c r="C289" s="43"/>
    </row>
    <row r="290" ht="15.75" customHeight="1">
      <c r="C290" s="43"/>
    </row>
    <row r="291" ht="15.75" customHeight="1">
      <c r="C291" s="43"/>
    </row>
    <row r="292" ht="15.75" customHeight="1">
      <c r="C292" s="43"/>
    </row>
    <row r="293" ht="15.75" customHeight="1">
      <c r="C293" s="43"/>
    </row>
    <row r="294" ht="15.75" customHeight="1">
      <c r="C294" s="43"/>
    </row>
    <row r="295" ht="15.75" customHeight="1">
      <c r="C295" s="43"/>
    </row>
    <row r="296" ht="15.75" customHeight="1">
      <c r="C296" s="43"/>
    </row>
    <row r="297" ht="15.75" customHeight="1">
      <c r="C297" s="43"/>
    </row>
    <row r="298" ht="15.75" customHeight="1">
      <c r="C298" s="43"/>
    </row>
    <row r="299" ht="15.75" customHeight="1">
      <c r="C299" s="43"/>
    </row>
    <row r="300" ht="15.75" customHeight="1">
      <c r="C300" s="43"/>
    </row>
    <row r="301" ht="15.75" customHeight="1">
      <c r="C301" s="43"/>
    </row>
    <row r="302" ht="15.75" customHeight="1">
      <c r="C302" s="43"/>
    </row>
    <row r="303" ht="15.75" customHeight="1">
      <c r="C303" s="43"/>
    </row>
    <row r="304" ht="15.75" customHeight="1">
      <c r="C304" s="43"/>
    </row>
    <row r="305" ht="15.75" customHeight="1">
      <c r="C305" s="43"/>
    </row>
    <row r="306" ht="15.75" customHeight="1">
      <c r="C306" s="43"/>
    </row>
    <row r="307" ht="15.75" customHeight="1">
      <c r="C307" s="43"/>
    </row>
    <row r="308" ht="15.75" customHeight="1">
      <c r="C308" s="43"/>
    </row>
    <row r="309" ht="15.75" customHeight="1">
      <c r="C309" s="43"/>
    </row>
    <row r="310" ht="15.75" customHeight="1">
      <c r="C310" s="43"/>
    </row>
    <row r="311" ht="15.75" customHeight="1">
      <c r="C311" s="43"/>
    </row>
    <row r="312" ht="15.75" customHeight="1">
      <c r="C312" s="43"/>
    </row>
    <row r="313" ht="15.75" customHeight="1">
      <c r="C313" s="43"/>
    </row>
    <row r="314" ht="15.75" customHeight="1">
      <c r="C314" s="43"/>
    </row>
    <row r="315" ht="15.75" customHeight="1">
      <c r="C315" s="43"/>
    </row>
    <row r="316" ht="15.75" customHeight="1">
      <c r="C316" s="43"/>
    </row>
    <row r="317" ht="15.75" customHeight="1">
      <c r="C317" s="43"/>
    </row>
    <row r="318" ht="15.75" customHeight="1">
      <c r="C318" s="43"/>
    </row>
    <row r="319" ht="15.75" customHeight="1">
      <c r="C319" s="43"/>
    </row>
    <row r="320" ht="15.75" customHeight="1">
      <c r="C320" s="43"/>
    </row>
    <row r="321" ht="15.75" customHeight="1">
      <c r="C321" s="43"/>
    </row>
    <row r="322" ht="15.75" customHeight="1">
      <c r="C322" s="43"/>
    </row>
    <row r="323" ht="15.75" customHeight="1">
      <c r="C323" s="43"/>
    </row>
    <row r="324" ht="15.75" customHeight="1">
      <c r="C324" s="43"/>
    </row>
    <row r="325" ht="15.75" customHeight="1">
      <c r="C325" s="43"/>
    </row>
    <row r="326" ht="15.75" customHeight="1">
      <c r="C326" s="43"/>
    </row>
    <row r="327" ht="15.75" customHeight="1">
      <c r="C327" s="43"/>
    </row>
    <row r="328" ht="15.75" customHeight="1">
      <c r="C328" s="43"/>
    </row>
    <row r="329" ht="15.75" customHeight="1">
      <c r="C329" s="43"/>
    </row>
    <row r="330" ht="15.75" customHeight="1">
      <c r="C330" s="43"/>
    </row>
    <row r="331" ht="15.75" customHeight="1">
      <c r="C331" s="43"/>
    </row>
    <row r="332" ht="15.75" customHeight="1">
      <c r="C332" s="43"/>
    </row>
    <row r="333" ht="15.75" customHeight="1">
      <c r="C333" s="43"/>
    </row>
    <row r="334" ht="15.75" customHeight="1">
      <c r="C334" s="43"/>
    </row>
    <row r="335" ht="15.75" customHeight="1">
      <c r="C335" s="43"/>
    </row>
    <row r="336" ht="15.75" customHeight="1">
      <c r="C336" s="43"/>
    </row>
    <row r="337" ht="15.75" customHeight="1">
      <c r="C337" s="43"/>
    </row>
    <row r="338" ht="15.75" customHeight="1">
      <c r="C338" s="43"/>
    </row>
    <row r="339" ht="15.75" customHeight="1">
      <c r="C339" s="43"/>
    </row>
    <row r="340" ht="15.75" customHeight="1">
      <c r="C340" s="43"/>
    </row>
    <row r="341" ht="15.75" customHeight="1">
      <c r="C341" s="43"/>
    </row>
    <row r="342" ht="15.75" customHeight="1">
      <c r="C342" s="43"/>
    </row>
    <row r="343" ht="15.75" customHeight="1">
      <c r="C343" s="43"/>
    </row>
    <row r="344" ht="15.75" customHeight="1">
      <c r="C344" s="43"/>
    </row>
    <row r="345" ht="15.75" customHeight="1">
      <c r="C345" s="43"/>
    </row>
    <row r="346" ht="15.75" customHeight="1">
      <c r="C346" s="43"/>
    </row>
    <row r="347" ht="15.75" customHeight="1">
      <c r="C347" s="43"/>
    </row>
    <row r="348" ht="15.75" customHeight="1">
      <c r="C348" s="43"/>
    </row>
    <row r="349" ht="15.75" customHeight="1">
      <c r="C349" s="43"/>
    </row>
    <row r="350" ht="15.75" customHeight="1">
      <c r="C350" s="43"/>
    </row>
    <row r="351" ht="15.75" customHeight="1">
      <c r="C351" s="43"/>
    </row>
    <row r="352" ht="15.75" customHeight="1">
      <c r="C352" s="43"/>
    </row>
    <row r="353" ht="15.75" customHeight="1">
      <c r="C353" s="43"/>
    </row>
    <row r="354" ht="15.75" customHeight="1">
      <c r="C354" s="43"/>
    </row>
    <row r="355" ht="15.75" customHeight="1">
      <c r="C355" s="43"/>
    </row>
    <row r="356" ht="15.75" customHeight="1">
      <c r="C356" s="43"/>
    </row>
    <row r="357" ht="15.75" customHeight="1">
      <c r="C357" s="43"/>
    </row>
    <row r="358" ht="15.75" customHeight="1">
      <c r="C358" s="43"/>
    </row>
    <row r="359" ht="15.75" customHeight="1">
      <c r="C359" s="43"/>
    </row>
    <row r="360" ht="15.75" customHeight="1">
      <c r="C360" s="43"/>
    </row>
    <row r="361" ht="15.75" customHeight="1">
      <c r="C361" s="43"/>
    </row>
    <row r="362" ht="15.75" customHeight="1">
      <c r="C362" s="43"/>
    </row>
    <row r="363" ht="15.75" customHeight="1">
      <c r="C363" s="43"/>
    </row>
    <row r="364" ht="15.75" customHeight="1">
      <c r="C364" s="43"/>
    </row>
    <row r="365" ht="15.75" customHeight="1">
      <c r="C365" s="43"/>
    </row>
    <row r="366" ht="15.75" customHeight="1">
      <c r="C366" s="43"/>
    </row>
    <row r="367" ht="15.75" customHeight="1">
      <c r="C367" s="43"/>
    </row>
    <row r="368" ht="15.75" customHeight="1">
      <c r="C368" s="43"/>
    </row>
    <row r="369" ht="15.75" customHeight="1">
      <c r="C369" s="43"/>
    </row>
    <row r="370" ht="15.75" customHeight="1">
      <c r="C370" s="43"/>
    </row>
    <row r="371" ht="15.75" customHeight="1">
      <c r="C371" s="43"/>
    </row>
    <row r="372" ht="15.75" customHeight="1">
      <c r="C372" s="43"/>
    </row>
    <row r="373" ht="15.75" customHeight="1">
      <c r="C373" s="43"/>
    </row>
    <row r="374" ht="15.75" customHeight="1">
      <c r="C374" s="43"/>
    </row>
    <row r="375" ht="15.75" customHeight="1">
      <c r="C375" s="43"/>
    </row>
    <row r="376" ht="15.75" customHeight="1">
      <c r="C376" s="43"/>
    </row>
    <row r="377" ht="15.75" customHeight="1">
      <c r="C377" s="43"/>
    </row>
    <row r="378" ht="15.75" customHeight="1">
      <c r="C378" s="43"/>
    </row>
    <row r="379" ht="15.75" customHeight="1">
      <c r="C379" s="43"/>
    </row>
    <row r="380" ht="15.75" customHeight="1">
      <c r="C380" s="43"/>
    </row>
    <row r="381" ht="15.75" customHeight="1">
      <c r="C381" s="43"/>
    </row>
    <row r="382" ht="15.75" customHeight="1">
      <c r="C382" s="43"/>
    </row>
    <row r="383" ht="15.75" customHeight="1">
      <c r="C383" s="43"/>
    </row>
    <row r="384" ht="15.75" customHeight="1">
      <c r="C384" s="43"/>
    </row>
    <row r="385" ht="15.75" customHeight="1">
      <c r="C385" s="43"/>
    </row>
    <row r="386" ht="15.75" customHeight="1">
      <c r="C386" s="43"/>
    </row>
    <row r="387" ht="15.75" customHeight="1">
      <c r="C387" s="43"/>
    </row>
    <row r="388" ht="15.75" customHeight="1">
      <c r="C388" s="43"/>
    </row>
    <row r="389" ht="15.75" customHeight="1">
      <c r="C389" s="43"/>
    </row>
    <row r="390" ht="15.75" customHeight="1">
      <c r="C390" s="43"/>
    </row>
    <row r="391" ht="15.75" customHeight="1">
      <c r="C391" s="43"/>
    </row>
    <row r="392" ht="15.75" customHeight="1">
      <c r="C392" s="43"/>
    </row>
    <row r="393" ht="15.75" customHeight="1">
      <c r="C393" s="43"/>
    </row>
    <row r="394" ht="15.75" customHeight="1">
      <c r="C394" s="43"/>
    </row>
    <row r="395" ht="15.75" customHeight="1">
      <c r="C395" s="43"/>
    </row>
    <row r="396" ht="15.75" customHeight="1">
      <c r="C396" s="43"/>
    </row>
    <row r="397" ht="15.75" customHeight="1">
      <c r="C397" s="43"/>
    </row>
    <row r="398" ht="15.75" customHeight="1">
      <c r="C398" s="43"/>
    </row>
    <row r="399" ht="15.75" customHeight="1">
      <c r="C399" s="43"/>
    </row>
    <row r="400" ht="15.75" customHeight="1">
      <c r="C400" s="43"/>
    </row>
    <row r="401" ht="15.75" customHeight="1">
      <c r="C401" s="43"/>
    </row>
    <row r="402" ht="15.75" customHeight="1">
      <c r="C402" s="43"/>
    </row>
    <row r="403" ht="15.75" customHeight="1">
      <c r="C403" s="43"/>
    </row>
    <row r="404" ht="15.75" customHeight="1">
      <c r="C404" s="43"/>
    </row>
    <row r="405" ht="15.75" customHeight="1">
      <c r="C405" s="43"/>
    </row>
    <row r="406" ht="15.75" customHeight="1">
      <c r="C406" s="43"/>
    </row>
    <row r="407" ht="15.75" customHeight="1">
      <c r="C407" s="43"/>
    </row>
    <row r="408" ht="15.75" customHeight="1">
      <c r="C408" s="43"/>
    </row>
    <row r="409" ht="15.75" customHeight="1">
      <c r="C409" s="43"/>
    </row>
    <row r="410" ht="15.75" customHeight="1">
      <c r="C410" s="43"/>
    </row>
    <row r="411" ht="15.75" customHeight="1">
      <c r="C411" s="43"/>
    </row>
    <row r="412" ht="15.75" customHeight="1">
      <c r="C412" s="43"/>
    </row>
    <row r="413" ht="15.75" customHeight="1">
      <c r="C413" s="43"/>
    </row>
    <row r="414" ht="15.75" customHeight="1">
      <c r="C414" s="43"/>
    </row>
    <row r="415" ht="15.75" customHeight="1">
      <c r="C415" s="43"/>
    </row>
    <row r="416" ht="15.75" customHeight="1">
      <c r="C416" s="43"/>
    </row>
    <row r="417" ht="15.75" customHeight="1">
      <c r="C417" s="43"/>
    </row>
    <row r="418" ht="15.75" customHeight="1">
      <c r="C418" s="43"/>
    </row>
    <row r="419" ht="15.75" customHeight="1">
      <c r="C419" s="43"/>
    </row>
    <row r="420" ht="15.75" customHeight="1">
      <c r="C420" s="43"/>
    </row>
    <row r="421" ht="15.75" customHeight="1">
      <c r="C421" s="43"/>
    </row>
    <row r="422" ht="15.75" customHeight="1">
      <c r="C422" s="43"/>
    </row>
    <row r="423" ht="15.75" customHeight="1">
      <c r="C423" s="43"/>
    </row>
    <row r="424" ht="15.75" customHeight="1">
      <c r="C424" s="43"/>
    </row>
    <row r="425" ht="15.75" customHeight="1">
      <c r="C425" s="43"/>
    </row>
    <row r="426" ht="15.75" customHeight="1">
      <c r="C426" s="43"/>
    </row>
    <row r="427" ht="15.75" customHeight="1">
      <c r="C427" s="43"/>
    </row>
    <row r="428" ht="15.75" customHeight="1">
      <c r="C428" s="43"/>
    </row>
    <row r="429" ht="15.75" customHeight="1">
      <c r="C429" s="43"/>
    </row>
    <row r="430" ht="15.75" customHeight="1">
      <c r="C430" s="43"/>
    </row>
    <row r="431" ht="15.75" customHeight="1">
      <c r="C431" s="43"/>
    </row>
    <row r="432" ht="15.75" customHeight="1">
      <c r="C432" s="43"/>
    </row>
    <row r="433" ht="15.75" customHeight="1">
      <c r="C433" s="43"/>
    </row>
    <row r="434" ht="15.75" customHeight="1">
      <c r="C434" s="43"/>
    </row>
    <row r="435" ht="15.75" customHeight="1">
      <c r="C435" s="43"/>
    </row>
    <row r="436" ht="15.75" customHeight="1">
      <c r="C436" s="43"/>
    </row>
    <row r="437" ht="15.75" customHeight="1">
      <c r="C437" s="43"/>
    </row>
    <row r="438" ht="15.75" customHeight="1">
      <c r="C438" s="43"/>
    </row>
    <row r="439" ht="15.75" customHeight="1">
      <c r="C439" s="43"/>
    </row>
    <row r="440" ht="15.75" customHeight="1">
      <c r="C440" s="43"/>
    </row>
    <row r="441" ht="15.75" customHeight="1">
      <c r="C441" s="43"/>
    </row>
    <row r="442" ht="15.75" customHeight="1">
      <c r="C442" s="43"/>
    </row>
    <row r="443" ht="15.75" customHeight="1">
      <c r="C443" s="43"/>
    </row>
    <row r="444" ht="15.75" customHeight="1">
      <c r="C444" s="43"/>
    </row>
    <row r="445" ht="15.75" customHeight="1">
      <c r="C445" s="43"/>
    </row>
    <row r="446" ht="15.75" customHeight="1">
      <c r="C446" s="43"/>
    </row>
    <row r="447" ht="15.75" customHeight="1">
      <c r="C447" s="43"/>
    </row>
    <row r="448" ht="15.75" customHeight="1">
      <c r="C448" s="43"/>
    </row>
    <row r="449" ht="15.75" customHeight="1">
      <c r="C449" s="43"/>
    </row>
    <row r="450" ht="15.75" customHeight="1">
      <c r="C450" s="43"/>
    </row>
    <row r="451" ht="15.75" customHeight="1">
      <c r="C451" s="43"/>
    </row>
    <row r="452" ht="15.75" customHeight="1">
      <c r="C452" s="43"/>
    </row>
    <row r="453" ht="15.75" customHeight="1">
      <c r="C453" s="43"/>
    </row>
    <row r="454" ht="15.75" customHeight="1">
      <c r="C454" s="43"/>
    </row>
    <row r="455" ht="15.75" customHeight="1">
      <c r="C455" s="43"/>
    </row>
    <row r="456" ht="15.75" customHeight="1">
      <c r="C456" s="43"/>
    </row>
    <row r="457" ht="15.75" customHeight="1">
      <c r="C457" s="43"/>
    </row>
    <row r="458" ht="15.75" customHeight="1">
      <c r="C458" s="43"/>
    </row>
    <row r="459" ht="15.75" customHeight="1">
      <c r="C459" s="43"/>
    </row>
    <row r="460" ht="15.75" customHeight="1">
      <c r="C460" s="43"/>
    </row>
    <row r="461" ht="15.75" customHeight="1">
      <c r="C461" s="43"/>
    </row>
    <row r="462" ht="15.75" customHeight="1">
      <c r="C462" s="43"/>
    </row>
    <row r="463" ht="15.75" customHeight="1">
      <c r="C463" s="43"/>
    </row>
    <row r="464" ht="15.75" customHeight="1">
      <c r="C464" s="43"/>
    </row>
    <row r="465" ht="15.75" customHeight="1">
      <c r="C465" s="43"/>
    </row>
    <row r="466" ht="15.75" customHeight="1">
      <c r="C466" s="43"/>
    </row>
    <row r="467" ht="15.75" customHeight="1">
      <c r="C467" s="43"/>
    </row>
    <row r="468" ht="15.75" customHeight="1">
      <c r="C468" s="43"/>
    </row>
    <row r="469" ht="15.75" customHeight="1">
      <c r="C469" s="43"/>
    </row>
    <row r="470" ht="15.75" customHeight="1">
      <c r="C470" s="43"/>
    </row>
    <row r="471" ht="15.75" customHeight="1">
      <c r="C471" s="43"/>
    </row>
    <row r="472" ht="15.75" customHeight="1">
      <c r="C472" s="43"/>
    </row>
    <row r="473" ht="15.75" customHeight="1">
      <c r="C473" s="43"/>
    </row>
    <row r="474" ht="15.75" customHeight="1">
      <c r="C474" s="43"/>
    </row>
    <row r="475" ht="15.75" customHeight="1">
      <c r="C475" s="43"/>
    </row>
    <row r="476" ht="15.75" customHeight="1">
      <c r="C476" s="43"/>
    </row>
    <row r="477" ht="15.75" customHeight="1">
      <c r="C477" s="43"/>
    </row>
    <row r="478" ht="15.75" customHeight="1">
      <c r="C478" s="43"/>
    </row>
    <row r="479" ht="15.75" customHeight="1">
      <c r="C479" s="43"/>
    </row>
    <row r="480" ht="15.75" customHeight="1">
      <c r="C480" s="43"/>
    </row>
    <row r="481" ht="15.75" customHeight="1">
      <c r="C481" s="43"/>
    </row>
    <row r="482" ht="15.75" customHeight="1">
      <c r="C482" s="43"/>
    </row>
    <row r="483" ht="15.75" customHeight="1">
      <c r="C483" s="43"/>
    </row>
    <row r="484" ht="15.75" customHeight="1">
      <c r="C484" s="43"/>
    </row>
    <row r="485" ht="15.75" customHeight="1">
      <c r="C485" s="43"/>
    </row>
    <row r="486" ht="15.75" customHeight="1">
      <c r="C486" s="43"/>
    </row>
    <row r="487" ht="15.75" customHeight="1">
      <c r="C487" s="43"/>
    </row>
    <row r="488" ht="15.75" customHeight="1">
      <c r="C488" s="43"/>
    </row>
    <row r="489" ht="15.75" customHeight="1">
      <c r="C489" s="43"/>
    </row>
    <row r="490" ht="15.75" customHeight="1">
      <c r="C490" s="43"/>
    </row>
    <row r="491" ht="15.75" customHeight="1">
      <c r="C491" s="43"/>
    </row>
    <row r="492" ht="15.75" customHeight="1">
      <c r="C492" s="43"/>
    </row>
    <row r="493" ht="15.75" customHeight="1">
      <c r="C493" s="43"/>
    </row>
    <row r="494" ht="15.75" customHeight="1">
      <c r="C494" s="43"/>
    </row>
    <row r="495" ht="15.75" customHeight="1">
      <c r="C495" s="43"/>
    </row>
    <row r="496" ht="15.75" customHeight="1">
      <c r="C496" s="43"/>
    </row>
    <row r="497" ht="15.75" customHeight="1">
      <c r="C497" s="43"/>
    </row>
    <row r="498" ht="15.75" customHeight="1">
      <c r="C498" s="43"/>
    </row>
    <row r="499" ht="15.75" customHeight="1">
      <c r="C499" s="43"/>
    </row>
    <row r="500" ht="15.75" customHeight="1">
      <c r="C500" s="43"/>
    </row>
    <row r="501" ht="15.75" customHeight="1">
      <c r="C501" s="43"/>
    </row>
    <row r="502" ht="15.75" customHeight="1">
      <c r="C502" s="43"/>
    </row>
    <row r="503" ht="15.75" customHeight="1">
      <c r="C503" s="43"/>
    </row>
    <row r="504" ht="15.75" customHeight="1">
      <c r="C504" s="43"/>
    </row>
    <row r="505" ht="15.75" customHeight="1">
      <c r="C505" s="43"/>
    </row>
    <row r="506" ht="15.75" customHeight="1">
      <c r="C506" s="43"/>
    </row>
    <row r="507" ht="15.75" customHeight="1">
      <c r="C507" s="43"/>
    </row>
    <row r="508" ht="15.75" customHeight="1">
      <c r="C508" s="43"/>
    </row>
    <row r="509" ht="15.75" customHeight="1">
      <c r="C509" s="43"/>
    </row>
    <row r="510" ht="15.75" customHeight="1">
      <c r="C510" s="43"/>
    </row>
    <row r="511" ht="15.75" customHeight="1">
      <c r="C511" s="43"/>
    </row>
    <row r="512" ht="15.75" customHeight="1">
      <c r="C512" s="43"/>
    </row>
    <row r="513" ht="15.75" customHeight="1">
      <c r="C513" s="43"/>
    </row>
    <row r="514" ht="15.75" customHeight="1">
      <c r="C514" s="43"/>
    </row>
    <row r="515" ht="15.75" customHeight="1">
      <c r="C515" s="43"/>
    </row>
    <row r="516" ht="15.75" customHeight="1">
      <c r="C516" s="43"/>
    </row>
    <row r="517" ht="15.75" customHeight="1">
      <c r="C517" s="43"/>
    </row>
    <row r="518" ht="15.75" customHeight="1">
      <c r="C518" s="43"/>
    </row>
    <row r="519" ht="15.75" customHeight="1">
      <c r="C519" s="43"/>
    </row>
    <row r="520" ht="15.75" customHeight="1">
      <c r="C520" s="43"/>
    </row>
    <row r="521" ht="15.75" customHeight="1">
      <c r="C521" s="43"/>
    </row>
    <row r="522" ht="15.75" customHeight="1">
      <c r="C522" s="43"/>
    </row>
    <row r="523" ht="15.75" customHeight="1">
      <c r="C523" s="43"/>
    </row>
    <row r="524" ht="15.75" customHeight="1">
      <c r="C524" s="43"/>
    </row>
    <row r="525" ht="15.75" customHeight="1">
      <c r="C525" s="43"/>
    </row>
    <row r="526" ht="15.75" customHeight="1">
      <c r="C526" s="43"/>
    </row>
    <row r="527" ht="15.75" customHeight="1">
      <c r="C527" s="43"/>
    </row>
    <row r="528" ht="15.75" customHeight="1">
      <c r="C528" s="43"/>
    </row>
    <row r="529" ht="15.75" customHeight="1">
      <c r="C529" s="43"/>
    </row>
    <row r="530" ht="15.75" customHeight="1">
      <c r="C530" s="43"/>
    </row>
    <row r="531" ht="15.75" customHeight="1">
      <c r="C531" s="43"/>
    </row>
    <row r="532" ht="15.75" customHeight="1">
      <c r="C532" s="43"/>
    </row>
    <row r="533" ht="15.75" customHeight="1">
      <c r="C533" s="43"/>
    </row>
    <row r="534" ht="15.75" customHeight="1">
      <c r="C534" s="43"/>
    </row>
    <row r="535" ht="15.75" customHeight="1">
      <c r="C535" s="43"/>
    </row>
    <row r="536" ht="15.75" customHeight="1">
      <c r="C536" s="43"/>
    </row>
    <row r="537" ht="15.75" customHeight="1">
      <c r="C537" s="43"/>
    </row>
    <row r="538" ht="15.75" customHeight="1">
      <c r="C538" s="43"/>
    </row>
    <row r="539" ht="15.75" customHeight="1">
      <c r="C539" s="43"/>
    </row>
    <row r="540" ht="15.75" customHeight="1">
      <c r="C540" s="43"/>
    </row>
    <row r="541" ht="15.75" customHeight="1">
      <c r="C541" s="43"/>
    </row>
    <row r="542" ht="15.75" customHeight="1">
      <c r="C542" s="43"/>
    </row>
    <row r="543" ht="15.75" customHeight="1">
      <c r="C543" s="43"/>
    </row>
    <row r="544" ht="15.75" customHeight="1">
      <c r="C544" s="43"/>
    </row>
    <row r="545" ht="15.75" customHeight="1">
      <c r="C545" s="43"/>
    </row>
    <row r="546" ht="15.75" customHeight="1">
      <c r="C546" s="43"/>
    </row>
    <row r="547" ht="15.75" customHeight="1">
      <c r="C547" s="43"/>
    </row>
    <row r="548" ht="15.75" customHeight="1">
      <c r="C548" s="43"/>
    </row>
    <row r="549" ht="15.75" customHeight="1">
      <c r="C549" s="43"/>
    </row>
    <row r="550" ht="15.75" customHeight="1">
      <c r="C550" s="43"/>
    </row>
    <row r="551" ht="15.75" customHeight="1">
      <c r="C551" s="43"/>
    </row>
    <row r="552" ht="15.75" customHeight="1">
      <c r="C552" s="43"/>
    </row>
    <row r="553" ht="15.75" customHeight="1">
      <c r="C553" s="43"/>
    </row>
    <row r="554" ht="15.75" customHeight="1">
      <c r="C554" s="43"/>
    </row>
    <row r="555" ht="15.75" customHeight="1">
      <c r="C555" s="43"/>
    </row>
    <row r="556" ht="15.75" customHeight="1">
      <c r="C556" s="43"/>
    </row>
    <row r="557" ht="15.75" customHeight="1">
      <c r="C557" s="43"/>
    </row>
    <row r="558" ht="15.75" customHeight="1">
      <c r="C558" s="43"/>
    </row>
    <row r="559" ht="15.75" customHeight="1">
      <c r="C559" s="43"/>
    </row>
    <row r="560" ht="15.75" customHeight="1">
      <c r="C560" s="43"/>
    </row>
    <row r="561" ht="15.75" customHeight="1">
      <c r="C561" s="43"/>
    </row>
    <row r="562" ht="15.75" customHeight="1">
      <c r="C562" s="43"/>
    </row>
    <row r="563" ht="15.75" customHeight="1">
      <c r="C563" s="43"/>
    </row>
    <row r="564" ht="15.75" customHeight="1">
      <c r="C564" s="43"/>
    </row>
    <row r="565" ht="15.75" customHeight="1">
      <c r="C565" s="43"/>
    </row>
    <row r="566" ht="15.75" customHeight="1">
      <c r="C566" s="43"/>
    </row>
    <row r="567" ht="15.75" customHeight="1">
      <c r="C567" s="43"/>
    </row>
    <row r="568" ht="15.75" customHeight="1">
      <c r="C568" s="43"/>
    </row>
    <row r="569" ht="15.75" customHeight="1">
      <c r="C569" s="43"/>
    </row>
    <row r="570" ht="15.75" customHeight="1">
      <c r="C570" s="43"/>
    </row>
    <row r="571" ht="15.75" customHeight="1">
      <c r="C571" s="43"/>
    </row>
    <row r="572" ht="15.75" customHeight="1">
      <c r="C572" s="43"/>
    </row>
    <row r="573" ht="15.75" customHeight="1">
      <c r="C573" s="43"/>
    </row>
    <row r="574" ht="15.75" customHeight="1">
      <c r="C574" s="43"/>
    </row>
    <row r="575" ht="15.75" customHeight="1">
      <c r="C575" s="43"/>
    </row>
    <row r="576" ht="15.75" customHeight="1">
      <c r="C576" s="43"/>
    </row>
    <row r="577" ht="15.75" customHeight="1">
      <c r="C577" s="43"/>
    </row>
    <row r="578" ht="15.75" customHeight="1">
      <c r="C578" s="43"/>
    </row>
    <row r="579" ht="15.75" customHeight="1">
      <c r="C579" s="43"/>
    </row>
    <row r="580" ht="15.75" customHeight="1">
      <c r="C580" s="43"/>
    </row>
    <row r="581" ht="15.75" customHeight="1">
      <c r="C581" s="43"/>
    </row>
    <row r="582" ht="15.75" customHeight="1">
      <c r="C582" s="43"/>
    </row>
    <row r="583" ht="15.75" customHeight="1">
      <c r="C583" s="43"/>
    </row>
    <row r="584" ht="15.75" customHeight="1">
      <c r="C584" s="43"/>
    </row>
    <row r="585" ht="15.75" customHeight="1">
      <c r="C585" s="43"/>
    </row>
    <row r="586" ht="15.75" customHeight="1">
      <c r="C586" s="43"/>
    </row>
    <row r="587" ht="15.75" customHeight="1">
      <c r="C587" s="43"/>
    </row>
    <row r="588" ht="15.75" customHeight="1">
      <c r="C588" s="43"/>
    </row>
    <row r="589" ht="15.75" customHeight="1">
      <c r="C589" s="43"/>
    </row>
    <row r="590" ht="15.75" customHeight="1">
      <c r="C590" s="43"/>
    </row>
    <row r="591" ht="15.75" customHeight="1">
      <c r="C591" s="43"/>
    </row>
    <row r="592" ht="15.75" customHeight="1">
      <c r="C592" s="43"/>
    </row>
    <row r="593" ht="15.75" customHeight="1">
      <c r="C593" s="43"/>
    </row>
    <row r="594" ht="15.75" customHeight="1">
      <c r="C594" s="43"/>
    </row>
    <row r="595" ht="15.75" customHeight="1">
      <c r="C595" s="43"/>
    </row>
    <row r="596" ht="15.75" customHeight="1">
      <c r="C596" s="43"/>
    </row>
    <row r="597" ht="15.75" customHeight="1">
      <c r="C597" s="43"/>
    </row>
    <row r="598" ht="15.75" customHeight="1">
      <c r="C598" s="43"/>
    </row>
    <row r="599" ht="15.75" customHeight="1">
      <c r="C599" s="43"/>
    </row>
    <row r="600" ht="15.75" customHeight="1">
      <c r="C600" s="43"/>
    </row>
    <row r="601" ht="15.75" customHeight="1">
      <c r="C601" s="43"/>
    </row>
    <row r="602" ht="15.75" customHeight="1">
      <c r="C602" s="43"/>
    </row>
    <row r="603" ht="15.75" customHeight="1">
      <c r="C603" s="43"/>
    </row>
    <row r="604" ht="15.75" customHeight="1">
      <c r="C604" s="43"/>
    </row>
    <row r="605" ht="15.75" customHeight="1">
      <c r="C605" s="43"/>
    </row>
    <row r="606" ht="15.75" customHeight="1">
      <c r="C606" s="43"/>
    </row>
    <row r="607" ht="15.75" customHeight="1">
      <c r="C607" s="43"/>
    </row>
    <row r="608" ht="15.75" customHeight="1">
      <c r="C608" s="43"/>
    </row>
    <row r="609" ht="15.75" customHeight="1">
      <c r="C609" s="43"/>
    </row>
    <row r="610" ht="15.75" customHeight="1">
      <c r="C610" s="43"/>
    </row>
    <row r="611" ht="15.75" customHeight="1">
      <c r="C611" s="43"/>
    </row>
    <row r="612" ht="15.75" customHeight="1">
      <c r="C612" s="43"/>
    </row>
    <row r="613" ht="15.75" customHeight="1">
      <c r="C613" s="43"/>
    </row>
    <row r="614" ht="15.75" customHeight="1">
      <c r="C614" s="43"/>
    </row>
    <row r="615" ht="15.75" customHeight="1">
      <c r="C615" s="43"/>
    </row>
    <row r="616" ht="15.75" customHeight="1">
      <c r="C616" s="43"/>
    </row>
    <row r="617" ht="15.75" customHeight="1">
      <c r="C617" s="43"/>
    </row>
    <row r="618" ht="15.75" customHeight="1">
      <c r="C618" s="43"/>
    </row>
    <row r="619" ht="15.75" customHeight="1">
      <c r="C619" s="43"/>
    </row>
    <row r="620" ht="15.75" customHeight="1">
      <c r="C620" s="43"/>
    </row>
    <row r="621" ht="15.75" customHeight="1">
      <c r="C621" s="43"/>
    </row>
    <row r="622" ht="15.75" customHeight="1">
      <c r="C622" s="43"/>
    </row>
    <row r="623" ht="15.75" customHeight="1">
      <c r="C623" s="43"/>
    </row>
    <row r="624" ht="15.75" customHeight="1">
      <c r="C624" s="43"/>
    </row>
    <row r="625" ht="15.75" customHeight="1">
      <c r="C625" s="43"/>
    </row>
    <row r="626" ht="15.75" customHeight="1">
      <c r="C626" s="43"/>
    </row>
    <row r="627" ht="15.75" customHeight="1">
      <c r="C627" s="43"/>
    </row>
    <row r="628" ht="15.75" customHeight="1">
      <c r="C628" s="43"/>
    </row>
    <row r="629" ht="15.75" customHeight="1">
      <c r="C629" s="43"/>
    </row>
    <row r="630" ht="15.75" customHeight="1">
      <c r="C630" s="43"/>
    </row>
    <row r="631" ht="15.75" customHeight="1">
      <c r="C631" s="43"/>
    </row>
    <row r="632" ht="15.75" customHeight="1">
      <c r="C632" s="43"/>
    </row>
    <row r="633" ht="15.75" customHeight="1">
      <c r="C633" s="43"/>
    </row>
    <row r="634" ht="15.75" customHeight="1">
      <c r="C634" s="43"/>
    </row>
    <row r="635" ht="15.75" customHeight="1">
      <c r="C635" s="43"/>
    </row>
    <row r="636" ht="15.75" customHeight="1">
      <c r="C636" s="43"/>
    </row>
    <row r="637" ht="15.75" customHeight="1">
      <c r="C637" s="43"/>
    </row>
    <row r="638" ht="15.75" customHeight="1">
      <c r="C638" s="43"/>
    </row>
    <row r="639" ht="15.75" customHeight="1">
      <c r="C639" s="43"/>
    </row>
    <row r="640" ht="15.75" customHeight="1">
      <c r="C640" s="43"/>
    </row>
    <row r="641" ht="15.75" customHeight="1">
      <c r="C641" s="43"/>
    </row>
    <row r="642" ht="15.75" customHeight="1">
      <c r="C642" s="43"/>
    </row>
    <row r="643" ht="15.75" customHeight="1">
      <c r="C643" s="43"/>
    </row>
    <row r="644" ht="15.75" customHeight="1">
      <c r="C644" s="43"/>
    </row>
    <row r="645" ht="15.75" customHeight="1">
      <c r="C645" s="43"/>
    </row>
    <row r="646" ht="15.75" customHeight="1">
      <c r="C646" s="43"/>
    </row>
    <row r="647" ht="15.75" customHeight="1">
      <c r="C647" s="43"/>
    </row>
    <row r="648" ht="15.75" customHeight="1">
      <c r="C648" s="43"/>
    </row>
    <row r="649" ht="15.75" customHeight="1">
      <c r="C649" s="43"/>
    </row>
    <row r="650" ht="15.75" customHeight="1">
      <c r="C650" s="43"/>
    </row>
    <row r="651" ht="15.75" customHeight="1">
      <c r="C651" s="43"/>
    </row>
    <row r="652" ht="15.75" customHeight="1">
      <c r="C652" s="43"/>
    </row>
    <row r="653" ht="15.75" customHeight="1">
      <c r="C653" s="43"/>
    </row>
    <row r="654" ht="15.75" customHeight="1">
      <c r="C654" s="43"/>
    </row>
    <row r="655" ht="15.75" customHeight="1">
      <c r="C655" s="43"/>
    </row>
    <row r="656" ht="15.75" customHeight="1">
      <c r="C656" s="43"/>
    </row>
    <row r="657" ht="15.75" customHeight="1">
      <c r="C657" s="43"/>
    </row>
    <row r="658" ht="15.75" customHeight="1">
      <c r="C658" s="43"/>
    </row>
    <row r="659" ht="15.75" customHeight="1">
      <c r="C659" s="43"/>
    </row>
    <row r="660" ht="15.75" customHeight="1">
      <c r="C660" s="43"/>
    </row>
    <row r="661" ht="15.75" customHeight="1">
      <c r="C661" s="43"/>
    </row>
    <row r="662" ht="15.75" customHeight="1">
      <c r="C662" s="43"/>
    </row>
    <row r="663" ht="15.75" customHeight="1">
      <c r="C663" s="43"/>
    </row>
    <row r="664" ht="15.75" customHeight="1">
      <c r="C664" s="43"/>
    </row>
    <row r="665" ht="15.75" customHeight="1">
      <c r="C665" s="43"/>
    </row>
    <row r="666" ht="15.75" customHeight="1">
      <c r="C666" s="43"/>
    </row>
    <row r="667" ht="15.75" customHeight="1">
      <c r="C667" s="43"/>
    </row>
    <row r="668" ht="15.75" customHeight="1">
      <c r="C668" s="43"/>
    </row>
    <row r="669" ht="15.75" customHeight="1">
      <c r="C669" s="43"/>
    </row>
    <row r="670" ht="15.75" customHeight="1">
      <c r="C670" s="43"/>
    </row>
    <row r="671" ht="15.75" customHeight="1">
      <c r="C671" s="43"/>
    </row>
    <row r="672" ht="15.75" customHeight="1">
      <c r="C672" s="43"/>
    </row>
    <row r="673" ht="15.75" customHeight="1">
      <c r="C673" s="43"/>
    </row>
    <row r="674" ht="15.75" customHeight="1">
      <c r="C674" s="43"/>
    </row>
    <row r="675" ht="15.75" customHeight="1">
      <c r="C675" s="43"/>
    </row>
    <row r="676" ht="15.75" customHeight="1">
      <c r="C676" s="43"/>
    </row>
    <row r="677" ht="15.75" customHeight="1">
      <c r="C677" s="43"/>
    </row>
    <row r="678" ht="15.75" customHeight="1">
      <c r="C678" s="43"/>
    </row>
    <row r="679" ht="15.75" customHeight="1">
      <c r="C679" s="43"/>
    </row>
    <row r="680" ht="15.75" customHeight="1">
      <c r="C680" s="43"/>
    </row>
    <row r="681" ht="15.75" customHeight="1">
      <c r="C681" s="43"/>
    </row>
    <row r="682" ht="15.75" customHeight="1">
      <c r="C682" s="43"/>
    </row>
    <row r="683" ht="15.75" customHeight="1">
      <c r="C683" s="43"/>
    </row>
    <row r="684" ht="15.75" customHeight="1">
      <c r="C684" s="43"/>
    </row>
    <row r="685" ht="15.75" customHeight="1">
      <c r="C685" s="43"/>
    </row>
    <row r="686" ht="15.75" customHeight="1">
      <c r="C686" s="43"/>
    </row>
    <row r="687" ht="15.75" customHeight="1">
      <c r="C687" s="43"/>
    </row>
    <row r="688" ht="15.75" customHeight="1">
      <c r="C688" s="43"/>
    </row>
    <row r="689" ht="15.75" customHeight="1">
      <c r="C689" s="43"/>
    </row>
    <row r="690" ht="15.75" customHeight="1">
      <c r="C690" s="43"/>
    </row>
    <row r="691" ht="15.75" customHeight="1">
      <c r="C691" s="43"/>
    </row>
    <row r="692" ht="15.75" customHeight="1">
      <c r="C692" s="43"/>
    </row>
    <row r="693" ht="15.75" customHeight="1">
      <c r="C693" s="43"/>
    </row>
    <row r="694" ht="15.75" customHeight="1">
      <c r="C694" s="43"/>
    </row>
    <row r="695" ht="15.75" customHeight="1">
      <c r="C695" s="43"/>
    </row>
    <row r="696" ht="15.75" customHeight="1">
      <c r="C696" s="43"/>
    </row>
    <row r="697" ht="15.75" customHeight="1">
      <c r="C697" s="43"/>
    </row>
    <row r="698" ht="15.75" customHeight="1">
      <c r="C698" s="43"/>
    </row>
    <row r="699" ht="15.75" customHeight="1">
      <c r="C699" s="43"/>
    </row>
    <row r="700" ht="15.75" customHeight="1">
      <c r="C700" s="43"/>
    </row>
    <row r="701" ht="15.75" customHeight="1">
      <c r="C701" s="43"/>
    </row>
    <row r="702" ht="15.75" customHeight="1">
      <c r="C702" s="43"/>
    </row>
    <row r="703" ht="15.75" customHeight="1">
      <c r="C703" s="43"/>
    </row>
    <row r="704" ht="15.75" customHeight="1">
      <c r="C704" s="43"/>
    </row>
    <row r="705" ht="15.75" customHeight="1">
      <c r="C705" s="43"/>
    </row>
    <row r="706" ht="15.75" customHeight="1">
      <c r="C706" s="43"/>
    </row>
    <row r="707" ht="15.75" customHeight="1">
      <c r="C707" s="43"/>
    </row>
    <row r="708" ht="15.75" customHeight="1">
      <c r="C708" s="43"/>
    </row>
    <row r="709" ht="15.75" customHeight="1">
      <c r="C709" s="43"/>
    </row>
    <row r="710" ht="15.75" customHeight="1">
      <c r="C710" s="43"/>
    </row>
    <row r="711" ht="15.75" customHeight="1">
      <c r="C711" s="43"/>
    </row>
    <row r="712" ht="15.75" customHeight="1">
      <c r="C712" s="43"/>
    </row>
    <row r="713" ht="15.75" customHeight="1">
      <c r="C713" s="43"/>
    </row>
    <row r="714" ht="15.75" customHeight="1">
      <c r="C714" s="43"/>
    </row>
    <row r="715" ht="15.75" customHeight="1">
      <c r="C715" s="43"/>
    </row>
    <row r="716" ht="15.75" customHeight="1">
      <c r="C716" s="43"/>
    </row>
    <row r="717" ht="15.75" customHeight="1">
      <c r="C717" s="43"/>
    </row>
    <row r="718" ht="15.75" customHeight="1">
      <c r="C718" s="43"/>
    </row>
    <row r="719" ht="15.75" customHeight="1">
      <c r="C719" s="43"/>
    </row>
    <row r="720" ht="15.75" customHeight="1">
      <c r="C720" s="43"/>
    </row>
    <row r="721" ht="15.75" customHeight="1">
      <c r="C721" s="43"/>
    </row>
    <row r="722" ht="15.75" customHeight="1">
      <c r="C722" s="43"/>
    </row>
    <row r="723" ht="15.75" customHeight="1">
      <c r="C723" s="43"/>
    </row>
    <row r="724" ht="15.75" customHeight="1">
      <c r="C724" s="43"/>
    </row>
    <row r="725" ht="15.75" customHeight="1">
      <c r="C725" s="43"/>
    </row>
    <row r="726" ht="15.75" customHeight="1">
      <c r="C726" s="43"/>
    </row>
    <row r="727" ht="15.75" customHeight="1">
      <c r="C727" s="43"/>
    </row>
    <row r="728" ht="15.75" customHeight="1">
      <c r="C728" s="43"/>
    </row>
    <row r="729" ht="15.75" customHeight="1">
      <c r="C729" s="43"/>
    </row>
    <row r="730" ht="15.75" customHeight="1">
      <c r="C730" s="43"/>
    </row>
    <row r="731" ht="15.75" customHeight="1">
      <c r="C731" s="43"/>
    </row>
    <row r="732" ht="15.75" customHeight="1">
      <c r="C732" s="43"/>
    </row>
    <row r="733" ht="15.75" customHeight="1">
      <c r="C733" s="43"/>
    </row>
    <row r="734" ht="15.75" customHeight="1">
      <c r="C734" s="43"/>
    </row>
    <row r="735" ht="15.75" customHeight="1">
      <c r="C735" s="43"/>
    </row>
    <row r="736" ht="15.75" customHeight="1">
      <c r="C736" s="43"/>
    </row>
    <row r="737" ht="15.75" customHeight="1">
      <c r="C737" s="43"/>
    </row>
    <row r="738" ht="15.75" customHeight="1">
      <c r="C738" s="43"/>
    </row>
    <row r="739" ht="15.75" customHeight="1">
      <c r="C739" s="43"/>
    </row>
    <row r="740" ht="15.75" customHeight="1">
      <c r="C740" s="43"/>
    </row>
    <row r="741" ht="15.75" customHeight="1">
      <c r="C741" s="43"/>
    </row>
    <row r="742" ht="15.75" customHeight="1">
      <c r="C742" s="43"/>
    </row>
    <row r="743" ht="15.75" customHeight="1">
      <c r="C743" s="43"/>
    </row>
    <row r="744" ht="15.75" customHeight="1">
      <c r="C744" s="43"/>
    </row>
    <row r="745" ht="15.75" customHeight="1">
      <c r="C745" s="43"/>
    </row>
    <row r="746" ht="15.75" customHeight="1">
      <c r="C746" s="43"/>
    </row>
    <row r="747" ht="15.75" customHeight="1">
      <c r="C747" s="43"/>
    </row>
    <row r="748" ht="15.75" customHeight="1">
      <c r="C748" s="43"/>
    </row>
    <row r="749" ht="15.75" customHeight="1">
      <c r="C749" s="43"/>
    </row>
    <row r="750" ht="15.75" customHeight="1">
      <c r="C750" s="43"/>
    </row>
    <row r="751" ht="15.75" customHeight="1">
      <c r="C751" s="43"/>
    </row>
    <row r="752" ht="15.75" customHeight="1">
      <c r="C752" s="43"/>
    </row>
    <row r="753" ht="15.75" customHeight="1">
      <c r="C753" s="43"/>
    </row>
    <row r="754" ht="15.75" customHeight="1">
      <c r="C754" s="43"/>
    </row>
    <row r="755" ht="15.75" customHeight="1">
      <c r="C755" s="43"/>
    </row>
    <row r="756" ht="15.75" customHeight="1">
      <c r="C756" s="43"/>
    </row>
    <row r="757" ht="15.75" customHeight="1">
      <c r="C757" s="43"/>
    </row>
    <row r="758" ht="15.75" customHeight="1">
      <c r="C758" s="43"/>
    </row>
    <row r="759" ht="15.75" customHeight="1">
      <c r="C759" s="43"/>
    </row>
    <row r="760" ht="15.75" customHeight="1">
      <c r="C760" s="43"/>
    </row>
    <row r="761" ht="15.75" customHeight="1">
      <c r="C761" s="43"/>
    </row>
    <row r="762" ht="15.75" customHeight="1">
      <c r="C762" s="43"/>
    </row>
    <row r="763" ht="15.75" customHeight="1">
      <c r="C763" s="43"/>
    </row>
    <row r="764" ht="15.75" customHeight="1">
      <c r="C764" s="43"/>
    </row>
    <row r="765" ht="15.75" customHeight="1">
      <c r="C765" s="43"/>
    </row>
    <row r="766" ht="15.75" customHeight="1">
      <c r="C766" s="43"/>
    </row>
    <row r="767" ht="15.75" customHeight="1">
      <c r="C767" s="43"/>
    </row>
    <row r="768" ht="15.75" customHeight="1">
      <c r="C768" s="43"/>
    </row>
    <row r="769" ht="15.75" customHeight="1">
      <c r="C769" s="43"/>
    </row>
    <row r="770" ht="15.75" customHeight="1">
      <c r="C770" s="43"/>
    </row>
    <row r="771" ht="15.75" customHeight="1">
      <c r="C771" s="43"/>
    </row>
    <row r="772" ht="15.75" customHeight="1">
      <c r="C772" s="43"/>
    </row>
    <row r="773" ht="15.75" customHeight="1">
      <c r="C773" s="43"/>
    </row>
    <row r="774" ht="15.75" customHeight="1">
      <c r="C774" s="43"/>
    </row>
    <row r="775" ht="15.75" customHeight="1">
      <c r="C775" s="43"/>
    </row>
    <row r="776" ht="15.75" customHeight="1">
      <c r="C776" s="43"/>
    </row>
    <row r="777" ht="15.75" customHeight="1">
      <c r="C777" s="43"/>
    </row>
    <row r="778" ht="15.75" customHeight="1">
      <c r="C778" s="43"/>
    </row>
    <row r="779" ht="15.75" customHeight="1">
      <c r="C779" s="43"/>
    </row>
    <row r="780" ht="15.75" customHeight="1">
      <c r="C780" s="43"/>
    </row>
    <row r="781" ht="15.75" customHeight="1">
      <c r="C781" s="43"/>
    </row>
    <row r="782" ht="15.75" customHeight="1">
      <c r="C782" s="43"/>
    </row>
    <row r="783" ht="15.75" customHeight="1">
      <c r="C783" s="43"/>
    </row>
    <row r="784" ht="15.75" customHeight="1">
      <c r="C784" s="43"/>
    </row>
    <row r="785" ht="15.75" customHeight="1">
      <c r="C785" s="43"/>
    </row>
    <row r="786" ht="15.75" customHeight="1">
      <c r="C786" s="43"/>
    </row>
    <row r="787" ht="15.75" customHeight="1">
      <c r="C787" s="43"/>
    </row>
    <row r="788" ht="15.75" customHeight="1">
      <c r="C788" s="43"/>
    </row>
    <row r="789" ht="15.75" customHeight="1">
      <c r="C789" s="43"/>
    </row>
    <row r="790" ht="15.75" customHeight="1">
      <c r="C790" s="43"/>
    </row>
    <row r="791" ht="15.75" customHeight="1">
      <c r="C791" s="43"/>
    </row>
    <row r="792" ht="15.75" customHeight="1">
      <c r="C792" s="43"/>
    </row>
    <row r="793" ht="15.75" customHeight="1">
      <c r="C793" s="43"/>
    </row>
    <row r="794" ht="15.75" customHeight="1">
      <c r="C794" s="43"/>
    </row>
    <row r="795" ht="15.75" customHeight="1">
      <c r="C795" s="43"/>
    </row>
    <row r="796" ht="15.75" customHeight="1">
      <c r="C796" s="43"/>
    </row>
    <row r="797" ht="15.75" customHeight="1">
      <c r="C797" s="43"/>
    </row>
    <row r="798" ht="15.75" customHeight="1">
      <c r="C798" s="43"/>
    </row>
    <row r="799" ht="15.75" customHeight="1">
      <c r="C799" s="43"/>
    </row>
    <row r="800" ht="15.75" customHeight="1">
      <c r="C800" s="43"/>
    </row>
    <row r="801" ht="15.75" customHeight="1">
      <c r="C801" s="43"/>
    </row>
    <row r="802" ht="15.75" customHeight="1">
      <c r="C802" s="43"/>
    </row>
    <row r="803" ht="15.75" customHeight="1">
      <c r="C803" s="43"/>
    </row>
    <row r="804" ht="15.75" customHeight="1">
      <c r="C804" s="43"/>
    </row>
    <row r="805" ht="15.75" customHeight="1">
      <c r="C805" s="43"/>
    </row>
    <row r="806" ht="15.75" customHeight="1">
      <c r="C806" s="43"/>
    </row>
    <row r="807" ht="15.75" customHeight="1">
      <c r="C807" s="43"/>
    </row>
    <row r="808" ht="15.75" customHeight="1">
      <c r="C808" s="43"/>
    </row>
    <row r="809" ht="15.75" customHeight="1">
      <c r="C809" s="43"/>
    </row>
    <row r="810" ht="15.75" customHeight="1">
      <c r="C810" s="43"/>
    </row>
    <row r="811" ht="15.75" customHeight="1">
      <c r="C811" s="43"/>
    </row>
    <row r="812" ht="15.75" customHeight="1">
      <c r="C812" s="43"/>
    </row>
    <row r="813" ht="15.75" customHeight="1">
      <c r="C813" s="43"/>
    </row>
    <row r="814" ht="15.75" customHeight="1">
      <c r="C814" s="43"/>
    </row>
    <row r="815" ht="15.75" customHeight="1">
      <c r="C815" s="43"/>
    </row>
    <row r="816" ht="15.75" customHeight="1">
      <c r="C816" s="43"/>
    </row>
    <row r="817" ht="15.75" customHeight="1">
      <c r="C817" s="43"/>
    </row>
    <row r="818" ht="15.75" customHeight="1">
      <c r="C818" s="43"/>
    </row>
    <row r="819" ht="15.75" customHeight="1">
      <c r="C819" s="43"/>
    </row>
    <row r="820" ht="15.75" customHeight="1">
      <c r="C820" s="43"/>
    </row>
    <row r="821" ht="15.75" customHeight="1">
      <c r="C821" s="43"/>
    </row>
    <row r="822" ht="15.75" customHeight="1">
      <c r="C822" s="43"/>
    </row>
    <row r="823" ht="15.75" customHeight="1">
      <c r="C823" s="43"/>
    </row>
    <row r="824" ht="15.75" customHeight="1">
      <c r="C824" s="43"/>
    </row>
    <row r="825" ht="15.75" customHeight="1">
      <c r="C825" s="43"/>
    </row>
    <row r="826" ht="15.75" customHeight="1">
      <c r="C826" s="43"/>
    </row>
    <row r="827" ht="15.75" customHeight="1">
      <c r="C827" s="43"/>
    </row>
    <row r="828" ht="15.75" customHeight="1">
      <c r="C828" s="43"/>
    </row>
    <row r="829" ht="15.75" customHeight="1">
      <c r="C829" s="43"/>
    </row>
    <row r="830" ht="15.75" customHeight="1">
      <c r="C830" s="43"/>
    </row>
    <row r="831" ht="15.75" customHeight="1">
      <c r="C831" s="43"/>
    </row>
    <row r="832" ht="15.75" customHeight="1">
      <c r="C832" s="43"/>
    </row>
    <row r="833" ht="15.75" customHeight="1">
      <c r="C833" s="43"/>
    </row>
    <row r="834" ht="15.75" customHeight="1">
      <c r="C834" s="43"/>
    </row>
    <row r="835" ht="15.75" customHeight="1">
      <c r="C835" s="43"/>
    </row>
    <row r="836" ht="15.75" customHeight="1">
      <c r="C836" s="43"/>
    </row>
    <row r="837" ht="15.75" customHeight="1">
      <c r="C837" s="43"/>
    </row>
    <row r="838" ht="15.75" customHeight="1">
      <c r="C838" s="43"/>
    </row>
    <row r="839" ht="15.75" customHeight="1">
      <c r="C839" s="43"/>
    </row>
    <row r="840" ht="15.75" customHeight="1">
      <c r="C840" s="43"/>
    </row>
    <row r="841" ht="15.75" customHeight="1">
      <c r="C841" s="43"/>
    </row>
    <row r="842" ht="15.75" customHeight="1">
      <c r="C842" s="43"/>
    </row>
    <row r="843" ht="15.75" customHeight="1">
      <c r="C843" s="43"/>
    </row>
    <row r="844" ht="15.75" customHeight="1">
      <c r="C844" s="43"/>
    </row>
    <row r="845" ht="15.75" customHeight="1">
      <c r="C845" s="43"/>
    </row>
    <row r="846" ht="15.75" customHeight="1">
      <c r="C846" s="43"/>
    </row>
    <row r="847" ht="15.75" customHeight="1">
      <c r="C847" s="43"/>
    </row>
    <row r="848" ht="15.75" customHeight="1">
      <c r="C848" s="43"/>
    </row>
    <row r="849" ht="15.75" customHeight="1">
      <c r="C849" s="43"/>
    </row>
    <row r="850" ht="15.75" customHeight="1">
      <c r="C850" s="43"/>
    </row>
    <row r="851" ht="15.75" customHeight="1">
      <c r="C851" s="43"/>
    </row>
    <row r="852" ht="15.75" customHeight="1">
      <c r="C852" s="43"/>
    </row>
    <row r="853" ht="15.75" customHeight="1">
      <c r="C853" s="43"/>
    </row>
    <row r="854" ht="15.75" customHeight="1">
      <c r="C854" s="43"/>
    </row>
    <row r="855" ht="15.75" customHeight="1">
      <c r="C855" s="43"/>
    </row>
    <row r="856" ht="15.75" customHeight="1">
      <c r="C856" s="43"/>
    </row>
    <row r="857" ht="15.75" customHeight="1">
      <c r="C857" s="43"/>
    </row>
    <row r="858" ht="15.75" customHeight="1">
      <c r="C858" s="43"/>
    </row>
    <row r="859" ht="15.75" customHeight="1">
      <c r="C859" s="43"/>
    </row>
    <row r="860" ht="15.75" customHeight="1">
      <c r="C860" s="43"/>
    </row>
    <row r="861" ht="15.75" customHeight="1">
      <c r="C861" s="43"/>
    </row>
    <row r="862" ht="15.75" customHeight="1">
      <c r="C862" s="43"/>
    </row>
    <row r="863" ht="15.75" customHeight="1">
      <c r="C863" s="43"/>
    </row>
    <row r="864" ht="15.75" customHeight="1">
      <c r="C864" s="43"/>
    </row>
    <row r="865" ht="15.75" customHeight="1">
      <c r="C865" s="43"/>
    </row>
    <row r="866" ht="15.75" customHeight="1">
      <c r="C866" s="43"/>
    </row>
    <row r="867" ht="15.75" customHeight="1">
      <c r="C867" s="43"/>
    </row>
    <row r="868" ht="15.75" customHeight="1">
      <c r="C868" s="43"/>
    </row>
    <row r="869" ht="15.75" customHeight="1">
      <c r="C869" s="43"/>
    </row>
    <row r="870" ht="15.75" customHeight="1">
      <c r="C870" s="43"/>
    </row>
    <row r="871" ht="15.75" customHeight="1">
      <c r="C871" s="43"/>
    </row>
    <row r="872" ht="15.75" customHeight="1">
      <c r="C872" s="43"/>
    </row>
    <row r="873" ht="15.75" customHeight="1">
      <c r="C873" s="43"/>
    </row>
    <row r="874" ht="15.75" customHeight="1">
      <c r="C874" s="43"/>
    </row>
    <row r="875" ht="15.75" customHeight="1">
      <c r="C875" s="43"/>
    </row>
    <row r="876" ht="15.75" customHeight="1">
      <c r="C876" s="43"/>
    </row>
    <row r="877" ht="15.75" customHeight="1">
      <c r="C877" s="43"/>
    </row>
    <row r="878" ht="15.75" customHeight="1">
      <c r="C878" s="43"/>
    </row>
    <row r="879" ht="15.75" customHeight="1">
      <c r="C879" s="43"/>
    </row>
    <row r="880" ht="15.75" customHeight="1">
      <c r="C880" s="43"/>
    </row>
    <row r="881" ht="15.75" customHeight="1">
      <c r="C881" s="43"/>
    </row>
    <row r="882" ht="15.75" customHeight="1">
      <c r="C882" s="43"/>
    </row>
    <row r="883" ht="15.75" customHeight="1">
      <c r="C883" s="43"/>
    </row>
    <row r="884" ht="15.75" customHeight="1">
      <c r="C884" s="43"/>
    </row>
    <row r="885" ht="15.75" customHeight="1">
      <c r="C885" s="43"/>
    </row>
    <row r="886" ht="15.75" customHeight="1">
      <c r="C886" s="43"/>
    </row>
    <row r="887" ht="15.75" customHeight="1">
      <c r="C887" s="43"/>
    </row>
    <row r="888" ht="15.75" customHeight="1">
      <c r="C888" s="43"/>
    </row>
    <row r="889" ht="15.75" customHeight="1">
      <c r="C889" s="43"/>
    </row>
    <row r="890" ht="15.75" customHeight="1">
      <c r="C890" s="43"/>
    </row>
    <row r="891" ht="15.75" customHeight="1">
      <c r="C891" s="43"/>
    </row>
    <row r="892" ht="15.75" customHeight="1">
      <c r="C892" s="43"/>
    </row>
    <row r="893" ht="15.75" customHeight="1">
      <c r="C893" s="43"/>
    </row>
    <row r="894" ht="15.75" customHeight="1">
      <c r="C894" s="43"/>
    </row>
    <row r="895" ht="15.75" customHeight="1">
      <c r="C895" s="43"/>
    </row>
    <row r="896" ht="15.75" customHeight="1">
      <c r="C896" s="43"/>
    </row>
    <row r="897" ht="15.75" customHeight="1">
      <c r="C897" s="43"/>
    </row>
    <row r="898" ht="15.75" customHeight="1">
      <c r="C898" s="43"/>
    </row>
    <row r="899" ht="15.75" customHeight="1">
      <c r="C899" s="43"/>
    </row>
    <row r="900" ht="15.75" customHeight="1">
      <c r="C900" s="43"/>
    </row>
    <row r="901" ht="15.75" customHeight="1">
      <c r="C901" s="43"/>
    </row>
    <row r="902" ht="15.75" customHeight="1">
      <c r="C902" s="43"/>
    </row>
    <row r="903" ht="15.75" customHeight="1">
      <c r="C903" s="43"/>
    </row>
    <row r="904" ht="15.75" customHeight="1">
      <c r="C904" s="43"/>
    </row>
    <row r="905" ht="15.75" customHeight="1">
      <c r="C905" s="43"/>
    </row>
    <row r="906" ht="15.75" customHeight="1">
      <c r="C906" s="43"/>
    </row>
    <row r="907" ht="15.75" customHeight="1">
      <c r="C907" s="43"/>
    </row>
    <row r="908" ht="15.75" customHeight="1">
      <c r="C908" s="43"/>
    </row>
    <row r="909" ht="15.75" customHeight="1">
      <c r="C909" s="43"/>
    </row>
    <row r="910" ht="15.75" customHeight="1">
      <c r="C910" s="43"/>
    </row>
    <row r="911" ht="15.75" customHeight="1">
      <c r="C911" s="43"/>
    </row>
    <row r="912" ht="15.75" customHeight="1">
      <c r="C912" s="43"/>
    </row>
    <row r="913" ht="15.75" customHeight="1">
      <c r="C913" s="43"/>
    </row>
    <row r="914" ht="15.75" customHeight="1">
      <c r="C914" s="43"/>
    </row>
    <row r="915" ht="15.75" customHeight="1">
      <c r="C915" s="43"/>
    </row>
    <row r="916" ht="15.75" customHeight="1">
      <c r="C916" s="43"/>
    </row>
    <row r="917" ht="15.75" customHeight="1">
      <c r="C917" s="43"/>
    </row>
    <row r="918" ht="15.75" customHeight="1">
      <c r="C918" s="43"/>
    </row>
    <row r="919" ht="15.75" customHeight="1">
      <c r="C919" s="43"/>
    </row>
    <row r="920" ht="15.75" customHeight="1">
      <c r="C920" s="43"/>
    </row>
    <row r="921" ht="15.75" customHeight="1">
      <c r="C921" s="43"/>
    </row>
    <row r="922" ht="15.75" customHeight="1">
      <c r="C922" s="43"/>
    </row>
    <row r="923" ht="15.75" customHeight="1">
      <c r="C923" s="43"/>
    </row>
    <row r="924" ht="15.75" customHeight="1">
      <c r="C924" s="43"/>
    </row>
    <row r="925" ht="15.75" customHeight="1">
      <c r="C925" s="43"/>
    </row>
    <row r="926" ht="15.75" customHeight="1">
      <c r="C926" s="43"/>
    </row>
    <row r="927" ht="15.75" customHeight="1">
      <c r="C927" s="43"/>
    </row>
    <row r="928" ht="15.75" customHeight="1">
      <c r="C928" s="43"/>
    </row>
    <row r="929" ht="15.75" customHeight="1">
      <c r="C929" s="43"/>
    </row>
    <row r="930" ht="15.75" customHeight="1">
      <c r="C930" s="43"/>
    </row>
    <row r="931" ht="15.75" customHeight="1">
      <c r="C931" s="43"/>
    </row>
    <row r="932" ht="15.75" customHeight="1">
      <c r="C932" s="43"/>
    </row>
    <row r="933" ht="15.75" customHeight="1">
      <c r="C933" s="43"/>
    </row>
    <row r="934" ht="15.75" customHeight="1">
      <c r="C934" s="43"/>
    </row>
    <row r="935" ht="15.75" customHeight="1">
      <c r="C935" s="43"/>
    </row>
    <row r="936" ht="15.75" customHeight="1">
      <c r="C936" s="43"/>
    </row>
    <row r="937" ht="15.75" customHeight="1">
      <c r="C937" s="43"/>
    </row>
    <row r="938" ht="15.75" customHeight="1">
      <c r="C938" s="43"/>
    </row>
    <row r="939" ht="15.75" customHeight="1">
      <c r="C939" s="43"/>
    </row>
    <row r="940" ht="15.75" customHeight="1">
      <c r="C940" s="43"/>
    </row>
    <row r="941" ht="15.75" customHeight="1">
      <c r="C941" s="43"/>
    </row>
    <row r="942" ht="15.75" customHeight="1">
      <c r="C942" s="43"/>
    </row>
    <row r="943" ht="15.75" customHeight="1">
      <c r="C943" s="43"/>
    </row>
    <row r="944" ht="15.75" customHeight="1">
      <c r="C944" s="43"/>
    </row>
    <row r="945" ht="15.75" customHeight="1">
      <c r="C945" s="43"/>
    </row>
    <row r="946" ht="15.75" customHeight="1">
      <c r="C946" s="43"/>
    </row>
    <row r="947" ht="15.75" customHeight="1">
      <c r="C947" s="43"/>
    </row>
    <row r="948" ht="15.75" customHeight="1">
      <c r="C948" s="43"/>
    </row>
    <row r="949" ht="15.75" customHeight="1">
      <c r="C949" s="43"/>
    </row>
    <row r="950" ht="15.75" customHeight="1">
      <c r="C950" s="43"/>
    </row>
    <row r="951" ht="15.75" customHeight="1">
      <c r="C951" s="43"/>
    </row>
    <row r="952" ht="15.75" customHeight="1">
      <c r="C952" s="43"/>
    </row>
    <row r="953" ht="15.75" customHeight="1">
      <c r="C953" s="43"/>
    </row>
    <row r="954" ht="15.75" customHeight="1">
      <c r="C954" s="43"/>
    </row>
    <row r="955" ht="15.75" customHeight="1">
      <c r="C955" s="43"/>
    </row>
    <row r="956" ht="15.75" customHeight="1">
      <c r="C956" s="43"/>
    </row>
    <row r="957" ht="15.75" customHeight="1">
      <c r="C957" s="43"/>
    </row>
    <row r="958" ht="15.75" customHeight="1">
      <c r="C958" s="43"/>
    </row>
    <row r="959" ht="15.75" customHeight="1">
      <c r="C959" s="43"/>
    </row>
    <row r="960" ht="15.75" customHeight="1">
      <c r="C960" s="43"/>
    </row>
    <row r="961" ht="15.75" customHeight="1">
      <c r="C961" s="43"/>
    </row>
    <row r="962" ht="15.75" customHeight="1">
      <c r="C962" s="43"/>
    </row>
    <row r="963" ht="15.75" customHeight="1">
      <c r="C963" s="43"/>
    </row>
    <row r="964" ht="15.75" customHeight="1">
      <c r="C964" s="43"/>
    </row>
    <row r="965" ht="15.75" customHeight="1">
      <c r="C965" s="43"/>
    </row>
    <row r="966" ht="15.75" customHeight="1">
      <c r="C966" s="43"/>
    </row>
    <row r="967" ht="15.75" customHeight="1">
      <c r="C967" s="43"/>
    </row>
    <row r="968" ht="15.75" customHeight="1">
      <c r="C968" s="43"/>
    </row>
    <row r="969" ht="15.75" customHeight="1">
      <c r="C969" s="43"/>
    </row>
    <row r="970" ht="15.75" customHeight="1">
      <c r="C970" s="43"/>
    </row>
    <row r="971" ht="15.75" customHeight="1">
      <c r="C971" s="43"/>
    </row>
    <row r="972" ht="15.75" customHeight="1">
      <c r="C972" s="43"/>
    </row>
    <row r="973" ht="15.75" customHeight="1">
      <c r="C973" s="43"/>
    </row>
    <row r="974" ht="15.75" customHeight="1">
      <c r="C974" s="43"/>
    </row>
    <row r="975" ht="15.75" customHeight="1">
      <c r="C975" s="43"/>
    </row>
    <row r="976" ht="15.75" customHeight="1">
      <c r="C976" s="43"/>
    </row>
    <row r="977" ht="15.75" customHeight="1">
      <c r="C977" s="43"/>
    </row>
    <row r="978" ht="15.75" customHeight="1">
      <c r="C978" s="43"/>
    </row>
    <row r="979" ht="15.75" customHeight="1">
      <c r="C979" s="43"/>
    </row>
    <row r="980" ht="15.75" customHeight="1">
      <c r="C980" s="43"/>
    </row>
    <row r="981" ht="15.75" customHeight="1">
      <c r="C981" s="43"/>
    </row>
    <row r="982" ht="15.75" customHeight="1">
      <c r="C982" s="43"/>
    </row>
    <row r="983" ht="15.75" customHeight="1">
      <c r="C983" s="43"/>
    </row>
    <row r="984" ht="15.75" customHeight="1">
      <c r="C984" s="43"/>
    </row>
    <row r="985" ht="15.75" customHeight="1">
      <c r="C985" s="43"/>
    </row>
    <row r="986" ht="15.75" customHeight="1">
      <c r="C986" s="43"/>
    </row>
    <row r="987" ht="15.75" customHeight="1">
      <c r="C987" s="43"/>
    </row>
    <row r="988" ht="15.75" customHeight="1">
      <c r="C988" s="43"/>
    </row>
    <row r="989" ht="15.75" customHeight="1">
      <c r="C989" s="43"/>
    </row>
    <row r="990" ht="15.75" customHeight="1">
      <c r="C990" s="43"/>
    </row>
    <row r="991" ht="15.75" customHeight="1">
      <c r="C991" s="43"/>
    </row>
    <row r="992" ht="15.75" customHeight="1">
      <c r="C992" s="43"/>
    </row>
    <row r="993" ht="15.75" customHeight="1">
      <c r="C993" s="43"/>
    </row>
    <row r="994" ht="15.75" customHeight="1">
      <c r="C994" s="43"/>
    </row>
    <row r="995" ht="15.75" customHeight="1">
      <c r="C995" s="43"/>
    </row>
    <row r="996" ht="15.75" customHeight="1">
      <c r="C996" s="43"/>
    </row>
    <row r="997" ht="15.75" customHeight="1">
      <c r="C997" s="43"/>
    </row>
    <row r="998" ht="15.75" customHeight="1">
      <c r="C998" s="43"/>
    </row>
    <row r="999" ht="15.75" customHeight="1">
      <c r="C999" s="43"/>
    </row>
    <row r="1000" ht="15.75" customHeight="1">
      <c r="C1000" s="4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
      <c r="A2" s="28">
        <v>1.0</v>
      </c>
      <c r="B2" s="50" t="s">
        <v>208</v>
      </c>
    </row>
    <row r="3">
      <c r="A3" s="61">
        <f t="shared" ref="A3:A8" si="1">A2+1</f>
        <v>2</v>
      </c>
      <c r="B3" s="50" t="s">
        <v>37</v>
      </c>
    </row>
    <row r="4">
      <c r="A4" s="61">
        <f t="shared" si="1"/>
        <v>3</v>
      </c>
      <c r="B4" s="50" t="s">
        <v>115</v>
      </c>
    </row>
    <row r="5">
      <c r="A5" s="61">
        <f t="shared" si="1"/>
        <v>4</v>
      </c>
      <c r="B5" s="50" t="s">
        <v>154</v>
      </c>
    </row>
    <row r="6">
      <c r="A6" s="61">
        <f t="shared" si="1"/>
        <v>5</v>
      </c>
      <c r="B6" s="50" t="s">
        <v>168</v>
      </c>
    </row>
    <row r="7">
      <c r="A7" s="61">
        <f t="shared" si="1"/>
        <v>6</v>
      </c>
      <c r="B7" s="50" t="s">
        <v>200</v>
      </c>
    </row>
    <row r="8">
      <c r="A8" s="61">
        <f t="shared" si="1"/>
        <v>7</v>
      </c>
      <c r="B8" s="50" t="s">
        <v>261</v>
      </c>
    </row>
    <row r="10">
      <c r="B10" s="50"/>
    </row>
    <row r="11">
      <c r="B11" s="50"/>
    </row>
    <row r="12">
      <c r="B12" s="50"/>
    </row>
  </sheetData>
  <drawing r:id="rId1"/>
</worksheet>
</file>