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_Control" sheetId="1" state="visible" r:id="rId3"/>
    <sheet name="ReadMe_Scope" sheetId="2" state="visible" r:id="rId4"/>
    <sheet name="Defect_Classes" sheetId="3" state="visible" r:id="rId5"/>
    <sheet name="Lessons" sheetId="4" state="visible" r:id="rId6"/>
    <sheet name="Gate_Register" sheetId="5" state="visible" r:id="rId7"/>
    <sheet name="Phase_Gates" sheetId="6" state="visible" r:id="rId8"/>
    <sheet name="Walkthrough_Protocol" sheetId="7" state="visible" r:id="rId9"/>
    <sheet name="Rollout_Plan" sheetId="8" state="visible" r:id="rId10"/>
    <sheet name="Findings_Log" sheetId="9" state="visible" r:id="rId11"/>
    <sheet name="Baseline_Modules" sheetId="10" state="visible" r:id="rId12"/>
    <sheet name="Conformanc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<sst xmlns="http://schemas.openxmlformats.org/spreadsheetml/2006/main" count="552" uniqueCount="430">
  <si>
    <t xml:space="preserve">VERSION CONTROL — Marketplace Build Standard &amp; Review Protocol</t>
  </si>
  <si>
    <t xml:space="preserve">File naming: claude_v&lt;NNN&gt;_&lt;proper file name&gt;_YYYYMMDD_HHMI.xlsx. Portfolio-level: applies to all 12 products, not one.</t>
  </si>
  <si>
    <t xml:space="preserve">Version</t>
  </si>
  <si>
    <t xml:space="preserve">Date/Time</t>
  </si>
  <si>
    <t xml:space="preserve">Author</t>
  </si>
  <si>
    <t xml:space="preserve">Change Description</t>
  </si>
  <si>
    <t xml:space="preserve">Status</t>
  </si>
  <si>
    <t xml:space="preserve">v001</t>
  </si>
  <si>
    <t xml:space="preserve">2026-09-13 11:35</t>
  </si>
  <si>
    <t xml:space="preserve">Claude for Senthil/KP</t>
  </si>
  <si>
    <t xml:space="preserve">THIS FILE — the build standard, defect taxonomy, walkthrough protocol and gate rollout plan, derived from the actual defect record of 11 products (10-13 Sep 2026: cold reviews, verification sweeps, artifact-gap audits). Every class in Defect_Classes was found AFTER a product reached 100% coverage, in more than one product. Answers 'do all properly': (1) rollout plan per product with expected classes, (2) the walkthrough protocol as 12 named probes each tied to a real defect, (3) the standard folded into a revised definition of done. Executing (1) and (2) needs the repos in hand — this file is the instrument, not the execution.</t>
  </si>
  <si>
    <t xml:space="preserve">Released</t>
  </si>
  <si>
    <t xml:space="preserve">v002</t>
  </si>
  <si>
    <t xml:space="preserve">2026-09-13 11:51</t>
  </si>
  <si>
    <t xml:space="preserve">MARKETPLACE BASELINE SHIPPED — the other half of the standard. The gates catch 7 of the 13 classes; the remaining six are not gateable, they are things code either does or does not do, and each had already been retrofitted into several products AFTER they reached 100% coverage. The baseline package does that retrofit once: tenantData (DC-01, 8 products), ledger (DC-02, 7), writeGate incl. the payment-recovery path whose absence was the defect in six (DC-03/DC-10), csv (DC-04, 5), backoff with a real default sleep and Retry-After in seconds (DC-06, 5), identity derived server-side (DC-07, 4), tenancy with per-tenant ids from day one (DC-11, 2), asyncRouter (DC-13, open portfolio-wide). 30 tests, 100% x4, zero pragmas, no runtime dependencies; every test written as the defect it prevents, in the shape that defect actually took. New Baseline_Modules sheet maps class to module to adoption status per product.</t>
  </si>
  <si>
    <t xml:space="preserve">v003</t>
  </si>
  <si>
    <t xml:space="preserve">2026-09-13 11:57</t>
  </si>
  <si>
    <t xml:space="preserve">CONFORMANCE SUITE — the baseline made adoptable without a rewrite, and then MEASURED. Adopting eight modules is a rewrite, which is how adoption stalls; what matters is the invariant, not the code. conformance.ts exports one check per class, each taking a small harness describing what the product ALREADY has (your purge, your dedupe set, your role resolution, your route table). Each check is tested twice — against an implementation that holds the invariant and one shaped like the defect — because a check that cannot go red is decoration. Run against TestPulse's own code, five checks passed and the tenancy check FAILED, with the defect in the baseline itself: nextId scoped the sequence per tenant but returned BOARD-1 for every tenant, and the baseline's own test asserted that as correct — lesson L-6 (a passing test can pin the defect) occurring inside the code written to prevent L-6. Fixed with tenant-qualified ids; a second bug surfaced on the fix (similar tenant ids produced the same hash prefix), fixed by taking the low-order end. TestPulse now carries the conformance run as a permanent test: 38 suites / 338 tests / 100% x4, six CI gates green. Baseline: 42 tests, 100% x4, zero pragmas.</t>
  </si>
  <si>
    <t xml:space="preserve">v004</t>
  </si>
  <si>
    <t xml:space="preserve">PLANNED: conformance results per product as the rollout proceeds.</t>
  </si>
  <si>
    <t xml:space="preserve">Planned</t>
  </si>
  <si>
    <t xml:space="preserve">WHAT THIS IS — the standard the next product should be built against, derived from what the last eleven actually got wrong.</t>
  </si>
  <si>
    <t xml:space="preserve">EVIDENCE BASE — TeleField, TestPulse, VoiceBridge, FlowCast, OnCall Copilot, EngageOS, ShiftDesk, MeetSync, RetainKit, DocMerge Pro, RevRescue.</t>
  </si>
  <si>
    <t xml:space="preserve">Roughly 150 defects found between 10 and 13 Sep 2026, every one in code that was already at 100% test coverage with zero pragmas.</t>
  </si>
  <si>
    <t xml:space="preserve">THE CENTRAL FACT — no story count moved in any review pass on any product. None of this was new scope. All of it was shipped scope that did not work.</t>
  </si>
  <si>
    <t xml:space="preserve">HOW TO USE IT — Defect_Classes is the checklist to build against; Phase_Gates is the revised definition of done; Walkthrough_Protocol is the</t>
  </si>
  <si>
    <t xml:space="preserve">45-minute manual pass that the gates cannot replace; Rollout_Plan is the order to run the gates across the portfolio, with the classes each</t>
  </si>
  <si>
    <t xml:space="preserve">product is most likely to have. Gate_Register says what each gate costs and catches.</t>
  </si>
  <si>
    <t xml:space="preserve">HONEST LIMIT — the gates cover about two thirds of the record. The rest needs someone using the product (L-7). Budget the walkthrough; do not</t>
  </si>
  <si>
    <t xml:space="preserve">let a green CI run stand in for it.</t>
  </si>
  <si>
    <t xml:space="preserve">RECURRING DEFECT CLASSES — each found after 100% coverage was reached, in more than one product</t>
  </si>
  <si>
    <t xml:space="preserve">"Products" counts products where this class was actually found. Detection names what would have caught it earliest.</t>
  </si>
  <si>
    <t xml:space="preserve">ID</t>
  </si>
  <si>
    <t xml:space="preserve">Class</t>
  </si>
  <si>
    <t xml:space="preserve">Products</t>
  </si>
  <si>
    <t xml:space="preserve">Where it was found (examples)</t>
  </si>
  <si>
    <t xml:space="preserve">Prevention (build against this)</t>
  </si>
  <si>
    <t xml:space="preserve">Detection (earliest catch)</t>
  </si>
  <si>
    <t xml:space="preserve">Gate that catches it</t>
  </si>
  <si>
    <t xml:space="preserve">DC-01</t>
  </si>
  <si>
    <t xml:space="preserve">Published deletion/retention not implemented</t>
  </si>
  <si>
    <t xml:space="preserve">TestPulse F-TP01/02; FlowCast F-007; OnCall F-009; EngageOS F-014; VoiceBridge F-V01/V08; MeetSync M-F03; TeleField delete-my-data left user records</t>
  </si>
  <si>
    <t xml:space="preserve">One tenant-data registry that export, delete AND the retention sweep all read; deletion proof rows kept</t>
  </si>
  <si>
    <t xml:space="preserve">Drift test: any namespace written by an end-to-end flow that the registry does not claim fails the build</t>
  </si>
  <si>
    <t xml:space="preserve">reachability + claims</t>
  </si>
  <si>
    <t xml:space="preserve">DC-02</t>
  </si>
  <si>
    <t xml:space="preserve">Unbounded ledgers</t>
  </si>
  <si>
    <t xml:space="preserve">FlowCast F-001; OnCall F-010; ShiftDesk; EngageOS F-016; VoiceBridge F-V05; MeetSync M-F14; TestPulse F-TP06</t>
  </si>
  <si>
    <t xml:space="preserve">Shared FIFO ledger helper with a drop counter; never append raw arrays to storage</t>
  </si>
  <si>
    <t xml:space="preserve">Grep for array-append-to-store at review; platform value-size limits make this a hard failure, not a leak</t>
  </si>
  <si>
    <t xml:space="preserve">none</t>
  </si>
  <si>
    <t xml:space="preserve">DC-03</t>
  </si>
  <si>
    <t xml:space="preserve">Billing state declared, never enforced</t>
  </si>
  <si>
    <t xml:space="preserve">OnCall; ShiftDesk; VoiceBridge F-V02/V03; EngageOS F-012/013; MeetSync M-F01/02; TestPulse OBS-TP4</t>
  </si>
  <si>
    <t xml:space="preserve">One write gate at the mutating ENTRY POINTS, not inside billing</t>
  </si>
  <si>
    <t xml:space="preserve">Test from the entry point: an expired trial must fail a real write</t>
  </si>
  <si>
    <t xml:space="preserve">reachability</t>
  </si>
  <si>
    <t xml:space="preserve">DC-04</t>
  </si>
  <si>
    <t xml:space="preserve">Naive CSV handling</t>
  </si>
  <si>
    <t xml:space="preserve">OnCall F-013; EngageOS F-015; ShiftDesk F-010; MeetSync M-F10/20; TestPulse F-TP11</t>
  </si>
  <si>
    <t xml:space="preserve">Shared RFC-4180 parser for input AND quoting for output</t>
  </si>
  <si>
    <t xml:space="preserve">One CRLF fixture per importer — every platform export is CRLF</t>
  </si>
  <si>
    <t xml:space="preserve">DC-05</t>
  </si>
  <si>
    <t xml:space="preserve">Platform contract wrong (LIVE-BLOCKING)</t>
  </si>
  <si>
    <t xml:space="preserve">FlowCast VER-001 body on webhook ack; OnCall VER-OC1 3s ack; VoiceBridge VER-V01/V06; TeleField VER-T1 header/timestamp; TestPulse VER-P01/02/03</t>
  </si>
  <si>
    <t xml:space="preserve">Verify every platform contract against live docs BEFORE declaring a code phase complete, and again at deploy</t>
  </si>
  <si>
    <t xml:space="preserve">Live-doc sweep; no test can see it</t>
  </si>
  <si>
    <t xml:space="preserve">platform entrypoints</t>
  </si>
  <si>
    <t xml:space="preserve">DC-06</t>
  </si>
  <si>
    <t xml:space="preserve">Retry/backoff that does not run</t>
  </si>
  <si>
    <t xml:space="preserve">VoiceBridge F-V06 no-op sleep; ShiftDesk backoff never applied; FlowCast OBS-002; MeetSync M-F05; TestPulse F-TP08 ms-vs-seconds</t>
  </si>
  <si>
    <t xml:space="preserve">Exercise the PRODUCTION path; injected sleeps in every test hide a dead one</t>
  </si>
  <si>
    <t xml:space="preserve">A test that asserts the real delay, plus one that fails if the sleep is removed</t>
  </si>
  <si>
    <t xml:space="preserve">DC-07</t>
  </si>
  <si>
    <t xml:space="preserve">Caller-declared identity</t>
  </si>
  <si>
    <t xml:space="preserve">TeleField spoofable x-user-id; MeetSync M-F11; TestPulse F-TP14; VoiceBridge F-V21 (open by direction)</t>
  </si>
  <si>
    <t xml:space="preserve">Identity derived server-side from the platform context that is documented as trustworthy</t>
  </si>
  <si>
    <t xml:space="preserve">For every authorization input, write down where it comes from and who can set it</t>
  </si>
  <si>
    <t xml:space="preserve">DC-08</t>
  </si>
  <si>
    <t xml:space="preserve">Module with no caller (unwired seam)</t>
  </si>
  <si>
    <t xml:space="preserve">EngageOS F-009/010 optIn+sessionWindow never called; TestPulse F-TP16 AI provider never called; VoiceBridge F-V10 /log route absent</t>
  </si>
  <si>
    <t xml:space="preserve">Report a seam closed only when a test drives the real path end to end</t>
  </si>
  <si>
    <t xml:space="preserve">Reachability gate: orphan modules and orphan methods from the real entrypoints</t>
  </si>
  <si>
    <t xml:space="preserve">DC-09</t>
  </si>
  <si>
    <t xml:space="preserve">Missing artifact behind a documented path</t>
  </si>
  <si>
    <t xml:space="preserve">OnCall GAP-OC1/2 no HTTP app, no schema; EngageOS GAP-E1/E2 same; TeleField no listen()/npm start; TestPulse VER-P01 entrypoint commented out</t>
  </si>
  <si>
    <t xml:space="preserve">Run the setup guide's own commands as part of the build</t>
  </si>
  <si>
    <t xml:space="preserve">Artifact-gap audit; platform-entrypoint gate for the manifest half</t>
  </si>
  <si>
    <t xml:space="preserve">DC-10</t>
  </si>
  <si>
    <t xml:space="preserve">Read-only / suspended state not enforced</t>
  </si>
  <si>
    <t xml:space="preserve">EngageOS F-011; VoiceBridge F-V07; ShiftDesk; MeetSync M-F02</t>
  </si>
  <si>
    <t xml:space="preserve">Same write gate as DC-03; reads pinned open so data is never held hostage</t>
  </si>
  <si>
    <t xml:space="preserve">Entry-point test per mutating surface</t>
  </si>
  <si>
    <t xml:space="preserve">DC-11</t>
  </si>
  <si>
    <t xml:space="preserve">No multi-tenancy</t>
  </si>
  <si>
    <t xml:space="preserve">OnCall F-014 one instance + id counter for every workspace; MeetSync M-F04 process-wide engine</t>
  </si>
  <si>
    <t xml:space="preserve">Tenant registry from the day a store is introduced; ids scoped per tenant</t>
  </si>
  <si>
    <t xml:space="preserve">Two-tenant test on any stateful surface</t>
  </si>
  <si>
    <t xml:space="preserve">DC-12</t>
  </si>
  <si>
    <t xml:space="preserve">OAuth flow without state (CSRF)</t>
  </si>
  <si>
    <t xml:space="preserve">OnCall F-015; MeetSync M-F15</t>
  </si>
  <si>
    <t xml:space="preserve">state + PKCE where the platform supports it</t>
  </si>
  <si>
    <t xml:space="preserve">Security checklist at the first OAuth commit</t>
  </si>
  <si>
    <t xml:space="preserve">claims</t>
  </si>
  <si>
    <t xml:space="preserve">DC-13</t>
  </si>
  <si>
    <t xml:space="preserve">Async handler errors swallowed</t>
  </si>
  <si>
    <t xml:space="preserve">MeetSync M-F21 (Express 4 ignores rejected promises — request hangs, test times out instead of failing)</t>
  </si>
  <si>
    <t xml:space="preserve">Async-safe router wrapper</t>
  </si>
  <si>
    <t xml:space="preserve">Grep portfolio-wide: this one is still open elsewhere</t>
  </si>
  <si>
    <t xml:space="preserve">TOTAL</t>
  </si>
  <si>
    <t xml:space="preserve">Product-incidences across all classes</t>
  </si>
  <si>
    <t xml:space="preserve">Classes a standing gate catches</t>
  </si>
  <si>
    <t xml:space="preserve">of</t>
  </si>
  <si>
    <t xml:space="preserve">Remaining classes need a build habit or the walkthrough, not a gate</t>
  </si>
  <si>
    <t xml:space="preserve">LESSONS — each one paid for by a product</t>
  </si>
  <si>
    <t xml:space="preserve">Lesson</t>
  </si>
  <si>
    <t xml:space="preserve">Where it was paid for</t>
  </si>
  <si>
    <t xml:space="preserve">What it changes</t>
  </si>
  <si>
    <t xml:space="preserve">Gate / practice</t>
  </si>
  <si>
    <t xml:space="preserve">L-1</t>
  </si>
  <si>
    <t xml:space="preserve">A 100%-covered codebase can be undeployable — nothing in a test run loads the file the platform loads</t>
  </si>
  <si>
    <t xml:space="preserve">TestPulse VER-P01 (entrypoint commented out); VoiceBridge VER-V01 (bridge script never loaded)</t>
  </si>
  <si>
    <t xml:space="preserve">The deploy entrypoint is part of the build, not a deployment detail</t>
  </si>
  <si>
    <t xml:space="preserve">Entrypoint type-check against real vendor packages, in CI</t>
  </si>
  <si>
    <t xml:space="preserve">L-2</t>
  </si>
  <si>
    <t xml:space="preserve">Reachable is not invoked — a handler with a door still needs the manifest to open it</t>
  </si>
  <si>
    <t xml:space="preserve">TestPulse F-TP42: install path passed five review passes AND the reachability gate</t>
  </si>
  <si>
    <t xml:space="preserve">Every platform-owned hook must be declared, not merely implemented</t>
  </si>
  <si>
    <t xml:space="preserve">Platform-entrypoint gate</t>
  </si>
  <si>
    <t xml:space="preserve">L-3</t>
  </si>
  <si>
    <t xml:space="preserve">A module with no caller is not a feature, and a test suite cannot tell the difference</t>
  </si>
  <si>
    <t xml:space="preserve">TestPulse pass 3 (9 findings); EngageOS F-009/010</t>
  </si>
  <si>
    <t xml:space="preserve">Capability lists need a "reached by" column</t>
  </si>
  <si>
    <t xml:space="preserve">Reachability gate</t>
  </si>
  <si>
    <t xml:space="preserve">L-4</t>
  </si>
  <si>
    <t xml:space="preserve">A document is an assertion about the code and should be tested like one</t>
  </si>
  <si>
    <t xml:space="preserve">TestPulse pass 4: 4 false customer-facing statements, all true when written</t>
  </si>
  <si>
    <t xml:space="preserve">Mechanical claims get a five-line test; the rest get an owner and a date</t>
  </si>
  <si>
    <t xml:space="preserve">Published-claims gate</t>
  </si>
  <si>
    <t xml:space="preserve">L-5</t>
  </si>
  <si>
    <t xml:space="preserve">A seam is not a feature</t>
  </si>
  <si>
    <t xml:space="preserve">TestPulse F-TP16 (R-P6 reported closed on an unreachable class)</t>
  </si>
  <si>
    <t xml:space="preserve">A risk closes when a test drives the real path, not when the adapter exists</t>
  </si>
  <si>
    <t xml:space="preserve">Review discipline</t>
  </si>
  <si>
    <t xml:space="preserve">L-6</t>
  </si>
  <si>
    <t xml:space="preserve">A passing test can pin the defect</t>
  </si>
  <si>
    <t xml:space="preserve">VoiceBridge L-V2 (mock encoded the bug); OnCall L-OC2 (two tests defended double-paging); VoiceBridge F-V06 (injected sleeps hid a dead one)</t>
  </si>
  <si>
    <t xml:space="preserve">Ask what a test would fail to notice if the behaviour were removed</t>
  </si>
  <si>
    <t xml:space="preserve">L-7</t>
  </si>
  <si>
    <t xml:space="preserve">Walk the primary loop as the user, once, before launch</t>
  </si>
  <si>
    <t xml:space="preserve">TestPulse pass 6/7: generate-on-mount, no navigation, member could not complete the loop, install never fired</t>
  </si>
  <si>
    <t xml:space="preserve">45 minutes per product, before launch, by someone willing to be bored</t>
  </si>
  <si>
    <t xml:space="preserve">Walkthrough_Protocol</t>
  </si>
  <si>
    <t xml:space="preserve">L-8</t>
  </si>
  <si>
    <t xml:space="preserve">Review before declaring a code phase complete</t>
  </si>
  <si>
    <t xml:space="preserve">TeleField L-T1: declared FINAL at 627 tests/100%, then its first review found 18 defects + 4 gaps</t>
  </si>
  <si>
    <t xml:space="preserve">"Code phase complete" now requires one cold review already done</t>
  </si>
  <si>
    <t xml:space="preserve">Phase_Gates</t>
  </si>
  <si>
    <t xml:space="preserve">L-9</t>
  </si>
  <si>
    <t xml:space="preserve">Coverage over modules proves the modules work, not that a product exists</t>
  </si>
  <si>
    <t xml:space="preserve">OnCall L-OC3 / EngageOS L-E2: 30 modules at 100% and nothing that could receive a message</t>
  </si>
  <si>
    <t xml:space="preserve">The setup guide's commands must run end to end</t>
  </si>
  <si>
    <t xml:space="preserve">Artifact-gap audit</t>
  </si>
  <si>
    <t xml:space="preserve">L-10</t>
  </si>
  <si>
    <t xml:space="preserve">New surfaces inherit old blind spots</t>
  </si>
  <si>
    <t xml:space="preserve">OnCall L-OC4: the new HTTP layer repeated multi-tenancy and CSRF defects already known elsewhere</t>
  </si>
  <si>
    <t xml:space="preserve">Re-run the class checklist against any new surface</t>
  </si>
  <si>
    <t xml:space="preserve">Defect_Classes</t>
  </si>
  <si>
    <t xml:space="preserve">STANDING GATES — what each costs and what it catches</t>
  </si>
  <si>
    <t xml:space="preserve">Gate</t>
  </si>
  <si>
    <t xml:space="preserve">What it checks</t>
  </si>
  <si>
    <t xml:space="preserve">Classes caught</t>
  </si>
  <si>
    <t xml:space="preserve">Port effort</t>
  </si>
  <si>
    <t xml:space="preserve">CI command</t>
  </si>
  <si>
    <t xml:space="preserve">G-1</t>
  </si>
  <si>
    <t xml:space="preserve">Reachability</t>
  </si>
  <si>
    <t xml:space="preserve">Orphan modules and orphan methods measured from the REAL entrypoints (never the tests); exceptions need written reasons; stale exceptions reported</t>
  </si>
  <si>
    <t xml:space="preserve">DC-01, DC-03, DC-08, DC-10</t>
  </si>
  <si>
    <t xml:space="preserve">~10 lines of config</t>
  </si>
  <si>
    <t xml:space="preserve">npm run gates</t>
  </si>
  <si>
    <t xml:space="preserve">G-2</t>
  </si>
  <si>
    <t xml:space="preserve">Published claims</t>
  </si>
  <si>
    <t xml:space="preserve">Each published promise tied to the code evidence that must hold; retired promises must not creep back</t>
  </si>
  <si>
    <t xml:space="preserve">DC-01, DC-12, doc drift</t>
  </si>
  <si>
    <t xml:space="preserve">15 claims ≈ 1 hour</t>
  </si>
  <si>
    <t xml:space="preserve">G-3</t>
  </si>
  <si>
    <t xml:space="preserve">Platform entrypoints</t>
  </si>
  <si>
    <t xml:space="preserve">Manifest and deploy entrypoint read together: unexported handlers, unpointed exports, orphan functions, required module declarations</t>
  </si>
  <si>
    <t xml:space="preserve">DC-05, DC-09</t>
  </si>
  <si>
    <t xml:space="preserve">~15 lines of config</t>
  </si>
  <si>
    <t xml:space="preserve">G-4</t>
  </si>
  <si>
    <t xml:space="preserve">Entrypoint type-check</t>
  </si>
  <si>
    <t xml:space="preserve">The deploy entrypoint compiles against the REAL vendor packages</t>
  </si>
  <si>
    <t xml:space="preserve">one tsconfig</t>
  </si>
  <si>
    <t xml:space="preserve">npm run typecheck:&lt;platform&gt;</t>
  </si>
  <si>
    <t xml:space="preserve">G-5</t>
  </si>
  <si>
    <t xml:space="preserve">Posture check</t>
  </si>
  <si>
    <t xml:space="preserve">The config assertion the trust page claims CI makes actually runs</t>
  </si>
  <si>
    <t xml:space="preserve">doc drift</t>
  </si>
  <si>
    <t xml:space="preserve">~20 lines</t>
  </si>
  <si>
    <t xml:space="preserve">npm run check:posture</t>
  </si>
  <si>
    <t xml:space="preserve">G-6</t>
  </si>
  <si>
    <t xml:space="preserve">Automated a11y</t>
  </si>
  <si>
    <t xml:space="preserve">axe-core over every screen on every build</t>
  </si>
  <si>
    <t xml:space="preserve">accessibility</t>
  </si>
  <si>
    <t xml:space="preserve">one test file</t>
  </si>
  <si>
    <t xml:space="preserve">in the suite</t>
  </si>
  <si>
    <t xml:space="preserve">Gates shipped and tested</t>
  </si>
  <si>
    <t xml:space="preserve">REVISED DEFINITION OF DONE — each addition was paid for by a product that skipped it</t>
  </si>
  <si>
    <t xml:space="preserve">Phase</t>
  </si>
  <si>
    <t xml:space="preserve">Previously</t>
  </si>
  <si>
    <t xml:space="preserve">Now also requires</t>
  </si>
  <si>
    <t xml:space="preserve">Paid for by</t>
  </si>
  <si>
    <t xml:space="preserve">Foundation</t>
  </si>
  <si>
    <t xml:space="preserve">Modules at 100% coverage</t>
  </si>
  <si>
    <t xml:space="preserve">A store with tenant scoping; the capped-ledger helper; the RFC-4180 parser — all three retrofitted into 7+ products later</t>
  </si>
  <si>
    <t xml:space="preserve">DC-02, DC-04, DC-11</t>
  </si>
  <si>
    <t xml:space="preserve">Feature complete</t>
  </si>
  <si>
    <t xml:space="preserve">Stories done-in-code</t>
  </si>
  <si>
    <t xml:space="preserve">Every module has a named caller (reachability gate green)</t>
  </si>
  <si>
    <t xml:space="preserve">DC-08 (EngageOS, TestPulse)</t>
  </si>
  <si>
    <t xml:space="preserve">Code phase complete</t>
  </si>
  <si>
    <t xml:space="preserve">Backlog zero at 100% coverage</t>
  </si>
  <si>
    <t xml:space="preserve">Entrypoint compiles against real vendor packages; every platform hook declared in the manifest; the setup guide's own commands run end to end; ONE COLD REVIEW ALREADY DONE</t>
  </si>
  <si>
    <t xml:space="preserve">L-8 (TeleField declared FINAL, then 18 defects), DC-09</t>
  </si>
  <si>
    <t xml:space="preserve">Review prep</t>
  </si>
  <si>
    <t xml:space="preserve">Evidence pack written</t>
  </si>
  <si>
    <t xml:space="preserve">Every published claim pinned to code by a test; the encryption/posture assertion actually runs in CI</t>
  </si>
  <si>
    <t xml:space="preserve">L-4, DC-01</t>
  </si>
  <si>
    <t xml:space="preserve">Launch ready</t>
  </si>
  <si>
    <t xml:space="preserve">Review pack + assets</t>
  </si>
  <si>
    <t xml:space="preserve">The customer-path walkthrough completed and its findings dispositioned</t>
  </si>
  <si>
    <t xml:space="preserve">Listed</t>
  </si>
  <si>
    <t xml:space="preserve">Marketplace approval</t>
  </si>
  <si>
    <t xml:space="preserve">Live verification script run against the deployed app, with evidence distinguishing verified from assumed</t>
  </si>
  <si>
    <t xml:space="preserve">CUSTOMER-PATH WALKTHROUGH — 45 minutes, on a real install, as the lowest-privilege role</t>
  </si>
  <si>
    <t xml:space="preserve">Rules: no knowledge of the code; take the boring step twice; write your expectation before each step; never fix while walking — note and continue.</t>
  </si>
  <si>
    <t xml:space="preserve">#</t>
  </si>
  <si>
    <t xml:space="preserve">Probe</t>
  </si>
  <si>
    <t xml:space="preserve">Defect it actually caught</t>
  </si>
  <si>
    <t xml:space="preserve">Install it and watch for ten minutes</t>
  </si>
  <si>
    <t xml:space="preserve">TestPulse F-TP42: the install trigger was never declared, so nothing bootstrapped — no trial, no owner, no secret</t>
  </si>
  <si>
    <t xml:space="preserve">DC-05/DC-09</t>
  </si>
  <si>
    <t xml:space="preserve">Open the main screen twice and compare</t>
  </si>
  <si>
    <t xml:space="preserve">TestPulse F-TP39: mounting the panel called a write — duplicate data per view and a billed AI call</t>
  </si>
  <si>
    <t xml:space="preserve">—</t>
  </si>
  <si>
    <t xml:space="preserve">Reach every screen the listing advertises using only what is on screen</t>
  </si>
  <si>
    <t xml:space="preserve">TestPulse F-TP43: five screens, no navigation, four unreachable</t>
  </si>
  <si>
    <t xml:space="preserve">Complete the primary loop as a member, not an admin</t>
  </si>
  <si>
    <t xml:space="preserve">TestPulse F-TP40: recording a run needed a board id only an admin could create</t>
  </si>
  <si>
    <t xml:space="preserve">Do the first step with no data present</t>
  </si>
  <si>
    <t xml:space="preserve">Empty states that teach nothing (ST-079 class across products)</t>
  </si>
  <si>
    <t xml:space="preserve">Look for every control the help centre mentions</t>
  </si>
  <si>
    <t xml:space="preserve">TestPulse F-TP19: a Settings screen that did not exist and a run status the product never had</t>
  </si>
  <si>
    <t xml:space="preserve">Use self-serve export, then delete</t>
  </si>
  <si>
    <t xml:space="preserve">TestPulse F-TP21 + DC-01 everywhere: the rights existed as code with no door and covered a fraction of the data</t>
  </si>
  <si>
    <t xml:space="preserve">Change a setting, reload, confirm it stuck</t>
  </si>
  <si>
    <t xml:space="preserve">TestPulse F-TP07: threshold stored on an instance, silently discarded each invocation</t>
  </si>
  <si>
    <t xml:space="preserve">Send malformed input to every public surface</t>
  </si>
  <si>
    <t xml:space="preserve">TestPulse F-TP12: 500 with a stack to an unauthenticated caller</t>
  </si>
  <si>
    <t xml:space="preserve">Disconnect the dependency mid-flow</t>
  </si>
  <si>
    <t xml:space="preserve">VoiceBridge F-V11: "will sync when the connection recovers" with nothing queuing</t>
  </si>
  <si>
    <t xml:space="preserve">Do something twice the platform may deliver twice</t>
  </si>
  <si>
    <t xml:space="preserve">TestPulse F-TP45: repeat install event reset the installation and wiped tokens</t>
  </si>
  <si>
    <t xml:space="preserve">Read the trust page aloud with the code open</t>
  </si>
  <si>
    <t xml:space="preserve">TestPulse F-TP33: an email subprocessor the app could not even reach</t>
  </si>
  <si>
    <t xml:space="preserve">DC-01/L-4</t>
  </si>
  <si>
    <t xml:space="preserve">GATE ROLLOUT — order, per-product entry hints, and the classes each is most likely to have</t>
  </si>
  <si>
    <t xml:space="preserve">Status columns: NOT STARTED / GREEN / RED (n findings). Fill as each product is run. Yellow = needs Senthil input.</t>
  </si>
  <si>
    <t xml:space="preserve">Product</t>
  </si>
  <si>
    <t xml:space="preserve">Platform</t>
  </si>
  <si>
    <t xml:space="preserve">Code state (13 Sep)</t>
  </si>
  <si>
    <t xml:space="preserve">Likely entrypoints</t>
  </si>
  <si>
    <t xml:space="preserve">Classes most likely present (not yet reviewed there)</t>
  </si>
  <si>
    <t xml:space="preserve">Notes</t>
  </si>
  <si>
    <t xml:space="preserve">RevRescue</t>
  </si>
  <si>
    <t xml:space="preserve">Stripe Apps</t>
  </si>
  <si>
    <t xml:space="preserve">S1 foundation code-complete</t>
  </si>
  <si>
    <t xml:space="preserve">app entry + Stripe webhook handler</t>
  </si>
  <si>
    <t xml:space="preserve">DC-01, DC-02, DC-03, DC-05, DC-09</t>
  </si>
  <si>
    <t xml:space="preserve">NOT STARTED</t>
  </si>
  <si>
    <t xml:space="preserve">WIN rank 1; least reviewed of all — highest expected yield</t>
  </si>
  <si>
    <t xml:space="preserve">TeleField</t>
  </si>
  <si>
    <t xml:space="preserve">Zoho</t>
  </si>
  <si>
    <t xml:space="preserve">Code phase complete + passes 1-3</t>
  </si>
  <si>
    <t xml:space="preserve">server entry (listen()), Zoho webhook</t>
  </si>
  <si>
    <t xml:space="preserve">DC-07 open, DC-11, DC-13</t>
  </si>
  <si>
    <t xml:space="preserve">R-T4 adapter + OBS-T1/T2/T4/T5 open</t>
  </si>
  <si>
    <t xml:space="preserve">TestPulse</t>
  </si>
  <si>
    <t xml:space="preserve">Atlassian Forge</t>
  </si>
  <si>
    <t xml:space="preserve">8 passes; gates already running</t>
  </si>
  <si>
    <t xml:space="preserve">forge/index.ts, static/entry.ts</t>
  </si>
  <si>
    <t xml:space="preserve">GREEN</t>
  </si>
  <si>
    <t xml:space="preserve">Reference implementation; LC-1 pending</t>
  </si>
  <si>
    <t xml:space="preserve">VoiceBridge</t>
  </si>
  <si>
    <t xml:space="preserve">Salesforce</t>
  </si>
  <si>
    <t xml:space="preserve">Code phase complete + 2 passes + 2 sweeps</t>
  </si>
  <si>
    <t xml:space="preserve">sfpackage static resource, Apex-free</t>
  </si>
  <si>
    <t xml:space="preserve">DC-13; DC-07 open by direction (F-V21)</t>
  </si>
  <si>
    <t xml:space="preserve">D-V2/D-V3 open; ECA migration done</t>
  </si>
  <si>
    <t xml:space="preserve">FlowCast</t>
  </si>
  <si>
    <t xml:space="preserve">Xero</t>
  </si>
  <si>
    <t xml:space="preserve">Code phase complete + 2 passes + sweep</t>
  </si>
  <si>
    <t xml:space="preserve">server entry, Xero webhook</t>
  </si>
  <si>
    <t xml:space="preserve">DC-09, DC-11, DC-13</t>
  </si>
  <si>
    <t xml:space="preserve">ci.yml/deploy.yml built in v017</t>
  </si>
  <si>
    <t xml:space="preserve">OnCall Copilot</t>
  </si>
  <si>
    <t xml:space="preserve">Slack</t>
  </si>
  <si>
    <t xml:space="preserve">Passes 1-3 + gap audit + HTTP layer</t>
  </si>
  <si>
    <t xml:space="preserve">router/app, Slack events + slash</t>
  </si>
  <si>
    <t xml:space="preserve">DC-13, DC-04 done, DC-12 done</t>
  </si>
  <si>
    <t xml:space="preserve">Needs Postgres + OPERATOR_TOKEN to deploy</t>
  </si>
  <si>
    <t xml:space="preserve">EngageOS</t>
  </si>
  <si>
    <t xml:space="preserve">WhatsApp / Meta</t>
  </si>
  <si>
    <t xml:space="preserve">Code phase complete + pass 2 + gap audit</t>
  </si>
  <si>
    <t xml:space="preserve">app router, /webhook, /healthz</t>
  </si>
  <si>
    <t xml:space="preserve">DC-11, DC-13</t>
  </si>
  <si>
    <t xml:space="preserve">Migrations + signature verify built in v012</t>
  </si>
  <si>
    <t xml:space="preserve">ShiftDesk</t>
  </si>
  <si>
    <t xml:space="preserve">Teams / AppSource</t>
  </si>
  <si>
    <t xml:space="preserve">Code phase complete + 2 passes</t>
  </si>
  <si>
    <t xml:space="preserve">bot entry, Teams manifest</t>
  </si>
  <si>
    <t xml:space="preserve">Teams manifest is the G-3 target</t>
  </si>
  <si>
    <t xml:space="preserve">MeetSync</t>
  </si>
  <si>
    <t xml:space="preserve">Zoom</t>
  </si>
  <si>
    <t xml:space="preserve">Passes 1-2 + web UI layer</t>
  </si>
  <si>
    <t xml:space="preserve">src entry + web/ app, Zoom SDK boundary</t>
  </si>
  <si>
    <t xml:space="preserve">DC-09 (InMemoryStore is the only Store)</t>
  </si>
  <si>
    <t xml:space="preserve">OBS-M3: every cap/purge is process-local</t>
  </si>
  <si>
    <t xml:space="preserve">RetainKit</t>
  </si>
  <si>
    <t xml:space="preserve">Shopify</t>
  </si>
  <si>
    <t xml:space="preserve">S8 done-in-code; no cold review yet</t>
  </si>
  <si>
    <t xml:space="preserve">server entry, Shopify webhooks + GDPR hooks</t>
  </si>
  <si>
    <t xml:space="preserve">DC-01, DC-03, DC-05, DC-08, DC-09</t>
  </si>
  <si>
    <t xml:space="preserve">No review yet — expect the full class list</t>
  </si>
  <si>
    <t xml:space="preserve">DocMerge Pro</t>
  </si>
  <si>
    <t xml:space="preserve">Google Workspace</t>
  </si>
  <si>
    <t xml:space="preserve">S7 done-in-code; no cold review yet</t>
  </si>
  <si>
    <t xml:space="preserve">add-on entry, OAuth callback</t>
  </si>
  <si>
    <t xml:space="preserve">DC-01, DC-03, DC-05, DC-09, DC-12</t>
  </si>
  <si>
    <t xml:space="preserve">LC-1 GCP project blocked 7 sprints (R-D8)</t>
  </si>
  <si>
    <t xml:space="preserve">(12th product)</t>
  </si>
  <si>
    <t xml:space="preserve">reconcile against the WIN order</t>
  </si>
  <si>
    <t xml:space="preserve">Not named in the portfolio record I hold — confirm from the action board</t>
  </si>
  <si>
    <t xml:space="preserve">ROLLUP</t>
  </si>
  <si>
    <t xml:space="preserve">Products green per gate</t>
  </si>
  <si>
    <t xml:space="preserve">Products not yet gated at all</t>
  </si>
  <si>
    <t xml:space="preserve">ROLLOUT FINDINGS LOG — one row per finding, across products</t>
  </si>
  <si>
    <t xml:space="preserve">Disposition: FIX / ALLOW (needs a written reason) / CUT. Cutting unfunded scope is a legitimate and usually honest outcome.</t>
  </si>
  <si>
    <t xml:space="preserve">Finding</t>
  </si>
  <si>
    <t xml:space="preserve">Gate that found it</t>
  </si>
  <si>
    <t xml:space="preserve">Disposition</t>
  </si>
  <si>
    <t xml:space="preserve">Closed</t>
  </si>
  <si>
    <t xml:space="preserve">(example)</t>
  </si>
  <si>
    <t xml:space="preserve">Retention sweep removes only the account row</t>
  </si>
  <si>
    <t xml:space="preserve">G-1 reachability</t>
  </si>
  <si>
    <t xml:space="preserve">FIX</t>
  </si>
  <si>
    <t xml:space="preserve">No</t>
  </si>
  <si>
    <t xml:space="preserve">Findings logged</t>
  </si>
  <si>
    <t xml:space="preserve">Fixed</t>
  </si>
  <si>
    <t xml:space="preserve">Allowed</t>
  </si>
  <si>
    <t xml:space="preserve">MARKETPLACE BASELINE — one module per non-gateable class; adoption status per product goes in the rollout log</t>
  </si>
  <si>
    <t xml:space="preserve">30 tests, 100% branches/functions/lines/statements, zero pragmas, no runtime dependencies. Store is the only assumed interface (4 methods).</t>
  </si>
  <si>
    <t xml:space="preserve">Module</t>
  </si>
  <si>
    <t xml:space="preserve">What it prevents</t>
  </si>
  <si>
    <t xml:space="preserve">Why it could not be a gate</t>
  </si>
  <si>
    <t xml:space="preserve">Adoption</t>
  </si>
  <si>
    <t xml:space="preserve">tenantData.ts</t>
  </si>
  <si>
    <t xml:space="preserve">Export, delete and the retention sweep read ONE namespace registry; exact-segment tenant matching; drift guard reporting any unregistered namespace</t>
  </si>
  <si>
    <t xml:space="preserve">The reachability gate finds the unreachable call; it cannot tell you the sweep covers the wrong keys</t>
  </si>
  <si>
    <t xml:space="preserve">TestPulse: adopted</t>
  </si>
  <si>
    <t xml:space="preserve">ledger.ts</t>
  </si>
  <si>
    <t xml:space="preserve">FIFO-capped ledgers with a visible drop counter; seenBefore() for webhook dedupe</t>
  </si>
  <si>
    <t xml:space="preserve">No static signal — an append to storage looks identical whether or not it is bounded</t>
  </si>
  <si>
    <t xml:space="preserve">DC-03/10</t>
  </si>
  <si>
    <t xml:space="preserve">writeGate.ts</t>
  </si>
  <si>
    <t xml:space="preserve">6 / 4</t>
  </si>
  <si>
    <t xml:space="preserve">One gate at the mutating entry points, reads always open, plus the payment-recovery path whose absence was the defect in six products</t>
  </si>
  <si>
    <t xml:space="preserve">Enforcement is a runtime property of every call site, not a declaration</t>
  </si>
  <si>
    <t xml:space="preserve">Not yet adopted anywhere</t>
  </si>
  <si>
    <t xml:space="preserve">csv.ts</t>
  </si>
  <si>
    <t xml:space="preserve">RFC-4180 in and out; validate-then-apply so a bad row leaves nothing written</t>
  </si>
  <si>
    <t xml:space="preserve">A naive split parses fine until a CRLF file arrives</t>
  </si>
  <si>
    <t xml:space="preserve">backoff.ts</t>
  </si>
  <si>
    <t xml:space="preserve">Real default sleep (not a no-op), Retry-After in SECONDS and capped, breaker shared across operations, run(label, op) for SDK calls</t>
  </si>
  <si>
    <t xml:space="preserve">The dead version passes every test that injects its own sleep</t>
  </si>
  <si>
    <t xml:space="preserve">TestPulse: partial (client only)</t>
  </si>
  <si>
    <t xml:space="preserve">identity.ts</t>
  </si>
  <si>
    <t xml:space="preserve">Role derived server-side from trustworthy platform context; ownership claimed once; requireRole for consistent guards</t>
  </si>
  <si>
    <t xml:space="preserve">A header read looks like any other read</t>
  </si>
  <si>
    <t xml:space="preserve">tenancy.ts</t>
  </si>
  <si>
    <t xml:space="preserve">Per-tenant instances and per-tenant monotonic ids, from day one</t>
  </si>
  <si>
    <t xml:space="preserve">Single-tenant code is correct until the second tenant arrives</t>
  </si>
  <si>
    <t xml:space="preserve">asyncRouter.ts</t>
  </si>
  <si>
    <t xml:space="preserve">1 open</t>
  </si>
  <si>
    <t xml:space="preserve">A rejected async handler becomes a response, not a hung request; assertAllWrapped fails the build on a bare route</t>
  </si>
  <si>
    <t xml:space="preserve">The failing test TIMES OUT rather than failing, so the suite stays green</t>
  </si>
  <si>
    <t xml:space="preserve">Classes covered by the baseline</t>
  </si>
  <si>
    <t xml:space="preserve">Product-incidences addressed</t>
  </si>
  <si>
    <t xml:space="preserve">(DC-03/10 and DC-13 counted as text — see class rows)</t>
  </si>
  <si>
    <t xml:space="preserve">CONFORMANCE CHECKS — prove the invariant with the code a product already has</t>
  </si>
  <si>
    <t xml:space="preserve">Result column: PASS / FAIL / N-A (with reason). A check recorded as N-A must say why; never leave one blank.</t>
  </si>
  <si>
    <t xml:space="preserve">Check</t>
  </si>
  <si>
    <t xml:space="preserve">Harness the product supplies</t>
  </si>
  <si>
    <t xml:space="preserve">TestPulse result</t>
  </si>
  <si>
    <t xml:space="preserve">conformsDeletion</t>
  </si>
  <si>
    <t xml:space="preserve">seed a real end-to-end flow; purge; list what remains</t>
  </si>
  <si>
    <t xml:space="preserve">PASS</t>
  </si>
  <si>
    <t xml:space="preserve">Covers a flow that writes cases, boards, audit, notifications, webhook ledger, account and subscription</t>
  </si>
  <si>
    <t xml:space="preserve">conformsLedgerCap</t>
  </si>
  <si>
    <t xml:space="preserve">append 2x the cap through your own path; report size</t>
  </si>
  <si>
    <t xml:space="preserve">Webhook dedupe ledger bounded at 10k</t>
  </si>
  <si>
    <t xml:space="preserve">conformsIdentity</t>
  </si>
  <si>
    <t xml:space="preserve">resolve a role from a payload that claims a privileged one</t>
  </si>
  <si>
    <t xml:space="preserve">deriveRole ignores the claim entirely</t>
  </si>
  <si>
    <t xml:space="preserve">conformsWriteGate</t>
  </si>
  <si>
    <t xml:space="preserve">blocked state; attempt a write; attempt a read</t>
  </si>
  <si>
    <t xml:space="preserve">Enforcement point is the licensing gate, not billing.ts (Paid via Atlassian)</t>
  </si>
  <si>
    <t xml:space="preserve">conformsBackoff</t>
  </si>
  <si>
    <t xml:space="preserve">call your client WITHOUT injecting a sleep</t>
  </si>
  <si>
    <t xml:space="preserve">N-A</t>
  </si>
  <si>
    <t xml:space="preserve">TestPulse has no live HTTP call in-process to time; covered by the unit test asserting Retry-After seconds</t>
  </si>
  <si>
    <t xml:space="preserve">conformsAsyncRoutes</t>
  </si>
  <si>
    <t xml:space="preserve">your route table with a wrapped flag per route</t>
  </si>
  <si>
    <t xml:space="preserve">Parsed from app.ts; every route wrapped</t>
  </si>
  <si>
    <t xml:space="preserve">conformsTenancy</t>
  </si>
  <si>
    <t xml:space="preserve">create the same record for two tenants; report what each sees</t>
  </si>
  <si>
    <t xml:space="preserve">PASS (after fix)</t>
  </si>
  <si>
    <t xml:space="preserve">FOUND A DEFECT IN THE BASELINE: nextId returned BOARD-1 for every tenant and the baseline test asserted it — L-6 inside the L-6 prevention</t>
  </si>
  <si>
    <t xml:space="preserve">Checks passing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</si>
</sst>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10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57" hidden="false" customHeight="true" outlineLevel="0" collapsed="false">
      <c r="A5" s="3" t="s">
        <v>7</v>
      </c>
      <c r="B5" s="3" t="s">
        <v>8</v>
      </c>
      <c r="C5" s="3" t="s">
        <v>9</v>
      </c>
      <c r="D5" s="5" t="s">
        <v>10</v>
      </c>
      <c r="E5" s="3" t="s">
        <v>11</v>
      </c>
    </row>
    <row r="6" customFormat="false" ht="15" hidden="false" customHeight="true" outlineLevel="0" collapsed="false">
      <c r="A6" s="3" t="s">
        <v>12</v>
      </c>
      <c r="B6" s="3" t="s">
        <v>13</v>
      </c>
      <c r="C6" s="3" t="s">
        <v>9</v>
      </c>
      <c r="D6" s="5" t="s">
        <v>14</v>
      </c>
      <c r="E6" s="3" t="s">
        <v>11</v>
      </c>
    </row>
    <row r="7" customFormat="false" ht="15" hidden="false" customHeight="true" outlineLevel="0" collapsed="false">
      <c r="A7" s="3" t="s">
        <v>15</v>
      </c>
      <c r="B7" s="3" t="s">
        <v>16</v>
      </c>
      <c r="C7" s="3" t="s">
        <v>9</v>
      </c>
      <c r="D7" s="5" t="s">
        <v>17</v>
      </c>
      <c r="E7" s="3" t="s">
        <v>11</v>
      </c>
    </row>
    <row r="8" customFormat="false" ht="15" hidden="false" customHeight="false" outlineLevel="0" collapsed="false">
      <c r="A8" s="6" t="s">
        <v>18</v>
      </c>
      <c r="B8" s="6"/>
      <c r="C8" s="6"/>
      <c r="D8" s="6" t="s">
        <v>19</v>
      </c>
      <c r="E8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3" t="s">
        <v>21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22</v>
      </c>
    </row>
    <row r="4" customFormat="false" ht="15" hidden="false" customHeight="true" outlineLevel="0" collapsed="false">
      <c r="A4" s="3" t="s">
        <v>23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24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25</v>
      </c>
    </row>
    <row r="9" customFormat="false" ht="15" hidden="false" customHeight="true" outlineLevel="0" collapsed="false">
      <c r="A9" s="3" t="s">
        <v>26</v>
      </c>
    </row>
    <row r="10" customFormat="false" ht="15" hidden="false" customHeight="true" outlineLevel="0" collapsed="false">
      <c r="A10" s="3" t="s">
        <v>27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28</v>
      </c>
    </row>
    <row r="13" customFormat="false" ht="15" hidden="false" customHeight="true" outlineLevel="0" collapsed="false">
      <c r="A13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46"/>
    <col collapsed="false" customWidth="true" hidden="false" outlineLevel="0" max="5" min="5" style="1" width="50"/>
    <col collapsed="false" customWidth="true" hidden="false" outlineLevel="0" max="6" min="6" style="1" width="44"/>
    <col collapsed="false" customWidth="true" hidden="false" outlineLevel="0" max="7" min="7" style="1" width="16"/>
  </cols>
  <sheetData>
    <row r="1" customFormat="false" ht="1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31</v>
      </c>
    </row>
    <row r="4" customFormat="false" ht="15" hidden="false" customHeight="tru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</row>
    <row r="5" customFormat="false" ht="34.5" hidden="false" customHeight="true" outlineLevel="0" collapsed="false">
      <c r="A5" s="3" t="s">
        <v>39</v>
      </c>
      <c r="B5" s="3" t="s">
        <v>40</v>
      </c>
      <c r="C5" s="3" t="n">
        <v>8</v>
      </c>
      <c r="D5" s="5" t="s">
        <v>41</v>
      </c>
      <c r="E5" s="5" t="s">
        <v>42</v>
      </c>
      <c r="F5" s="5" t="s">
        <v>43</v>
      </c>
      <c r="G5" s="3" t="s">
        <v>44</v>
      </c>
    </row>
    <row r="6" customFormat="false" ht="34.5" hidden="false" customHeight="true" outlineLevel="0" collapsed="false">
      <c r="A6" s="3" t="s">
        <v>45</v>
      </c>
      <c r="B6" s="3" t="s">
        <v>46</v>
      </c>
      <c r="C6" s="3" t="n">
        <v>7</v>
      </c>
      <c r="D6" s="5" t="s">
        <v>47</v>
      </c>
      <c r="E6" s="5" t="s">
        <v>48</v>
      </c>
      <c r="F6" s="5" t="s">
        <v>49</v>
      </c>
      <c r="G6" s="3" t="s">
        <v>50</v>
      </c>
    </row>
    <row r="7" customFormat="false" ht="23.25" hidden="false" customHeight="true" outlineLevel="0" collapsed="false">
      <c r="A7" s="3" t="s">
        <v>51</v>
      </c>
      <c r="B7" s="3" t="s">
        <v>52</v>
      </c>
      <c r="C7" s="3" t="n">
        <v>6</v>
      </c>
      <c r="D7" s="5" t="s">
        <v>53</v>
      </c>
      <c r="E7" s="5" t="s">
        <v>54</v>
      </c>
      <c r="F7" s="5" t="s">
        <v>55</v>
      </c>
      <c r="G7" s="3" t="s">
        <v>56</v>
      </c>
    </row>
    <row r="8" customFormat="false" ht="23.25" hidden="false" customHeight="true" outlineLevel="0" collapsed="false">
      <c r="A8" s="3" t="s">
        <v>57</v>
      </c>
      <c r="B8" s="3" t="s">
        <v>58</v>
      </c>
      <c r="C8" s="3" t="n">
        <v>5</v>
      </c>
      <c r="D8" s="5" t="s">
        <v>59</v>
      </c>
      <c r="E8" s="5" t="s">
        <v>60</v>
      </c>
      <c r="F8" s="5" t="s">
        <v>61</v>
      </c>
      <c r="G8" s="3" t="s">
        <v>50</v>
      </c>
    </row>
    <row r="9" customFormat="false" ht="34.5" hidden="false" customHeight="true" outlineLevel="0" collapsed="false">
      <c r="A9" s="3" t="s">
        <v>62</v>
      </c>
      <c r="B9" s="3" t="s">
        <v>63</v>
      </c>
      <c r="C9" s="3" t="n">
        <v>5</v>
      </c>
      <c r="D9" s="5" t="s">
        <v>64</v>
      </c>
      <c r="E9" s="5" t="s">
        <v>65</v>
      </c>
      <c r="F9" s="5" t="s">
        <v>66</v>
      </c>
      <c r="G9" s="3" t="s">
        <v>67</v>
      </c>
    </row>
    <row r="10" customFormat="false" ht="34.5" hidden="false" customHeight="true" outlineLevel="0" collapsed="false">
      <c r="A10" s="3" t="s">
        <v>68</v>
      </c>
      <c r="B10" s="3" t="s">
        <v>69</v>
      </c>
      <c r="C10" s="3" t="n">
        <v>5</v>
      </c>
      <c r="D10" s="5" t="s">
        <v>70</v>
      </c>
      <c r="E10" s="5" t="s">
        <v>71</v>
      </c>
      <c r="F10" s="5" t="s">
        <v>72</v>
      </c>
      <c r="G10" s="3" t="s">
        <v>50</v>
      </c>
    </row>
    <row r="11" customFormat="false" ht="34.5" hidden="false" customHeight="true" outlineLevel="0" collapsed="false">
      <c r="A11" s="3" t="s">
        <v>73</v>
      </c>
      <c r="B11" s="3" t="s">
        <v>74</v>
      </c>
      <c r="C11" s="3" t="n">
        <v>4</v>
      </c>
      <c r="D11" s="5" t="s">
        <v>75</v>
      </c>
      <c r="E11" s="5" t="s">
        <v>76</v>
      </c>
      <c r="F11" s="5" t="s">
        <v>77</v>
      </c>
      <c r="G11" s="3" t="s">
        <v>50</v>
      </c>
    </row>
    <row r="12" customFormat="false" ht="34.5" hidden="false" customHeight="true" outlineLevel="0" collapsed="false">
      <c r="A12" s="3" t="s">
        <v>78</v>
      </c>
      <c r="B12" s="3" t="s">
        <v>79</v>
      </c>
      <c r="C12" s="3" t="n">
        <v>4</v>
      </c>
      <c r="D12" s="5" t="s">
        <v>80</v>
      </c>
      <c r="E12" s="5" t="s">
        <v>81</v>
      </c>
      <c r="F12" s="5" t="s">
        <v>82</v>
      </c>
      <c r="G12" s="3" t="s">
        <v>56</v>
      </c>
    </row>
    <row r="13" customFormat="false" ht="34.5" hidden="false" customHeight="true" outlineLevel="0" collapsed="false">
      <c r="A13" s="3" t="s">
        <v>83</v>
      </c>
      <c r="B13" s="3" t="s">
        <v>84</v>
      </c>
      <c r="C13" s="3" t="n">
        <v>4</v>
      </c>
      <c r="D13" s="5" t="s">
        <v>85</v>
      </c>
      <c r="E13" s="5" t="s">
        <v>86</v>
      </c>
      <c r="F13" s="5" t="s">
        <v>87</v>
      </c>
      <c r="G13" s="3" t="s">
        <v>67</v>
      </c>
    </row>
    <row r="14" customFormat="false" ht="23.25" hidden="false" customHeight="true" outlineLevel="0" collapsed="false">
      <c r="A14" s="3" t="s">
        <v>88</v>
      </c>
      <c r="B14" s="3" t="s">
        <v>89</v>
      </c>
      <c r="C14" s="3" t="n">
        <v>4</v>
      </c>
      <c r="D14" s="5" t="s">
        <v>90</v>
      </c>
      <c r="E14" s="5" t="s">
        <v>91</v>
      </c>
      <c r="F14" s="5" t="s">
        <v>92</v>
      </c>
      <c r="G14" s="3" t="s">
        <v>56</v>
      </c>
    </row>
    <row r="15" customFormat="false" ht="23.25" hidden="false" customHeight="true" outlineLevel="0" collapsed="false">
      <c r="A15" s="3" t="s">
        <v>93</v>
      </c>
      <c r="B15" s="3" t="s">
        <v>94</v>
      </c>
      <c r="C15" s="3" t="n">
        <v>2</v>
      </c>
      <c r="D15" s="5" t="s">
        <v>95</v>
      </c>
      <c r="E15" s="5" t="s">
        <v>96</v>
      </c>
      <c r="F15" s="5" t="s">
        <v>97</v>
      </c>
      <c r="G15" s="3" t="s">
        <v>50</v>
      </c>
    </row>
    <row r="16" customFormat="false" ht="15" hidden="false" customHeight="true" outlineLevel="0" collapsed="false">
      <c r="A16" s="3" t="s">
        <v>98</v>
      </c>
      <c r="B16" s="3" t="s">
        <v>99</v>
      </c>
      <c r="C16" s="3" t="n">
        <v>2</v>
      </c>
      <c r="D16" s="5" t="s">
        <v>100</v>
      </c>
      <c r="E16" s="5" t="s">
        <v>101</v>
      </c>
      <c r="F16" s="5" t="s">
        <v>102</v>
      </c>
      <c r="G16" s="3" t="s">
        <v>103</v>
      </c>
    </row>
    <row r="17" customFormat="false" ht="23.25" hidden="false" customHeight="true" outlineLevel="0" collapsed="false">
      <c r="A17" s="3" t="s">
        <v>104</v>
      </c>
      <c r="B17" s="3" t="s">
        <v>105</v>
      </c>
      <c r="C17" s="3" t="n">
        <v>1</v>
      </c>
      <c r="D17" s="5" t="s">
        <v>106</v>
      </c>
      <c r="E17" s="5" t="s">
        <v>107</v>
      </c>
      <c r="F17" s="5" t="s">
        <v>108</v>
      </c>
      <c r="G17" s="3" t="s">
        <v>50</v>
      </c>
    </row>
    <row r="19" customFormat="false" ht="15" hidden="false" customHeight="true" outlineLevel="0" collapsed="false">
      <c r="A19" s="4" t="s">
        <v>109</v>
      </c>
      <c r="B19" s="4" t="s">
        <v>110</v>
      </c>
      <c r="C19" s="4" t="n">
        <f aca="false">SUM(C5:C17)</f>
        <v>57</v>
      </c>
      <c r="D19" s="4"/>
      <c r="E19" s="4"/>
      <c r="F19" s="4"/>
      <c r="G19" s="4"/>
    </row>
    <row r="20" customFormat="false" ht="15" hidden="false" customHeight="true" outlineLevel="0" collapsed="false">
      <c r="A20" s="3"/>
      <c r="B20" s="3" t="s">
        <v>111</v>
      </c>
      <c r="C20" s="3" t="n">
        <f aca="false">COUNTIF(G5:G17,"&lt;&gt;none")</f>
        <v>7</v>
      </c>
      <c r="D20" s="3" t="s">
        <v>112</v>
      </c>
      <c r="E20" s="3" t="n">
        <f aca="false">COUNTA(A5:A17)</f>
        <v>13</v>
      </c>
      <c r="F20" s="3" t="s">
        <v>113</v>
      </c>
      <c r="G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30"/>
    <col collapsed="false" customWidth="true" hidden="false" outlineLevel="0" max="4" min="4" style="1" width="62"/>
    <col collapsed="false" customWidth="true" hidden="false" outlineLevel="0" max="5" min="5" style="1" width="40"/>
  </cols>
  <sheetData>
    <row r="1" customFormat="false" ht="15" hidden="false" customHeight="true" outlineLevel="0" collapsed="false">
      <c r="A1" s="2" t="s">
        <v>114</v>
      </c>
    </row>
    <row r="3" customFormat="false" ht="15" hidden="false" customHeight="true" outlineLevel="0" collapsed="false">
      <c r="A3" s="4" t="s">
        <v>32</v>
      </c>
      <c r="B3" s="4" t="s">
        <v>115</v>
      </c>
      <c r="C3" s="4" t="s">
        <v>116</v>
      </c>
      <c r="D3" s="4" t="s">
        <v>117</v>
      </c>
      <c r="E3" s="4" t="s">
        <v>118</v>
      </c>
    </row>
    <row r="4" customFormat="false" ht="34.5" hidden="false" customHeight="true" outlineLevel="0" collapsed="false">
      <c r="A4" s="3" t="s">
        <v>119</v>
      </c>
      <c r="B4" s="5" t="s">
        <v>120</v>
      </c>
      <c r="C4" s="5" t="s">
        <v>121</v>
      </c>
      <c r="D4" s="5" t="s">
        <v>122</v>
      </c>
      <c r="E4" s="5" t="s">
        <v>123</v>
      </c>
    </row>
    <row r="5" customFormat="false" ht="34.5" hidden="false" customHeight="true" outlineLevel="0" collapsed="false">
      <c r="A5" s="3" t="s">
        <v>124</v>
      </c>
      <c r="B5" s="5" t="s">
        <v>125</v>
      </c>
      <c r="C5" s="5" t="s">
        <v>126</v>
      </c>
      <c r="D5" s="5" t="s">
        <v>127</v>
      </c>
      <c r="E5" s="5" t="s">
        <v>128</v>
      </c>
    </row>
    <row r="6" customFormat="false" ht="23.25" hidden="false" customHeight="true" outlineLevel="0" collapsed="false">
      <c r="A6" s="3" t="s">
        <v>129</v>
      </c>
      <c r="B6" s="5" t="s">
        <v>130</v>
      </c>
      <c r="C6" s="5" t="s">
        <v>131</v>
      </c>
      <c r="D6" s="5" t="s">
        <v>132</v>
      </c>
      <c r="E6" s="5" t="s">
        <v>133</v>
      </c>
    </row>
    <row r="7" customFormat="false" ht="34.5" hidden="false" customHeight="true" outlineLevel="0" collapsed="false">
      <c r="A7" s="3" t="s">
        <v>134</v>
      </c>
      <c r="B7" s="5" t="s">
        <v>135</v>
      </c>
      <c r="C7" s="5" t="s">
        <v>136</v>
      </c>
      <c r="D7" s="5" t="s">
        <v>137</v>
      </c>
      <c r="E7" s="5" t="s">
        <v>138</v>
      </c>
    </row>
    <row r="8" customFormat="false" ht="23.25" hidden="false" customHeight="true" outlineLevel="0" collapsed="false">
      <c r="A8" s="3" t="s">
        <v>139</v>
      </c>
      <c r="B8" s="5" t="s">
        <v>140</v>
      </c>
      <c r="C8" s="5" t="s">
        <v>141</v>
      </c>
      <c r="D8" s="5" t="s">
        <v>142</v>
      </c>
      <c r="E8" s="5" t="s">
        <v>143</v>
      </c>
    </row>
    <row r="9" customFormat="false" ht="57" hidden="false" customHeight="true" outlineLevel="0" collapsed="false">
      <c r="A9" s="3" t="s">
        <v>144</v>
      </c>
      <c r="B9" s="5" t="s">
        <v>145</v>
      </c>
      <c r="C9" s="5" t="s">
        <v>146</v>
      </c>
      <c r="D9" s="5" t="s">
        <v>147</v>
      </c>
      <c r="E9" s="5" t="s">
        <v>143</v>
      </c>
    </row>
    <row r="10" customFormat="false" ht="45.75" hidden="false" customHeight="true" outlineLevel="0" collapsed="false">
      <c r="A10" s="3" t="s">
        <v>148</v>
      </c>
      <c r="B10" s="5" t="s">
        <v>149</v>
      </c>
      <c r="C10" s="5" t="s">
        <v>150</v>
      </c>
      <c r="D10" s="5" t="s">
        <v>151</v>
      </c>
      <c r="E10" s="5" t="s">
        <v>152</v>
      </c>
    </row>
    <row r="11" customFormat="false" ht="34.5" hidden="false" customHeight="true" outlineLevel="0" collapsed="false">
      <c r="A11" s="3" t="s">
        <v>153</v>
      </c>
      <c r="B11" s="5" t="s">
        <v>154</v>
      </c>
      <c r="C11" s="5" t="s">
        <v>155</v>
      </c>
      <c r="D11" s="5" t="s">
        <v>156</v>
      </c>
      <c r="E11" s="5" t="s">
        <v>157</v>
      </c>
    </row>
    <row r="12" customFormat="false" ht="34.5" hidden="false" customHeight="true" outlineLevel="0" collapsed="false">
      <c r="A12" s="3" t="s">
        <v>158</v>
      </c>
      <c r="B12" s="5" t="s">
        <v>159</v>
      </c>
      <c r="C12" s="5" t="s">
        <v>160</v>
      </c>
      <c r="D12" s="5" t="s">
        <v>161</v>
      </c>
      <c r="E12" s="5" t="s">
        <v>162</v>
      </c>
    </row>
    <row r="13" customFormat="false" ht="34.5" hidden="false" customHeight="true" outlineLevel="0" collapsed="false">
      <c r="A13" s="3" t="s">
        <v>163</v>
      </c>
      <c r="B13" s="5" t="s">
        <v>164</v>
      </c>
      <c r="C13" s="5" t="s">
        <v>165</v>
      </c>
      <c r="D13" s="5" t="s">
        <v>166</v>
      </c>
      <c r="E13" s="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58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6" min="6" style="1" width="14"/>
  </cols>
  <sheetData>
    <row r="1" customFormat="false" ht="15" hidden="false" customHeight="true" outlineLevel="0" collapsed="false">
      <c r="A1" s="2" t="s">
        <v>168</v>
      </c>
    </row>
    <row r="3" customFormat="false" ht="15" hidden="false" customHeight="true" outlineLevel="0" collapsed="false">
      <c r="A3" s="4" t="s">
        <v>32</v>
      </c>
      <c r="B3" s="4" t="s">
        <v>169</v>
      </c>
      <c r="C3" s="4" t="s">
        <v>170</v>
      </c>
      <c r="D3" s="4" t="s">
        <v>171</v>
      </c>
      <c r="E3" s="4" t="s">
        <v>172</v>
      </c>
      <c r="F3" s="4" t="s">
        <v>173</v>
      </c>
    </row>
    <row r="4" customFormat="false" ht="34.5" hidden="false" customHeight="true" outlineLevel="0" collapsed="false">
      <c r="A4" s="3" t="s">
        <v>174</v>
      </c>
      <c r="B4" s="3" t="s">
        <v>175</v>
      </c>
      <c r="C4" s="5" t="s">
        <v>176</v>
      </c>
      <c r="D4" s="5" t="s">
        <v>177</v>
      </c>
      <c r="E4" s="3" t="s">
        <v>178</v>
      </c>
      <c r="F4" s="3" t="s">
        <v>179</v>
      </c>
    </row>
    <row r="5" customFormat="false" ht="23.25" hidden="false" customHeight="true" outlineLevel="0" collapsed="false">
      <c r="A5" s="3" t="s">
        <v>180</v>
      </c>
      <c r="B5" s="3" t="s">
        <v>181</v>
      </c>
      <c r="C5" s="5" t="s">
        <v>182</v>
      </c>
      <c r="D5" s="5" t="s">
        <v>183</v>
      </c>
      <c r="E5" s="3" t="s">
        <v>184</v>
      </c>
      <c r="F5" s="3" t="s">
        <v>179</v>
      </c>
    </row>
    <row r="6" customFormat="false" ht="23.25" hidden="false" customHeight="true" outlineLevel="0" collapsed="false">
      <c r="A6" s="3" t="s">
        <v>185</v>
      </c>
      <c r="B6" s="3" t="s">
        <v>186</v>
      </c>
      <c r="C6" s="5" t="s">
        <v>187</v>
      </c>
      <c r="D6" s="5" t="s">
        <v>188</v>
      </c>
      <c r="E6" s="3" t="s">
        <v>189</v>
      </c>
      <c r="F6" s="3" t="s">
        <v>179</v>
      </c>
    </row>
    <row r="7" customFormat="false" ht="15" hidden="false" customHeight="true" outlineLevel="0" collapsed="false">
      <c r="A7" s="3" t="s">
        <v>190</v>
      </c>
      <c r="B7" s="3" t="s">
        <v>191</v>
      </c>
      <c r="C7" s="5" t="s">
        <v>192</v>
      </c>
      <c r="D7" s="5" t="s">
        <v>188</v>
      </c>
      <c r="E7" s="3" t="s">
        <v>193</v>
      </c>
      <c r="F7" s="3" t="s">
        <v>194</v>
      </c>
    </row>
    <row r="8" customFormat="false" ht="15" hidden="false" customHeight="true" outlineLevel="0" collapsed="false">
      <c r="A8" s="3" t="s">
        <v>195</v>
      </c>
      <c r="B8" s="3" t="s">
        <v>196</v>
      </c>
      <c r="C8" s="5" t="s">
        <v>197</v>
      </c>
      <c r="D8" s="5" t="s">
        <v>198</v>
      </c>
      <c r="E8" s="3" t="s">
        <v>199</v>
      </c>
      <c r="F8" s="3" t="s">
        <v>200</v>
      </c>
    </row>
    <row r="9" customFormat="false" ht="15" hidden="false" customHeight="true" outlineLevel="0" collapsed="false">
      <c r="A9" s="3" t="s">
        <v>201</v>
      </c>
      <c r="B9" s="3" t="s">
        <v>202</v>
      </c>
      <c r="C9" s="5" t="s">
        <v>203</v>
      </c>
      <c r="D9" s="5" t="s">
        <v>204</v>
      </c>
      <c r="E9" s="3" t="s">
        <v>205</v>
      </c>
      <c r="F9" s="3" t="s">
        <v>206</v>
      </c>
    </row>
    <row r="11" customFormat="false" ht="15" hidden="false" customHeight="true" outlineLevel="0" collapsed="false">
      <c r="A11" s="4"/>
      <c r="B11" s="4" t="s">
        <v>207</v>
      </c>
      <c r="C11" s="4" t="n">
        <f aca="false">COUNTA(A4:A9)</f>
        <v>6</v>
      </c>
      <c r="D11" s="4"/>
      <c r="E11" s="4"/>
      <c r="F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64"/>
    <col collapsed="false" customWidth="true" hidden="false" outlineLevel="0" max="4" min="4" style="1" width="34"/>
  </cols>
  <sheetData>
    <row r="1" customFormat="false" ht="15" hidden="false" customHeight="true" outlineLevel="0" collapsed="false">
      <c r="A1" s="2" t="s">
        <v>208</v>
      </c>
    </row>
    <row r="3" customFormat="false" ht="15" hidden="false" customHeight="true" outlineLevel="0" collapsed="false">
      <c r="A3" s="4" t="s">
        <v>209</v>
      </c>
      <c r="B3" s="4" t="s">
        <v>210</v>
      </c>
      <c r="C3" s="4" t="s">
        <v>211</v>
      </c>
      <c r="D3" s="4" t="s">
        <v>212</v>
      </c>
    </row>
    <row r="4" customFormat="false" ht="23.25" hidden="false" customHeight="true" outlineLevel="0" collapsed="false">
      <c r="A4" s="3" t="s">
        <v>213</v>
      </c>
      <c r="B4" s="5" t="s">
        <v>214</v>
      </c>
      <c r="C4" s="5" t="s">
        <v>215</v>
      </c>
      <c r="D4" s="5" t="s">
        <v>216</v>
      </c>
    </row>
    <row r="5" customFormat="false" ht="15" hidden="false" customHeight="true" outlineLevel="0" collapsed="false">
      <c r="A5" s="3" t="s">
        <v>217</v>
      </c>
      <c r="B5" s="5" t="s">
        <v>218</v>
      </c>
      <c r="C5" s="5" t="s">
        <v>219</v>
      </c>
      <c r="D5" s="5" t="s">
        <v>220</v>
      </c>
    </row>
    <row r="6" customFormat="false" ht="34.5" hidden="false" customHeight="true" outlineLevel="0" collapsed="false">
      <c r="A6" s="3" t="s">
        <v>221</v>
      </c>
      <c r="B6" s="5" t="s">
        <v>222</v>
      </c>
      <c r="C6" s="5" t="s">
        <v>223</v>
      </c>
      <c r="D6" s="5" t="s">
        <v>224</v>
      </c>
    </row>
    <row r="7" customFormat="false" ht="23.25" hidden="false" customHeight="true" outlineLevel="0" collapsed="false">
      <c r="A7" s="3" t="s">
        <v>225</v>
      </c>
      <c r="B7" s="5" t="s">
        <v>226</v>
      </c>
      <c r="C7" s="5" t="s">
        <v>227</v>
      </c>
      <c r="D7" s="5" t="s">
        <v>228</v>
      </c>
    </row>
    <row r="8" customFormat="false" ht="15" hidden="false" customHeight="true" outlineLevel="0" collapsed="false">
      <c r="A8" s="3" t="s">
        <v>229</v>
      </c>
      <c r="B8" s="5" t="s">
        <v>230</v>
      </c>
      <c r="C8" s="5" t="s">
        <v>231</v>
      </c>
      <c r="D8" s="5" t="s">
        <v>148</v>
      </c>
    </row>
    <row r="9" customFormat="false" ht="23.25" hidden="false" customHeight="true" outlineLevel="0" collapsed="false">
      <c r="A9" s="3" t="s">
        <v>232</v>
      </c>
      <c r="B9" s="5" t="s">
        <v>233</v>
      </c>
      <c r="C9" s="5" t="s">
        <v>234</v>
      </c>
      <c r="D9" s="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4"/>
    <col collapsed="false" customWidth="true" hidden="false" outlineLevel="0" max="3" min="3" style="1" width="66"/>
    <col collapsed="false" customWidth="true" hidden="false" outlineLevel="0" max="4" min="4" style="1" width="18"/>
  </cols>
  <sheetData>
    <row r="1" customFormat="false" ht="15" hidden="false" customHeight="true" outlineLevel="0" collapsed="false">
      <c r="A1" s="2" t="s">
        <v>235</v>
      </c>
    </row>
    <row r="2" customFormat="false" ht="15" hidden="false" customHeight="true" outlineLevel="0" collapsed="false">
      <c r="A2" s="3" t="s">
        <v>236</v>
      </c>
    </row>
    <row r="4" customFormat="false" ht="15" hidden="false" customHeight="true" outlineLevel="0" collapsed="false">
      <c r="A4" s="4" t="s">
        <v>237</v>
      </c>
      <c r="B4" s="4" t="s">
        <v>238</v>
      </c>
      <c r="C4" s="4" t="s">
        <v>239</v>
      </c>
      <c r="D4" s="4" t="s">
        <v>33</v>
      </c>
    </row>
    <row r="5" customFormat="false" ht="23.25" hidden="false" customHeight="true" outlineLevel="0" collapsed="false">
      <c r="A5" s="3" t="n">
        <v>1</v>
      </c>
      <c r="B5" s="5" t="s">
        <v>240</v>
      </c>
      <c r="C5" s="5" t="s">
        <v>241</v>
      </c>
      <c r="D5" s="3" t="s">
        <v>242</v>
      </c>
    </row>
    <row r="6" customFormat="false" ht="23.25" hidden="false" customHeight="true" outlineLevel="0" collapsed="false">
      <c r="A6" s="3" t="n">
        <v>2</v>
      </c>
      <c r="B6" s="5" t="s">
        <v>243</v>
      </c>
      <c r="C6" s="5" t="s">
        <v>244</v>
      </c>
      <c r="D6" s="3" t="s">
        <v>245</v>
      </c>
    </row>
    <row r="7" customFormat="false" ht="23.25" hidden="false" customHeight="true" outlineLevel="0" collapsed="false">
      <c r="A7" s="3" t="n">
        <v>3</v>
      </c>
      <c r="B7" s="5" t="s">
        <v>246</v>
      </c>
      <c r="C7" s="5" t="s">
        <v>247</v>
      </c>
      <c r="D7" s="3" t="s">
        <v>245</v>
      </c>
    </row>
    <row r="8" customFormat="false" ht="15" hidden="false" customHeight="true" outlineLevel="0" collapsed="false">
      <c r="A8" s="3" t="n">
        <v>4</v>
      </c>
      <c r="B8" s="5" t="s">
        <v>248</v>
      </c>
      <c r="C8" s="5" t="s">
        <v>249</v>
      </c>
      <c r="D8" s="3" t="s">
        <v>73</v>
      </c>
    </row>
    <row r="9" customFormat="false" ht="15" hidden="false" customHeight="true" outlineLevel="0" collapsed="false">
      <c r="A9" s="3" t="n">
        <v>5</v>
      </c>
      <c r="B9" s="5" t="s">
        <v>250</v>
      </c>
      <c r="C9" s="5" t="s">
        <v>251</v>
      </c>
      <c r="D9" s="3" t="s">
        <v>245</v>
      </c>
    </row>
    <row r="10" customFormat="false" ht="23.25" hidden="false" customHeight="true" outlineLevel="0" collapsed="false">
      <c r="A10" s="3" t="n">
        <v>6</v>
      </c>
      <c r="B10" s="5" t="s">
        <v>252</v>
      </c>
      <c r="C10" s="5" t="s">
        <v>253</v>
      </c>
      <c r="D10" s="3" t="s">
        <v>83</v>
      </c>
    </row>
    <row r="11" customFormat="false" ht="23.25" hidden="false" customHeight="true" outlineLevel="0" collapsed="false">
      <c r="A11" s="3" t="n">
        <v>7</v>
      </c>
      <c r="B11" s="5" t="s">
        <v>254</v>
      </c>
      <c r="C11" s="5" t="s">
        <v>255</v>
      </c>
      <c r="D11" s="3" t="s">
        <v>39</v>
      </c>
    </row>
    <row r="12" customFormat="false" ht="23.25" hidden="false" customHeight="true" outlineLevel="0" collapsed="false">
      <c r="A12" s="3" t="n">
        <v>8</v>
      </c>
      <c r="B12" s="5" t="s">
        <v>256</v>
      </c>
      <c r="C12" s="5" t="s">
        <v>257</v>
      </c>
      <c r="D12" s="3" t="s">
        <v>78</v>
      </c>
    </row>
    <row r="13" customFormat="false" ht="15" hidden="false" customHeight="true" outlineLevel="0" collapsed="false">
      <c r="A13" s="3" t="n">
        <v>9</v>
      </c>
      <c r="B13" s="5" t="s">
        <v>258</v>
      </c>
      <c r="C13" s="5" t="s">
        <v>259</v>
      </c>
      <c r="D13" s="3" t="s">
        <v>245</v>
      </c>
    </row>
    <row r="14" customFormat="false" ht="23.25" hidden="false" customHeight="true" outlineLevel="0" collapsed="false">
      <c r="A14" s="3" t="n">
        <v>10</v>
      </c>
      <c r="B14" s="5" t="s">
        <v>260</v>
      </c>
      <c r="C14" s="5" t="s">
        <v>261</v>
      </c>
      <c r="D14" s="3" t="s">
        <v>68</v>
      </c>
    </row>
    <row r="15" customFormat="false" ht="15" hidden="false" customHeight="true" outlineLevel="0" collapsed="false">
      <c r="A15" s="3" t="n">
        <v>11</v>
      </c>
      <c r="B15" s="5" t="s">
        <v>262</v>
      </c>
      <c r="C15" s="5" t="s">
        <v>263</v>
      </c>
      <c r="D15" s="3" t="s">
        <v>62</v>
      </c>
    </row>
    <row r="16" customFormat="false" ht="15" hidden="false" customHeight="true" outlineLevel="0" collapsed="false">
      <c r="A16" s="3" t="n">
        <v>12</v>
      </c>
      <c r="B16" s="5" t="s">
        <v>264</v>
      </c>
      <c r="C16" s="5" t="s">
        <v>265</v>
      </c>
      <c r="D16" s="3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44"/>
    <col collapsed="false" customWidth="true" hidden="false" outlineLevel="0" max="9" min="6" style="1" width="13"/>
    <col collapsed="false" customWidth="true" hidden="false" outlineLevel="0" max="10" min="10" style="1" width="26"/>
  </cols>
  <sheetData>
    <row r="1" customFormat="false" ht="15" hidden="false" customHeight="true" outlineLevel="0" collapsed="false">
      <c r="A1" s="2" t="s">
        <v>267</v>
      </c>
    </row>
    <row r="2" customFormat="false" ht="15" hidden="false" customHeight="true" outlineLevel="0" collapsed="false">
      <c r="A2" s="3" t="s">
        <v>268</v>
      </c>
    </row>
    <row r="4" customFormat="false" ht="15" hidden="false" customHeight="true" outlineLevel="0" collapsed="false">
      <c r="A4" s="4" t="s">
        <v>269</v>
      </c>
      <c r="B4" s="4" t="s">
        <v>270</v>
      </c>
      <c r="C4" s="4" t="s">
        <v>271</v>
      </c>
      <c r="D4" s="4" t="s">
        <v>272</v>
      </c>
      <c r="E4" s="4" t="s">
        <v>273</v>
      </c>
      <c r="F4" s="4" t="s">
        <v>174</v>
      </c>
      <c r="G4" s="4" t="s">
        <v>180</v>
      </c>
      <c r="H4" s="4" t="s">
        <v>185</v>
      </c>
      <c r="I4" s="4" t="s">
        <v>190</v>
      </c>
      <c r="J4" s="4" t="s">
        <v>274</v>
      </c>
    </row>
    <row r="5" customFormat="false" ht="23.25" hidden="false" customHeight="true" outlineLevel="0" collapsed="false">
      <c r="A5" s="3" t="s">
        <v>275</v>
      </c>
      <c r="B5" s="3" t="s">
        <v>276</v>
      </c>
      <c r="C5" s="3" t="s">
        <v>277</v>
      </c>
      <c r="D5" s="5" t="s">
        <v>278</v>
      </c>
      <c r="E5" s="5" t="s">
        <v>279</v>
      </c>
      <c r="F5" s="3" t="s">
        <v>280</v>
      </c>
      <c r="G5" s="3" t="s">
        <v>280</v>
      </c>
      <c r="H5" s="3" t="s">
        <v>280</v>
      </c>
      <c r="I5" s="3" t="s">
        <v>280</v>
      </c>
      <c r="J5" s="5" t="s">
        <v>281</v>
      </c>
    </row>
    <row r="6" customFormat="false" ht="23.25" hidden="false" customHeight="true" outlineLevel="0" collapsed="false">
      <c r="A6" s="3" t="s">
        <v>282</v>
      </c>
      <c r="B6" s="3" t="s">
        <v>283</v>
      </c>
      <c r="C6" s="3" t="s">
        <v>284</v>
      </c>
      <c r="D6" s="5" t="s">
        <v>285</v>
      </c>
      <c r="E6" s="5" t="s">
        <v>286</v>
      </c>
      <c r="F6" s="3" t="s">
        <v>280</v>
      </c>
      <c r="G6" s="3" t="s">
        <v>280</v>
      </c>
      <c r="H6" s="3" t="s">
        <v>280</v>
      </c>
      <c r="I6" s="3" t="s">
        <v>280</v>
      </c>
      <c r="J6" s="5" t="s">
        <v>287</v>
      </c>
    </row>
    <row r="7" customFormat="false" ht="23.25" hidden="false" customHeight="true" outlineLevel="0" collapsed="false">
      <c r="A7" s="3" t="s">
        <v>288</v>
      </c>
      <c r="B7" s="3" t="s">
        <v>289</v>
      </c>
      <c r="C7" s="3" t="s">
        <v>290</v>
      </c>
      <c r="D7" s="5" t="s">
        <v>291</v>
      </c>
      <c r="E7" s="5" t="s">
        <v>245</v>
      </c>
      <c r="F7" s="3" t="s">
        <v>292</v>
      </c>
      <c r="G7" s="3" t="s">
        <v>292</v>
      </c>
      <c r="H7" s="3" t="s">
        <v>292</v>
      </c>
      <c r="I7" s="3" t="s">
        <v>292</v>
      </c>
      <c r="J7" s="5" t="s">
        <v>293</v>
      </c>
    </row>
    <row r="8" customFormat="false" ht="23.25" hidden="false" customHeight="true" outlineLevel="0" collapsed="false">
      <c r="A8" s="3" t="s">
        <v>294</v>
      </c>
      <c r="B8" s="3" t="s">
        <v>295</v>
      </c>
      <c r="C8" s="3" t="s">
        <v>296</v>
      </c>
      <c r="D8" s="5" t="s">
        <v>297</v>
      </c>
      <c r="E8" s="5" t="s">
        <v>298</v>
      </c>
      <c r="F8" s="3" t="s">
        <v>280</v>
      </c>
      <c r="G8" s="3" t="s">
        <v>280</v>
      </c>
      <c r="H8" s="3" t="s">
        <v>280</v>
      </c>
      <c r="I8" s="3" t="s">
        <v>280</v>
      </c>
      <c r="J8" s="5" t="s">
        <v>299</v>
      </c>
    </row>
    <row r="9" customFormat="false" ht="15" hidden="false" customHeight="true" outlineLevel="0" collapsed="false">
      <c r="A9" s="3" t="s">
        <v>300</v>
      </c>
      <c r="B9" s="3" t="s">
        <v>301</v>
      </c>
      <c r="C9" s="3" t="s">
        <v>302</v>
      </c>
      <c r="D9" s="5" t="s">
        <v>303</v>
      </c>
      <c r="E9" s="5" t="s">
        <v>304</v>
      </c>
      <c r="F9" s="3" t="s">
        <v>280</v>
      </c>
      <c r="G9" s="3" t="s">
        <v>280</v>
      </c>
      <c r="H9" s="3" t="s">
        <v>280</v>
      </c>
      <c r="I9" s="3" t="s">
        <v>280</v>
      </c>
      <c r="J9" s="5" t="s">
        <v>305</v>
      </c>
    </row>
    <row r="10" customFormat="false" ht="23.25" hidden="false" customHeight="true" outlineLevel="0" collapsed="false">
      <c r="A10" s="3" t="s">
        <v>306</v>
      </c>
      <c r="B10" s="3" t="s">
        <v>307</v>
      </c>
      <c r="C10" s="3" t="s">
        <v>308</v>
      </c>
      <c r="D10" s="5" t="s">
        <v>309</v>
      </c>
      <c r="E10" s="5" t="s">
        <v>310</v>
      </c>
      <c r="F10" s="3" t="s">
        <v>280</v>
      </c>
      <c r="G10" s="3" t="s">
        <v>280</v>
      </c>
      <c r="H10" s="3" t="s">
        <v>280</v>
      </c>
      <c r="I10" s="3" t="s">
        <v>280</v>
      </c>
      <c r="J10" s="5" t="s">
        <v>311</v>
      </c>
    </row>
    <row r="11" customFormat="false" ht="23.25" hidden="false" customHeight="true" outlineLevel="0" collapsed="false">
      <c r="A11" s="3" t="s">
        <v>312</v>
      </c>
      <c r="B11" s="3" t="s">
        <v>313</v>
      </c>
      <c r="C11" s="3" t="s">
        <v>314</v>
      </c>
      <c r="D11" s="5" t="s">
        <v>315</v>
      </c>
      <c r="E11" s="5" t="s">
        <v>316</v>
      </c>
      <c r="F11" s="3" t="s">
        <v>280</v>
      </c>
      <c r="G11" s="3" t="s">
        <v>280</v>
      </c>
      <c r="H11" s="3" t="s">
        <v>280</v>
      </c>
      <c r="I11" s="3" t="s">
        <v>280</v>
      </c>
      <c r="J11" s="5" t="s">
        <v>317</v>
      </c>
    </row>
    <row r="12" customFormat="false" ht="23.25" hidden="false" customHeight="true" outlineLevel="0" collapsed="false">
      <c r="A12" s="3" t="s">
        <v>318</v>
      </c>
      <c r="B12" s="3" t="s">
        <v>319</v>
      </c>
      <c r="C12" s="3" t="s">
        <v>320</v>
      </c>
      <c r="D12" s="5" t="s">
        <v>321</v>
      </c>
      <c r="E12" s="5" t="s">
        <v>304</v>
      </c>
      <c r="F12" s="3" t="s">
        <v>280</v>
      </c>
      <c r="G12" s="3" t="s">
        <v>280</v>
      </c>
      <c r="H12" s="3" t="s">
        <v>280</v>
      </c>
      <c r="I12" s="3" t="s">
        <v>280</v>
      </c>
      <c r="J12" s="5" t="s">
        <v>322</v>
      </c>
    </row>
    <row r="13" customFormat="false" ht="23.25" hidden="false" customHeight="true" outlineLevel="0" collapsed="false">
      <c r="A13" s="3" t="s">
        <v>323</v>
      </c>
      <c r="B13" s="3" t="s">
        <v>324</v>
      </c>
      <c r="C13" s="3" t="s">
        <v>325</v>
      </c>
      <c r="D13" s="5" t="s">
        <v>326</v>
      </c>
      <c r="E13" s="5" t="s">
        <v>327</v>
      </c>
      <c r="F13" s="3" t="s">
        <v>280</v>
      </c>
      <c r="G13" s="3" t="s">
        <v>280</v>
      </c>
      <c r="H13" s="3" t="s">
        <v>280</v>
      </c>
      <c r="I13" s="3" t="s">
        <v>280</v>
      </c>
      <c r="J13" s="5" t="s">
        <v>328</v>
      </c>
    </row>
    <row r="14" customFormat="false" ht="23.25" hidden="false" customHeight="true" outlineLevel="0" collapsed="false">
      <c r="A14" s="3" t="s">
        <v>329</v>
      </c>
      <c r="B14" s="3" t="s">
        <v>330</v>
      </c>
      <c r="C14" s="3" t="s">
        <v>331</v>
      </c>
      <c r="D14" s="5" t="s">
        <v>332</v>
      </c>
      <c r="E14" s="5" t="s">
        <v>333</v>
      </c>
      <c r="F14" s="3" t="s">
        <v>280</v>
      </c>
      <c r="G14" s="3" t="s">
        <v>280</v>
      </c>
      <c r="H14" s="3" t="s">
        <v>280</v>
      </c>
      <c r="I14" s="3" t="s">
        <v>280</v>
      </c>
      <c r="J14" s="5" t="s">
        <v>334</v>
      </c>
    </row>
    <row r="15" customFormat="false" ht="23.25" hidden="false" customHeight="true" outlineLevel="0" collapsed="false">
      <c r="A15" s="3" t="s">
        <v>335</v>
      </c>
      <c r="B15" s="3" t="s">
        <v>336</v>
      </c>
      <c r="C15" s="3" t="s">
        <v>337</v>
      </c>
      <c r="D15" s="5" t="s">
        <v>338</v>
      </c>
      <c r="E15" s="5" t="s">
        <v>339</v>
      </c>
      <c r="F15" s="3" t="s">
        <v>280</v>
      </c>
      <c r="G15" s="3" t="s">
        <v>280</v>
      </c>
      <c r="H15" s="3" t="s">
        <v>280</v>
      </c>
      <c r="I15" s="3" t="s">
        <v>280</v>
      </c>
      <c r="J15" s="5" t="s">
        <v>340</v>
      </c>
    </row>
    <row r="16" customFormat="false" ht="34.5" hidden="false" customHeight="true" outlineLevel="0" collapsed="false">
      <c r="A16" s="3" t="s">
        <v>341</v>
      </c>
      <c r="B16" s="3" t="s">
        <v>245</v>
      </c>
      <c r="C16" s="3" t="s">
        <v>342</v>
      </c>
      <c r="D16" s="5" t="s">
        <v>245</v>
      </c>
      <c r="E16" s="5" t="s">
        <v>245</v>
      </c>
      <c r="F16" s="3" t="s">
        <v>280</v>
      </c>
      <c r="G16" s="3" t="s">
        <v>280</v>
      </c>
      <c r="H16" s="3" t="s">
        <v>280</v>
      </c>
      <c r="I16" s="3" t="s">
        <v>280</v>
      </c>
      <c r="J16" s="7" t="s">
        <v>343</v>
      </c>
    </row>
    <row r="18" customFormat="false" ht="15" hidden="false" customHeight="true" outlineLevel="0" collapsed="false">
      <c r="A18" s="4" t="s">
        <v>344</v>
      </c>
      <c r="B18" s="4"/>
      <c r="C18" s="4"/>
      <c r="D18" s="4"/>
      <c r="E18" s="4"/>
      <c r="F18" s="4" t="n">
        <f aca="false">COUNTIF(F5:F16,"GREEN")</f>
        <v>1</v>
      </c>
      <c r="G18" s="4" t="n">
        <f aca="false">COUNTIF(G5:G16,"GREEN")</f>
        <v>1</v>
      </c>
      <c r="H18" s="4" t="n">
        <f aca="false">COUNTIF(H5:H16,"GREEN")</f>
        <v>1</v>
      </c>
      <c r="I18" s="4" t="n">
        <f aca="false">COUNTIF(I5:I16,"GREEN")</f>
        <v>1</v>
      </c>
      <c r="J18" s="4" t="s">
        <v>345</v>
      </c>
    </row>
    <row r="19" customFormat="false" ht="15" hidden="false" customHeight="true" outlineLevel="0" collapsed="false">
      <c r="A19" s="3"/>
      <c r="B19" s="3" t="s">
        <v>346</v>
      </c>
      <c r="C19" s="3"/>
      <c r="D19" s="3" t="n">
        <f aca="false">COUNTIF(F5:F16,"NOT STARTED")</f>
        <v>11</v>
      </c>
      <c r="E19" s="3" t="s">
        <v>112</v>
      </c>
      <c r="F19" s="3" t="n">
        <f aca="false">COUNTA(A5:A16)</f>
        <v>12</v>
      </c>
      <c r="G19" s="3"/>
      <c r="H19" s="3"/>
      <c r="I19" s="3"/>
      <c r="J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52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14"/>
  </cols>
  <sheetData>
    <row r="1" customFormat="false" ht="15" hidden="false" customHeight="true" outlineLevel="0" collapsed="false">
      <c r="A1" s="2" t="s">
        <v>347</v>
      </c>
    </row>
    <row r="2" customFormat="false" ht="15" hidden="false" customHeight="true" outlineLevel="0" collapsed="false">
      <c r="A2" s="3" t="s">
        <v>348</v>
      </c>
    </row>
    <row r="4" customFormat="false" ht="15" hidden="false" customHeight="true" outlineLevel="0" collapsed="false">
      <c r="A4" s="4" t="s">
        <v>32</v>
      </c>
      <c r="B4" s="4" t="s">
        <v>269</v>
      </c>
      <c r="C4" s="4" t="s">
        <v>33</v>
      </c>
      <c r="D4" s="4" t="s">
        <v>349</v>
      </c>
      <c r="E4" s="4" t="s">
        <v>350</v>
      </c>
      <c r="F4" s="4" t="s">
        <v>351</v>
      </c>
      <c r="G4" s="4" t="s">
        <v>352</v>
      </c>
    </row>
    <row r="5" customFormat="false" ht="15" hidden="false" customHeight="true" outlineLevel="0" collapsed="false">
      <c r="A5" s="3" t="s">
        <v>353</v>
      </c>
      <c r="B5" s="3" t="s">
        <v>329</v>
      </c>
      <c r="C5" s="3" t="s">
        <v>39</v>
      </c>
      <c r="D5" s="3" t="s">
        <v>354</v>
      </c>
      <c r="E5" s="3" t="s">
        <v>355</v>
      </c>
      <c r="F5" s="3" t="s">
        <v>356</v>
      </c>
      <c r="G5" s="3" t="s">
        <v>357</v>
      </c>
    </row>
    <row r="7" customFormat="false" ht="15" hidden="false" customHeight="true" outlineLevel="0" collapsed="false">
      <c r="A7" s="4" t="s">
        <v>344</v>
      </c>
      <c r="B7" s="4" t="s">
        <v>358</v>
      </c>
      <c r="C7" s="4" t="n">
        <f aca="false">COUNTA(A5:A200)-1</f>
        <v>1</v>
      </c>
      <c r="D7" s="4" t="s">
        <v>359</v>
      </c>
      <c r="E7" s="4" t="n">
        <f aca="false">COUNTIF(F5:F200,"FIX")</f>
        <v>1</v>
      </c>
      <c r="F7" s="4" t="s">
        <v>360</v>
      </c>
      <c r="G7" s="4" t="n">
        <f aca="false">COUNTIF(F5:F200,"ALLOW")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58"/>
    <col collapsed="false" customWidth="true" hidden="false" outlineLevel="0" max="5" min="5" style="1" width="44"/>
    <col collapsed="false" customWidth="true" hidden="false" outlineLevel="0" max="6" min="6" style="1" width="16"/>
  </cols>
  <sheetData>
    <row r="1" customFormat="false" ht="15" hidden="false" customHeight="true" outlineLevel="0" collapsed="false">
      <c r="A1" s="2" t="s">
        <v>361</v>
      </c>
    </row>
    <row r="2" customFormat="false" ht="15" hidden="false" customHeight="true" outlineLevel="0" collapsed="false">
      <c r="A2" s="3" t="s">
        <v>362</v>
      </c>
    </row>
    <row r="4" customFormat="false" ht="15" hidden="false" customHeight="true" outlineLevel="0" collapsed="false">
      <c r="A4" s="4" t="s">
        <v>33</v>
      </c>
      <c r="B4" s="4" t="s">
        <v>363</v>
      </c>
      <c r="C4" s="4" t="s">
        <v>34</v>
      </c>
      <c r="D4" s="4" t="s">
        <v>364</v>
      </c>
      <c r="E4" s="4" t="s">
        <v>365</v>
      </c>
      <c r="F4" s="4" t="s">
        <v>366</v>
      </c>
    </row>
    <row r="5" customFormat="false" ht="34.5" hidden="false" customHeight="true" outlineLevel="0" collapsed="false">
      <c r="A5" s="3" t="s">
        <v>39</v>
      </c>
      <c r="B5" s="3" t="s">
        <v>367</v>
      </c>
      <c r="C5" s="3" t="n">
        <v>8</v>
      </c>
      <c r="D5" s="5" t="s">
        <v>368</v>
      </c>
      <c r="E5" s="5" t="s">
        <v>369</v>
      </c>
      <c r="F5" s="3" t="s">
        <v>370</v>
      </c>
    </row>
    <row r="6" customFormat="false" ht="23.25" hidden="false" customHeight="true" outlineLevel="0" collapsed="false">
      <c r="A6" s="3" t="s">
        <v>45</v>
      </c>
      <c r="B6" s="3" t="s">
        <v>371</v>
      </c>
      <c r="C6" s="3" t="n">
        <v>7</v>
      </c>
      <c r="D6" s="5" t="s">
        <v>372</v>
      </c>
      <c r="E6" s="5" t="s">
        <v>373</v>
      </c>
      <c r="F6" s="3" t="s">
        <v>370</v>
      </c>
    </row>
    <row r="7" customFormat="false" ht="23.25" hidden="false" customHeight="true" outlineLevel="0" collapsed="false">
      <c r="A7" s="3" t="s">
        <v>374</v>
      </c>
      <c r="B7" s="3" t="s">
        <v>375</v>
      </c>
      <c r="C7" s="3" t="s">
        <v>376</v>
      </c>
      <c r="D7" s="5" t="s">
        <v>377</v>
      </c>
      <c r="E7" s="5" t="s">
        <v>378</v>
      </c>
      <c r="F7" s="3" t="s">
        <v>379</v>
      </c>
    </row>
    <row r="8" customFormat="false" ht="23.25" hidden="false" customHeight="true" outlineLevel="0" collapsed="false">
      <c r="A8" s="3" t="s">
        <v>57</v>
      </c>
      <c r="B8" s="3" t="s">
        <v>380</v>
      </c>
      <c r="C8" s="3" t="n">
        <v>5</v>
      </c>
      <c r="D8" s="5" t="s">
        <v>381</v>
      </c>
      <c r="E8" s="5" t="s">
        <v>382</v>
      </c>
      <c r="F8" s="3" t="s">
        <v>370</v>
      </c>
    </row>
    <row r="9" customFormat="false" ht="23.25" hidden="false" customHeight="true" outlineLevel="0" collapsed="false">
      <c r="A9" s="3" t="s">
        <v>68</v>
      </c>
      <c r="B9" s="3" t="s">
        <v>383</v>
      </c>
      <c r="C9" s="3" t="n">
        <v>5</v>
      </c>
      <c r="D9" s="5" t="s">
        <v>384</v>
      </c>
      <c r="E9" s="5" t="s">
        <v>385</v>
      </c>
      <c r="F9" s="3" t="s">
        <v>386</v>
      </c>
    </row>
    <row r="10" customFormat="false" ht="23.25" hidden="false" customHeight="true" outlineLevel="0" collapsed="false">
      <c r="A10" s="3" t="s">
        <v>73</v>
      </c>
      <c r="B10" s="3" t="s">
        <v>387</v>
      </c>
      <c r="C10" s="3" t="n">
        <v>4</v>
      </c>
      <c r="D10" s="5" t="s">
        <v>388</v>
      </c>
      <c r="E10" s="5" t="s">
        <v>389</v>
      </c>
      <c r="F10" s="3" t="s">
        <v>370</v>
      </c>
    </row>
    <row r="11" customFormat="false" ht="23.25" hidden="false" customHeight="true" outlineLevel="0" collapsed="false">
      <c r="A11" s="3" t="s">
        <v>93</v>
      </c>
      <c r="B11" s="3" t="s">
        <v>390</v>
      </c>
      <c r="C11" s="3" t="n">
        <v>2</v>
      </c>
      <c r="D11" s="5" t="s">
        <v>391</v>
      </c>
      <c r="E11" s="5" t="s">
        <v>392</v>
      </c>
      <c r="F11" s="3" t="s">
        <v>379</v>
      </c>
    </row>
    <row r="12" customFormat="false" ht="23.25" hidden="false" customHeight="true" outlineLevel="0" collapsed="false">
      <c r="A12" s="3" t="s">
        <v>104</v>
      </c>
      <c r="B12" s="3" t="s">
        <v>393</v>
      </c>
      <c r="C12" s="3" t="s">
        <v>394</v>
      </c>
      <c r="D12" s="5" t="s">
        <v>395</v>
      </c>
      <c r="E12" s="5" t="s">
        <v>396</v>
      </c>
      <c r="F12" s="3" t="s">
        <v>379</v>
      </c>
    </row>
    <row r="14" customFormat="false" ht="15" hidden="false" customHeight="true" outlineLevel="0" collapsed="false">
      <c r="A14" s="4" t="s">
        <v>109</v>
      </c>
      <c r="B14" s="4" t="s">
        <v>397</v>
      </c>
      <c r="C14" s="4" t="n">
        <f aca="false">COUNTA(A5:A12)</f>
        <v>8</v>
      </c>
      <c r="D14" s="4" t="s">
        <v>398</v>
      </c>
      <c r="E14" s="4" t="n">
        <f aca="false">SUM(C5:C12)</f>
        <v>31</v>
      </c>
      <c r="F14" s="4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8" t="s">
        <v>400</v>
      </c>
    </row>
    <row r="2" customFormat="false" ht="15" hidden="false" customHeight="false" outlineLevel="0" collapsed="false">
      <c r="A2" s="6" t="s">
        <v>401</v>
      </c>
    </row>
    <row r="4" customFormat="false" ht="15" hidden="false" customHeight="false" outlineLevel="0" collapsed="false">
      <c r="A4" s="9" t="s">
        <v>33</v>
      </c>
      <c r="B4" s="9" t="s">
        <v>402</v>
      </c>
      <c r="C4" s="9" t="s">
        <v>403</v>
      </c>
      <c r="D4" s="9" t="s">
        <v>404</v>
      </c>
      <c r="E4" s="9" t="s">
        <v>274</v>
      </c>
    </row>
    <row r="5" customFormat="false" ht="35.05" hidden="false" customHeight="false" outlineLevel="0" collapsed="false">
      <c r="A5" s="6" t="s">
        <v>39</v>
      </c>
      <c r="B5" s="6" t="s">
        <v>405</v>
      </c>
      <c r="C5" s="5" t="s">
        <v>406</v>
      </c>
      <c r="D5" s="6" t="s">
        <v>407</v>
      </c>
      <c r="E5" s="5" t="s">
        <v>408</v>
      </c>
    </row>
    <row r="6" customFormat="false" ht="15" hidden="false" customHeight="false" outlineLevel="0" collapsed="false">
      <c r="A6" s="6" t="s">
        <v>45</v>
      </c>
      <c r="B6" s="6" t="s">
        <v>409</v>
      </c>
      <c r="C6" s="5" t="s">
        <v>410</v>
      </c>
      <c r="D6" s="6" t="s">
        <v>407</v>
      </c>
      <c r="E6" s="5" t="s">
        <v>411</v>
      </c>
    </row>
    <row r="7" customFormat="false" ht="23.85" hidden="false" customHeight="false" outlineLevel="0" collapsed="false">
      <c r="A7" s="6" t="s">
        <v>73</v>
      </c>
      <c r="B7" s="6" t="s">
        <v>412</v>
      </c>
      <c r="C7" s="5" t="s">
        <v>413</v>
      </c>
      <c r="D7" s="6" t="s">
        <v>407</v>
      </c>
      <c r="E7" s="5" t="s">
        <v>414</v>
      </c>
    </row>
    <row r="8" customFormat="false" ht="23.85" hidden="false" customHeight="false" outlineLevel="0" collapsed="false">
      <c r="A8" s="6" t="s">
        <v>374</v>
      </c>
      <c r="B8" s="6" t="s">
        <v>415</v>
      </c>
      <c r="C8" s="5" t="s">
        <v>416</v>
      </c>
      <c r="D8" s="6" t="s">
        <v>407</v>
      </c>
      <c r="E8" s="5" t="s">
        <v>417</v>
      </c>
    </row>
    <row r="9" customFormat="false" ht="23.85" hidden="false" customHeight="false" outlineLevel="0" collapsed="false">
      <c r="A9" s="6" t="s">
        <v>68</v>
      </c>
      <c r="B9" s="6" t="s">
        <v>418</v>
      </c>
      <c r="C9" s="5" t="s">
        <v>419</v>
      </c>
      <c r="D9" s="10" t="s">
        <v>420</v>
      </c>
      <c r="E9" s="5" t="s">
        <v>421</v>
      </c>
    </row>
    <row r="10" customFormat="false" ht="15" hidden="false" customHeight="false" outlineLevel="0" collapsed="false">
      <c r="A10" s="6" t="s">
        <v>104</v>
      </c>
      <c r="B10" s="6" t="s">
        <v>422</v>
      </c>
      <c r="C10" s="5" t="s">
        <v>423</v>
      </c>
      <c r="D10" s="6" t="s">
        <v>407</v>
      </c>
      <c r="E10" s="5" t="s">
        <v>424</v>
      </c>
    </row>
    <row r="11" customFormat="false" ht="35.05" hidden="false" customHeight="false" outlineLevel="0" collapsed="false">
      <c r="A11" s="6" t="s">
        <v>93</v>
      </c>
      <c r="B11" s="6" t="s">
        <v>425</v>
      </c>
      <c r="C11" s="5" t="s">
        <v>426</v>
      </c>
      <c r="D11" s="10" t="s">
        <v>427</v>
      </c>
      <c r="E11" s="5" t="s">
        <v>428</v>
      </c>
    </row>
    <row r="13" customFormat="false" ht="15" hidden="false" customHeight="false" outlineLevel="0" collapsed="false">
      <c r="A13" s="9" t="s">
        <v>344</v>
      </c>
      <c r="B13" s="9" t="s">
        <v>429</v>
      </c>
      <c r="C13" s="9" t="n">
        <f aca="false">COUNTIF(D5:D11,"PASS*")</f>
        <v>6</v>
      </c>
      <c r="D13" s="9" t="s">
        <v>112</v>
      </c>
      <c r="E13" s="9" t="n">
        <f aca="false">COUNTA(A5:A11)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2026-09-13T10:39:43Z</dcterms:created>
  <dc:creator>openpyxl</dc:creator>
  <dc:description/>
  <dc:language>en-US</dc:language>
  <cp:lastModifiedBy/>
  <dcterms:modified xsi:type="dcterms:W3CDTF">2026-09-13T11:02:11Z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