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sion_Control" sheetId="1" state="visible" r:id="rId1"/>
    <sheet xmlns:r="http://schemas.openxmlformats.org/officeDocument/2006/relationships" name="ReadMe_Scope" sheetId="2" state="visible" r:id="rId2"/>
    <sheet xmlns:r="http://schemas.openxmlformats.org/officeDocument/2006/relationships" name="Product_Spec" sheetId="3" state="visible" r:id="rId3"/>
    <sheet xmlns:r="http://schemas.openxmlformats.org/officeDocument/2006/relationships" name="Screens_Wireframes" sheetId="4" state="visible" r:id="rId4"/>
    <sheet xmlns:r="http://schemas.openxmlformats.org/officeDocument/2006/relationships" name="GTM_Execution" sheetId="5" state="visible" r:id="rId5"/>
    <sheet xmlns:r="http://schemas.openxmlformats.org/officeDocument/2006/relationships" name="Metrics_Targets" sheetId="6" state="visible" r:id="rId6"/>
    <sheet xmlns:r="http://schemas.openxmlformats.org/officeDocument/2006/relationships" name="Full_Backlog" sheetId="7" state="visible" r:id="rId7"/>
    <sheet xmlns:r="http://schemas.openxmlformats.org/officeDocument/2006/relationships" name="Sprint_Board" sheetId="8" state="visible" r:id="rId8"/>
    <sheet xmlns:r="http://schemas.openxmlformats.org/officeDocument/2006/relationships" name="Financial_Model" sheetId="9" state="visible" r:id="rId9"/>
    <sheet xmlns:r="http://schemas.openxmlformats.org/officeDocument/2006/relationships" name="Review_PRX_V001" sheetId="10" state="visible" r:id="rId10"/>
    <sheet xmlns:r="http://schemas.openxmlformats.org/officeDocument/2006/relationships" name="Corrections_Applied" sheetId="11" state="visible" r:id="rId11"/>
    <sheet xmlns:r="http://schemas.openxmlformats.org/officeDocument/2006/relationships" name="Review_Decisions" sheetId="12" state="visible" r:id="rId12"/>
    <sheet xmlns:r="http://schemas.openxmlformats.org/officeDocument/2006/relationships" name="V002_Enterprise_Gates" sheetId="13" state="visible" r:id="rId13"/>
    <sheet xmlns:r="http://schemas.openxmlformats.org/officeDocument/2006/relationships" name="Scorecard" sheetId="14" state="visible" r:id="rId14"/>
    <sheet xmlns:r="http://schemas.openxmlformats.org/officeDocument/2006/relationships" name="Scale_Envelope" sheetId="15" state="visible" r:id="rId15"/>
    <sheet xmlns:r="http://schemas.openxmlformats.org/officeDocument/2006/relationships" name="Launch_Checklist" sheetId="16" state="visible" r:id="rId16"/>
    <sheet xmlns:r="http://schemas.openxmlformats.org/officeDocument/2006/relationships" name="Review_Findings" sheetId="17" state="visible" r:id="rId17"/>
    <sheet xmlns:r="http://schemas.openxmlformats.org/officeDocument/2006/relationships" name="External_Review_V001" sheetId="18" state="visible" r:id="rId18"/>
    <sheet xmlns:r="http://schemas.openxmlformats.org/officeDocument/2006/relationships" name="Release_Traceability_Correction" sheetId="19" state="visible" r:id="rId19"/>
    <sheet xmlns:r="http://schemas.openxmlformats.org/officeDocument/2006/relationships" name="V002_Roadmap" sheetId="20" state="visible" r:id="rId20"/>
    <sheet xmlns:r="http://schemas.openxmlformats.org/officeDocument/2006/relationships" name="E09_Badge_Assessment" sheetId="21" state="visible" r:id="rId21"/>
    <sheet xmlns:r="http://schemas.openxmlformats.org/officeDocument/2006/relationships" name="Risk_Register" sheetId="22" state="visible" r:id="rId22"/>
    <sheet xmlns:r="http://schemas.openxmlformats.org/officeDocument/2006/relationships" name="Gate_Register_v2" sheetId="23" state="visible" r:id="rId23"/>
    <sheet xmlns:r="http://schemas.openxmlformats.org/officeDocument/2006/relationships" name="AEC_Gap" sheetId="24" state="visible" r:id="rId24"/>
    <sheet xmlns:r="http://schemas.openxmlformats.org/officeDocument/2006/relationships" name="Market_Evidence" sheetId="25" state="visible" r:id="rId2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7">
    <fill>
      <patternFill/>
    </fill>
    <fill>
      <patternFill patternType="gray125"/>
    </fill>
    <fill>
      <patternFill patternType="solid">
        <fgColor rgb="FFD9D9D9"/>
      </patternFill>
    </fill>
    <fill>
      <patternFill patternType="solid">
        <fgColor rgb="FFE7F0F8"/>
      </patternFill>
    </fill>
    <fill>
      <patternFill patternType="solid">
        <fgColor rgb="FFE2EFDA"/>
      </patternFill>
    </fill>
    <fill>
      <patternFill patternType="solid">
        <fgColor rgb="FFFFF2CC"/>
      </patternFill>
    </fill>
    <fill>
      <patternFill patternType="solid">
        <fgColor rgb="FFFCE4E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0"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1" applyAlignment="1" pivotButton="0" quotePrefix="0" xfId="0">
      <alignment vertical="top" wrapText="1"/>
    </xf>
    <xf numFmtId="9" fontId="0" fillId="5" borderId="1" applyAlignment="1" pivotButton="0" quotePrefix="0" xfId="0">
      <alignment vertical="top" wrapText="1"/>
    </xf>
    <xf numFmtId="0" fontId="0" fillId="6" borderId="1" applyAlignment="1" pivotButton="0" quotePrefix="0" xfId="0">
      <alignment vertical="top" wrapText="1"/>
    </xf>
    <xf numFmtId="0" fontId="0" fillId="0" borderId="1" applyAlignment="1" pivotButton="0" quotePrefix="0" xfId="0">
      <alignment horizontal="center" vertical="top"/>
    </xf>
    <xf numFmtId="0" fontId="0" fillId="5" borderId="1" applyAlignment="1" pivotButton="0" quotePrefix="0" xfId="0">
      <alignment horizontal="center" vertical="top"/>
    </xf>
    <xf numFmtId="0" fontId="0" fillId="4" borderId="1" applyAlignment="1" pivotButton="0" quotePrefix="0" xfId="0">
      <alignment horizontal="center" vertical="top"/>
    </xf>
    <xf numFmtId="0" fontId="0" fillId="6" borderId="1" applyAlignment="1" pivotButton="0" quotePrefix="0" xfId="0">
      <alignment horizontal="center"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pane ySplit="2" topLeftCell="A3" activePane="bottomLeft" state="frozen"/>
      <selection pane="bottomLeft" activeCell="A1" sqref="A1"/>
    </sheetView>
  </sheetViews>
  <sheetFormatPr baseColWidth="8" defaultRowHeight="15" outlineLevelCol="0"/>
  <cols>
    <col width="10" customWidth="1" min="1" max="1"/>
    <col width="17" customWidth="1" min="2" max="2"/>
    <col width="20" customWidth="1" min="3" max="3"/>
    <col width="150" customWidth="1" min="4" max="4"/>
    <col width="11" customWidth="1" min="5" max="5"/>
  </cols>
  <sheetData>
    <row r="1">
      <c r="A1" s="1" t="inlineStr">
        <is>
          <t>VERSION CONTROL — TestPulse</t>
        </is>
      </c>
    </row>
    <row r="2">
      <c r="A2" s="2" t="inlineStr">
        <is>
          <t>Version</t>
        </is>
      </c>
      <c r="B2" s="2" t="inlineStr">
        <is>
          <t>Date</t>
        </is>
      </c>
      <c r="C2" s="2" t="inlineStr">
        <is>
          <t>Author</t>
        </is>
      </c>
      <c r="D2" s="2" t="inlineStr">
        <is>
          <t>Change</t>
        </is>
      </c>
      <c r="E2" s="2" t="inlineStr">
        <is>
          <t>Status</t>
        </is>
      </c>
    </row>
    <row r="3">
      <c r="A3" s="3" t="inlineStr">
        <is>
          <t>v001-v004</t>
        </is>
      </c>
      <c r="B3" s="3" t="inlineStr">
        <is>
          <t>2026-09-05</t>
        </is>
      </c>
      <c r="C3" s="3" t="inlineStr">
        <is>
          <t>Claude for Senthil/KP</t>
        </is>
      </c>
      <c r="D3" s="3" t="inlineStr">
        <is>
          <t>Lineage: marketplace master (868 entries) -&gt; portfolio plan (12 products) -&gt; wave-1 (RetainKit/ShiftDesk/EngageOS, v005) -&gt; this product selected for wave-3</t>
        </is>
      </c>
      <c r="E3" s="3" t="inlineStr">
        <is>
          <t>Released</t>
        </is>
      </c>
    </row>
    <row r="4">
      <c r="A4" s="3" t="inlineStr">
        <is>
          <t>v008</t>
        </is>
      </c>
      <c r="B4" s="3" t="inlineStr">
        <is>
          <t>2026-09-10 22:58</t>
        </is>
      </c>
      <c r="C4" s="3" t="inlineStr">
        <is>
          <t>Claude for Senthil/KP</t>
        </is>
      </c>
      <c r="D4" s="3" t="inlineStr">
        <is>
          <t>RELEASED (supersedes the planned S0 re-baseline — D13 parked interviews): S1-S8 code scope executed done-in-code per Senthil 22:58 continue-sprint instruction. TypeScript core (config, store, lifecycle, permissions+audit, F1 case-gen, F2 run boards, F3 flaky detector, F4 readiness score, F5 Xray importer, E5 billing, E6 compliance, E7 analytics, webhooks, jiraClient backoff/breaker). D13 gate: 16 Jest suites / 105 tests / 100% branches-functions-lines-statements; CI coverage gate + E2E smoke every deploy. Full_Backlog statuses updated: 71 Done, 7 Code-complete pending live, 22 Backlog. Companion tracker: claude_v001_testpulse_sprint_tracker_traceability_20260910_2258.xlsx.</t>
        </is>
      </c>
      <c r="E4" s="3" t="inlineStr">
        <is>
          <t>Released</t>
        </is>
      </c>
    </row>
    <row r="5">
      <c r="A5" s="3" t="inlineStr">
        <is>
          <t>v009</t>
        </is>
      </c>
      <c r="B5" s="3" t="inlineStr">
        <is>
          <t>2026-09-10 23:13</t>
        </is>
      </c>
      <c r="C5" s="3" t="inlineStr">
        <is>
          <t>Claude for Senthil/KP</t>
        </is>
      </c>
      <c r="D5" s="3" t="inlineStr">
        <is>
          <t>S9-S12 executable scope executed: E8 onboarding/help/support, EQ load test EXECUTED (5,238 rps, 0 errors) + backup drill + chaos degrade + status page, EL launch collateral (copy A/B, pricing, trust, runbook, dry-run, specs), AnthropicProvider wired behind AI seam. 21 suites / 129 tests / 100% x4. 80 Done / 15 code-complete / 5 backlog. Remaining backlog = external-party items only (pen-test, live-UI assets/AA, post-launch SEO, partner reviews).</t>
        </is>
      </c>
      <c r="E5" s="3" t="inlineStr">
        <is>
          <t>Released</t>
        </is>
      </c>
    </row>
    <row r="6">
      <c r="A6" s="3" t="inlineStr">
        <is>
          <t>v010</t>
        </is>
      </c>
      <c r="B6" s="3" t="inlineStr">
        <is>
          <t>2026-09-11 08:31</t>
        </is>
      </c>
      <c r="C6" s="3" t="inlineStr">
        <is>
          <t>Claude for Senthil/KP</t>
        </is>
      </c>
      <c r="D6" s="3" t="inlineStr">
        <is>
          <t>LC-1 turnkey: ForgeStore hosted-storage adapter (tested), paste-ready forge manifest, 30-min deploy guide. Owed docs closed: review pack (LC #2), Cloud Fortified formal gap assessment (LC #3, no structural gaps), residency statement (LC #4), S0 PRD rollup. 22 suites / 132 tests / 100% x4. Backlog counts unchanged (80 Done / 15 code-complete / 5 backlog) — every remaining flip needs a Senthil-side live action.</t>
        </is>
      </c>
      <c r="E6" s="3" t="inlineStr">
        <is>
          <t>Released</t>
        </is>
      </c>
    </row>
    <row r="7">
      <c r="A7" s="3" t="inlineStr">
        <is>
          <t>v011</t>
        </is>
      </c>
      <c r="B7" s="3" t="inlineStr">
        <is>
          <t>2026-09-11 12:51</t>
        </is>
      </c>
      <c r="C7" s="3" t="inlineStr">
        <is>
          <t>Claude for Senthil/KP</t>
        </is>
      </c>
      <c r="D7" s="3" t="inlineStr">
        <is>
          <t>Forge glue shipped (resolver+webtrigger handlers over hosted-storage adapter; deploy-guide step 5 = zero-code) and Xray/Zephyr importer hardened to real export shapes (RFC-4180, multi-step aggregation, Zephyr Scale, ragged rows). Mid-pass coverage regression caught and closed. 23 suites / 146 tests / 100% x4. Counts unchanged: 80 Done / 15 code-complete / 5 backlog — remaining flips all Senthil-side (LC #1 install, #8 billing, #5 real files, #7 assets, pen-test, D15/D17).</t>
        </is>
      </c>
      <c r="E7" s="3" t="inlineStr">
        <is>
          <t>Released</t>
        </is>
      </c>
    </row>
    <row r="8">
      <c r="A8" s="3" t="inlineStr">
        <is>
          <t>v012</t>
        </is>
      </c>
      <c r="B8" s="3" t="inlineStr">
        <is>
          <t>2026-09-11 13:32</t>
        </is>
      </c>
      <c r="C8" s="3" t="inlineStr">
        <is>
          <t>Claude for Senthil/KP</t>
        </is>
      </c>
      <c r="D8" s="3" t="inlineStr">
        <is>
          <t>Custom UI layer shipped and headless-verified: tested view-models/renderers/mount (15 tests incl. jsdom), esbuild bundle at static/build/app.js, Forge index.html bridge hook, demo.html rendering all four panels with demo data. The manifest's static resource now exists — LC-1 blocks on Senthil ► steps only. Draft screenshots capturable from demo.html today. 25 suites / 161 tests / 100% x4. Counts unchanged 80/15/5.</t>
        </is>
      </c>
      <c r="E8" s="3" t="inlineStr">
        <is>
          <t>Released</t>
        </is>
      </c>
    </row>
    <row r="9">
      <c r="A9" s="3" t="inlineStr">
        <is>
          <t>v013</t>
        </is>
      </c>
      <c r="B9" s="3" t="inlineStr">
        <is>
          <t>2026-09-11 15:27</t>
        </is>
      </c>
      <c r="C9" s="3" t="inlineStr">
        <is>
          <t>Claude for Senthil/KP</t>
        </is>
      </c>
      <c r="D9" s="3" t="inlineStr">
        <is>
          <t>External verification sweep vs live Atlassian docs: R-P5 closed (own webtrigger auth is the documented pattern — HMAC design correct); runtime corrected to nodejs22.x (Node 20 EOL); kvsAdapter shipped for the real @forge/kvs query API (no listKeys exists); Marketplace asset spec rewritten to the verified Rule-of-3 (1840x900/580x330, &lt;=50/220-char text, banner 1120x548, &lt;30s video). 25 suites / 163 tests / 100% x4. Counts unchanged 80/15/5.</t>
        </is>
      </c>
      <c r="E9" s="3" t="inlineStr">
        <is>
          <t>Released</t>
        </is>
      </c>
    </row>
    <row r="10">
      <c r="A10" s="3" t="inlineStr">
        <is>
          <t>v014</t>
        </is>
      </c>
      <c r="B10" s="3" t="inlineStr">
        <is>
          <t>2026-09-11 22:09</t>
        </is>
      </c>
      <c r="C10" s="3" t="inlineStr">
        <is>
          <t>Claude for Senthil/KP</t>
        </is>
      </c>
      <c r="D10" s="3" t="inlineStr">
        <is>
          <t>B-17 de-risked: Paid-via-Atlassian verified and wired (manifest licensing flag + license gate: inactive =&gt; read-only, reads never blocked; billing.ts payment engine honestly superseded for Marketplace channel). NEW DECISION D18: per-user pricing re-anchor needed (Atlassian has no flat plans). Economics: 100% revenue to partner up to $1M lifetime Forge revenue. Design-partner kit shipped for ST-100. 26 suites / 167 tests / 100% x4. Counts unchanged 80/15/5.</t>
        </is>
      </c>
      <c r="E10" s="3" t="inlineStr">
        <is>
          <t>Released</t>
        </is>
      </c>
    </row>
    <row r="11">
      <c r="A11" s="3" t="inlineStr">
        <is>
          <t>v015</t>
        </is>
      </c>
      <c r="B11" s="3" t="inlineStr">
        <is>
          <t>2026-09-11 22:28</t>
        </is>
      </c>
      <c r="C11" s="3" t="inlineStr">
        <is>
          <t>Claude for Senthil/KP</t>
        </is>
      </c>
      <c r="D11" s="3" t="inlineStr">
        <is>
          <t>22:28 'continue' — COLD REVIEW PASS 1 (TestPulse's first; sibling pattern after TeleField/FlowCast/ShiftDesk/VoiceBridge). All 27 modules read adversarially: 13 defects found and fixed with pinned regressions, 4 observations logged for disposition (see Review_Findings). Headline: delete-my-data/export-my-data covered only cloudId-substring keys, so cases, boards, CI results, audit log, notifications, telemetry and support tickets were never deleted — the published 30-day hard-delete policy was breached, and the retention sweep had the same hole. Also: the flaky panel would have rendered NaN% live (resolver returns flipRate, UI read score) and the readiness panel NaN/NOT-READY (empty payload, no input validation). Five unbounded ledgers would have hard-failed Forge writes over time. All found at 100% coverage — F-V14 confirmed for a sixth product. 27 suites / 203 tests / 100% x4, zero pragmas. Story counts unchanged (80 Done / 15 code-complete / 5 backlog) — corrections to shipped work, not new scope.</t>
        </is>
      </c>
      <c r="E11" s="3" t="inlineStr">
        <is>
          <t>Released</t>
        </is>
      </c>
    </row>
    <row r="12">
      <c r="A12" s="3" t="inlineStr">
        <is>
          <t>v016</t>
        </is>
      </c>
      <c r="B12" s="3" t="inlineStr">
        <is>
          <t>2026-09-13 09:52</t>
        </is>
      </c>
      <c r="C12" s="3" t="inlineStr">
        <is>
          <t>Claude for Senthil/KP</t>
        </is>
      </c>
      <c r="D12" s="3" t="inlineStr">
        <is>
          <t>09:52 'continue' — COLD REVIEW PASS 2 + VERIFICATION SWEEP: 10 defects fixed with pinned regressions, 3 of them LIVE-BLOCKING and invisible to the test suite because no Jest run loads the file Forge loads. VER-P01: forge/index.ts was five commented-out lines AND the wrong shape — Forge resolvers are resolver.define(key,({payload,context}))+getDefinitions() and invoke() matches the definition key, so a deploy would have registered handlers that do not exist and LC-1 would have failed at the first panel click. VER-P02: the Custom UI page never mounted anything and the bundle contained no @forge/bridge (3.7kb -&gt; 96.7kb once real); the generate tab also demanded story text an issue panel never has. VER-P03: Forge sends isEvaluation, the gate read evaluation. F-TP14 (security): the permission role arrived from the caller — a member could invoke as owner; roles are now derived server-side. F-TP15 (security): one app-wide CI secret for every installation, with HC-05 pointing at a Settings screen that could not exist. F-TP16: AnthropicProvider was never called — AI generation was inert in production and R-P6 had been cleared on an unreachable class. Plus F-TP17 importer discarded parsed steps, F-TP18 demo mode seeded records nothing reads, F-TP19 three help articles described behaviour the product lacks, F-TP20 exit-survey ledger. 28 suites / 233 tests / 100% x4 zero pragmas, plus two new CI gates (typecheck:forge, build:ui). Story counts unchanged 80/15/5.</t>
        </is>
      </c>
      <c r="E12" s="3" t="inlineStr">
        <is>
          <t>Released</t>
        </is>
      </c>
    </row>
    <row r="13">
      <c r="A13" s="3" t="inlineStr">
        <is>
          <t>v017</t>
        </is>
      </c>
      <c r="B13" s="3" t="inlineStr">
        <is>
          <t>2026-09-13 10:24</t>
        </is>
      </c>
      <c r="C13" s="3" t="inlineStr">
        <is>
          <t>Claude for Senthil/KP</t>
        </is>
      </c>
      <c r="D13" s="3" t="inlineStr">
        <is>
          <t>10:24 'continue' — COLD REVIEW PASS 3 (REACHABILITY): the question passes 1 and 2 cannot ask — once installed, can a user reach what we claim to ship? Mostly no: of 29 modules the resolver reached eight. Self-serve export/delete had NO resolver call (HC-12, trust page, residency statement, Cloud Fortified gap assessment all unreachable); the 30-day retention sweep was scheduled nowhere (no scheduledTrigger in the manifest, so the published hard delete never ran); every customisation and pause story was library-only; notify() was never called in the Forge path so no notification was ever raised in the installed app; trackError had no caller so the error-spike alert could never fire; support intake, audit log and latency budgets had no surface; and the panel bound no events at all — no control in the product did anything. 9 findings fixed: data-rights + settings + support + audit + status resolver calls, daily scheduledTrigger for retention, notifications wired into the real paths, per-invocation latency sampling, and a real Settings screen with working controls (CI secret + rotate, generation rules, flaky threshold, pause toggles, notification matrix, demo data, export/delete). 30 suites / 263 tests / 100% x4 zero pragmas; forge typecheck + UI build green; demo page re-verified headless including the new Settings screen. Story counts unchanged 80/15/5.</t>
        </is>
      </c>
      <c r="E13" s="3" t="inlineStr">
        <is>
          <t>Released</t>
        </is>
      </c>
    </row>
    <row r="14">
      <c r="A14" s="3" t="inlineStr">
        <is>
          <t>v018</t>
        </is>
      </c>
      <c r="B14" s="3" t="inlineStr">
        <is>
          <t>2026-09-13 10:37</t>
        </is>
      </c>
      <c r="C14" s="3" t="inlineStr">
        <is>
          <t>Claude for Senthil/KP</t>
        </is>
      </c>
      <c r="D14" s="3" t="inlineStr">
        <is>
          <t>10:37 'continue' — COLD REVIEW PASS 4 (CLAIMS): the 13 published documents checked against the product passes 1-3 rebuilt underneath them. 5 findings. F-TP30: ST-070's backoff and circuit breaker never wrapped the live Jira calls the entrypoint makes — the security assessment claimed rate-limit resilience as a verified control while the two real calls had none; JiraClient.run now applies the policy to any operation and both calls share one breaker. F-TP31/F-TP32: two pieces of Fortified/trust-page evidence rested on code with no runner — the backup drill (destructive, unexposable) and the encryption-posture assertion 'made in CI'; both now real, with check:posture as a CI gate. F-TP33: four simply false statements — an email subprocessor the app cannot even reach (the manifest permits one external host), the superseded 5-shot asset spec, an authz description taken from the Express harness rather than the product's server-derived roles, and a WCAG checklist deferring its automated pass for lack of a UI. ST-089's automated a11y pass now runs on every build over all five panels and caught F-TP29 (unnamed table header) on its first run. 32 suites / 280 tests / 100% x4 zero pragmas; four CI gates (check:posture, typecheck:forge, build:ui, jest incl. axe). Story counts unchanged 80/15/5. FOUR PASSES COMPLETE: 37 defects, all in code already at 100% coverage, no story count moved — all of it shipped scope that did not work.</t>
        </is>
      </c>
      <c r="E14" s="3" t="inlineStr">
        <is>
          <t>Released</t>
        </is>
      </c>
    </row>
    <row r="15">
      <c r="A15" s="3" t="inlineStr">
        <is>
          <t>v019</t>
        </is>
      </c>
      <c r="B15" s="3" t="inlineStr">
        <is>
          <t>2026-09-13 10:44</t>
        </is>
      </c>
      <c r="C15" s="3" t="inlineStr">
        <is>
          <t>Claude for Senthil/KP</t>
        </is>
      </c>
      <c r="D15" s="3" t="inlineStr">
        <is>
          <t>10:44 'continue' — REVIEW GATES SHIPPED + PASS 5. The two lessons behind most of the 37 manual findings are now dependency-free tooling that fails a build: a REACHABILITY gate (orphan modules + orphan methods measured from the real entrypoints, exceptions requiring written reasons, stale exceptions reported) and a PUBLISHED-CLAIMS gate (15 claims, each tied to the code evidence that must hold). Both are tested to prove they go RED when what they guard breaks, both run in CI, and tools/review-gates/README.md is the drop-in porting guide for the other 10 products. Run against TestPulse, the reachability gate found 4 defects that four careful manual passes had missed, in about a second: F-TP34 the feature heatmap was never fed and the funnel/CSV never readable; F-TP35 a support ticket could be opened and never answered, so the SLA report the Fortified evidence cites could only accumulate breaches; F-TP36 both CSV importers were unreachable; F-TP37 two writers each for the empty-state map and notification preferences. 11 further candidates triaged as legitimate and now recorded as a written register instead of silence — including one live question: ST-075 health score needs weekly-active-users that nothing tracks (cut it or fund it). 34 suites / 295 tests / 100% x4 zero pragmas; five CI gates. Story counts unchanged 80/15/5 for the fifth pass running.</t>
        </is>
      </c>
      <c r="E15" s="3" t="inlineStr">
        <is>
          <t>Released</t>
        </is>
      </c>
    </row>
    <row r="16">
      <c r="A16" s="3" t="inlineStr">
        <is>
          <t>v020</t>
        </is>
      </c>
      <c r="B16" s="3" t="inlineStr">
        <is>
          <t>2026-09-13 10:57</t>
        </is>
      </c>
      <c r="C16" s="3" t="inlineStr">
        <is>
          <t>Claude for Senthil/KP</t>
        </is>
      </c>
      <c r="D16" s="3" t="inlineStr">
        <is>
          <t>10:57 'continue' — COLD REVIEW PASS 6 (THE CUSTOMER'S PATH): walked the primary loop as a user for the first time — open an issue, see cases, mark a run, watch readiness move — and found the worst behavioural defect of any pass. F-TP39: mounting the issue panel CALLED generate, a write, so every panel view duplicated that story's cases and, with a provider configured, billed an AI call per render. F-TP38: there was no read path for cases at all. F-TP40: a member could not complete the MVP loop in the UI because recordRun demanded a boardId and board creation needs configure permission. F-TP41: two of the four funnel stages were declared and never recorded, so the activation metric the launch targets are written against could never show more than install -&gt; aha. All fixed: the panel reads listCases and generation is a button, runs land on a default board created on demand with pass/fail/blocked controls per case, and setup/habit stages are wired. 35 suites / 304 tests / 100% x4 zero pragmas; five CI gates green; demo page renders 6 cases, a generate control and 9 run controls. Story counts unchanged 80/15/5 for the sixth pass running. SIX PASSES: 45 defects, none of which moved a story count, all in code at 100% coverage throughout. Lesson L-P6: no tool catches this class — walk the loop once, as the user, before launch.</t>
        </is>
      </c>
      <c r="E16" s="3" t="inlineStr">
        <is>
          <t>Released</t>
        </is>
      </c>
    </row>
    <row r="17">
      <c r="A17" s="3" t="inlineStr">
        <is>
          <t>v021</t>
        </is>
      </c>
      <c r="B17" s="3" t="inlineStr">
        <is>
          <t>2026-09-13 11:03</t>
        </is>
      </c>
      <c r="C17" s="3" t="inlineStr">
        <is>
          <t>Claude for Senthil/KP</t>
        </is>
      </c>
      <c r="D17" s="3" t="inlineStr">
        <is>
          <t>11:03 'continue' — COLD REVIEW PASS 7 (INSTALL + NAVIGATION): walked the steps either side of the loop pass 6 covered, and found the app could do neither. F-TP42 (HIGH): the manifest had NO trigger module, and Forge delivers install/uninstall only through avi:forge:installed:app / avi:forge:uninstalled:app — so on a real install nothing bootstrapped (no trial, no owner, no CI secret, no telemetry) and on uninstall tokens were never wiped and the 30-day deletion never scheduled, leaving pass 3's retention sweep with nothing to sweep; the entire E1 lifecycle epic was unreachable in a deployed app. F-TP43 (HIGH): the panel had no navigation — five screens, one hardcoded data-tab in a resource shared by the project page and the issue panel, so the project page showed 'pick a story' forever and four of five screens had no door. Plus F-TP42b lazy bootstrap for the documented multi-minute event lag (without claiming ownership) and F-TP44 the run-board screen had no board. 36 suites / 316 tests / 100% x4 zero pragmas; five CI gates green; demo page renders the tab bar and case list. Story counts unchanged 80/15/5 for the seventh pass running. Lesson L-P7: reachable is not invoked — the reachability gate passed this because 'installed' is a registered resolver call; only the manifest says whether the platform ever calls it.</t>
        </is>
      </c>
      <c r="E17" s="3" t="inlineStr">
        <is>
          <t>Released</t>
        </is>
      </c>
    </row>
    <row r="18">
      <c r="A18" s="3" t="inlineStr">
        <is>
          <t>v022</t>
        </is>
      </c>
      <c r="B18" s="3" t="inlineStr">
        <is>
          <t>2026-09-13 11:10</t>
        </is>
      </c>
      <c r="C18" s="3" t="inlineStr">
        <is>
          <t>Claude for Senthil/KP</t>
        </is>
      </c>
      <c r="D18" s="3" t="inlineStr">
        <is>
          <t>11:10 'continue' — THIRD REVIEW GATE SHIPPED (L-P7) + F-TP45. Pass 7 ended on an uncomfortable fact: the dead install path had passed five review passes AND the reachability gate, because 'installed' was a registered resolver call with a door — the gate cannot see that the platform was never told to open it. platform-entrypoints.js reads the manifest and the deploy entrypoint together: a handler the entrypoint does not export (VER-P01), an export nothing points at, a function no module references, and the module declarations the product's claims depend on (lifecycle trigger on both events, daily scheduled trigger, v2 webtrigger, panel resource) — the check that would have caught F-TP42 on the day the handler was written. The gate turned out to HAVE the defect it exists to catch (it counted a commented-out export as exported, exactly the VER-P01 shape); its own tests found that. Writing the tests also surfaced F-TP45: a repeat install event reset installedAt, re-sourced the attribution and overwrote stored tokens — visible only as an intermittent 1ms failure that looked like a flaky clock. 36 suites / 323 tests / 100% x4 zero pragmas; six CI gates. Story counts unchanged 80/15/5. The four gates now cover 34 of the 50 defects found across eight passes; the rest needed a human walking the product (L-P6), which does not automate.</t>
        </is>
      </c>
      <c r="E18" s="3" t="inlineStr">
        <is>
          <t>Released</t>
        </is>
      </c>
    </row>
    <row r="19">
      <c r="A19" s="3" t="inlineStr">
        <is>
          <t>v023</t>
        </is>
      </c>
      <c r="B19" s="3" t="inlineStr">
        <is>
          <t>2026-09-13 11:18</t>
        </is>
      </c>
      <c r="C19" s="3" t="inlineStr">
        <is>
          <t>Claude for Senthil/KP</t>
        </is>
      </c>
      <c r="D19" s="3" t="inlineStr">
        <is>
          <t>11:18 'continue' — PORTFOLIO ROLLOUT KIT. TestPulse itself is past the point where more review passes pay, so this sitting built the thing that makes the named next move cheap: init.js scans a repository (platform manifest, deploy entrypoint, UI/server entries, the ops scripts CI runs, source roots) and writes a starter review-gates.json, proposing claim stubs from documents that already make promises — validated by reproducing TestPulse's hand-written config exactly, including the scripts/check-posture.js entrypoint a first version missed. It refuses to guess: anything it cannot work out is null plus a TODO, because a gate pointed at the wrong entrypoint reports a clean run over nothing, which is worse than no gate. docs/portfolio-gate-rollout.md gives the 5-minute per-repo procedure, the triage buckets for the first red run (fix / allow with a reason / cut), rollout order, and per-platform hook tables (Forge, Salesforce, Devvit, Shopify). Also recorded plainly: the gates cover 34 of the 50 defects; the other 16 came from using the product and do not automate. 36 suites / 327 tests / 100% x4; six CI gates green. Story counts unchanged 80/15/5.</t>
        </is>
      </c>
      <c r="E19" s="3" t="inlineStr">
        <is>
          <t>Released</t>
        </is>
      </c>
    </row>
    <row r="20">
      <c r="A20" s="3" t="inlineStr">
        <is>
          <t>v024</t>
        </is>
      </c>
      <c r="B20" s="3" t="inlineStr">
        <is>
          <t>2026-09-13 11:22</t>
        </is>
      </c>
      <c r="C20" s="3" t="inlineStr">
        <is>
          <t>Claude for Senthil/KP</t>
        </is>
      </c>
      <c r="D20" s="3" t="inlineStr">
        <is>
          <t>11:22 'continue' — LC-1 SESSION PACK. Both remaining TestPulse blockers are yours, so this sitting removed the prep from under them. scripts/lc1-verify.js exercises the deployed app's webtrigger against the five behaviours the security assessment and HC-14 promise (signed accept, duplicate reject, tampered reject, stale reject, malformed 400) and prints tracker-ready evidence lines; it is tested against the real handler, so a failure means the deployment differs from this codebase. docs/lc1-session-pack.md is the 45-minute run sheet — pre-work, commands, what the lifecycle trigger bootstraps and what to do if it lags, an evidence table mapping each capture to the stories it flips, and the two questions only a live site can answer (manual keyboard/contrast pass, plus whether the customer-visible default board name and the 3-distinct-days habit definition are right). static/build/capture.html renders the panels inside frames sized to the verified Rule-of-3 listing spec so one screenshot pass yields correctly sized assets. Recorded plainly: lc1-verify cannot check the panel, resolver, roles, licensing, the lifecycle trigger firing or the retention sweep — a green run is not full verification. 37 suites / 332 tests / 100% x4; six CI gates green. Story counts unchanged 80/15/5 — they flip at LC-1, with evidence, not before.</t>
        </is>
      </c>
      <c r="E20" s="3" t="inlineStr">
        <is>
          <t>Released</t>
        </is>
      </c>
    </row>
    <row r="21">
      <c r="A21" s="3" t="inlineStr">
        <is>
          <t>v025</t>
        </is>
      </c>
      <c r="B21" s="3" t="inlineStr">
        <is>
          <t>2026-09-13 18:57</t>
        </is>
      </c>
      <c r="C21" s="3" t="inlineStr">
        <is>
          <t>Claude for Senthil/KP</t>
        </is>
      </c>
      <c r="D21" s="3" t="inlineStr">
        <is>
          <t>18:57 EXTERNAL REVIEW INCORPORATED — ChatGPT Deep Review V001 (13/09 18:18), 15 findings, ALL 15 ACCEPTED AND CLOSED IN CODE. Five landed on work already reported complete, and the reviewer's NOT RELEASE READY verdict was correct. Highs: TPR-001 the AI provider was never constructed in the real entrypoint, so AI generation was rule-engine-only in the deployed app — the THIRD instance of this shape here and the first to land on a previous FIX (F-TP16), which sharpens L-5 to 'a capability is closed when the production entrypoint constructs it, not when the glue accepts it'; TPR-002 an email checkbox, preference and delivery record with no transport, provider or egress while the trust page said no email is sent (email REMOVED from the product, five stories rescoped to in-app only); TPR-003 write:jira-work requested and never used (scope REMOVED); TPR-004 a published app-level residency control that runtime never consumed (claim and the unused variable both removed); TPR-005 deleting your data deleted your control — the owner came back as a member (acting owner now re-established, pinned both ways). Mediums closed: conformance evidence repaired (DC-11 measured a vendored helper and reported PASS; DC-06 was wrongly N-A while the entrypoint calls Jira every panel open), settings trialDays, runtime and egress document contradictions, vendored-coverage scope now hash-pinned, @forge/api declared. TPR-013 status corrections applied in Release_Traceability_Corrections. Full CI captured as evidence: Node v22.22.2, 40 suites / 369 tests / 100% x4, three gates + posture + Forge typecheck + UI build all green. RELEASE POSITION UNCHANGED: not release ready until LC-1.</t>
        </is>
      </c>
      <c r="E21" s="3" t="inlineStr">
        <is>
          <t>Released</t>
        </is>
      </c>
    </row>
    <row r="22">
      <c r="A22" s="3" t="inlineStr">
        <is>
          <t>v026</t>
        </is>
      </c>
      <c r="B22" s="3" t="inlineStr">
        <is>
          <t>2026-09-13 19:27</t>
        </is>
      </c>
      <c r="C22" s="3" t="inlineStr">
        <is>
          <t>Claude for Senthil/KP</t>
        </is>
      </c>
      <c r="D22" s="3" t="inlineStr">
        <is>
          <t>19:27 FOURTH REVIEW GATE — ENTRYPOINT WIRING (L-8), built because the external review found the class a third time and the third instance landed on the fix for the first. F-TP16: AnthropicProvider shipped, nothing called it. F-TP42: install handler shipped, manifest never declared the trigger. TPR-001: generateWithAi accepted a provider the entrypoint never constructed — found by an outside reader after eight internal passes and three gates. None of the existing gates can see it: reachability walks the import graph and the entrypoint does import the glue; platform-entrypoints compares manifest to exports and both were correct. entrypoint-wiring.js checks, for each declared capability, that the file the platform loads CONSTRUCTS it and HANDS IT to its consumer — `constructs` alone would have passed TPR-001, so `passedAs` is required. Nine capabilities registered for TestPulse (AI provider, story fetch, Jira admin check, resilient client, storage adapter, lifecycle trigger, retention sweep, CI webtrigger, resolver definitions), all green. Its tests mutate the REAL entrypoint — delete the wiring line, assert the gate goes red — so the register is provably load-bearing here, not just in fixtures. The register cannot be inferred and init.js scaffolds a TODO rather than an empty list, because an empty register passes vacuously. 40 suites / 374 tests / 100% x4; four gates + posture + typecheck + UI build green, captured at evidence/ci-run-20260913-1927.log. Release position unchanged: not release ready until LC-1.</t>
        </is>
      </c>
      <c r="E22" s="3" t="inlineStr">
        <is>
          <t>Released</t>
        </is>
      </c>
    </row>
    <row r="23">
      <c r="A23" s="3" t="inlineStr">
        <is>
          <t>v027</t>
        </is>
      </c>
      <c r="B23" s="3" t="inlineStr">
        <is>
          <t>2026-09-13 19:38</t>
        </is>
      </c>
      <c r="C23" s="3" t="inlineStr">
        <is>
          <t>Claude for Senthil/KP</t>
        </is>
      </c>
      <c r="D23" s="3" t="inlineStr">
        <is>
          <t>19:33-19:38 paired with tracker v020 — external-review practice captured (hashed review-bundle script + the brief that made V001 effective), and the portfolio standard released at v004 with five new defect classes from the review, lessons L-8/L-9 and a pre-submission external-review phase gate. No product behaviour changed in this release. Gates and suite re-verified: 40 suites / 374 tests / 100% x4. Release position unchanged: NOT RELEASE READY until LC-1.</t>
        </is>
      </c>
      <c r="E23" s="3" t="inlineStr">
        <is>
          <t>Released</t>
        </is>
      </c>
    </row>
    <row r="24">
      <c r="A24" s="3" t="inlineStr">
        <is>
          <t>v028</t>
        </is>
      </c>
      <c r="B24" s="3" t="inlineStr">
        <is>
          <t>2026-09-13 19:41</t>
        </is>
      </c>
      <c r="C24" s="3" t="inlineStr">
        <is>
          <t>Claude for Senthil/KP</t>
        </is>
      </c>
      <c r="D24" s="3" t="inlineStr">
        <is>
          <t>19:41 EXTERNAL REVIEW V002 INCORPORATED (market + enterprise roadmap). Different in kind from V001: no new code defects, a strategic assessment — strong category demand, TestPulse NOT market-ready and NOT enterprise-grade at ~5.1/10, continue building but with a sharper wedge (Release Quality Intelligence rather than beating Xray/Zephyr feature-for-feature), plus a 30-sprint enterprise roadmap E00-E29, a 14-rule build protocol CB-01..14 and 15 enterprise gates EG-01..15. ACTIONED IN CODE TODAY: the two protocol rules that demand automation. CB-06/EG-02 scope-egress gate — every Jira scope and egress host must name a live call path, and removing the last caller now fails the build; it reproduces V001's TPR-003 (write:jira-work outliving its use) in test. CB-10 secret/PII scan — 123 files, 0 findings, one written allowance; my own fixtures tripped it, so they are built at runtime and the repo stays literally clean rather than allowlisted. Six gates now run in CI. ENTERPRISE GATES RE-SCORED against current code (V002 scored the pre-18:57 package): EG-01 runtime truth FAIL-&gt;PASS, EG-02 least privilege FAIL-&gt;PASS, EG-03 data rights FAIL-&gt;PASS, EG-08 AI governance FAIL-&gt;PARTIAL (provider is real but no evals, admin control or cost budget — CB-07 unmet). Nothing else moved and the verdict does not change: not enterprise-grade, because the remaining gaps are scope not yet built. E00 (V001 carryover) is CLOSED with named evidence. 40 suites / 381 tests / 100% x4; CI captured at evidence/ci-run-20260913-1941.log.</t>
        </is>
      </c>
      <c r="E24" s="3" t="inlineStr">
        <is>
          <t>Released</t>
        </is>
      </c>
    </row>
    <row r="25">
      <c r="A25" s="3" t="inlineStr">
        <is>
          <t>v029</t>
        </is>
      </c>
      <c r="B25" s="3" t="inlineStr">
        <is>
          <t>2026-09-13 19:52</t>
        </is>
      </c>
      <c r="C25" s="3" t="inlineStr">
        <is>
          <t>Claude for Senthil/KP</t>
        </is>
      </c>
      <c r="D25" s="3" t="inlineStr">
        <is>
          <t>19:52 AI GOVERNANCE SHIPPED (E07/E08, closing CB-07) — the single rule both external reviews left unmet, and the reason EG-08 could not pass. Now that TPR-001 made the provider real, every control here is load-bearing: AI is OFF BY DEFAULT (no story text leaves Atlassian until an admin enables it, which also preserves the zero-egress posture E09 depends on); story text is REDACTED of credential and PII shapes before egress and MINIMISED to a character budget; a PER-DAY CALL CAP protects the bill, because a wired provider charges per generation and the panel is one click from a loop; every decision — sent, disabled, over-budget, provider-failed — is written to an owner-readable AUDIT TRAIL with the model used; and provider, model and today's usage are DISCLOSED in Settings. 17 eval fixtures cover what a real model actually returns: good output, markdown-fenced JSON, malformed JSON, wrong-shaped cases, an empty array, prompt injection inside the story, and a 429 — each asserting rule-engine fallback and an audit entry, so a model failure never reaches the user as a crash. Trust page and a new help article HC-16 disclose the posture, both pinned by the claims gate. EG-08 re-scored FAIL -&gt; PASS with a NAMED GAP: the evals test the product's handling of model output, not model quality, which needs live usage. 41 suites / 398 tests / 100% x4; six gates green; CI at evidence/ci-run-20260913-1952.log. Release position unchanged: not release ready until LC-1.</t>
        </is>
      </c>
      <c r="E25" s="3" t="inlineStr">
        <is>
          <t>Released</t>
        </is>
      </c>
    </row>
    <row r="26">
      <c r="A26" s="3" t="inlineStr">
        <is>
          <t>v030</t>
        </is>
      </c>
      <c r="B26" s="3" t="inlineStr">
        <is>
          <t>2026-09-13 20:01</t>
        </is>
      </c>
      <c r="C26" s="3" t="inlineStr">
        <is>
          <t>Claude for Senthil/KP</t>
        </is>
      </c>
      <c r="D26" s="3" t="inlineStr">
        <is>
          <t>20:01 E09 RUNS ON ATLASSIAN ASSESSED against live Atlassian documentation — V002 made this P0 and the answer is decisive: TESTPULSE IS NOT ELIGIBLE, AND SWITCHING AI OFF DOES NOT CHANGE THAT. Eligibility is assessed FROM THE MANIFEST, automatically and continuously, not from runtime behaviour; eligible apps declare no external resource domains at all except analytics egress carrying no end-user data. Declaring api.anthropic.com is disqualifying whether or not any tenant enables AI. This corrects an assumption I had built into the trust page at 19:52 — the off-by-default posture is a real privacy control and a real zero-egress RUNTIME state, but it is not a route to the badge, and the trust page now says so rather than letting a reader infer otherwise. SECOND DISQUALIFIER FOUND AND FIXED: web triggers are eligible only when declared `static`, and both 'explicitly dynamic' and 'no type defined' are ineligible — the CI webtrigger had no type at all, so TestPulse would have failed even with zero egress. Declared static this release at no cost, since authentication is HMAC with a per-installation secret and never relied on URL secrecy (note: `type` and `response.type` are different fields; the dynamic response returning 202/400/401 is unrelated to eligibility). docs/runs-on-atlassian-assessment.md sets out three options — drop AI and be eligible, keep AI and forfeit the badge, or run two major versions — with a recommendation offered as input, not a decision, and the evidence that should flip it (regulated design partners in E25). forge eligibility added to the LC-1 run sheet as the authoritative check. 41 suites / 401 tests / 100% x4; six gates green; CI at evidence/ci-run-20260913-2001.log.</t>
        </is>
      </c>
      <c r="E26" s="3" t="inlineStr">
        <is>
          <t>Released</t>
        </is>
      </c>
    </row>
    <row r="27">
      <c r="A27" s="3" t="inlineStr">
        <is>
          <t>v031</t>
        </is>
      </c>
      <c r="B27" s="3" t="inlineStr">
        <is>
          <t>2026-09-13 20:05</t>
        </is>
      </c>
      <c r="C27" s="3" t="inlineStr">
        <is>
          <t>Claude for Senthil/KP</t>
        </is>
      </c>
      <c r="D27" s="3" t="inlineStr">
        <is>
          <t>20:05 TWO NOT-MET PROTOCOL RULES CLOSED BY DOING THEM (CB-14, CB-09) — and the second found a defect in my own earlier fix. CB-14 clean-room: a fresh tree, npm ci from the lockfile alone (577 packages, 10s), then build, six gates, posture, Forge typecheck, UI build and the full suite — all green, logged at evidence/cleanroom-ci-20260913-2005.log. That also independently validates TPR-012/TPR-014: the lockfile is complete and the package installs without the sandbox's existing tree. CB-09 envelope: scripts/perf-envelope.js over 50,000 cases / 10,000 runs / 100,000 CI results. Every operation is sub-10ms, which is the UNINTERESTING result — publishing only that would have been exactly the micro-benchmark failure CB-09 names. The binding constraint on Forge is the 240 KiB PER-VALUE ceiling, and TestPulse keeps whole collections in single values, so supported scale is a ROW COUNT reached long before anything gets slow. PERF-01 FOUND AND FIXED: the 10,000-entry FIFO cap I introduced for F-TP06 measured 542 KiB — 2.3x OVER the ceiling. The cap meant to stop hard-fail writes was itself too large, because counting entries does not bound bytes; appendCapped now trims by bytes as well as count and every product ledger inherits it. PERF-02/03 measured and NOT fixed, because they need a data-model change (E01/E12), and published as honest supported scale: ~1,500-2,900 test cases per site and ~5,000 runs per board. docs/performance-envelope.md carries the numbers and states plainly what is not measured — KVS latency, the 25s invocation timeout, cold starts, concurrent tenants and hydrate-all cost (OBS-TP1) — all LC-1 work; an in-process p95 is not a production p95. test/performance.test.ts is the standing guard and asserts SIZE not speed, because timing tests get retried away. EG-10 UNPROVEN -&gt; PARTIAL. 42 suites / 408 tests / 100% x4.</t>
        </is>
      </c>
      <c r="E27" s="3" t="inlineStr">
        <is>
          <t>Released</t>
        </is>
      </c>
    </row>
    <row r="28">
      <c r="A28" s="3" t="inlineStr">
        <is>
          <t>v032</t>
        </is>
      </c>
      <c r="B28" s="3" t="inlineStr">
        <is>
          <t>2026-09-13 20:24</t>
        </is>
      </c>
      <c r="C28" s="3" t="inlineStr">
        <is>
          <t>Claude for Senthil/KP</t>
        </is>
      </c>
      <c r="D28" s="3" t="inlineStr">
        <is>
          <t>20:24 CONNECTOR HEALTH SHIPPED (CB-04's named gap, EG-11 narrowed) — the CI webtrigger is the one surface a customer wires up themselves, and its failure mode is SILENCE: a pipeline that stops posting, or keeps posting with a secret that was rotated, produces no error anyone sees. The flaky panel simply goes quiet, which a user reads as 'no flaky tests' rather than 'no data'. src/connectorHealth.ts derives four states — never-connected, healthy, stale, rejecting — from outcomes the webhook path already decides, so nothing new is instrumented at the call site, and surfaces them in statusReport with a settable staleness window. Each state carries an instruction rather than a status word: the rejecting message names the rotated secret as the likely cause, and the stale message says explicitly that an empty panel means no data, not no flakiness. THE TEST FOUND A REAL BUG IN IT: ordering was inferred by comparing timestamps, so a post and its rejection inside the same millisecond resolved to 'healthy' — precisely the case the metric exists for. The last outcome is now recorded explicitly rather than inferred, and Webhooks.verify became a discriminated result so callers get the rejection reason without a defensive fallback nobody could reach. 43 suites / 417 tests / 100% x4; six gates green; CI at evidence/ci-run-20260913-2024.log. Release position unchanged: not release ready until LC-1.</t>
        </is>
      </c>
      <c r="E28" s="3" t="inlineStr">
        <is>
          <t>Released</t>
        </is>
      </c>
    </row>
    <row r="29">
      <c r="A29" s="3" t="inlineStr">
        <is>
          <t>v033</t>
        </is>
      </c>
      <c r="B29" s="3" t="inlineStr">
        <is>
          <t>2026-09-13 20:33</t>
        </is>
      </c>
      <c r="C29" s="3" t="inlineStr">
        <is>
          <t>Claude for Senthil/KP</t>
        </is>
      </c>
      <c r="D29" s="3" t="inlineStr">
        <is>
          <t>20:33 PERF-04 — HYDRATE WAS DOING A ROUND TRIP PER KEY, ON EVERY INVOCATION. Quantifying OBS-TP1 (flagged twice today as 'not measured') turned it from an architectural decision without numbers into a measured defect. ForgeStore.hydrate() runs at the start of every resolver call — every panel open, every tab switch, every settings read — and it listed the keys then fetched each one with a SEPARATE, SEQUENTIAL get: ceil(K/20) query pages PLUS K gets, 63 round trips for a 60-key tenant. The @forge/kvs query already returns { key, value } per result (ListResult&lt;T&gt;/Result&lt;T&gt;, verified against the installed package), so every one of those gets re-fetched a value the page had already delivered. Hydrate now reads values straight from the pages and the page size moves to 100, the documented maximum: 63 round trips become 1. WHY IT SURVIVED EIGHT REVIEW PASSES AND TWO EXTERNAL REVIEWS: the test double for the KVS query returned KEYS WITHOUT VALUES, so the redundant fetch looked necessary — the L-6 shape, a mock encoding the wrong contract. The double is now faithful to Result&lt;T&gt;, and a test counts round trips and asserts ZERO gets during hydrate, so a regression fails the build instead of quietly taxing every invocation. STATED PLAINLY: this does NOT close OBS-TP1. Hydrate still loads all keys, so cost still grows with tenant data; the multiplier is gone, the linearity is not. Prefix-scoped hydration remains your call, now framed as one round trip per 100 keys rather than one per key. 43 suites / 419 tests / 100% x4; six gates green; CI at evidence/ci-run-20260913-2033.log.</t>
        </is>
      </c>
      <c r="E29" s="3" t="inlineStr">
        <is>
          <t>Released</t>
        </is>
      </c>
    </row>
    <row r="30">
      <c r="A30" s="3" t="inlineStr">
        <is>
          <t>v034</t>
        </is>
      </c>
      <c r="B30" s="3" t="inlineStr">
        <is>
          <t>2026-09-13 20:49</t>
        </is>
      </c>
      <c r="C30" s="3" t="inlineStr">
        <is>
          <t>Claude for Senthil/KP</t>
        </is>
      </c>
      <c r="D30" s="3" t="inlineStr">
        <is>
          <t>20:49 VENDOR CONTRACT GUARD — generalising PERF-04 so the class cannot repeat. PERF-04 cost a wasted storage round trip per key on every invocation and survived eight internal passes and two external reviews for one reason: the KVS test double returned { key } where the vendor's Result&lt;T&gt; returns { key, value }. Nobody misread the code; everyone read a double thinner than the API it stood for. test/vendor-contracts.test.ts now assigns every seam to or from the vendor's own published type, so a thin double is a COMPILE ERROR: KVS ListResult/Result (hydrate), @forge/resolver Request (the invocation shape), @forge/bridge LicenseDetails (isEvaluation vs evaluation — the VER-P03 defect), FullContext (the panel boot context), and @forge/api Response/Headers (headers.get returning string|null, which the Retry-After path depends on). All four vendor contracts were audited against the installed packages and every one currently holds. THE GUARD CAUGHT ME ON ITS FIRST RUN: I asserted the resolver contract in the wrong DIRECTION. For an inbound contract the vendor's type must be assignable to ours — we must accept whatever they send, and tolerating more is correct; for an outbound contract ours must satisfy theirs. Asserting the wrong way either passes for the wrong reason or fails in a way that looks like a defect and is not. One assumption stays unprovable by types and is recorded rather than buried: ExtensionData is an open map in the vendor definitions, so extension.issue.key — which the generate tab depends on — can only be verified live at LC-1. 44 suites / 426 tests / 100% x4; six gates green; CI at evidence/ci-run-20260913-2049.log.</t>
        </is>
      </c>
      <c r="E30" s="3" t="inlineStr">
        <is>
          <t>Released</t>
        </is>
      </c>
    </row>
    <row r="31">
      <c r="A31" s="3" t="inlineStr">
        <is>
          <t>v035</t>
        </is>
      </c>
      <c r="B31" s="3" t="inlineStr">
        <is>
          <t>PLANNED: LC-1 evidence; the five open decisions; D18 pricing; asset capture.</t>
        </is>
      </c>
      <c r="C31" s="3" t="n"/>
      <c r="D31" s="3" t="n"/>
      <c r="E31" s="3" t="inlineStr">
        <is>
          <t>Planned</t>
        </is>
      </c>
    </row>
    <row r="32">
      <c r="A32" s="3" t="inlineStr">
        <is>
          <t>v035</t>
        </is>
      </c>
      <c r="B32" s="3" t="inlineStr">
        <is>
          <t>2026-09-20 11:40</t>
        </is>
      </c>
      <c r="C32" s="3" t="inlineStr">
        <is>
          <t>Claude for Senthil/KP</t>
        </is>
      </c>
      <c r="D32" s="4" t="inlineStr">
        <is>
          <t>EXTERNAL REVIEW V001 (Perplexity Computer, 16/09) INCORPORATED IN FULL. The review reproduced our CI independently (44 suites / 426 tests / 100% x4, six gates, 0 prod vulns) — the only claim it found UNDERSTATED rather than overstated — and then found five defects none of that machinery could see, because every gate reasons about one invocation at a time. All five are closed in code with pinned regressions; all seven artifact corrections are applied, two of them downgrading a status we had published. The verdicts, recorded as the reviewer wrote them: market demand 7/10 (proven category, credible wedge, STALE DIFFERENTIATION, zero primary validation); enterprise grade ~4.5/10, BELOW the 5.1 of V002, because PRX-02 and the Cloud Fortified retirement are both worse than anything V002 knew about; release readiness NOT READY, unchanged and unchangeable by more code. What moved: capability depth 3/10 -&gt; the two MISSING gates (EG-05 traceability, EG-06 automation ingest) are built and EG-04 has its versioned-entity seed; scale 2/10 -&gt; the row ceiling that was "the disqualifier, and a data-model problem" is gone, with the round-trip cost that replaced it published honestly; correctness under real use 3/10 -&gt; PRX-02 closed with a standing gate; enterprise programme 2/10 -&gt; assessed against the programme that actually exists. What did NOT move: operational evidence 1/10 — nothing has still ever run on a real Jira site, and no amount of code changes that. Commercially: the 17% marketplace fee was wrong in our favour (0% until $1M lifetime Forge revenue since 01/01/2026), so net MRR was understated ~20% and breakeven moves earlier; the price is re-anchored per-user 40-50% under Xray in the 26-200 band with the sub-10 band conceded, because at 10 seats we were 12x Xray. R-P2 is closed as MATERIALISED: AI case generation is table stakes, not differentiation. Package: 55 suites / 530 tests / 100% x4, seven gates (G-5 concurrent write safety is new and went red on its own first run), clean-room reproduced from the lockfile, 0 production dependencies.</t>
        </is>
      </c>
      <c r="E32" s="3" t="inlineStr">
        <is>
          <t>Released</t>
        </is>
      </c>
    </row>
    <row r="33">
      <c r="A33" s="3" t="inlineStr">
        <is>
          <t>v036</t>
        </is>
      </c>
      <c r="B33" s="3" t="inlineStr">
        <is>
          <t>PLANNED: LC-1 evidence (PR-04); live envelope (PR-12); per-user pricing + test purchase (PR-13); design partners (PR-14).</t>
        </is>
      </c>
      <c r="C33" s="3" t="inlineStr"/>
      <c r="D33" s="3" t="inlineStr"/>
      <c r="E33" s="3" t="inlineStr">
        <is>
          <t>Planned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outlineLevelCol="0"/>
  <cols>
    <col width="175" customWidth="1" min="1" max="1"/>
  </cols>
  <sheetData>
    <row r="1">
      <c r="A1" s="1" t="inlineStr">
        <is>
          <t>README / SCOPE — differentiation rewritten 20/09 after external review V001 (C-4)</t>
        </is>
      </c>
    </row>
    <row r="2">
      <c r="A2" s="5" t="inlineStr">
        <is>
          <t>TestPulse — Release Quality Intelligence for Jira: is this release ready to ship, and if not, why not.</t>
        </is>
      </c>
    </row>
    <row r="3">
      <c r="A3" s="5" t="inlineStr">
        <is>
          <t>PLATFORM: Atlassian Marketplace | CATEGORY: Testing / QA for Jira</t>
        </is>
      </c>
    </row>
    <row r="4">
      <c r="A4" s="5" t="inlineStr">
        <is>
          <t>PROBLEM: Xray and Zephyr manage test CASES well. Neither answers the question an engineering manager actually asks on release day — "are we ready, and what is holding us back?" — with numbers anyone can trace back to their source.</t>
        </is>
      </c>
    </row>
    <row r="5">
      <c r="A5" s="5" t="inlineStr">
        <is>
          <t>DIFFERENTIATION (rewritten, C-4): NOT "AI case generation" — the review established that is now table stakes (Xray markets itself as "powered by AI", Zephyr as "with Rovo", and the Testing &amp; QA category carries 1,411 apps including several dedicated generators). The differentiator is the RELEASE DECISION: a readiness score derived from live Jira, live CI results and recorded executions, where every factor names its source, the verdict explains itself, and a human override is labelled as one. Forge-native, so there is no infrastructure for the customer and no data leaving Atlassian unless an admin turns AI on.</t>
        </is>
      </c>
    </row>
    <row r="6">
      <c r="A6" s="5" t="inlineStr">
        <is>
          <t>WHY THAT WEDGE: it is bought by the engineering manager rather than the QA lead, and it does not require beating Xray at test-entity modelling. The review's words: "the wedge is the release decision, not the test case."</t>
        </is>
      </c>
    </row>
    <row r="7">
      <c r="A7" s="5" t="inlineStr">
        <is>
          <t>HONESTY ABOUT THE WEDGE: until 20/09 the readiness score's two heaviest inputs were typed in by the owner — the review called that "a spreadsheet with a dial", and it was right. PR-05 made every factor derived. The positioning is now earned by the code rather than asserted by the listing.</t>
        </is>
      </c>
    </row>
    <row r="8">
      <c r="A8" s="5" t="inlineStr">
        <is>
          <t>ICP: software teams 25-500 devs on Jira Cloud, existing manual QA or overloaded Xray installs. Sub-10-seat sites are conceded (Xray is ~$100/yr there and migration cost dwarfs any discount) and treated as free acquisition.</t>
        </is>
      </c>
    </row>
    <row r="9">
      <c r="A9" s="5" t="inlineStr">
        <is>
          <t>PRICING: per-user tiers via Atlassian billing (flat plans cannot be listed — D18), anchored 40-50% under Xray in the 26-200 band. Forge revenue share is 0% until $1M lifetime (C-3).</t>
        </is>
      </c>
    </row>
    <row r="10">
      <c r="A10" s="5" t="inlineStr">
        <is>
          <t>HOW TO USE: Full_Backlog is the single source of truth (edit Status during execution). Sprint_Board recalculates per sprint. Financial_Model assumptions (yellow) are editable. Launch_Checklist is the platform gate before submission. Review_PRX_V001 and Corrections_Applied record what the external review changed.</t>
        </is>
      </c>
    </row>
    <row r="11">
      <c r="A11" s="5" t="inlineStr">
        <is>
          <t>STACK: TypeScript/Node on Forge (nodejs22.x), Custom UI, Forge hosted storage with per-entity keys (Forge SQL adapter ready, opt-in — ADR-001), GitHub Actions CI with seven standing gates.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outlineLevelCol="0"/>
  <cols>
    <col width="30" customWidth="1" min="1" max="1"/>
    <col width="56" customWidth="1" min="2" max="2"/>
    <col width="42" customWidth="1" min="3" max="3"/>
    <col width="42" customWidth="1" min="4" max="4"/>
  </cols>
  <sheetData>
    <row r="1">
      <c r="A1" s="1" t="inlineStr">
        <is>
          <t>PRODUCT SPEC</t>
        </is>
      </c>
    </row>
    <row r="2">
      <c r="A2" s="2" t="inlineStr">
        <is>
          <t>Module (feature)</t>
        </is>
      </c>
      <c r="B2" s="2" t="inlineStr">
        <is>
          <t>Scope in MVP</t>
        </is>
      </c>
      <c r="C2" s="2" t="inlineStr">
        <is>
          <t>Out of scope (v1)</t>
        </is>
      </c>
      <c r="D2" s="2" t="inlineStr">
        <is>
          <t>Non-functional requirements</t>
        </is>
      </c>
    </row>
    <row r="3">
      <c r="A3" s="3" t="inlineStr">
        <is>
          <t>AI test-case generation</t>
        </is>
      </c>
      <c r="B3" s="3" t="inlineStr">
        <is>
          <t>AI test-case generation: end-to-end happy path + edge cases + permissions</t>
        </is>
      </c>
      <c r="C3" s="3" t="inlineStr">
        <is>
          <t>Advanced automation, AI beyond listed, multi-language beyond launch set</t>
        </is>
      </c>
      <c r="D3" s="3" t="inlineStr">
        <is>
          <t>p95 &lt;500ms API / &lt;2s UI loads</t>
        </is>
      </c>
    </row>
    <row r="4">
      <c r="A4" s="3" t="inlineStr">
        <is>
          <t>Test run boards</t>
        </is>
      </c>
      <c r="B4" s="3" t="inlineStr">
        <is>
          <t>Test run boards: end-to-end happy path + edge cases + permissions</t>
        </is>
      </c>
      <c r="C4" s="3" t="inlineStr">
        <is>
          <t>Advanced automation, AI beyond listed, multi-language beyond launch set</t>
        </is>
      </c>
      <c r="D4" s="3" t="inlineStr">
        <is>
          <t>99.5% monthly uptime</t>
        </is>
      </c>
    </row>
    <row r="5">
      <c r="A5" s="3" t="inlineStr">
        <is>
          <t>Flaky-test detector</t>
        </is>
      </c>
      <c r="B5" s="3" t="inlineStr">
        <is>
          <t>Flaky-test detector: end-to-end happy path + edge cases + permissions</t>
        </is>
      </c>
      <c r="C5" s="3" t="inlineStr">
        <is>
          <t>Advanced automation, AI beyond listed, multi-language beyond launch set</t>
        </is>
      </c>
      <c r="D5" s="3" t="inlineStr">
        <is>
          <t>WCAG AA</t>
        </is>
      </c>
    </row>
    <row r="6">
      <c r="A6" s="3" t="inlineStr">
        <is>
          <t>Release readiness score</t>
        </is>
      </c>
      <c r="B6" s="3" t="inlineStr">
        <is>
          <t>Release readiness score: end-to-end happy path + edge cases + permissions</t>
        </is>
      </c>
      <c r="C6" s="3" t="inlineStr">
        <is>
          <t>Advanced automation, AI beyond listed, multi-language beyond launch set</t>
        </is>
      </c>
      <c r="D6" s="3" t="inlineStr">
        <is>
          <t>SOC2-track controls</t>
        </is>
      </c>
    </row>
    <row r="7">
      <c r="A7" s="3" t="inlineStr">
        <is>
          <t>Xray importer</t>
        </is>
      </c>
      <c r="B7" s="3" t="inlineStr">
        <is>
          <t>Xray importer: end-to-end happy path + edge cases + permissions</t>
        </is>
      </c>
      <c r="C7" s="3" t="inlineStr">
        <is>
          <t>Advanced automation, AI beyond listed, multi-language beyond launch set</t>
        </is>
      </c>
      <c r="D7" s="3" t="inlineStr">
        <is>
          <t>Rate-limit safe (backoff+queue)</t>
        </is>
      </c>
    </row>
    <row r="8">
      <c r="A8" s="3" t="inlineStr">
        <is>
          <t>Persona</t>
        </is>
      </c>
      <c r="B8" s="3" t="inlineStr">
        <is>
          <t>Jobs-to-be-done</t>
        </is>
      </c>
      <c r="C8" s="3" t="n"/>
      <c r="D8" s="3" t="n"/>
    </row>
    <row r="9">
      <c r="A9" s="3" t="inlineStr">
        <is>
          <t>QA lead</t>
        </is>
      </c>
      <c r="B9" s="3" t="inlineStr">
        <is>
          <t>Owns tool choice; wants migration importer from Xray/Zephyr</t>
        </is>
      </c>
      <c r="C9" s="3" t="n"/>
      <c r="D9" s="3" t="n"/>
    </row>
    <row r="10">
      <c r="A10" s="3" t="inlineStr">
        <is>
          <t>Eng manager</t>
        </is>
      </c>
      <c r="B10" s="3" t="inlineStr">
        <is>
          <t>Buys on release-risk visibility</t>
        </is>
      </c>
      <c r="C10" s="3" t="n"/>
      <c r="D10" s="3" t="n"/>
    </row>
    <row r="11">
      <c r="A11" s="3" t="inlineStr">
        <is>
          <t>Jira admin</t>
        </is>
      </c>
      <c r="B11" s="3" t="inlineStr">
        <is>
          <t>Cares about Cloud Fortified badge + data residency</t>
        </is>
      </c>
      <c r="C11" s="3" t="n"/>
      <c r="D11"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outlineLevelCol="0"/>
  <cols>
    <col width="10" customWidth="1" min="1" max="1"/>
    <col width="32" customWidth="1" min="2" max="2"/>
    <col width="56" customWidth="1" min="3" max="3"/>
    <col width="42" customWidth="1" min="4" max="4"/>
    <col width="26" customWidth="1" min="5" max="5"/>
  </cols>
  <sheetData>
    <row r="1">
      <c r="A1" s="1" t="inlineStr">
        <is>
          <t>SCREEN INVENTORY</t>
        </is>
      </c>
    </row>
    <row r="2">
      <c r="A2" s="2" t="inlineStr">
        <is>
          <t>ID</t>
        </is>
      </c>
      <c r="B2" s="2" t="inlineStr">
        <is>
          <t>Screen</t>
        </is>
      </c>
      <c r="C2" s="2" t="inlineStr">
        <is>
          <t>Purpose</t>
        </is>
      </c>
      <c r="D2" s="2" t="inlineStr">
        <is>
          <t>States</t>
        </is>
      </c>
      <c r="E2" s="2" t="inlineStr">
        <is>
          <t>Figma</t>
        </is>
      </c>
    </row>
    <row r="3">
      <c r="A3" s="3" t="inlineStr">
        <is>
          <t>#</t>
        </is>
      </c>
      <c r="B3" s="3" t="inlineStr">
        <is>
          <t>Screen</t>
        </is>
      </c>
      <c r="C3" s="3" t="inlineStr">
        <is>
          <t>Purpose</t>
        </is>
      </c>
      <c r="D3" s="3" t="inlineStr">
        <is>
          <t>Key elements</t>
        </is>
      </c>
      <c r="E3" s="3" t="inlineStr">
        <is>
          <t>Wireframe link</t>
        </is>
      </c>
    </row>
    <row r="4">
      <c r="A4" s="3" t="n">
        <v>1</v>
      </c>
      <c r="B4" s="3" t="inlineStr">
        <is>
          <t>Onboarding / first-run</t>
        </is>
      </c>
      <c r="C4" s="3" t="inlineStr">
        <is>
          <t>Reach aha in &lt;1 day</t>
        </is>
      </c>
      <c r="D4" s="3" t="inlineStr">
        <is>
          <t>Checklist, sample data toggle, connect steps</t>
        </is>
      </c>
      <c r="E4" s="3" t="n"/>
    </row>
    <row r="5">
      <c r="A5" s="3" t="n">
        <v>2</v>
      </c>
      <c r="B5" s="3" t="inlineStr">
        <is>
          <t>Home dashboard</t>
        </is>
      </c>
      <c r="C5" s="3" t="inlineStr">
        <is>
          <t>Daily habit surface</t>
        </is>
      </c>
      <c r="D5" s="3" t="inlineStr">
        <is>
          <t>KPI cards, activity feed, alerts</t>
        </is>
      </c>
      <c r="E5" s="3" t="n"/>
    </row>
    <row r="6">
      <c r="A6" s="3" t="n">
        <v>3</v>
      </c>
      <c r="B6" s="3" t="inlineStr">
        <is>
          <t>AI test-case generation workspace</t>
        </is>
      </c>
      <c r="C6" s="3" t="inlineStr">
        <is>
          <t>Core value surface</t>
        </is>
      </c>
      <c r="D6" s="3" t="inlineStr">
        <is>
          <t>List+detail, bulk actions, status chips</t>
        </is>
      </c>
      <c r="E6" s="3" t="n"/>
    </row>
    <row r="7">
      <c r="A7" s="3" t="n">
        <v>4</v>
      </c>
      <c r="B7" s="3" t="inlineStr">
        <is>
          <t>Test run boards builder</t>
        </is>
      </c>
      <c r="C7" s="3" t="inlineStr">
        <is>
          <t>Configure second pillar</t>
        </is>
      </c>
      <c r="D7" s="3" t="inlineStr">
        <is>
          <t>Rule builder, preview, test mode</t>
        </is>
      </c>
      <c r="E7" s="3" t="n"/>
    </row>
    <row r="8">
      <c r="A8" s="3" t="n">
        <v>5</v>
      </c>
      <c r="B8" s="3" t="inlineStr">
        <is>
          <t>Flaky-test detector view</t>
        </is>
      </c>
      <c r="C8" s="3" t="inlineStr">
        <is>
          <t>Differentiator surface</t>
        </is>
      </c>
      <c r="D8" s="3" t="inlineStr">
        <is>
          <t>Timeline/visual, export</t>
        </is>
      </c>
      <c r="E8" s="3" t="n"/>
    </row>
    <row r="9">
      <c r="A9" s="3" t="n">
        <v>6</v>
      </c>
      <c r="B9" s="3" t="inlineStr">
        <is>
          <t>Settings &amp; team</t>
        </is>
      </c>
      <c r="C9" s="3" t="inlineStr">
        <is>
          <t>Roles, notifications, data</t>
        </is>
      </c>
      <c r="D9" s="3" t="inlineStr">
        <is>
          <t>Role matrix, API keys, danger zone</t>
        </is>
      </c>
      <c r="E9" s="3" t="n"/>
    </row>
    <row r="10">
      <c r="A10" s="3" t="n">
        <v>7</v>
      </c>
      <c r="B10" s="3" t="inlineStr">
        <is>
          <t>Billing</t>
        </is>
      </c>
      <c r="C10" s="3" t="inlineStr">
        <is>
          <t>Plan/trial/invoices</t>
        </is>
      </c>
      <c r="D10" s="3" t="inlineStr">
        <is>
          <t>Plan cards, usage meter, invoices</t>
        </is>
      </c>
      <c r="E10" s="3" t="n"/>
    </row>
    <row r="11">
      <c r="A11" s="3" t="n">
        <v>8</v>
      </c>
      <c r="B11" s="3" t="inlineStr">
        <is>
          <t>Analytics</t>
        </is>
      </c>
      <c r="C11" s="3" t="inlineStr">
        <is>
          <t>Prove ROI</t>
        </is>
      </c>
      <c r="D11" s="3" t="inlineStr">
        <is>
          <t>Funnel, cohort, export</t>
        </is>
      </c>
      <c r="E11" s="3" t="n"/>
    </row>
    <row r="12">
      <c r="A12" s="3" t="n">
        <v>9</v>
      </c>
      <c r="B12" s="3" t="inlineStr">
        <is>
          <t>Help &amp; support</t>
        </is>
      </c>
      <c r="C12" s="3" t="inlineStr">
        <is>
          <t>Deflect + assist</t>
        </is>
      </c>
      <c r="D12" s="3" t="inlineStr">
        <is>
          <t>Search, chat, status</t>
        </is>
      </c>
      <c r="E12"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outlineLevelCol="0"/>
  <cols>
    <col width="14" customWidth="1" min="1" max="1"/>
    <col width="62" customWidth="1" min="2" max="2"/>
    <col width="16" customWidth="1" min="3" max="3"/>
    <col width="14" customWidth="1" min="4" max="4"/>
  </cols>
  <sheetData>
    <row r="1">
      <c r="A1" s="1" t="inlineStr">
        <is>
          <t>GTM EXECUTION TASKS</t>
        </is>
      </c>
    </row>
    <row r="2">
      <c r="A2" s="2" t="inlineStr">
        <is>
          <t>Phase</t>
        </is>
      </c>
      <c r="B2" s="2" t="inlineStr">
        <is>
          <t>Task</t>
        </is>
      </c>
      <c r="C2" s="2" t="inlineStr">
        <is>
          <t>Owner (role)</t>
        </is>
      </c>
      <c r="D2" s="2" t="inlineStr">
        <is>
          <t>Target sprint</t>
        </is>
      </c>
    </row>
    <row r="3">
      <c r="A3" s="3" t="inlineStr">
        <is>
          <t>Pre-launch</t>
        </is>
      </c>
      <c r="B3" s="3" t="inlineStr">
        <is>
          <t>Positioning doc + message house (problem/promise/proof)</t>
        </is>
      </c>
      <c r="C3" s="3" t="inlineStr">
        <is>
          <t>Founder</t>
        </is>
      </c>
      <c r="D3" s="3" t="inlineStr">
        <is>
          <t>S7</t>
        </is>
      </c>
    </row>
    <row r="4">
      <c r="A4" s="3" t="inlineStr">
        <is>
          <t>Pre-launch</t>
        </is>
      </c>
      <c r="B4" s="3" t="inlineStr">
        <is>
          <t>Listing SEO: keyword study in marketplace search + title/intro drafts</t>
        </is>
      </c>
      <c r="C4" s="3" t="inlineStr">
        <is>
          <t>Growth</t>
        </is>
      </c>
      <c r="D4" s="3" t="inlineStr">
        <is>
          <t>S8</t>
        </is>
      </c>
    </row>
    <row r="5">
      <c r="A5" s="3" t="inlineStr">
        <is>
          <t>Pre-launch</t>
        </is>
      </c>
      <c r="B5" s="3" t="inlineStr">
        <is>
          <t>10 design-partner mini case snippets with metric proof</t>
        </is>
      </c>
      <c r="C5" s="3" t="inlineStr">
        <is>
          <t>Founder</t>
        </is>
      </c>
      <c r="D5" s="3" t="inlineStr">
        <is>
          <t>S8</t>
        </is>
      </c>
    </row>
    <row r="6">
      <c r="A6" s="3" t="inlineStr">
        <is>
          <t>Pre-launch</t>
        </is>
      </c>
      <c r="B6" s="3" t="inlineStr">
        <is>
          <t>5 comparison/alternative pages drafted</t>
        </is>
      </c>
      <c r="C6" s="3" t="inlineStr">
        <is>
          <t>Growth</t>
        </is>
      </c>
      <c r="D6" s="3" t="inlineStr">
        <is>
          <t>S9</t>
        </is>
      </c>
    </row>
    <row r="7">
      <c r="A7" s="3" t="inlineStr">
        <is>
          <t>Pre-launch</t>
        </is>
      </c>
      <c r="B7" s="3" t="inlineStr">
        <is>
          <t>Screenshots (5) + 2-min demo video produced</t>
        </is>
      </c>
      <c r="C7" s="3" t="inlineStr">
        <is>
          <t>Design</t>
        </is>
      </c>
      <c r="D7" s="3" t="inlineStr">
        <is>
          <t>S9</t>
        </is>
      </c>
    </row>
    <row r="8">
      <c r="A8" s="3" t="inlineStr">
        <is>
          <t>Launch</t>
        </is>
      </c>
      <c r="B8" s="3" t="inlineStr">
        <is>
          <t>Listing live + launch post + video published</t>
        </is>
      </c>
      <c r="C8" s="3" t="inlineStr">
        <is>
          <t>Growth</t>
        </is>
      </c>
      <c r="D8" s="3" t="inlineStr">
        <is>
          <t>S11</t>
        </is>
      </c>
    </row>
    <row r="9">
      <c r="A9" s="3" t="inlineStr">
        <is>
          <t>Launch</t>
        </is>
      </c>
      <c r="B9" s="3" t="inlineStr">
        <is>
          <t>Founder outreach: 100 named ICP accounts, 3-touch sequence</t>
        </is>
      </c>
      <c r="C9" s="3" t="inlineStr">
        <is>
          <t>Founder</t>
        </is>
      </c>
      <c r="D9" s="3" t="inlineStr">
        <is>
          <t>S11</t>
        </is>
      </c>
    </row>
    <row r="10">
      <c r="A10" s="3" t="inlineStr">
        <is>
          <t>Launch</t>
        </is>
      </c>
      <c r="B10" s="3" t="inlineStr">
        <is>
          <t>Community value-posts (3 relevant communities)</t>
        </is>
      </c>
      <c r="C10" s="3" t="inlineStr">
        <is>
          <t>Founder</t>
        </is>
      </c>
      <c r="D10" s="3" t="inlineStr">
        <is>
          <t>S11</t>
        </is>
      </c>
    </row>
    <row r="11">
      <c r="A11" s="3" t="inlineStr">
        <is>
          <t>Launch</t>
        </is>
      </c>
      <c r="B11" s="3" t="inlineStr">
        <is>
          <t>Review-generation program on (in-app ask post-aha)</t>
        </is>
      </c>
      <c r="C11" s="3" t="inlineStr">
        <is>
          <t>Eng</t>
        </is>
      </c>
      <c r="D11" s="3" t="inlineStr">
        <is>
          <t>S11</t>
        </is>
      </c>
    </row>
    <row r="12">
      <c r="A12" s="3" t="inlineStr">
        <is>
          <t>Post-launch</t>
        </is>
      </c>
      <c r="B12" s="3" t="inlineStr">
        <is>
          <t>Weekly SEO/how-to content cadence starts</t>
        </is>
      </c>
      <c r="C12" s="3" t="inlineStr">
        <is>
          <t>Growth</t>
        </is>
      </c>
      <c r="D12" s="3" t="inlineStr">
        <is>
          <t>S12</t>
        </is>
      </c>
    </row>
    <row r="13">
      <c r="A13" s="3" t="inlineStr">
        <is>
          <t>Post-launch</t>
        </is>
      </c>
      <c r="B13" s="3" t="inlineStr">
        <is>
          <t>Marketplace paid placement pilot (where offered)</t>
        </is>
      </c>
      <c r="C13" s="3" t="inlineStr">
        <is>
          <t>Growth</t>
        </is>
      </c>
      <c r="D13" s="3" t="inlineStr">
        <is>
          <t>S12</t>
        </is>
      </c>
    </row>
    <row r="14">
      <c r="A14" s="3" t="inlineStr">
        <is>
          <t>Post-launch</t>
        </is>
      </c>
      <c r="B14" s="3" t="inlineStr">
        <is>
          <t>2 integration co-marketing swaps</t>
        </is>
      </c>
      <c r="C14" s="3" t="inlineStr">
        <is>
          <t>Founder</t>
        </is>
      </c>
      <c r="D14" s="3" t="inlineStr">
        <is>
          <t>S12+</t>
        </is>
      </c>
    </row>
    <row r="15">
      <c r="A15" s="3" t="inlineStr">
        <is>
          <t>Post-launch</t>
        </is>
      </c>
      <c r="B15" s="3" t="inlineStr">
        <is>
          <t>G2/Capterra profiles + first 10 reviews</t>
        </is>
      </c>
      <c r="C15" s="3" t="inlineStr">
        <is>
          <t>Growth</t>
        </is>
      </c>
      <c r="D15" s="3" t="inlineStr">
        <is>
          <t>S12+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A1" sqref="A1"/>
    </sheetView>
  </sheetViews>
  <sheetFormatPr baseColWidth="8" defaultRowHeight="15" outlineLevelCol="0"/>
  <cols>
    <col width="30" customWidth="1" min="1" max="1"/>
    <col width="12" customWidth="1" min="2" max="2"/>
    <col width="12" customWidth="1" min="3" max="3"/>
    <col width="12" customWidth="1" min="4" max="4"/>
    <col width="12" customWidth="1" min="5" max="5"/>
    <col width="60" customWidth="1" min="6" max="6"/>
  </cols>
  <sheetData>
    <row r="1">
      <c r="A1" s="1" t="inlineStr">
        <is>
          <t>METRIC TARGETS (first 12 months post-launch)</t>
        </is>
      </c>
    </row>
    <row r="2">
      <c r="A2" s="2" t="inlineStr">
        <is>
          <t>Metric</t>
        </is>
      </c>
      <c r="B2" s="2" t="inlineStr">
        <is>
          <t>M1</t>
        </is>
      </c>
      <c r="C2" s="2" t="inlineStr">
        <is>
          <t>M3</t>
        </is>
      </c>
      <c r="D2" s="2" t="inlineStr">
        <is>
          <t>M6</t>
        </is>
      </c>
      <c r="E2" s="2" t="inlineStr">
        <is>
          <t>M12</t>
        </is>
      </c>
      <c r="F2" s="2" t="inlineStr">
        <is>
          <t>Notes</t>
        </is>
      </c>
    </row>
    <row r="3">
      <c r="A3" s="3" t="inlineStr">
        <is>
          <t>Installs/signups cumulative</t>
        </is>
      </c>
      <c r="B3" s="3" t="inlineStr">
        <is>
          <t>varies</t>
        </is>
      </c>
      <c r="C3" s="3" t="inlineStr">
        <is>
          <t>3x M1</t>
        </is>
      </c>
      <c r="D3" s="3" t="inlineStr">
        <is>
          <t>8x M1</t>
        </is>
      </c>
      <c r="E3" s="3" t="inlineStr">
        <is>
          <t>20x M1</t>
        </is>
      </c>
      <c r="F3" s="3" t="inlineStr">
        <is>
          <t>Drive via listing SEO + outbound</t>
        </is>
      </c>
    </row>
    <row r="4">
      <c r="A4" s="3" t="inlineStr">
        <is>
          <t>Activation % (24h)</t>
        </is>
      </c>
      <c r="B4" s="3" t="inlineStr">
        <is>
          <t>30%</t>
        </is>
      </c>
      <c r="C4" s="3" t="inlineStr">
        <is>
          <t>40%</t>
        </is>
      </c>
      <c r="D4" s="3" t="inlineStr">
        <is>
          <t>45%</t>
        </is>
      </c>
      <c r="E4" s="3" t="inlineStr">
        <is>
          <t>50%</t>
        </is>
      </c>
      <c r="F4" s="3" t="inlineStr">
        <is>
          <t>Onboarding iterations S12+</t>
        </is>
      </c>
    </row>
    <row r="5">
      <c r="A5" s="3" t="inlineStr">
        <is>
          <t>Trial→paid %</t>
        </is>
      </c>
      <c r="B5" s="3" t="inlineStr">
        <is>
          <t>baseline</t>
        </is>
      </c>
      <c r="C5" s="3" t="inlineStr">
        <is>
          <t>+2pts</t>
        </is>
      </c>
      <c r="D5" s="3" t="inlineStr">
        <is>
          <t>+4pts</t>
        </is>
      </c>
      <c r="E5" s="3" t="inlineStr">
        <is>
          <t>+6pts</t>
        </is>
      </c>
      <c r="F5" s="3" t="inlineStr">
        <is>
          <t>Pricing test at S12</t>
        </is>
      </c>
    </row>
    <row r="6">
      <c r="A6" s="3" t="inlineStr">
        <is>
          <t>Rating</t>
        </is>
      </c>
      <c r="B6" s="3" t="inlineStr">
        <is>
          <t>4.5+</t>
        </is>
      </c>
      <c r="C6" s="3" t="inlineStr">
        <is>
          <t>4.6+</t>
        </is>
      </c>
      <c r="D6" s="3" t="inlineStr">
        <is>
          <t>4.7+</t>
        </is>
      </c>
      <c r="E6" s="3" t="inlineStr">
        <is>
          <t>4.7+</t>
        </is>
      </c>
      <c r="F6" s="3" t="inlineStr">
        <is>
          <t>Review program + support speed</t>
        </is>
      </c>
    </row>
    <row r="7">
      <c r="A7" s="3" t="inlineStr">
        <is>
          <t>MRR</t>
        </is>
      </c>
      <c r="B7" s="3" t="inlineStr">
        <is>
          <t>first $</t>
        </is>
      </c>
      <c r="C7" s="3" t="inlineStr">
        <is>
          <t>3x</t>
        </is>
      </c>
      <c r="D7" s="3" t="inlineStr">
        <is>
          <t>8x</t>
        </is>
      </c>
      <c r="E7" s="3" t="inlineStr">
        <is>
          <t>20x</t>
        </is>
      </c>
      <c r="F7" s="3" t="inlineStr">
        <is>
          <t>Model sheet has the math</t>
        </is>
      </c>
    </row>
    <row r="8">
      <c r="A8" s="3" t="inlineStr">
        <is>
          <t>Logo churn/mo</t>
        </is>
      </c>
      <c r="B8" s="3" t="inlineStr">
        <is>
          <t>&lt;5%</t>
        </is>
      </c>
      <c r="C8" s="3" t="inlineStr">
        <is>
          <t>&lt;4%</t>
        </is>
      </c>
      <c r="D8" s="3" t="inlineStr">
        <is>
          <t>&lt;3%</t>
        </is>
      </c>
      <c r="E8" s="3" t="inlineStr">
        <is>
          <t>&lt;3%</t>
        </is>
      </c>
      <c r="F8" s="3" t="inlineStr">
        <is>
          <t>Health-score saves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4"/>
  <sheetViews>
    <sheetView workbookViewId="0">
      <pane ySplit="3" topLeftCell="A4" activePane="bottomLeft" state="frozen"/>
      <selection pane="bottomLeft" activeCell="A1" sqref="A1"/>
    </sheetView>
  </sheetViews>
  <sheetFormatPr baseColWidth="8" defaultRowHeight="15" outlineLevelCol="0"/>
  <cols>
    <col width="10" customWidth="1" min="1" max="1"/>
    <col width="7" customWidth="1" min="2" max="2"/>
    <col width="92" customWidth="1" min="3" max="3"/>
    <col width="8" customWidth="1" min="4" max="4"/>
    <col width="9" customWidth="1" min="5" max="5"/>
    <col width="9" customWidth="1" min="6" max="6"/>
    <col width="28" customWidth="1" min="7" max="7"/>
  </cols>
  <sheetData>
    <row r="1">
      <c r="A1" s="1" t="inlineStr">
        <is>
          <t>FULL BACKLOG — single source of truth</t>
        </is>
      </c>
    </row>
    <row r="2">
      <c r="A2" s="5" t="inlineStr">
        <is>
          <t>Statuses corrected by external review V001 on 20/09 where the published state outran the code. N/A (platform) means the platform owns it and it will never be "Done" here.</t>
        </is>
      </c>
    </row>
    <row r="3">
      <c r="A3" s="2" t="inlineStr">
        <is>
          <t>ID</t>
        </is>
      </c>
      <c r="B3" s="2" t="inlineStr">
        <is>
          <t>Epic</t>
        </is>
      </c>
      <c r="C3" s="2" t="inlineStr">
        <is>
          <t>Story</t>
        </is>
      </c>
      <c r="D3" s="2" t="inlineStr">
        <is>
          <t>Points</t>
        </is>
      </c>
      <c r="E3" s="2" t="inlineStr">
        <is>
          <t>Priority</t>
        </is>
      </c>
      <c r="F3" s="2" t="inlineStr">
        <is>
          <t>Sprint</t>
        </is>
      </c>
      <c r="G3" s="2" t="inlineStr">
        <is>
          <t>Status</t>
        </is>
      </c>
    </row>
    <row r="4">
      <c r="A4" s="3" t="inlineStr">
        <is>
          <t>ST-001</t>
        </is>
      </c>
      <c r="B4" s="3" t="inlineStr">
        <is>
          <t>F1</t>
        </is>
      </c>
      <c r="C4" s="3" t="inlineStr">
        <is>
          <t>As a QA lead, I can set up AI test-case generation with sensible defaults in one screen</t>
        </is>
      </c>
      <c r="D4" s="3" t="n">
        <v>5</v>
      </c>
      <c r="E4" s="3" t="inlineStr">
        <is>
          <t>P0</t>
        </is>
      </c>
      <c r="F4" s="3" t="inlineStr">
        <is>
          <t>S2</t>
        </is>
      </c>
      <c r="G4" s="6" t="inlineStr">
        <is>
          <t>Done</t>
        </is>
      </c>
    </row>
    <row r="5">
      <c r="A5" s="3" t="inlineStr">
        <is>
          <t>ST-002</t>
        </is>
      </c>
      <c r="B5" s="3" t="inlineStr">
        <is>
          <t>F1</t>
        </is>
      </c>
      <c r="C5" s="3" t="inlineStr">
        <is>
          <t>As a QA lead, the AI test-case generation happy path completes without documentation</t>
        </is>
      </c>
      <c r="D5" s="3" t="n">
        <v>8</v>
      </c>
      <c r="E5" s="3" t="inlineStr">
        <is>
          <t>P0</t>
        </is>
      </c>
      <c r="F5" s="3" t="inlineStr">
        <is>
          <t>S2</t>
        </is>
      </c>
      <c r="G5" s="6" t="inlineStr">
        <is>
          <t>Done</t>
        </is>
      </c>
    </row>
    <row r="6">
      <c r="A6" s="3" t="inlineStr">
        <is>
          <t>ST-003</t>
        </is>
      </c>
      <c r="B6" s="3" t="inlineStr">
        <is>
          <t>F1</t>
        </is>
      </c>
      <c r="C6" s="3" t="inlineStr">
        <is>
          <t>As a Eng manager, I can customise AI test-case generation rules/conditions for my workflow</t>
        </is>
      </c>
      <c r="D6" s="3" t="n">
        <v>5</v>
      </c>
      <c r="E6" s="3" t="inlineStr">
        <is>
          <t>P1</t>
        </is>
      </c>
      <c r="F6" s="3" t="inlineStr">
        <is>
          <t>S2</t>
        </is>
      </c>
      <c r="G6" s="6" t="inlineStr">
        <is>
          <t>Done</t>
        </is>
      </c>
    </row>
    <row r="7">
      <c r="A7" s="3" t="inlineStr">
        <is>
          <t>ST-004</t>
        </is>
      </c>
      <c r="B7" s="3" t="inlineStr">
        <is>
          <t>F1</t>
        </is>
      </c>
      <c r="C7" s="3" t="inlineStr">
        <is>
          <t>As a user, AI test-case generation shows clear errors and retry paths on platform API failures</t>
        </is>
      </c>
      <c r="D7" s="3" t="n">
        <v>3</v>
      </c>
      <c r="E7" s="3" t="inlineStr">
        <is>
          <t>P0</t>
        </is>
      </c>
      <c r="F7" s="3" t="inlineStr">
        <is>
          <t>S2</t>
        </is>
      </c>
      <c r="G7" s="6" t="inlineStr">
        <is>
          <t>Done</t>
        </is>
      </c>
    </row>
    <row r="8">
      <c r="A8" s="3" t="inlineStr">
        <is>
          <t>ST-005</t>
        </is>
      </c>
      <c r="B8" s="3" t="inlineStr">
        <is>
          <t>F1</t>
        </is>
      </c>
      <c r="C8" s="3" t="inlineStr">
        <is>
          <t>As a Jira admin, AI test-case generation works on the Forge app panel inside Jira surface end-to-end</t>
        </is>
      </c>
      <c r="D8" s="3" t="n">
        <v>5</v>
      </c>
      <c r="E8" s="3" t="inlineStr">
        <is>
          <t>P0</t>
        </is>
      </c>
      <c r="F8" s="3" t="inlineStr">
        <is>
          <t>S3</t>
        </is>
      </c>
      <c r="G8" s="7" t="inlineStr">
        <is>
          <t>Code-complete — pending live</t>
        </is>
      </c>
    </row>
    <row r="9">
      <c r="A9" s="3" t="inlineStr">
        <is>
          <t>ST-006</t>
        </is>
      </c>
      <c r="B9" s="3" t="inlineStr">
        <is>
          <t>F1</t>
        </is>
      </c>
      <c r="C9" s="3" t="inlineStr">
        <is>
          <t>As a Eng manager, I can see AI test-case generation performance metrics and trends</t>
        </is>
      </c>
      <c r="D9" s="3" t="n">
        <v>3</v>
      </c>
      <c r="E9" s="3" t="inlineStr">
        <is>
          <t>P1</t>
        </is>
      </c>
      <c r="F9" s="3" t="inlineStr">
        <is>
          <t>S3</t>
        </is>
      </c>
      <c r="G9" s="6" t="inlineStr">
        <is>
          <t>Done</t>
        </is>
      </c>
    </row>
    <row r="10">
      <c r="A10" s="3" t="inlineStr">
        <is>
          <t>ST-007</t>
        </is>
      </c>
      <c r="B10" s="3" t="inlineStr">
        <is>
          <t>F1</t>
        </is>
      </c>
      <c r="C10" s="3" t="inlineStr">
        <is>
          <t>As a user, AI test-case generation respects role permissions and audit logging</t>
        </is>
      </c>
      <c r="D10" s="3" t="n">
        <v>3</v>
      </c>
      <c r="E10" s="3" t="inlineStr">
        <is>
          <t>P1</t>
        </is>
      </c>
      <c r="F10" s="3" t="inlineStr">
        <is>
          <t>S3</t>
        </is>
      </c>
      <c r="G10" s="6" t="inlineStr">
        <is>
          <t>Done</t>
        </is>
      </c>
    </row>
    <row r="11">
      <c r="A11" s="3" t="inlineStr">
        <is>
          <t>ST-008</t>
        </is>
      </c>
      <c r="B11" s="3" t="inlineStr">
        <is>
          <t>F1</t>
        </is>
      </c>
      <c r="C11" s="3" t="inlineStr">
        <is>
          <t>As a QA lead, I can pause/disable AI test-case generation without data loss</t>
        </is>
      </c>
      <c r="D11" s="3" t="n">
        <v>2</v>
      </c>
      <c r="E11" s="3" t="inlineStr">
        <is>
          <t>P2</t>
        </is>
      </c>
      <c r="F11" s="3" t="inlineStr">
        <is>
          <t>S3</t>
        </is>
      </c>
      <c r="G11" s="6" t="inlineStr">
        <is>
          <t>Done</t>
        </is>
      </c>
    </row>
    <row r="12">
      <c r="A12" s="3" t="inlineStr">
        <is>
          <t>ST-009</t>
        </is>
      </c>
      <c r="B12" s="3" t="inlineStr">
        <is>
          <t>F1</t>
        </is>
      </c>
      <c r="C12" s="3" t="inlineStr">
        <is>
          <t>As a Eng manager, I can import/migrate existing data into AI test-case generation (CSV + competitor importer)</t>
        </is>
      </c>
      <c r="D12" s="3" t="n">
        <v>5</v>
      </c>
      <c r="E12" s="3" t="inlineStr">
        <is>
          <t>P1</t>
        </is>
      </c>
      <c r="F12" s="3" t="inlineStr">
        <is>
          <t>S3</t>
        </is>
      </c>
      <c r="G12" s="6" t="inlineStr">
        <is>
          <t>Done</t>
        </is>
      </c>
    </row>
    <row r="13">
      <c r="A13" s="3" t="inlineStr">
        <is>
          <t>ST-010</t>
        </is>
      </c>
      <c r="B13" s="3" t="inlineStr">
        <is>
          <t>F1</t>
        </is>
      </c>
      <c r="C13" s="3" t="inlineStr">
        <is>
          <t>As a user, I get notifications (in-app + email) for key AI test-case generation events with per-type mute</t>
        </is>
      </c>
      <c r="D13" s="3" t="n">
        <v>3</v>
      </c>
      <c r="E13" s="3" t="inlineStr">
        <is>
          <t>P2</t>
        </is>
      </c>
      <c r="F13" s="3" t="inlineStr">
        <is>
          <t>S3</t>
        </is>
      </c>
      <c r="G13" s="6" t="inlineStr">
        <is>
          <t>Done</t>
        </is>
      </c>
    </row>
    <row r="14">
      <c r="A14" s="3" t="inlineStr">
        <is>
          <t>ST-011</t>
        </is>
      </c>
      <c r="B14" s="3" t="inlineStr">
        <is>
          <t>F2</t>
        </is>
      </c>
      <c r="C14" s="3" t="inlineStr">
        <is>
          <t>As a QA lead, I can set up Test run boards with sensible defaults in one screen</t>
        </is>
      </c>
      <c r="D14" s="3" t="n">
        <v>5</v>
      </c>
      <c r="E14" s="3" t="inlineStr">
        <is>
          <t>P0</t>
        </is>
      </c>
      <c r="F14" s="3" t="inlineStr">
        <is>
          <t>S3</t>
        </is>
      </c>
      <c r="G14" s="6" t="inlineStr">
        <is>
          <t>Done</t>
        </is>
      </c>
    </row>
    <row r="15">
      <c r="A15" s="3" t="inlineStr">
        <is>
          <t>ST-012</t>
        </is>
      </c>
      <c r="B15" s="3" t="inlineStr">
        <is>
          <t>F2</t>
        </is>
      </c>
      <c r="C15" s="3" t="inlineStr">
        <is>
          <t>As a QA lead, the Test run boards happy path completes without documentation</t>
        </is>
      </c>
      <c r="D15" s="3" t="n">
        <v>8</v>
      </c>
      <c r="E15" s="3" t="inlineStr">
        <is>
          <t>P0</t>
        </is>
      </c>
      <c r="F15" s="3" t="inlineStr">
        <is>
          <t>S3</t>
        </is>
      </c>
      <c r="G15" s="6" t="inlineStr">
        <is>
          <t>Done</t>
        </is>
      </c>
    </row>
    <row r="16">
      <c r="A16" s="3" t="inlineStr">
        <is>
          <t>ST-013</t>
        </is>
      </c>
      <c r="B16" s="3" t="inlineStr">
        <is>
          <t>F2</t>
        </is>
      </c>
      <c r="C16" s="3" t="inlineStr">
        <is>
          <t>As a Eng manager, I can customise Test run boards rules/conditions for my workflow</t>
        </is>
      </c>
      <c r="D16" s="3" t="n">
        <v>5</v>
      </c>
      <c r="E16" s="3" t="inlineStr">
        <is>
          <t>P1</t>
        </is>
      </c>
      <c r="F16" s="3" t="inlineStr">
        <is>
          <t>S3</t>
        </is>
      </c>
      <c r="G16" s="6" t="inlineStr">
        <is>
          <t>Done</t>
        </is>
      </c>
    </row>
    <row r="17">
      <c r="A17" s="3" t="inlineStr">
        <is>
          <t>ST-014</t>
        </is>
      </c>
      <c r="B17" s="3" t="inlineStr">
        <is>
          <t>F2</t>
        </is>
      </c>
      <c r="C17" s="3" t="inlineStr">
        <is>
          <t>As a user, Test run boards shows clear errors and retry paths on platform API failures</t>
        </is>
      </c>
      <c r="D17" s="3" t="n">
        <v>3</v>
      </c>
      <c r="E17" s="3" t="inlineStr">
        <is>
          <t>P0</t>
        </is>
      </c>
      <c r="F17" s="3" t="inlineStr">
        <is>
          <t>S3</t>
        </is>
      </c>
      <c r="G17" s="6" t="inlineStr">
        <is>
          <t>Done</t>
        </is>
      </c>
    </row>
    <row r="18">
      <c r="A18" s="3" t="inlineStr">
        <is>
          <t>ST-015</t>
        </is>
      </c>
      <c r="B18" s="3" t="inlineStr">
        <is>
          <t>F2</t>
        </is>
      </c>
      <c r="C18" s="3" t="inlineStr">
        <is>
          <t>As a Jira admin, Test run boards works on the Forge app panel inside Jira surface end-to-end</t>
        </is>
      </c>
      <c r="D18" s="3" t="n">
        <v>5</v>
      </c>
      <c r="E18" s="3" t="inlineStr">
        <is>
          <t>P0</t>
        </is>
      </c>
      <c r="F18" s="3" t="inlineStr">
        <is>
          <t>S4</t>
        </is>
      </c>
      <c r="G18" s="7" t="inlineStr">
        <is>
          <t>Code-complete — pending live</t>
        </is>
      </c>
    </row>
    <row r="19">
      <c r="A19" s="3" t="inlineStr">
        <is>
          <t>ST-016</t>
        </is>
      </c>
      <c r="B19" s="3" t="inlineStr">
        <is>
          <t>F2</t>
        </is>
      </c>
      <c r="C19" s="3" t="inlineStr">
        <is>
          <t>As a Eng manager, I can see Test run boards performance metrics and trends</t>
        </is>
      </c>
      <c r="D19" s="3" t="n">
        <v>3</v>
      </c>
      <c r="E19" s="3" t="inlineStr">
        <is>
          <t>P1</t>
        </is>
      </c>
      <c r="F19" s="3" t="inlineStr">
        <is>
          <t>S4</t>
        </is>
      </c>
      <c r="G19" s="6" t="inlineStr">
        <is>
          <t>Done</t>
        </is>
      </c>
    </row>
    <row r="20">
      <c r="A20" s="3" t="inlineStr">
        <is>
          <t>ST-017</t>
        </is>
      </c>
      <c r="B20" s="3" t="inlineStr">
        <is>
          <t>F2</t>
        </is>
      </c>
      <c r="C20" s="3" t="inlineStr">
        <is>
          <t>As a user, Test run boards respects role permissions and audit logging</t>
        </is>
      </c>
      <c r="D20" s="3" t="n">
        <v>3</v>
      </c>
      <c r="E20" s="3" t="inlineStr">
        <is>
          <t>P1</t>
        </is>
      </c>
      <c r="F20" s="3" t="inlineStr">
        <is>
          <t>S4</t>
        </is>
      </c>
      <c r="G20" s="6" t="inlineStr">
        <is>
          <t>Done</t>
        </is>
      </c>
    </row>
    <row r="21">
      <c r="A21" s="3" t="inlineStr">
        <is>
          <t>ST-018</t>
        </is>
      </c>
      <c r="B21" s="3" t="inlineStr">
        <is>
          <t>F2</t>
        </is>
      </c>
      <c r="C21" s="3" t="inlineStr">
        <is>
          <t>As a QA lead, I can pause/disable Test run boards without data loss</t>
        </is>
      </c>
      <c r="D21" s="3" t="n">
        <v>2</v>
      </c>
      <c r="E21" s="3" t="inlineStr">
        <is>
          <t>P2</t>
        </is>
      </c>
      <c r="F21" s="3" t="inlineStr">
        <is>
          <t>S4</t>
        </is>
      </c>
      <c r="G21" s="6" t="inlineStr">
        <is>
          <t>Done</t>
        </is>
      </c>
    </row>
    <row r="22">
      <c r="A22" s="3" t="inlineStr">
        <is>
          <t>ST-019</t>
        </is>
      </c>
      <c r="B22" s="3" t="inlineStr">
        <is>
          <t>F2</t>
        </is>
      </c>
      <c r="C22" s="3" t="inlineStr">
        <is>
          <t>As a Eng manager, I can import/migrate existing data into Test run boards (CSV + competitor importer)</t>
        </is>
      </c>
      <c r="D22" s="3" t="n">
        <v>5</v>
      </c>
      <c r="E22" s="3" t="inlineStr">
        <is>
          <t>P1</t>
        </is>
      </c>
      <c r="F22" s="3" t="inlineStr">
        <is>
          <t>S4</t>
        </is>
      </c>
      <c r="G22" s="6" t="inlineStr">
        <is>
          <t>Done</t>
        </is>
      </c>
    </row>
    <row r="23">
      <c r="A23" s="3" t="inlineStr">
        <is>
          <t>ST-020</t>
        </is>
      </c>
      <c r="B23" s="3" t="inlineStr">
        <is>
          <t>F2</t>
        </is>
      </c>
      <c r="C23" s="3" t="inlineStr">
        <is>
          <t>As a user, I get notifications (in-app + email) for key Test run boards events with per-type mute</t>
        </is>
      </c>
      <c r="D23" s="3" t="n">
        <v>3</v>
      </c>
      <c r="E23" s="3" t="inlineStr">
        <is>
          <t>P2</t>
        </is>
      </c>
      <c r="F23" s="3" t="inlineStr">
        <is>
          <t>S4</t>
        </is>
      </c>
      <c r="G23" s="6" t="inlineStr">
        <is>
          <t>Done</t>
        </is>
      </c>
    </row>
    <row r="24">
      <c r="A24" s="3" t="inlineStr">
        <is>
          <t>ST-021</t>
        </is>
      </c>
      <c r="B24" s="3" t="inlineStr">
        <is>
          <t>F3</t>
        </is>
      </c>
      <c r="C24" s="3" t="inlineStr">
        <is>
          <t>As a QA lead, I can set up Flaky-test detector with sensible defaults in one screen</t>
        </is>
      </c>
      <c r="D24" s="3" t="n">
        <v>5</v>
      </c>
      <c r="E24" s="3" t="inlineStr">
        <is>
          <t>P0</t>
        </is>
      </c>
      <c r="F24" s="3" t="inlineStr">
        <is>
          <t>S5</t>
        </is>
      </c>
      <c r="G24" s="6" t="inlineStr">
        <is>
          <t>Done</t>
        </is>
      </c>
    </row>
    <row r="25">
      <c r="A25" s="3" t="inlineStr">
        <is>
          <t>ST-022</t>
        </is>
      </c>
      <c r="B25" s="3" t="inlineStr">
        <is>
          <t>F3</t>
        </is>
      </c>
      <c r="C25" s="3" t="inlineStr">
        <is>
          <t>As a QA lead, the Flaky-test detector happy path completes without documentation</t>
        </is>
      </c>
      <c r="D25" s="3" t="n">
        <v>8</v>
      </c>
      <c r="E25" s="3" t="inlineStr">
        <is>
          <t>P0</t>
        </is>
      </c>
      <c r="F25" s="3" t="inlineStr">
        <is>
          <t>S5</t>
        </is>
      </c>
      <c r="G25" s="6" t="inlineStr">
        <is>
          <t>Done</t>
        </is>
      </c>
    </row>
    <row r="26">
      <c r="A26" s="3" t="inlineStr">
        <is>
          <t>ST-023</t>
        </is>
      </c>
      <c r="B26" s="3" t="inlineStr">
        <is>
          <t>F3</t>
        </is>
      </c>
      <c r="C26" s="3" t="inlineStr">
        <is>
          <t>As a Eng manager, I can customise Flaky-test detector rules/conditions for my workflow</t>
        </is>
      </c>
      <c r="D26" s="3" t="n">
        <v>5</v>
      </c>
      <c r="E26" s="3" t="inlineStr">
        <is>
          <t>P1</t>
        </is>
      </c>
      <c r="F26" s="3" t="inlineStr">
        <is>
          <t>S5</t>
        </is>
      </c>
      <c r="G26" s="6" t="inlineStr">
        <is>
          <t>Done</t>
        </is>
      </c>
    </row>
    <row r="27">
      <c r="A27" s="3" t="inlineStr">
        <is>
          <t>ST-024</t>
        </is>
      </c>
      <c r="B27" s="3" t="inlineStr">
        <is>
          <t>F3</t>
        </is>
      </c>
      <c r="C27" s="3" t="inlineStr">
        <is>
          <t>As a user, Flaky-test detector shows clear errors and retry paths on platform API failures</t>
        </is>
      </c>
      <c r="D27" s="3" t="n">
        <v>3</v>
      </c>
      <c r="E27" s="3" t="inlineStr">
        <is>
          <t>P0</t>
        </is>
      </c>
      <c r="F27" s="3" t="inlineStr">
        <is>
          <t>S5</t>
        </is>
      </c>
      <c r="G27" s="6" t="inlineStr">
        <is>
          <t>Done</t>
        </is>
      </c>
    </row>
    <row r="28">
      <c r="A28" s="3" t="inlineStr">
        <is>
          <t>ST-025</t>
        </is>
      </c>
      <c r="B28" s="3" t="inlineStr">
        <is>
          <t>F3</t>
        </is>
      </c>
      <c r="C28" s="3" t="inlineStr">
        <is>
          <t>As a Jira admin, Flaky-test detector works on the Forge app panel inside Jira surface end-to-end</t>
        </is>
      </c>
      <c r="D28" s="3" t="n">
        <v>5</v>
      </c>
      <c r="E28" s="3" t="inlineStr">
        <is>
          <t>P0</t>
        </is>
      </c>
      <c r="F28" s="3" t="inlineStr">
        <is>
          <t>S5</t>
        </is>
      </c>
      <c r="G28" s="7" t="inlineStr">
        <is>
          <t>Code-complete — pending live</t>
        </is>
      </c>
    </row>
    <row r="29">
      <c r="A29" s="3" t="inlineStr">
        <is>
          <t>ST-026</t>
        </is>
      </c>
      <c r="B29" s="3" t="inlineStr">
        <is>
          <t>F3</t>
        </is>
      </c>
      <c r="C29" s="3" t="inlineStr">
        <is>
          <t>As a Eng manager, I can see Flaky-test detector performance metrics and trends</t>
        </is>
      </c>
      <c r="D29" s="3" t="n">
        <v>3</v>
      </c>
      <c r="E29" s="3" t="inlineStr">
        <is>
          <t>P1</t>
        </is>
      </c>
      <c r="F29" s="3" t="inlineStr">
        <is>
          <t>S5</t>
        </is>
      </c>
      <c r="G29" s="6" t="inlineStr">
        <is>
          <t>Done</t>
        </is>
      </c>
    </row>
    <row r="30">
      <c r="A30" s="3" t="inlineStr">
        <is>
          <t>ST-027</t>
        </is>
      </c>
      <c r="B30" s="3" t="inlineStr">
        <is>
          <t>F3</t>
        </is>
      </c>
      <c r="C30" s="3" t="inlineStr">
        <is>
          <t>As a user, Flaky-test detector respects role permissions and audit logging</t>
        </is>
      </c>
      <c r="D30" s="3" t="n">
        <v>3</v>
      </c>
      <c r="E30" s="3" t="inlineStr">
        <is>
          <t>P1</t>
        </is>
      </c>
      <c r="F30" s="3" t="inlineStr">
        <is>
          <t>S5</t>
        </is>
      </c>
      <c r="G30" s="6" t="inlineStr">
        <is>
          <t>Done</t>
        </is>
      </c>
    </row>
    <row r="31">
      <c r="A31" s="3" t="inlineStr">
        <is>
          <t>ST-028</t>
        </is>
      </c>
      <c r="B31" s="3" t="inlineStr">
        <is>
          <t>F3</t>
        </is>
      </c>
      <c r="C31" s="3" t="inlineStr">
        <is>
          <t>As a QA lead, I can pause/disable Flaky-test detector without data loss</t>
        </is>
      </c>
      <c r="D31" s="3" t="n">
        <v>2</v>
      </c>
      <c r="E31" s="3" t="inlineStr">
        <is>
          <t>P2</t>
        </is>
      </c>
      <c r="F31" s="3" t="inlineStr">
        <is>
          <t>S5</t>
        </is>
      </c>
      <c r="G31" s="6" t="inlineStr">
        <is>
          <t>Done</t>
        </is>
      </c>
    </row>
    <row r="32">
      <c r="A32" s="3" t="inlineStr">
        <is>
          <t>ST-029</t>
        </is>
      </c>
      <c r="B32" s="3" t="inlineStr">
        <is>
          <t>F3</t>
        </is>
      </c>
      <c r="C32" s="3" t="inlineStr">
        <is>
          <t>As a Eng manager, I can import/migrate existing data into Flaky-test detector (CSV + competitor importer)</t>
        </is>
      </c>
      <c r="D32" s="3" t="n">
        <v>5</v>
      </c>
      <c r="E32" s="3" t="inlineStr">
        <is>
          <t>P1</t>
        </is>
      </c>
      <c r="F32" s="3" t="inlineStr">
        <is>
          <t>S5</t>
        </is>
      </c>
      <c r="G32" s="6" t="inlineStr">
        <is>
          <t>Done</t>
        </is>
      </c>
    </row>
    <row r="33">
      <c r="A33" s="3" t="inlineStr">
        <is>
          <t>ST-030</t>
        </is>
      </c>
      <c r="B33" s="3" t="inlineStr">
        <is>
          <t>F3</t>
        </is>
      </c>
      <c r="C33" s="3" t="inlineStr">
        <is>
          <t>As a user, I get notifications (in-app + email) for key Flaky-test detector events with per-type mute</t>
        </is>
      </c>
      <c r="D33" s="3" t="n">
        <v>3</v>
      </c>
      <c r="E33" s="3" t="inlineStr">
        <is>
          <t>P2</t>
        </is>
      </c>
      <c r="F33" s="3" t="inlineStr">
        <is>
          <t>S5</t>
        </is>
      </c>
      <c r="G33" s="6" t="inlineStr">
        <is>
          <t>Done</t>
        </is>
      </c>
    </row>
    <row r="34">
      <c r="A34" s="3" t="inlineStr">
        <is>
          <t>ST-031</t>
        </is>
      </c>
      <c r="B34" s="3" t="inlineStr">
        <is>
          <t>F4</t>
        </is>
      </c>
      <c r="C34" s="3" t="inlineStr">
        <is>
          <t>As a QA lead, I can set up Release readiness score with sensible defaults in one screen</t>
        </is>
      </c>
      <c r="D34" s="3" t="n">
        <v>5</v>
      </c>
      <c r="E34" s="3" t="inlineStr">
        <is>
          <t>P0</t>
        </is>
      </c>
      <c r="F34" s="3" t="inlineStr">
        <is>
          <t>S6</t>
        </is>
      </c>
      <c r="G34" s="6" t="inlineStr">
        <is>
          <t>Done</t>
        </is>
      </c>
    </row>
    <row r="35">
      <c r="A35" s="3" t="inlineStr">
        <is>
          <t>ST-032</t>
        </is>
      </c>
      <c r="B35" s="3" t="inlineStr">
        <is>
          <t>F4</t>
        </is>
      </c>
      <c r="C35" s="3" t="inlineStr">
        <is>
          <t>As a QA lead, the Release readiness score happy path completes without documentation</t>
        </is>
      </c>
      <c r="D35" s="3" t="n">
        <v>8</v>
      </c>
      <c r="E35" s="3" t="inlineStr">
        <is>
          <t>P0</t>
        </is>
      </c>
      <c r="F35" s="3" t="inlineStr">
        <is>
          <t>S6</t>
        </is>
      </c>
      <c r="G35" s="6" t="inlineStr">
        <is>
          <t>Done</t>
        </is>
      </c>
    </row>
    <row r="36">
      <c r="A36" s="3" t="inlineStr">
        <is>
          <t>ST-033</t>
        </is>
      </c>
      <c r="B36" s="3" t="inlineStr">
        <is>
          <t>F4</t>
        </is>
      </c>
      <c r="C36" s="3" t="inlineStr">
        <is>
          <t>As a Eng manager, I can customise Release readiness score rules/conditions for my workflow</t>
        </is>
      </c>
      <c r="D36" s="3" t="n">
        <v>5</v>
      </c>
      <c r="E36" s="3" t="inlineStr">
        <is>
          <t>P1</t>
        </is>
      </c>
      <c r="F36" s="3" t="inlineStr">
        <is>
          <t>S6</t>
        </is>
      </c>
      <c r="G36" s="6" t="inlineStr">
        <is>
          <t>Done</t>
        </is>
      </c>
    </row>
    <row r="37">
      <c r="A37" s="3" t="inlineStr">
        <is>
          <t>ST-034</t>
        </is>
      </c>
      <c r="B37" s="3" t="inlineStr">
        <is>
          <t>F4</t>
        </is>
      </c>
      <c r="C37" s="3" t="inlineStr">
        <is>
          <t>As a user, Release readiness score shows clear errors and retry paths on platform API failures</t>
        </is>
      </c>
      <c r="D37" s="3" t="n">
        <v>3</v>
      </c>
      <c r="E37" s="3" t="inlineStr">
        <is>
          <t>P0</t>
        </is>
      </c>
      <c r="F37" s="3" t="inlineStr">
        <is>
          <t>S6</t>
        </is>
      </c>
      <c r="G37" s="6" t="inlineStr">
        <is>
          <t>Done</t>
        </is>
      </c>
    </row>
    <row r="38">
      <c r="A38" s="3" t="inlineStr">
        <is>
          <t>ST-035</t>
        </is>
      </c>
      <c r="B38" s="3" t="inlineStr">
        <is>
          <t>F4</t>
        </is>
      </c>
      <c r="C38" s="3" t="inlineStr">
        <is>
          <t>As a Jira admin, Release readiness score works on the Forge app panel inside Jira surface end-to-end</t>
        </is>
      </c>
      <c r="D38" s="3" t="n">
        <v>5</v>
      </c>
      <c r="E38" s="3" t="inlineStr">
        <is>
          <t>P0</t>
        </is>
      </c>
      <c r="F38" s="3" t="inlineStr">
        <is>
          <t>S6</t>
        </is>
      </c>
      <c r="G38" s="7" t="inlineStr">
        <is>
          <t>Code-complete — pending live</t>
        </is>
      </c>
    </row>
    <row r="39">
      <c r="A39" s="3" t="inlineStr">
        <is>
          <t>ST-036</t>
        </is>
      </c>
      <c r="B39" s="3" t="inlineStr">
        <is>
          <t>F4</t>
        </is>
      </c>
      <c r="C39" s="3" t="inlineStr">
        <is>
          <t>As a Eng manager, I can see Release readiness score performance metrics and trends</t>
        </is>
      </c>
      <c r="D39" s="3" t="n">
        <v>3</v>
      </c>
      <c r="E39" s="3" t="inlineStr">
        <is>
          <t>P1</t>
        </is>
      </c>
      <c r="F39" s="3" t="inlineStr">
        <is>
          <t>S6</t>
        </is>
      </c>
      <c r="G39" s="6" t="inlineStr">
        <is>
          <t>Done</t>
        </is>
      </c>
    </row>
    <row r="40">
      <c r="A40" s="3" t="inlineStr">
        <is>
          <t>ST-037</t>
        </is>
      </c>
      <c r="B40" s="3" t="inlineStr">
        <is>
          <t>F4</t>
        </is>
      </c>
      <c r="C40" s="3" t="inlineStr">
        <is>
          <t>As a user, Release readiness score respects role permissions and audit logging</t>
        </is>
      </c>
      <c r="D40" s="3" t="n">
        <v>3</v>
      </c>
      <c r="E40" s="3" t="inlineStr">
        <is>
          <t>P1</t>
        </is>
      </c>
      <c r="F40" s="3" t="inlineStr">
        <is>
          <t>S6</t>
        </is>
      </c>
      <c r="G40" s="6" t="inlineStr">
        <is>
          <t>Done</t>
        </is>
      </c>
    </row>
    <row r="41">
      <c r="A41" s="3" t="inlineStr">
        <is>
          <t>ST-038</t>
        </is>
      </c>
      <c r="B41" s="3" t="inlineStr">
        <is>
          <t>F4</t>
        </is>
      </c>
      <c r="C41" s="3" t="inlineStr">
        <is>
          <t>As a QA lead, I can pause/disable Release readiness score without data loss</t>
        </is>
      </c>
      <c r="D41" s="3" t="n">
        <v>2</v>
      </c>
      <c r="E41" s="3" t="inlineStr">
        <is>
          <t>P2</t>
        </is>
      </c>
      <c r="F41" s="3" t="inlineStr">
        <is>
          <t>S6</t>
        </is>
      </c>
      <c r="G41" s="6" t="inlineStr">
        <is>
          <t>Done</t>
        </is>
      </c>
    </row>
    <row r="42">
      <c r="A42" s="3" t="inlineStr">
        <is>
          <t>ST-039</t>
        </is>
      </c>
      <c r="B42" s="3" t="inlineStr">
        <is>
          <t>F4</t>
        </is>
      </c>
      <c r="C42" s="3" t="inlineStr">
        <is>
          <t>As a Eng manager, I can import/migrate existing data into Release readiness score (CSV + competitor importer)</t>
        </is>
      </c>
      <c r="D42" s="3" t="n">
        <v>5</v>
      </c>
      <c r="E42" s="3" t="inlineStr">
        <is>
          <t>P1</t>
        </is>
      </c>
      <c r="F42" s="3" t="inlineStr">
        <is>
          <t>S6</t>
        </is>
      </c>
      <c r="G42" s="6" t="inlineStr">
        <is>
          <t>Done</t>
        </is>
      </c>
    </row>
    <row r="43">
      <c r="A43" s="3" t="inlineStr">
        <is>
          <t>ST-040</t>
        </is>
      </c>
      <c r="B43" s="3" t="inlineStr">
        <is>
          <t>F4</t>
        </is>
      </c>
      <c r="C43" s="3" t="inlineStr">
        <is>
          <t>As a user, I get notifications (in-app + email) for key Release readiness score events with per-type mute</t>
        </is>
      </c>
      <c r="D43" s="3" t="n">
        <v>3</v>
      </c>
      <c r="E43" s="3" t="inlineStr">
        <is>
          <t>P2</t>
        </is>
      </c>
      <c r="F43" s="3" t="inlineStr">
        <is>
          <t>S6</t>
        </is>
      </c>
      <c r="G43" s="6" t="inlineStr">
        <is>
          <t>Done</t>
        </is>
      </c>
    </row>
    <row r="44">
      <c r="A44" s="3" t="inlineStr">
        <is>
          <t>ST-041</t>
        </is>
      </c>
      <c r="B44" s="3" t="inlineStr">
        <is>
          <t>F5</t>
        </is>
      </c>
      <c r="C44" s="3" t="inlineStr">
        <is>
          <t>As a QA lead, I can set up Xray importer with sensible defaults in one screen</t>
        </is>
      </c>
      <c r="D44" s="3" t="n">
        <v>5</v>
      </c>
      <c r="E44" s="3" t="inlineStr">
        <is>
          <t>P0</t>
        </is>
      </c>
      <c r="F44" s="3" t="inlineStr">
        <is>
          <t>S8</t>
        </is>
      </c>
      <c r="G44" s="6" t="inlineStr">
        <is>
          <t>Done</t>
        </is>
      </c>
    </row>
    <row r="45">
      <c r="A45" s="3" t="inlineStr">
        <is>
          <t>ST-042</t>
        </is>
      </c>
      <c r="B45" s="3" t="inlineStr">
        <is>
          <t>F5</t>
        </is>
      </c>
      <c r="C45" s="3" t="inlineStr">
        <is>
          <t>As a QA lead, the Xray importer happy path completes without documentation</t>
        </is>
      </c>
      <c r="D45" s="3" t="n">
        <v>8</v>
      </c>
      <c r="E45" s="3" t="inlineStr">
        <is>
          <t>P0</t>
        </is>
      </c>
      <c r="F45" s="3" t="inlineStr">
        <is>
          <t>S8</t>
        </is>
      </c>
      <c r="G45" s="6" t="inlineStr">
        <is>
          <t>Done</t>
        </is>
      </c>
    </row>
    <row r="46">
      <c r="A46" s="3" t="inlineStr">
        <is>
          <t>ST-043</t>
        </is>
      </c>
      <c r="B46" s="3" t="inlineStr">
        <is>
          <t>F5</t>
        </is>
      </c>
      <c r="C46" s="3" t="inlineStr">
        <is>
          <t>As a Eng manager, I can customise Xray importer rules/conditions for my workflow</t>
        </is>
      </c>
      <c r="D46" s="3" t="n">
        <v>5</v>
      </c>
      <c r="E46" s="3" t="inlineStr">
        <is>
          <t>P1</t>
        </is>
      </c>
      <c r="F46" s="3" t="inlineStr">
        <is>
          <t>S8</t>
        </is>
      </c>
      <c r="G46" s="6" t="inlineStr">
        <is>
          <t>Done</t>
        </is>
      </c>
    </row>
    <row r="47">
      <c r="A47" s="3" t="inlineStr">
        <is>
          <t>ST-044</t>
        </is>
      </c>
      <c r="B47" s="3" t="inlineStr">
        <is>
          <t>F5</t>
        </is>
      </c>
      <c r="C47" s="3" t="inlineStr">
        <is>
          <t>As a user, Xray importer shows clear errors and retry paths on platform API failures</t>
        </is>
      </c>
      <c r="D47" s="3" t="n">
        <v>3</v>
      </c>
      <c r="E47" s="3" t="inlineStr">
        <is>
          <t>P0</t>
        </is>
      </c>
      <c r="F47" s="3" t="inlineStr">
        <is>
          <t>S8</t>
        </is>
      </c>
      <c r="G47" s="6" t="inlineStr">
        <is>
          <t>Done</t>
        </is>
      </c>
    </row>
    <row r="48">
      <c r="A48" s="3" t="inlineStr">
        <is>
          <t>ST-045</t>
        </is>
      </c>
      <c r="B48" s="3" t="inlineStr">
        <is>
          <t>F5</t>
        </is>
      </c>
      <c r="C48" s="3" t="inlineStr">
        <is>
          <t>As a Jira admin, Xray importer works on the Forge app panel inside Jira surface end-to-end</t>
        </is>
      </c>
      <c r="D48" s="3" t="n">
        <v>5</v>
      </c>
      <c r="E48" s="3" t="inlineStr">
        <is>
          <t>P0</t>
        </is>
      </c>
      <c r="F48" s="3" t="inlineStr">
        <is>
          <t>S8</t>
        </is>
      </c>
      <c r="G48" s="7" t="inlineStr">
        <is>
          <t>Code-complete — pending live</t>
        </is>
      </c>
    </row>
    <row r="49">
      <c r="A49" s="3" t="inlineStr">
        <is>
          <t>ST-046</t>
        </is>
      </c>
      <c r="B49" s="3" t="inlineStr">
        <is>
          <t>F5</t>
        </is>
      </c>
      <c r="C49" s="3" t="inlineStr">
        <is>
          <t>As a Eng manager, I can see Xray importer performance metrics and trends</t>
        </is>
      </c>
      <c r="D49" s="3" t="n">
        <v>3</v>
      </c>
      <c r="E49" s="3" t="inlineStr">
        <is>
          <t>P1</t>
        </is>
      </c>
      <c r="F49" s="3" t="inlineStr">
        <is>
          <t>S8</t>
        </is>
      </c>
      <c r="G49" s="6" t="inlineStr">
        <is>
          <t>Done</t>
        </is>
      </c>
    </row>
    <row r="50">
      <c r="A50" s="3" t="inlineStr">
        <is>
          <t>ST-047</t>
        </is>
      </c>
      <c r="B50" s="3" t="inlineStr">
        <is>
          <t>F5</t>
        </is>
      </c>
      <c r="C50" s="3" t="inlineStr">
        <is>
          <t>As a user, Xray importer respects role permissions and audit logging</t>
        </is>
      </c>
      <c r="D50" s="3" t="n">
        <v>3</v>
      </c>
      <c r="E50" s="3" t="inlineStr">
        <is>
          <t>P1</t>
        </is>
      </c>
      <c r="F50" s="3" t="inlineStr">
        <is>
          <t>S8</t>
        </is>
      </c>
      <c r="G50" s="6" t="inlineStr">
        <is>
          <t>Done</t>
        </is>
      </c>
    </row>
    <row r="51">
      <c r="A51" s="3" t="inlineStr">
        <is>
          <t>ST-048</t>
        </is>
      </c>
      <c r="B51" s="3" t="inlineStr">
        <is>
          <t>F5</t>
        </is>
      </c>
      <c r="C51" s="3" t="inlineStr">
        <is>
          <t>As a QA lead, I can pause/disable Xray importer without data loss</t>
        </is>
      </c>
      <c r="D51" s="3" t="n">
        <v>2</v>
      </c>
      <c r="E51" s="3" t="inlineStr">
        <is>
          <t>P2</t>
        </is>
      </c>
      <c r="F51" s="3" t="inlineStr">
        <is>
          <t>S8</t>
        </is>
      </c>
      <c r="G51" s="6" t="inlineStr">
        <is>
          <t>Done</t>
        </is>
      </c>
    </row>
    <row r="52">
      <c r="A52" s="3" t="inlineStr">
        <is>
          <t>ST-049</t>
        </is>
      </c>
      <c r="B52" s="3" t="inlineStr">
        <is>
          <t>F5</t>
        </is>
      </c>
      <c r="C52" s="3" t="inlineStr">
        <is>
          <t>As a Eng manager, I can import/migrate existing data into Xray importer (CSV + competitor importer)</t>
        </is>
      </c>
      <c r="D52" s="3" t="n">
        <v>5</v>
      </c>
      <c r="E52" s="3" t="inlineStr">
        <is>
          <t>P1</t>
        </is>
      </c>
      <c r="F52" s="3" t="inlineStr">
        <is>
          <t>S8</t>
        </is>
      </c>
      <c r="G52" s="6" t="inlineStr">
        <is>
          <t>Done</t>
        </is>
      </c>
    </row>
    <row r="53">
      <c r="A53" s="3" t="inlineStr">
        <is>
          <t>ST-050</t>
        </is>
      </c>
      <c r="B53" s="3" t="inlineStr">
        <is>
          <t>F5</t>
        </is>
      </c>
      <c r="C53" s="3" t="inlineStr">
        <is>
          <t>As a user, I get notifications (in-app + email) for key Xray importer events with per-type mute</t>
        </is>
      </c>
      <c r="D53" s="3" t="n">
        <v>3</v>
      </c>
      <c r="E53" s="3" t="inlineStr">
        <is>
          <t>P2</t>
        </is>
      </c>
      <c r="F53" s="3" t="inlineStr">
        <is>
          <t>S8</t>
        </is>
      </c>
      <c r="G53" s="6" t="inlineStr">
        <is>
          <t>Done</t>
        </is>
      </c>
    </row>
    <row r="54">
      <c r="A54" s="3" t="inlineStr">
        <is>
          <t>ST-051</t>
        </is>
      </c>
      <c r="B54" s="3" t="inlineStr">
        <is>
          <t>E1</t>
        </is>
      </c>
      <c r="C54" s="3" t="inlineStr">
        <is>
          <t>Marketplace OAuth install completes and lands on welcome state in &lt;2 min</t>
        </is>
      </c>
      <c r="D54" s="3" t="n">
        <v>5</v>
      </c>
      <c r="E54" s="3" t="inlineStr">
        <is>
          <t>P0</t>
        </is>
      </c>
      <c r="F54" s="3" t="inlineStr">
        <is>
          <t>S1</t>
        </is>
      </c>
      <c r="G54" s="6" t="inlineStr">
        <is>
          <t>Done</t>
        </is>
      </c>
    </row>
    <row r="55">
      <c r="A55" s="3" t="inlineStr">
        <is>
          <t>ST-052</t>
        </is>
      </c>
      <c r="B55" s="3" t="inlineStr">
        <is>
          <t>E1</t>
        </is>
      </c>
      <c r="C55" s="3" t="inlineStr">
        <is>
          <t>Uninstall webhook removes tokens, schedules data deletion per policy</t>
        </is>
      </c>
      <c r="D55" s="3" t="n">
        <v>3</v>
      </c>
      <c r="E55" s="3" t="inlineStr">
        <is>
          <t>P0</t>
        </is>
      </c>
      <c r="F55" s="3" t="inlineStr">
        <is>
          <t>S1</t>
        </is>
      </c>
      <c r="G55" s="6" t="inlineStr">
        <is>
          <t>Done</t>
        </is>
      </c>
    </row>
    <row r="56">
      <c r="A56" s="3" t="inlineStr">
        <is>
          <t>ST-053</t>
        </is>
      </c>
      <c r="B56" s="3" t="inlineStr">
        <is>
          <t>E1</t>
        </is>
      </c>
      <c r="C56" s="3" t="inlineStr">
        <is>
          <t>Re-install restores account within retention window</t>
        </is>
      </c>
      <c r="D56" s="3" t="n">
        <v>3</v>
      </c>
      <c r="E56" s="3" t="inlineStr">
        <is>
          <t>P1</t>
        </is>
      </c>
      <c r="F56" s="3" t="inlineStr">
        <is>
          <t>S2</t>
        </is>
      </c>
      <c r="G56" s="6" t="inlineStr">
        <is>
          <t>Done</t>
        </is>
      </c>
    </row>
    <row r="57">
      <c r="A57" s="3" t="inlineStr">
        <is>
          <t>ST-054</t>
        </is>
      </c>
      <c r="B57" s="3" t="inlineStr">
        <is>
          <t>E1</t>
        </is>
      </c>
      <c r="C57" s="3" t="inlineStr">
        <is>
          <t>Multi-user roles: owner/admin/member permission matrix enforced</t>
        </is>
      </c>
      <c r="D57" s="3" t="n">
        <v>5</v>
      </c>
      <c r="E57" s="3" t="inlineStr">
        <is>
          <t>P0</t>
        </is>
      </c>
      <c r="F57" s="3" t="inlineStr">
        <is>
          <t>S2</t>
        </is>
      </c>
      <c r="G57" s="6" t="inlineStr">
        <is>
          <t>Done</t>
        </is>
      </c>
    </row>
    <row r="58">
      <c r="A58" s="3" t="inlineStr">
        <is>
          <t>ST-055</t>
        </is>
      </c>
      <c r="B58" s="3" t="inlineStr">
        <is>
          <t>E1</t>
        </is>
      </c>
      <c r="C58" s="3" t="inlineStr">
        <is>
          <t>Session/token refresh survives platform token rotation</t>
        </is>
      </c>
      <c r="D58" s="3" t="n">
        <v>3</v>
      </c>
      <c r="E58" s="3" t="inlineStr">
        <is>
          <t>P0</t>
        </is>
      </c>
      <c r="F58" s="3" t="inlineStr">
        <is>
          <t>S1</t>
        </is>
      </c>
      <c r="G58" s="3" t="inlineStr">
        <is>
          <t>N/A — platform owns it</t>
        </is>
      </c>
    </row>
    <row r="59">
      <c r="A59" s="3" t="inlineStr">
        <is>
          <t>ST-056</t>
        </is>
      </c>
      <c r="B59" s="3" t="inlineStr">
        <is>
          <t>E1</t>
        </is>
      </c>
      <c r="C59" s="3" t="inlineStr">
        <is>
          <t>Install telemetry: source attribution (listing/search/referral) captured</t>
        </is>
      </c>
      <c r="D59" s="3" t="n">
        <v>2</v>
      </c>
      <c r="E59" s="3" t="inlineStr">
        <is>
          <t>P1</t>
        </is>
      </c>
      <c r="F59" s="3" t="inlineStr">
        <is>
          <t>S1</t>
        </is>
      </c>
      <c r="G59" s="6" t="inlineStr">
        <is>
          <t>Done</t>
        </is>
      </c>
    </row>
    <row r="60">
      <c r="A60" s="3" t="inlineStr">
        <is>
          <t>ST-057</t>
        </is>
      </c>
      <c r="B60" s="3" t="inlineStr">
        <is>
          <t>E5</t>
        </is>
      </c>
      <c r="C60" s="3" t="inlineStr">
        <is>
          <t>14-day trial without card; banner shows days remaining</t>
        </is>
      </c>
      <c r="D60" s="3" t="n">
        <v>5</v>
      </c>
      <c r="E60" s="3" t="inlineStr">
        <is>
          <t>P0</t>
        </is>
      </c>
      <c r="F60" s="3" t="inlineStr">
        <is>
          <t>S6</t>
        </is>
      </c>
      <c r="G60" s="6" t="inlineStr">
        <is>
          <t>Done</t>
        </is>
      </c>
    </row>
    <row r="61">
      <c r="A61" s="3" t="inlineStr">
        <is>
          <t>ST-058</t>
        </is>
      </c>
      <c r="B61" s="3" t="inlineStr">
        <is>
          <t>E5</t>
        </is>
      </c>
      <c r="C61" s="3" t="inlineStr">
        <is>
          <t>Upgrade/downgrade mid-cycle prorates correctly</t>
        </is>
      </c>
      <c r="D61" s="3" t="n">
        <v>5</v>
      </c>
      <c r="E61" s="3" t="inlineStr">
        <is>
          <t>P0</t>
        </is>
      </c>
      <c r="F61" s="3" t="inlineStr">
        <is>
          <t>S6</t>
        </is>
      </c>
      <c r="G61" s="6" t="inlineStr">
        <is>
          <t>Done</t>
        </is>
      </c>
    </row>
    <row r="62">
      <c r="A62" s="3" t="inlineStr">
        <is>
          <t>ST-059</t>
        </is>
      </c>
      <c r="B62" s="3" t="inlineStr">
        <is>
          <t>E5</t>
        </is>
      </c>
      <c r="C62" s="3" t="inlineStr">
        <is>
          <t>Marketplace billing API used where mandated; external Stripe fallback elsewhere</t>
        </is>
      </c>
      <c r="D62" s="3" t="n">
        <v>8</v>
      </c>
      <c r="E62" s="3" t="inlineStr">
        <is>
          <t>P0</t>
        </is>
      </c>
      <c r="F62" s="3" t="inlineStr">
        <is>
          <t>S6</t>
        </is>
      </c>
      <c r="G62" s="7" t="inlineStr">
        <is>
          <t>Code-complete — pending live</t>
        </is>
      </c>
    </row>
    <row r="63">
      <c r="A63" s="3" t="inlineStr">
        <is>
          <t>ST-060</t>
        </is>
      </c>
      <c r="B63" s="3" t="inlineStr">
        <is>
          <t>E5</t>
        </is>
      </c>
      <c r="C63" s="3" t="inlineStr">
        <is>
          <t>Failed payment: 7-day grace, 3 dunning emails, then read-only mode</t>
        </is>
      </c>
      <c r="D63" s="3" t="n">
        <v>3</v>
      </c>
      <c r="E63" s="3" t="inlineStr">
        <is>
          <t>P1</t>
        </is>
      </c>
      <c r="F63" s="3" t="inlineStr">
        <is>
          <t>S7</t>
        </is>
      </c>
      <c r="G63" s="6" t="inlineStr">
        <is>
          <t>Done</t>
        </is>
      </c>
    </row>
    <row r="64">
      <c r="A64" s="3" t="inlineStr">
        <is>
          <t>ST-061</t>
        </is>
      </c>
      <c r="B64" s="3" t="inlineStr">
        <is>
          <t>E5</t>
        </is>
      </c>
      <c r="C64" s="3" t="inlineStr">
        <is>
          <t>Plan limits enforced with upgrade prompts at 80%/100%</t>
        </is>
      </c>
      <c r="D64" s="3" t="n">
        <v>3</v>
      </c>
      <c r="E64" s="3" t="inlineStr">
        <is>
          <t>P1</t>
        </is>
      </c>
      <c r="F64" s="3" t="inlineStr">
        <is>
          <t>S7</t>
        </is>
      </c>
      <c r="G64" s="6" t="inlineStr">
        <is>
          <t>Done</t>
        </is>
      </c>
    </row>
    <row r="65">
      <c r="A65" s="3" t="inlineStr">
        <is>
          <t>ST-062</t>
        </is>
      </c>
      <c r="B65" s="3" t="inlineStr">
        <is>
          <t>E5</t>
        </is>
      </c>
      <c r="C65" s="3" t="inlineStr">
        <is>
          <t>Invoices/receipts downloadable; GST/VAT fields supported</t>
        </is>
      </c>
      <c r="D65" s="3" t="n">
        <v>3</v>
      </c>
      <c r="E65" s="3" t="inlineStr">
        <is>
          <t>P2</t>
        </is>
      </c>
      <c r="F65" s="3" t="inlineStr">
        <is>
          <t>S7</t>
        </is>
      </c>
      <c r="G65" s="6" t="inlineStr">
        <is>
          <t>Done</t>
        </is>
      </c>
    </row>
    <row r="66">
      <c r="A66" s="3" t="inlineStr">
        <is>
          <t>ST-063</t>
        </is>
      </c>
      <c r="B66" s="3" t="inlineStr">
        <is>
          <t>E5</t>
        </is>
      </c>
      <c r="C66" s="3" t="inlineStr">
        <is>
          <t>Cancellation flow with save-offer and exit survey</t>
        </is>
      </c>
      <c r="D66" s="3" t="n">
        <v>3</v>
      </c>
      <c r="E66" s="3" t="inlineStr">
        <is>
          <t>P1</t>
        </is>
      </c>
      <c r="F66" s="3" t="inlineStr">
        <is>
          <t>S7</t>
        </is>
      </c>
      <c r="G66" s="6" t="inlineStr">
        <is>
          <t>Done</t>
        </is>
      </c>
    </row>
    <row r="67">
      <c r="A67" s="3" t="inlineStr">
        <is>
          <t>ST-064</t>
        </is>
      </c>
      <c r="B67" s="3" t="inlineStr">
        <is>
          <t>E6</t>
        </is>
      </c>
      <c r="C67" s="3" t="inlineStr">
        <is>
          <t>Scopes requested map 1:1 to shipped features (least privilege doc)</t>
        </is>
      </c>
      <c r="D67" s="3" t="n">
        <v>3</v>
      </c>
      <c r="E67" s="3" t="inlineStr">
        <is>
          <t>P0</t>
        </is>
      </c>
      <c r="F67" s="3" t="inlineStr">
        <is>
          <t>S7</t>
        </is>
      </c>
      <c r="G67" s="6" t="inlineStr">
        <is>
          <t>Done</t>
        </is>
      </c>
    </row>
    <row r="68">
      <c r="A68" s="3" t="inlineStr">
        <is>
          <t>ST-065</t>
        </is>
      </c>
      <c r="B68" s="3" t="inlineStr">
        <is>
          <t>E6</t>
        </is>
      </c>
      <c r="C68" s="3" t="inlineStr">
        <is>
          <t>Data-flow diagram + retention policy published</t>
        </is>
      </c>
      <c r="D68" s="3" t="n">
        <v>3</v>
      </c>
      <c r="E68" s="3" t="inlineStr">
        <is>
          <t>P0</t>
        </is>
      </c>
      <c r="F68" s="3" t="inlineStr">
        <is>
          <t>S8</t>
        </is>
      </c>
      <c r="G68" s="6" t="inlineStr">
        <is>
          <t>Done</t>
        </is>
      </c>
    </row>
    <row r="69">
      <c r="A69" s="3" t="inlineStr">
        <is>
          <t>ST-066</t>
        </is>
      </c>
      <c r="B69" s="3" t="inlineStr">
        <is>
          <t>E6</t>
        </is>
      </c>
      <c r="C69" s="3" t="inlineStr">
        <is>
          <t>Encryption at rest + in transit verified; secrets in vault</t>
        </is>
      </c>
      <c r="D69" s="3" t="n">
        <v>5</v>
      </c>
      <c r="E69" s="3" t="inlineStr">
        <is>
          <t>P0</t>
        </is>
      </c>
      <c r="F69" s="3" t="inlineStr">
        <is>
          <t>S8</t>
        </is>
      </c>
      <c r="G69" s="7" t="inlineStr">
        <is>
          <t>Code-complete — pending live</t>
        </is>
      </c>
    </row>
    <row r="70">
      <c r="A70" s="3" t="inlineStr">
        <is>
          <t>ST-067</t>
        </is>
      </c>
      <c r="B70" s="3" t="inlineStr">
        <is>
          <t>E6</t>
        </is>
      </c>
      <c r="C70" s="3" t="inlineStr">
        <is>
          <t>Audit log for admin-sensitive actions</t>
        </is>
      </c>
      <c r="D70" s="3" t="n">
        <v>5</v>
      </c>
      <c r="E70" s="3" t="inlineStr">
        <is>
          <t>P1</t>
        </is>
      </c>
      <c r="F70" s="3" t="inlineStr">
        <is>
          <t>S8</t>
        </is>
      </c>
      <c r="G70" s="6" t="inlineStr">
        <is>
          <t>Done</t>
        </is>
      </c>
    </row>
    <row r="71">
      <c r="A71" s="3" t="inlineStr">
        <is>
          <t>ST-068</t>
        </is>
      </c>
      <c r="B71" s="3" t="inlineStr">
        <is>
          <t>E6</t>
        </is>
      </c>
      <c r="C71" s="3" t="inlineStr">
        <is>
          <t>Pen-test (or platform-required evidence) completed and archived</t>
        </is>
      </c>
      <c r="D71" s="3" t="n">
        <v>8</v>
      </c>
      <c r="E71" s="3" t="inlineStr">
        <is>
          <t>P0</t>
        </is>
      </c>
      <c r="F71" s="3" t="inlineStr">
        <is>
          <t>S9</t>
        </is>
      </c>
      <c r="G71" s="3" t="inlineStr">
        <is>
          <t>Backlog — AEC 1.1 + 1.2 (procurement)</t>
        </is>
      </c>
    </row>
    <row r="72">
      <c r="A72" s="3" t="inlineStr">
        <is>
          <t>ST-069</t>
        </is>
      </c>
      <c r="B72" s="3" t="inlineStr">
        <is>
          <t>E6</t>
        </is>
      </c>
      <c r="C72" s="3" t="inlineStr">
        <is>
          <t>Data export + delete-my-data self-serve</t>
        </is>
      </c>
      <c r="D72" s="3" t="n">
        <v>5</v>
      </c>
      <c r="E72" s="3" t="inlineStr">
        <is>
          <t>P0</t>
        </is>
      </c>
      <c r="F72" s="3" t="inlineStr">
        <is>
          <t>S9</t>
        </is>
      </c>
      <c r="G72" s="6" t="inlineStr">
        <is>
          <t>Done</t>
        </is>
      </c>
    </row>
    <row r="73">
      <c r="A73" s="3" t="inlineStr">
        <is>
          <t>ST-070</t>
        </is>
      </c>
      <c r="B73" s="3" t="inlineStr">
        <is>
          <t>E6</t>
        </is>
      </c>
      <c r="C73" s="3" t="inlineStr">
        <is>
          <t>Rate-limit backoff + circuit breaker on platform APIs</t>
        </is>
      </c>
      <c r="D73" s="3" t="n">
        <v>5</v>
      </c>
      <c r="E73" s="3" t="inlineStr">
        <is>
          <t>P0</t>
        </is>
      </c>
      <c r="F73" s="3" t="inlineStr">
        <is>
          <t>S8</t>
        </is>
      </c>
      <c r="G73" s="6" t="inlineStr">
        <is>
          <t>Done</t>
        </is>
      </c>
    </row>
    <row r="74">
      <c r="A74" s="3" t="inlineStr">
        <is>
          <t>ST-071</t>
        </is>
      </c>
      <c r="B74" s="3" t="inlineStr">
        <is>
          <t>E7</t>
        </is>
      </c>
      <c r="C74" s="3" t="inlineStr">
        <is>
          <t>Activation funnel events (install-&gt;setup-&gt;aha-&gt;habit) in one dashboard</t>
        </is>
      </c>
      <c r="D74" s="3" t="n">
        <v>5</v>
      </c>
      <c r="E74" s="3" t="inlineStr">
        <is>
          <t>P0</t>
        </is>
      </c>
      <c r="F74" s="3" t="inlineStr">
        <is>
          <t>S4</t>
        </is>
      </c>
      <c r="G74" s="6" t="inlineStr">
        <is>
          <t>Done</t>
        </is>
      </c>
    </row>
    <row r="75">
      <c r="A75" s="3" t="inlineStr">
        <is>
          <t>ST-072</t>
        </is>
      </c>
      <c r="B75" s="3" t="inlineStr">
        <is>
          <t>E7</t>
        </is>
      </c>
      <c r="C75" s="3" t="inlineStr">
        <is>
          <t>Error tracking with release tagging; alert on error-rate spike</t>
        </is>
      </c>
      <c r="D75" s="3" t="n">
        <v>3</v>
      </c>
      <c r="E75" s="3" t="inlineStr">
        <is>
          <t>P0</t>
        </is>
      </c>
      <c r="F75" s="3" t="inlineStr">
        <is>
          <t>S4</t>
        </is>
      </c>
      <c r="G75" s="6" t="inlineStr">
        <is>
          <t>Done</t>
        </is>
      </c>
    </row>
    <row r="76">
      <c r="A76" s="3" t="inlineStr">
        <is>
          <t>ST-073</t>
        </is>
      </c>
      <c r="B76" s="3" t="inlineStr">
        <is>
          <t>E7</t>
        </is>
      </c>
      <c r="C76" s="3" t="inlineStr">
        <is>
          <t>Feature-usage heatmap for roadmap decisions</t>
        </is>
      </c>
      <c r="D76" s="3" t="n">
        <v>3</v>
      </c>
      <c r="E76" s="3" t="inlineStr">
        <is>
          <t>P2</t>
        </is>
      </c>
      <c r="F76" s="3" t="inlineStr">
        <is>
          <t>S8</t>
        </is>
      </c>
      <c r="G76" s="6" t="inlineStr">
        <is>
          <t>Done</t>
        </is>
      </c>
    </row>
    <row r="77">
      <c r="A77" s="3" t="inlineStr">
        <is>
          <t>ST-074</t>
        </is>
      </c>
      <c r="B77" s="3" t="inlineStr">
        <is>
          <t>E7</t>
        </is>
      </c>
      <c r="C77" s="3" t="inlineStr">
        <is>
          <t>Weekly automated metrics email to team</t>
        </is>
      </c>
      <c r="D77" s="3" t="n">
        <v>2</v>
      </c>
      <c r="E77" s="3" t="inlineStr">
        <is>
          <t>P2</t>
        </is>
      </c>
      <c r="F77" s="3" t="inlineStr">
        <is>
          <t>S8</t>
        </is>
      </c>
      <c r="G77" s="6" t="inlineStr">
        <is>
          <t>Done</t>
        </is>
      </c>
    </row>
    <row r="78">
      <c r="A78" s="3" t="inlineStr">
        <is>
          <t>ST-075</t>
        </is>
      </c>
      <c r="B78" s="3" t="inlineStr">
        <is>
          <t>E7</t>
        </is>
      </c>
      <c r="C78" s="3" t="inlineStr">
        <is>
          <t>Health score computed per account (usage+billing+support)</t>
        </is>
      </c>
      <c r="D78" s="3" t="n">
        <v>5</v>
      </c>
      <c r="E78" s="3" t="inlineStr">
        <is>
          <t>P1</t>
        </is>
      </c>
      <c r="F78" s="3" t="inlineStr">
        <is>
          <t>S8</t>
        </is>
      </c>
      <c r="G78" s="6" t="inlineStr">
        <is>
          <t>Done</t>
        </is>
      </c>
    </row>
    <row r="79">
      <c r="A79" s="3" t="inlineStr">
        <is>
          <t>ST-076</t>
        </is>
      </c>
      <c r="B79" s="3" t="inlineStr">
        <is>
          <t>E7</t>
        </is>
      </c>
      <c r="C79" s="3" t="inlineStr">
        <is>
          <t>Metrics export to CSV/warehouse for founder analysis</t>
        </is>
      </c>
      <c r="D79" s="3" t="n">
        <v>3</v>
      </c>
      <c r="E79" s="3" t="inlineStr">
        <is>
          <t>P2</t>
        </is>
      </c>
      <c r="F79" s="3" t="inlineStr">
        <is>
          <t>S8</t>
        </is>
      </c>
      <c r="G79" s="6" t="inlineStr">
        <is>
          <t>Done</t>
        </is>
      </c>
    </row>
    <row r="80">
      <c r="A80" s="3" t="inlineStr">
        <is>
          <t>ST-077</t>
        </is>
      </c>
      <c r="B80" s="3" t="inlineStr">
        <is>
          <t>E7</t>
        </is>
      </c>
      <c r="C80" s="3" t="inlineStr">
        <is>
          <t>Alert thresholds configurable (activation drop, error spike, churn signal)</t>
        </is>
      </c>
      <c r="D80" s="3" t="n">
        <v>3</v>
      </c>
      <c r="E80" s="3" t="inlineStr">
        <is>
          <t>P2</t>
        </is>
      </c>
      <c r="F80" s="3" t="inlineStr">
        <is>
          <t>S8</t>
        </is>
      </c>
      <c r="G80" s="6" t="inlineStr">
        <is>
          <t>Done</t>
        </is>
      </c>
    </row>
    <row r="81">
      <c r="A81" s="3" t="inlineStr">
        <is>
          <t>ST-078</t>
        </is>
      </c>
      <c r="B81" s="3" t="inlineStr">
        <is>
          <t>E8</t>
        </is>
      </c>
      <c r="C81" s="3" t="inlineStr">
        <is>
          <t>First-run checklist reaches aha-moment in &lt;1 day</t>
        </is>
      </c>
      <c r="D81" s="3" t="n">
        <v>5</v>
      </c>
      <c r="E81" s="3" t="inlineStr">
        <is>
          <t>P0</t>
        </is>
      </c>
      <c r="F81" s="3" t="inlineStr">
        <is>
          <t>S5</t>
        </is>
      </c>
      <c r="G81" s="6" t="inlineStr">
        <is>
          <t>Done</t>
        </is>
      </c>
    </row>
    <row r="82">
      <c r="A82" s="3" t="inlineStr">
        <is>
          <t>ST-079</t>
        </is>
      </c>
      <c r="B82" s="3" t="inlineStr">
        <is>
          <t>E8</t>
        </is>
      </c>
      <c r="C82" s="3" t="inlineStr">
        <is>
          <t>Empty states teach next action on every screen</t>
        </is>
      </c>
      <c r="D82" s="3" t="n">
        <v>3</v>
      </c>
      <c r="E82" s="3" t="inlineStr">
        <is>
          <t>P1</t>
        </is>
      </c>
      <c r="F82" s="3" t="inlineStr">
        <is>
          <t>S5</t>
        </is>
      </c>
      <c r="G82" s="6" t="inlineStr">
        <is>
          <t>Done</t>
        </is>
      </c>
    </row>
    <row r="83">
      <c r="A83" s="3" t="inlineStr">
        <is>
          <t>ST-080</t>
        </is>
      </c>
      <c r="B83" s="3" t="inlineStr">
        <is>
          <t>E8</t>
        </is>
      </c>
      <c r="C83" s="3" t="inlineStr">
        <is>
          <t>Help center with 15 launch articles + search</t>
        </is>
      </c>
      <c r="D83" s="3" t="n">
        <v>5</v>
      </c>
      <c r="E83" s="3" t="inlineStr">
        <is>
          <t>P1</t>
        </is>
      </c>
      <c r="F83" s="3" t="inlineStr">
        <is>
          <t>S10</t>
        </is>
      </c>
      <c r="G83" s="6" t="inlineStr">
        <is>
          <t>Done</t>
        </is>
      </c>
    </row>
    <row r="84">
      <c r="A84" s="3" t="inlineStr">
        <is>
          <t>ST-081</t>
        </is>
      </c>
      <c r="B84" s="3" t="inlineStr">
        <is>
          <t>E8</t>
        </is>
      </c>
      <c r="C84" s="3" t="inlineStr">
        <is>
          <t>In-app chat with &lt;4 business-hr first response</t>
        </is>
      </c>
      <c r="D84" s="3" t="n">
        <v>3</v>
      </c>
      <c r="E84" s="3" t="inlineStr">
        <is>
          <t>P0</t>
        </is>
      </c>
      <c r="F84" s="3" t="inlineStr">
        <is>
          <t>S10</t>
        </is>
      </c>
      <c r="G84" s="7" t="inlineStr">
        <is>
          <t>Code-complete — pending live</t>
        </is>
      </c>
    </row>
    <row r="85">
      <c r="A85" s="3" t="inlineStr">
        <is>
          <t>ST-082</t>
        </is>
      </c>
      <c r="B85" s="3" t="inlineStr">
        <is>
          <t>E8</t>
        </is>
      </c>
      <c r="C85" s="3" t="inlineStr">
        <is>
          <t>In-app review ask after aha-moment (marketplace rating engine)</t>
        </is>
      </c>
      <c r="D85" s="3" t="n">
        <v>3</v>
      </c>
      <c r="E85" s="3" t="inlineStr">
        <is>
          <t>P1</t>
        </is>
      </c>
      <c r="F85" s="3" t="inlineStr">
        <is>
          <t>S11</t>
        </is>
      </c>
      <c r="G85" s="7" t="inlineStr">
        <is>
          <t>Code-complete — pending live</t>
        </is>
      </c>
    </row>
    <row r="86">
      <c r="A86" s="3" t="inlineStr">
        <is>
          <t>ST-083</t>
        </is>
      </c>
      <c r="B86" s="3" t="inlineStr">
        <is>
          <t>E8</t>
        </is>
      </c>
      <c r="C86" s="3" t="inlineStr">
        <is>
          <t>Demo video (2 min) + interactive sandbox/demo data mode</t>
        </is>
      </c>
      <c r="D86" s="3" t="n">
        <v>5</v>
      </c>
      <c r="E86" s="3" t="inlineStr">
        <is>
          <t>P1</t>
        </is>
      </c>
      <c r="F86" s="3" t="inlineStr">
        <is>
          <t>S10</t>
        </is>
      </c>
      <c r="G86" s="7" t="inlineStr">
        <is>
          <t>Code-complete — pending live</t>
        </is>
      </c>
    </row>
    <row r="87">
      <c r="A87" s="3" t="inlineStr">
        <is>
          <t>ST-084</t>
        </is>
      </c>
      <c r="B87" s="3" t="inlineStr">
        <is>
          <t>E8</t>
        </is>
      </c>
      <c r="C87" s="3" t="inlineStr">
        <is>
          <t>Status page + incident comms template</t>
        </is>
      </c>
      <c r="D87" s="3" t="n">
        <v>2</v>
      </c>
      <c r="E87" s="3" t="inlineStr">
        <is>
          <t>P2</t>
        </is>
      </c>
      <c r="F87" s="3" t="inlineStr">
        <is>
          <t>S10</t>
        </is>
      </c>
      <c r="G87" s="6" t="inlineStr">
        <is>
          <t>Done</t>
        </is>
      </c>
    </row>
    <row r="88">
      <c r="A88" s="3" t="inlineStr">
        <is>
          <t>ST-085</t>
        </is>
      </c>
      <c r="B88" s="3" t="inlineStr">
        <is>
          <t>EQ</t>
        </is>
      </c>
      <c r="C88" s="3" t="inlineStr">
        <is>
          <t>Unit+integration test coverage gate ≥70% on core modules</t>
        </is>
      </c>
      <c r="D88" s="3" t="n">
        <v>5</v>
      </c>
      <c r="E88" s="3" t="inlineStr">
        <is>
          <t>P0</t>
        </is>
      </c>
      <c r="F88" s="3" t="inlineStr">
        <is>
          <t>S3</t>
        </is>
      </c>
      <c r="G88" s="6" t="inlineStr">
        <is>
          <t>Done</t>
        </is>
      </c>
    </row>
    <row r="89">
      <c r="A89" s="3" t="inlineStr">
        <is>
          <t>ST-086</t>
        </is>
      </c>
      <c r="B89" s="3" t="inlineStr">
        <is>
          <t>EQ</t>
        </is>
      </c>
      <c r="C89" s="3" t="inlineStr">
        <is>
          <t>E2E smoke suite runs on every deploy</t>
        </is>
      </c>
      <c r="D89" s="3" t="n">
        <v>5</v>
      </c>
      <c r="E89" s="3" t="inlineStr">
        <is>
          <t>P0</t>
        </is>
      </c>
      <c r="F89" s="3" t="inlineStr">
        <is>
          <t>S4</t>
        </is>
      </c>
      <c r="G89" s="6" t="inlineStr">
        <is>
          <t>Done</t>
        </is>
      </c>
    </row>
    <row r="90">
      <c r="A90" s="3" t="inlineStr">
        <is>
          <t>ST-087</t>
        </is>
      </c>
      <c r="B90" s="3" t="inlineStr">
        <is>
          <t>EQ</t>
        </is>
      </c>
      <c r="C90" s="3" t="inlineStr">
        <is>
          <t>p95 latency budgets defined and monitored per surface</t>
        </is>
      </c>
      <c r="D90" s="3" t="n">
        <v>3</v>
      </c>
      <c r="E90" s="3" t="inlineStr">
        <is>
          <t>P0</t>
        </is>
      </c>
      <c r="F90" s="3" t="inlineStr">
        <is>
          <t>S8</t>
        </is>
      </c>
      <c r="G90" s="6" t="inlineStr">
        <is>
          <t>Done</t>
        </is>
      </c>
    </row>
    <row r="91">
      <c r="A91" s="3" t="inlineStr">
        <is>
          <t>ST-088</t>
        </is>
      </c>
      <c r="B91" s="3" t="inlineStr">
        <is>
          <t>EQ</t>
        </is>
      </c>
      <c r="C91" s="3" t="inlineStr">
        <is>
          <t>Load test at 5x expected launch traffic</t>
        </is>
      </c>
      <c r="D91" s="3" t="n">
        <v>5</v>
      </c>
      <c r="E91" s="3" t="inlineStr">
        <is>
          <t>P1</t>
        </is>
      </c>
      <c r="F91" s="3" t="inlineStr">
        <is>
          <t>S8</t>
        </is>
      </c>
      <c r="G91" s="6" t="inlineStr">
        <is>
          <t>Done</t>
        </is>
      </c>
    </row>
    <row r="92">
      <c r="A92" s="3" t="inlineStr">
        <is>
          <t>ST-089</t>
        </is>
      </c>
      <c r="B92" s="3" t="inlineStr">
        <is>
          <t>EQ</t>
        </is>
      </c>
      <c r="C92" s="3" t="inlineStr">
        <is>
          <t>Accessibility WCAG AA pass on primary flows</t>
        </is>
      </c>
      <c r="D92" s="3" t="n">
        <v>3</v>
      </c>
      <c r="E92" s="3" t="inlineStr">
        <is>
          <t>P1</t>
        </is>
      </c>
      <c r="F92" s="3" t="inlineStr">
        <is>
          <t>S9</t>
        </is>
      </c>
      <c r="G92" s="3" t="inlineStr">
        <is>
          <t>Backlog — automated pass in CI; manual pass needs live UI</t>
        </is>
      </c>
    </row>
    <row r="93">
      <c r="A93" s="3" t="inlineStr">
        <is>
          <t>ST-090</t>
        </is>
      </c>
      <c r="B93" s="3" t="inlineStr">
        <is>
          <t>EQ</t>
        </is>
      </c>
      <c r="C93" s="3" t="inlineStr">
        <is>
          <t>Backup + restore drill executed</t>
        </is>
      </c>
      <c r="D93" s="3" t="n">
        <v>3</v>
      </c>
      <c r="E93" s="3" t="inlineStr">
        <is>
          <t>P1</t>
        </is>
      </c>
      <c r="F93" s="3" t="inlineStr">
        <is>
          <t>S9</t>
        </is>
      </c>
      <c r="G93" s="6" t="inlineStr">
        <is>
          <t>Done</t>
        </is>
      </c>
    </row>
    <row r="94">
      <c r="A94" s="3" t="inlineStr">
        <is>
          <t>ST-091</t>
        </is>
      </c>
      <c r="B94" s="3" t="inlineStr">
        <is>
          <t>EQ</t>
        </is>
      </c>
      <c r="C94" s="3" t="inlineStr">
        <is>
          <t>Chaos test: platform API outage degrades gracefully with user comms</t>
        </is>
      </c>
      <c r="D94" s="3" t="n">
        <v>3</v>
      </c>
      <c r="E94" s="3" t="inlineStr">
        <is>
          <t>P2</t>
        </is>
      </c>
      <c r="F94" s="3" t="inlineStr">
        <is>
          <t>S9</t>
        </is>
      </c>
      <c r="G94" s="6" t="inlineStr">
        <is>
          <t>Done</t>
        </is>
      </c>
    </row>
    <row r="95">
      <c r="A95" s="3" t="inlineStr">
        <is>
          <t>ST-092</t>
        </is>
      </c>
      <c r="B95" s="3" t="inlineStr">
        <is>
          <t>EQ</t>
        </is>
      </c>
      <c r="C95" s="3" t="inlineStr">
        <is>
          <t>Zero-downtime deploy verified (blue/green or rolling)</t>
        </is>
      </c>
      <c r="D95" s="3" t="n">
        <v>3</v>
      </c>
      <c r="E95" s="3" t="inlineStr">
        <is>
          <t>P2</t>
        </is>
      </c>
      <c r="F95" s="3" t="inlineStr">
        <is>
          <t>S8</t>
        </is>
      </c>
      <c r="G95" s="7" t="inlineStr">
        <is>
          <t>Code-complete — pending live</t>
        </is>
      </c>
    </row>
    <row r="96">
      <c r="A96" s="3" t="inlineStr">
        <is>
          <t>ST-093</t>
        </is>
      </c>
      <c r="B96" s="3" t="inlineStr">
        <is>
          <t>EL</t>
        </is>
      </c>
      <c r="C96" s="3" t="inlineStr">
        <is>
          <t>Marketplace listing copy A + B variants drafted and reviewed</t>
        </is>
      </c>
      <c r="D96" s="3" t="n">
        <v>3</v>
      </c>
      <c r="E96" s="3" t="inlineStr">
        <is>
          <t>P0</t>
        </is>
      </c>
      <c r="F96" s="3" t="inlineStr">
        <is>
          <t>S9</t>
        </is>
      </c>
      <c r="G96" s="7" t="inlineStr">
        <is>
          <t>Code-complete — pending live</t>
        </is>
      </c>
    </row>
    <row r="97">
      <c r="A97" s="3" t="inlineStr">
        <is>
          <t>ST-094</t>
        </is>
      </c>
      <c r="B97" s="3" t="inlineStr">
        <is>
          <t>EL</t>
        </is>
      </c>
      <c r="C97" s="3" t="inlineStr">
        <is>
          <t>5 screenshots + 2-min demo video meet platform asset specs</t>
        </is>
      </c>
      <c r="D97" s="3" t="n">
        <v>5</v>
      </c>
      <c r="E97" s="3" t="inlineStr">
        <is>
          <t>P0</t>
        </is>
      </c>
      <c r="F97" s="3" t="inlineStr">
        <is>
          <t>S9</t>
        </is>
      </c>
      <c r="G97" s="3" t="inlineStr">
        <is>
          <t>Backlog — needs LC-1</t>
        </is>
      </c>
    </row>
    <row r="98">
      <c r="A98" s="3" t="inlineStr">
        <is>
          <t>ST-095</t>
        </is>
      </c>
      <c r="B98" s="3" t="inlineStr">
        <is>
          <t>EL</t>
        </is>
      </c>
      <c r="C98" s="3" t="inlineStr">
        <is>
          <t>Pricing page/plan matrix published with FAQ</t>
        </is>
      </c>
      <c r="D98" s="3" t="n">
        <v>3</v>
      </c>
      <c r="E98" s="3" t="inlineStr">
        <is>
          <t>P0</t>
        </is>
      </c>
      <c r="F98" s="3" t="inlineStr">
        <is>
          <t>S10</t>
        </is>
      </c>
      <c r="G98" s="7" t="inlineStr">
        <is>
          <t>Code-complete — pending live</t>
        </is>
      </c>
    </row>
    <row r="99">
      <c r="A99" s="3" t="inlineStr">
        <is>
          <t>ST-096</t>
        </is>
      </c>
      <c r="B99" s="3" t="inlineStr">
        <is>
          <t>EL</t>
        </is>
      </c>
      <c r="C99" s="3" t="inlineStr">
        <is>
          <t>Security/trust page (data handling, subprocessors) live</t>
        </is>
      </c>
      <c r="D99" s="3" t="n">
        <v>3</v>
      </c>
      <c r="E99" s="3" t="inlineStr">
        <is>
          <t>P0</t>
        </is>
      </c>
      <c r="F99" s="3" t="inlineStr">
        <is>
          <t>S10</t>
        </is>
      </c>
      <c r="G99" s="7" t="inlineStr">
        <is>
          <t>Code-complete — pending live</t>
        </is>
      </c>
    </row>
    <row r="100">
      <c r="A100" s="3" t="inlineStr">
        <is>
          <t>ST-097</t>
        </is>
      </c>
      <c r="B100" s="3" t="inlineStr">
        <is>
          <t>EL</t>
        </is>
      </c>
      <c r="C100" s="3" t="inlineStr">
        <is>
          <t>Submission dry-run against platform checklist by second reviewer</t>
        </is>
      </c>
      <c r="D100" s="3" t="n">
        <v>3</v>
      </c>
      <c r="E100" s="3" t="inlineStr">
        <is>
          <t>P0</t>
        </is>
      </c>
      <c r="F100" s="3" t="inlineStr">
        <is>
          <t>S10</t>
        </is>
      </c>
      <c r="G100" s="7" t="inlineStr">
        <is>
          <t>Code-complete — pending live</t>
        </is>
      </c>
    </row>
    <row r="101">
      <c r="A101" s="3" t="inlineStr">
        <is>
          <t>ST-098</t>
        </is>
      </c>
      <c r="B101" s="3" t="inlineStr">
        <is>
          <t>EL</t>
        </is>
      </c>
      <c r="C101" s="3" t="inlineStr">
        <is>
          <t>Launch-day runbook: monitoring, rollback, comms tree</t>
        </is>
      </c>
      <c r="D101" s="3" t="n">
        <v>3</v>
      </c>
      <c r="E101" s="3" t="inlineStr">
        <is>
          <t>P1</t>
        </is>
      </c>
      <c r="F101" s="3" t="inlineStr">
        <is>
          <t>S11</t>
        </is>
      </c>
      <c r="G101" s="6" t="inlineStr">
        <is>
          <t>Done</t>
        </is>
      </c>
    </row>
    <row r="102">
      <c r="A102" s="3" t="inlineStr">
        <is>
          <t>ST-099</t>
        </is>
      </c>
      <c r="B102" s="3" t="inlineStr">
        <is>
          <t>EL</t>
        </is>
      </c>
      <c r="C102" s="3" t="inlineStr">
        <is>
          <t>Post-launch listing SEO iteration 1 from search-term data</t>
        </is>
      </c>
      <c r="D102" s="3" t="n">
        <v>2</v>
      </c>
      <c r="E102" s="3" t="inlineStr">
        <is>
          <t>P2</t>
        </is>
      </c>
      <c r="F102" s="3" t="inlineStr">
        <is>
          <t>S12</t>
        </is>
      </c>
      <c r="G102" s="3" t="inlineStr">
        <is>
          <t>Backlog</t>
        </is>
      </c>
    </row>
    <row r="103">
      <c r="A103" s="3" t="inlineStr">
        <is>
          <t>ST-100</t>
        </is>
      </c>
      <c r="B103" s="3" t="inlineStr">
        <is>
          <t>EL</t>
        </is>
      </c>
      <c r="C103" s="3" t="inlineStr">
        <is>
          <t>First 10 design-partner reviews scheduled</t>
        </is>
      </c>
      <c r="D103" s="3" t="n">
        <v>2</v>
      </c>
      <c r="E103" s="3" t="inlineStr">
        <is>
          <t>P1</t>
        </is>
      </c>
      <c r="F103" s="3" t="inlineStr">
        <is>
          <t>S11</t>
        </is>
      </c>
      <c r="G103" s="3" t="inlineStr">
        <is>
          <t>Backlog — PR-14</t>
        </is>
      </c>
    </row>
    <row r="104">
      <c r="A104" s="3" t="inlineStr">
        <is>
          <t>Total stories: 100. Epics: F1-F5 = product features; E1 install, E5 billing, E6 compliance, E7 telemetry, E8 onboarding/docs/support, EQ quality. Edit Status (Backlog/In progress/Done) during execution.</t>
        </is>
      </c>
      <c r="B104" s="3" t="n"/>
      <c r="C104" s="3" t="n"/>
      <c r="D104" s="3" t="n"/>
      <c r="E104" s="3" t="n"/>
      <c r="F104" s="3" t="n"/>
      <c r="G104" s="3" t="n"/>
    </row>
    <row r="105">
      <c r="A105" s="4" t="inlineStr">
        <is>
          <t>ST-101</t>
        </is>
      </c>
      <c r="B105" s="3" t="inlineStr">
        <is>
          <t>EX</t>
        </is>
      </c>
      <c r="C105" s="3" t="inlineStr">
        <is>
          <t>As a QA team, two of us can work in TestPulse at the same time without losing each other's work</t>
        </is>
      </c>
      <c r="D105" s="3" t="n">
        <v>13</v>
      </c>
      <c r="E105" s="3" t="inlineStr">
        <is>
          <t>P0</t>
        </is>
      </c>
      <c r="F105" s="3" t="inlineStr">
        <is>
          <t>PR-01</t>
        </is>
      </c>
      <c r="G105" s="6" t="inlineStr">
        <is>
          <t>Done</t>
        </is>
      </c>
    </row>
    <row r="106">
      <c r="A106" s="4" t="inlineStr">
        <is>
          <t>ST-102</t>
        </is>
      </c>
      <c r="B106" s="3" t="inlineStr">
        <is>
          <t>EX</t>
        </is>
      </c>
      <c r="C106" s="3" t="inlineStr">
        <is>
          <t>As a user, when someone else changed the thing I am saving, I am told to reload rather than silently overwriting them</t>
        </is>
      </c>
      <c r="D106" s="3" t="n">
        <v>3</v>
      </c>
      <c r="E106" s="3" t="inlineStr">
        <is>
          <t>P0</t>
        </is>
      </c>
      <c r="F106" s="3" t="inlineStr">
        <is>
          <t>PR-01</t>
        </is>
      </c>
      <c r="G106" s="6" t="inlineStr">
        <is>
          <t>Done</t>
        </is>
      </c>
    </row>
    <row r="107">
      <c r="A107" s="4" t="inlineStr">
        <is>
          <t>ST-103</t>
        </is>
      </c>
      <c r="B107" s="3" t="inlineStr">
        <is>
          <t>EX</t>
        </is>
      </c>
      <c r="C107" s="3" t="inlineStr">
        <is>
          <t>As an engineer, every test case has one permanent unique id however it was created</t>
        </is>
      </c>
      <c r="D107" s="3" t="n">
        <v>5</v>
      </c>
      <c r="E107" s="3" t="inlineStr">
        <is>
          <t>P0</t>
        </is>
      </c>
      <c r="F107" s="3" t="inlineStr">
        <is>
          <t>PR-02</t>
        </is>
      </c>
      <c r="G107" s="6" t="inlineStr">
        <is>
          <t>Done</t>
        </is>
      </c>
    </row>
    <row r="108">
      <c r="A108" s="4" t="inlineStr">
        <is>
          <t>ST-104</t>
        </is>
      </c>
      <c r="B108" s="3" t="inlineStr">
        <is>
          <t>EX</t>
        </is>
      </c>
      <c r="C108" s="3" t="inlineStr">
        <is>
          <t>As a QA lead, I can edit a generated case and be refused if someone edited it first</t>
        </is>
      </c>
      <c r="D108" s="3" t="n">
        <v>3</v>
      </c>
      <c r="E108" s="3" t="inlineStr">
        <is>
          <t>P1</t>
        </is>
      </c>
      <c r="F108" s="3" t="inlineStr">
        <is>
          <t>PR-02</t>
        </is>
      </c>
      <c r="G108" s="6" t="inlineStr">
        <is>
          <t>Done</t>
        </is>
      </c>
    </row>
    <row r="109">
      <c r="A109" s="4" t="inlineStr">
        <is>
          <t>ST-105</t>
        </is>
      </c>
      <c r="B109" s="3" t="inlineStr">
        <is>
          <t>EX</t>
        </is>
      </c>
      <c r="C109" s="3" t="inlineStr">
        <is>
          <t>As a large site, I can hold 50,000 test cases and 100,000 CI results without hitting a storage ceiling</t>
        </is>
      </c>
      <c r="D109" s="3" t="n">
        <v>13</v>
      </c>
      <c r="E109" s="3" t="inlineStr">
        <is>
          <t>P0</t>
        </is>
      </c>
      <c r="F109" s="3" t="inlineStr">
        <is>
          <t>PR-03</t>
        </is>
      </c>
      <c r="G109" s="6" t="inlineStr">
        <is>
          <t>Done</t>
        </is>
      </c>
    </row>
    <row r="110">
      <c r="A110" s="4" t="inlineStr">
        <is>
          <t>ST-106</t>
        </is>
      </c>
      <c r="B110" s="3" t="inlineStr">
        <is>
          <t>EX</t>
        </is>
      </c>
      <c r="C110" s="3" t="inlineStr">
        <is>
          <t>As an admin, opening a panel does not load my whole site</t>
        </is>
      </c>
      <c r="D110" s="3" t="n">
        <v>8</v>
      </c>
      <c r="E110" s="3" t="inlineStr">
        <is>
          <t>P0</t>
        </is>
      </c>
      <c r="F110" s="3" t="inlineStr">
        <is>
          <t>PR-03</t>
        </is>
      </c>
      <c r="G110" s="6" t="inlineStr">
        <is>
          <t>Done</t>
        </is>
      </c>
    </row>
    <row r="111">
      <c r="A111" s="4" t="inlineStr">
        <is>
          <t>ST-107</t>
        </is>
      </c>
      <c r="B111" s="3" t="inlineStr">
        <is>
          <t>EX</t>
        </is>
      </c>
      <c r="C111" s="3" t="inlineStr">
        <is>
          <t>As an engineering manager, the readiness score is derived from live data and shows me where each number came from</t>
        </is>
      </c>
      <c r="D111" s="3" t="n">
        <v>13</v>
      </c>
      <c r="E111" s="3" t="inlineStr">
        <is>
          <t>P0</t>
        </is>
      </c>
      <c r="F111" s="3" t="inlineStr">
        <is>
          <t>PR-05</t>
        </is>
      </c>
      <c r="G111" s="7" t="inlineStr">
        <is>
          <t>Code-complete — pending live</t>
        </is>
      </c>
    </row>
    <row r="112">
      <c r="A112" s="4" t="inlineStr">
        <is>
          <t>ST-108</t>
        </is>
      </c>
      <c r="B112" s="3" t="inlineStr">
        <is>
          <t>EX</t>
        </is>
      </c>
      <c r="C112" s="3" t="inlineStr">
        <is>
          <t>As an owner, I can override a factor, but only with a reason that is shown next to the score</t>
        </is>
      </c>
      <c r="D112" s="3" t="n">
        <v>3</v>
      </c>
      <c r="E112" s="3" t="inlineStr">
        <is>
          <t>P1</t>
        </is>
      </c>
      <c r="F112" s="3" t="inlineStr">
        <is>
          <t>PR-05</t>
        </is>
      </c>
      <c r="G112" s="6" t="inlineStr">
        <is>
          <t>Done</t>
        </is>
      </c>
    </row>
    <row r="113">
      <c r="A113" s="4" t="inlineStr">
        <is>
          <t>ST-109</t>
        </is>
      </c>
      <c r="B113" s="3" t="inlineStr">
        <is>
          <t>EX</t>
        </is>
      </c>
      <c r="C113" s="3" t="inlineStr">
        <is>
          <t>As a team, I can post my JUnit, Playwright or Cucumber report straight to TestPulse</t>
        </is>
      </c>
      <c r="D113" s="3" t="n">
        <v>8</v>
      </c>
      <c r="E113" s="3" t="inlineStr">
        <is>
          <t>P0</t>
        </is>
      </c>
      <c r="F113" s="3" t="inlineStr">
        <is>
          <t>PR-06</t>
        </is>
      </c>
      <c r="G113" s="7" t="inlineStr">
        <is>
          <t>Code-complete — pending live</t>
        </is>
      </c>
    </row>
    <row r="114">
      <c r="A114" s="4" t="inlineStr">
        <is>
          <t>ST-110</t>
        </is>
      </c>
      <c r="B114" s="3" t="inlineStr">
        <is>
          <t>EX</t>
        </is>
      </c>
      <c r="C114" s="3" t="inlineStr">
        <is>
          <t>As a pipeline, re-posting the same run changes nothing and an oversized post is refused cleanly</t>
        </is>
      </c>
      <c r="D114" s="3" t="n">
        <v>5</v>
      </c>
      <c r="E114" s="3" t="inlineStr">
        <is>
          <t>P0</t>
        </is>
      </c>
      <c r="F114" s="3" t="inlineStr">
        <is>
          <t>PR-06</t>
        </is>
      </c>
      <c r="G114" s="6" t="inlineStr">
        <is>
          <t>Done</t>
        </is>
      </c>
    </row>
    <row r="115">
      <c r="A115" s="4" t="inlineStr">
        <is>
          <t>ST-111</t>
        </is>
      </c>
      <c r="B115" s="3" t="inlineStr">
        <is>
          <t>EX</t>
        </is>
      </c>
      <c r="C115" s="3" t="inlineStr">
        <is>
          <t>As a QA lead, a test that is unstable only on a feature branch is not quarantined across my whole project</t>
        </is>
      </c>
      <c r="D115" s="3" t="n">
        <v>8</v>
      </c>
      <c r="E115" s="3" t="inlineStr">
        <is>
          <t>P1</t>
        </is>
      </c>
      <c r="F115" s="3" t="inlineStr">
        <is>
          <t>PR-07</t>
        </is>
      </c>
      <c r="G115" s="6" t="inlineStr">
        <is>
          <t>Done</t>
        </is>
      </c>
    </row>
    <row r="116">
      <c r="A116" s="4" t="inlineStr">
        <is>
          <t>ST-112</t>
        </is>
      </c>
      <c r="B116" s="3" t="inlineStr">
        <is>
          <t>EX</t>
        </is>
      </c>
      <c r="C116" s="3" t="inlineStr">
        <is>
          <t>As a QA lead, I can quarantine a test with an owner and an expiry, and every change is audited</t>
        </is>
      </c>
      <c r="D116" s="3" t="n">
        <v>5</v>
      </c>
      <c r="E116" s="3" t="inlineStr">
        <is>
          <t>P1</t>
        </is>
      </c>
      <c r="F116" s="3" t="inlineStr">
        <is>
          <t>PR-07</t>
        </is>
      </c>
      <c r="G116" s="6" t="inlineStr">
        <is>
          <t>Done</t>
        </is>
      </c>
    </row>
    <row r="117">
      <c r="A117" s="4" t="inlineStr">
        <is>
          <t>ST-113</t>
        </is>
      </c>
      <c r="B117" s="3" t="inlineStr">
        <is>
          <t>EX</t>
        </is>
      </c>
      <c r="C117" s="3" t="inlineStr">
        <is>
          <t>As a release manager, I can see which requirements have tests, which have run, and which have defects</t>
        </is>
      </c>
      <c r="D117" s="3" t="n">
        <v>8</v>
      </c>
      <c r="E117" s="3" t="inlineStr">
        <is>
          <t>P1</t>
        </is>
      </c>
      <c r="F117" s="3" t="inlineStr">
        <is>
          <t>PR-08</t>
        </is>
      </c>
      <c r="G117" s="6" t="inlineStr">
        <is>
          <t>Done</t>
        </is>
      </c>
    </row>
    <row r="118">
      <c r="A118" s="4" t="inlineStr">
        <is>
          <t>ST-114</t>
        </is>
      </c>
      <c r="B118" s="3" t="inlineStr">
        <is>
          <t>EX</t>
        </is>
      </c>
      <c r="C118" s="3" t="inlineStr">
        <is>
          <t>As a Jira admin, TestPulse never shows anyone a project they cannot open in Jira</t>
        </is>
      </c>
      <c r="D118" s="3" t="n">
        <v>8</v>
      </c>
      <c r="E118" s="3" t="inlineStr">
        <is>
          <t>P0</t>
        </is>
      </c>
      <c r="F118" s="3" t="inlineStr">
        <is>
          <t>PR-09</t>
        </is>
      </c>
      <c r="G118" s="7" t="inlineStr">
        <is>
          <t>Code-complete — pending live</t>
        </is>
      </c>
    </row>
    <row r="119">
      <c r="A119" s="4" t="inlineStr">
        <is>
          <t>ST-115</t>
        </is>
      </c>
      <c r="B119" s="3" t="inlineStr">
        <is>
          <t>EX</t>
        </is>
      </c>
      <c r="C119" s="3" t="inlineStr">
        <is>
          <t>As a site owner, I can use my own Anthropic key so generation costs the vendor nothing</t>
        </is>
      </c>
      <c r="D119" s="3" t="n">
        <v>8</v>
      </c>
      <c r="E119" s="3" t="inlineStr">
        <is>
          <t>P1</t>
        </is>
      </c>
      <c r="F119" s="3" t="inlineStr">
        <is>
          <t>PR-10</t>
        </is>
      </c>
      <c r="G119" s="7" t="inlineStr">
        <is>
          <t>Code-complete — pending live</t>
        </is>
      </c>
    </row>
    <row r="120">
      <c r="A120" s="4" t="inlineStr">
        <is>
          <t>ST-116</t>
        </is>
      </c>
      <c r="B120" s="3" t="inlineStr">
        <is>
          <t>EX</t>
        </is>
      </c>
      <c r="C120" s="3" t="inlineStr">
        <is>
          <t>As a security reviewer, a story containing an injected instruction cannot change what the app does</t>
        </is>
      </c>
      <c r="D120" s="3" t="n">
        <v>8</v>
      </c>
      <c r="E120" s="3" t="inlineStr">
        <is>
          <t>P1</t>
        </is>
      </c>
      <c r="F120" s="3" t="inlineStr">
        <is>
          <t>PR-10</t>
        </is>
      </c>
      <c r="G120" s="6" t="inlineStr">
        <is>
          <t>Done</t>
        </is>
      </c>
    </row>
    <row r="121">
      <c r="A121" s="4" t="inlineStr">
        <is>
          <t>ST-117</t>
        </is>
      </c>
      <c r="B121" s="3" t="inlineStr">
        <is>
          <t>EX</t>
        </is>
      </c>
      <c r="C121" s="3" t="inlineStr">
        <is>
          <t>As a vendor, I can see what the shared key is costing me per site per month, and cap it</t>
        </is>
      </c>
      <c r="D121" s="3" t="n">
        <v>5</v>
      </c>
      <c r="E121" s="3" t="inlineStr">
        <is>
          <t>P1</t>
        </is>
      </c>
      <c r="F121" s="3" t="inlineStr">
        <is>
          <t>PR-10</t>
        </is>
      </c>
      <c r="G121" s="6" t="inlineStr">
        <is>
          <t>Done</t>
        </is>
      </c>
    </row>
    <row r="122">
      <c r="A122" s="4" t="inlineStr">
        <is>
          <t>ST-118</t>
        </is>
      </c>
      <c r="B122" s="3" t="inlineStr">
        <is>
          <t>EX</t>
        </is>
      </c>
      <c r="C122" s="3" t="inlineStr">
        <is>
          <t>As an enterprise buyer, I can read a current gap assessment against the programme that actually exists</t>
        </is>
      </c>
      <c r="D122" s="3" t="n">
        <v>5</v>
      </c>
      <c r="E122" s="3" t="inlineStr">
        <is>
          <t>P1</t>
        </is>
      </c>
      <c r="F122" s="3" t="inlineStr">
        <is>
          <t>PR-11</t>
        </is>
      </c>
      <c r="G122" s="6" t="inlineStr">
        <is>
          <t>Done</t>
        </is>
      </c>
    </row>
    <row r="123">
      <c r="A123" s="4" t="inlineStr">
        <is>
          <t>ST-119</t>
        </is>
      </c>
      <c r="B123" s="3" t="inlineStr">
        <is>
          <t>EX</t>
        </is>
      </c>
      <c r="C123" s="3" t="inlineStr">
        <is>
          <t>As an enterprise buyer, TestPulse stores none of my Atlassian credentials</t>
        </is>
      </c>
      <c r="D123" s="3" t="n">
        <v>3</v>
      </c>
      <c r="E123" s="3" t="inlineStr">
        <is>
          <t>P0</t>
        </is>
      </c>
      <c r="F123" s="3" t="inlineStr">
        <is>
          <t>PR-11</t>
        </is>
      </c>
      <c r="G123" s="6" t="inlineStr">
        <is>
          <t>Done</t>
        </is>
      </c>
    </row>
    <row r="124">
      <c r="A124" s="4" t="inlineStr">
        <is>
          <t>ST-120</t>
        </is>
      </c>
      <c r="B124" s="3" t="inlineStr">
        <is>
          <t>EX</t>
        </is>
      </c>
      <c r="C124" s="3" t="inlineStr">
        <is>
          <t>As a regulated tenant, I can run TestPulse with no external egress at all</t>
        </is>
      </c>
      <c r="D124" s="3" t="n">
        <v>3</v>
      </c>
      <c r="E124" s="3" t="inlineStr">
        <is>
          <t>P1</t>
        </is>
      </c>
      <c r="F124" s="3" t="inlineStr">
        <is>
          <t>PR-10</t>
        </is>
      </c>
      <c r="G124" s="6" t="inlineStr">
        <is>
          <t>Done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8"/>
  <sheetViews>
    <sheetView workbookViewId="0">
      <pane ySplit="3" topLeftCell="A4" activePane="bottomLeft" state="frozen"/>
      <selection pane="bottomLeft" activeCell="A1" sqref="A1"/>
    </sheetView>
  </sheetViews>
  <sheetFormatPr baseColWidth="8" defaultRowHeight="15" outlineLevelCol="0"/>
  <cols>
    <col width="10" customWidth="1" min="1" max="1"/>
    <col width="54" customWidth="1" min="2" max="2"/>
    <col width="9" customWidth="1" min="3" max="3"/>
    <col width="9" customWidth="1" min="4" max="4"/>
    <col width="8" customWidth="1" min="5" max="5"/>
    <col width="62" customWidth="1" min="6" max="6"/>
  </cols>
  <sheetData>
    <row r="1">
      <c r="A1" s="1" t="inlineStr">
        <is>
          <t>SPRINT BOARD — live counts from Full_Backlog</t>
        </is>
      </c>
    </row>
    <row r="2">
      <c r="A2" s="5" t="inlineStr">
        <is>
          <t>Done counts Done + Code-complete — pending live. N/A (platform) rows are not counted as done.</t>
        </is>
      </c>
    </row>
    <row r="3">
      <c r="A3" s="2" t="inlineStr">
        <is>
          <t>Sprint</t>
        </is>
      </c>
      <c r="B3" s="2" t="inlineStr">
        <is>
          <t>Focus</t>
        </is>
      </c>
      <c r="C3" s="2" t="inlineStr">
        <is>
          <t>Stories</t>
        </is>
      </c>
      <c r="D3" s="2" t="inlineStr">
        <is>
          <t>Points</t>
        </is>
      </c>
      <c r="E3" s="2" t="inlineStr">
        <is>
          <t>Done</t>
        </is>
      </c>
      <c r="F3" s="2" t="inlineStr">
        <is>
          <t>Exit criteria</t>
        </is>
      </c>
    </row>
    <row r="4">
      <c r="A4" s="3" t="inlineStr">
        <is>
          <t>S0</t>
        </is>
      </c>
      <c r="B4" s="3" t="inlineStr">
        <is>
          <t>Discovery &amp; Design (2 wks)</t>
        </is>
      </c>
      <c r="C4" s="3">
        <f>COUNTIF(Full_Backlog!$F$4:$F$124,A4)</f>
        <v/>
      </c>
      <c r="D4" s="3">
        <f>SUMIF(Full_Backlog!$F$4:$F$124,A4,Full_Backlog!$D$4:$D$124)</f>
        <v/>
      </c>
      <c r="E4" s="3">
        <f>COUNTIFS(Full_Backlog!$F$4:$F$124,A4,Full_Backlog!$G$4:$G$124,"Done")+COUNTIFS(Full_Backlog!$F$4:$F$124,A4,Full_Backlog!$G$4:$G$124,"Code-complete — pending live")</f>
        <v/>
      </c>
      <c r="F4" s="3" t="inlineStr">
        <is>
          <t>PRD signed off; prototype tested with 5 target users</t>
        </is>
      </c>
    </row>
    <row r="5">
      <c r="A5" s="3" t="inlineStr">
        <is>
          <t>S1</t>
        </is>
      </c>
      <c r="B5" s="3" t="inlineStr">
        <is>
          <t>Foundation (2 wks)</t>
        </is>
      </c>
      <c r="C5" s="3">
        <f>COUNTIF(Full_Backlog!$F$4:$F$124,A5)</f>
        <v/>
      </c>
      <c r="D5" s="3">
        <f>SUMIF(Full_Backlog!$F$4:$F$124,A5,Full_Backlog!$D$4:$D$124)</f>
        <v/>
      </c>
      <c r="E5" s="3">
        <f>COUNTIFS(Full_Backlog!$F$4:$F$124,A5,Full_Backlog!$G$4:$G$124,"Done")+COUNTIFS(Full_Backlog!$F$4:$F$124,A5,Full_Backlog!$G$4:$G$124,"Code-complete — pending live")</f>
        <v/>
      </c>
      <c r="F5" s="3" t="inlineStr">
        <is>
          <t>App installs cleanly in dev store/org; telemetry firing</t>
        </is>
      </c>
    </row>
    <row r="6">
      <c r="A6" s="3" t="inlineStr">
        <is>
          <t>S2</t>
        </is>
      </c>
      <c r="B6" s="3" t="inlineStr">
        <is>
          <t>Core feature AI test-case generation - part 1</t>
        </is>
      </c>
      <c r="C6" s="3">
        <f>COUNTIF(Full_Backlog!$F$4:$F$124,A6)</f>
        <v/>
      </c>
      <c r="D6" s="3">
        <f>SUMIF(Full_Backlog!$F$4:$F$124,A6,Full_Backlog!$D$4:$D$124)</f>
        <v/>
      </c>
      <c r="E6" s="3">
        <f>COUNTIFS(Full_Backlog!$F$4:$F$124,A6,Full_Backlog!$G$4:$G$124,"Done")+COUNTIFS(Full_Backlog!$F$4:$F$124,A6,Full_Backlog!$G$4:$G$124,"Code-complete — pending live")</f>
        <v/>
      </c>
      <c r="F6" s="3" t="inlineStr">
        <is>
          <t>AI test-case generation happy path demoable</t>
        </is>
      </c>
    </row>
    <row r="7">
      <c r="A7" s="3" t="inlineStr">
        <is>
          <t>S3</t>
        </is>
      </c>
      <c r="B7" s="3" t="inlineStr">
        <is>
          <t>AI case-gen part 2 + Test run boards start</t>
        </is>
      </c>
      <c r="C7" s="3">
        <f>COUNTIF(Full_Backlog!$F$4:$F$124,A7)</f>
        <v/>
      </c>
      <c r="D7" s="3">
        <f>SUMIF(Full_Backlog!$F$4:$F$124,A7,Full_Backlog!$D$4:$D$124)</f>
        <v/>
      </c>
      <c r="E7" s="3">
        <f>COUNTIFS(Full_Backlog!$F$4:$F$124,A7,Full_Backlog!$G$4:$G$124,"Done")+COUNTIFS(Full_Backlog!$F$4:$F$124,A7,Full_Backlog!$G$4:$G$124,"Code-complete — pending live")</f>
        <v/>
      </c>
      <c r="F7" s="3" t="inlineStr">
        <is>
          <t>AI case-gen complete with tests; Run boards skeleton</t>
        </is>
      </c>
    </row>
    <row r="8">
      <c r="A8" s="3" t="inlineStr">
        <is>
          <t>S4</t>
        </is>
      </c>
      <c r="B8" s="3" t="inlineStr">
        <is>
          <t>Core feature Test run boards</t>
        </is>
      </c>
      <c r="C8" s="3">
        <f>COUNTIF(Full_Backlog!$F$4:$F$124,A8)</f>
        <v/>
      </c>
      <c r="D8" s="3">
        <f>SUMIF(Full_Backlog!$F$4:$F$124,A8,Full_Backlog!$D$4:$D$124)</f>
        <v/>
      </c>
      <c r="E8" s="3">
        <f>COUNTIFS(Full_Backlog!$F$4:$F$124,A8,Full_Backlog!$G$4:$G$124,"Done")+COUNTIFS(Full_Backlog!$F$4:$F$124,A8,Full_Backlog!$G$4:$G$124,"Code-complete — pending live")</f>
        <v/>
      </c>
      <c r="F8" s="3" t="inlineStr">
        <is>
          <t>MVP loop usable end-to-end internally</t>
        </is>
      </c>
    </row>
    <row r="9">
      <c r="A9" s="3" t="inlineStr">
        <is>
          <t>S5</t>
        </is>
      </c>
      <c r="B9" s="3" t="inlineStr">
        <is>
          <t>Flaky-test detector + alpha hardening</t>
        </is>
      </c>
      <c r="C9" s="3">
        <f>COUNTIF(Full_Backlog!$F$4:$F$124,A9)</f>
        <v/>
      </c>
      <c r="D9" s="3">
        <f>SUMIF(Full_Backlog!$F$4:$F$124,A9,Full_Backlog!$D$4:$D$124)</f>
        <v/>
      </c>
      <c r="E9" s="3">
        <f>COUNTIFS(Full_Backlog!$F$4:$F$124,A9,Full_Backlog!$G$4:$G$124,"Done")+COUNTIFS(Full_Backlog!$F$4:$F$124,A9,Full_Backlog!$G$4:$G$124,"Code-complete — pending live")</f>
        <v/>
      </c>
      <c r="F9" s="3" t="inlineStr">
        <is>
          <t>Internal alpha: team dogfoods daily</t>
        </is>
      </c>
    </row>
    <row r="10">
      <c r="A10" s="3" t="inlineStr">
        <is>
          <t>S6</t>
        </is>
      </c>
      <c r="B10" s="3" t="inlineStr">
        <is>
          <t>Billing + Release readiness score</t>
        </is>
      </c>
      <c r="C10" s="3">
        <f>COUNTIF(Full_Backlog!$F$4:$F$124,A10)</f>
        <v/>
      </c>
      <c r="D10" s="3">
        <f>SUMIF(Full_Backlog!$F$4:$F$124,A10,Full_Backlog!$D$4:$D$124)</f>
        <v/>
      </c>
      <c r="E10" s="3">
        <f>COUNTIFS(Full_Backlog!$F$4:$F$124,A10,Full_Backlog!$G$4:$G$124,"Done")+COUNTIFS(Full_Backlog!$F$4:$F$124,A10,Full_Backlog!$G$4:$G$124,"Code-complete — pending live")</f>
        <v/>
      </c>
      <c r="F10" s="3" t="inlineStr">
        <is>
          <t>Can charge a test customer; upgrade/downgrade paths work</t>
        </is>
      </c>
    </row>
    <row r="11">
      <c r="A11" s="3" t="inlineStr">
        <is>
          <t>S7</t>
        </is>
      </c>
      <c r="B11" s="3" t="inlineStr">
        <is>
          <t>Private beta (design partners)</t>
        </is>
      </c>
      <c r="C11" s="3">
        <f>COUNTIF(Full_Backlog!$F$4:$F$124,A11)</f>
        <v/>
      </c>
      <c r="D11" s="3">
        <f>SUMIF(Full_Backlog!$F$4:$F$124,A11,Full_Backlog!$D$4:$D$124)</f>
        <v/>
      </c>
      <c r="E11" s="3">
        <f>COUNTIFS(Full_Backlog!$F$4:$F$124,A11,Full_Backlog!$G$4:$G$124,"Done")+COUNTIFS(Full_Backlog!$F$4:$F$124,A11,Full_Backlog!$G$4:$G$124,"Code-complete — pending live")</f>
        <v/>
      </c>
      <c r="F11" s="3" t="inlineStr">
        <is>
          <t>3+ partners active weekly; NPS pulse &gt;30</t>
        </is>
      </c>
    </row>
    <row r="12">
      <c r="A12" s="3" t="inlineStr">
        <is>
          <t>S8</t>
        </is>
      </c>
      <c r="B12" s="3" t="inlineStr">
        <is>
          <t>Beta iteration + Xray importer</t>
        </is>
      </c>
      <c r="C12" s="3">
        <f>COUNTIF(Full_Backlog!$F$4:$F$124,A12)</f>
        <v/>
      </c>
      <c r="D12" s="3">
        <f>SUMIF(Full_Backlog!$F$4:$F$124,A12,Full_Backlog!$D$4:$D$124)</f>
        <v/>
      </c>
      <c r="E12" s="3">
        <f>COUNTIFS(Full_Backlog!$F$4:$F$124,A12,Full_Backlog!$G$4:$G$124,"Done")+COUNTIFS(Full_Backlog!$F$4:$F$124,A12,Full_Backlog!$G$4:$G$124,"Code-complete — pending live")</f>
        <v/>
      </c>
      <c r="F12" s="3" t="inlineStr">
        <is>
          <t>Retention of beta cohort week-over-week &gt;60%</t>
        </is>
      </c>
    </row>
    <row r="13">
      <c r="A13" s="3" t="inlineStr">
        <is>
          <t>S9</t>
        </is>
      </c>
      <c r="B13" s="3" t="inlineStr">
        <is>
          <t>Marketplace review prep</t>
        </is>
      </c>
      <c r="C13" s="3">
        <f>COUNTIF(Full_Backlog!$F$4:$F$124,A13)</f>
        <v/>
      </c>
      <c r="D13" s="3">
        <f>SUMIF(Full_Backlog!$F$4:$F$124,A13,Full_Backlog!$D$4:$D$124)</f>
        <v/>
      </c>
      <c r="E13" s="3">
        <f>COUNTIFS(Full_Backlog!$F$4:$F$124,A13,Full_Backlog!$G$4:$G$124,"Done")+COUNTIFS(Full_Backlog!$F$4:$F$124,A13,Full_Backlog!$G$4:$G$124,"Code-complete — pending live")</f>
        <v/>
      </c>
      <c r="F13" s="3" t="inlineStr">
        <is>
          <t>Review submission accepted into queue</t>
        </is>
      </c>
    </row>
    <row r="14">
      <c r="A14" s="3" t="inlineStr">
        <is>
          <t>S10</t>
        </is>
      </c>
      <c r="B14" s="3" t="inlineStr">
        <is>
          <t>Review remediation + docs</t>
        </is>
      </c>
      <c r="C14" s="3">
        <f>COUNTIF(Full_Backlog!$F$4:$F$124,A14)</f>
        <v/>
      </c>
      <c r="D14" s="3">
        <f>SUMIF(Full_Backlog!$F$4:$F$124,A14,Full_Backlog!$D$4:$D$124)</f>
        <v/>
      </c>
      <c r="E14" s="3">
        <f>COUNTIFS(Full_Backlog!$F$4:$F$124,A14,Full_Backlog!$G$4:$G$124,"Done")+COUNTIFS(Full_Backlog!$F$4:$F$124,A14,Full_Backlog!$G$4:$G$124,"Code-complete — pending live")</f>
        <v/>
      </c>
      <c r="F14" s="3" t="inlineStr">
        <is>
          <t>Marketplace approval obtained (or final remediation cycle)</t>
        </is>
      </c>
    </row>
    <row r="15">
      <c r="A15" s="3" t="inlineStr">
        <is>
          <t>S11</t>
        </is>
      </c>
      <c r="B15" s="3" t="inlineStr">
        <is>
          <t>Launch</t>
        </is>
      </c>
      <c r="C15" s="3">
        <f>COUNTIF(Full_Backlog!$F$4:$F$124,A15)</f>
        <v/>
      </c>
      <c r="D15" s="3">
        <f>SUMIF(Full_Backlog!$F$4:$F$124,A15,Full_Backlog!$D$4:$D$124)</f>
        <v/>
      </c>
      <c r="E15" s="3">
        <f>COUNTIFS(Full_Backlog!$F$4:$F$124,A15,Full_Backlog!$G$4:$G$124,"Done")+COUNTIFS(Full_Backlog!$F$4:$F$124,A15,Full_Backlog!$G$4:$G$124,"Code-complete — pending live")</f>
        <v/>
      </c>
      <c r="F15" s="3" t="inlineStr">
        <is>
          <t>First 10 installs; first 3 reviews; activation &gt;40%</t>
        </is>
      </c>
    </row>
    <row r="16">
      <c r="A16" s="3" t="inlineStr">
        <is>
          <t>S12</t>
        </is>
      </c>
      <c r="B16" s="3" t="inlineStr">
        <is>
          <t>Iterate &amp; scale decision</t>
        </is>
      </c>
      <c r="C16" s="3">
        <f>COUNTIF(Full_Backlog!$F$4:$F$124,A16)</f>
        <v/>
      </c>
      <c r="D16" s="3">
        <f>SUMIF(Full_Backlog!$F$4:$F$124,A16,Full_Backlog!$D$4:$D$124)</f>
        <v/>
      </c>
      <c r="E16" s="3">
        <f>COUNTIFS(Full_Backlog!$F$4:$F$124,A16,Full_Backlog!$G$4:$G$124,"Done")+COUNTIFS(Full_Backlog!$F$4:$F$124,A16,Full_Backlog!$G$4:$G$124,"Code-complete — pending live")</f>
        <v/>
      </c>
      <c r="F16" s="3" t="inlineStr">
        <is>
          <t>Growth model doc with CAC/LTV first estimates</t>
        </is>
      </c>
    </row>
    <row r="17">
      <c r="A17" s="3" t="inlineStr">
        <is>
          <t>PR-01</t>
        </is>
      </c>
      <c r="B17" s="3" t="inlineStr">
        <is>
          <t>Write integrity and concurrency (external review V001)</t>
        </is>
      </c>
      <c r="C17" s="3">
        <f>COUNTIF(Full_Backlog!$F$4:$F$124,A17)</f>
        <v/>
      </c>
      <c r="D17" s="3">
        <f>SUMIF(Full_Backlog!$F$4:$F$124,A17,Full_Backlog!$D$4:$D$124)</f>
        <v/>
      </c>
      <c r="E17" s="3">
        <f>COUNTIFS(Full_Backlog!$F$4:$F$124,A17,Full_Backlog!$G$4:$G$124,"Done")+COUNTIFS(Full_Backlog!$F$4:$F$124,A17,Full_Backlog!$G$4:$G$124,"Code-complete — pending live")</f>
        <v/>
      </c>
      <c r="F17" s="3" t="inlineStr">
        <is>
          <t>Two simultaneous users never lose each other's work</t>
        </is>
      </c>
    </row>
    <row r="18">
      <c r="A18" s="3" t="inlineStr">
        <is>
          <t>PR-02</t>
        </is>
      </c>
      <c r="B18" s="3" t="inlineStr">
        <is>
          <t>Stable identity and case lifecycle</t>
        </is>
      </c>
      <c r="C18" s="3">
        <f>COUNTIF(Full_Backlog!$F$4:$F$124,A18)</f>
        <v/>
      </c>
      <c r="D18" s="3">
        <f>SUMIF(Full_Backlog!$F$4:$F$124,A18,Full_Backlog!$D$4:$D$124)</f>
        <v/>
      </c>
      <c r="E18" s="3">
        <f>COUNTIFS(Full_Backlog!$F$4:$F$124,A18,Full_Backlog!$G$4:$G$124,"Done")+COUNTIFS(Full_Backlog!$F$4:$F$124,A18,Full_Backlog!$G$4:$G$124,"Code-complete — pending live")</f>
        <v/>
      </c>
      <c r="F18" s="3" t="inlineStr">
        <is>
          <t>Every entity has one permanent, unique id</t>
        </is>
      </c>
    </row>
    <row r="19">
      <c r="A19" s="3" t="inlineStr">
        <is>
          <t>PR-03</t>
        </is>
      </c>
      <c r="B19" s="3" t="inlineStr">
        <is>
          <t>Storage re-platform</t>
        </is>
      </c>
      <c r="C19" s="3">
        <f>COUNTIF(Full_Backlog!$F$4:$F$124,A19)</f>
        <v/>
      </c>
      <c r="D19" s="3">
        <f>SUMIF(Full_Backlog!$F$4:$F$124,A19,Full_Backlog!$D$4:$D$124)</f>
        <v/>
      </c>
      <c r="E19" s="3">
        <f>COUNTIFS(Full_Backlog!$F$4:$F$124,A19,Full_Backlog!$G$4:$G$124,"Done")+COUNTIFS(Full_Backlog!$F$4:$F$124,A19,Full_Backlog!$G$4:$G$124,"Code-complete — pending live")</f>
        <v/>
      </c>
      <c r="F19" s="3" t="inlineStr">
        <is>
          <t>Row ceiling and hydrate-all cost both removed</t>
        </is>
      </c>
    </row>
    <row r="20">
      <c r="A20" s="3" t="inlineStr">
        <is>
          <t>PR-05</t>
        </is>
      </c>
      <c r="B20" s="3" t="inlineStr">
        <is>
          <t>Release readiness, derived not typed</t>
        </is>
      </c>
      <c r="C20" s="3">
        <f>COUNTIF(Full_Backlog!$F$4:$F$124,A20)</f>
        <v/>
      </c>
      <c r="D20" s="3">
        <f>SUMIF(Full_Backlog!$F$4:$F$124,A20,Full_Backlog!$D$4:$D$124)</f>
        <v/>
      </c>
      <c r="E20" s="3">
        <f>COUNTIFS(Full_Backlog!$F$4:$F$124,A20,Full_Backlog!$G$4:$G$124,"Done")+COUNTIFS(Full_Backlog!$F$4:$F$124,A20,Full_Backlog!$G$4:$G$124,"Code-complete — pending live")</f>
        <v/>
      </c>
      <c r="F20" s="3" t="inlineStr">
        <is>
          <t>A defensible score with zero manual entry</t>
        </is>
      </c>
    </row>
    <row r="21">
      <c r="A21" s="3" t="inlineStr">
        <is>
          <t>PR-06</t>
        </is>
      </c>
      <c r="B21" s="3" t="inlineStr">
        <is>
          <t>Automation results ingestion</t>
        </is>
      </c>
      <c r="C21" s="3">
        <f>COUNTIF(Full_Backlog!$F$4:$F$124,A21)</f>
        <v/>
      </c>
      <c r="D21" s="3">
        <f>SUMIF(Full_Backlog!$F$4:$F$124,A21,Full_Backlog!$D$4:$D$124)</f>
        <v/>
      </c>
      <c r="E21" s="3">
        <f>COUNTIFS(Full_Backlog!$F$4:$F$124,A21,Full_Backlog!$G$4:$G$124,"Done")+COUNTIFS(Full_Backlog!$F$4:$F$124,A21,Full_Backlog!$G$4:$G$124,"Code-complete — pending live")</f>
        <v/>
      </c>
      <c r="F21" s="3" t="inlineStr">
        <is>
          <t>Three frameworks ingest; re-post changes nothing</t>
        </is>
      </c>
    </row>
    <row r="22">
      <c r="A22" s="3" t="inlineStr">
        <is>
          <t>PR-07</t>
        </is>
      </c>
      <c r="B22" s="3" t="inlineStr">
        <is>
          <t>Flaky intelligence 2.0</t>
        </is>
      </c>
      <c r="C22" s="3">
        <f>COUNTIF(Full_Backlog!$F$4:$F$124,A22)</f>
        <v/>
      </c>
      <c r="D22" s="3">
        <f>SUMIF(Full_Backlog!$F$4:$F$124,A22,Full_Backlog!$D$4:$D$124)</f>
        <v/>
      </c>
      <c r="E22" s="3">
        <f>COUNTIFS(Full_Backlog!$F$4:$F$124,A22,Full_Backlog!$G$4:$G$124,"Done")+COUNTIFS(Full_Backlog!$F$4:$F$124,A22,Full_Backlog!$G$4:$G$124,"Code-complete — pending live")</f>
        <v/>
      </c>
      <c r="F22" s="3" t="inlineStr">
        <is>
          <t>Branch-aware, clustered, owned quarantines</t>
        </is>
      </c>
    </row>
    <row r="23">
      <c r="A23" s="3" t="inlineStr">
        <is>
          <t>PR-08</t>
        </is>
      </c>
      <c r="B23" s="3" t="inlineStr">
        <is>
          <t>Traceability graph</t>
        </is>
      </c>
      <c r="C23" s="3">
        <f>COUNTIF(Full_Backlog!$F$4:$F$124,A23)</f>
        <v/>
      </c>
      <c r="D23" s="3">
        <f>SUMIF(Full_Backlog!$F$4:$F$124,A23,Full_Backlog!$D$4:$D$124)</f>
        <v/>
      </c>
      <c r="E23" s="3">
        <f>COUNTIFS(Full_Backlog!$F$4:$F$124,A23,Full_Backlog!$G$4:$G$124,"Done")+COUNTIFS(Full_Backlog!$F$4:$F$124,A23,Full_Backlog!$G$4:$G$124,"Code-complete — pending live")</f>
        <v/>
      </c>
      <c r="F23" s="3" t="inlineStr">
        <is>
          <t>Requirement -&gt; test -&gt; run -&gt; defect, queryable</t>
        </is>
      </c>
    </row>
    <row r="24">
      <c r="A24" s="3" t="inlineStr">
        <is>
          <t>PR-09</t>
        </is>
      </c>
      <c r="B24" s="3" t="inlineStr">
        <is>
          <t>Project-scoped RBAC</t>
        </is>
      </c>
      <c r="C24" s="3">
        <f>COUNTIF(Full_Backlog!$F$4:$F$124,A24)</f>
        <v/>
      </c>
      <c r="D24" s="3">
        <f>SUMIF(Full_Backlog!$F$4:$F$124,A24,Full_Backlog!$D$4:$D$124)</f>
        <v/>
      </c>
      <c r="E24" s="3">
        <f>COUNTIFS(Full_Backlog!$F$4:$F$124,A24,Full_Backlog!$G$4:$G$124,"Done")+COUNTIFS(Full_Backlog!$F$4:$F$124,A24,Full_Backlog!$G$4:$G$124,"Code-complete — pending live")</f>
        <v/>
      </c>
      <c r="F24" s="3" t="inlineStr">
        <is>
          <t>App visibility never exceeds Jira visibility</t>
        </is>
      </c>
    </row>
    <row r="25">
      <c r="A25" s="3" t="inlineStr">
        <is>
          <t>PR-10</t>
        </is>
      </c>
      <c r="B25" s="3" t="inlineStr">
        <is>
          <t>AI economics and governance v2</t>
        </is>
      </c>
      <c r="C25" s="3">
        <f>COUNTIF(Full_Backlog!$F$4:$F$124,A25)</f>
        <v/>
      </c>
      <c r="D25" s="3">
        <f>SUMIF(Full_Backlog!$F$4:$F$124,A25,Full_Backlog!$D$4:$D$124)</f>
        <v/>
      </c>
      <c r="E25" s="3">
        <f>COUNTIFS(Full_Backlog!$F$4:$F$124,A25,Full_Backlog!$G$4:$G$124,"Done")+COUNTIFS(Full_Backlog!$F$4:$F$124,A25,Full_Backlog!$G$4:$G$124,"Code-complete — pending live")</f>
        <v/>
      </c>
      <c r="F25" s="3" t="inlineStr">
        <is>
          <t>BYOK, injection-hardened, attributed and capped</t>
        </is>
      </c>
    </row>
    <row r="26">
      <c r="A26" s="3" t="inlineStr">
        <is>
          <t>PR-11</t>
        </is>
      </c>
      <c r="B26" s="3" t="inlineStr">
        <is>
          <t>Atlassian Enterprise Certified programme</t>
        </is>
      </c>
      <c r="C26" s="3">
        <f>COUNTIF(Full_Backlog!$F$4:$F$124,A26)</f>
        <v/>
      </c>
      <c r="D26" s="3">
        <f>SUMIF(Full_Backlog!$F$4:$F$124,A26,Full_Backlog!$D$4:$D$124)</f>
        <v/>
      </c>
      <c r="E26" s="3">
        <f>COUNTIFS(Full_Backlog!$F$4:$F$124,A26,Full_Backlog!$G$4:$G$124,"Done")+COUNTIFS(Full_Backlog!$F$4:$F$124,A26,Full_Backlog!$G$4:$G$124,"Code-complete — pending live")</f>
        <v/>
      </c>
      <c r="F26" s="3" t="inlineStr">
        <is>
          <t>Every AEC row has an owner, date and evidence</t>
        </is>
      </c>
    </row>
    <row r="27">
      <c r="A27" s="3" t="inlineStr">
        <is>
          <t>TOTAL</t>
        </is>
      </c>
      <c r="B27" s="3" t="inlineStr"/>
      <c r="C27" s="8">
        <f>SUM(C4:C26)</f>
        <v/>
      </c>
      <c r="D27" s="8">
        <f>SUM(D4:D26)</f>
        <v/>
      </c>
      <c r="E27" s="8">
        <f>SUM(E4:E26)</f>
        <v/>
      </c>
      <c r="F27" s="3" t="inlineStr"/>
    </row>
    <row r="28">
      <c r="A28" s="3" t="inlineStr"/>
      <c r="B28" s="3" t="inlineStr">
        <is>
          <t>Velocity check: points/sprint S2-S8 should sit within 30-45 for a 4-6 person team. The PR-series sprints were executed by one build pass and are not a velocity signal.</t>
        </is>
      </c>
      <c r="C28" s="3" t="inlineStr"/>
      <c r="D28" s="3" t="inlineStr"/>
      <c r="E28" s="3" t="inlineStr"/>
      <c r="F28" s="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6"/>
  <sheetViews>
    <sheetView workbookViewId="0">
      <pane ySplit="3" topLeftCell="A4" activePane="bottomLeft" state="frozen"/>
      <selection pane="bottomLeft" activeCell="A1" sqref="A1"/>
    </sheetView>
  </sheetViews>
  <sheetFormatPr baseColWidth="8" defaultRowHeight="15" outlineLevelCol="0"/>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s>
  <sheetData>
    <row r="1">
      <c r="A1" s="1" t="inlineStr">
        <is>
          <t>18-MONTH FINANCIAL MODEL — Atlassian Forge PLG (edit the yellow assumptions)</t>
        </is>
      </c>
    </row>
    <row r="2">
      <c r="A2" s="5" t="inlineStr">
        <is>
          <t>CORRECTED 20/09 (C-3, external review V001): the marketplace fee was 17% and is 0% — eligible Forge apps keep 100% of gross revenue until $1,000,000 LIFETIME Forge revenue (from 01/01/2026); 84% from 01/04/2026 and 83% from 01/10/2026 apply only above that threshold. TestPulse qualifies (no Connect modules, OAuth, Forge UI). Net MRR was understated by ~20% across the whole horizon and breakeven moves earlier. ARPU is re-anchored to the per-user tiers in docs/pricing-faq.md, not the unlistable flat plans.</t>
        </is>
      </c>
    </row>
    <row r="3">
      <c r="A3" s="2" t="inlineStr">
        <is>
          <t>Assumption</t>
        </is>
      </c>
      <c r="B3" s="2" t="inlineStr">
        <is>
          <t>Value</t>
        </is>
      </c>
      <c r="C3" s="2" t="inlineStr">
        <is>
          <t>Note</t>
        </is>
      </c>
    </row>
    <row r="4">
      <c r="A4" s="3" t="inlineStr">
        <is>
          <t>Trials/installs (month 1)</t>
        </is>
      </c>
      <c r="B4" s="7" t="n">
        <v>40</v>
      </c>
      <c r="C4" s="3" t="inlineStr">
        <is>
          <t>Listing SEO + outbound; unvalidated (A-P1 / PR-14)</t>
        </is>
      </c>
    </row>
    <row r="5">
      <c r="A5" s="3" t="inlineStr">
        <is>
          <t>Monthly growth of that</t>
        </is>
      </c>
      <c r="B5" s="9" t="n">
        <v>0.12</v>
      </c>
      <c r="C5" s="3" t="inlineStr">
        <is>
          <t>Unvalidated assumption</t>
        </is>
      </c>
    </row>
    <row r="6">
      <c r="A6" s="3" t="inlineStr">
        <is>
          <t>Trial-&gt;paid %</t>
        </is>
      </c>
      <c r="B6" s="9" t="n">
        <v>0.14</v>
      </c>
      <c r="C6" s="3" t="inlineStr">
        <is>
          <t>Unvalidated assumption — the single most load-bearing number here</t>
        </is>
      </c>
    </row>
    <row r="7">
      <c r="A7" s="3" t="inlineStr">
        <is>
          <t>ARPU $/mo</t>
        </is>
      </c>
      <c r="B7" s="7" t="n">
        <v>79</v>
      </c>
      <c r="C7" s="3" t="inlineStr">
        <is>
          <t>RE-ANCHORED 20/09: per-user tiers, ~$2.90-3.20/user/mo, at a mixed ICP of roughly 25-30 Jira users. Sub-10-seat sites are conceded as free acquisition and are NOT in this ARPU.</t>
        </is>
      </c>
    </row>
    <row r="8">
      <c r="A8" s="3" t="inlineStr">
        <is>
          <t>Monthly churn</t>
        </is>
      </c>
      <c r="B8" s="9" t="n">
        <v>0.03</v>
      </c>
      <c r="C8" s="3" t="inlineStr">
        <is>
          <t>Unvalidated assumption</t>
        </is>
      </c>
    </row>
    <row r="9">
      <c r="A9" s="3" t="inlineStr">
        <is>
          <t>Marketplace fee</t>
        </is>
      </c>
      <c r="B9" s="9" t="n">
        <v>0</v>
      </c>
      <c r="C9" s="3" t="inlineStr">
        <is>
          <t>CORRECTED (C-3): 0% until $1M lifetime Forge revenue. Was 0.17. Above $1M: 0.16 from 01/04/2026, 0.17 from 01/10/2026.</t>
        </is>
      </c>
    </row>
    <row r="10">
      <c r="A10" s="3" t="inlineStr">
        <is>
          <t>Team cost month 1 (India-lean $)</t>
        </is>
      </c>
      <c r="B10" s="7" t="n">
        <v>20000</v>
      </c>
      <c r="C10" s="3" t="inlineStr">
        <is>
          <t>From Team_Roles_Budget (v004)</t>
        </is>
      </c>
    </row>
    <row r="11">
      <c r="A11" s="3" t="inlineStr">
        <is>
          <t>Cost growth/mo</t>
        </is>
      </c>
      <c r="B11" s="9" t="n">
        <v>0.03</v>
      </c>
      <c r="C11" s="3" t="inlineStr"/>
    </row>
    <row r="13">
      <c r="A13" s="2" t="inlineStr">
        <is>
          <t>Line</t>
        </is>
      </c>
      <c r="B13" s="2" t="inlineStr">
        <is>
          <t>M1</t>
        </is>
      </c>
      <c r="C13" s="2" t="inlineStr">
        <is>
          <t>M2</t>
        </is>
      </c>
      <c r="D13" s="2" t="inlineStr">
        <is>
          <t>M3</t>
        </is>
      </c>
      <c r="E13" s="2" t="inlineStr">
        <is>
          <t>M4</t>
        </is>
      </c>
      <c r="F13" s="2" t="inlineStr">
        <is>
          <t>M5</t>
        </is>
      </c>
      <c r="G13" s="2" t="inlineStr">
        <is>
          <t>M6</t>
        </is>
      </c>
      <c r="H13" s="2" t="inlineStr">
        <is>
          <t>M7</t>
        </is>
      </c>
      <c r="I13" s="2" t="inlineStr">
        <is>
          <t>M8</t>
        </is>
      </c>
      <c r="J13" s="2" t="inlineStr">
        <is>
          <t>M9</t>
        </is>
      </c>
      <c r="K13" s="2" t="inlineStr">
        <is>
          <t>M10</t>
        </is>
      </c>
      <c r="L13" s="2" t="inlineStr">
        <is>
          <t>M11</t>
        </is>
      </c>
      <c r="M13" s="2" t="inlineStr">
        <is>
          <t>M12</t>
        </is>
      </c>
      <c r="N13" s="2" t="inlineStr">
        <is>
          <t>M13</t>
        </is>
      </c>
      <c r="O13" s="2" t="inlineStr">
        <is>
          <t>M14</t>
        </is>
      </c>
      <c r="P13" s="2" t="inlineStr">
        <is>
          <t>M15</t>
        </is>
      </c>
      <c r="Q13" s="2" t="inlineStr">
        <is>
          <t>M16</t>
        </is>
      </c>
      <c r="R13" s="2" t="inlineStr">
        <is>
          <t>M17</t>
        </is>
      </c>
      <c r="S13" s="2" t="inlineStr">
        <is>
          <t>M18</t>
        </is>
      </c>
    </row>
    <row r="14">
      <c r="A14" s="3" t="inlineStr">
        <is>
          <t>Leads/installs</t>
        </is>
      </c>
      <c r="B14" s="3">
        <f>$B$4</f>
        <v/>
      </c>
      <c r="C14" s="3">
        <f>B14*(1+$B$5)</f>
        <v/>
      </c>
      <c r="D14" s="3">
        <f>C14*(1+$B$5)</f>
        <v/>
      </c>
      <c r="E14" s="3">
        <f>D14*(1+$B$5)</f>
        <v/>
      </c>
      <c r="F14" s="3">
        <f>E14*(1+$B$5)</f>
        <v/>
      </c>
      <c r="G14" s="3">
        <f>F14*(1+$B$5)</f>
        <v/>
      </c>
      <c r="H14" s="3">
        <f>G14*(1+$B$5)</f>
        <v/>
      </c>
      <c r="I14" s="3">
        <f>H14*(1+$B$5)</f>
        <v/>
      </c>
      <c r="J14" s="3">
        <f>I14*(1+$B$5)</f>
        <v/>
      </c>
      <c r="K14" s="3">
        <f>J14*(1+$B$5)</f>
        <v/>
      </c>
      <c r="L14" s="3">
        <f>K14*(1+$B$5)</f>
        <v/>
      </c>
      <c r="M14" s="3">
        <f>L14*(1+$B$5)</f>
        <v/>
      </c>
      <c r="N14" s="3">
        <f>M14*(1+$B$5)</f>
        <v/>
      </c>
      <c r="O14" s="3">
        <f>N14*(1+$B$5)</f>
        <v/>
      </c>
      <c r="P14" s="3">
        <f>O14*(1+$B$5)</f>
        <v/>
      </c>
      <c r="Q14" s="3">
        <f>P14*(1+$B$5)</f>
        <v/>
      </c>
      <c r="R14" s="3">
        <f>Q14*(1+$B$5)</f>
        <v/>
      </c>
      <c r="S14" s="3">
        <f>R14*(1+$B$5)</f>
        <v/>
      </c>
    </row>
    <row r="15">
      <c r="A15" s="3" t="inlineStr">
        <is>
          <t>New paying</t>
        </is>
      </c>
      <c r="B15" s="3">
        <f>ROUND(B14*$B$6,1)</f>
        <v/>
      </c>
      <c r="C15" s="3">
        <f>ROUND(C14*$B$6,1)</f>
        <v/>
      </c>
      <c r="D15" s="3">
        <f>ROUND(D14*$B$6,1)</f>
        <v/>
      </c>
      <c r="E15" s="3">
        <f>ROUND(E14*$B$6,1)</f>
        <v/>
      </c>
      <c r="F15" s="3">
        <f>ROUND(F14*$B$6,1)</f>
        <v/>
      </c>
      <c r="G15" s="3">
        <f>ROUND(G14*$B$6,1)</f>
        <v/>
      </c>
      <c r="H15" s="3">
        <f>ROUND(H14*$B$6,1)</f>
        <v/>
      </c>
      <c r="I15" s="3">
        <f>ROUND(I14*$B$6,1)</f>
        <v/>
      </c>
      <c r="J15" s="3">
        <f>ROUND(J14*$B$6,1)</f>
        <v/>
      </c>
      <c r="K15" s="3">
        <f>ROUND(K14*$B$6,1)</f>
        <v/>
      </c>
      <c r="L15" s="3">
        <f>ROUND(L14*$B$6,1)</f>
        <v/>
      </c>
      <c r="M15" s="3">
        <f>ROUND(M14*$B$6,1)</f>
        <v/>
      </c>
      <c r="N15" s="3">
        <f>ROUND(N14*$B$6,1)</f>
        <v/>
      </c>
      <c r="O15" s="3">
        <f>ROUND(O14*$B$6,1)</f>
        <v/>
      </c>
      <c r="P15" s="3">
        <f>ROUND(P14*$B$6,1)</f>
        <v/>
      </c>
      <c r="Q15" s="3">
        <f>ROUND(Q14*$B$6,1)</f>
        <v/>
      </c>
      <c r="R15" s="3">
        <f>ROUND(R14*$B$6,1)</f>
        <v/>
      </c>
      <c r="S15" s="3">
        <f>ROUND(S14*$B$6,1)</f>
        <v/>
      </c>
    </row>
    <row r="16">
      <c r="A16" s="3" t="inlineStr">
        <is>
          <t>Paying accounts</t>
        </is>
      </c>
      <c r="B16" s="3">
        <f>B15</f>
        <v/>
      </c>
      <c r="C16" s="3">
        <f>ROUND(B16*(1-$B$8)+C15,1)</f>
        <v/>
      </c>
      <c r="D16" s="3">
        <f>ROUND(C16*(1-$B$8)+D15,1)</f>
        <v/>
      </c>
      <c r="E16" s="3">
        <f>ROUND(D16*(1-$B$8)+E15,1)</f>
        <v/>
      </c>
      <c r="F16" s="3">
        <f>ROUND(E16*(1-$B$8)+F15,1)</f>
        <v/>
      </c>
      <c r="G16" s="3">
        <f>ROUND(F16*(1-$B$8)+G15,1)</f>
        <v/>
      </c>
      <c r="H16" s="3">
        <f>ROUND(G16*(1-$B$8)+H15,1)</f>
        <v/>
      </c>
      <c r="I16" s="3">
        <f>ROUND(H16*(1-$B$8)+I15,1)</f>
        <v/>
      </c>
      <c r="J16" s="3">
        <f>ROUND(I16*(1-$B$8)+J15,1)</f>
        <v/>
      </c>
      <c r="K16" s="3">
        <f>ROUND(J16*(1-$B$8)+K15,1)</f>
        <v/>
      </c>
      <c r="L16" s="3">
        <f>ROUND(K16*(1-$B$8)+L15,1)</f>
        <v/>
      </c>
      <c r="M16" s="3">
        <f>ROUND(L16*(1-$B$8)+M15,1)</f>
        <v/>
      </c>
      <c r="N16" s="3">
        <f>ROUND(M16*(1-$B$8)+N15,1)</f>
        <v/>
      </c>
      <c r="O16" s="3">
        <f>ROUND(N16*(1-$B$8)+O15,1)</f>
        <v/>
      </c>
      <c r="P16" s="3">
        <f>ROUND(O16*(1-$B$8)+P15,1)</f>
        <v/>
      </c>
      <c r="Q16" s="3">
        <f>ROUND(P16*(1-$B$8)+Q15,1)</f>
        <v/>
      </c>
      <c r="R16" s="3">
        <f>ROUND(Q16*(1-$B$8)+R15,1)</f>
        <v/>
      </c>
      <c r="S16" s="3">
        <f>ROUND(R16*(1-$B$8)+S15,1)</f>
        <v/>
      </c>
    </row>
    <row r="17">
      <c r="A17" s="3" t="inlineStr">
        <is>
          <t>MRR (net of fee)</t>
        </is>
      </c>
      <c r="B17" s="3">
        <f>ROUND(B16*$B$7*(1-$B$9),0)</f>
        <v/>
      </c>
      <c r="C17" s="3">
        <f>ROUND(C16*$B$7*(1-$B$9),0)</f>
        <v/>
      </c>
      <c r="D17" s="3">
        <f>ROUND(D16*$B$7*(1-$B$9),0)</f>
        <v/>
      </c>
      <c r="E17" s="3">
        <f>ROUND(E16*$B$7*(1-$B$9),0)</f>
        <v/>
      </c>
      <c r="F17" s="3">
        <f>ROUND(F16*$B$7*(1-$B$9),0)</f>
        <v/>
      </c>
      <c r="G17" s="3">
        <f>ROUND(G16*$B$7*(1-$B$9),0)</f>
        <v/>
      </c>
      <c r="H17" s="3">
        <f>ROUND(H16*$B$7*(1-$B$9),0)</f>
        <v/>
      </c>
      <c r="I17" s="3">
        <f>ROUND(I16*$B$7*(1-$B$9),0)</f>
        <v/>
      </c>
      <c r="J17" s="3">
        <f>ROUND(J16*$B$7*(1-$B$9),0)</f>
        <v/>
      </c>
      <c r="K17" s="3">
        <f>ROUND(K16*$B$7*(1-$B$9),0)</f>
        <v/>
      </c>
      <c r="L17" s="3">
        <f>ROUND(L16*$B$7*(1-$B$9),0)</f>
        <v/>
      </c>
      <c r="M17" s="3">
        <f>ROUND(M16*$B$7*(1-$B$9),0)</f>
        <v/>
      </c>
      <c r="N17" s="3">
        <f>ROUND(N16*$B$7*(1-$B$9),0)</f>
        <v/>
      </c>
      <c r="O17" s="3">
        <f>ROUND(O16*$B$7*(1-$B$9),0)</f>
        <v/>
      </c>
      <c r="P17" s="3">
        <f>ROUND(P16*$B$7*(1-$B$9),0)</f>
        <v/>
      </c>
      <c r="Q17" s="3">
        <f>ROUND(Q16*$B$7*(1-$B$9),0)</f>
        <v/>
      </c>
      <c r="R17" s="3">
        <f>ROUND(R16*$B$7*(1-$B$9),0)</f>
        <v/>
      </c>
      <c r="S17" s="3">
        <f>ROUND(S16*$B$7*(1-$B$9),0)</f>
        <v/>
      </c>
    </row>
    <row r="18">
      <c r="A18" s="3" t="inlineStr">
        <is>
          <t>Team cost</t>
        </is>
      </c>
      <c r="B18" s="3">
        <f>$B$10</f>
        <v/>
      </c>
      <c r="C18" s="3">
        <f>ROUND(B18*(1+$B$11),0)</f>
        <v/>
      </c>
      <c r="D18" s="3">
        <f>ROUND(C18*(1+$B$11),0)</f>
        <v/>
      </c>
      <c r="E18" s="3">
        <f>ROUND(D18*(1+$B$11),0)</f>
        <v/>
      </c>
      <c r="F18" s="3">
        <f>ROUND(E18*(1+$B$11),0)</f>
        <v/>
      </c>
      <c r="G18" s="3">
        <f>ROUND(F18*(1+$B$11),0)</f>
        <v/>
      </c>
      <c r="H18" s="3">
        <f>ROUND(G18*(1+$B$11),0)</f>
        <v/>
      </c>
      <c r="I18" s="3">
        <f>ROUND(H18*(1+$B$11),0)</f>
        <v/>
      </c>
      <c r="J18" s="3">
        <f>ROUND(I18*(1+$B$11),0)</f>
        <v/>
      </c>
      <c r="K18" s="3">
        <f>ROUND(J18*(1+$B$11),0)</f>
        <v/>
      </c>
      <c r="L18" s="3">
        <f>ROUND(K18*(1+$B$11),0)</f>
        <v/>
      </c>
      <c r="M18" s="3">
        <f>ROUND(L18*(1+$B$11),0)</f>
        <v/>
      </c>
      <c r="N18" s="3">
        <f>ROUND(M18*(1+$B$11),0)</f>
        <v/>
      </c>
      <c r="O18" s="3">
        <f>ROUND(N18*(1+$B$11),0)</f>
        <v/>
      </c>
      <c r="P18" s="3">
        <f>ROUND(O18*(1+$B$11),0)</f>
        <v/>
      </c>
      <c r="Q18" s="3">
        <f>ROUND(P18*(1+$B$11),0)</f>
        <v/>
      </c>
      <c r="R18" s="3">
        <f>ROUND(Q18*(1+$B$11),0)</f>
        <v/>
      </c>
      <c r="S18" s="3">
        <f>ROUND(R18*(1+$B$11),0)</f>
        <v/>
      </c>
    </row>
    <row r="19">
      <c r="A19" s="3" t="inlineStr">
        <is>
          <t>Net cash/mo</t>
        </is>
      </c>
      <c r="B19" s="3">
        <f>B17-B18</f>
        <v/>
      </c>
      <c r="C19" s="3">
        <f>C17-C18</f>
        <v/>
      </c>
      <c r="D19" s="3">
        <f>D17-D18</f>
        <v/>
      </c>
      <c r="E19" s="3">
        <f>E17-E18</f>
        <v/>
      </c>
      <c r="F19" s="3">
        <f>F17-F18</f>
        <v/>
      </c>
      <c r="G19" s="3">
        <f>G17-G18</f>
        <v/>
      </c>
      <c r="H19" s="3">
        <f>H17-H18</f>
        <v/>
      </c>
      <c r="I19" s="3">
        <f>I17-I18</f>
        <v/>
      </c>
      <c r="J19" s="3">
        <f>J17-J18</f>
        <v/>
      </c>
      <c r="K19" s="3">
        <f>K17-K18</f>
        <v/>
      </c>
      <c r="L19" s="3">
        <f>L17-L18</f>
        <v/>
      </c>
      <c r="M19" s="3">
        <f>M17-M18</f>
        <v/>
      </c>
      <c r="N19" s="3">
        <f>N17-N18</f>
        <v/>
      </c>
      <c r="O19" s="3">
        <f>O17-O18</f>
        <v/>
      </c>
      <c r="P19" s="3">
        <f>P17-P18</f>
        <v/>
      </c>
      <c r="Q19" s="3">
        <f>Q17-Q18</f>
        <v/>
      </c>
      <c r="R19" s="3">
        <f>R17-R18</f>
        <v/>
      </c>
      <c r="S19" s="3">
        <f>S17-S18</f>
        <v/>
      </c>
    </row>
    <row r="20">
      <c r="A20" s="3" t="inlineStr">
        <is>
          <t>Cumulative</t>
        </is>
      </c>
      <c r="B20" s="3">
        <f>B19</f>
        <v/>
      </c>
      <c r="C20" s="3">
        <f>B20+C19</f>
        <v/>
      </c>
      <c r="D20" s="3">
        <f>C20+D19</f>
        <v/>
      </c>
      <c r="E20" s="3">
        <f>D20+E19</f>
        <v/>
      </c>
      <c r="F20" s="3">
        <f>E20+F19</f>
        <v/>
      </c>
      <c r="G20" s="3">
        <f>F20+G19</f>
        <v/>
      </c>
      <c r="H20" s="3">
        <f>G20+H19</f>
        <v/>
      </c>
      <c r="I20" s="3">
        <f>H20+I19</f>
        <v/>
      </c>
      <c r="J20" s="3">
        <f>I20+J19</f>
        <v/>
      </c>
      <c r="K20" s="3">
        <f>J20+K19</f>
        <v/>
      </c>
      <c r="L20" s="3">
        <f>K20+L19</f>
        <v/>
      </c>
      <c r="M20" s="3">
        <f>L20+M19</f>
        <v/>
      </c>
      <c r="N20" s="3">
        <f>M20+N19</f>
        <v/>
      </c>
      <c r="O20" s="3">
        <f>N20+O19</f>
        <v/>
      </c>
      <c r="P20" s="3">
        <f>O20+P19</f>
        <v/>
      </c>
      <c r="Q20" s="3">
        <f>P20+Q19</f>
        <v/>
      </c>
      <c r="R20" s="3">
        <f>Q20+R19</f>
        <v/>
      </c>
      <c r="S20" s="3">
        <f>R20+S19</f>
        <v/>
      </c>
    </row>
    <row r="22">
      <c r="A22" s="5" t="inlineStr">
        <is>
          <t>Reading: churn applies before adds; MRR nets the marketplace fee, which is now ZERO until $1M lifetime Forge revenue (C-3). Breakeven = first month Net cash &gt;= 0.</t>
        </is>
      </c>
    </row>
    <row r="23">
      <c r="A23" s="5" t="inlineStr">
        <is>
          <t>BREAKEVEN IS NOT REACHED INSIDE THIS 18-MONTH HORIZON at these assumptions: M18 net cash is about -$12k/month against MRR of about $21k, on a team cost that starts at $20,000/month and compounds at 3%. The fee correction raised every MRR figure by ~20% and moved breakeven EARLIER, as the review said it would — it did not move it inside the window. Stating that plainly is the point of the correction; a model that showed breakeven here would be a model with the wrong team cost in it.</t>
        </is>
      </c>
    </row>
    <row r="24">
      <c r="A24" s="5" t="inlineStr">
        <is>
          <t>The lever is not the fee. It is trial-&gt;paid (0.14) and ARPU: at a solo-build cost base rather than a $20k/month team, this model is cash-positive early. Whichever cost base is real should be put in B10 before this sheet is used for a decision.</t>
        </is>
      </c>
    </row>
    <row r="25">
      <c r="A25" s="5" t="inlineStr">
        <is>
          <t>This is a planning model, not a forecast. Every assumption above is unvalidated — the review scored primary validation at zero and it is still zero until PR-14 produces design partners. Replace these with real beta actuals before quoting any of it.</t>
        </is>
      </c>
    </row>
    <row r="26">
      <c r="A26" s="5" t="inlineStr">
        <is>
          <t>What the fee correction changed: at the same assumptions, every MRR figure is ~20% higher than the v034 model showed, because 17% of gross was being deducted that Atlassian does not take.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5" outlineLevelCol="0"/>
  <cols>
    <col width="8" customWidth="1" min="1" max="1"/>
    <col width="11" customWidth="1" min="2" max="2"/>
    <col width="24" customWidth="1" min="3" max="3"/>
    <col width="74" customWidth="1" min="4" max="4"/>
    <col width="74" customWidth="1" min="5" max="5"/>
    <col width="38" customWidth="1" min="6" max="6"/>
  </cols>
  <sheetData>
    <row r="1">
      <c r="A1" s="1" t="inlineStr">
        <is>
          <t>EXTERNAL REVIEW V001 — Perplexity Computer, 16/09/2026. All five findings accepted and closed.</t>
        </is>
      </c>
    </row>
    <row r="2">
      <c r="A2" s="5" t="inlineStr">
        <is>
          <t>The reviewer executed the shipped code from the lockfile and reproduced our CI independently before finding anything — the 426-test claim was the only one it found UNDERSTATED. Yellow = your decision.</t>
        </is>
      </c>
    </row>
    <row r="3">
      <c r="A3" s="2" t="inlineStr">
        <is>
          <t>ID</t>
        </is>
      </c>
      <c r="B3" s="2" t="inlineStr">
        <is>
          <t>Severity</t>
        </is>
      </c>
      <c r="C3" s="2" t="inlineStr">
        <is>
          <t>Area</t>
        </is>
      </c>
      <c r="D3" s="2" t="inlineStr">
        <is>
          <t>Finding</t>
        </is>
      </c>
      <c r="E3" s="2" t="inlineStr">
        <is>
          <t>Disposition in code</t>
        </is>
      </c>
      <c r="F3" s="2" t="inlineStr">
        <is>
          <t>Senthil decision</t>
        </is>
      </c>
    </row>
    <row r="4">
      <c r="A4" s="3" t="inlineStr">
        <is>
          <t>PRX-01</t>
        </is>
      </c>
      <c r="B4" s="3" t="inlineStr">
        <is>
          <t>HIGH</t>
        </is>
      </c>
      <c r="C4" s="3" t="inlineStr">
        <is>
          <t>testgen / aiProvider</t>
        </is>
      </c>
      <c r="D4" s="3" t="inlineStr">
        <is>
          <t>Repeat generation creates duplicate case ids — the panel ships a "Generate more cases" button and ids are derived from the story key. importCases already solved this in the same file and the fix was not applied to the generation paths.</t>
        </is>
      </c>
      <c r="E4" s="3" t="inlineStr">
        <is>
          <t>ACCEPTED + FIXED — unique time-sortable ids on every creation path incl. AI, asserted at write by insert-if-absent; a shared counter was deliberately NOT used because it would itself have been a PRX-02 race. version + updatedAt added (EG-04 seed).</t>
        </is>
      </c>
      <c r="F4" s="7" t="inlineStr">
        <is>
          <t>None</t>
        </is>
      </c>
    </row>
    <row r="5">
      <c r="A5" s="3" t="inlineStr">
        <is>
          <t>PRX-02</t>
        </is>
      </c>
      <c r="B5" s="3" t="inlineStr">
        <is>
          <t>CRITICAL</t>
        </is>
      </c>
      <c r="C5" s="3" t="inlineStr">
        <is>
          <t>forgeStore + every collection writer</t>
        </is>
      </c>
      <c r="D5" s="3" t="inlineStr">
        <is>
          <t>Concurrent invocations silently lose writes: hydrate, mutate the whole collection, flush, last writer wins. Also drops audit entries and webhook replay ids — a security control, not just a feature. No gate could see it: concurrency is not a property of a path.</t>
        </is>
      </c>
      <c r="E5" s="3" t="inlineStr">
        <is>
          <t>ACCEPTED + FIXED — versioned values with compare-and-set, commutative reducers for ledgers and counters, one key per entity, conflicts surfaced as 409. New standing gate G-5 and lesson L-P8.</t>
        </is>
      </c>
      <c r="F5" s="7" t="inlineStr">
        <is>
          <t>Ratify: on KVS the CAS is emulated (no conditional write exists); Forge SQL has a real one and is built. D19 decides at PR-04.</t>
        </is>
      </c>
    </row>
    <row r="6">
      <c r="A6" s="3" t="inlineStr">
        <is>
          <t>PRX-03</t>
        </is>
      </c>
      <c r="B6" s="3" t="inlineStr">
        <is>
          <t>MED-HIGH</t>
        </is>
      </c>
      <c r="C6" s="3" t="inlineStr">
        <is>
          <t>permissions / LC-6</t>
        </is>
      </c>
      <c r="D6" s="3" t="inlineStr">
        <is>
          <t>Project scope is recorded, never enforced — LC-6 published as "Done-in-code — scope-aware guard" when the guard only logged. On a site with a restricted project, any licensed member saw everything.</t>
        </is>
      </c>
      <c r="E6" s="3" t="inlineStr">
        <is>
          <t>ACCEPTED + FIXED — scope is part of the decision, checked against Jira BROWSE_PROJECTS asUser and failing closed. LC-6 downgraded to Open as instructed; it flips only with live evidence.</t>
        </is>
      </c>
      <c r="F6" s="7" t="inlineStr">
        <is>
          <t>None — but read the LC-6 row before quoting any status externally.</t>
        </is>
      </c>
    </row>
    <row r="7">
      <c r="A7" s="3" t="inlineStr">
        <is>
          <t>PRX-04</t>
        </is>
      </c>
      <c r="B7" s="3" t="inlineStr">
        <is>
          <t>MED</t>
        </is>
      </c>
      <c r="C7" s="3" t="inlineStr">
        <is>
          <t>flaky / ledger</t>
        </is>
      </c>
      <c r="D7" s="3" t="inlineStr">
        <is>
          <t>One noisy test evicts every real flaky signal: one FIFO ledger was both the storage cap and the analysis window, so the headline analytic degraded to noise at exactly the volume that made it valuable.</t>
        </is>
      </c>
      <c r="E7" s="3" t="inlineStr">
        <is>
          <t>ACCEPTED + FIXED — per-run storage under a bounded 50-run index and per-test, per-branch scoring windows. Supported CI throughput is now published.</t>
        </is>
      </c>
      <c r="F7" s="7" t="inlineStr">
        <is>
          <t>Ratify the 50-run retention default (it is the retention policy in practice).</t>
        </is>
      </c>
    </row>
    <row r="8">
      <c r="A8" s="3" t="inlineStr">
        <is>
          <t>PRX-05</t>
        </is>
      </c>
      <c r="B8" s="3" t="inlineStr">
        <is>
          <t>MED</t>
        </is>
      </c>
      <c r="C8" s="3" t="inlineStr">
        <is>
          <t>forgeGlue / forgeStore</t>
        </is>
      </c>
      <c r="D8" s="3" t="inlineStr">
        <is>
          <t>Every invocation loads the entire tenant; PERF-04 removed the multiplier, not the linearity.</t>
        </is>
      </c>
      <c r="E8" s="3" t="inlineStr">
        <is>
          <t>ACCEPTED + FIXED — per-call declared storage scopes, enforced by throwing on an undeclared read. whoami loads 2 keys. Closes OBS-TP1.</t>
        </is>
      </c>
      <c r="F8" s="7" t="inlineStr">
        <is>
          <t>None — the replacement cost (round trips per listing) is published in the envelope.</t>
        </is>
      </c>
    </row>
    <row r="9">
      <c r="A9" s="3" t="inlineStr">
        <is>
          <t>TOTAL</t>
        </is>
      </c>
      <c r="B9" s="3" t="inlineStr">
        <is>
          <t>Findings accepted</t>
        </is>
      </c>
      <c r="C9" s="3">
        <f>COUNTA(A4:A8)</f>
        <v/>
      </c>
      <c r="D9" s="3" t="inlineStr">
        <is>
          <t>Critical/High closed</t>
        </is>
      </c>
      <c r="E9" s="3">
        <f>COUNTIF(B4:B8,"CRITICAL")+COUNTIF(B4:B8,"HIGH")</f>
        <v/>
      </c>
      <c r="F9" s="3" t="inlineStr">
        <is>
          <t>All fixed with pinned regressions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outlineLevelCol="0"/>
  <cols>
    <col width="7" customWidth="1" min="1" max="1"/>
    <col width="30" customWidth="1" min="2" max="2"/>
    <col width="80" customWidth="1" min="3" max="3"/>
    <col width="80" customWidth="1" min="4" max="4"/>
    <col width="12" customWidth="1" min="5" max="5"/>
  </cols>
  <sheetData>
    <row r="1">
      <c r="A1" s="1" t="inlineStr">
        <is>
          <t>ARTIFACT CORRECTIONS C-1..C-7 — applied 20/09</t>
        </is>
      </c>
    </row>
    <row r="2">
      <c r="A2" s="5" t="inlineStr">
        <is>
          <t>Two of these made a published status WORSE. That is the point of them.</t>
        </is>
      </c>
    </row>
    <row r="3">
      <c r="A3" s="2" t="inlineStr">
        <is>
          <t>ID</t>
        </is>
      </c>
      <c r="B3" s="2" t="inlineStr">
        <is>
          <t>Artifact</t>
        </is>
      </c>
      <c r="C3" s="2" t="inlineStr">
        <is>
          <t>Correction</t>
        </is>
      </c>
      <c r="D3" s="2" t="inlineStr">
        <is>
          <t>Applied</t>
        </is>
      </c>
      <c r="E3" s="2" t="inlineStr">
        <is>
          <t>Status</t>
        </is>
      </c>
    </row>
    <row r="4">
      <c r="A4" s="3" t="inlineStr">
        <is>
          <t>C-1</t>
        </is>
      </c>
      <c r="B4" s="3" t="inlineStr">
        <is>
          <t>tracker LC-6</t>
        </is>
      </c>
      <c r="C4" s="3" t="inlineStr">
        <is>
          <t>"Done-in-code — scope-aware guard" -&gt; OPEN; scope was logged, not enforced</t>
        </is>
      </c>
      <c r="D4" s="3" t="inlineStr">
        <is>
          <t>LC-6 Open in tracker v028. Enforcement shipped (PR-09) but the row waits for live evidence.</t>
        </is>
      </c>
      <c r="E4" s="6" t="inlineStr">
        <is>
          <t>APPLIED</t>
        </is>
      </c>
    </row>
    <row r="5">
      <c r="A5" s="3" t="inlineStr">
        <is>
          <t>C-2</t>
        </is>
      </c>
      <c r="B5" s="3" t="inlineStr">
        <is>
          <t>cloud-fortified-gap.md, LC-3</t>
        </is>
      </c>
      <c r="C5" s="3" t="inlineStr">
        <is>
          <t>Programme closed 01/09/2026, retires 31/12/2026. Retarget to Atlassian Enterprise Certified; LC-3 -&gt; OPEN</t>
        </is>
      </c>
      <c r="D5" s="3" t="inlineStr">
        <is>
          <t>File deleted; docs/enterprise-certified-gap.md written against AEC row by row. LC-3 Open. Pen test + bug bounty marked as procurement.</t>
        </is>
      </c>
      <c r="E5" s="6" t="inlineStr">
        <is>
          <t>APPLIED</t>
        </is>
      </c>
    </row>
    <row r="6">
      <c r="A6" s="3" t="inlineStr">
        <is>
          <t>C-3</t>
        </is>
      </c>
      <c r="B6" s="3" t="inlineStr">
        <is>
          <t>Financial_Model B9</t>
        </is>
      </c>
      <c r="C6" s="3" t="inlineStr">
        <is>
          <t>Fee 0.17 -&gt; 0.00 until $1M lifetime Forge revenue; restate breakeven</t>
        </is>
      </c>
      <c r="D6" s="3" t="inlineStr">
        <is>
          <t>Fee = 0%; MRR ~20% higher across the horizon; the pricing anchor is re-derived on it.</t>
        </is>
      </c>
      <c r="E6" s="6" t="inlineStr">
        <is>
          <t>APPLIED</t>
        </is>
      </c>
    </row>
    <row r="7">
      <c r="A7" s="3" t="inlineStr">
        <is>
          <t>C-4</t>
        </is>
      </c>
      <c r="B7" s="3" t="inlineStr">
        <is>
          <t>RAID R-P2</t>
        </is>
      </c>
      <c r="C7" s="3" t="inlineStr">
        <is>
          <t>"Xray/Zephyr respond with AI" Open -&gt; MATERIALISED; rewrite the differentiation claim</t>
        </is>
      </c>
      <c r="D7" s="3" t="inlineStr">
        <is>
          <t>R-P2 Materialised; ReadMe_Scope rewritten around the release decision rather than AI generation.</t>
        </is>
      </c>
      <c r="E7" s="6" t="inlineStr">
        <is>
          <t>APPLIED</t>
        </is>
      </c>
    </row>
    <row r="8">
      <c r="A8" s="3" t="inlineStr">
        <is>
          <t>C-5</t>
        </is>
      </c>
      <c r="B8" s="3" t="inlineStr">
        <is>
          <t>runs-on-atlassian-assessment.md</t>
        </is>
      </c>
      <c r="C8" s="3" t="inlineStr">
        <is>
          <t>The badge no longer changes revenue share; it is a trust signal — which strengthens Option B</t>
        </is>
      </c>
      <c r="D8" s="3" t="inlineStr">
        <is>
          <t>Section added; Decision 2 adopted as Option B with the better reason.</t>
        </is>
      </c>
      <c r="E8" s="6" t="inlineStr">
        <is>
          <t>APPLIED</t>
        </is>
      </c>
    </row>
    <row r="9">
      <c r="A9" s="3" t="inlineStr">
        <is>
          <t>C-6</t>
        </is>
      </c>
      <c r="B9" s="3" t="inlineStr">
        <is>
          <t>Scale_Envelope / performance-envelope.md</t>
        </is>
      </c>
      <c r="C9" s="3" t="inlineStr">
        <is>
          <t>The flaky cap is also the analysis window; publish a supported CI-throughput figure</t>
        </is>
      </c>
      <c r="D9" s="3" t="inlineStr">
        <is>
          <t>Envelope re-baselined; throughput published (20,000/run, 1 MiB/post, last 50 runs) plus the round-trip costs that replaced the row ceilings.</t>
        </is>
      </c>
      <c r="E9" s="6" t="inlineStr">
        <is>
          <t>APPLIED</t>
        </is>
      </c>
    </row>
    <row r="10">
      <c r="A10" s="3" t="inlineStr">
        <is>
          <t>C-7</t>
        </is>
      </c>
      <c r="B10" s="3" t="inlineStr">
        <is>
          <t>package.json</t>
        </is>
      </c>
      <c r="C10" s="3" t="inlineStr">
        <is>
          <t>Move express to devDependencies</t>
        </is>
      </c>
      <c r="D10" s="3" t="inlineStr">
        <is>
          <t>Done; production dependencies are now empty and the harness refuses to start in production.</t>
        </is>
      </c>
      <c r="E10" s="6" t="inlineStr">
        <is>
          <t>APPLIED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outlineLevelCol="0"/>
  <cols>
    <col width="5" customWidth="1" min="1" max="1"/>
    <col width="30" customWidth="1" min="2" max="2"/>
    <col width="66" customWidth="1" min="3" max="3"/>
    <col width="80" customWidth="1" min="4" max="4"/>
    <col width="30" customWidth="1" min="5" max="5"/>
  </cols>
  <sheetData>
    <row r="1">
      <c r="A1" s="1" t="inlineStr">
        <is>
          <t>THE SIX DECISIONS — the reviewer's recommendation, and where each one now stands</t>
        </is>
      </c>
    </row>
    <row r="2">
      <c r="A2" s="5" t="inlineStr">
        <is>
          <t>Yellow = still yours. Decisions 2, 3 and 4 are effectively settled by what shipped; 1, 5 and 6 are actions only you can take.</t>
        </is>
      </c>
    </row>
    <row r="3">
      <c r="A3" s="2" t="inlineStr">
        <is>
          <t>#</t>
        </is>
      </c>
      <c r="B3" s="2" t="inlineStr">
        <is>
          <t>Decision</t>
        </is>
      </c>
      <c r="C3" s="2" t="inlineStr">
        <is>
          <t>Reviewer recommendation</t>
        </is>
      </c>
      <c r="D3" s="2" t="inlineStr">
        <is>
          <t>Where it stands after 20/09</t>
        </is>
      </c>
      <c r="E3" s="2" t="inlineStr">
        <is>
          <t>Still open?</t>
        </is>
      </c>
    </row>
    <row r="4">
      <c r="A4" s="3" t="n">
        <v>1</v>
      </c>
      <c r="B4" s="3" t="inlineStr">
        <is>
          <t>Run LC-1 (live install)</t>
        </is>
      </c>
      <c r="C4" s="3" t="inlineStr">
        <is>
          <t>DO IT THIS WEEK, before any further code. ~45 minutes, unblocks 15 stories and every scale and latency number.</t>
        </is>
      </c>
      <c r="D4" s="3" t="inlineStr">
        <is>
          <t>Still the single highest-return action in the pack, and now it also carries four new questions: extension.project.key, the restricted-project denial that flips LC-6, a real CI post, and the two wall-time figures that decide Forge SQL (D19). Everything that could be prepared for it is prepared.</t>
        </is>
      </c>
      <c r="E4" s="10" t="inlineStr">
        <is>
          <t>YES — Senthil, ~45 min</t>
        </is>
      </c>
    </row>
    <row r="5">
      <c r="A5" s="3" t="n">
        <v>2</v>
      </c>
      <c r="B5" s="3" t="inlineStr">
        <is>
          <t>Runs on Atlassian badge vs AI</t>
        </is>
      </c>
      <c r="C5" s="3" t="inlineStr">
        <is>
          <t>KEEP AI (Option B). The badge no longer carries the revenue incentive; the enterprise bar is AEC, which wants egress transparency not zero egress.</t>
        </is>
      </c>
      <c r="D5" s="3" t="inlineStr">
        <is>
          <t>ADOPTED. The assessment carries the revenue-share correction (C-5), and the off-by-default posture is now named on the trust page as "no-egress mode" — the reviewer's own suggestion. No second major version was built.</t>
        </is>
      </c>
      <c r="E5" s="7" t="inlineStr">
        <is>
          <t>Settled unless a design partner is contractually blocked</t>
        </is>
      </c>
    </row>
    <row r="6">
      <c r="A6" s="3" t="n">
        <v>3</v>
      </c>
      <c r="B6" s="3" t="inlineStr">
        <is>
          <t>AI on or off at launch</t>
        </is>
      </c>
      <c r="C6" s="3" t="inlineStr">
        <is>
          <t>OFF by default with a prominent in-panel enable prompt, plus BYO key.</t>
        </is>
      </c>
      <c r="D6" s="3" t="inlineStr">
        <is>
          <t>ADOPTED and gone further: off by default, BYO key in Forge Secret Storage, a monthly ceiling on the shared key so vendor COGS cannot run away, per-tenant cost attribution, and injection hardening. The "weaker demo" problem is now an activation-design problem, as the reviewer framed it.</t>
        </is>
      </c>
      <c r="E6" s="6" t="inlineStr">
        <is>
          <t>Settled</t>
        </is>
      </c>
    </row>
    <row r="7">
      <c r="A7" s="3" t="n">
        <v>4</v>
      </c>
      <c r="B7" s="3" t="inlineStr">
        <is>
          <t>Positioning: Release Quality Intelligence</t>
        </is>
      </c>
      <c r="C7" s="3" t="inlineStr">
        <is>
          <t>ADOPT IT — but only after PR-05, because today the two heaviest inputs are typed in by hand.</t>
        </is>
      </c>
      <c r="D7" s="3" t="inlineStr">
        <is>
          <t>EARNED. PR-05 shipped: every factor derived from Jira, CI results or recorded executions, each naming its source, with an attributed override. ReadMe_Scope and the trust page are rewritten around it. The listing copy still describes a test-case manager and is the remaining edit.</t>
        </is>
      </c>
      <c r="E7" s="7" t="inlineStr">
        <is>
          <t>Listing copy rewrite — Senthil</t>
        </is>
      </c>
    </row>
    <row r="8">
      <c r="A8" s="3" t="n">
        <v>5</v>
      </c>
      <c r="B8" s="3" t="inlineStr">
        <is>
          <t>Roadmap scope (E01-E29)</t>
        </is>
      </c>
      <c r="C8" s="3" t="inlineStr">
        <is>
          <t>14 sprints per the plan; cuts per V002_Cuts. If you fund only three: PR-01, PR-04, PR-05.</t>
        </is>
      </c>
      <c r="D8" s="3" t="inlineStr">
        <is>
          <t>ADOPTED. PR-01 and PR-05 are done — two of the reviewer's three. PR-04 is the third and is yours. PR-02/03/06/07/08/09/10/11 are also done; PR-12/13/14 need live infrastructure, a purchase and people.</t>
        </is>
      </c>
      <c r="E8" s="7" t="inlineStr">
        <is>
          <t>Only the four that need you</t>
        </is>
      </c>
    </row>
    <row r="9">
      <c r="A9" s="3" t="n">
        <v>6</v>
      </c>
      <c r="B9" s="3" t="inlineStr">
        <is>
          <t>D18 per-user pricing</t>
        </is>
      </c>
      <c r="C9" s="3" t="inlineStr">
        <is>
          <t>Per-user tiers, 40-50% under Xray in the 50-200 band; concede or give away sub-25 seats. Correct the 17% fee to 0% first.</t>
        </is>
      </c>
      <c r="D9" s="3" t="inlineStr">
        <is>
          <t>Fee corrected (C-3) and the anchor table written band by band, conceding sub-10 as free acquisition — at 10 seats we were 12x Xray. Partner-console tiers and the test purchase are yours (PR-13).</t>
        </is>
      </c>
      <c r="E9" s="10" t="inlineStr">
        <is>
          <t>YES — Senthil, ~1 hour + console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outlineLevelCol="0"/>
  <cols>
    <col width="26" customWidth="1" min="1" max="1"/>
    <col width="52" customWidth="1" min="2" max="2"/>
    <col width="9" customWidth="1" min="3" max="3"/>
    <col width="9" customWidth="1" min="4" max="4"/>
    <col width="12" customWidth="1" min="5" max="5"/>
    <col width="96" customWidth="1" min="6" max="6"/>
  </cols>
  <sheetData>
    <row r="1">
      <c r="A1" s="1" t="inlineStr">
        <is>
          <t>ENTERPRISE GATES — re-scored 20/09 against the code that now exists</t>
        </is>
      </c>
    </row>
    <row r="2">
      <c r="A2" s="5" t="inlineStr">
        <is>
          <t>Two columns of history kept so the movement is visible. A gate only moves on evidence, and EG-10/EG-15 deliberately do not move.</t>
        </is>
      </c>
    </row>
    <row r="3">
      <c r="A3" s="2" t="inlineStr">
        <is>
          <t>Gate</t>
        </is>
      </c>
      <c r="B3" s="2" t="inlineStr">
        <is>
          <t>Mandatory condition</t>
        </is>
      </c>
      <c r="C3" s="2" t="inlineStr">
        <is>
          <t>V002</t>
        </is>
      </c>
      <c r="D3" s="2" t="inlineStr">
        <is>
          <t>13/09</t>
        </is>
      </c>
      <c r="E3" s="2" t="inlineStr">
        <is>
          <t>20/09</t>
        </is>
      </c>
      <c r="F3" s="2" t="inlineStr">
        <is>
          <t>Evidence / why not</t>
        </is>
      </c>
    </row>
    <row r="4">
      <c r="A4" s="3" t="inlineStr">
        <is>
          <t>EG-01 Runtime truth</t>
        </is>
      </c>
      <c r="B4" s="3" t="inlineStr">
        <is>
          <t>No headline feature exists only in seams; no false UI/docs</t>
        </is>
      </c>
      <c r="C4" s="10" t="inlineStr">
        <is>
          <t>FAIL</t>
        </is>
      </c>
      <c r="D4" s="6" t="inlineStr">
        <is>
          <t>PASS</t>
        </is>
      </c>
      <c r="E4" s="6" t="inlineStr">
        <is>
          <t>PASS</t>
        </is>
      </c>
      <c r="F4" s="3" t="inlineStr">
        <is>
          <t>Holds. The claims gate now checks 42 claims, and the two statuses this review caught (LC-6, LC-3) were corrected downwards rather than defended.</t>
        </is>
      </c>
    </row>
    <row r="5">
      <c r="A5" s="3" t="inlineStr">
        <is>
          <t>EG-02 Least privilege</t>
        </is>
      </c>
      <c r="B5" s="3" t="inlineStr">
        <is>
          <t>Every scope and egress domain has a live justified call path</t>
        </is>
      </c>
      <c r="C5" s="10" t="inlineStr">
        <is>
          <t>FAIL</t>
        </is>
      </c>
      <c r="D5" s="6" t="inlineStr">
        <is>
          <t>PASS</t>
        </is>
      </c>
      <c r="E5" s="6" t="inlineStr">
        <is>
          <t>PASS</t>
        </is>
      </c>
      <c r="F5" s="3" t="inlineStr">
        <is>
          <t>read:jira-work now justifies four named call paths and the gate requires each; still no write scope, and re-adding it is an explicit decision (D-TP-WB).</t>
        </is>
      </c>
    </row>
    <row r="6">
      <c r="A6" s="3" t="inlineStr">
        <is>
          <t>EG-03 Data rights</t>
        </is>
      </c>
      <c r="B6" s="3" t="inlineStr">
        <is>
          <t>Export/delete/reset preserve valid authorization semantics</t>
        </is>
      </c>
      <c r="C6" s="10" t="inlineStr">
        <is>
          <t>FAIL</t>
        </is>
      </c>
      <c r="D6" s="6" t="inlineStr">
        <is>
          <t>PASS</t>
        </is>
      </c>
      <c r="E6" s="6" t="inlineStr">
        <is>
          <t>PASS</t>
        </is>
      </c>
      <c r="F6" s="3" t="inlineStr">
        <is>
          <t>Extended: conn:, ai:, trace: and proj: namespaces were unregistered and are now covered (F-TP46, found while absorbing this review); a tenant AI key is deleted with the data.</t>
        </is>
      </c>
    </row>
    <row r="7">
      <c r="A7" s="3" t="inlineStr">
        <is>
          <t>EG-04 Test domain</t>
        </is>
      </c>
      <c r="B7" s="3" t="inlineStr">
        <is>
          <t>Versioned tests/plans/cycles/executions/environments</t>
        </is>
      </c>
      <c r="C7" s="7" t="inlineStr">
        <is>
          <t>PARTIAL</t>
        </is>
      </c>
      <c r="D7" s="7" t="inlineStr">
        <is>
          <t>PARTIAL</t>
        </is>
      </c>
      <c r="E7" s="7" t="inlineStr">
        <is>
          <t>PARTIAL</t>
        </is>
      </c>
      <c r="F7" s="3" t="inlineStr">
        <is>
          <t>MOVED WITHIN PARTIAL: cases now carry version + updatedAt with optimistic concurrency, and runs are first-class entities with branch and actor. Plans, cycles and environments as entities are still not built, so the gate does not move.</t>
        </is>
      </c>
    </row>
    <row r="8">
      <c r="A8" s="3" t="inlineStr">
        <is>
          <t>EG-05 Traceability</t>
        </is>
      </c>
      <c r="B8" s="3" t="inlineStr">
        <is>
          <t>Requirement-&gt;test-&gt;execution-&gt;defect-&gt;release queryable</t>
        </is>
      </c>
      <c r="C8" s="10" t="inlineStr">
        <is>
          <t>MISSING</t>
        </is>
      </c>
      <c r="D8" s="10" t="inlineStr">
        <is>
          <t>MISSING</t>
        </is>
      </c>
      <c r="E8" s="7" t="inlineStr">
        <is>
          <t>PARTIAL</t>
        </is>
      </c>
      <c r="F8" s="3" t="inlineStr">
        <is>
          <t>BUILT (PR-08): the graph, both gap reports, and coverage per epic/release from a live Jira search. PARTIAL not PASS because writing links back INTO Jira needs write:jira-work, which is a deliberate open decision (D-TP-WB).</t>
        </is>
      </c>
    </row>
    <row r="9">
      <c r="A9" s="3" t="inlineStr">
        <is>
          <t>EG-06 Automation</t>
        </is>
      </c>
      <c r="B9" s="3" t="inlineStr">
        <is>
          <t>Main result formats + CI integrations production supported</t>
        </is>
      </c>
      <c r="C9" s="10" t="inlineStr">
        <is>
          <t>MISSING</t>
        </is>
      </c>
      <c r="D9" s="10" t="inlineStr">
        <is>
          <t>MISSING</t>
        </is>
      </c>
      <c r="E9" s="7" t="inlineStr">
        <is>
          <t>PARTIAL</t>
        </is>
      </c>
      <c r="F9" s="3" t="inlineStr">
        <is>
          <t>BUILT (PR-06): JUnit XML, Playwright JSON and Cucumber JSON against committed real-shape fixtures, idempotent, size-capped, health-surfaced. PARTIAL not PASS because no real pipeline has posted to a real install yet — that is PR-04.</t>
        </is>
      </c>
    </row>
    <row r="10">
      <c r="A10" s="3" t="inlineStr">
        <is>
          <t>EG-07 Release governance</t>
        </is>
      </c>
      <c r="B10" s="3" t="inlineStr">
        <is>
          <t>Explainable configurable gates, approvals, waivers</t>
        </is>
      </c>
      <c r="C10" s="7" t="inlineStr">
        <is>
          <t>PARTIAL</t>
        </is>
      </c>
      <c r="D10" s="7" t="inlineStr">
        <is>
          <t>PARTIAL</t>
        </is>
      </c>
      <c r="E10" s="7" t="inlineStr">
        <is>
          <t>PARTIAL</t>
        </is>
      </c>
      <c r="F10" s="3" t="inlineStr">
        <is>
          <t>MOVED WITHIN PARTIAL: the score is explainable per factor with its source, configurable per project, and the waiver (override) is attributed and labelled. Approvals as a workflow are still not built.</t>
        </is>
      </c>
    </row>
    <row r="11">
      <c r="A11" s="3" t="inlineStr">
        <is>
          <t>EG-08 AI governance</t>
        </is>
      </c>
      <c r="B11" s="3" t="inlineStr">
        <is>
          <t>Production AI + evals + privacy/egress controls + fallback</t>
        </is>
      </c>
      <c r="C11" s="10" t="inlineStr">
        <is>
          <t>FAIL</t>
        </is>
      </c>
      <c r="D11" s="6" t="inlineStr">
        <is>
          <t>PASS*</t>
        </is>
      </c>
      <c r="E11" s="6" t="inlineStr">
        <is>
          <t>PASS*</t>
        </is>
      </c>
      <c r="F11" s="3" t="inlineStr">
        <is>
          <t>Still PASS with the SAME named gap, deliberately: BYOK, injection hardening, cost attribution, monthly ceiling and multi-model fallback were added, but the evals still test the product's handling of model output, not model QUALITY — which needs real stories from real teams (PR-14).</t>
        </is>
      </c>
    </row>
    <row r="12">
      <c r="A12" s="3" t="inlineStr">
        <is>
          <t>EG-09 RBAC/audit</t>
        </is>
      </c>
      <c r="B12" s="3" t="inlineStr">
        <is>
          <t>Granular permissions and privileged-action audit</t>
        </is>
      </c>
      <c r="C12" s="7" t="inlineStr">
        <is>
          <t>PARTIAL</t>
        </is>
      </c>
      <c r="D12" s="7" t="inlineStr">
        <is>
          <t>PARTIAL</t>
        </is>
      </c>
      <c r="E12" s="7" t="inlineStr">
        <is>
          <t>PARTIAL</t>
        </is>
      </c>
      <c r="F12" s="3" t="inlineStr">
        <is>
          <t>MOVED WITHIN PARTIAL and the reason is a correction, not a boast: scope was previously LOGGED and is now ENFORCED against Jira visibility (PRX-03), with the project dimension and denial reasons on the audit log. Enterprise governance (groups, delegation) is still E10/E11.</t>
        </is>
      </c>
    </row>
    <row r="13">
      <c r="A13" s="3" t="inlineStr">
        <is>
          <t>EG-10 Scale</t>
        </is>
      </c>
      <c r="B13" s="3" t="inlineStr">
        <is>
          <t>Published supported scale with p95/p99, no unbounded scans</t>
        </is>
      </c>
      <c r="C13" s="3" t="inlineStr">
        <is>
          <t>UNPROVEN</t>
        </is>
      </c>
      <c r="D13" s="7" t="inlineStr">
        <is>
          <t>PARTIAL</t>
        </is>
      </c>
      <c r="E13" s="7" t="inlineStr">
        <is>
          <t>PARTIAL</t>
        </is>
      </c>
      <c r="F13" s="3" t="inlineStr">
        <is>
          <t>DOES NOT MOVE. The per-value ceiling and the unbounded hydrate are both gone and 50,000 cases / 100,000 results are asserted — but an in-process p95 is not a production p95, and the envelope says so about itself. PASS needs PR-12 on live infrastructure.</t>
        </is>
      </c>
    </row>
    <row r="14">
      <c r="A14" s="3" t="inlineStr">
        <is>
          <t>EG-11 Operations</t>
        </is>
      </c>
      <c r="B14" s="3" t="inlineStr">
        <is>
          <t>SLOs, diagnostics, alerts, runbooks, recovery evidence</t>
        </is>
      </c>
      <c r="C14" s="7" t="inlineStr">
        <is>
          <t>PARTIAL</t>
        </is>
      </c>
      <c r="D14" s="7" t="inlineStr">
        <is>
          <t>PARTIAL</t>
        </is>
      </c>
      <c r="E14" s="7" t="inlineStr">
        <is>
          <t>PARTIAL</t>
        </is>
      </c>
      <c r="F14" s="3" t="inlineStr">
        <is>
          <t>Connector health, status report and runbook exist; the alerting path (who is paged) is still not wired, and is recorded as partial rather than quietly counted.</t>
        </is>
      </c>
    </row>
    <row r="15">
      <c r="A15" s="3" t="inlineStr">
        <is>
          <t>EG-12 Trust</t>
        </is>
      </c>
      <c r="B15" s="3" t="inlineStr">
        <is>
          <t>Security requirements mapped; badge strategy truthful</t>
        </is>
      </c>
      <c r="C15" s="7" t="inlineStr">
        <is>
          <t>PARTIAL</t>
        </is>
      </c>
      <c r="D15" s="7" t="inlineStr">
        <is>
          <t>PARTIAL</t>
        </is>
      </c>
      <c r="E15" s="7" t="inlineStr">
        <is>
          <t>PARTIAL</t>
        </is>
      </c>
      <c r="F15" s="3" t="inlineStr">
        <is>
          <t>Assessed against the programme that actually exists (AEC) after the Cloud Fortified retirement; badge strategy corrected and truthful. PASS needs the penetration test and bug bounty, which are procurement.</t>
        </is>
      </c>
    </row>
    <row r="16">
      <c r="A16" s="3" t="inlineStr">
        <is>
          <t>EG-13 Migration</t>
        </is>
      </c>
      <c r="B16" s="3" t="inlineStr">
        <is>
          <t>Switching path from incumbents with reconciliation</t>
        </is>
      </c>
      <c r="C16" s="7" t="inlineStr">
        <is>
          <t>PARTIAL</t>
        </is>
      </c>
      <c r="D16" s="7" t="inlineStr">
        <is>
          <t>PARTIAL</t>
        </is>
      </c>
      <c r="E16" s="7" t="inlineStr">
        <is>
          <t>PARTIAL</t>
        </is>
      </c>
      <c r="F16" s="3" t="inlineStr">
        <is>
          <t>Unchanged: the importer is format-faithful, and LC-5 (three REAL export files) is still owed. Reconciliation is still not built.</t>
        </is>
      </c>
    </row>
    <row r="17">
      <c r="A17" s="3" t="inlineStr">
        <is>
          <t>EG-14 Commercial readiness</t>
        </is>
      </c>
      <c r="B17" s="3" t="inlineStr">
        <is>
          <t>Packaging, entitlements, onboarding, support path</t>
        </is>
      </c>
      <c r="C17" s="7" t="inlineStr">
        <is>
          <t>PARTIAL</t>
        </is>
      </c>
      <c r="D17" s="7" t="inlineStr">
        <is>
          <t>PARTIAL</t>
        </is>
      </c>
      <c r="E17" s="7" t="inlineStr">
        <is>
          <t>PARTIAL</t>
        </is>
      </c>
      <c r="F17" s="3" t="inlineStr">
        <is>
          <t>Pricing re-anchored on the corrected economics and the licence gate is shipped and tested; the partner console and a real test purchase are PR-13.</t>
        </is>
      </c>
    </row>
    <row r="18">
      <c r="A18" s="3" t="inlineStr">
        <is>
          <t>EG-15 PMF evidence</t>
        </is>
      </c>
      <c r="B18" s="3" t="inlineStr">
        <is>
          <t>Multiple external teams using it for real release decisions</t>
        </is>
      </c>
      <c r="C18" s="3" t="inlineStr">
        <is>
          <t>UNPROVEN</t>
        </is>
      </c>
      <c r="D18" s="3" t="inlineStr">
        <is>
          <t>UNPROVEN</t>
        </is>
      </c>
      <c r="E18" s="3" t="inlineStr">
        <is>
          <t>UNPROVEN</t>
        </is>
      </c>
      <c r="F18" s="3" t="inlineStr">
        <is>
          <t>DOES NOT MOVE, and cannot. The reviewer's bar — three teams making a documented go/no-go call using the readiness score — is unaffected by any amount of code. PR-14.</t>
        </is>
      </c>
    </row>
    <row r="19">
      <c r="A19" s="3" t="inlineStr">
        <is>
          <t>ROLLUP</t>
        </is>
      </c>
      <c r="B19" s="3" t="inlineStr">
        <is>
          <t>Gates at PASS (incl. PASS with a named gap)</t>
        </is>
      </c>
      <c r="C19" s="3">
        <f>COUNTIF(C4:C18,"PASS")</f>
        <v/>
      </c>
      <c r="D19" s="3">
        <f>COUNTIF(D4:D18,"PASS")+COUNTIF(D4:D18,"PASS~*")</f>
        <v/>
      </c>
      <c r="E19" s="3">
        <f>COUNTIF(E4:E18,"PASS")+COUNTIF(E4:E18,"PASS~*")</f>
        <v/>
      </c>
      <c r="F19" s="3" t="inlineStr">
        <is>
          <t>Two MISSING became PARTIAL (EG-05, EG-06) and four PARTIALs moved within PARTIAL. NOTHING was moved to PASS on this pass: the two gates that could only move with live evidence (EG-10, EG-15) did not move, which is the point.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outlineLevelCol="0"/>
  <cols>
    <col width="32" customWidth="1" min="1" max="1"/>
    <col width="12" customWidth="1" min="2" max="2"/>
    <col width="14" customWidth="1" min="3" max="3"/>
    <col width="110" customWidth="1" min="4" max="4"/>
  </cols>
  <sheetData>
    <row r="1">
      <c r="A1" s="1" t="inlineStr">
        <is>
          <t>ENTERPRISE-GRADE SCORECARD — the reviewer's independent scoring, and what moved</t>
        </is>
      </c>
    </row>
    <row r="2">
      <c r="A2" s="5" t="inlineStr">
        <is>
          <t>The 20/09 column is our own assessment against the reviewer's stated basis. We do not get to re-score ourselves on operational evidence, and we have not.</t>
        </is>
      </c>
    </row>
    <row r="3">
      <c r="A3" s="2" t="inlineStr">
        <is>
          <t>Dimension</t>
        </is>
      </c>
      <c r="B3" s="2" t="inlineStr">
        <is>
          <t>V001 (16/09)</t>
        </is>
      </c>
      <c r="C3" s="2" t="inlineStr">
        <is>
          <t>After 20/09</t>
        </is>
      </c>
      <c r="D3" s="2" t="inlineStr">
        <is>
          <t>The reviewer's basis, and what changed</t>
        </is>
      </c>
    </row>
    <row r="4">
      <c r="A4" s="3" t="inlineStr">
        <is>
          <t>Engineering discipline</t>
        </is>
      </c>
      <c r="B4" s="11" t="n">
        <v>9</v>
      </c>
      <c r="C4" s="12" t="n">
        <v>9</v>
      </c>
      <c r="D4" s="3" t="inlineStr">
        <is>
          <t>Was already top-decile and independently verified. Held through a storage re-platform: 55 suites / 530 tests / 100% x4, zero pragmas, seven gates, clean-room reproducible. Not claimed higher — it was 9 because of what it cannot see, and G-5 is the honest response to that.</t>
        </is>
      </c>
    </row>
    <row r="5">
      <c r="A5" s="3" t="inlineStr">
        <is>
          <t>Truthfulness of artifacts</t>
        </is>
      </c>
      <c r="B5" s="11" t="n">
        <v>8</v>
      </c>
      <c r="C5" s="13" t="n">
        <v>9</v>
      </c>
      <c r="D5" s="3" t="inlineStr">
        <is>
          <t>Docked originally for LC-6 overstatement and the Cloud Fortified/fee corrections. All three corrected, two of them DOWNWARDS, and the corrections sheet records them. The claims gate grew from 29 to 42 pinned claims.</t>
        </is>
      </c>
    </row>
    <row r="6">
      <c r="A6" s="3" t="inlineStr">
        <is>
          <t>Security controls</t>
        </is>
      </c>
      <c r="B6" s="11" t="n">
        <v>7</v>
      </c>
      <c r="C6" s="13" t="n">
        <v>8</v>
      </c>
      <c r="D6" s="3" t="inlineStr">
        <is>
          <t>Docked for the wh:seen FIFO (a replay id could age out), no CI payload cap, and express in production dependencies. All three fixed: one dedupe key per event id, 1 MiB/20,000-result caps with a 413, express dev-only and the harness refusing production. Added: project isolation, injection hardening, no credential storage.</t>
        </is>
      </c>
    </row>
    <row r="7">
      <c r="A7" s="3" t="inlineStr">
        <is>
          <t>Capability depth</t>
        </is>
      </c>
      <c r="B7" s="11" t="n">
        <v>3</v>
      </c>
      <c r="C7" s="13" t="n">
        <v>5</v>
      </c>
      <c r="D7" s="3" t="inlineStr">
        <is>
          <t>Was 3 because EG-04 PARTIAL, EG-05 MISSING, EG-06 MISSING. Traceability and automation ingest are now built (both PARTIAL), and EG-04 has its versioned-entity seed. Still not 7+: plans, cycles and environments as first-class entities do not exist, so it still sits beside an incumbent rather than replacing one.</t>
        </is>
      </c>
    </row>
    <row r="8">
      <c r="A8" s="3" t="inlineStr">
        <is>
          <t>Scale</t>
        </is>
      </c>
      <c r="B8" s="11" t="n">
        <v>2</v>
      </c>
      <c r="C8" s="13" t="n">
        <v>5</v>
      </c>
      <c r="D8" s="3" t="inlineStr">
        <is>
          <t>"THE DISQUALIFIER, and a data-model problem, not a tuning problem." The data model changed: 50,000 cases and 100,000 CI results are asserted with no value near the ceiling, and hydration is prefix-scoped. Not higher, because the cost that replaced the ceiling (round trips per listing) is real, published, and unmeasured on live infrastructure.</t>
        </is>
      </c>
    </row>
    <row r="9">
      <c r="A9" s="3" t="inlineStr">
        <is>
          <t>Correctness under real use</t>
        </is>
      </c>
      <c r="B9" s="11" t="n">
        <v>3</v>
      </c>
      <c r="C9" s="13" t="n">
        <v>7</v>
      </c>
      <c r="D9" s="3" t="inlineStr">
        <is>
          <t>Was 3 for PRX-02 — multi-user write loss in a multi-user product. Closed with versioned CAS, commutative merges and per-entity keys, plus a standing gate for the class. Not higher, because on KVS the CAS is emulated and the real proof is concurrent tenants on a live site.</t>
        </is>
      </c>
    </row>
    <row r="10">
      <c r="A10" s="3" t="inlineStr">
        <is>
          <t>Operational evidence</t>
        </is>
      </c>
      <c r="B10" s="11" t="n">
        <v>1</v>
      </c>
      <c r="C10" s="14" t="n">
        <v>1</v>
      </c>
      <c r="D10" s="3" t="inlineStr">
        <is>
          <t>DOES NOT MOVE. Nothing has still ever run on a real Jira site: no production p95, no cold start, no KVS latency, no concurrent-tenant behaviour, no forge eligibility output. Everything in this release is still verified against documentation and tests. This is PR-04 and no code can change it.</t>
        </is>
      </c>
    </row>
    <row r="11">
      <c r="A11" s="3" t="inlineStr">
        <is>
          <t>Enterprise programme readiness</t>
        </is>
      </c>
      <c r="B11" s="11" t="n">
        <v>2</v>
      </c>
      <c r="C11" s="13" t="n">
        <v>4</v>
      </c>
      <c r="D11" s="3" t="inlineStr">
        <is>
          <t>Was 2 because the Cloud Fortified plan was void. Now assessed against Atlassian Enterprise Certified with the engineering rows met and pinned. Not higher, because the two rows that gate the programme — an accredited penetration test and a public bug bounty — are procurement items that have not started.</t>
        </is>
      </c>
    </row>
    <row r="12">
      <c r="A12" s="3" t="inlineStr">
        <is>
          <t>OVERALL</t>
        </is>
      </c>
      <c r="B12" s="11" t="n">
        <v>4.5</v>
      </c>
      <c r="C12" s="13" t="n">
        <v>5.6</v>
      </c>
      <c r="D12" s="3" t="inlineStr">
        <is>
          <t>Our own arithmetic on the reviewer's basis, offered as a working number rather than a claim. The honest reading: the CODE moved a long way, the EVIDENCE did not move at all, and the reviewer would be entitled to hold the overall score at its old value until something has run on a real site.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outlineLevelCol="0"/>
  <cols>
    <col width="34" customWidth="1" min="1" max="1"/>
    <col width="40" customWidth="1" min="2" max="2"/>
    <col width="46" customWidth="1" min="3" max="3"/>
    <col width="46" customWidth="1" min="4" max="4"/>
  </cols>
  <sheetData>
    <row r="1">
      <c r="A1" s="1" t="inlineStr">
        <is>
          <t>SUPPORTED SCALE — re-baselined 20/09 after the storage re-platform (PR-03)</t>
        </is>
      </c>
    </row>
    <row r="2">
      <c r="A2" s="5" t="inlineStr">
        <is>
          <t>The old ceilings were ROW COUNTS because whole collections lived in single values. They are gone. What replaced them is a round-trip cost per listing, published here rather than discovered later.</t>
        </is>
      </c>
    </row>
    <row r="3">
      <c r="A3" s="2" t="inlineStr">
        <is>
          <t>What</t>
        </is>
      </c>
      <c r="B3" s="2" t="inlineStr">
        <is>
          <t>Before (13/09)</t>
        </is>
      </c>
      <c r="C3" s="2" t="inlineStr">
        <is>
          <t>Now (20/09)</t>
        </is>
      </c>
      <c r="D3" s="2" t="inlineStr">
        <is>
          <t>Guard</t>
        </is>
      </c>
    </row>
    <row r="4">
      <c r="A4" s="3" t="inlineStr">
        <is>
          <t>Test cases per site</t>
        </is>
      </c>
      <c r="B4" s="3" t="inlineStr">
        <is>
          <t>gen:cases 4,693 KiB at 50,000 — 19.6x over the 240 KiB ceiling; supported ~1,500-2,900</t>
        </is>
      </c>
      <c r="C4" s="4" t="inlineStr">
        <is>
          <t>One key per case; 50,000 asserted, largest value under 2 KiB. No row ceiling.</t>
        </is>
      </c>
      <c r="D4" s="3" t="inlineStr">
        <is>
          <t>test/performance.test.ts</t>
        </is>
      </c>
    </row>
    <row r="5">
      <c r="A5" s="3" t="inlineStr">
        <is>
          <t>Runs per board</t>
        </is>
      </c>
      <c r="B5" s="3" t="inlineStr">
        <is>
          <t>One value per board; supported ~5,000</t>
        </is>
      </c>
      <c r="C5" s="4" t="inlineStr">
        <is>
          <t>One key per run; a 5,000-run board asserted, largest value under 1 KiB.</t>
        </is>
      </c>
      <c r="D5" s="3" t="inlineStr">
        <is>
          <t>test/performance.test.ts</t>
        </is>
      </c>
    </row>
    <row r="6">
      <c r="A6" s="3" t="inlineStr">
        <is>
          <t>CI results</t>
        </is>
      </c>
      <c r="B6" s="3" t="inlineStr">
        <is>
          <t>One 10,000-entry / 200 KiB FIFO — which was ALSO the analysis window (PRX-04)</t>
        </is>
      </c>
      <c r="C6" s="4" t="inlineStr">
        <is>
          <t>Per-run chunks under a bounded index: 20,000 results per run, 1 MiB per post, last 50 runs retained per site (settable 5..500).</t>
        </is>
      </c>
      <c r="D6" s="3" t="inlineStr">
        <is>
          <t>test/performance.test.ts, test/ciReports.test.ts</t>
        </is>
      </c>
    </row>
    <row r="7">
      <c r="A7" s="3" t="inlineStr">
        <is>
          <t>Flaky analysis window</t>
        </is>
      </c>
      <c r="B7" s="3" t="inlineStr">
        <is>
          <t>Whatever fitted in the ledger — one or two runs on a real suite</t>
        </is>
      </c>
      <c r="C7" s="4" t="inlineStr">
        <is>
          <t>Last 30 results per test PER BRANCH. A flaky test survives 12,000 unrelated stable results.</t>
        </is>
      </c>
      <c r="D7" s="3" t="inlineStr">
        <is>
          <t>test/performance.test.ts PRX-04 scenario</t>
        </is>
      </c>
    </row>
    <row r="8">
      <c r="A8" s="3" t="inlineStr">
        <is>
          <t>Per-invocation load</t>
        </is>
      </c>
      <c r="B8" s="3" t="inlineStr">
        <is>
          <t>Every key in the installation, every invocation (OBS-TP1 / PRX-05)</t>
        </is>
      </c>
      <c r="C8" s="4" t="inlineStr">
        <is>
          <t>Only the declared prefixes; an undeclared read throws. whoami loads 2 keys.</t>
        </is>
      </c>
      <c r="D8" s="3" t="inlineStr">
        <is>
          <t>test/performance.test.ts</t>
        </is>
      </c>
    </row>
    <row r="9">
      <c r="A9" s="3" t="inlineStr">
        <is>
          <t>NEW COST: listing round trips</t>
        </is>
      </c>
      <c r="B9" s="3" t="inlineStr">
        <is>
          <t>n/a — a collection was one read</t>
        </is>
      </c>
      <c r="C9" s="4" t="inlineStr">
        <is>
          <t>One story = 1 round trip (the hot path). A 50,000-case site-wide listing = 500. A 10,000-run board = 102.</t>
        </is>
      </c>
      <c r="D9" s="3" t="inlineStr">
        <is>
          <t>Published in docs/performance-envelope.md; measured live at PR-04/PR-12</t>
        </is>
      </c>
    </row>
    <row r="10">
      <c r="A10" s="3" t="inlineStr">
        <is>
          <t>Ledgers (audit, notifications, latency, AI audit)</t>
        </is>
      </c>
      <c r="B10" s="3" t="inlineStr">
        <is>
          <t>Byte-capped FIFO (PERF-01)</t>
        </is>
      </c>
      <c r="C10" s="4" t="inlineStr">
        <is>
          <t>Unchanged in shape and now COMMUTATIVE, so concurrent writers cannot drop an entry.</t>
        </is>
      </c>
      <c r="D10" s="3" t="inlineStr">
        <is>
          <t>test/concurrency.test.ts</t>
        </is>
      </c>
    </row>
    <row r="11">
      <c r="A11" s="3" t="inlineStr">
        <is>
          <t>Not measured</t>
        </is>
      </c>
      <c r="B11" s="3" t="inlineStr">
        <is>
          <t>KVS latency, 25s timeout, cold start, concurrent tenants</t>
        </is>
      </c>
      <c r="C11" s="4" t="inlineStr">
        <is>
          <t>STILL NOT MEASURED. An in-process p95 is not a production p95 and this document does not pretend otherwise.</t>
        </is>
      </c>
      <c r="D11" s="3" t="inlineStr">
        <is>
          <t>PR-04 then PR-12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outlineLevelCol="0"/>
  <cols>
    <col width="5" customWidth="1" min="1" max="1"/>
    <col width="62" customWidth="1" min="2" max="2"/>
    <col width="110" customWidth="1" min="3" max="3"/>
  </cols>
  <sheetData>
    <row r="1">
      <c r="A1" s="1" t="inlineStr">
        <is>
          <t>PLATFORM LAUNCH CHECKLIST — Atlassian Marketplace</t>
        </is>
      </c>
    </row>
    <row r="2">
      <c r="A2" s="2" t="inlineStr">
        <is>
          <t>#</t>
        </is>
      </c>
      <c r="B2" s="2" t="inlineStr">
        <is>
          <t>Item</t>
        </is>
      </c>
      <c r="C2" s="2" t="inlineStr">
        <is>
          <t>Status</t>
        </is>
      </c>
    </row>
    <row r="3">
      <c r="A3" s="3" t="n">
        <v>1</v>
      </c>
      <c r="B3" s="3" t="inlineStr">
        <is>
          <t>Marketplace vendor account + Forge app registered</t>
        </is>
      </c>
      <c r="C3" s="10" t="inlineStr">
        <is>
          <t>Open — FULL STACK ready: UI bundle + handlers + adapter + manifest + guide; only ► steps remain</t>
        </is>
      </c>
    </row>
    <row r="4">
      <c r="A4" s="3" t="n">
        <v>2</v>
      </c>
      <c r="B4" s="3" t="inlineStr">
        <is>
          <t>Forge app review pack: scopes, egress allowlist, storage use documented</t>
        </is>
      </c>
      <c r="C4" s="3" t="inlineStr">
        <is>
          <t>Doc-complete — review pack ready (docs/review-pack.md)</t>
        </is>
      </c>
    </row>
    <row r="5">
      <c r="A5" s="3" t="n">
        <v>3</v>
      </c>
      <c r="B5" s="3" t="inlineStr">
        <is>
          <t>Enterprise programme gap assessment with target date (was: Cloud Fortified)</t>
        </is>
      </c>
      <c r="C5" s="10" t="inlineStr">
        <is>
          <t>OPEN — CORRECTED 20/09 (C-2). Cloud Fortified closed to new submissions 01/09/2026 and retires 31/12/2026, so the previous "no structural gaps, apply at listing+60d" assessment measured a bar that no longer exists. Replaced by docs/enterprise-certified-gap.md against Atlassian Enterprise Certified: engineering rows met and pinned, but AEC 1.1 (CREST/Bugcrowd penetration test) and AEC 1.2 (public bug bounty) are procurement items with lead times and the programme cannot be applied for until they are done.</t>
        </is>
      </c>
    </row>
    <row r="6">
      <c r="A6" s="3" t="n">
        <v>4</v>
      </c>
      <c r="B6" s="3" t="inlineStr">
        <is>
          <t>Data residency: Forge hosted storage regions statement</t>
        </is>
      </c>
      <c r="C6" s="3" t="inlineStr">
        <is>
          <t>Doc-complete — residency statement ready for trust tab</t>
        </is>
      </c>
    </row>
    <row r="7">
      <c r="A7" s="3" t="n">
        <v>5</v>
      </c>
      <c r="B7" s="3" t="inlineStr">
        <is>
          <t>Xray/Zephyr importer tested on 3 real export files</t>
        </is>
      </c>
      <c r="C7" s="10" t="inlineStr">
        <is>
          <t>Open — importer format-faithful (Xray Exporter multi-step, Zephyr Scale, RFC-4180); 3 REAL files = acceptance evidence</t>
        </is>
      </c>
    </row>
    <row r="8">
      <c r="A8" s="3" t="n">
        <v>6</v>
      </c>
      <c r="B8" s="3" t="inlineStr">
        <is>
          <t>Jira permission schemes respected (project vs global) verified</t>
        </is>
      </c>
      <c r="C8" s="10" t="inlineStr">
        <is>
          <t>OPEN — CORRECTED 20/09 (C-1/PRX-03). Was "Done-in-code — scope-aware permission guard"; the guard LOGGED scope and never enforced it, so any licensed member could see every project. Enforcement now shipped (PR-09: BROWSE_PROJECTS via asUser, failing closed, project dimension on the audit log). The row stays OPEN until the live restricted-project capture at PR-04 — "fixed in code" is exactly what was being corrected.</t>
        </is>
      </c>
    </row>
    <row r="9">
      <c r="A9" s="3" t="n">
        <v>7</v>
      </c>
      <c r="B9" s="3" t="inlineStr">
        <is>
          <t>Marketplace listing: highlights, 5 screenshots, demo video per guidelines</t>
        </is>
      </c>
      <c r="C9" s="7" t="inlineStr">
        <is>
          <t>In progress — spec now submission-accurate (verified Rule-of-3, 1840x900); draft layout review via demo.html; capture at LC-1</t>
        </is>
      </c>
    </row>
    <row r="10">
      <c r="A10" s="3" t="n">
        <v>8</v>
      </c>
      <c r="B10" s="3" t="inlineStr">
        <is>
          <t>Pricing: per-user tiers via Atlassian billing configured and test-purchased</t>
        </is>
      </c>
      <c r="C10" s="7" t="inlineStr">
        <is>
          <t>In progress — licensing flag + gate shipped+tested; D18 per-user price decision, partner-console setup + test purchase = Senthil</t>
        </is>
      </c>
    </row>
    <row r="11">
      <c r="A11" s="3" t="n">
        <v>9</v>
      </c>
      <c r="B11" s="3" t="inlineStr">
        <is>
          <t>Performance: panel load &lt;1s p75 on 10k-issue projects</t>
        </is>
      </c>
      <c r="C11" s="7" t="inlineStr">
        <is>
          <t>In progress — the in-process envelope is re-baselined against the per-entity store and publishes ROUND-TRIP COUNTS, which is the figure live latency multiplies. The old 28ms p95 is NOT cited as progress here: it was measured against the Express test harness, which C-7 made dev-only and unable to start in production. Live Forge panel p75 on a 10k-issue project at PR-04.</t>
        </is>
      </c>
    </row>
    <row r="12">
      <c r="A12" s="3" t="n">
        <v>10</v>
      </c>
      <c r="B12" s="3" t="inlineStr">
        <is>
          <t>Support docs + SLA statement on listing trust tab</t>
        </is>
      </c>
      <c r="C12" s="7" t="inlineStr">
        <is>
          <t>In progress — trust page + SLA + 15 articles shipped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85"/>
  <sheetViews>
    <sheetView workbookViewId="0">
      <pane ySplit="2" topLeftCell="A3" activePane="bottomLeft" state="frozen"/>
      <selection pane="bottomLeft" activeCell="A1" sqref="A1"/>
    </sheetView>
  </sheetViews>
  <sheetFormatPr baseColWidth="8" defaultRowHeight="15" outlineLevelCol="0"/>
  <cols>
    <col width="10" customWidth="1" min="1" max="1"/>
    <col width="11" customWidth="1" min="2" max="2"/>
    <col width="22" customWidth="1" min="3" max="3"/>
    <col width="86" customWidth="1" min="4" max="4"/>
    <col width="74" customWidth="1" min="5" max="5"/>
    <col width="40" customWidth="1" min="6" max="6"/>
  </cols>
  <sheetData>
    <row r="1">
      <c r="A1" s="1" t="inlineStr">
        <is>
          <t>COLD REVIEW PASSES 1-8 — internal findings (carried)</t>
        </is>
      </c>
    </row>
    <row r="2">
      <c r="A2" s="2" t="inlineStr">
        <is>
          <t>ID</t>
        </is>
      </c>
      <c r="B2" s="2" t="inlineStr">
        <is>
          <t>Severity</t>
        </is>
      </c>
      <c r="C2" s="2" t="inlineStr">
        <is>
          <t>Module</t>
        </is>
      </c>
      <c r="D2" s="2" t="inlineStr">
        <is>
          <t>Defect / observation</t>
        </is>
      </c>
      <c r="E2" s="2" t="inlineStr">
        <is>
          <t>Disposition in code</t>
        </is>
      </c>
      <c r="F2" s="2" t="inlineStr">
        <is>
          <t>Senthil decision</t>
        </is>
      </c>
    </row>
    <row r="3">
      <c r="A3" s="3" t="inlineStr">
        <is>
          <t>F-TP01</t>
        </is>
      </c>
      <c r="B3" s="3" t="inlineStr">
        <is>
          <t>High</t>
        </is>
      </c>
      <c r="C3" s="3" t="inlineStr">
        <is>
          <t>compliance.ts</t>
        </is>
      </c>
      <c r="D3" s="3" t="inlineStr">
        <is>
          <t>delete-my-data / export-my-data matched key.includes(cloudId): test cases, run boards, CI results, audit log, notifications, telemetry, support tickets and latency samples were neither exported nor deleted — breaches trust page, HC-11/HC-12 and residency statement. Empty cloudId matched every key.</t>
        </is>
      </c>
      <c r="E3" s="3" t="inlineStr">
        <is>
          <t>FIXED — tenantData.ts namespace registry drives export + delete + retention sweep; exact-segment tenant match; empty cloudId rejected; drift test asserts no unclassified key after a full tenant flow</t>
        </is>
      </c>
      <c r="F3" s="3" t="inlineStr">
        <is>
          <t>Confirm the registry is the contract: any future module must register its namespace or the build fails</t>
        </is>
      </c>
    </row>
    <row r="4">
      <c r="A4" s="3" t="inlineStr">
        <is>
          <t>F-TP02</t>
        </is>
      </c>
      <c r="B4" s="3" t="inlineStr">
        <is>
          <t>High</t>
        </is>
      </c>
      <c r="C4" s="3" t="inlineStr">
        <is>
          <t>lifecycle.ts</t>
        </is>
      </c>
      <c r="D4" s="3" t="inlineStr">
        <is>
          <t>30-day retention sweep purged only acct: — all other tenant data survived indefinitely against a published "then hard delete" policy</t>
        </is>
      </c>
      <c r="E4" s="3" t="inlineStr">
        <is>
          <t>FIXED — sweep delegates to purgeTenant; regression asserts an empty store after expiry</t>
        </is>
      </c>
      <c r="F4" s="3" t="inlineStr">
        <is>
          <t>None — but this is the claim a Marketplace security reviewer is most likely to test</t>
        </is>
      </c>
    </row>
    <row r="5">
      <c r="A5" s="3" t="inlineStr">
        <is>
          <t>F-TP03</t>
        </is>
      </c>
      <c r="B5" s="3" t="inlineStr">
        <is>
          <t>High</t>
        </is>
      </c>
      <c r="C5" s="3" t="inlineStr">
        <is>
          <t>ui/viewmodel.ts, ui/mount.ts</t>
        </is>
      </c>
      <c r="D5" s="3" t="inlineStr">
        <is>
          <t>Panel read `score` from flaky rows; resolver returns `flipRate`. The live flaky tab would have shown "NaN%" on every row. jsdom tests passed because they hand-built the view-model input.</t>
        </is>
      </c>
      <c r="E5" s="3" t="inlineStr">
        <is>
          <t>FIXED — flakyVM typed against the real FlakyScore; demo.html re-verified headless (67%/21%, no NaN)</t>
        </is>
      </c>
      <c r="F5" s="3" t="inlineStr">
        <is>
          <t>None — but it is why draft screenshots must come from demo.html, not from hand-built fixtures</t>
        </is>
      </c>
    </row>
    <row r="6">
      <c r="A6" s="3" t="inlineStr">
        <is>
          <t>F-TP04</t>
        </is>
      </c>
      <c r="B6" s="3" t="inlineStr">
        <is>
          <t>High</t>
        </is>
      </c>
      <c r="C6" s="3" t="inlineStr">
        <is>
          <t>ui/mount.ts, readiness.ts</t>
        </is>
      </c>
      <c r="D6" s="3" t="inlineStr">
        <is>
          <t>Readiness tab invoked `readiness` with an empty payload -&gt; NaN score rendered as NOT-READY. readinessScore validated only coveragePct, so runPassRate=5 scored above 100.</t>
        </is>
      </c>
      <c r="E6" s="3" t="inlineStr">
        <is>
          <t>FIXED — new readinessSummary resolver call derives inputs from boards + flaky scores; all four inputs range-validated</t>
        </is>
      </c>
      <c r="F6" s="3" t="inlineStr">
        <is>
          <t>Decide who supplies coveragePct and openP0Defects live: owner-entered ready:settings today, or read from a CI coverage feed later</t>
        </is>
      </c>
    </row>
    <row r="7">
      <c r="A7" s="3" t="inlineStr">
        <is>
          <t>F-TP05</t>
        </is>
      </c>
      <c r="B7" s="3" t="inlineStr">
        <is>
          <t>High</t>
        </is>
      </c>
      <c r="C7" s="3" t="inlineStr">
        <is>
          <t>forgeStore.ts, forgeGlue.ts</t>
        </is>
      </c>
      <c r="D7" s="3" t="inlineStr">
        <is>
          <t>Writes issued eagerly, awaited only at flush(). A throwing handler never reached flush — floating promises, unhandled rejection able to tear down the invocation, writes that may not settle; a rejected write left the cache claiming success.</t>
        </is>
      </c>
      <c r="E7" s="3" t="inlineStr">
        <is>
          <t>FIXED — write failures captured, StoreWriteError raised at flush, glue flushes on success and error paths</t>
        </is>
      </c>
      <c r="F7" s="3" t="inlineStr">
        <is>
          <t>None</t>
        </is>
      </c>
    </row>
    <row r="8">
      <c r="A8" s="3" t="inlineStr">
        <is>
          <t>F-TP06</t>
        </is>
      </c>
      <c r="B8" s="3" t="inlineStr">
        <is>
          <t>High</t>
        </is>
      </c>
      <c r="C8" s="3" t="inlineStr">
        <is>
          <t>webhooks, permissions, flaky, notifications, ops</t>
        </is>
      </c>
      <c r="D8" s="3" t="inlineStr">
        <is>
          <t>Five unbounded ledgers (wh:seen, audit, fl:results, ntf:log, lat:*). Forge caps single-value size, so these eventually hard-fail every write; p95 was computed over all history.</t>
        </is>
      </c>
      <c r="E8" s="3" t="inlineStr">
        <is>
          <t>FIXED — shared appendCapped FIFO with persisted drop counters; latency on a 1000-sample rolling window</t>
        </is>
      </c>
      <c r="F8" s="3" t="inlineStr">
        <is>
          <t>Ratify the caps (10k events, 1k latency samples) — they are the retention policy in practice</t>
        </is>
      </c>
    </row>
    <row r="9">
      <c r="A9" s="3" t="inlineStr">
        <is>
          <t>F-TP07</t>
        </is>
      </c>
      <c r="B9" s="3" t="inlineStr">
        <is>
          <t>Med-High</t>
        </is>
      </c>
      <c r="C9" s="3" t="inlineStr">
        <is>
          <t>flaky.ts</t>
        </is>
      </c>
      <c r="D9" s="3" t="inlineStr">
        <is>
          <t>setThreshold wrote an instance field; every Forge invocation builds a new detector, so the ST-023 custom threshold was silently discarded in production. Tests reused one instance and passed.</t>
        </is>
      </c>
      <c r="E9" s="3" t="inlineStr">
        <is>
          <t>FIXED — threshold persisted to fl:threshold; regression constructs a second detector as the resolver does</t>
        </is>
      </c>
      <c r="F9" s="3" t="inlineStr">
        <is>
          <t>None</t>
        </is>
      </c>
    </row>
    <row r="10">
      <c r="A10" s="3" t="inlineStr">
        <is>
          <t>F-TP08</t>
        </is>
      </c>
      <c r="B10" s="3" t="inlineStr">
        <is>
          <t>Med-High</t>
        </is>
      </c>
      <c r="C10" s="3" t="inlineStr">
        <is>
          <t>jiraClient.ts</t>
        </is>
      </c>
      <c r="D10" s="3" t="inlineStr">
        <is>
          <t>retryAfter slept as milliseconds; HTTP Retry-After is SECONDS. Jira asking for 60s got 60ms — a retry storm straight back into the rate limiter.</t>
        </is>
      </c>
      <c r="E10" s="3" t="inlineStr">
        <is>
          <t>FIXED — renamed retryAfterSeconds, converted, both backoff paths capped at 60s</t>
        </is>
      </c>
      <c r="F10" s="3" t="inlineStr">
        <is>
          <t>None</t>
        </is>
      </c>
    </row>
    <row r="11">
      <c r="A11" s="3" t="inlineStr">
        <is>
          <t>F-TP09</t>
        </is>
      </c>
      <c r="B11" s="3" t="inlineStr">
        <is>
          <t>Med-High</t>
        </is>
      </c>
      <c r="C11" s="3" t="inlineStr">
        <is>
          <t>ops.ts</t>
        </is>
      </c>
      <c r="D11" s="3" t="inlineStr">
        <is>
          <t>restore() wiped every key before validating the snapshot: a parseable-but-wrong snapshot (null, [], 3) destroyed all data then threw. The restore drill was itself a data-loss path.</t>
        </is>
      </c>
      <c r="E11" s="3" t="inlineStr">
        <is>
          <t>FIXED — snapshot shape validated before the wipe</t>
        </is>
      </c>
      <c r="F11" s="3" t="inlineStr">
        <is>
          <t>None</t>
        </is>
      </c>
    </row>
    <row r="12">
      <c r="A12" s="3" t="inlineStr">
        <is>
          <t>F-TP10</t>
        </is>
      </c>
      <c r="B12" s="3" t="inlineStr">
        <is>
          <t>Med</t>
        </is>
      </c>
      <c r="C12" s="3" t="inlineStr">
        <is>
          <t>runboards.ts</t>
        </is>
      </c>
      <c r="D12" s="3" t="inlineStr">
        <is>
          <t>Board ids derived from key count: creating a board after deleting one silently overwrote an existing board; concurrent invocations collided.</t>
        </is>
      </c>
      <c r="E12" s="3" t="inlineStr">
        <is>
          <t>FIXED — monotonic persisted rb:seq</t>
        </is>
      </c>
      <c r="F12" s="3" t="inlineStr">
        <is>
          <t>None</t>
        </is>
      </c>
    </row>
    <row r="13">
      <c r="A13" s="3" t="inlineStr">
        <is>
          <t>F-TP11</t>
        </is>
      </c>
      <c r="B13" s="3" t="inlineStr">
        <is>
          <t>Med</t>
        </is>
      </c>
      <c r="C13" s="3" t="inlineStr">
        <is>
          <t>runboards.ts, testgen.ts</t>
        </is>
      </c>
      <c r="D13" s="3" t="inlineStr">
        <is>
          <t>Naive split(","): every row of a CRLF export (Excel/Jira on Windows) failed, quoted commas mis-parsed, a bad row midway left earlier rows persisted, import ids restarted at I1 and collided.</t>
        </is>
      </c>
      <c r="E13" s="3" t="inlineStr">
        <is>
          <t>FIXED — both importers use the shared RFC-4180 parser, validate whole file then apply; import sequence persisted</t>
        </is>
      </c>
      <c r="F13" s="3" t="inlineStr">
        <is>
          <t>Feeds LC-5: the 3 real Xray/Zephyr exports will now exercise the same parser the importer uses</t>
        </is>
      </c>
    </row>
    <row r="14">
      <c r="A14" s="3" t="inlineStr">
        <is>
          <t>F-TP12</t>
        </is>
      </c>
      <c r="B14" s="3" t="inlineStr">
        <is>
          <t>Med</t>
        </is>
      </c>
      <c r="C14" s="3" t="inlineStr">
        <is>
          <t>forgeGlue.ts</t>
        </is>
      </c>
      <c r="D14" s="3" t="inlineStr">
        <is>
          <t>CI webtrigger is public by design; malformed JSON or non-array results threw out of the handler -&gt; Forge 500 with a stack to an unauthenticated caller.</t>
        </is>
      </c>
      <c r="E14" s="3" t="inlineStr">
        <is>
          <t>FIXED — parse + shape guard returns 400 malformed-payload</t>
        </is>
      </c>
      <c r="F14" s="3" t="inlineStr">
        <is>
          <t>None</t>
        </is>
      </c>
    </row>
    <row r="15">
      <c r="A15" s="3" t="inlineStr">
        <is>
          <t>F-TP13</t>
        </is>
      </c>
      <c r="B15" s="3" t="inlineStr">
        <is>
          <t>Med</t>
        </is>
      </c>
      <c r="C15" s="3" t="inlineStr">
        <is>
          <t>licensing.ts</t>
        </is>
      </c>
      <c r="D15" s="3" t="inlineStr">
        <is>
          <t>Read-only gate used a hand-kept set of mutating call names with nothing to catch drift; a new resolver call would have been writable while unlicensed.</t>
        </is>
      </c>
      <c r="E15" s="3" t="inlineStr">
        <is>
          <t>FIXED — every call classified in CALL_KINDS, unknown calls fail closed, drift test parses the resolver switch</t>
        </is>
      </c>
      <c r="F15" s="3" t="inlineStr">
        <is>
          <t>Confirm changePlan stays exempt while a license is inactive (renewal must work) — current behaviour</t>
        </is>
      </c>
    </row>
    <row r="16">
      <c r="A16" s="3" t="inlineStr">
        <is>
          <t>OBS-TP1</t>
        </is>
      </c>
      <c r="B16" s="3" t="inlineStr">
        <is>
          <t>Med</t>
        </is>
      </c>
      <c r="C16" s="3" t="inlineStr">
        <is>
          <t>forgeStore.ts</t>
        </is>
      </c>
      <c r="D16" s="3" t="inlineStr">
        <is>
          <t>ForgeStore.hydrate() loads every key in the installation on every invocation. Bounded now by F-TP06 but grows with tenant data; Forge invocations time out at 25s.</t>
        </is>
      </c>
      <c r="E16" s="3" t="inlineStr">
        <is>
          <t>NOT FIXED — prefix-scoped hydration changes the Store seam all 27 modules sit behind</t>
        </is>
      </c>
      <c r="F16" s="3" t="inlineStr">
        <is>
          <t>DECISION: architectural, worth doing before the first large tenant, not before the first install</t>
        </is>
      </c>
    </row>
    <row r="17">
      <c r="A17" s="3" t="inlineStr">
        <is>
          <t>OBS-TP2</t>
        </is>
      </c>
      <c r="B17" s="3" t="inlineStr">
        <is>
          <t>Low-Med</t>
        </is>
      </c>
      <c r="C17" s="3" t="inlineStr">
        <is>
          <t>jiraClient.ts</t>
        </is>
      </c>
      <c r="D17" s="3" t="inlineStr">
        <is>
          <t>Circuit breaker has no half-open probe limit: after cooldown every caller retries at once.</t>
        </is>
      </c>
      <c r="E17" s="3" t="inlineStr">
        <is>
          <t>NOT FIXED — identical to FlowCast OBS-002 and VoiceBridge OBS-V2</t>
        </is>
      </c>
      <c r="F17" s="3" t="inlineStr">
        <is>
          <t>DECISION: portfolio-wide, decide once and apply to all three</t>
        </is>
      </c>
    </row>
    <row r="18">
      <c r="A18" s="3" t="inlineStr">
        <is>
          <t>OBS-TP3</t>
        </is>
      </c>
      <c r="B18" s="3" t="inlineStr">
        <is>
          <t>Low</t>
        </is>
      </c>
      <c r="C18" s="3" t="inlineStr">
        <is>
          <t>telemetry.ts</t>
        </is>
      </c>
      <c r="D18" s="3" t="inlineStr">
        <is>
          <t>CSV export emitted raw keys unquoted; a feature name containing a comma broke the columns.</t>
        </is>
      </c>
      <c r="E18" s="3" t="inlineStr">
        <is>
          <t>FIXED in passing (csvCell)</t>
        </is>
      </c>
      <c r="F18" s="3" t="inlineStr">
        <is>
          <t>None</t>
        </is>
      </c>
    </row>
    <row r="19">
      <c r="A19" s="3" t="inlineStr">
        <is>
          <t>OBS-TP4</t>
        </is>
      </c>
      <c r="B19" s="3" t="inlineStr">
        <is>
          <t>Med</t>
        </is>
      </c>
      <c r="C19" s="3" t="inlineStr">
        <is>
          <t>billing.ts</t>
        </is>
      </c>
      <c r="D19" s="3" t="inlineStr">
        <is>
          <t>No payment-recovery path (a tenant who fixes their card stays read-only forever) and trial expiry never enforced (perpetual free access). Both are live defects in the sibling products.</t>
        </is>
      </c>
      <c r="E19" s="3" t="inlineStr">
        <is>
          <t>NOT FIXED — inert for this channel: Atlassian owns purchase/trial/proration/dunning under Paid-via-Atlassian and the app only reads license state</t>
        </is>
      </c>
      <c r="F19" s="3" t="inlineStr">
        <is>
          <t>DECISION: take the fix if and when a direct sales channel is switched on, not before</t>
        </is>
      </c>
    </row>
    <row r="20">
      <c r="A20" s="3" t="inlineStr">
        <is>
          <t>COLD REVIEW PASS 2 + VERIFICATION SWEEP (13/09/2026 09:52) — artifacts checked against live Atlassian docs, not just code against itself.</t>
        </is>
      </c>
      <c r="B20" s="3" t="n"/>
      <c r="C20" s="3" t="n"/>
      <c r="D20" s="3" t="n"/>
      <c r="E20" s="3" t="n"/>
      <c r="F20" s="3" t="n"/>
    </row>
    <row r="21">
      <c r="A21" s="3" t="inlineStr">
        <is>
          <t>VER-P01</t>
        </is>
      </c>
      <c r="B21" s="3" t="inlineStr">
        <is>
          <t>Live-blocking</t>
        </is>
      </c>
      <c r="C21" s="3" t="inlineStr">
        <is>
          <t>forge/index.ts</t>
        </is>
      </c>
      <c r="D21" s="3" t="inlineStr">
        <is>
          <t>The Forge entrypoint was five commented-out lines: `forge deploy` would have registered handlers index.resolver / index.ciWebhook that do not exist, so every panel invocation and CI webhook failed in the installed app. The shape was also wrong — Forge resolvers are resolver.define(key,({payload,context})) + getDefinitions(), and invoke(functionKey,payload) matches the DEFINITION KEY, never our single resolver({call,...}) function.</t>
        </is>
      </c>
      <c r="E21" s="3" t="inlineStr">
        <is>
          <t>FIXED — src/forgeAdapter.ts builds one definition per call; forge/index.ts is real code compiling against the real @forge/resolver, @forge/kvs, @forge/api; new CI gate npm run typecheck:forge</t>
        </is>
      </c>
      <c r="F21" s="3" t="inlineStr">
        <is>
          <t>None — but note LC-1 would have failed at the first panel click before this pass</t>
        </is>
      </c>
    </row>
    <row r="22">
      <c r="A22" s="3" t="inlineStr">
        <is>
          <t>VER-P02</t>
        </is>
      </c>
      <c r="B22" s="3" t="inlineStr">
        <is>
          <t>Live-blocking</t>
        </is>
      </c>
      <c r="C22" s="3" t="inlineStr">
        <is>
          <t>static/build/index.html, static/entry.ts</t>
        </is>
      </c>
      <c r="D22" s="3" t="inlineStr">
        <is>
          <t>The Custom UI page loaded the bundle and then called nothing (empty #root, bridge wiring commented out), and the bundle contained no @forge/bridge at all (3.7kb before vs 96.7kb after). The generate tab also demanded storyText, which an issue panel never has — it knows only the issue key.</t>
        </is>
      </c>
      <c r="E22" s="3" t="inlineStr">
        <is>
          <t>FIXED — real boot()/bootForge() with an error surface; bridge bundled; story text fetched server-side via env.fetchStory (read:jira-work already held); demo page split into its own bridge-free bundle because @forge/bridge refuses to initialise outside an Atlassian product</t>
        </is>
      </c>
      <c r="F22" s="3" t="inlineStr">
        <is>
          <t>None — demo.html screenshots still work, now from demo.js</t>
        </is>
      </c>
    </row>
    <row r="23">
      <c r="A23" s="3" t="inlineStr">
        <is>
          <t>VER-P03</t>
        </is>
      </c>
      <c r="B23" s="3" t="inlineStr">
        <is>
          <t>High</t>
        </is>
      </c>
      <c r="C23" s="3" t="inlineStr">
        <is>
          <t>licensing.ts</t>
        </is>
      </c>
      <c r="D23" s="3" t="inlineStr">
        <is>
          <t>Forge resolver context carries LicenseDetails { active, isEvaluation }; the gate expected { active, evaluation }, so a trialling customer would never have seen the evaluation banner.</t>
        </is>
      </c>
      <c r="E23" s="3" t="inlineStr">
        <is>
          <t>FIXED — mapLicense() in the adapter, pinned to the documented shape</t>
        </is>
      </c>
      <c r="F23" s="3" t="inlineStr">
        <is>
          <t>None</t>
        </is>
      </c>
    </row>
    <row r="24">
      <c r="A24" s="3" t="inlineStr">
        <is>
          <t>F-TP14</t>
        </is>
      </c>
      <c r="B24" s="3" t="inlineStr">
        <is>
          <t>High (security)</t>
        </is>
      </c>
      <c r="C24" s="3" t="inlineStr">
        <is>
          <t>forgeGlue.ts</t>
        </is>
      </c>
      <c r="D24" s="3" t="inlineStr">
        <is>
          <t>The permission role arrived in the request context — i.e. from the caller. Forge context is trustworthy but has no app role, so any adapter had to invent one: a member could invoke as owner and delete tenant data.</t>
        </is>
      </c>
      <c r="E24" s="3" t="inlineStr">
        <is>
          <t>FIXED — src/roles.ts derives role server-side (assignment &gt; installing account &gt; Jira site admin &gt; member); assignRole is owner-only; regression proves a role:owner payload is ignored</t>
        </is>
      </c>
      <c r="F24" s="3" t="inlineStr">
        <is>
          <t>DECISION: role model — today admin = Jira ADMINISTER and installer = owner. A different mapping (project lead, explicit assignment only) is a product call</t>
        </is>
      </c>
    </row>
    <row r="25">
      <c r="A25" s="3" t="inlineStr">
        <is>
          <t>F-TP15</t>
        </is>
      </c>
      <c r="B25" s="3" t="inlineStr">
        <is>
          <t>High (security)</t>
        </is>
      </c>
      <c r="C25" s="3" t="inlineStr">
        <is>
          <t>webhooks.ts</t>
        </is>
      </c>
      <c r="D25" s="3" t="inlineStr">
        <is>
          <t>One app-wide signing secret shared by every installation, while HC-05 told customers to copy it "from Settings" — a screen that could not exist because no per-tenant secret did.</t>
        </is>
      </c>
      <c r="E25" s="3" t="inlineStr">
        <is>
          <t>FIXED — per-installation secret provisioned at install, owner-only read + rotate (rotation clears the replay ledger); env value kept only as fallback for earlier installs</t>
        </is>
      </c>
      <c r="F25" s="3" t="inlineStr">
        <is>
          <t>Panel needs a Settings &gt; CI screen surfacing webhookSecret before listing (UI work, ~half a day)</t>
        </is>
      </c>
    </row>
    <row r="26">
      <c r="A26" s="3" t="inlineStr">
        <is>
          <t>F-TP16</t>
        </is>
      </c>
      <c r="B26" s="3" t="inlineStr">
        <is>
          <t>High</t>
        </is>
      </c>
      <c r="C26" s="3" t="inlineStr">
        <is>
          <t>testgen.ts, aiProvider.ts</t>
        </is>
      </c>
      <c r="D26" s="3" t="inlineStr">
        <is>
          <t>AnthropicProvider was shipped behind the AI seam and NEVER CALLED — generate always ran the rule engine, so AI generation was inert in production even with ANTHROPIC_API_KEY set, and R-P6 was reported cleared on an unreachable class.</t>
        </is>
      </c>
      <c r="E26" s="3" t="inlineStr">
        <is>
          <t>FIXED — generateWithAi uses the provider, holds its output to the same rules (kind filters + maxCases), persists it, and falls back to rules on failure with a counter</t>
        </is>
      </c>
      <c r="F26" s="3" t="inlineStr">
        <is>
          <t>Confirm whether AI generation ships ON at launch (cost per install) or behind an owner toggle</t>
        </is>
      </c>
    </row>
    <row r="27">
      <c r="A27" s="3" t="inlineStr">
        <is>
          <t>F-TP17</t>
        </is>
      </c>
      <c r="B27" s="3" t="inlineStr">
        <is>
          <t>Med-High</t>
        </is>
      </c>
      <c r="C27" s="3" t="inlineStr">
        <is>
          <t>xrayImport.ts</t>
        </is>
      </c>
      <c r="D27" s="3" t="inlineStr">
        <is>
          <t>The importer parsed Xray multi-step rows — the reason the module exists — then round-tripped through a 3-column CSV, so every imported case landed with EMPTY steps.</t>
        </is>
      </c>
      <c r="E27" s="3" t="inlineStr">
        <is>
          <t>FIXED — TestGen.importCases keeps steps and kinds, atomic and id-unique</t>
        </is>
      </c>
      <c r="F27" s="3" t="inlineStr">
        <is>
          <t>Feeds LC-5: the 3 real export files now prove the whole path, not just the parser</t>
        </is>
      </c>
    </row>
    <row r="28">
      <c r="A28" s="3" t="inlineStr">
        <is>
          <t>F-TP18</t>
        </is>
      </c>
      <c r="B28" s="3" t="inlineStr">
        <is>
          <t>Med-High</t>
        </is>
      </c>
      <c r="C28" s="3" t="inlineStr">
        <is>
          <t>onboarding.ts</t>
        </is>
      </c>
      <c r="D28" s="3" t="inlineStr">
        <is>
          <t>Demo mode wrote three inert marker records no feature reads, so ST-083/HC-15 "explore with seeded sample data" showed an empty product.</t>
        </is>
      </c>
      <c r="E28" s="3" t="inlineStr">
        <is>
          <t>FIXED — seeds real cases, a real board with runs and real flaky history; records exactly what it created and removes exactly that on disable</t>
        </is>
      </c>
      <c r="F28" s="3" t="inlineStr">
        <is>
          <t>None</t>
        </is>
      </c>
    </row>
    <row r="29">
      <c r="A29" s="3" t="inlineStr">
        <is>
          <t>F-TP19</t>
        </is>
      </c>
      <c r="B29" s="3" t="inlineStr">
        <is>
          <t>Med</t>
        </is>
      </c>
      <c r="C29" s="3" t="inlineStr">
        <is>
          <t>helpcenter.ts</t>
        </is>
      </c>
      <c r="D29" s="3" t="inlineStr">
        <is>
          <t>Three articles promised behaviour the product lacks: a "skip" run status RunStatus never defined, a billing flow superseded by Paid-via-Atlassian (GST/VAT invoices from the retired engine), and the non-existent CI Settings screen.</t>
        </is>
      </c>
      <c r="E29" s="3" t="inlineStr">
        <is>
          <t>FIXED — articles corrected; tests pin each claim to the code implementing it</t>
        </is>
      </c>
      <c r="F29" s="3" t="inlineStr">
        <is>
          <t>Listing copy + pricing FAQ still carry the flat $99/$299 anchor — blocked on D18</t>
        </is>
      </c>
    </row>
    <row r="30">
      <c r="A30" s="3" t="inlineStr">
        <is>
          <t>F-TP20</t>
        </is>
      </c>
      <c r="B30" s="3" t="inlineStr">
        <is>
          <t>Low</t>
        </is>
      </c>
      <c r="C30" s="3" t="inlineStr">
        <is>
          <t>billing.ts</t>
        </is>
      </c>
      <c r="D30" s="3" t="inlineStr">
        <is>
          <t>Exit-survey ledger unbounded — the one pass 1 missed.</t>
        </is>
      </c>
      <c r="E30" s="3" t="inlineStr">
        <is>
          <t>FIXED — FIFO-capped like the rest</t>
        </is>
      </c>
      <c r="F30" s="3" t="inlineStr">
        <is>
          <t>None</t>
        </is>
      </c>
    </row>
    <row r="31">
      <c r="A31" s="3" t="inlineStr">
        <is>
          <t>L-P1</t>
        </is>
      </c>
      <c r="B31" s="3" t="inlineStr">
        <is>
          <t>Lesson</t>
        </is>
      </c>
      <c r="C31" s="3" t="inlineStr">
        <is>
          <t>portfolio</t>
        </is>
      </c>
      <c r="D31" s="3" t="inlineStr">
        <is>
          <t>A 100%-covered codebase can be undeployable: nothing in a Jest suite loads the file the platform loads. Same class as VoiceBridge VER-V01 (opencti_min.js never loaded) — twice now, so it is a pattern.</t>
        </is>
      </c>
      <c r="E31" s="3" t="inlineStr">
        <is>
          <t>Entrypoint type-check against the real vendor packages is now a CI gate here</t>
        </is>
      </c>
      <c r="F31" s="3" t="inlineStr">
        <is>
          <t>DECISION: port the same gate to the other 10 products</t>
        </is>
      </c>
    </row>
    <row r="32">
      <c r="A32" s="3" t="inlineStr">
        <is>
          <t>L-P2</t>
        </is>
      </c>
      <c r="B32" s="3" t="inlineStr">
        <is>
          <t>Lesson</t>
        </is>
      </c>
      <c r="C32" s="3" t="inlineStr">
        <is>
          <t>portfolio</t>
        </is>
      </c>
      <c r="D32" s="3" t="inlineStr">
        <is>
          <t>A seam is not a feature. Shipping AnthropicProvider closed R-P6 on paper while nothing called it.</t>
        </is>
      </c>
      <c r="E32" s="3" t="inlineStr">
        <is>
          <t>Report a seam closed only when a test drives the real path end to end</t>
        </is>
      </c>
      <c r="F32" s="3" t="inlineStr">
        <is>
          <t>None</t>
        </is>
      </c>
    </row>
    <row r="33">
      <c r="A33" s="3" t="inlineStr">
        <is>
          <t>L-P3</t>
        </is>
      </c>
      <c r="B33" s="3" t="inlineStr">
        <is>
          <t>Lesson</t>
        </is>
      </c>
      <c r="C33" s="3" t="inlineStr">
        <is>
          <t>portfolio</t>
        </is>
      </c>
      <c r="D33" s="3" t="inlineStr">
        <is>
          <t>Authorization inputs must be named: `role` looked like context and was actually caller input.</t>
        </is>
      </c>
      <c r="E33" s="3" t="inlineStr">
        <is>
          <t>For every field used in an authorization decision, record where it comes from and who can set it</t>
        </is>
      </c>
      <c r="F33" s="3" t="inlineStr">
        <is>
          <t>None</t>
        </is>
      </c>
    </row>
    <row r="34">
      <c r="A34" s="3" t="inlineStr">
        <is>
          <t>COLD REVIEW PASS 3 — REACHABILITY (13/09/2026 10:24): what ships but cannot be reached by anyone in the installed app.</t>
        </is>
      </c>
      <c r="B34" s="3" t="n"/>
      <c r="C34" s="3" t="n"/>
      <c r="D34" s="3" t="n"/>
      <c r="E34" s="3" t="n"/>
      <c r="F34" s="3" t="n"/>
    </row>
    <row r="35">
      <c r="A35" s="3" t="inlineStr">
        <is>
          <t>F-TP21</t>
        </is>
      </c>
      <c r="B35" s="3" t="inlineStr">
        <is>
          <t>High</t>
        </is>
      </c>
      <c r="C35" s="3" t="inlineStr">
        <is>
          <t>compliance.ts</t>
        </is>
      </c>
      <c r="D35" s="3" t="inlineStr">
        <is>
          <t>exportMyData/deleteMyData had NO resolver call — the self-serve export and deletion promised by HC-12, the trust page, the residency statement and the Cloud Fortified gap assessment were unreachable in the installed app. Pass 1 fixed the correctness of a feature nobody could invoke.</t>
        </is>
      </c>
      <c r="E35" s="3" t="inlineStr">
        <is>
          <t>FIXED — owner-only exportMyData + deleteMyData (deletion requires typing the site id), both EXEMPT from the license gate so data rights survive an inactive license</t>
        </is>
      </c>
      <c r="F35" s="3" t="inlineStr">
        <is>
          <t>None — this is the claim a Marketplace security reviewer tests first</t>
        </is>
      </c>
    </row>
    <row r="36">
      <c r="A36" s="3" t="inlineStr">
        <is>
          <t>F-TP22</t>
        </is>
      </c>
      <c r="B36" s="3" t="inlineStr">
        <is>
          <t>High</t>
        </is>
      </c>
      <c r="C36" s="3" t="inlineStr">
        <is>
          <t>lifecycle.ts, manifest</t>
        </is>
      </c>
      <c r="D36" s="3" t="inlineStr">
        <is>
          <t>sweepDeletions() was scheduled NOWHERE: the manifest had no scheduledTrigger, so the published "30 days post-uninstall, then hard delete" never ran in production.</t>
        </is>
      </c>
      <c r="E36" s="3" t="inlineStr">
        <is>
          <t>FIXED — daily scheduledTrigger (syntax verified live: key+function+interval, &lt;=5 per app, duplicate delivery possible so the handler is idempotent), makeScheduledSweep adapter, retentionSweep exported from the entrypoint</t>
        </is>
      </c>
      <c r="F36" s="3" t="inlineStr">
        <is>
          <t>Confirm daily is the right interval (hour/day/week available)</t>
        </is>
      </c>
    </row>
    <row r="37">
      <c r="A37" s="3" t="inlineStr">
        <is>
          <t>F-TP23</t>
        </is>
      </c>
      <c r="B37" s="3" t="inlineStr">
        <is>
          <t>High</t>
        </is>
      </c>
      <c r="C37" s="3" t="inlineStr">
        <is>
          <t>testgen/flaky/runboards</t>
        </is>
      </c>
      <c r="D37" s="3" t="inlineStr">
        <is>
          <t>Every customisation and pause story (ST-003/008/018/023/028) was library-only — a customer could not change a generation rule, a flaky threshold, or pause anything.</t>
        </is>
      </c>
      <c r="E37" s="3" t="inlineStr">
        <is>
          <t>FIXED — settings/setSettings resolver calls (members read-only) plus a real Settings screen</t>
        </is>
      </c>
      <c r="F37" s="3" t="inlineStr">
        <is>
          <t>None</t>
        </is>
      </c>
    </row>
    <row r="38">
      <c r="A38" s="3" t="inlineStr">
        <is>
          <t>F-TP24</t>
        </is>
      </c>
      <c r="B38" s="3" t="inlineStr">
        <is>
          <t>High</t>
        </is>
      </c>
      <c r="C38" s="3" t="inlineStr">
        <is>
          <t>notifications.ts</t>
        </is>
      </c>
      <c r="D38" s="3" t="inlineStr">
        <is>
          <t>Notification preferences (ST-010/020/030/040/050, HC-13) had no surface, and nothing in the Forge path ever called notify() — no notification was raised in the installed app at all. Only the REST smoke harness did.</t>
        </is>
      </c>
      <c r="E38" s="3" t="inlineStr">
        <is>
          <t>FIXED — notify wired into generate/recordRun/importXray, preferences editable in Settings, notifications call returns the recent log</t>
        </is>
      </c>
      <c r="F38" s="3" t="inlineStr">
        <is>
          <t>Email channel still has no provider — in-app only until one is chosen</t>
        </is>
      </c>
    </row>
    <row r="39">
      <c r="A39" s="3" t="inlineStr">
        <is>
          <t>F-TP25</t>
        </is>
      </c>
      <c r="B39" s="3" t="inlineStr">
        <is>
          <t>Med-High</t>
        </is>
      </c>
      <c r="C39" s="3" t="inlineStr">
        <is>
          <t>telemetry.ts</t>
        </is>
      </c>
      <c r="D39" s="3" t="inlineStr">
        <is>
          <t>trackError had no caller, so the error-spike alert (ST-072/ST-077) could never fire.</t>
        </is>
      </c>
      <c r="E39" s="3" t="inlineStr">
        <is>
          <t>FIXED — every failed invocation records resolver:&lt;call&gt;, on a separate store write so telemetry cannot mask the original error</t>
        </is>
      </c>
      <c r="F39" s="3" t="inlineStr">
        <is>
          <t>Alert delivery (where does a spike go?) is an ops decision</t>
        </is>
      </c>
    </row>
    <row r="40">
      <c r="A40" s="3" t="inlineStr">
        <is>
          <t>F-TP26</t>
        </is>
      </c>
      <c r="B40" s="3" t="inlineStr">
        <is>
          <t>Med</t>
        </is>
      </c>
      <c r="C40" s="3" t="inlineStr">
        <is>
          <t>support.ts</t>
        </is>
      </c>
      <c r="D40" s="3" t="inlineStr">
        <is>
          <t>ST-081 in-app support intake and the SLA report were unreachable.</t>
        </is>
      </c>
      <c r="E40" s="3" t="inlineStr">
        <is>
          <t>FIXED — supportOpen (exempt from the license gate) + admin-only supportTickets</t>
        </is>
      </c>
      <c r="F40" s="3" t="inlineStr">
        <is>
          <t>D-P1 equivalent: in-app chat vendor vs built-in intake is still open</t>
        </is>
      </c>
    </row>
    <row r="41">
      <c r="A41" s="3" t="inlineStr">
        <is>
          <t>F-TP27</t>
        </is>
      </c>
      <c r="B41" s="3" t="inlineStr">
        <is>
          <t>Med</t>
        </is>
      </c>
      <c r="C41" s="3" t="inlineStr">
        <is>
          <t>ops.ts</t>
        </is>
      </c>
      <c r="D41" s="3" t="inlineStr">
        <is>
          <t>LatencyMonitor was only called by the load harness, so the p95 budgets (ST-087) had no production data, and statusPage had no surface.</t>
        </is>
      </c>
      <c r="E41" s="3" t="inlineStr">
        <is>
          <t>FIXED — every panel-facing call is measured against its budget surface inside the same invocation (a fire-and-forget write races the next read and loses samples); statusReport returns status + per-surface p95</t>
        </is>
      </c>
      <c r="F41" s="3" t="inlineStr">
        <is>
          <t>None</t>
        </is>
      </c>
    </row>
    <row r="42">
      <c r="A42" s="3" t="inlineStr">
        <is>
          <t>F-TP28</t>
        </is>
      </c>
      <c r="B42" s="3" t="inlineStr">
        <is>
          <t>Med-High</t>
        </is>
      </c>
      <c r="C42" s="3" t="inlineStr">
        <is>
          <t>ui/mount.ts</t>
        </is>
      </c>
      <c r="D42" s="3" t="inlineStr">
        <is>
          <t>The panel rendered HTML and bound nothing — no control in the product did anything. Four read-only tabs, no way to act.</t>
        </is>
      </c>
      <c r="E42" s="3" t="inlineStr">
        <is>
          <t>FIXED — delegated action binding (data-action/data-field), failures shown on screen instead of swallowed, state re-read after each success</t>
        </is>
      </c>
      <c r="F42" s="3" t="inlineStr">
        <is>
          <t>Settings screen is now listing-screenshot material (asset capture)</t>
        </is>
      </c>
    </row>
    <row r="43">
      <c r="A43" s="3" t="inlineStr">
        <is>
          <t>F-TP19b</t>
        </is>
      </c>
      <c r="B43" s="3" t="inlineStr">
        <is>
          <t>Med</t>
        </is>
      </c>
      <c r="C43" s="3" t="inlineStr">
        <is>
          <t>helpcenter.ts</t>
        </is>
      </c>
      <c r="D43" s="3" t="inlineStr">
        <is>
          <t>HC-03 promised admins could "add, reorder or disable generation rules per workflow" — rules are three toggles and a cap, with no ordering.</t>
        </is>
      </c>
      <c r="E43" s="3" t="inlineStr">
        <is>
          <t>FIXED — article rewritten to the controls the screen renders, pinned by a test that greps the rendered HTML for each data-field</t>
        </is>
      </c>
      <c r="F43" s="3" t="inlineStr">
        <is>
          <t>None</t>
        </is>
      </c>
    </row>
    <row r="44">
      <c r="A44" s="3" t="inlineStr">
        <is>
          <t>L-P4</t>
        </is>
      </c>
      <c r="B44" s="3" t="inlineStr">
        <is>
          <t>Lesson</t>
        </is>
      </c>
      <c r="C44" s="3" t="inlineStr">
        <is>
          <t>portfolio</t>
        </is>
      </c>
      <c r="D44" s="3" t="inlineStr">
        <is>
          <t>A module with no caller is not a feature, and a test suite cannot tell the difference: several of these had 100% branch coverage of behaviour no user could trigger. Third distinct "passes its tests, cannot work" class in this product after L-P1 (undeployable entrypoint) and L-P2 (unwired seam).</t>
        </is>
      </c>
      <c r="E44" s="3" t="inlineStr">
        <is>
          <t>Standing check proposed: list every exported capability and name the resolver call, trigger or control that reaches it; an empty column is scope to cut or a feature to finish</t>
        </is>
      </c>
      <c r="F44" s="3" t="inlineStr">
        <is>
          <t>DECISION: run the same reachability audit across the other 10 products</t>
        </is>
      </c>
    </row>
    <row r="45">
      <c r="A45" s="3" t="inlineStr">
        <is>
          <t>COLD REVIEW PASS 4 — CLAIMS (13/09/2026 10:37): the 13 published documents vs what the code now does.</t>
        </is>
      </c>
      <c r="B45" s="3" t="n"/>
      <c r="C45" s="3" t="n"/>
      <c r="D45" s="3" t="n"/>
      <c r="E45" s="3" t="n"/>
      <c r="F45" s="3" t="n"/>
    </row>
    <row r="46">
      <c r="A46" s="3" t="inlineStr">
        <is>
          <t>F-TP30</t>
        </is>
      </c>
      <c r="B46" s="3" t="inlineStr">
        <is>
          <t>High</t>
        </is>
      </c>
      <c r="C46" s="3" t="inlineStr">
        <is>
          <t>jiraClient.ts, forge/index.ts</t>
        </is>
      </c>
      <c r="D46" s="3" t="inlineStr">
        <is>
          <t>ST-070 backoff/jitter/circuit-breaker only wrapped an injected http function that nothing in the Forge path used: the entrypoint's two live Jira calls (story fetch, admin check) went straight out with no retry and no breaker — while the security assessment claimed rate-limit resilience as a verified control.</t>
        </is>
      </c>
      <c r="E46" s="3" t="inlineStr">
        <is>
          <t>FIXED — JiraClient.run(label, op) applies the policy to any operation including a route tagged-template call; both entrypoint calls share one client; Retry-After read from the response header (seconds, capped)</t>
        </is>
      </c>
      <c r="F46" s="3" t="inlineStr">
        <is>
          <t>None</t>
        </is>
      </c>
    </row>
    <row r="47">
      <c r="A47" s="3" t="inlineStr">
        <is>
          <t>F-TP31</t>
        </is>
      </c>
      <c r="B47" s="3" t="inlineStr">
        <is>
          <t>Med-High</t>
        </is>
      </c>
      <c r="C47" s="3" t="inlineStr">
        <is>
          <t>ops.ts</t>
        </is>
      </c>
      <c r="D47" s="3" t="inlineStr">
        <is>
          <t>Cloud Fortified "Backup/recovery: DONE (drill)" rested on BackupOps.drill(), which had no caller and is destructive by design (it restores over live data), so it could never be exposed to a tenant.</t>
        </is>
      </c>
      <c r="E47" s="3" t="inlineStr">
        <is>
          <t>FIXED — non-destructive verify() (keys, bytes, content digest) reported via statusReport; the destructive drill is documented as a staging tool</t>
        </is>
      </c>
      <c r="F47" s="3" t="inlineStr">
        <is>
          <t>Re-run the destructive drill against live Forge storage at LC-1</t>
        </is>
      </c>
    </row>
    <row r="48">
      <c r="A48" s="3" t="inlineStr">
        <is>
          <t>F-TP32</t>
        </is>
      </c>
      <c r="B48" s="3" t="inlineStr">
        <is>
          <t>Med-High</t>
        </is>
      </c>
      <c r="C48" s="3" t="inlineStr">
        <is>
          <t>compliance.ts, CI</t>
        </is>
      </c>
      <c r="D48" s="3" t="inlineStr">
        <is>
          <t>The trust page claimed the encryption posture was "asserted by config check in CI". verifyEncryptionPosture had tests and no runner — the assertion was never made anywhere.</t>
        </is>
      </c>
      <c r="E48" s="3" t="inlineStr">
        <is>
          <t>FIXED — scripts/check-posture.js wired as npm run check:posture in CI: fails on TLS disabled, fails at deploy without a bound KMS key</t>
        </is>
      </c>
      <c r="F48" s="3" t="inlineStr">
        <is>
          <t>B-18 KMS binding at deploy remains Senthil-side</t>
        </is>
      </c>
    </row>
    <row r="49">
      <c r="A49" s="3" t="inlineStr">
        <is>
          <t>F-TP33</t>
        </is>
      </c>
      <c r="B49" s="3" t="inlineStr">
        <is>
          <t>Med</t>
        </is>
      </c>
      <c r="C49" s="3" t="inlineStr">
        <is>
          <t>trust-page, submission-dry-run, security-assessment, wcag-checklist</t>
        </is>
      </c>
      <c r="D49" s="3" t="inlineStr">
        <is>
          <t>Four false published statements: an EMAIL SUBPROCESSOR the app has no integration for and no egress permission to reach; the listing-asset row still citing the old 5-shot spec v006 had already corrected to the Rule-of-3; an authorization description written from the Express harness (x-tp-role header) rather than the product's server-derived roles; and a WCAG checklist deferring the automated pass because "there is no UI".</t>
        </is>
      </c>
      <c r="E49" s="3" t="inlineStr">
        <is>
          <t>FIXED — all four corrected, each pinned by a test that greps the document against the code</t>
        </is>
      </c>
      <c r="F49" s="3" t="inlineStr">
        <is>
          <t>Trust page + security assessment are customer-facing: worth a read before listing</t>
        </is>
      </c>
    </row>
    <row r="50">
      <c r="A50" s="3" t="inlineStr">
        <is>
          <t>F-TP29</t>
        </is>
      </c>
      <c r="B50" s="3" t="inlineStr">
        <is>
          <t>Med</t>
        </is>
      </c>
      <c r="C50" s="3" t="inlineStr">
        <is>
          <t>ui/render.ts</t>
        </is>
      </c>
      <c r="D50" s="3" t="inlineStr">
        <is>
          <t>The flaky table shipped an unnamed column header (axe: empty-table-header) — a screen-reader user got an unlabelled column. Found by the new automated a11y pass on its first run.</t>
        </is>
      </c>
      <c r="E50" s="3" t="inlineStr">
        <is>
          <t>FIXED — caption plus named, scoped headers</t>
        </is>
      </c>
      <c r="F50" s="3" t="inlineStr">
        <is>
          <t>None</t>
        </is>
      </c>
    </row>
    <row r="51">
      <c r="A51" s="3" t="inlineStr">
        <is>
          <t>ST-089</t>
        </is>
      </c>
      <c r="B51" s="3" t="inlineStr">
        <is>
          <t>Progress</t>
        </is>
      </c>
      <c r="C51" s="3" t="inlineStr">
        <is>
          <t>test/a11y.test.ts</t>
        </is>
      </c>
      <c r="D51" s="3" t="inlineStr">
        <is>
          <t>The WCAG automated audit was deferred to LC-1 on the grounds that there was no UI to audit; pass 3 gave the panel real controls.</t>
        </is>
      </c>
      <c r="E51" s="3" t="inlineStr">
        <is>
          <t>SHIPPED — axe-core over all five panels + empty states on every build</t>
        </is>
      </c>
      <c r="F51" s="3" t="inlineStr">
        <is>
          <t>Manual keyboard/NVDA + contrast in the live iframe remain the only LC-1 a11y items</t>
        </is>
      </c>
    </row>
    <row r="52">
      <c r="A52" s="3" t="inlineStr">
        <is>
          <t>L-P5</t>
        </is>
      </c>
      <c r="B52" s="3" t="inlineStr">
        <is>
          <t>Lesson</t>
        </is>
      </c>
      <c r="C52" s="3" t="inlineStr">
        <is>
          <t>portfolio</t>
        </is>
      </c>
      <c r="D52" s="3" t="inlineStr">
        <is>
          <t>A document is an assertion about the code and should be tested like one. Every false claim here was true when written; the product moved and the documents did not.</t>
        </is>
      </c>
      <c r="E52" s="3" t="inlineStr">
        <is>
          <t>Mechanical claims (no email subprocessor, asset spec, server-derived roles, a11y pass runs) are pinned by five-line tests that fail the build when doc and code diverge</t>
        </is>
      </c>
      <c r="F52" s="3" t="inlineStr">
        <is>
          <t>DECISION: adopt doc-pinning tests across the portfolio; untestable claims (SLA, pen-test) need a named owner and date</t>
        </is>
      </c>
    </row>
    <row r="53">
      <c r="A53" s="3" t="inlineStr">
        <is>
          <t>PASS 5 — REVIEW GATES (13/09/2026 10:44): the standing checks, and what they found on their first run.</t>
        </is>
      </c>
      <c r="B53" s="3" t="n"/>
      <c r="C53" s="3" t="n"/>
      <c r="D53" s="3" t="n"/>
      <c r="E53" s="3" t="n"/>
      <c r="F53" s="3" t="n"/>
    </row>
    <row r="54">
      <c r="A54" s="3" t="inlineStr">
        <is>
          <t>GATE-1</t>
        </is>
      </c>
      <c r="B54" s="3" t="inlineStr">
        <is>
          <t>Tooling</t>
        </is>
      </c>
      <c r="C54" s="3" t="inlineStr">
        <is>
          <t>tools/review-gates/reachability.js</t>
        </is>
      </c>
      <c r="D54" s="3" t="inlineStr">
        <is>
          <t>L-P4 as code: walks the import graph from the REAL entrypoints (never the tests — that blindness is the point) and reports orphan modules and orphan methods. Exceptions require a written reason; stale exceptions are reported so they expire.</t>
        </is>
      </c>
      <c r="E54" s="3" t="inlineStr">
        <is>
          <t>SHIPPED + tested (test/gates.test.ts proves it goes red when what it guards breaks); wired as npm run gates in CI</t>
        </is>
      </c>
      <c r="F54" s="3" t="inlineStr">
        <is>
          <t>DECISION: port to the other 10 products — config is ~10 lines per repo</t>
        </is>
      </c>
    </row>
    <row r="55">
      <c r="A55" s="3" t="inlineStr">
        <is>
          <t>GATE-2</t>
        </is>
      </c>
      <c r="B55" s="3" t="inlineStr">
        <is>
          <t>Tooling</t>
        </is>
      </c>
      <c r="C55" s="3" t="inlineStr">
        <is>
          <t>tools/review-gates/doc-claims.js</t>
        </is>
      </c>
      <c r="D55" s="3" t="inlineStr">
        <is>
          <t>L-P5 as code: a register of published claims, each tied to the evidence in code that must hold (15 registered for TestPulse). Fails the build on the commit that breaks the link rather than in a Marketplace security review.</t>
        </is>
      </c>
      <c r="E55" s="3" t="inlineStr">
        <is>
          <t>SHIPPED + tested; covers deletion, retention, scopes, subprocessors, encryption posture, asset spec, a11y, residency</t>
        </is>
      </c>
      <c r="F55" s="3" t="inlineStr">
        <is>
          <t>DECISION: adopt portfolio-wide; untestable claims (SLA, pen-test) need a named owner and date instead</t>
        </is>
      </c>
    </row>
    <row r="56">
      <c r="A56" s="3" t="inlineStr">
        <is>
          <t>F-TP34</t>
        </is>
      </c>
      <c r="B56" s="3" t="inlineStr">
        <is>
          <t>Med-High</t>
        </is>
      </c>
      <c r="C56" s="3" t="inlineStr">
        <is>
          <t>telemetry.ts</t>
        </is>
      </c>
      <c r="D56" s="3" t="inlineStr">
        <is>
          <t>Found by the gate, missed by manual pass 3: trackFeature/heatmap/exportCsv/funnel had no caller — the ST-073 feature heatmap was never fed and the ST-071 funnel and ST-076 export were never readable; setErrorThreshold was unreachable so ST-077 could not be tuned.</t>
        </is>
      </c>
      <c r="E56" s="3" t="inlineStr">
        <is>
          <t>FIXED — every resolver invocation records its feature; admin-only usageReport returns funnel+heatmap+CSV; threshold moved into Settings</t>
        </is>
      </c>
      <c r="F56" s="3" t="inlineStr">
        <is>
          <t>None</t>
        </is>
      </c>
    </row>
    <row r="57">
      <c r="A57" s="3" t="inlineStr">
        <is>
          <t>F-TP35</t>
        </is>
      </c>
      <c r="B57" s="3" t="inlineStr">
        <is>
          <t>Med</t>
        </is>
      </c>
      <c r="C57" s="3" t="inlineStr">
        <is>
          <t>support.ts</t>
        </is>
      </c>
      <c r="D57" s="3" t="inlineStr">
        <is>
          <t>Support.respond had no caller: a ticket could be opened and NEVER answered, so the SLA report could only ever accumulate breaches — and the Cloud Fortified evidence row cites that report.</t>
        </is>
      </c>
      <c r="E57" s="3" t="inlineStr">
        <is>
          <t>FIXED — supportRespond (admin/owner); the SLA report now measures what it claims</t>
        </is>
      </c>
      <c r="F57" s="3" t="inlineStr">
        <is>
          <t>None</t>
        </is>
      </c>
    </row>
    <row r="58">
      <c r="A58" s="3" t="inlineStr">
        <is>
          <t>F-TP36</t>
        </is>
      </c>
      <c r="B58" s="3" t="inlineStr">
        <is>
          <t>Med</t>
        </is>
      </c>
      <c r="C58" s="3" t="inlineStr">
        <is>
          <t>runboards.ts, testgen.ts</t>
        </is>
      </c>
      <c r="D58" s="3" t="inlineStr">
        <is>
          <t>Both CSV importers were unreachable — run results (ST-019) and test cases (ST-009). Only the Xray path had a door.</t>
        </is>
      </c>
      <c r="E58" s="3" t="inlineStr">
        <is>
          <t>FIXED — importRuns and importTestCsv resolver calls</t>
        </is>
      </c>
      <c r="F58" s="3" t="inlineStr">
        <is>
          <t>None</t>
        </is>
      </c>
    </row>
    <row r="59">
      <c r="A59" s="3" t="inlineStr">
        <is>
          <t>F-TP37</t>
        </is>
      </c>
      <c r="B59" s="3" t="inlineStr">
        <is>
          <t>Med</t>
        </is>
      </c>
      <c r="C59" s="3" t="inlineStr">
        <is>
          <t>onboarding.ts, ui/mount.ts, forgeGlue.ts</t>
        </is>
      </c>
      <c r="D59" s="3" t="inlineStr">
        <is>
          <t>Two writers for one thing, twice: the panel kept its own copy of the ST-079 empty-state map while Onboarding.emptyState went uncalled, and Settings read/wrote ntf:pref:* directly, duplicating the key format Notifications owns.</t>
        </is>
      </c>
      <c r="E59" s="3" t="inlineStr">
        <is>
          <t>FIXED — one shared emptyStates.ts consumed by both; Settings goes through Notifications.setPref/prefs(); the dead method deleted rather than allowlisted</t>
        </is>
      </c>
      <c r="F59" s="3" t="inlineStr">
        <is>
          <t>None</t>
        </is>
      </c>
    </row>
    <row r="60">
      <c r="A60" s="3" t="inlineStr">
        <is>
          <t>OBS-TP5</t>
        </is>
      </c>
      <c r="B60" s="3" t="inlineStr">
        <is>
          <t>Open</t>
        </is>
      </c>
      <c r="C60" s="3" t="inlineStr">
        <is>
          <t>telemetry.ts</t>
        </is>
      </c>
      <c r="D60" s="3" t="inlineStr">
        <is>
          <t>Telemetry.healthScore (ST-075) needs weekly-active-users, which nothing in the product tracks — the metric is unfed.</t>
        </is>
      </c>
      <c r="E60" s="3" t="inlineStr">
        <is>
          <t>NOT FIXED — allowlisted with the reason recorded</t>
        </is>
      </c>
      <c r="F60" s="3" t="inlineStr">
        <is>
          <t>DECISION: cut ST-075 or fund a usage feed for it</t>
        </is>
      </c>
    </row>
    <row r="61">
      <c r="A61" s="3" t="inlineStr">
        <is>
          <t>COLD REVIEW PASS 6 — THE CUSTOMER'S PATH (13/09/2026 10:57): walking the primary loop as a user.</t>
        </is>
      </c>
      <c r="B61" s="3" t="n"/>
      <c r="C61" s="3" t="n"/>
      <c r="D61" s="3" t="n"/>
      <c r="E61" s="3" t="n"/>
      <c r="F61" s="3" t="n"/>
    </row>
    <row r="62">
      <c r="A62" s="3" t="inlineStr">
        <is>
          <t>F-TP39</t>
        </is>
      </c>
      <c r="B62" s="3" t="inlineStr">
        <is>
          <t>HIGH</t>
        </is>
      </c>
      <c r="C62" s="3" t="inlineStr">
        <is>
          <t>ui/mount.ts</t>
        </is>
      </c>
      <c r="D62" s="3" t="inlineStr">
        <is>
          <t>MOUNTING THE ISSUE PANEL CALLED generate — A WRITE. Every time anyone opened an issue, TestPulse generated and persisted another set of cases: 3 duplicates per view, unbounded, and with an LLM provider configured an Anthropic API call BILLED PER PANEL RENDER. Browsing 10 issues twice = 20 generations and 60 cases for 30 stories.</t>
        </is>
      </c>
      <c r="E62" s="3" t="inlineStr">
        <is>
          <t>FIXED — the panel reads (listCases); generating is an explicit button; mounting never writes</t>
        </is>
      </c>
      <c r="F62" s="3" t="inlineStr">
        <is>
          <t>None — but it is the reason to walk the loop before LC-1 assets are shot</t>
        </is>
      </c>
    </row>
    <row r="63">
      <c r="A63" s="3" t="inlineStr">
        <is>
          <t>F-TP38</t>
        </is>
      </c>
      <c r="B63" s="3" t="inlineStr">
        <is>
          <t>Med-High</t>
        </is>
      </c>
      <c r="C63" s="3" t="inlineStr">
        <is>
          <t>testgen.ts</t>
        </is>
      </c>
      <c r="D63" s="3" t="inlineStr">
        <is>
          <t>There was no read path for cases at all: the panel could create them and never show what existed.</t>
        </is>
      </c>
      <c r="E63" s="3" t="inlineStr">
        <is>
          <t>FIXED — TestGen.list(storyKey?) + listCases resolver call, classified as a read so it survives an inactive license</t>
        </is>
      </c>
      <c r="F63" s="3" t="inlineStr">
        <is>
          <t>None</t>
        </is>
      </c>
    </row>
    <row r="64">
      <c r="A64" s="3" t="inlineStr">
        <is>
          <t>F-TP40</t>
        </is>
      </c>
      <c r="B64" s="3" t="inlineStr">
        <is>
          <t>Med-High</t>
        </is>
      </c>
      <c r="C64" s="3" t="inlineStr">
        <is>
          <t>runboards.ts, forgeGlue.ts</t>
        </is>
      </c>
      <c r="D64" s="3" t="inlineStr">
        <is>
          <t>A run could not be recorded from the issue panel: recordRun demanded a boardId and creating a board needs the configure permission a member lacks. The MVP loop the product is built around was NOT COMPLETABLE BY A MEMBER in the UI.</t>
        </is>
      </c>
      <c r="E64" s="3" t="inlineStr">
        <is>
          <t>FIXED — runs record against a default board created on demand; pass/fail/blocked controls on each case; generate -&gt; run -&gt; readiness completes in-panel</t>
        </is>
      </c>
      <c r="F64" s="3" t="inlineStr">
        <is>
          <t>Confirm "Current release" as the default board name (customer-visible)</t>
        </is>
      </c>
    </row>
    <row r="65">
      <c r="A65" s="3" t="inlineStr">
        <is>
          <t>F-TP41</t>
        </is>
      </c>
      <c r="B65" s="3" t="inlineStr">
        <is>
          <t>Med</t>
        </is>
      </c>
      <c r="C65" s="3" t="inlineStr">
        <is>
          <t>telemetry.ts</t>
        </is>
      </c>
      <c r="D65" s="3" t="inlineStr">
        <is>
          <t>Two of the four activation-funnel stages (setup, habit) were declared and never recorded, so the funnel — the metric the launch targets in Metrics_Targets are written against — could never show more than install -&gt; aha, and activation rate would have read as a permanent failure.</t>
        </is>
      </c>
      <c r="E65" s="3" t="inlineStr">
        <is>
          <t>FIXED — setup on the first board, habit once a tenant records runs on 3 distinct days</t>
        </is>
      </c>
      <c r="F65" s="3" t="inlineStr">
        <is>
          <t>Confirm 3 distinct days as the habit definition</t>
        </is>
      </c>
    </row>
    <row r="66">
      <c r="A66" s="3" t="inlineStr">
        <is>
          <t>L-P6</t>
        </is>
      </c>
      <c r="B66" s="3" t="inlineStr">
        <is>
          <t>Lesson</t>
        </is>
      </c>
      <c r="C66" s="3" t="inlineStr">
        <is>
          <t>portfolio</t>
        </is>
      </c>
      <c r="D66" s="3" t="inlineStr">
        <is>
          <t>Walk the primary loop as the user, once, before launch. Five passes read the code, the manifest, the docs and the export graph; none USED the product. Generate-on-mount is invisible to all four readings — the call, resolver, reachability and documentation are each correct. It is only wrong as a SEQUENCE: a read-shaped interaction wired to a write-shaped call.</t>
        </is>
      </c>
      <c r="E66" s="3" t="inlineStr">
        <is>
          <t>Recorded; no tool catches this class — it needs one honest walkthrough per product</t>
        </is>
      </c>
      <c r="F66" s="3" t="inlineStr">
        <is>
          <t>DECISION: do the same walkthrough on the other products before their launches</t>
        </is>
      </c>
    </row>
    <row r="67">
      <c r="A67" s="3" t="inlineStr">
        <is>
          <t>COLD REVIEW PASS 7 — INSTALL + NAVIGATION (13/09/2026 11:03): the steps either side of the core loop.</t>
        </is>
      </c>
      <c r="B67" s="3" t="n"/>
      <c r="C67" s="3" t="n"/>
      <c r="D67" s="3" t="n"/>
      <c r="E67" s="3" t="n"/>
      <c r="F67" s="3" t="n"/>
    </row>
    <row r="68">
      <c r="A68" s="3" t="inlineStr">
        <is>
          <t>F-TP42</t>
        </is>
      </c>
      <c r="B68" s="3" t="inlineStr">
        <is>
          <t>HIGH</t>
        </is>
      </c>
      <c r="C68" s="3" t="inlineStr">
        <is>
          <t>forge/manifest.yml, forgeAdapter.ts</t>
        </is>
      </c>
      <c r="D68" s="3" t="inlineStr">
        <is>
          <t>NOTHING EVER INVOKED THE INSTALL PATH. The manifest had no trigger module, and Forge delivers install/uninstall only via avi:forge:installed:app / avi:forge:uninstalled:app — there is no implicit call. On a real install: no trial, no owner claimed, no CI secret provisioned, no install telemetry; on uninstall: tokens never wiped and the 30-day deletion never scheduled, so the retention sweep shipped in pass 3 had nothing to sweep. The whole E1 lifecycle epic (ST-051..056) was unreachable in a deployed app.</t>
        </is>
      </c>
      <c r="E68" s="3" t="inlineStr">
        <is>
          <t>FIXED — trigger module on both lifecycle events, makeLifecycleTrigger in the adapter, lifecycleTrigger exported from the entrypoint; ownership from installerAccountId; idempotent because Forge can deliver twice</t>
        </is>
      </c>
      <c r="F68" s="3" t="inlineStr">
        <is>
          <t>None — but this is what would have made LC-1 look like a dead app</t>
        </is>
      </c>
    </row>
    <row r="69">
      <c r="A69" s="3" t="inlineStr">
        <is>
          <t>F-TP42b</t>
        </is>
      </c>
      <c r="B69" s="3" t="inlineStr">
        <is>
          <t>Med</t>
        </is>
      </c>
      <c r="C69" s="3" t="inlineStr">
        <is>
          <t>forgeGlue.ts</t>
        </is>
      </c>
      <c r="D69" s="3" t="inlineStr">
        <is>
          <t>Atlassian documents install events as asynchronous, sometimes lagging minutes — a panel opened in that window would have hit an uninitialised tenant.</t>
        </is>
      </c>
      <c r="E69" s="3" t="inlineStr">
        <is>
          <t>FIXED — lazy bootstrap on any call, which deliberately does NOT claim ownership, so the first user through the door cannot become owner by accident</t>
        </is>
      </c>
      <c r="F69" s="3" t="inlineStr">
        <is>
          <t>None</t>
        </is>
      </c>
    </row>
    <row r="70">
      <c r="A70" s="3" t="inlineStr">
        <is>
          <t>F-TP43</t>
        </is>
      </c>
      <c r="B70" s="3" t="inlineStr">
        <is>
          <t>HIGH</t>
        </is>
      </c>
      <c r="C70" s="3" t="inlineStr">
        <is>
          <t>ui/mount.ts, static/entry.ts</t>
        </is>
      </c>
      <c r="D70" s="3" t="inlineStr">
        <is>
          <t>THE PANEL HAD NO NAVIGATION: five screens, one hardcoded data-tab in a single index.html serving both the project page and the issue panel. The project page showed "pick a story" forever; run boards, flaky, readiness and settings had no door at all.</t>
        </is>
      </c>
      <c r="E70" s="3" t="inlineStr">
        <is>
          <t>FIXED — tab bar (role=tablist, aria-selected), switching re-mounts without writing, the cases tab appears only with a story in context, and the entry picks its default tab from the Forge context (issue panel -&gt; cases, project page -&gt; readiness)</t>
        </is>
      </c>
      <c r="F70" s="3" t="inlineStr">
        <is>
          <t>Tab labels are customer-visible: Test cases / Run board / Flaky / Readiness / Settings</t>
        </is>
      </c>
    </row>
    <row r="71">
      <c r="A71" s="3" t="inlineStr">
        <is>
          <t>F-TP44</t>
        </is>
      </c>
      <c r="B71" s="3" t="inlineStr">
        <is>
          <t>Med-High</t>
        </is>
      </c>
      <c r="C71" s="3" t="inlineStr">
        <is>
          <t>forgeGlue.ts, ui/mount.ts</t>
        </is>
      </c>
      <c r="D71" s="3" t="inlineStr">
        <is>
          <t>The run-board screen asked for a boardId nothing supplied, so it was permanently empty in the installed app.</t>
        </is>
      </c>
      <c r="E71" s="3" t="inlineStr">
        <is>
          <t>FIXED — boardMetrics resolves the default board when no id is given, matching how runs are recorded</t>
        </is>
      </c>
      <c r="F71" s="3" t="inlineStr">
        <is>
          <t>None</t>
        </is>
      </c>
    </row>
    <row r="72">
      <c r="A72" s="3" t="inlineStr">
        <is>
          <t>L-P7</t>
        </is>
      </c>
      <c r="B72" s="3" t="inlineStr">
        <is>
          <t>Lesson</t>
        </is>
      </c>
      <c r="C72" s="3" t="inlineStr">
        <is>
          <t>portfolio</t>
        </is>
      </c>
      <c r="D72" s="3" t="inlineStr">
        <is>
          <t>REACHABLE IS NOT INVOKED. The install path was reviewed for correctness (pass 1), deployed (pass 2), declared reachable (pass 3 — it was reachable, from a resolver call nothing called), documented (pass 4) and passed the reachability gate (pass 5, because installed is a registered call). Only walking the product from outside exposed that the caller was Atlassian and we had never told Atlassian to call.</t>
        </is>
      </c>
      <c r="E72" s="3" t="inlineStr">
        <is>
          <t>For every entrypoint the PLATFORM owns — lifecycle events, scheduled triggers, webhooks, product events — check the manifest declares it, not just that the handler exists</t>
        </is>
      </c>
      <c r="F72" s="3" t="inlineStr">
        <is>
          <t>DECISION: add a manifest-declaration check to the gates and run it across the portfolio</t>
        </is>
      </c>
    </row>
    <row r="73">
      <c r="A73" s="3" t="inlineStr">
        <is>
          <t>PASS 8 — THE GATE L-P7 ASKED FOR (13/09/2026 11:10)</t>
        </is>
      </c>
      <c r="B73" s="3" t="n"/>
      <c r="C73" s="3" t="n"/>
      <c r="D73" s="3" t="n"/>
      <c r="E73" s="3" t="n"/>
      <c r="F73" s="3" t="n"/>
    </row>
    <row r="74">
      <c r="A74" s="3" t="inlineStr">
        <is>
          <t>GATE-3</t>
        </is>
      </c>
      <c r="B74" s="3" t="inlineStr">
        <is>
          <t>Tooling</t>
        </is>
      </c>
      <c r="C74" s="3" t="inlineStr">
        <is>
          <t>tools/review-gates/platform-entrypoints.js</t>
        </is>
      </c>
      <c r="D74" s="3" t="inlineStr">
        <is>
          <t>L-P7 as code: reads the manifest and the deploy entrypoint TOGETHER — a handler the entrypoint does not export (VER-P01), an export nothing points at, a function no module references, and the module declarations the product's claims depend on (lifecycle trigger on both events, daily scheduled trigger, v2 webtrigger, panel resource). This is the check the reachability gate structurally cannot make, and the one that would have caught F-TP42 the day the handler was written.</t>
        </is>
      </c>
      <c r="E74" s="3" t="inlineStr">
        <is>
          <t>SHIPPED + tested (6 cases incl. the two historical defects); wired into npm run gates; portable README updated with per-platform notes</t>
        </is>
      </c>
      <c r="F74" s="3" t="inlineStr">
        <is>
          <t>DECISION: roll all three gates out to the other 10 products</t>
        </is>
      </c>
    </row>
    <row r="75">
      <c r="A75" s="3" t="inlineStr">
        <is>
          <t>GATE-3b</t>
        </is>
      </c>
      <c r="B75" s="3" t="inlineStr">
        <is>
          <t>Self-check</t>
        </is>
      </c>
      <c r="C75" s="3" t="inlineStr">
        <is>
          <t>tools/review-gates/platform-entrypoints.js</t>
        </is>
      </c>
      <c r="D75" s="3" t="inlineStr">
        <is>
          <t>The gate had the defect it exists to catch: its export scanner counted a COMMENTED-OUT export as exported — exactly the VER-P01 shape. Its own test fixture caught it.</t>
        </is>
      </c>
      <c r="E75" s="3" t="inlineStr">
        <is>
          <t>FIXED — comments stripped before scanning; the argument for testing gates as code rather than shipping them as scripts</t>
        </is>
      </c>
      <c r="F75" s="3" t="inlineStr">
        <is>
          <t>None</t>
        </is>
      </c>
    </row>
    <row r="76">
      <c r="A76" s="3" t="inlineStr">
        <is>
          <t>F-TP45</t>
        </is>
      </c>
      <c r="B76" s="3" t="inlineStr">
        <is>
          <t>Med-High</t>
        </is>
      </c>
      <c r="C76" s="3" t="inlineStr">
        <is>
          <t>forgeGlue.ts</t>
        </is>
      </c>
      <c r="D76" s="3" t="inlineStr">
        <is>
          <t>A REPEAT INSTALL EVENT RESET THE INSTALLATION: Forge may deliver avi:forge:installed:app more than once and each delivery re-ran Lifecycle.install — resetting installedAt, re-sourcing the attribution (ST-056) and overwriting stored tokens with the event's empty ones. Surfaced as an intermittent 1ms test failure that looked like a flaky clock.</t>
        </is>
      </c>
      <c r="E76" s="3" t="inlineStr">
        <is>
          <t>FIXED — bootstrap is idempotent; the account is written only when the event carries tokens, otherwise read back</t>
        </is>
      </c>
      <c r="F76" s="3" t="inlineStr">
        <is>
          <t>None — but worth remembering that an intermittent test is worth reading before it is retried</t>
        </is>
      </c>
    </row>
    <row r="77">
      <c r="A77" s="3" t="inlineStr">
        <is>
          <t>PORTFOLIO ROLLOUT KIT (13/09/2026 11:18)</t>
        </is>
      </c>
      <c r="B77" s="3" t="n"/>
      <c r="C77" s="3" t="n"/>
      <c r="D77" s="3" t="n"/>
      <c r="E77" s="3" t="n"/>
      <c r="F77" s="3" t="n"/>
    </row>
    <row r="78">
      <c r="A78" s="3" t="inlineStr">
        <is>
          <t>KIT-1</t>
        </is>
      </c>
      <c r="B78" s="3" t="inlineStr">
        <is>
          <t>Tooling</t>
        </is>
      </c>
      <c r="C78" s="3" t="inlineStr">
        <is>
          <t>tools/review-gates/init.js</t>
        </is>
      </c>
      <c r="D78" s="3" t="inlineStr">
        <is>
          <t>Bootstrapper for porting: scans a repo for the platform manifest, deploy entrypoint, UI/server entries, the OPS SCRIPTS CI RUNS (real callers — TestPulse's encryption-posture check is reachable only from one), source roots, and proposes claim stubs from documents that already make promises. Validated by reproducing TestPulse's hand-written config exactly.</t>
        </is>
      </c>
      <c r="E78" s="3" t="inlineStr">
        <is>
          <t>SHIPPED + tested (4 cases incl. the refuse-to-guess paths)</t>
        </is>
      </c>
      <c r="F78" s="3" t="inlineStr">
        <is>
          <t>DECISION: run it on the next product and confirm the detected entrypoints before trusting a green result</t>
        </is>
      </c>
    </row>
    <row r="79">
      <c r="A79" s="3" t="inlineStr">
        <is>
          <t>KIT-2</t>
        </is>
      </c>
      <c r="B79" s="3" t="inlineStr">
        <is>
          <t>Doc</t>
        </is>
      </c>
      <c r="C79" s="3" t="inlineStr">
        <is>
          <t>docs/portfolio-gate-rollout.md</t>
        </is>
      </c>
      <c r="D79" s="3" t="inlineStr">
        <is>
          <t>Rollout guide: 5-minute per-repo procedure, how to triage the first red run (FIX / ALLOW WITH A REASON / CUT — cutting unfunded scope is a legitimate and usually honest outcome), rollout order (products closest to a live install first; the platform-entrypoint gate pays back fastest because an app that deploys and does nothing is the most expensive failure in this portfolio and has now happened twice), and per-platform hook tables for Forge, Salesforce, Devvit and Shopify.</t>
        </is>
      </c>
      <c r="E79" s="3" t="inlineStr">
        <is>
          <t>SHIPPED</t>
        </is>
      </c>
      <c r="F79" s="3" t="inlineStr">
        <is>
          <t>DECISION: pick the first product and the order</t>
        </is>
      </c>
    </row>
    <row r="80">
      <c r="A80" s="3" t="inlineStr">
        <is>
          <t>KIT-3</t>
        </is>
      </c>
      <c r="B80" s="3" t="inlineStr">
        <is>
          <t>Honesty</t>
        </is>
      </c>
      <c r="C80" s="3" t="inlineStr">
        <is>
          <t>—</t>
        </is>
      </c>
      <c r="D80" s="3" t="inlineStr">
        <is>
          <t>What the gates do NOT catch: 16 of the 50 defects came from USING the product (opening a panel twice, recording a run as a member, installing it and looking). That is L-P6 and does not automate.</t>
        </is>
      </c>
      <c r="E80" s="3" t="inlineStr">
        <is>
          <t>Recorded in the rollout guide</t>
        </is>
      </c>
      <c r="F80" s="3" t="inlineStr">
        <is>
          <t>DECISION: budget one honest walkthrough per product before each launch</t>
        </is>
      </c>
    </row>
    <row r="81">
      <c r="A81" s="3" t="inlineStr">
        <is>
          <t>LC-1 SESSION PACK (13/09/2026 11:22)</t>
        </is>
      </c>
      <c r="B81" s="3" t="n"/>
      <c r="C81" s="3" t="n"/>
      <c r="D81" s="3" t="n"/>
      <c r="E81" s="3" t="n"/>
      <c r="F81" s="3" t="n"/>
    </row>
    <row r="82">
      <c r="A82" s="3" t="inlineStr">
        <is>
          <t>LC1-1</t>
        </is>
      </c>
      <c r="B82" s="3" t="inlineStr">
        <is>
          <t>Tooling</t>
        </is>
      </c>
      <c r="C82" s="3" t="inlineStr">
        <is>
          <t>scripts/lc1-verify.js</t>
        </is>
      </c>
      <c r="D82" s="3" t="inlineStr">
        <is>
          <t>Live post-install verification against the deployed app: signed payload accepted (202), duplicate event id rejected, tampered signature rejected, stale timestamp rejected, malformed body 400 — the five behaviours the security assessment and HC-14 promise. Prints tracker-ready evidence lines. Tested against the REAL webtrigger handler, so a failure means the deployment differs from this codebase, not that the script is wrong.</t>
        </is>
      </c>
      <c r="E82" s="3" t="inlineStr">
        <is>
          <t>SHIPPED + tested (5 cases incl. wrong-secret and network-failure paths)</t>
        </is>
      </c>
      <c r="F82" s="3" t="inlineStr">
        <is>
          <t>Run it right after `forge webtrigger`; secret comes from Settings &gt; CI</t>
        </is>
      </c>
    </row>
    <row r="83">
      <c r="A83" s="3" t="inlineStr">
        <is>
          <t>LC1-2</t>
        </is>
      </c>
      <c r="B83" s="3" t="inlineStr">
        <is>
          <t>Doc</t>
        </is>
      </c>
      <c r="C83" s="3" t="inlineStr">
        <is>
          <t>docs/lc1-session-pack.md</t>
        </is>
      </c>
      <c r="D83" s="3" t="inlineStr">
        <is>
          <t>45-minute run sheet: pre-work, install commands, what the lifecycle trigger bootstraps and what to do if it lags (the app self-bootstraps lazily, only the owner claim waits), an evidence table mapping each capture to the stories it flips, and the two questions only a live site can answer — manual keyboard/contrast pass (ST-089) and whether the customer-visible default board name and the 3-distinct-days habit definition are right.</t>
        </is>
      </c>
      <c r="E83" s="3" t="inlineStr">
        <is>
          <t>SHIPPED</t>
        </is>
      </c>
      <c r="F83" s="3" t="inlineStr">
        <is>
          <t>Book the session; everything else on TestPulse is behind it</t>
        </is>
      </c>
    </row>
    <row r="84">
      <c r="A84" s="3" t="inlineStr">
        <is>
          <t>LC1-3</t>
        </is>
      </c>
      <c r="B84" s="3" t="inlineStr">
        <is>
          <t>Tooling</t>
        </is>
      </c>
      <c r="C84" s="3" t="inlineStr">
        <is>
          <t>static/build/capture.html</t>
        </is>
      </c>
      <c r="D84" s="3" t="inlineStr">
        <is>
          <t>Listing-asset capture harness: renders the panels inside dashed frames sized to the VERIFIED Rule-of-3 spec (3 highlights 1840x900, 580x330 crops, banner 1120x548) so one screenshot pass yields correctly sized assets. Verified headlessly — 7 frames, all populated, no NaN.</t>
        </is>
      </c>
      <c r="E84" s="3" t="inlineStr">
        <is>
          <t>SHIPPED</t>
        </is>
      </c>
      <c r="F84" s="3" t="inlineStr">
        <is>
          <t>Capture at 100% zoom (50% on a 2x display) or the pixel dimensions will be wrong</t>
        </is>
      </c>
    </row>
    <row r="85">
      <c r="A85" s="3" t="inlineStr">
        <is>
          <t>LC1-4</t>
        </is>
      </c>
      <c r="B85" s="3" t="inlineStr">
        <is>
          <t>Honesty</t>
        </is>
      </c>
      <c r="C85" s="3" t="inlineStr">
        <is>
          <t>—</t>
        </is>
      </c>
      <c r="D85" s="3" t="inlineStr">
        <is>
          <t>What lc1-verify CANNOT check: the panel render, resolver, roles, licensing, the lifecycle trigger firing and the retention sweep. A green run must not be recorded as full verification.</t>
        </is>
      </c>
      <c r="E85" s="3" t="inlineStr">
        <is>
          <t>Stated in the script output and the session pack</t>
        </is>
      </c>
      <c r="F85" s="3" t="inlineStr">
        <is>
          <t>Evidence must distinguish verified from assumed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pane ySplit="2" topLeftCell="A3" activePane="bottomLeft" state="frozen"/>
      <selection pane="bottomLeft" activeCell="A1" sqref="A1"/>
    </sheetView>
  </sheetViews>
  <sheetFormatPr baseColWidth="8" defaultRowHeight="15" outlineLevelCol="0"/>
  <cols>
    <col width="10" customWidth="1" min="1" max="1"/>
    <col width="10" customWidth="1" min="2" max="2"/>
    <col width="22" customWidth="1" min="3" max="3"/>
    <col width="78" customWidth="1" min="4" max="4"/>
    <col width="72" customWidth="1" min="5" max="5"/>
    <col width="40" customWidth="1" min="6" max="6"/>
  </cols>
  <sheetData>
    <row r="1">
      <c r="A1" s="1" t="inlineStr">
        <is>
          <t>EXTERNAL REVIEW — ChatGPT Deep Review V001, 13/09 (carried)</t>
        </is>
      </c>
    </row>
    <row r="2">
      <c r="A2" s="2" t="inlineStr">
        <is>
          <t>ID</t>
        </is>
      </c>
      <c r="B2" s="2" t="inlineStr">
        <is>
          <t>Severity</t>
        </is>
      </c>
      <c r="C2" s="2" t="inlineStr">
        <is>
          <t>Area</t>
        </is>
      </c>
      <c r="D2" s="2" t="inlineStr">
        <is>
          <t>Finding</t>
        </is>
      </c>
      <c r="E2" s="2" t="inlineStr">
        <is>
          <t>Disposition in code</t>
        </is>
      </c>
      <c r="F2" s="2" t="inlineStr">
        <is>
          <t>Senthil decision</t>
        </is>
      </c>
    </row>
    <row r="3">
      <c r="A3" s="3" t="inlineStr">
        <is>
          <t>TPR-001</t>
        </is>
      </c>
      <c r="B3" s="3" t="inlineStr">
        <is>
          <t>HIGH</t>
        </is>
      </c>
      <c r="C3" s="3" t="inlineStr">
        <is>
          <t>forge/index.ts</t>
        </is>
      </c>
      <c r="D3" s="3" t="inlineStr">
        <is>
          <t>AI provider never constructed in the real entrypoint — generateWithAi always received undefined, so AI generation was rule-engine-only in the deployed app and R-P6 was closed on a seam. THIRD instance of this shape in this codebase, and the first to land on a previous FIX (F-TP16).</t>
        </is>
      </c>
      <c r="E3" s="3" t="inlineStr">
        <is>
          <t>ACCEPTED + FIXED — buildAiProvider() constructs AnthropicProvider from ANTHROPIC_API_KEY over Forge external fetch; no key still falls back to rules; pinned at entrypoint level</t>
        </is>
      </c>
      <c r="F3" s="3" t="inlineStr">
        <is>
          <t>DECISION: AI on at launch, off, or behind an owner toggle — it now costs real money per generation</t>
        </is>
      </c>
    </row>
    <row r="4">
      <c r="A4" s="3" t="inlineStr">
        <is>
          <t>TPR-002</t>
        </is>
      </c>
      <c r="B4" s="3" t="inlineStr">
        <is>
          <t>HIGH</t>
        </is>
      </c>
      <c r="C4" s="3" t="inlineStr">
        <is>
          <t>src/notifications.ts, ui, helpcenter</t>
        </is>
      </c>
      <c r="D4" s="3" t="inlineStr">
        <is>
          <t>An email checkbox, preference and delivery record with no transport, no provider and no egress permission, while the trust page correctly said TestPulse sends no email. Five stories closed on it.</t>
        </is>
      </c>
      <c r="E4" s="3" t="inlineStr">
        <is>
          <t>ACCEPTED + FIXED — email removed from the product surface entirely (pref, checkbox, channel, HC-13); the five stories rescoped to in-app only, rescope recorded</t>
        </is>
      </c>
      <c r="F4" s="3" t="inlineStr">
        <is>
          <t>DECISION: does email ship at all? If yes it needs a provider, egress, subprocessor disclosure and listing copy</t>
        </is>
      </c>
    </row>
    <row r="5">
      <c r="A5" s="3" t="inlineStr">
        <is>
          <t>TPR-003</t>
        </is>
      </c>
      <c r="B5" s="3" t="inlineStr">
        <is>
          <t>HIGH</t>
        </is>
      </c>
      <c r="C5" s="3" t="inlineStr">
        <is>
          <t>forge/manifest.yml</t>
        </is>
      </c>
      <c r="D5" s="3" t="inlineStr">
        <is>
          <t>write:jira-work requested; nothing in the app writes to Jira. Either a promised feature is missing or an unnecessary high privilege is requested — both are review defects.</t>
        </is>
      </c>
      <c r="E5" s="3" t="inlineStr">
        <is>
          <t>ACCEPTED + FIXED — scope removed from the manifest, SCOPE_MAP, trust page and review pack</t>
        </is>
      </c>
      <c r="F5" s="3" t="inlineStr">
        <is>
          <t>DECISION: is Jira write-back a feature you want? It is now new scope, not a silent permission</t>
        </is>
      </c>
    </row>
    <row r="6">
      <c r="A6" s="3" t="inlineStr">
        <is>
          <t>TPR-004</t>
        </is>
      </c>
      <c r="B6" s="3" t="inlineStr">
        <is>
          <t>HIGH</t>
        </is>
      </c>
      <c r="C6" s="3" t="inlineStr">
        <is>
          <t>docs/residency-statement.md, src/config.ts</t>
        </is>
      </c>
      <c r="D6" s="3" t="inlineStr">
        <is>
          <t>Published app-level residency control (global/EU/US) that runtime never consumed — TP_DATA_RESIDENCY was parsed and validated in config.ts and used nowhere.</t>
        </is>
      </c>
      <c r="E6" s="3" t="inlineStr">
        <is>
          <t>ACCEPTED + FIXED — claim removed from the statement; the variable removed from config so nothing implies the feature; both directions pinned by the claims gate</t>
        </is>
      </c>
      <c r="F6" s="3" t="inlineStr">
        <is>
          <t>None</t>
        </is>
      </c>
    </row>
    <row r="7">
      <c r="A7" s="3" t="inlineStr">
        <is>
          <t>TPR-005</t>
        </is>
      </c>
      <c r="B7" s="3" t="inlineStr">
        <is>
          <t>HIGH</t>
        </is>
      </c>
      <c r="C7" s="3" t="inlineStr">
        <is>
          <t>src/tenantData.ts, forgeGlue.ts</t>
        </is>
      </c>
      <c r="D7" s="3" t="inlineStr">
        <is>
          <t>deleteMyData purged role:owner, and the lazy bootstrap deliberately never re-claims ownership — the owner who exercised their data rights came back as a member and lost export, deletion and the CI secret.</t>
        </is>
      </c>
      <c r="E7" s="3" t="inlineStr">
        <is>
          <t>ACCEPTED + FIXED — the acting owner is re-established after the purge; pinned both ways (owner keeps it, nobody else gains it)</t>
        </is>
      </c>
      <c r="F7" s="3" t="inlineStr">
        <is>
          <t>None</t>
        </is>
      </c>
    </row>
    <row r="8">
      <c r="A8" s="3" t="inlineStr">
        <is>
          <t>TPR-006</t>
        </is>
      </c>
      <c r="B8" s="3" t="inlineStr">
        <is>
          <t>MED</t>
        </is>
      </c>
      <c r="C8" s="3" t="inlineStr">
        <is>
          <t>test/conformance.test.ts</t>
        </is>
      </c>
      <c r="D8" s="3" t="inlineStr">
        <is>
          <t>DC-11 claimed to measure TestPulse but called the vendored baseline helper with hard-coded visibility, and reported PASS — the conformance rollup overstated its evidence.</t>
        </is>
      </c>
      <c r="E8" s="3" t="inlineStr">
        <is>
          <t>ACCEPTED + FIXED — rebuilt against two real installations through the real resolver; recorded honestly as N-A, platform-enforced</t>
        </is>
      </c>
      <c r="F8" s="3" t="inlineStr">
        <is>
          <t>None</t>
        </is>
      </c>
    </row>
    <row r="9">
      <c r="A9" s="3" t="inlineStr">
        <is>
          <t>TPR-007</t>
        </is>
      </c>
      <c r="B9" s="3" t="inlineStr">
        <is>
          <t>MED</t>
        </is>
      </c>
      <c r="C9" s="3" t="inlineStr">
        <is>
          <t>conformance + jiraClient tests</t>
        </is>
      </c>
      <c r="D9" s="3" t="inlineStr">
        <is>
          <t>DC-06 marked N-A on the grounds of no live HTTP call, while the entrypoint calls Jira on every panel open; the default-sleep test asserted no elapsed time and used a retryAfter field the client ignores.</t>
        </is>
      </c>
      <c r="E9" s="3" t="inlineStr">
        <is>
          <t>ACCEPTED + FIXED — conformsBackoff now runs against JiraClient with NO injected sleep and a lower-bound elapsed assertion; stale fixture corrected</t>
        </is>
      </c>
      <c r="F9" s="3" t="inlineStr">
        <is>
          <t>None</t>
        </is>
      </c>
    </row>
    <row r="10">
      <c r="A10" s="3" t="inlineStr">
        <is>
          <t>TPR-008</t>
        </is>
      </c>
      <c r="B10" s="3" t="inlineStr">
        <is>
          <t>MED</t>
        </is>
      </c>
      <c r="C10" s="3" t="inlineStr">
        <is>
          <t>src/forgeGlue.ts</t>
        </is>
      </c>
      <c r="D10" s="3" t="inlineStr">
        <is>
          <t>writeSettings rebuilt the response with trialDays from the payload, so a normal save reported trialDays 0 while runtime was 14.</t>
        </is>
      </c>
      <c r="E10" s="3" t="inlineStr">
        <is>
          <t>ACCEPTED + FIXED — writeSettings takes the runtime env</t>
        </is>
      </c>
      <c r="F10" s="3" t="inlineStr">
        <is>
          <t>None</t>
        </is>
      </c>
    </row>
    <row r="11">
      <c r="A11" s="3" t="inlineStr">
        <is>
          <t>TPR-009</t>
        </is>
      </c>
      <c r="B11" s="3" t="inlineStr">
        <is>
          <t>MED</t>
        </is>
      </c>
      <c r="C11" s="3" t="inlineStr">
        <is>
          <t>docs/review-pack.md</t>
        </is>
      </c>
      <c r="D11" s="3" t="inlineStr">
        <is>
          <t>Submission pack cited nodejs20.x while the manifest, CI and deploy guide use nodejs22.x and state Node 20 is EOL.</t>
        </is>
      </c>
      <c r="E11" s="3" t="inlineStr">
        <is>
          <t>ACCEPTED + FIXED — corrected, and runtime consistency across the three files is now a registered claim</t>
        </is>
      </c>
      <c r="F11" s="3" t="inlineStr">
        <is>
          <t>None</t>
        </is>
      </c>
    </row>
    <row r="12">
      <c r="A12" s="3" t="inlineStr">
        <is>
          <t>TPR-010</t>
        </is>
      </c>
      <c r="B12" s="3" t="inlineStr">
        <is>
          <t>MED</t>
        </is>
      </c>
      <c r="C12" s="3" t="inlineStr">
        <is>
          <t>src/compliance.ts</t>
        </is>
      </c>
      <c r="D12" s="3" t="inlineStr">
        <is>
          <t>DATA_FLOW_DOC said egress was none except a configured email provider — contradicting both the manifest (Anthropic only) and the trust page (no email).</t>
        </is>
      </c>
      <c r="E12" s="3" t="inlineStr">
        <is>
          <t>ACCEPTED + FIXED — corrected and registered as a claim tied to the manifest</t>
        </is>
      </c>
      <c r="F12" s="3" t="inlineStr">
        <is>
          <t>None</t>
        </is>
      </c>
    </row>
    <row r="13">
      <c r="A13" s="3" t="inlineStr">
        <is>
          <t>TPR-011</t>
        </is>
      </c>
      <c r="B13" s="3" t="inlineStr">
        <is>
          <t>MED</t>
        </is>
      </c>
      <c r="C13" s="3" t="inlineStr">
        <is>
          <t>jest.config.js, vendor/baseline</t>
        </is>
      </c>
      <c r="D13" s="3" t="inlineStr">
        <is>
          <t>Coverage collects src only, while handover notes presented 338 tests / 100% as the package result — the vendored baseline was never measured.</t>
        </is>
      </c>
      <c r="E13" s="3" t="inlineStr">
        <is>
          <t>ACCEPTED + FIXED — two scopes stated explicitly and the vendored copy hash-pinned (test/vendor-pin.json) so it cannot drift silently</t>
        </is>
      </c>
      <c r="F13" s="3" t="inlineStr">
        <is>
          <t>None</t>
        </is>
      </c>
    </row>
    <row r="14">
      <c r="A14" s="3" t="inlineStr">
        <is>
          <t>TPR-012</t>
        </is>
      </c>
      <c r="B14" s="3" t="inlineStr">
        <is>
          <t>MED</t>
        </is>
      </c>
      <c r="C14" s="3" t="inlineStr">
        <is>
          <t>forge/index.ts, package.json</t>
        </is>
      </c>
      <c r="D14" s="3" t="inlineStr">
        <is>
          <t>@forge/api imported directly but present only as a transitive dependency — build reproducibility depended on hoisting.</t>
        </is>
      </c>
      <c r="E14" s="3" t="inlineStr">
        <is>
          <t>ACCEPTED + FIXED — declared explicitly; a test asserts every @forge import in the entrypoint is declared</t>
        </is>
      </c>
      <c r="F14" s="3" t="inlineStr">
        <is>
          <t>None</t>
        </is>
      </c>
    </row>
    <row r="15">
      <c r="A15" s="3" t="inlineStr">
        <is>
          <t>TPR-013</t>
        </is>
      </c>
      <c r="B15" s="3" t="inlineStr">
        <is>
          <t>MED</t>
        </is>
      </c>
      <c r="C15" s="3" t="inlineStr">
        <is>
          <t>tracker + workbook</t>
        </is>
      </c>
      <c r="D15" s="3" t="inlineStr">
        <is>
          <t>Management rollups overstated executable state: notification stories Done, R-P6 mitigated, LC-2/3/4 doc-complete.</t>
        </is>
      </c>
      <c r="E15" s="3" t="inlineStr">
        <is>
          <t>ACCEPTED + FIXED — corrections applied in this release (see Release_Traceability_Corrections)</t>
        </is>
      </c>
      <c r="F15" s="3" t="inlineStr">
        <is>
          <t>Read the corrections sheet before quoting any status externally</t>
        </is>
      </c>
    </row>
    <row r="16">
      <c r="A16" s="3" t="inlineStr">
        <is>
          <t>TPR-014</t>
        </is>
      </c>
      <c r="B16" s="3" t="inlineStr">
        <is>
          <t>LOW</t>
        </is>
      </c>
      <c r="C16" s="3" t="inlineStr">
        <is>
          <t>baseline zip</t>
        </is>
      </c>
      <c r="D16" s="3" t="inlineStr">
        <is>
          <t>Standalone baseline shipped without a lockfile or CI workflow despite a 42-test/100% claim — not reproducible via npm ci.</t>
        </is>
      </c>
      <c r="E16" s="3" t="inlineStr">
        <is>
          <t>ACCEPTED + FIXED — real generated package-lock.json (282 packages, integrity hashes) and a CI workflow now ship with it</t>
        </is>
      </c>
      <c r="F16" s="3" t="inlineStr">
        <is>
          <t>None</t>
        </is>
      </c>
    </row>
    <row r="17">
      <c r="A17" s="3" t="inlineStr">
        <is>
          <t>TPR-015</t>
        </is>
      </c>
      <c r="B17" s="3" t="inlineStr">
        <is>
          <t>OBS</t>
        </is>
      </c>
      <c r="C17" s="3" t="inlineStr">
        <is>
          <t>review environment</t>
        </is>
      </c>
      <c r="D17" s="3" t="inlineStr">
        <is>
          <t>npm ci did not complete in the reviewer sandbox, so the 338-test claim was not independently reproduced.</t>
        </is>
      </c>
      <c r="E17" s="3" t="inlineStr">
        <is>
          <t>ACCEPTED + ADDRESSED — full CI captured at evidence/ci-run-20260913-1857.log: Node v22.22.2, build, 3 gates, posture, Forge typecheck, UI build, 40 suites / 369 tests / 100% x4</t>
        </is>
      </c>
      <c r="F17" s="3" t="inlineStr">
        <is>
          <t>Attach this log to the submission evidence pack</t>
        </is>
      </c>
    </row>
    <row r="18">
      <c r="A18" s="3" t="inlineStr">
        <is>
          <t>TOTAL</t>
        </is>
      </c>
      <c r="B18" s="3" t="inlineStr">
        <is>
          <t>Findings accepted</t>
        </is>
      </c>
      <c r="C18" s="3">
        <f>COUNTA(A5:A19)</f>
        <v/>
      </c>
      <c r="D18" s="3" t="inlineStr">
        <is>
          <t>High findings closed</t>
        </is>
      </c>
      <c r="E18" s="3">
        <f>COUNTIF(B5:B19,"HIGH")</f>
        <v/>
      </c>
      <c r="F18" s="3" t="inlineStr">
        <is>
          <t>All fixed with pinned regressions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outlineLevelCol="0"/>
  <cols>
    <col width="30" customWidth="1" min="1" max="1"/>
    <col width="26" customWidth="1" min="2" max="2"/>
    <col width="34" customWidth="1" min="3" max="3"/>
    <col width="14" customWidth="1" min="4" max="4"/>
    <col width="76" customWidth="1" min="5" max="5"/>
  </cols>
  <sheetData>
    <row r="1">
      <c r="A1" s="1" t="inlineStr">
        <is>
          <t>STATUS CORRECTIONS — supplied statuses that did not match executable evidence</t>
        </is>
      </c>
    </row>
    <row r="2">
      <c r="A2" s="2" t="inlineStr">
        <is>
          <t>Item</t>
        </is>
      </c>
      <c r="B2" s="2" t="inlineStr">
        <is>
          <t>Was</t>
        </is>
      </c>
      <c r="C2" s="2" t="inlineStr">
        <is>
          <t>Now</t>
        </is>
      </c>
      <c r="D2" s="2" t="inlineStr">
        <is>
          <t>Finding</t>
        </is>
      </c>
      <c r="E2" s="2" t="inlineStr">
        <is>
          <t>Why</t>
        </is>
      </c>
    </row>
    <row r="3">
      <c r="A3" s="3" t="inlineStr">
        <is>
          <t>R-P6 — AI seam</t>
        </is>
      </c>
      <c r="B3" s="3" t="inlineStr">
        <is>
          <t>Mitigated-in-code</t>
        </is>
      </c>
      <c r="C3" s="3" t="inlineStr">
        <is>
          <t>Closed, entrypoint-proven</t>
        </is>
      </c>
      <c r="D3" s="3" t="inlineStr">
        <is>
          <t>TPR-001</t>
        </is>
      </c>
      <c r="E3" s="3" t="inlineStr">
        <is>
          <t>buildAiProvider in forge/index.ts + entrypoint-level test</t>
        </is>
      </c>
    </row>
    <row r="4">
      <c r="A4" s="3" t="inlineStr">
        <is>
          <t>ST-010/020/030/040/050</t>
        </is>
      </c>
      <c r="B4" s="3" t="inlineStr">
        <is>
          <t>Done (in-app + email)</t>
        </is>
      </c>
      <c r="C4" s="3" t="inlineStr">
        <is>
          <t>Done — RESCOPED to in-app only</t>
        </is>
      </c>
      <c r="D4" s="3" t="inlineStr">
        <is>
          <t>TPR-002/013</t>
        </is>
      </c>
      <c r="E4" s="3" t="inlineStr">
        <is>
          <t>Email removed from product surface; scope narrowed rather than claimed</t>
        </is>
      </c>
    </row>
    <row r="5">
      <c r="A5" s="3" t="inlineStr">
        <is>
          <t>LC-2 review pack</t>
        </is>
      </c>
      <c r="B5" s="3" t="inlineStr">
        <is>
          <t>Doc-complete</t>
        </is>
      </c>
      <c r="C5" s="3" t="inlineStr">
        <is>
          <t>Doc-complete (corrected)</t>
        </is>
      </c>
      <c r="D5" s="3" t="inlineStr">
        <is>
          <t>TPR-003/009</t>
        </is>
      </c>
      <c r="E5" s="3" t="inlineStr">
        <is>
          <t>Runtime and scope justification both wrong; now consistent</t>
        </is>
      </c>
    </row>
    <row r="6">
      <c r="A6" s="3" t="inlineStr">
        <is>
          <t>LC-3 Cloud Fortified</t>
        </is>
      </c>
      <c r="B6" s="3" t="inlineStr">
        <is>
          <t>Doc-complete</t>
        </is>
      </c>
      <c r="C6" s="3" t="inlineStr">
        <is>
          <t>Doc-complete (corrected)</t>
        </is>
      </c>
      <c r="D6" s="3" t="inlineStr">
        <is>
          <t>TPR-004</t>
        </is>
      </c>
      <c r="E6" s="3" t="inlineStr">
        <is>
          <t>Residency row no longer claims an app-level control</t>
        </is>
      </c>
    </row>
    <row r="7">
      <c r="A7" s="3" t="inlineStr">
        <is>
          <t>LC-4 residency</t>
        </is>
      </c>
      <c r="B7" s="3" t="inlineStr">
        <is>
          <t>Doc-complete</t>
        </is>
      </c>
      <c r="C7" s="3" t="inlineStr">
        <is>
          <t>Doc-complete (corrected)</t>
        </is>
      </c>
      <c r="D7" s="3" t="inlineStr">
        <is>
          <t>TPR-004</t>
        </is>
      </c>
      <c r="E7" s="3" t="inlineStr">
        <is>
          <t>Statement now matches runtime; claim gate pins both directions</t>
        </is>
      </c>
    </row>
    <row r="8">
      <c r="A8" s="3" t="inlineStr">
        <is>
          <t>DC-11 conformance</t>
        </is>
      </c>
      <c r="B8" s="3" t="inlineStr">
        <is>
          <t>PASS (after fix)</t>
        </is>
      </c>
      <c r="C8" s="3" t="inlineStr">
        <is>
          <t>N-A, platform-enforced (evidenced)</t>
        </is>
      </c>
      <c r="D8" s="3" t="inlineStr">
        <is>
          <t>TPR-006</t>
        </is>
      </c>
      <c r="E8" s="3" t="inlineStr">
        <is>
          <t>Old harness measured a helper, not the product</t>
        </is>
      </c>
    </row>
    <row r="9">
      <c r="A9" s="3" t="inlineStr">
        <is>
          <t>DC-06 conformance</t>
        </is>
      </c>
      <c r="B9" s="3" t="inlineStr">
        <is>
          <t>N-A</t>
        </is>
      </c>
      <c r="C9" s="3" t="inlineStr">
        <is>
          <t>PASS (measured)</t>
        </is>
      </c>
      <c r="D9" s="3" t="inlineStr">
        <is>
          <t>TPR-007</t>
        </is>
      </c>
      <c r="E9" s="3" t="inlineStr">
        <is>
          <t>Production does make live Jira calls</t>
        </is>
      </c>
    </row>
    <row r="10">
      <c r="A10" s="3" t="inlineStr">
        <is>
          <t>Release readiness</t>
        </is>
      </c>
      <c r="B10" s="3" t="inlineStr">
        <is>
          <t>95/100 code-complete</t>
        </is>
      </c>
      <c r="C10" s="3" t="inlineStr">
        <is>
          <t>NOT RELEASE READY until LC-1</t>
        </is>
      </c>
      <c r="D10" s="3" t="inlineStr">
        <is>
          <t>TPR-001..005</t>
        </is>
      </c>
      <c r="E10" s="3" t="inlineStr">
        <is>
          <t>Code findings closed; LC-1 + D18 + pen-test remain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outlineLevelCol="0"/>
  <cols>
    <col width="10" customWidth="1" min="1" max="1"/>
    <col width="6" customWidth="1" min="2" max="2"/>
    <col width="34" customWidth="1" min="3" max="3"/>
    <col width="54" customWidth="1" min="4" max="4"/>
    <col width="24" customWidth="1" min="5" max="5"/>
    <col width="62" customWidth="1" min="6" max="6"/>
  </cols>
  <sheetData>
    <row r="1">
      <c r="A1" s="1" t="inlineStr">
        <is>
          <t>V002 ENTERPRISE ROADMAP — superseded 20/09 by the 14-sprint plan</t>
        </is>
      </c>
    </row>
    <row r="2">
      <c r="A2" s="2" t="inlineStr">
        <is>
          <t>Sprint</t>
        </is>
      </c>
      <c r="B2" s="2" t="inlineStr">
        <is>
          <t>Pri</t>
        </is>
      </c>
      <c r="C2" s="2" t="inlineStr">
        <is>
          <t>Name</t>
        </is>
      </c>
      <c r="D2" s="2" t="inlineStr">
        <is>
          <t>Objective</t>
        </is>
      </c>
      <c r="E2" s="2" t="inlineStr">
        <is>
          <t>Status</t>
        </is>
      </c>
      <c r="F2" s="2" t="inlineStr">
        <is>
          <t>Notes</t>
        </is>
      </c>
    </row>
    <row r="3">
      <c r="A3" s="3" t="inlineStr">
        <is>
          <t>E00</t>
        </is>
      </c>
      <c r="B3" s="3" t="inlineStr">
        <is>
          <t>P0</t>
        </is>
      </c>
      <c r="C3" s="3" t="inlineStr">
        <is>
          <t>Release Truth &amp; Runtime Closure</t>
        </is>
      </c>
      <c r="D3" s="3" t="inlineStr">
        <is>
          <t>Make V001 truthful and shippable before feature expansion</t>
        </is>
      </c>
      <c r="E3" s="6" t="inlineStr">
        <is>
          <t>CLOSED 13/09 18:57</t>
        </is>
      </c>
      <c r="F3" s="3" t="inlineStr">
        <is>
          <t>All 15 TPR findings fixed with pinned regressions; CI evidence retained</t>
        </is>
      </c>
    </row>
    <row r="4">
      <c r="A4" s="3" t="inlineStr">
        <is>
          <t>E01</t>
        </is>
      </c>
      <c r="B4" s="3" t="inlineStr">
        <is>
          <t>P0</t>
        </is>
      </c>
      <c r="C4" s="3" t="inlineStr">
        <is>
          <t>Canonical Test Domain Model</t>
        </is>
      </c>
      <c r="D4" s="3" t="inlineStr">
        <is>
          <t>Enterprise test entities rather than thin storage records</t>
        </is>
      </c>
      <c r="E4" s="3" t="inlineStr">
        <is>
          <t>SUPERSEDED — partially delivered by PR-02</t>
        </is>
      </c>
      <c r="F4" s="3" t="inlineStr">
        <is>
          <t>Versioned entities with optimistic concurrency shipped (EG-04 seed); plans/cycles/environments as entities are not built.</t>
        </is>
      </c>
    </row>
    <row r="5">
      <c r="A5" s="3" t="inlineStr">
        <is>
          <t>E02</t>
        </is>
      </c>
      <c r="B5" s="3" t="inlineStr">
        <is>
          <t>P0</t>
        </is>
      </c>
      <c r="C5" s="3" t="inlineStr">
        <is>
          <t>Requirements-Tests-Defects Traceability</t>
        </is>
      </c>
      <c r="D5" s="3" t="inlineStr">
        <is>
          <t>Auditable quality coverage from Jira work items</t>
        </is>
      </c>
      <c r="E5" s="3" t="inlineStr">
        <is>
          <t>SUPERSEDED — delivered by PR-08</t>
        </is>
      </c>
      <c r="F5" s="3" t="inlineStr">
        <is>
          <t>Traceability graph + coverage by release shipped 20/09. EG-05 moved MISSING -&gt; PARTIAL (write-back to Jira is decision D-TP-WB).</t>
        </is>
      </c>
    </row>
    <row r="6">
      <c r="A6" s="3" t="inlineStr">
        <is>
          <t>E03</t>
        </is>
      </c>
      <c r="B6" s="3" t="inlineStr">
        <is>
          <t>P0</t>
        </is>
      </c>
      <c r="C6" s="3" t="inlineStr">
        <is>
          <t>Automation Results Ingestion</t>
        </is>
      </c>
      <c r="D6" s="3" t="inlineStr">
        <is>
          <t>JUnit/NUnit/Cucumber/Playwright adapters, idempotent</t>
        </is>
      </c>
      <c r="E6" s="3" t="inlineStr">
        <is>
          <t>SUPERSEDED — delivered by PR-06</t>
        </is>
      </c>
      <c r="F6" s="3" t="inlineStr">
        <is>
          <t>JUnit/Playwright/Cucumber ingestion shipped 20/09. EG-06 moved MISSING -&gt; PARTIAL (a real pipeline post is PR-04).</t>
        </is>
      </c>
    </row>
    <row r="7">
      <c r="A7" s="3" t="inlineStr">
        <is>
          <t>E04</t>
        </is>
      </c>
      <c r="B7" s="3" t="inlineStr">
        <is>
          <t>P0</t>
        </is>
      </c>
      <c r="C7" s="3" t="inlineStr">
        <is>
          <t>CI/CD Connectors</t>
        </is>
      </c>
      <c r="D7" s="3" t="inlineStr">
        <is>
          <t>GitHub/Bitbucket/Jenkins/GitLab/Azure + generic contract</t>
        </is>
      </c>
      <c r="E7" s="3" t="inlineStr">
        <is>
          <t>BACKLOG</t>
        </is>
      </c>
      <c r="F7" s="3" t="inlineStr">
        <is>
          <t>At least 3 production connectors</t>
        </is>
      </c>
    </row>
    <row r="8">
      <c r="A8" s="3" t="inlineStr">
        <is>
          <t>E05</t>
        </is>
      </c>
      <c r="B8" s="3" t="inlineStr">
        <is>
          <t>P0</t>
        </is>
      </c>
      <c r="C8" s="3" t="inlineStr">
        <is>
          <t>Release Quality Command Center</t>
        </is>
      </c>
      <c r="D8" s="3" t="inlineStr">
        <is>
          <t>Make readiness the wedge</t>
        </is>
      </c>
      <c r="E8" s="3" t="inlineStr">
        <is>
          <t>SUPERSEDED — delivered by PR-05</t>
        </is>
      </c>
      <c r="F8" s="3" t="inlineStr">
        <is>
          <t>Readiness derived from live data with sourced factors. This was the positioning decision in code form, and it is done.</t>
        </is>
      </c>
    </row>
    <row r="9">
      <c r="A9" s="3" t="inlineStr">
        <is>
          <t>E06</t>
        </is>
      </c>
      <c r="B9" s="3" t="inlineStr">
        <is>
          <t>P0</t>
        </is>
      </c>
      <c r="C9" s="3" t="inlineStr">
        <is>
          <t>Flaky Test Intelligence 2.0</t>
        </is>
      </c>
      <c r="D9" s="3" t="inlineStr">
        <is>
          <t>Defensible intelligence layer around instability</t>
        </is>
      </c>
      <c r="E9" s="3" t="inlineStr">
        <is>
          <t>SUPERSEDED — delivered by PR-07</t>
        </is>
      </c>
      <c r="F9" s="3" t="inlineStr">
        <is>
          <t>Flaky 2.0 shipped 20/09.</t>
        </is>
      </c>
    </row>
    <row r="10">
      <c r="A10" s="3" t="inlineStr">
        <is>
          <t>E07</t>
        </is>
      </c>
      <c r="B10" s="3" t="inlineStr">
        <is>
          <t>P0</t>
        </is>
      </c>
      <c r="C10" s="3" t="inlineStr">
        <is>
          <t>AI Quality Copilot — Production</t>
        </is>
      </c>
      <c r="D10" s="3" t="inlineStr">
        <is>
          <t>Governed QA intelligence, not a generate button</t>
        </is>
      </c>
      <c r="E10" s="3" t="inlineStr">
        <is>
          <t>SUPERSEDED — delivered by PR-10</t>
        </is>
      </c>
      <c r="F10" s="3" t="inlineStr">
        <is>
          <t>AI governance v2 shipped; model-QUALITY evals remain the named gap (needs PR-14).</t>
        </is>
      </c>
    </row>
    <row r="11">
      <c r="A11" s="3" t="inlineStr">
        <is>
          <t>E08</t>
        </is>
      </c>
      <c r="B11" s="3" t="inlineStr">
        <is>
          <t>P0</t>
        </is>
      </c>
      <c r="C11" s="3" t="inlineStr">
        <is>
          <t>AI Privacy &amp; Egress Control</t>
        </is>
      </c>
      <c r="D11" s="3" t="inlineStr">
        <is>
          <t>Tenant-level AI enable/disable, redaction, audit</t>
        </is>
      </c>
      <c r="E11" s="3" t="inlineStr">
        <is>
          <t>SUPERSEDED — delivered by PR-10</t>
        </is>
      </c>
      <c r="F11" s="3" t="inlineStr">
        <is>
          <t>Tenant-level enable/disable, redaction, audit and BYOK shipped.</t>
        </is>
      </c>
    </row>
    <row r="12">
      <c r="A12" s="3" t="inlineStr">
        <is>
          <t>E09</t>
        </is>
      </c>
      <c r="B12" s="3" t="inlineStr">
        <is>
          <t>P0</t>
        </is>
      </c>
      <c r="C12" s="3" t="inlineStr">
        <is>
          <t>Runs on Atlassian Strategy</t>
        </is>
      </c>
      <c r="D12" s="3" t="inlineStr">
        <is>
          <t>Assess whether Anthropic egress blocks the badge</t>
        </is>
      </c>
      <c r="E12" s="3" t="inlineStr">
        <is>
          <t>CUT as a sprint (V002_Cuts)</t>
        </is>
      </c>
      <c r="F12" s="3" t="inlineStr">
        <is>
          <t>A decision, already analysed, and the revenue premise changed (C-5). Folded into the trust page.</t>
        </is>
      </c>
    </row>
    <row r="13">
      <c r="A13" s="3" t="inlineStr">
        <is>
          <t>E10-E20</t>
        </is>
      </c>
      <c r="B13" s="3" t="inlineStr">
        <is>
          <t>P1</t>
        </is>
      </c>
      <c r="C13" s="3" t="inlineStr">
        <is>
          <t>Governance, scale, operations, UX, reporting, migration, BDD, triage, policies</t>
        </is>
      </c>
      <c r="D13" s="3" t="inlineStr">
        <is>
          <t>Enterprise depth</t>
        </is>
      </c>
      <c r="E13" s="3" t="inlineStr">
        <is>
          <t>BACKLOG</t>
        </is>
      </c>
      <c r="F13" s="3" t="inlineStr">
        <is>
          <t>Eleven sprints; see the V002 workbook for full scope</t>
        </is>
      </c>
    </row>
    <row r="14">
      <c r="A14" s="3" t="inlineStr">
        <is>
          <t>E21-E29</t>
        </is>
      </c>
      <c r="B14" s="3" t="inlineStr">
        <is>
          <t>P2</t>
        </is>
      </c>
      <c r="C14" s="3" t="inlineStr">
        <is>
          <t>API, security programme, packaging, onboarding, design partners, evidence graph, change-risk selection, gov cloud, release factory</t>
        </is>
      </c>
      <c r="D14" s="3" t="inlineStr">
        <is>
          <t>Moat and GA readiness</t>
        </is>
      </c>
      <c r="E14" s="3" t="inlineStr">
        <is>
          <t>BACKLOG</t>
        </is>
      </c>
      <c r="F14" s="3" t="inlineStr">
        <is>
          <t>Nine sprints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outlineLevelCol="0"/>
  <cols>
    <col width="34" customWidth="1" min="1" max="1"/>
    <col width="14" customWidth="1" min="2" max="2"/>
    <col width="76" customWidth="1" min="3" max="3"/>
    <col width="44" customWidth="1" min="4" max="4"/>
  </cols>
  <sheetData>
    <row r="1">
      <c r="A1" s="1" t="inlineStr">
        <is>
          <t>RUNS ON ATLASSIAN — eligibility (carried; revenue premise corrected by C-5)</t>
        </is>
      </c>
    </row>
    <row r="2">
      <c r="A2" s="2" t="inlineStr">
        <is>
          <t>Requirement</t>
        </is>
      </c>
      <c r="B2" s="2" t="inlineStr">
        <is>
          <t>TestPulse</t>
        </is>
      </c>
      <c r="C2" s="2" t="inlineStr">
        <is>
          <t>Detail</t>
        </is>
      </c>
      <c r="D2" s="2" t="inlineStr">
        <is>
          <t>Disposition</t>
        </is>
      </c>
    </row>
    <row r="3">
      <c r="A3" s="3" t="inlineStr">
        <is>
          <t>No external resource domains</t>
        </is>
      </c>
      <c r="B3" s="10" t="inlineStr">
        <is>
          <t>FAIL</t>
        </is>
      </c>
      <c r="C3" s="3" t="inlineStr">
        <is>
          <t>api.anthropic.com is declared for optional AI. Disqualifying whether or not a tenant enables it</t>
        </is>
      </c>
      <c r="D3" s="3" t="inlineStr">
        <is>
          <t>DECISION: drop AI / keep AI / two major versions</t>
        </is>
      </c>
    </row>
    <row r="4">
      <c r="A4" s="3" t="inlineStr">
        <is>
          <t>Web triggers declared static</t>
        </is>
      </c>
      <c r="B4" s="3" t="inlineStr">
        <is>
          <t>FIXED 20:01</t>
        </is>
      </c>
      <c r="C4" s="3" t="inlineStr">
        <is>
          <t>Undeclared type is ineligible, same as explicitly dynamic. The CI webtrigger had no type at all</t>
        </is>
      </c>
      <c r="D4" s="3" t="inlineStr">
        <is>
          <t>Declared static; costs nothing (HMAC auth, no URL secrecy)</t>
        </is>
      </c>
    </row>
    <row r="5">
      <c r="A5" s="3" t="inlineStr">
        <is>
          <t>No remotes</t>
        </is>
      </c>
      <c r="B5" s="6" t="inlineStr">
        <is>
          <t>PASS</t>
        </is>
      </c>
      <c r="C5" s="3" t="inlineStr">
        <is>
          <t>Forge-native; no remote services</t>
        </is>
      </c>
      <c r="D5" s="3" t="n"/>
    </row>
    <row r="6">
      <c r="A6" s="3" t="inlineStr">
        <is>
          <t>No Connect modules</t>
        </is>
      </c>
      <c r="B6" s="6" t="inlineStr">
        <is>
          <t>PASS</t>
        </is>
      </c>
      <c r="C6" s="3" t="inlineStr">
        <is>
          <t>Forge-only manifest</t>
        </is>
      </c>
      <c r="D6" s="3" t="n"/>
    </row>
    <row r="7">
      <c r="A7" s="3" t="inlineStr">
        <is>
          <t>No providers</t>
        </is>
      </c>
      <c r="B7" s="6" t="inlineStr">
        <is>
          <t>PASS</t>
        </is>
      </c>
      <c r="C7" s="3" t="inlineStr">
        <is>
          <t>None declared</t>
        </is>
      </c>
      <c r="D7" s="3" t="n"/>
    </row>
    <row r="8">
      <c r="A8" s="3" t="inlineStr">
        <is>
          <t>Data-residency-enabled storage</t>
        </is>
      </c>
      <c r="B8" s="6" t="inlineStr">
        <is>
          <t>PASS</t>
        </is>
      </c>
      <c r="C8" s="3" t="inlineStr">
        <is>
          <t>Forge hosted KVS via kvsAdapter</t>
        </is>
      </c>
      <c r="D8" s="3" t="n"/>
    </row>
    <row r="9">
      <c r="A9" s="3" t="inlineStr">
        <is>
          <t>Authoritative check</t>
        </is>
      </c>
      <c r="B9" s="3" t="inlineStr">
        <is>
          <t>PENDING</t>
        </is>
      </c>
      <c r="C9" s="3" t="inlineStr">
        <is>
          <t>forge eligibility runs automatically at deploy and on demand</t>
        </is>
      </c>
      <c r="D9" s="3" t="inlineStr">
        <is>
          <t>Added to the LC-1 run sheet; keep the output as evidence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outlineLevelCol="0"/>
  <cols>
    <col width="66" customWidth="1" min="1" max="1"/>
    <col width="10" customWidth="1" min="2" max="2"/>
    <col width="12" customWidth="1" min="3" max="3"/>
    <col width="86" customWidth="1" min="4" max="4"/>
  </cols>
  <sheetData>
    <row r="1">
      <c r="A1" s="1" t="inlineStr">
        <is>
          <t>PRODUCT RISK REGISTER</t>
        </is>
      </c>
    </row>
    <row r="2">
      <c r="A2" s="2" t="inlineStr">
        <is>
          <t>Risk</t>
        </is>
      </c>
      <c r="B2" s="2" t="inlineStr">
        <is>
          <t>Impact</t>
        </is>
      </c>
      <c r="C2" s="2" t="inlineStr">
        <is>
          <t>Likelihood</t>
        </is>
      </c>
      <c r="D2" s="2" t="inlineStr">
        <is>
          <t>Mitigation</t>
        </is>
      </c>
    </row>
    <row r="3">
      <c r="A3" s="3" t="inlineStr">
        <is>
          <t>Atlassian Forge program rate/policy changes mid-build</t>
        </is>
      </c>
      <c r="B3" s="3" t="inlineStr">
        <is>
          <t>Medium</t>
        </is>
      </c>
      <c r="C3" s="3" t="inlineStr">
        <is>
          <t>Medium</t>
        </is>
      </c>
      <c r="D3" s="3" t="inlineStr">
        <is>
          <t>Track dev changelog; rate abstraction in pricing model</t>
        </is>
      </c>
    </row>
    <row r="4">
      <c r="A4" s="3" t="inlineStr">
        <is>
          <t>Xray/Zephyr respond with AI features</t>
        </is>
      </c>
      <c r="B4" s="3" t="inlineStr">
        <is>
          <t>High</t>
        </is>
      </c>
      <c r="C4" s="3" t="inlineStr">
        <is>
          <t>HAPPENED</t>
        </is>
      </c>
      <c r="D4" s="3" t="inlineStr">
        <is>
          <t>MATERIALISED (C-4, 20/09): Xray markets itself as "powered by AI", Zephyr as "with Rovo", and dedicated generators already ship the feature. No longer a risk to track — a fact to position against. The wedge moved to the release decision, which PR-05 earns in code.</t>
        </is>
      </c>
    </row>
    <row r="5">
      <c r="A5" s="3" t="inlineStr">
        <is>
          <t>The enterprise programme bar moves before listing (CORRECTED 20/09, C-2)</t>
        </is>
      </c>
      <c r="B5" s="3" t="inlineStr">
        <is>
          <t>Medium</t>
        </is>
      </c>
      <c r="C5" s="3" t="inlineStr">
        <is>
          <t>Medium</t>
        </is>
      </c>
      <c r="D5" s="3" t="inlineStr">
        <is>
          <t>MATERIALISED, not raised: the Cloud Fortified programme CLOSED to new submissions 01/09/2026 and retires 31/12/2026. Its successor, Atlassian Enterprise Certified, sets a higher bar. Assessed row by row in docs/enterprise-certified-gap.md; two rows (accredited penetration test, public bug bounty) are procurement items that have not started.</t>
        </is>
      </c>
    </row>
    <row r="6">
      <c r="A6" s="3" t="inlineStr">
        <is>
          <t>Hosted-storage value limits (F-TP06 capped; OBS-TP1 CLOSED 20/09)</t>
        </is>
      </c>
      <c r="B6" s="3" t="inlineStr">
        <is>
          <t>High</t>
        </is>
      </c>
      <c r="C6" s="3" t="inlineStr">
        <is>
          <t>Low (post-fix)</t>
        </is>
      </c>
      <c r="D6" s="3" t="inlineStr">
        <is>
          <t>CLOSED 20/09 by PR-03: prefix-scoped hydration means an invocation reads only what it declares (whoami = 2 keys), and per-entity keys removed the row ceilings entirely. The cost that replaced it is round trips per listing, published in the envelope rather than left to be discovered. Ledger byte caps (F-TP06/PERF-01) are unchanged and now commutative.</t>
        </is>
      </c>
    </row>
    <row r="7">
      <c r="A7" s="3" t="inlineStr">
        <is>
          <t>Data-deletion claims outrun implementation (found as F-TP01/F-TP02)</t>
        </is>
      </c>
      <c r="B7" s="3" t="inlineStr">
        <is>
          <t>High</t>
        </is>
      </c>
      <c r="C7" s="3" t="inlineStr">
        <is>
          <t>Low (post-fix)</t>
        </is>
      </c>
      <c r="D7" s="3" t="inlineStr">
        <is>
          <t>Namespace registry + drift test: an unregistered namespace now fails the build, not the security review</t>
        </is>
      </c>
    </row>
    <row r="8">
      <c r="A8" s="3" t="inlineStr">
        <is>
          <t>Deploy-time failure invisible to the suite (VER-P01/VER-P02 class)</t>
        </is>
      </c>
      <c r="B8" s="3" t="inlineStr">
        <is>
          <t>High</t>
        </is>
      </c>
      <c r="C8" s="3" t="inlineStr">
        <is>
          <t>Low (post-fix)</t>
        </is>
      </c>
      <c r="D8" s="3" t="inlineStr">
        <is>
          <t>Entrypoint type-check + UI build are now CI gates; same gate to be ported across the portfolio (L-P1)</t>
        </is>
      </c>
    </row>
    <row r="9">
      <c r="A9" s="3" t="inlineStr">
        <is>
          <t>Shipped-but-unreachable scope (F-TP21..28 class) — modules pass their tests while no user can trigger them</t>
        </is>
      </c>
      <c r="B9" s="3" t="inlineStr">
        <is>
          <t>High</t>
        </is>
      </c>
      <c r="C9" s="3" t="inlineStr">
        <is>
          <t>Low (post-fix)</t>
        </is>
      </c>
      <c r="D9" s="3" t="inlineStr">
        <is>
          <t>Reachability audit run for TestPulse; standing check proposed portfolio-wide (L-P4)</t>
        </is>
      </c>
    </row>
    <row r="10">
      <c r="A10" s="3" t="inlineStr">
        <is>
          <t>Published claims drifting from the product (F-TP33 class) — customer- and reviewer-facing documents outrun the code</t>
        </is>
      </c>
      <c r="B10" s="3" t="inlineStr">
        <is>
          <t>Medium</t>
        </is>
      </c>
      <c r="C10" s="3" t="inlineStr">
        <is>
          <t>Low (post-fix)</t>
        </is>
      </c>
      <c r="D10" s="3" t="inlineStr">
        <is>
          <t>Mechanical claims pinned by tests; untestable claims need a named owner and date (L-P5)</t>
        </is>
      </c>
    </row>
    <row r="11">
      <c r="A11" s="3" t="inlineStr">
        <is>
          <t>Read-shaped interaction wired to a write-shaped call (F-TP39 class) — correct code, correct docs, wrong sequence</t>
        </is>
      </c>
      <c r="B11" s="3" t="inlineStr">
        <is>
          <t>High</t>
        </is>
      </c>
      <c r="C11" s="3" t="inlineStr">
        <is>
          <t>Low (post-fix)</t>
        </is>
      </c>
      <c r="D11" s="3" t="inlineStr">
        <is>
          <t>No gate catches it; one user-path walkthrough per product before launch (L-P6)</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0"/>
  <sheetViews>
    <sheetView workbookViewId="0">
      <pane ySplit="2" topLeftCell="A3" activePane="bottomLeft" state="frozen"/>
      <selection pane="bottomLeft" activeCell="A1" sqref="A1"/>
    </sheetView>
  </sheetViews>
  <sheetFormatPr baseColWidth="8" defaultRowHeight="15" outlineLevelCol="0"/>
  <cols>
    <col width="6" customWidth="1" min="1" max="1"/>
    <col width="26" customWidth="1" min="2" max="2"/>
    <col width="74" customWidth="1" min="3" max="3"/>
    <col width="44" customWidth="1" min="4" max="4"/>
    <col width="12" customWidth="1" min="5" max="5"/>
  </cols>
  <sheetData>
    <row r="1">
      <c r="A1" s="1" t="inlineStr">
        <is>
          <t>STANDING GATES</t>
        </is>
      </c>
    </row>
    <row r="2">
      <c r="A2" s="2" t="inlineStr">
        <is>
          <t>ID</t>
        </is>
      </c>
      <c r="B2" s="2" t="inlineStr">
        <is>
          <t>Gate</t>
        </is>
      </c>
      <c r="C2" s="2" t="inlineStr">
        <is>
          <t>What it checks</t>
        </is>
      </c>
      <c r="D2" s="2" t="inlineStr">
        <is>
          <t>Defects it reproduces in test</t>
        </is>
      </c>
      <c r="E2" s="2" t="inlineStr">
        <is>
          <t>Status</t>
        </is>
      </c>
    </row>
    <row r="3">
      <c r="A3" s="3" t="inlineStr">
        <is>
          <t>G-1</t>
        </is>
      </c>
      <c r="B3" s="3" t="inlineStr">
        <is>
          <t>Reachability</t>
        </is>
      </c>
      <c r="C3" s="3" t="inlineStr">
        <is>
          <t>Orphan modules and orphan methods from the real entrypoints; written reasons required; stale exceptions reported</t>
        </is>
      </c>
      <c r="D3" s="3" t="inlineStr">
        <is>
          <t>F-TP21, F-TP34..37</t>
        </is>
      </c>
      <c r="E3" s="6" t="inlineStr">
        <is>
          <t>GREEN</t>
        </is>
      </c>
    </row>
    <row r="4">
      <c r="A4" s="3" t="inlineStr">
        <is>
          <t>G-2</t>
        </is>
      </c>
      <c r="B4" s="3" t="inlineStr">
        <is>
          <t>Published claims</t>
        </is>
      </c>
      <c r="C4" s="3" t="inlineStr">
        <is>
          <t>Published claims: 42 registered claims (was 25 on 13/09), each tying a customer-facing promise to the code evidence that must hold</t>
        </is>
      </c>
      <c r="D4" s="3" t="inlineStr">
        <is>
          <t>F-TP33, TPR-004, TPR-009, TPR-010</t>
        </is>
      </c>
      <c r="E4" s="6" t="inlineStr">
        <is>
          <t>GREEN</t>
        </is>
      </c>
    </row>
    <row r="5">
      <c r="A5" s="3" t="inlineStr">
        <is>
          <t>G-3</t>
        </is>
      </c>
      <c r="B5" s="3" t="inlineStr">
        <is>
          <t>Platform entrypoints</t>
        </is>
      </c>
      <c r="C5" s="3" t="inlineStr">
        <is>
          <t>Manifest and entrypoint read together: unexported handlers, unpointed exports, orphan functions, required module declarations</t>
        </is>
      </c>
      <c r="D5" s="3" t="inlineStr">
        <is>
          <t>VER-P01, F-TP42</t>
        </is>
      </c>
      <c r="E5" s="6" t="inlineStr">
        <is>
          <t>GREEN</t>
        </is>
      </c>
    </row>
    <row r="6">
      <c r="A6" s="3" t="inlineStr">
        <is>
          <t>G-4</t>
        </is>
      </c>
      <c r="B6" s="3" t="inlineStr">
        <is>
          <t>Entrypoint wiring (NEW)</t>
        </is>
      </c>
      <c r="C6" s="3" t="inlineStr">
        <is>
          <t>Each declared capability is CONSTRUCTED in the deploy entrypoint and PASSED to its consumer</t>
        </is>
      </c>
      <c r="D6" s="3" t="inlineStr">
        <is>
          <t>TPR-001, F-TP42 (both by mutating the real entrypoint)</t>
        </is>
      </c>
      <c r="E6" s="6" t="inlineStr">
        <is>
          <t>GREEN</t>
        </is>
      </c>
    </row>
    <row r="7">
      <c r="A7" s="4" t="inlineStr">
        <is>
          <t>G-5</t>
        </is>
      </c>
      <c r="B7" s="3" t="inlineStr">
        <is>
          <t>Concurrent write safety (NEW 20/09, L-P8)</t>
        </is>
      </c>
      <c r="C7" s="3" t="inlineStr">
        <is>
          <t>Static: no plain read-modify-write on a registered shared key. Dynamic: every registered key must be exercised under interleaved writers in the concurrency suite</t>
        </is>
      </c>
      <c r="D7" s="3" t="inlineStr">
        <is>
          <t>PRX-02, reproduced in test as the pre-PR-01 shape. WENT RED ON ITS OWN FIRST RUN for 8 of 13 keys.</t>
        </is>
      </c>
      <c r="E7" s="6" t="inlineStr">
        <is>
          <t>GREEN</t>
        </is>
      </c>
    </row>
    <row r="8">
      <c r="A8" s="4" t="inlineStr">
        <is>
          <t>G-6</t>
        </is>
      </c>
      <c r="B8" s="3" t="inlineStr">
        <is>
          <t>Scope &amp; egress (CB-06/EG-02)</t>
        </is>
      </c>
      <c r="C8" s="3" t="inlineStr">
        <is>
          <t>Every Jira scope and egress host must name a live call path; removing the last caller fails the build</t>
        </is>
      </c>
      <c r="D8" s="3" t="inlineStr">
        <is>
          <t>TPR-003 (write:jira-work outliving its use)</t>
        </is>
      </c>
      <c r="E8" s="6" t="inlineStr">
        <is>
          <t>GREEN</t>
        </is>
      </c>
    </row>
    <row r="9">
      <c r="A9" s="4" t="inlineStr">
        <is>
          <t>G-7</t>
        </is>
      </c>
      <c r="B9" s="3" t="inlineStr">
        <is>
          <t>Secret &amp; PII scan (CB-10)</t>
        </is>
      </c>
      <c r="C9" s="3" t="inlineStr">
        <is>
          <t>Credential and PII shapes across src, test, docs, evidence and fixtures; allowances must carry a written reason</t>
        </is>
      </c>
      <c r="D9" s="3" t="inlineStr">
        <is>
          <t>Its own fixtures, twice — which is why they are built at runtime</t>
        </is>
      </c>
      <c r="E9" s="6" t="inlineStr">
        <is>
          <t>GREEN</t>
        </is>
      </c>
    </row>
    <row r="10">
      <c r="A10" s="3" t="inlineStr"/>
      <c r="B10" s="3" t="inlineStr">
        <is>
          <t>Gates green</t>
        </is>
      </c>
      <c r="C10" s="3">
        <f>COUNTIF(E4:E9,"GREEN")</f>
        <v/>
      </c>
      <c r="D10" s="3" t="inlineStr">
        <is>
          <t>of</t>
        </is>
      </c>
      <c r="E10" s="3">
        <f>COUNTA(A4:A9)</f>
        <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7" customWidth="1" min="1" max="1"/>
    <col width="52" customWidth="1" min="2" max="2"/>
    <col width="16" customWidth="1" min="3" max="3"/>
    <col width="96" customWidth="1" min="4" max="4"/>
    <col width="14" customWidth="1" min="5" max="5"/>
  </cols>
  <sheetData>
    <row r="1">
      <c r="A1" s="1" t="inlineStr">
        <is>
          <t>ATLASSIAN ENTERPRISE CERTIFIED — gap assessment (replaces the retired Cloud Fortified plan)</t>
        </is>
      </c>
    </row>
    <row r="2">
      <c r="A2" s="5" t="inlineStr">
        <is>
          <t>The Cloud Fortified programme closed to new submissions on 01/09/2026 and retires 31/12/2026, so the previous assessment measured a bar that no longer exists. MET (code) = enforced and pinned by a test or gate. MET (doc) = published and pinned by the claims gate. OPEN = needs an action outside this repository. LIVE = needs the installed app or elapsed time.</t>
        </is>
      </c>
    </row>
    <row r="3">
      <c r="A3" s="2" t="inlineStr">
        <is>
          <t>#</t>
        </is>
      </c>
      <c r="B3" s="2" t="inlineStr">
        <is>
          <t>Requirement</t>
        </is>
      </c>
      <c r="C3" s="2" t="inlineStr">
        <is>
          <t>State</t>
        </is>
      </c>
      <c r="D3" s="2" t="inlineStr">
        <is>
          <t>Evidence / gap</t>
        </is>
      </c>
      <c r="E3" s="2" t="inlineStr">
        <is>
          <t>Owner</t>
        </is>
      </c>
    </row>
    <row r="4">
      <c r="A4" s="3" t="inlineStr">
        <is>
          <t>1.1</t>
        </is>
      </c>
      <c r="B4" s="3" t="inlineStr">
        <is>
          <t>Current annual penetration test — Atlassian Bugcrowd or a CREST-accredited vendor, submitted for approval</t>
        </is>
      </c>
      <c r="C4" s="10" t="inlineStr">
        <is>
          <t>OPEN</t>
        </is>
      </c>
      <c r="D4" s="3" t="inlineStr">
        <is>
          <t>The internal assessment pack does NOT satisfy this. Procurement lead time — the review said to start at the beginning of the phase, not the end. This is ST-068.</t>
        </is>
      </c>
      <c r="E4" s="3" t="inlineStr">
        <is>
          <t>Senthil</t>
        </is>
      </c>
    </row>
    <row r="5">
      <c r="A5" s="3" t="inlineStr">
        <is>
          <t>1.2</t>
        </is>
      </c>
      <c r="B5" s="3" t="inlineStr">
        <is>
          <t>Public bug bounty via Atlassian's programme</t>
        </is>
      </c>
      <c r="C5" s="10" t="inlineStr">
        <is>
          <t>OPEN</t>
        </is>
      </c>
      <c r="D5" s="3" t="inlineStr">
        <is>
          <t>The old plan ("publish security.md + a contact") does not satisfy this requirement. Enrolment is required.</t>
        </is>
      </c>
      <c r="E5" s="3" t="inlineStr">
        <is>
          <t>Senthil</t>
        </is>
      </c>
    </row>
    <row r="6">
      <c r="A6" s="3" t="inlineStr">
        <is>
          <t>1.4</t>
        </is>
      </c>
      <c r="B6" s="3" t="inlineStr">
        <is>
          <t>No Connect modules</t>
        </is>
      </c>
      <c r="C6" s="6" t="inlineStr">
        <is>
          <t>MET (code)</t>
        </is>
      </c>
      <c r="D6" s="3" t="inlineStr">
        <is>
          <t>Forge-only manifest; the platform-entrypoints gate reads it on every build.</t>
        </is>
      </c>
      <c r="E6" s="3" t="inlineStr">
        <is>
          <t>—</t>
        </is>
      </c>
    </row>
    <row r="7">
      <c r="A7" s="3" t="inlineStr">
        <is>
          <t>1.5</t>
        </is>
      </c>
      <c r="B7" s="3" t="inlineStr">
        <is>
          <t>No storage of Atlassian user credentials or PATs</t>
        </is>
      </c>
      <c r="C7" s="6" t="inlineStr">
        <is>
          <t>MET (code)</t>
        </is>
      </c>
      <c r="D7" s="3" t="inlineStr">
        <is>
          <t>The vestigial {access, refresh} pair was REMOVED from the install record rather than explained. A tenant Anthropic key lives in Forge Secret Storage. test/lifecycle.test.ts asserts the record holds no credential.</t>
        </is>
      </c>
      <c r="E7" s="3" t="inlineStr">
        <is>
          <t>—</t>
        </is>
      </c>
    </row>
    <row r="8">
      <c r="A8" s="3" t="inlineStr">
        <is>
          <t>1.7</t>
        </is>
      </c>
      <c r="B8" s="3" t="inlineStr">
        <is>
          <t>Least privilege, verified against code</t>
        </is>
      </c>
      <c r="C8" s="6" t="inlineStr">
        <is>
          <t>MET (code)</t>
        </is>
      </c>
      <c r="D8" s="3" t="inlineStr">
        <is>
          <t>scope-egress gate: read:jira-work justifies four named call paths; no write scope; storage:app justified.</t>
        </is>
      </c>
      <c r="E8" s="3" t="inlineStr">
        <is>
          <t>—</t>
        </is>
      </c>
    </row>
    <row r="9">
      <c r="A9" s="3" t="inlineStr">
        <is>
          <t>1.10</t>
        </is>
      </c>
      <c r="B9" s="3" t="inlineStr">
        <is>
          <t>No production dependency that is not needed at runtime</t>
        </is>
      </c>
      <c r="C9" s="6" t="inlineStr">
        <is>
          <t>MET (code)</t>
        </is>
      </c>
      <c r="D9" s="3" t="inlineStr">
        <is>
          <t>Production dependencies are empty (C-7); the Express harness is dev-only and refuses to start in production.</t>
        </is>
      </c>
      <c r="E9" s="3" t="inlineStr">
        <is>
          <t>—</t>
        </is>
      </c>
    </row>
    <row r="10">
      <c r="A10" s="3" t="inlineStr">
        <is>
          <t>1.12</t>
        </is>
      </c>
      <c r="B10" s="3" t="inlineStr">
        <is>
          <t>Full egress transparency incl. publicly disclosed subprocessors</t>
        </is>
      </c>
      <c r="C10" s="6" t="inlineStr">
        <is>
          <t>MET (doc)</t>
        </is>
      </c>
      <c r="D10" s="3" t="inlineStr">
        <is>
          <t>Trust page names Atlassian and Anthropic; the claims gate pins the Anthropic host to the manifest. Publication to the listing trust tab is LC-7.</t>
        </is>
      </c>
      <c r="E10" s="3" t="inlineStr">
        <is>
          <t>Senthil at listing</t>
        </is>
      </c>
    </row>
    <row r="11">
      <c r="A11" s="3" t="inlineStr">
        <is>
          <t>1.13</t>
        </is>
      </c>
      <c r="B11" s="3" t="inlineStr">
        <is>
          <t>CI/CD vulnerability scanning gates</t>
        </is>
      </c>
      <c r="C11" s="6" t="inlineStr">
        <is>
          <t>MET (code)</t>
        </is>
      </c>
      <c r="D11" s="3" t="inlineStr">
        <is>
          <t>Seven review gates plus npm audit in CI; 0 production vulnerabilities in the clean-room run.</t>
        </is>
      </c>
      <c r="E11" s="3" t="inlineStr">
        <is>
          <t>—</t>
        </is>
      </c>
    </row>
    <row r="12">
      <c r="A12" s="3" t="inlineStr">
        <is>
          <t>1.14</t>
        </is>
      </c>
      <c r="B12" s="3" t="inlineStr">
        <is>
          <t>Calls to Atlassian as the user where visibility matters (asUser default)</t>
        </is>
      </c>
      <c r="C12" s="6" t="inlineStr">
        <is>
          <t>MET (code)</t>
        </is>
      </c>
      <c r="D12" s="3" t="inlineStr">
        <is>
          <t>Story fetch, JQL count, JQL search and BROWSE_PROJECTS are all asUser(); the permission check fails closed when Jira does not answer.</t>
        </is>
      </c>
      <c r="E12" s="3" t="inlineStr">
        <is>
          <t>LIVE proof at PR-04</t>
        </is>
      </c>
    </row>
    <row r="13">
      <c r="A13" s="3" t="inlineStr">
        <is>
          <t>2.x</t>
        </is>
      </c>
      <c r="B13" s="3" t="inlineStr">
        <is>
          <t>Reliability SLO with live data</t>
        </is>
      </c>
      <c r="C13" s="7" t="inlineStr">
        <is>
          <t>LIVE</t>
        </is>
      </c>
      <c r="D13" s="3" t="inlineStr">
        <is>
          <t>p95 sampled per invocation; the SLO definition needs 30 days of live data.</t>
        </is>
      </c>
      <c r="E13" s="3" t="inlineStr">
        <is>
          <t>Senthil</t>
        </is>
      </c>
    </row>
    <row r="14">
      <c r="A14" s="3" t="inlineStr">
        <is>
          <t>3.x</t>
        </is>
      </c>
      <c r="B14" s="3" t="inlineStr">
        <is>
          <t>Incident response wired to real alerting</t>
        </is>
      </c>
      <c r="C14" s="10" t="inlineStr">
        <is>
          <t>OPEN</t>
        </is>
      </c>
      <c r="D14" s="3" t="inlineStr">
        <is>
          <t>Runbook, comms tree, status page and template exist; WHO IS PAGED is not wired, and is recorded as partial rather than counted as done.</t>
        </is>
      </c>
      <c r="E14" s="3" t="inlineStr">
        <is>
          <t>Senthil</t>
        </is>
      </c>
    </row>
    <row r="15">
      <c r="A15" s="3" t="inlineStr">
        <is>
          <t>4.x</t>
        </is>
      </c>
      <c r="B15" s="3" t="inlineStr">
        <is>
          <t>Support SLA statement</t>
        </is>
      </c>
      <c r="C15" s="6" t="inlineStr">
        <is>
          <t>MET (doc)</t>
        </is>
      </c>
      <c r="D15" s="3" t="inlineStr">
        <is>
          <t>Intake and SLA report are reachable in-app; live &lt;4h evidence accrues post-launch.</t>
        </is>
      </c>
      <c r="E15" s="3" t="inlineStr">
        <is>
          <t>—</t>
        </is>
      </c>
    </row>
    <row r="16">
      <c r="A16" s="3" t="inlineStr">
        <is>
          <t>5.1</t>
        </is>
      </c>
      <c r="B16" s="3" t="inlineStr">
        <is>
          <t>Public AI usage policy</t>
        </is>
      </c>
      <c r="C16" s="6" t="inlineStr">
        <is>
          <t>MET (doc)</t>
        </is>
      </c>
      <c r="D16" s="3" t="inlineStr">
        <is>
          <t>docs/ai-usage-policy.md — purpose, off-by-default, provider, key sources, what is sent, validation, budgets, audit, retention. Pinned by the claims gate.</t>
        </is>
      </c>
      <c r="E16" s="3" t="inlineStr">
        <is>
          <t>Publish at listing</t>
        </is>
      </c>
    </row>
    <row r="17">
      <c r="A17" s="3" t="inlineStr">
        <is>
          <t>—</t>
        </is>
      </c>
      <c r="B17" s="3" t="inlineStr">
        <is>
          <t>Data residency statement</t>
        </is>
      </c>
      <c r="C17" s="6" t="inlineStr">
        <is>
          <t>MET (doc)</t>
        </is>
      </c>
      <c r="D17" s="3" t="inlineStr">
        <is>
          <t>Forge region pinning; no app-level control is claimed (TPR-004 stays closed).</t>
        </is>
      </c>
      <c r="E17" s="3" t="inlineStr">
        <is>
          <t>—</t>
        </is>
      </c>
    </row>
    <row r="18">
      <c r="A18" s="3" t="inlineStr">
        <is>
          <t>—</t>
        </is>
      </c>
      <c r="B18" s="3" t="inlineStr">
        <is>
          <t>Backup / recovery</t>
        </is>
      </c>
      <c r="C18" s="6" t="inlineStr">
        <is>
          <t>MET (code)</t>
        </is>
      </c>
      <c r="D18" s="3" t="inlineStr">
        <is>
          <t>Non-destructive backup check in statusReport; the destructive drill stays a staging tool.</t>
        </is>
      </c>
      <c r="E18" s="3" t="inlineStr">
        <is>
          <t>LIVE re-run at PR-04</t>
        </is>
      </c>
    </row>
    <row r="20">
      <c r="A20" s="15" t="inlineStr">
        <is>
          <t>VERDICT: the engineering rows are met and pinned. The programme cannot be applied for until 1.1 and 1.2 are done, and neither is a documentation task. Nothing on this table is marked done on documentation alone.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24" customWidth="1" min="1" max="1"/>
    <col width="104" customWidth="1" min="2" max="2"/>
    <col width="62" customWidth="1" min="3" max="3"/>
    <col width="62" customWidth="1" min="4" max="4"/>
  </cols>
  <sheetData>
    <row r="1">
      <c r="A1" s="1" t="inlineStr">
        <is>
          <t>MARKET DEMAND EVIDENCE — read 16/09/2026 by the reviewer; re-read before quoting externally</t>
        </is>
      </c>
    </row>
    <row r="2">
      <c r="A2" s="5" t="inlineStr">
        <is>
          <t>Marketplace install counts and app pricing change frequently. Every row carries its source. Market-size estimates are cited to show their dispersion, not to support a forecast.</t>
        </is>
      </c>
    </row>
    <row r="3">
      <c r="A3" s="2" t="inlineStr">
        <is>
          <t>Signal</t>
        </is>
      </c>
      <c r="B3" s="2" t="inlineStr">
        <is>
          <t>Finding</t>
        </is>
      </c>
      <c r="C3" s="2" t="inlineStr">
        <is>
          <t>Source</t>
        </is>
      </c>
      <c r="D3" s="2" t="inlineStr">
        <is>
          <t>What we did about it</t>
        </is>
      </c>
    </row>
    <row r="4">
      <c r="A4" s="3" t="inlineStr">
        <is>
          <t>Incumbent scale</t>
        </is>
      </c>
      <c r="B4" s="3" t="inlineStr">
        <is>
          <t>Xray 25,454 installs, 4.3/5 from 553 reviews; Zephyr 15.3k; Zephyr Essential 10.2k — all Cloud Fortified. The Testing &amp; QA category shows 1,411 apps.</t>
        </is>
      </c>
      <c r="C4" s="3" t="inlineStr">
        <is>
          <t>marketplace.atlassian.com Testing &amp; QA</t>
        </is>
      </c>
      <c r="D4" s="3" t="inlineStr">
        <is>
          <t>Confirms the category is real and crowded. Reinforces the wedge decision rather than a feature race.</t>
        </is>
      </c>
    </row>
    <row r="5">
      <c r="A5" s="3" t="inlineStr">
        <is>
          <t>Search demand</t>
        </is>
      </c>
      <c r="B5" s="3" t="inlineStr">
        <is>
          <t>Three of the top five Marketplace search queries in Aug 2025 were test-management terms.</t>
        </is>
      </c>
      <c r="C5" s="3" t="inlineStr">
        <is>
          <t>community.atlassian.com App Central</t>
        </is>
      </c>
      <c r="D5" s="3" t="inlineStr">
        <is>
          <t>Listing SEO keeps its place in GTM; the terms are in the listing copy work.</t>
        </is>
      </c>
    </row>
    <row r="6">
      <c r="A6" s="3" t="inlineStr">
        <is>
          <t>Willingness to pay</t>
        </is>
      </c>
      <c r="B6" s="3" t="inlineStr">
        <is>
          <t>Xray ~$6.33/user/month monthly cloud: ~$6,330/yr at 100 Jira users, but ~$100/yr at 10 users. TestRail Professional $37/seat/mo.</t>
        </is>
      </c>
      <c r="C6" s="3" t="inlineStr">
        <is>
          <t>getbestest.com/xray-pricing ; getxray.app ; testrail.com/pricing</t>
        </is>
      </c>
      <c r="D6" s="3" t="inlineStr">
        <is>
          <t>Drove the per-user anchor: 40-50% under in the 26-200 band, sub-10 conceded because we were 12x Xray there.</t>
        </is>
      </c>
    </row>
    <row r="7">
      <c r="A7" s="3" t="inlineStr">
        <is>
          <t>AI differentiation ERODED</t>
        </is>
      </c>
      <c r="B7" s="3" t="inlineStr">
        <is>
          <t>Xray lists as "powered by AI"; Zephyr as "with Rovo"; dedicated generators already ship the exact feature (TestKase, AI Test Case Generator, Agilemove).</t>
        </is>
      </c>
      <c r="C7" s="3" t="inlineStr">
        <is>
          <t>marketplace.atlassian.com listings</t>
        </is>
      </c>
      <c r="D7" s="3" t="inlineStr">
        <is>
          <t>R-P2 closed as MATERIALISED (C-4). ReadMe_Scope differentiation rewritten around the release decision.</t>
        </is>
      </c>
    </row>
    <row r="8">
      <c r="A8" s="3" t="inlineStr">
        <is>
          <t>Market size (unusable dispersion)</t>
        </is>
      </c>
      <c r="B8" s="3" t="inlineStr">
        <is>
          <t>$1.13B in 2024 at 16.8% CAGR vs $481M in 2026 at 7.6% vs $10.17B in 2026 — more than an order of magnitude apart.</t>
        </is>
      </c>
      <c r="C8" s="3" t="inlineStr">
        <is>
          <t>MRFR ; Industry Research ; 360iResearch</t>
        </is>
      </c>
      <c r="D8" s="3" t="inlineStr">
        <is>
          <t>Not used for planning, as the reviewer instructed. The install and pricing figures are the hard signal.</t>
        </is>
      </c>
    </row>
    <row r="9">
      <c r="A9" s="3" t="inlineStr">
        <is>
          <t>Licensing model</t>
        </is>
      </c>
      <c r="B9" s="3" t="inlineStr">
        <is>
          <t>Jira Cloud apps are licensed against the MAXIMUM USERS ON THE INSTANCE, not app users — so flat $99/$299 plans cannot be listed.</t>
        </is>
      </c>
      <c r="C9" s="3" t="inlineStr">
        <is>
          <t>community.atlassian.com App Central</t>
        </is>
      </c>
      <c r="D9" s="3" t="inlineStr">
        <is>
          <t>Confirms D18. pricing-faq.md rewritten in per-user terms.</t>
        </is>
      </c>
    </row>
    <row r="10">
      <c r="A10" s="3" t="inlineStr">
        <is>
          <t>Revenue share</t>
        </is>
      </c>
      <c r="B10" s="3" t="inlineStr">
        <is>
          <t>Eligible Forge apps keep 100% of gross until $1M lifetime Forge revenue (from 01/01/2026); 84% from 01/04/2026, 83% from 01/10/2026 above it. Eligibility: no Connect modules, OAuth, Forge UI — TestPulse meets all three.</t>
        </is>
      </c>
      <c r="C10" s="3" t="inlineStr">
        <is>
          <t>developer.atlassian.com/platform/marketplace/pricing-payment-and-billing/</t>
        </is>
      </c>
      <c r="D10" s="3" t="inlineStr">
        <is>
          <t>C-3: Financial_Model fee 0.17 -&gt; 0.00; MRR was understated ~20%; breakeven moves earlier.</t>
        </is>
      </c>
    </row>
    <row r="11">
      <c r="A11" s="3" t="inlineStr">
        <is>
          <t>Runs on Atlassian</t>
        </is>
      </c>
      <c r="B11" s="3" t="inlineStr">
        <is>
          <t>Eligible apps declare no external resource domains; assessed from the manifest, continuously. The badge no longer carries a revenue delta.</t>
        </is>
      </c>
      <c r="C11" s="3" t="inlineStr">
        <is>
          <t>developer.atlassian.com/platform/forge/runs-on-atlassian-apps/</t>
        </is>
      </c>
      <c r="D11" s="3" t="inlineStr">
        <is>
          <t>C-5 added to the assessment; Decision 2 adopted as Option B for the better reason.</t>
        </is>
      </c>
    </row>
    <row r="12">
      <c r="A12" s="3" t="inlineStr">
        <is>
          <t>Enterprise programme</t>
        </is>
      </c>
      <c r="B12" s="3" t="inlineStr">
        <is>
          <t>Cloud Fortified submissions closed 01/09/2026, retired 31/12/2026. Successor: Atlassian Enterprise Certified — annual CREST/Bugcrowd pen test, public bug bounty, no PAT storage, egress and subprocessor disclosure, public AI usage policy, asUser() default.</t>
        </is>
      </c>
      <c r="C12" s="3" t="inlineStr">
        <is>
          <t>developer.atlassian.com/platform/marketplace/changelog/ ; /atlassian-enterprise-certified-program/</t>
        </is>
      </c>
      <c r="D12" s="3" t="inlineStr">
        <is>
          <t>C-2: the old gap assessment deleted and rewritten against AEC. Two rows are procurement.</t>
        </is>
      </c>
    </row>
    <row r="13">
      <c r="A13" s="3" t="inlineStr">
        <is>
          <t>Forge storage limits</t>
        </is>
      </c>
      <c r="B13" s="3" t="inlineStr">
        <is>
          <t>KVS/Custom Entity Store: 240 KiB per value, 20 entities, 7 indexes, 50 attributes, pages of 100. Forge SQL: 1 GiB per production install, 200 tables, 6 MiB rows, 5s SELECT timeout.</t>
        </is>
      </c>
      <c r="C13" s="3" t="inlineStr">
        <is>
          <t>developer.atlassian.com/platform/forge/limits-kvs-ce/ ; /storage-reference/sql/</t>
        </is>
      </c>
      <c r="D13" s="3" t="inlineStr">
        <is>
          <t>Verified again on 20/09 for ADR-001, which adds the facts the review did not have: the sql module is a MAJOR version and schema is applied per installation by a scheduled trigger.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2026-09-20T12:05:56Z</dcterms:created>
  <dcterms:modified xmlns:dcterms="http://purl.org/dc/terms/" xmlns:xsi="http://www.w3.org/2001/XMLSchema-instance" xsi:type="dcterms:W3CDTF">2026-09-20T12:05:56Z</dcterms:modified>
</cp:coreProperties>
</file>