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S1_Build_Board" sheetId="4" state="visible" r:id="rId6"/>
    <sheet name="S2_Build_Board" sheetId="5" state="visible" r:id="rId7"/>
    <sheet name="S3_Build_Board" sheetId="6" state="visible" r:id="rId8"/>
    <sheet name="S4_Build_Board" sheetId="7" state="visible" r:id="rId9"/>
    <sheet name="S5_Build_Board" sheetId="8" state="visible" r:id="rId10"/>
    <sheet name="S6_Build_Board" sheetId="9" state="visible" r:id="rId11"/>
    <sheet name="S7_Build_Board" sheetId="10" state="visible" r:id="rId12"/>
    <sheet name="S8_Build_Board" sheetId="11" state="visible" r:id="rId13"/>
    <sheet name="S9_Build_Board" sheetId="12" state="visible" r:id="rId14"/>
    <sheet name="S10_Build_Board" sheetId="13" state="visible" r:id="rId15"/>
    <sheet name="S11_Build_Board" sheetId="14" state="visible" r:id="rId16"/>
    <sheet name="S12_Build_Board" sheetId="15" state="visible" r:id="rId17"/>
    <sheet name="Review_Pass1_Board" sheetId="16" state="visible" r:id="rId18"/>
    <sheet name="Review_Pass2_Board" sheetId="17" state="visible" r:id="rId19"/>
    <sheet name="Review_Pass3_Board" sheetId="18" state="visible" r:id="rId20"/>
    <sheet name="Traceability_Matrix" sheetId="19" state="visible" r:id="rId21"/>
    <sheet name="Sprint_Status_Rollup" sheetId="20" state="visible" r:id="rId22"/>
    <sheet name="RAID_Carryover" sheetId="21" state="visible" r:id="rId23"/>
    <sheet name="Gate_Checklist"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<sst xmlns="http://schemas.openxmlformats.org/spreadsheetml/2006/main" count="3418" uniqueCount="1659">
  <si>
    <t xml:space="preserve">VERSION CONTROL — QuoteFlow Sprint Tracker &amp; Traceability</t>
  </si>
  <si>
    <t xml:space="preserve">File naming: claude_v&lt;NNN&gt;_&lt;proper file name&gt;_YYYYMMDD_HHMI. Companion to the product workbook lineage claude_v006..v009_quoteflow_hubspot_product_workbook.</t>
  </si>
  <si>
    <t xml:space="preserve">Version</t>
  </si>
  <si>
    <t xml:space="preserve">Date/Time</t>
  </si>
  <si>
    <t xml:space="preserve">Author</t>
  </si>
  <si>
    <t xml:space="preserve">Change Description</t>
  </si>
  <si>
    <t xml:space="preserve">Status</t>
  </si>
  <si>
    <t xml:space="preserve">v001</t>
  </si>
  <si>
    <t xml:space="preserve">2026-09-10 23:09</t>
  </si>
  <si>
    <t xml:space="preserve">Claude for Senthil/KP</t>
  </si>
  <si>
    <t xml:space="preserve">THIS FILE — Live execution tracker for QuoteFlow (HubSpot App Marketplace, portfolio wave-2): event-level sprint log E001..E014 for S1/S2/S3, decisions register, per-sprint build boards (S1/S2/S3), 100-story traceability with per-story evidence citing product-workbook versions (S1=v007 22:03, S2=v008 22:19, S3=v009 22:52), live sprint status rollup (formulas), RAID, and the D7 completion gate. Source of story truth: v009 Full_Backlog.</t>
  </si>
  <si>
    <t xml:space="preserve">Released</t>
  </si>
  <si>
    <t xml:space="preserve">v002</t>
  </si>
  <si>
    <t xml:space="preserve">2026-09-11 08:17</t>
  </si>
  <si>
    <t xml:space="preserve">S4 EXECUTED (Approval chains part 2 + telemetry + smoke, 9 stories / 34 pts): events E015..E021 appended; S4_Build_Board added; 9 traceability rows Done with v010 evidence (30/100 total, 123/399 pts); rollup S4 RAG GREEN; Decisions DQ4 updated with the failed live-Postgres attempt, DQ6/DQ7 added (feature-pause + spike semantics); RAID R-Q4 attempt-evidenced, R-Q9 added (smoke deploy hook assumption). Companion product workbook: v010 (2026-09-11 08:17).</t>
  </si>
  <si>
    <t xml:space="preserve">v003</t>
  </si>
  <si>
    <t xml:space="preserve">PLANNED: S5 execution entries (E-signature + alpha hardening, 12 stories / 50 pts); live-verification evidence (R-Q5/R-Q6) when Senthil provides dev-portal access; Postgres retry log</t>
  </si>
  <si>
    <t xml:space="preserve">Planned</t>
  </si>
  <si>
    <t xml:space="preserve">2026-09-11 08:52</t>
  </si>
  <si>
    <t xml:space="preserve">S5 EXECUTED (E-signature + alpha hardening, 12 stories / 50 pts — largest sprint): events E022..E028; S5_Build_Board added; 12 traceability rows Done with v011 evidence (42/100 stories, 173/399 pts, 43.4%); rollup S5 GREEN; Decisions +DQ8 (public signer surface — token IS the identity, validate-then-mint) +DQ9 (esign pause never-strand + settings snapshot-at-creation) + DQ5 note (signer link delivery rides the email provider; API returns signerLinks meanwhile); RAID R-Q7 note extended to signer outreach. Companion product workbook: v011 (2026-09-11 08:52).</t>
  </si>
  <si>
    <t xml:space="preserve">v004</t>
  </si>
  <si>
    <t xml:space="preserve">PLANNED: S6 execution entries (Billing + Quote analytics, 13 stories / 60 pts); Postgres retry log; live-verification evidence when R-Q5/R-Q6 unblock</t>
  </si>
  <si>
    <t xml:space="preserve">2026-09-11 12:47</t>
  </si>
  <si>
    <t xml:space="preserve">S6 EXECUTED (Quote analytics + Billing, 13 stories / 60 pts): events E029..E035; S6_Build_Board added; 13 traceability rows Done with v012 evidence (55/100 stories, 233/399 pts, 58.4%); rollup S6 GREEN; Decisions +DQ10 (analytics pause blocks dashboards NEVER capture; capture setup-independent) +DQ11 (per-portal channel routing marketplace/HubSpot vs direct/Stripe; failure persists nothing; 30d proration w/ net&lt;=0 no-call rule); RAID +R-Q10 (billing provider live credentials — Senthil). Companion product workbook: v012 (2026-09-11 12:47).</t>
  </si>
  <si>
    <t xml:space="preserve">v005</t>
  </si>
  <si>
    <t xml:space="preserve">PLANNED: S7 execution entries (Beta cohort ST-073..077, 5 stories / 15 pts); live-verification evidence when R-Q5/R-Q6/R-Q10 unblock</t>
  </si>
  <si>
    <t xml:space="preserve">2026-09-13 10:26</t>
  </si>
  <si>
    <t xml:space="preserve">S7 EXECUTED (billing hardening + least-privilege scopes, 5 stories / 15 pts): events E036..E042; S7_Build_Board added; 5 traceability rows Done with v013 evidence (60/100 stories, 248/399 pts, 62.2%); rollup S7 GREEN; Decisions +DQ12 (billing read-only is a WRITE gate only — reads and exports survive dunning and cancellation) +DQ13 (scopes validated in code: registry + two-way audit + generated disclosure); scope-drift note added to RAID. Companion product workbook: v013 (2026-09-13 10:26).</t>
  </si>
  <si>
    <t xml:space="preserve">v006</t>
  </si>
  <si>
    <t xml:space="preserve">PLANNED: S8 execution entries (Deal/line-item sync + beta iteration, 22 stories / 87 pts — largest remaining sprint)</t>
  </si>
  <si>
    <t xml:space="preserve">2026-09-13 10:38</t>
  </si>
  <si>
    <t xml:space="preserve">S8 EXECUTED (largest sprint — 22 stories / 87 pts across F5 sync, E6 trust, E7 founder ops, EQ performance): events E043..E050; S8_Build_Board added; 22 traceability rows Done with v014 evidence (82/100 stories, 335/399 pts, 84.0%); rollup S8 GREEN; Decisions +DQ14 (idempotency key + queue-on-pause) +DQ15 (generated trust doc, unmet controls published as partial with owners) +DQ16 (circuit breaker in front of platform writes); RAID +R-Q11 (vault + at-rest provisioning). Companion product workbook: v014 (2026-09-13 10:38).</t>
  </si>
  <si>
    <t xml:space="preserve">v007</t>
  </si>
  <si>
    <t xml:space="preserve">PLANNED: S9 execution entries (Marketplace review prep, 7 stories / 30 pts)</t>
  </si>
  <si>
    <t xml:space="preserve">2026-09-13 10:56</t>
  </si>
  <si>
    <t xml:space="preserve">S9 EXECUTED (Marketplace review prep, 7 stories / 30 pts — 5 Done, 2 Partial): events E051..E058; S9_Build_Board added; 7 traceability rows updated with v015 evidence; rollup S9 AMBER (two stories carry external dependencies); Decisions +DQ17 (two-step token-confirmed deletion, export always available) +DQ18 (review evidence generated and asserted, never narrated); RAID +R-Q12 (external penetration test). Defect L-062 logged: the restore drill destroyed non-restorable sources. Companion product workbook: v015 (2026-09-13 10:56).</t>
  </si>
  <si>
    <t xml:space="preserve">v008</t>
  </si>
  <si>
    <t xml:space="preserve">PLANNED: S10 execution entries (Review remediation + docs, 7 stories / 24 pts)</t>
  </si>
  <si>
    <t xml:space="preserve">2026-09-13 11:11</t>
  </si>
  <si>
    <t xml:space="preserve">S10 EXECUTED (Launch surfaces, 7 stories / 24 pts, all Done): events E059..E065; S10_Build_Board added; 7 traceability rows Done with v016 evidence (94/100 stories, 376/399 pts strictly-Done); rollup S10 GREEN; Decisions +DQ19 (customer-facing pages generated from product constants) +DQ20 (support SLA measured in business hours; unanswered-past-due counts as breach) +DQ21 (submission dry-run reads live state, human-needed items are manual blockers not passes). Companion product workbook: v016 (2026-09-13 11:11).</t>
  </si>
  <si>
    <t xml:space="preserve">v009</t>
  </si>
  <si>
    <t xml:space="preserve">PLANNED: S11 execution entries (Launch — 3 stories / 8 pts)</t>
  </si>
  <si>
    <t xml:space="preserve">2026-09-13 11:25</t>
  </si>
  <si>
    <t xml:space="preserve">S11 EXECUTED (Launch, 3 stories / 8 pts, all Done): events E066..E071; S11_Build_Board added; 3 traceability rows Done with v017 evidence (97/100 stories, 384/399 pts strictly-Done); rollup S11 GREEN-with-note (preflight returns no_go on billing stubs, R-Q10); Decisions +DQ22 (review ask fires only when the portal is demonstrably happy; no review-gating) +DQ23 (runbook executable, every step verifiable) +DQ24 (partner pipeline counts scheduled, not intentions). Companion product workbook: v017 (2026-09-13 11:25).</t>
  </si>
  <si>
    <t xml:space="preserve">v010</t>
  </si>
  <si>
    <t xml:space="preserve">PLANNED: S12 execution entries (Iterate &amp; scale decision — 1 story / 2 pts) — final sprint</t>
  </si>
  <si>
    <t xml:space="preserve">2026-09-13 11:34</t>
  </si>
  <si>
    <t xml:space="preserve">S12 EXECUTED + PROGRAMME CLOSE (1 story / 2 pts): events E072..E077; S12_Build_Board added; ST-099 traceability row Done with v018 evidence; rollup S12 GREEN; Decisions +DQ25 (SEO may never propose an unsupported claim). FINAL: 12 sprints, 98/100 stories Done + 2 Partial, 386/399 points, 397 tests / 26 suites at 100% x4 on 49 source files. Companion product workbook: v018 (2026-09-13 11:34), which carries the Programme_Closeout sheet.</t>
  </si>
  <si>
    <t xml:space="preserve">—</t>
  </si>
  <si>
    <t xml:space="preserve">No further sprints planned. Next work is the six external items in Programme_Closeout (workbook v018), none of which are code.</t>
  </si>
  <si>
    <t xml:space="preserve">Closed</t>
  </si>
  <si>
    <t xml:space="preserve">v011</t>
  </si>
  <si>
    <t xml:space="preserve">2026-09-13 11:51</t>
  </si>
  <si>
    <t xml:space="preserve">COLD REVIEW PASS 1 (QuoteFlow's first): events E078..E082; 8 defects fixed with pinned regressions, four critical (delete-my-data leaving records, no runnable entrypoint, unsigned caller-declared identity, expired trial granting perpetual free use); Review_Findings sheet in product workbook v019 carries the full table plus the two sibling classes verified absent; lesson L-Q1 logged. Suite 397 -&gt; 410 tests / 27 suites at 100% x4. Story position unchanged 98 Done / 2 Partial — correctness release.</t>
  </si>
  <si>
    <t xml:space="preserve">v012</t>
  </si>
  <si>
    <t xml:space="preserve">PLANNED: cold review pass 2 over the modules pass 1 did not reach, plus an artifact-gap audit (no DB schema exists behind the published retention policy — stores are still in-memory, R-Q4)</t>
  </si>
  <si>
    <t xml:space="preserve">2026-09-13 12:03</t>
  </si>
  <si>
    <t xml:space="preserve">COLD REVIEW PASS 2 + artifact-gap audit: events E083..E087; 6 findings fixed (F-Q09 retention policy never enforced — CRITICAL, F-Q10 redaction control with no call sites, F-Q11 breaker on writes only, F-Q12 no deploy workflow, F-Q13 no DB schema, F-Q14 future-dated signatures); +DQ26 (every fix ships with a drift gate, not just a regression); lesson L-Q2. Suite 410 -&gt; 424 tests / 28 suites at 100% x4. Story position unchanged 98 Done / 2 Partial. Full detail: product workbook v020 Review_Findings.</t>
  </si>
  <si>
    <t xml:space="preserve">v013</t>
  </si>
  <si>
    <t xml:space="preserve">PLANNED: pass 3 (the surfaces pass 1 and 2 did not reach — help/support/public/founder modules read adversarially), and the Postgres adapter behind the new schema (R-Q4 code half)</t>
  </si>
  <si>
    <t xml:space="preserve">2026-09-13 16:25</t>
  </si>
  <si>
    <t xml:space="preserve">COLD REVIEW PASS 3: events E088..E091; 3 findings fixed (F-Q15 status page wired to constants, F-Q16 preflight readiness hardcoded, F-Q17 CRITICAL nine vendor-only surfaces reachable with tenant RBAC); +DQ27 (vendor surfaces gated on an operator token and fail closed); lesson L-Q3. Suite 424 -&gt; 428 tests / 28 suites at 100% x4. Running total 17 defects across three passes. Story position unchanged 98 Done / 2 Partial. Detail: product workbook v021 Review_Findings.</t>
  </si>
  <si>
    <t xml:space="preserve">v014</t>
  </si>
  <si>
    <t xml:space="preserve">PLANNED: Postgres adapter behind the pass-2 migrations (R-Q4 code half) with a store-contract suite run against both in-memory and pg</t>
  </si>
  <si>
    <t xml:space="preserve">2026-09-13 16:36</t>
  </si>
  <si>
    <t xml:space="preserve">R-Q4 CODE HALF: events E092..E094; Postgres adapters for audit/analytics/sync behind the pass-2 migrations, proved by a store-contract suite executed against both in-memory and real SQL on an in-process Postgres with the real migrations, including two durability tests; +DQ28 (a persistence adapter is only accepted when the same contract suite passes against both implementations); R-Q13 opened (synchronous store interfaces force a write-through cache and a single writer). Suite 428 -&gt; 439 tests / 29 suites at 100% x4.</t>
  </si>
  <si>
    <t xml:space="preserve">v015</t>
  </si>
  <si>
    <t xml:space="preserve">PLANNED: adapt the remaining six stores using the contract-suite pattern; R-Q13 async interface migration; live Postgres run of the contract suite once an instance exists</t>
  </si>
  <si>
    <t xml:space="preserve">2026-09-13 16:41</t>
  </si>
  <si>
    <t xml:space="preserve">POSTGRES ADAPTERS PART 2: events E095..E097; the remaining six stores adapted, so all nine now have a Postgres implementation proved against a real engine; NEW DEFECT F-Q18 (catalog bundles, pricing rules and pause flags had no tables - the pass-2 drift gate checked store granularity, not field); migration 005 added; +DQ29 (a store adapter must round-trip every record type the interface exposes, asserted field by field). Suite 439 -&gt; 457 tests / 30 suites at 100% x4. R-Q13 still open.</t>
  </si>
  <si>
    <t xml:space="preserve">v016</t>
  </si>
  <si>
    <t xml:space="preserve">PLANNED: R-Q13 async store interfaces (multi-instance safety); live Postgres run of both contract suites once an instance exists; wire the adapters into index.ts behind a DATABASE_URL switch</t>
  </si>
  <si>
    <t xml:space="preserve">2026-09-13 16:53</t>
  </si>
  <si>
    <t xml:space="preserve">POSTGRES BOOT WIRING: events E098..E100; buildStores() selects the backend from DATABASE_URL and reports it, server.ts runs migrations then starts, portals hydrate once per process; the real app is now driven over HTTP against Postgres-backed stores and a second process on the same database sees the data. +DQ30 (a persistence backend must be selectable at boot, report itself, and be proved by driving the real app end to end). Named gap: approvals still in-memory. Suite 457 -&gt; 465 tests / 31 suites at 100% x4. R-Q13 open.</t>
  </si>
  <si>
    <t xml:space="preserve">v017</t>
  </si>
  <si>
    <t xml:space="preserve">PLANNED: PgApprovalStore (the last in-memory store); R-Q13 async interfaces; live Postgres run of all three suites once an instance exists</t>
  </si>
  <si>
    <t xml:space="preserve">2026-09-13 17:23</t>
  </si>
  <si>
    <t xml:space="preserve">R-Q14 CLOSED: events E101..E102; PgApprovalStore written and wired, contract suite extended to chains and requests, and pgBoot proves an approval decision survives a restart through the real HTTP flow. Every store the product writes to is now durable. RAID R-Q14 closed; R-Q13 remains open. Suite 465 -&gt; 466 tests / 31 suites at 100% x4.</t>
  </si>
  <si>
    <t xml:space="preserve">v018</t>
  </si>
  <si>
    <t xml:space="preserve">PLANNED: R-Q13 async store interfaces (multi-instance safety) and a live Postgres run of all four suites</t>
  </si>
  <si>
    <t xml:space="preserve">2026-09-13 17:30</t>
  </si>
  <si>
    <t xml:space="preserve">WRITER LEASE (R-Q13 mitigation): events E103..E104; migration 006 plus a lease an instance must hold to write, so a second instance is refused at startup instead of diverging silently; +DQ31 (where a constraint cannot yet be removed, enforce it so breaking it fails loudly). R-Q13 remains OPEN for the async migration itself - its dangerous half is closed. Suite 466 -&gt; 472 tests / 32 suites at 100% x4.</t>
  </si>
  <si>
    <t xml:space="preserve">v019</t>
  </si>
  <si>
    <t xml:space="preserve">PLANNED: R-Q13 proper (async store interfaces, ~40 call sites) as a dedicated phase; live Postgres run of all five suites</t>
  </si>
  <si>
    <t xml:space="preserve">2026-09-13 18:48</t>
  </si>
  <si>
    <t xml:space="preserve">R-Q13 PHASE 1: events E105..E106; the async cascade done once - PortalDataSource, PrivacyService, BackupService and RetentionService plus six routes are async, with no behaviour change (472 tests still green at 100% x4). +DQ32 (stage a large migration so every checkpoint is green). Phase 2 (per-store async, dropping the write-through caches) open.</t>
  </si>
  <si>
    <t xml:space="preserve">v020</t>
  </si>
  <si>
    <t xml:space="preserve">PLANNED: R-Q13 phase 2 - convert the nine stores to async and drop the write-through caches, one store at a time</t>
  </si>
  <si>
    <t xml:space="preserve">2026-09-13 18:59</t>
  </si>
  <si>
    <t xml:space="preserve">R-Q13 PHASE 2 STORE 1/9 (review state): events E107..E109; ReviewStore async with the Pg write-through cache removed, proved by two running instances sharing one database with no restart; self-inflicted ?? -on-a-promise regression caught by the coverage gate and fixed; +DQ33 (when a store read becomes async, re-check every ?? and ?. applied to it). Suite 472 -&gt; 473 tests / 32 suites at 100% x4. Eight stores remain.</t>
  </si>
  <si>
    <t xml:space="preserve">v021</t>
  </si>
  <si>
    <t xml:space="preserve">PLANNED: phase 2 stores 2-9 (signatures, support, audit, sync, analytics, approvals, billing, notifications, catalog - smallest ripple first); live Postgres run</t>
  </si>
  <si>
    <t xml:space="preserve">2026-09-13 19:33</t>
  </si>
  <si>
    <t xml:space="preserve">R-Q13 PHASE 2 STORE 2/9 (support conversations): events E110..E111; SupportStore and SupportService async, PgSupportStore rewritten cache-free, six routes awaited and guarded, DQ33 applied to every ?? and ?. on a support read. Suite unchanged at 473 tests / 32 suites, 100% x4 - correct for a conversion that changes no behaviour. Seven stores remain.</t>
  </si>
  <si>
    <t xml:space="preserve">v022</t>
  </si>
  <si>
    <t xml:space="preserve">PLANNED: phase 2 stores 3-9 (signatures, audit, approvals, sync, analytics, catalog, notifications, billing); the writer lease can become advisory once all nine are done; live Postgres run</t>
  </si>
  <si>
    <t xml:space="preserve">2026-09-13 19:41</t>
  </si>
  <si>
    <t xml:space="preserve">R-Q13 PHASE 2 CORRECTION + PLAN: events E112..E113; corrected the v029 claim that each remaining store is local work (true for 2 of 9, false for 7), measured every cascade, and published a risk-sequenced migration plan gated by a test so it cannot become aspirational. +DQ34 (a plan that outlives a session must be asserted against the code). Suite 473 -&gt; 474 tests / 32 suites at 100% x4.</t>
  </si>
  <si>
    <t xml:space="preserve">v023</t>
  </si>
  <si>
    <t xml:space="preserve">2026-09-13 19:56</t>
  </si>
  <si>
    <t xml:space="preserve">R-Q13 PHASE 2 STORE 3/9 (approvals): events E114..E115; store, service and cache-free Pg adapter plus the CRM card and checklist readers; two un-awaited-promise defects found and fixed during the mechanical pass; migration plan corrected to note that even the self-contained store had a tail. Suite held at 474 tests / 32 suites, 100% x4. Six stores remain.</t>
  </si>
  <si>
    <t xml:space="preserve">v024</t>
  </si>
  <si>
    <t xml:space="preserve">2026-09-13 20:08</t>
  </si>
  <si>
    <t xml:space="preserve">R-Q13 PHASE 2 STORE 4/9 (sync): event E116; store, service, cache-free Pg adapter for runs (including the fleet-wide failure count behind the public status page), retention sweeper, export source and eight routes. Adapter settings deliberately stay in memory and that choice is documented in the plan. Suite held at 474 tests / 32 suites at 100% x4. Five stores remain: audit, signatures+analytics together, notifications, billing, catalog last.</t>
  </si>
  <si>
    <t xml:space="preserve">v025</t>
  </si>
  <si>
    <t xml:space="preserve">2026-09-13 20:26</t>
  </si>
  <si>
    <t xml:space="preserve">R-Q13 PHASE 2 STORE 5/9 (audit): event E117; store, record() helper, retention sweeper, export source and cache-free Pg adapter converted, with 23 route handlers becoming guarded async. +DQ35 (audit writes are awaited, never fire-and-forget). Suite held at 474 tests / 32 suites at 100% x4. Four stores remain: signatures+analytics together, notifications, billing, catalog last.</t>
  </si>
  <si>
    <t xml:space="preserve">v026</t>
  </si>
  <si>
    <t xml:space="preserve">2026-09-13 22:46</t>
  </si>
  <si>
    <t xml:space="preserve">ATTEMPT ABANDONED, TREE RESTORED: events E118..E119. Store 6+7 (signatures+analytics) source converted cleanly but ~200 test call sites did not; repo-wide regex broke supertest chains and the suite bottomed out at 15 failed / 17 passed. Tree restored from the 20:26 artifact and re-verified at 474 tests / 32 suites / 100% x4. +DQ36 (convert src first, then one suite at a time, never a pattern across all tests). Stores 1-5 converted; 6-9 pending.</t>
  </si>
  <si>
    <t xml:space="preserve">v027</t>
  </si>
  <si>
    <t xml:space="preserve">PLANNED: retry stores 6+7 with the DQ36 method in a fresh session (s5 and s6 are the large suites); then notifications, billing, catalog last</t>
  </si>
  <si>
    <t xml:space="preserve">SPRINT TRACKER LOG — every execution event, newest last</t>
  </si>
  <si>
    <t xml:space="preserve">Refs cite product-workbook tracker entries (L-001..L-021), decisions (D..), stories (ST-..). One row per event; versions are the workbook releases that carry the evidence.</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</si>
  <si>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</si>
  <si>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</si>
  <si>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</si>
  <si>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</si>
  <si>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</si>
  <si>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</si>
  <si>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</si>
  <si>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</si>
  <si>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22:03</t>
  </si>
  <si>
    <t xml:space="preserve">QuoteFlow build opened from v006 product workbook on continue signal. D13 applied (portfolio-wide: discovery interviews parked, dev proceeds under 100% automation coverage on ALL code); ST-085 gate text amended from &gt;=70% to 100% in backlog.</t>
  </si>
  <si>
    <t xml:space="preserve">D13; L-001; v007</t>
  </si>
  <si>
    <t xml:space="preserve">S1 opened; ST-085 re-scoped</t>
  </si>
  <si>
    <t xml:space="preserve">None</t>
  </si>
  <si>
    <t xml:space="preserve">E002</t>
  </si>
  <si>
    <t xml:space="preserve">S1</t>
  </si>
  <si>
    <t xml:space="preserve">S1 FOUNDATION BUILT (TypeScript/Node 22/Express 4, strict tsc): OAuth install -&gt; welcome (ST-051), uninstall webhook with HubSpot v3 HMAC + replay guard + retention-scheduled deletion (ST-052), rotation-safe token refresh with 60s expiry skew (ST-055), install source telemetry (ST-056). Workbook v007 released 22:03 with Sprint_Tracker_Log + Traceability_Matrix sheets added.</t>
  </si>
  <si>
    <t xml:space="preserve">ST-051/052/055/056; L-002..L-003; v007</t>
  </si>
  <si>
    <t xml:space="preserve">4 S1 stories Done-in-code (13 pts)</t>
  </si>
  <si>
    <t xml:space="preserve">E003</t>
  </si>
  <si>
    <t xml:space="preserve">D13 TEST GATE MET — 56 automated tests / 3 suites (unit + supertest HTTP integration), 100% stmt/branch/func/line on every source file; jest coverageThreshold 100x4 fails any build below.</t>
  </si>
  <si>
    <t xml:space="preserve">D13; L-004; test-run.log 20260910_2203</t>
  </si>
  <si>
    <t xml:space="preserve">Evidence into Traceability col K</t>
  </si>
  <si>
    <t xml:space="preserve">E004</t>
  </si>
  <si>
    <t xml:space="preserve">S1 CLOSED 4/4 (13/13 pts). Exit criterion "app installs cleanly; telemetry firing" code-verified via integration tests; LIVE dev-portal install verification remains open (needs Senthil: dev portal app + client ID/secret) — same pattern as RevRescue live Stripe install.</t>
  </si>
  <si>
    <t xml:space="preserve">L-005..L-006</t>
  </si>
  <si>
    <t xml:space="preserve">Cumulative 4/100 stories, 13/399 pts</t>
  </si>
  <si>
    <t xml:space="preserve">Live install = Senthil + dev portal</t>
  </si>
  <si>
    <t xml:space="preserve">E005</t>
  </si>
  <si>
    <t xml:space="preserve">2026-09-10 22:19</t>
  </si>
  <si>
    <t xml:space="preserve">S2</t>
  </si>
  <si>
    <t xml:space="preserve">S2 OPENED on continue signal: Price book + bundles part 1 — ST-001..004 + ST-053 re-install restore + ST-054 role matrix (6 stories, 29 pts).</t>
  </si>
  <si>
    <t xml:space="preserve">L-008; v008</t>
  </si>
  <si>
    <t xml:space="preserve">S2 in build</t>
  </si>
  <si>
    <t xml:space="preserve">E006</t>
  </si>
  <si>
    <t xml:space="preserve">S2 BUILT: catalog domain (books/items/bundles/rules, portal-isolated), one-call idempotent defaults, best-rule pricing engine (minQty/customerTier, largest discount wins, verified 804.60+672.60=1477.20), typed AppError + PlatformClient backoff (429/5xx retry -&gt; retryable 503; 401 re-auth), re-install restore cancelling pending deletion + retention purge executor, owner&gt;admin&gt;member RBAC on every /api route with first-user-owner bootstrap. Workbook v008 released 22:19.</t>
  </si>
  <si>
    <t xml:space="preserve">ST-001..004/053/054; L-009; v008</t>
  </si>
  <si>
    <t xml:space="preserve">6 S2 stories Done-in-code (29 pts)</t>
  </si>
  <si>
    <t xml:space="preserve">E007</t>
  </si>
  <si>
    <t xml:space="preserve">D13 TEST GATE HELD — suite 56 -&gt; 103 tests / 5 suites, 100% x4 on all 16 source files; E2E-over-HTTP: defaults -&gt; detail -&gt; priced quote; uninstall webhook -&gt; re-install -&gt; "data restored" welcome.</t>
  </si>
  <si>
    <t xml:space="preserve">D13; L-010; test-run.log 20260910_2219</t>
  </si>
  <si>
    <t xml:space="preserve">E008</t>
  </si>
  <si>
    <t xml:space="preserve">S2 CLOSED 6/6 (29/29 pts). Decision locked: /api identity is header-based (X-QF-Portal-Id/X-QF-User-Id) until the HubSpot-signed CRM-card surface lands in S3 (ST-005).</t>
  </si>
  <si>
    <t xml:space="preserve">L-011..L-013; DQ2</t>
  </si>
  <si>
    <t xml:space="preserve">Cumulative 10/100, 42/399</t>
  </si>
  <si>
    <t xml:space="preserve">E009</t>
  </si>
  <si>
    <t xml:space="preserve">2026-09-10 22:52</t>
  </si>
  <si>
    <t xml:space="preserve">S3</t>
  </si>
  <si>
    <t xml:space="preserve">S3 OPENED on continue signal: Price book part 2 (ST-005..010) + Approval chains start (ST-011..014) + ST-085 gate story — 11 stories, 47 pts (largest sprint so far).</t>
  </si>
  <si>
    <t xml:space="preserve">L-014; v009</t>
  </si>
  <si>
    <t xml:space="preserve">S3 in build</t>
  </si>
  <si>
    <t xml:space="preserve">E010</t>
  </si>
  <si>
    <t xml:space="preserve">S3 BUILT: HubSpot-signed GET /crm-card + /ui/quote iframe shell (paused-aware card), metrics service (aggregates + 7-day UTC trend), audit log on all 14 mutating routes, pause/resume gating writes only, CSV import (generic + rivalcpq competitor formats, quoted-field parser, row-level errors, SKU dedupe), notifications (in-app+email, per-type mute, failed-email retry), approval chains (one-call default "Discounts over 15% need manager approval", validated custom chains, strict-&gt; triggers, step-snapshot requests, approve/reject walk with approver fan-out). DeletionExecutor now purges all five stores. Workbook v009 released 22:52.</t>
  </si>
  <si>
    <t xml:space="preserve">ST-005..014/085; L-015; v009</t>
  </si>
  <si>
    <t xml:space="preserve">11 S3 stories Done-in-code (47 pts)</t>
  </si>
  <si>
    <t xml:space="preserve">E011</t>
  </si>
  <si>
    <t xml:space="preserve">D13 TEST GATE HELD — suite 103 -&gt; 150 tests / 7 suites, 100% x4 on all 24 source files, EXIT=0. E2E-over-HTTP: signed card reflects catalog+pause; pause 409s writes/keeps reads; import-&gt;quote; mute suppresses; failed email 502-retryable then healed; discounted quote -&gt; pending -&gt; approvers notified -&gt; approved -&gt; requester notified.</t>
  </si>
  <si>
    <t xml:space="preserve">D13; L-016; ST-085; test-run.log 20260910_2252</t>
  </si>
  <si>
    <t xml:space="preserve">ST-085 marked Done with evidence</t>
  </si>
  <si>
    <t xml:space="preserve">E012</t>
  </si>
  <si>
    <t xml:space="preserve">DECISIONS LOCKED: (a) approval requests snapshot chain steps at creation — in-flight requests immune to later chain edits, no dead branches; trigger boundaries strict (15.00% does NOT trip a 15% chain). (b) Postgres adapter DEFERRED to S4 — no live Postgres in build env; shipping an unexecuted adapter would break the honest-status rule; store interfaces are the seam.</t>
  </si>
  <si>
    <t xml:space="preserve">L-017..L-018; DQ3/DQ4</t>
  </si>
  <si>
    <t xml:space="preserve">v010 plan carries the adapter</t>
  </si>
  <si>
    <t xml:space="preserve">E013</t>
  </si>
  <si>
    <t xml:space="preserve">S3 CLOSED 11/11 (47/47 pts). Sprint_Board verified S1=4, S2=6, S3=11 Done; 167 formulas 0 errors. Cumulative 21/100 stories, 89/399 pts (22.3% of points in three sessions).</t>
  </si>
  <si>
    <t xml:space="preserve">L-020..L-021</t>
  </si>
  <si>
    <t xml:space="preserve">Cumulative 21/100, 89/399</t>
  </si>
  <si>
    <t xml:space="preserve">Live dev-portal install + live CRM card fetch = Senthil</t>
  </si>
  <si>
    <t xml:space="preserve">E014</t>
  </si>
  <si>
    <t xml:space="preserve">THIS TRACKER CREATED (v001) on continue signal, TeleField-tracker pattern: event log, decisions, S1/S2/S3 build boards, 100-story traceability with versioned evidence, live rollup formulas, RAID, D7 gate.</t>
  </si>
  <si>
    <t xml:space="preserve">v001 (this file)</t>
  </si>
  <si>
    <t xml:space="preserve">Tracker baseline established</t>
  </si>
  <si>
    <t xml:space="preserve">S4 on go signal</t>
  </si>
  <si>
    <t xml:space="preserve">E015</t>
  </si>
  <si>
    <t xml:space="preserve">S4</t>
  </si>
  <si>
    <t xml:space="preserve">S4 OPENED on continue signal (new day): ST-015..020 approval chains part 2 + ST-071/072 telemetry + ST-086 smoke — 9 stories, 34 pts. Postgres adapter (DQ4) in scope for this sprint.</t>
  </si>
  <si>
    <t xml:space="preserve">L-022; v010</t>
  </si>
  <si>
    <t xml:space="preserve">S4 in build</t>
  </si>
  <si>
    <t xml:space="preserve">E016</t>
  </si>
  <si>
    <t xml:space="preserve">POSTGRES LIVE ATTEMPT: apt-get postgresql in sandbox — security.ubuntu.com 404s postgresql-16 debs; apt update+install exceeded execution limit; PG_ABSENT verified. Deferral stands WITH evidence — no unexecuted adapter code shipped (honest-status rule).</t>
  </si>
  <si>
    <t xml:space="preserve">L-024; DQ4</t>
  </si>
  <si>
    <t xml:space="preserve">R-Q4 updated with attempt log</t>
  </si>
  <si>
    <t xml:space="preserve">Working mirror or container DB needed</t>
  </si>
  <si>
    <t xml:space="preserve">E017</t>
  </si>
  <si>
    <t xml:space="preserve">S4 BUILT: activation funnel service (install-&gt;setup-&gt;aha-&gt;habit@10, idempotent markers, GET /api/funnel), release-tagged error tracker (15-min window, threshold 5, once-per-episode spike -&gt; admin error_spike fan-out, GET /api/errors), approvals metrics + chain CSV import (generic/rivalcpq, %-or-fraction thresholds, NaN guard added to createChain — real bug found in review), reminder nudge route, feature-scoped pause (pricebook|approvals; pending decisions stay open), decision audit id:outcome, audit ?action= filter, card +Pending approvals +Approvals action, /ui/approvals shell, CI smoke-on-deploy job.</t>
  </si>
  <si>
    <t xml:space="preserve">ST-015..020/071/072/086; L-023; v010</t>
  </si>
  <si>
    <t xml:space="preserve">9 S4 stories Done-in-code (34 pts)</t>
  </si>
  <si>
    <t xml:space="preserve">E018</t>
  </si>
  <si>
    <t xml:space="preserve">D13 TEST GATE HELD — 150 -&gt; 173 tests / 10 suites (+s4 unit, +s4api HTTP, +smoke journey), 100% x4 on all 26 source files, EXIT=0.</t>
  </si>
  <si>
    <t xml:space="preserve">D13; L-026; test-run.log 20260911_0817</t>
  </si>
  <si>
    <t xml:space="preserve">E019</t>
  </si>
  <si>
    <t xml:space="preserve">SMOKE SUITE LIVE (ST-086): tests/smoke.test.ts covers install -&gt; defaults -&gt; quote -&gt; approval -&gt; reminder -&gt; decision -&gt; signed card -&gt; dashboards -&gt; uninstall webhook; npm run test:smoke; CI job smoke-on-deploy on main pushes.</t>
  </si>
  <si>
    <t xml:space="preserve">ST-086; .github/workflows/ci.yml</t>
  </si>
  <si>
    <t xml:space="preserve">Deploy-time regression net in place</t>
  </si>
  <si>
    <t xml:space="preserve">E020</t>
  </si>
  <si>
    <t xml:space="preserve">S4 CLOSED 9/9 (34/34 pts). Exit criterion "MVP loop usable end-to-end internally" met in-code — the smoke journey IS the MVP loop. Cumulative 30/100 stories, 123/399 pts (30.8% of points).</t>
  </si>
  <si>
    <t xml:space="preserve">L-027; rollup S4 row</t>
  </si>
  <si>
    <t xml:space="preserve">Cumulative 30/100, 123/399</t>
  </si>
  <si>
    <t xml:space="preserve">Live installs still open (R-Q5/R-Q6)</t>
  </si>
  <si>
    <t xml:space="preserve">E021</t>
  </si>
  <si>
    <t xml:space="preserve">S5</t>
  </si>
  <si>
    <t xml:space="preserve">NEXT: S5 on deck — E-signature + alpha hardening (ST-021..030 + ST-078/079, 12 stories, 50 pts, largest sprint). Await continue signal.</t>
  </si>
  <si>
    <t xml:space="preserve">L-028; v011 planned</t>
  </si>
  <si>
    <t xml:space="preserve">Tracker v003 planned</t>
  </si>
  <si>
    <t xml:space="preserve">E022</t>
  </si>
  <si>
    <t xml:space="preserve">S5 OPENED on continue signal: F3 E-signature full feature set (ST-021..030) + ST-078 first-run checklist + ST-079 empty states — 12 stories, 50 pts, the largest sprint of the plan.</t>
  </si>
  <si>
    <t xml:space="preserve">L-029; v011</t>
  </si>
  <si>
    <t xml:space="preserve">S5 in build</t>
  </si>
  <si>
    <t xml:space="preserve">E023</t>
  </si>
  <si>
    <t xml:space="preserve">S5 BUILT: signature domain + service (settings w/ validation matrix, envelopes on server-priced quotes, 1-5 signers, lazy+sticky expiry, void/remind, sha256 doc hash, metrics, generic+rivalsign CSV import), checklist service, 13 new routes incl. PUBLIC /api/esign/sign/:token (identity middleware bypassed — token IS the identity), /ui/sign shell, EMPTY_STATES teaching blocks on all five list endpoints, esign as third pausable feature, three new notification types, esign RBAC triple, card Awaiting-signature count, uuidTokenGen (crypto.randomUUID) for production tokens.</t>
  </si>
  <si>
    <t xml:space="preserve">ST-021..030/078/079; L-030; v011</t>
  </si>
  <si>
    <t xml:space="preserve">12 S5 stories Done-in-code (50 pts)</t>
  </si>
  <si>
    <t xml:space="preserve">E024</t>
  </si>
  <si>
    <t xml:space="preserve">DESIGN RULE FOUND IN BUILD (DQ8): a duplicate-signer test consumed tok-1 before the validation threw — tokens were being minted per-signer during iteration. Reordered to validate-ALL-then-mint: bad input now burns no tokens. Locked with an explicit regression test.</t>
  </si>
  <si>
    <t xml:space="preserve">DQ8; s5.test signer validation</t>
  </si>
  <si>
    <t xml:space="preserve">createEnvelope hardened</t>
  </si>
  <si>
    <t xml:space="preserve">E025</t>
  </si>
  <si>
    <t xml:space="preserve">NEVER-STRAND EXTENDED (DQ9): esign pause gates ONLY new envelope creation — already-sent links keep viewing and signing (proved over HTTP while paused). Settings snapshot onto envelopes at creation; later changes never mutate in-flight envelopes.</t>
  </si>
  <si>
    <t xml:space="preserve">DQ9; s5api pause test</t>
  </si>
  <si>
    <t xml:space="preserve">DQ6 pattern now covers 3 features</t>
  </si>
  <si>
    <t xml:space="preserve">E026</t>
  </si>
  <si>
    <t xml:space="preserve">D13 TEST GATE HELD — 173 -&gt; 199 tests / 11 suites (+s5 unit, +s5api HTTP; smoke extended with the esign leg + checklist 7/7 finale), 100% x4 on all 29 source files, EXIT=0. Gap sweep closed ragged-row CSV fallbacks, double-void, no-priceBookId create, missing-name signer, reminder=0, cross-portal store miss.</t>
  </si>
  <si>
    <t xml:space="preserve">D13; L-033; test-run.log 20260911_0852</t>
  </si>
  <si>
    <t xml:space="preserve">E027</t>
  </si>
  <si>
    <t xml:space="preserve">S5 CLOSED 12/12 (50/50 pts). Cumulative 42/100 stories, 173/399 pts (43.4%). Exit criterion "internal alpha: team dogfoods daily" met in-code (full quote-&gt;approval-&gt;e-sign loop smoke-verified every run); live daily dogfood additionally needs a deployed instance (R-Q5).</t>
  </si>
  <si>
    <t xml:space="preserve">L-034; rollup S5 row</t>
  </si>
  <si>
    <t xml:space="preserve">Cumulative 42/100, 173/399</t>
  </si>
  <si>
    <t xml:space="preserve">Deployment for live dogfood open</t>
  </si>
  <si>
    <t xml:space="preserve">E028</t>
  </si>
  <si>
    <t xml:space="preserve">S6</t>
  </si>
  <si>
    <t xml:space="preserve">NEXT: S6 on deck — Billing + Quote analytics (ST-041..050 + ST-055..057, 13 stories, 60 pts). Await continue signal.</t>
  </si>
  <si>
    <t xml:space="preserve">L-035; v012 planned</t>
  </si>
  <si>
    <t xml:space="preserve">Tracker v004 planned</t>
  </si>
  <si>
    <t xml:space="preserve">E029</t>
  </si>
  <si>
    <t xml:space="preserve">S6 OPENED on continue signal: F4 Quote analytics (ST-031..040) + E5 Billing (ST-057 trial / ST-058 proration / ST-059 provider routing) — 13 stories, 60 pts. Exit: can charge a test customer; upgrade/downgrade paths work.</t>
  </si>
  <si>
    <t xml:space="preserve">L-036; v012</t>
  </si>
  <si>
    <t xml:space="preserve">S6 in build</t>
  </si>
  <si>
    <t xml:space="preserve">E030</t>
  </si>
  <si>
    <t xml:space="preserve">S6 BUILT: analyticsService (always-on capture feeding summary/trends/export/import; alerts gated on setup; setup-independent card count), billingService (14d card-free trial seeded at install, pro $49 / scale $199, 30d-period proration with exact-cents math, ledger, provider interface + HubSpot app-monetization + Stripe clients), 11 new routes, capture hooks on all three quote-pricing paths, won/lost hooks on sign/decline, discount_alert + goal_reached admin fan-out, card +Quotes(7d) + Analytics action.</t>
  </si>
  <si>
    <t xml:space="preserve">ST-031..040/057..059; L-037; v012</t>
  </si>
  <si>
    <t xml:space="preserve">13 S6 stories Done-in-code (60 pts)</t>
  </si>
  <si>
    <t xml:space="preserve">E031</t>
  </si>
  <si>
    <t xml:space="preserve">DQ10 LOCKED (ST-038): analytics pause blocks the DASHBOARDS, never the capture — gating capture would punch holes in history, the exact data loss the story forbids. Deliberate inversion of the DQ6 write-gate pattern; proved over HTTP (quote priced while paused appears after resume). Capture is also setup-independent so history starts day one.</t>
  </si>
  <si>
    <t xml:space="preserve">DQ10; s6api pause test</t>
  </si>
  <si>
    <t xml:space="preserve">Pause taxonomy now: write-gate (pricebook/approvals/esign) vs read-gate (analytics)</t>
  </si>
  <si>
    <t xml:space="preserve">E032</t>
  </si>
  <si>
    <t xml:space="preserve">DQ11 LOCKED (ST-058/059): channel chosen at subscribe routes every charge — marketplace -&gt; HubSpot app-monetization (marketplace-mandated), direct -&gt; Stripe; plan changes reuse the channel. Provider failure = typed retryable 502 persisting NOTHING (account stays trial, ledger stays empty — verified). Proration: fixed 30d period, remaining-days fraction, exact cents asserted (day-10 pro-&gt;scale credit 3267 / charge 13267 / net 10000; day-15 downgrade net -7500 credits WITHOUT a provider call; beyond-period clamps 0/0/0).</t>
  </si>
  <si>
    <t xml:space="preserve">DQ11; s6 proration + failure tests</t>
  </si>
  <si>
    <t xml:space="preserve">Billing rails routed + failure-safe</t>
  </si>
  <si>
    <t xml:space="preserve">E033</t>
  </si>
  <si>
    <t xml:space="preserve">D13 TEST GATE HELD — 199 -&gt; 221 tests / 14 suites, 100% x4 on 31 source files, EXIT=0. Smoke now charges the test portal and upgrades mid-cycle (3-entry ledger). Gap sweep closed wired lambdas end-to-end through wire(), pre-setup 404s over HTTP, per-column ragged fallbacks, empty-discount parse.</t>
  </si>
  <si>
    <t xml:space="preserve">D13; L-040; test-run.log 20260911_1247</t>
  </si>
  <si>
    <t xml:space="preserve">E034</t>
  </si>
  <si>
    <t xml:space="preserve">S6 CLOSED 13/13 (60/60 pts). Cumulative 55/100 stories, 233/399 pts (58.4%) — past the halfway line on points. Exit criterion met in-code via smoke; LIVE charging requires provider credentials (marketplace listing approval / Stripe keys) — new RAID item R-Q10, Senthil.</t>
  </si>
  <si>
    <t xml:space="preserve">L-041; rollup S6 row</t>
  </si>
  <si>
    <t xml:space="preserve">Cumulative 55/100, 233/399</t>
  </si>
  <si>
    <t xml:space="preserve">R-Q10 opened</t>
  </si>
  <si>
    <t xml:space="preserve">E035</t>
  </si>
  <si>
    <t xml:space="preserve">S7</t>
  </si>
  <si>
    <t xml:space="preserve">NEXT: S7 on deck — Private beta / design partners (ST-073..077, 5 stories, 15 pts). Await continue signal.</t>
  </si>
  <si>
    <t xml:space="preserve">L-042; v013 planned</t>
  </si>
  <si>
    <t xml:space="preserve">Tracker v005 planned</t>
  </si>
  <si>
    <t xml:space="preserve">E036</t>
  </si>
  <si>
    <t xml:space="preserve">S7 OPENED. Scope re-read from Full_Backlog before planning: S7 is ST-060..064 (dunning, plan limits, invoices, cancellation, scope disclosure) — NOT the beta-instrumentation set forecast at S6 close. Backlog stays the single source of truth; the forecast was wrong and the backlog won. 5 stories, 15 pts.</t>
  </si>
  <si>
    <t xml:space="preserve">L-043; v013</t>
  </si>
  <si>
    <t xml:space="preserve">S7 in build</t>
  </si>
  <si>
    <t xml:space="preserve">E037</t>
  </si>
  <si>
    <t xml:space="preserve">S7 BUILT: billing dunning state machine (past_due -&gt; read_only, 7-day grace, 3-notice cap at one per day, recovery re-charge), plan quotas with 80/100% tiers wired to analytics period counts, invoice + tax-profile subsystem with plain-text receipts, cancellation flow with save-offer and fixed exit survey, and a code-enforced OAuth scope registry with a two-way audit and generated marketplace disclosure. 11 new routes; 2 new request gates on every quote-creating path.</t>
  </si>
  <si>
    <t xml:space="preserve">ST-060..064; L-044; v013</t>
  </si>
  <si>
    <t xml:space="preserve">5 S7 stories Done-in-code (15 pts)</t>
  </si>
  <si>
    <t xml:space="preserve">E038</t>
  </si>
  <si>
    <t xml:space="preserve">DQ12 LOCKED: billing read-only gates WRITES only. Dunning and cancellation refuse quote creation with 402 BILLING_READ_ONLY, but dashboards, exports, invoices and billing pages stay fully readable — a customer who stops paying must still see and export their own data, and locking reads at cancellation would be a data-portability problem as well as hostile.</t>
  </si>
  <si>
    <t xml:space="preserve">DQ12; s7api dunning + cancel tests</t>
  </si>
  <si>
    <t xml:space="preserve">Gate taxonomy: pause (feature) vs billing (write-only) vs quota (write-only)</t>
  </si>
  <si>
    <t xml:space="preserve">E039</t>
  </si>
  <si>
    <t xml:space="preserve">DQ13 LOCKED: least privilege is enforced in code. SCOPE_REGISTRY maps each requested scope to feature + stories + the call using it; auditScopes flags unjustified (over-asking) AND missing (a feature would 403 live); the marketplace disclosure string is generated from the registry so published copy cannot drift from config. A test asserts leastPrivilege against the real loadConfig output — requesting a new scope without justifying it fails the build.</t>
  </si>
  <si>
    <t xml:space="preserve">DQ13; s7 scope tests; GET /api/scopes</t>
  </si>
  <si>
    <t xml:space="preserve">S8 note: sync write scope must be registered in the same commit that requests it</t>
  </si>
  <si>
    <t xml:space="preserve">E040</t>
  </si>
  <si>
    <t xml:space="preserve">TWO DEFECTS FOUND BY TESTS, both fixed: (1) usage percentage used Math.round, so 159/200 displayed 80% and fired the upgrade warning one quote early — switched to floor so the displayed pct and the tier always agree; (2) the new billing/quota gates had been attached to a route path that does not exist (/api/quotes/request-approval), silently leaving /api/approvals/requests ungated — caught only because the test asserted 402 on EVERY quote-creating path rather than the one route in front of me.</t>
  </si>
  <si>
    <t xml:space="preserve">L-047; s7.test + s7api.test</t>
  </si>
  <si>
    <t xml:space="preserve">Both regressions locked by assertions</t>
  </si>
  <si>
    <t xml:space="preserve">E041</t>
  </si>
  <si>
    <t xml:space="preserve">D13 TEST GATE HELD — 221 -&gt; 246 tests / 16 suites, 100% x4 on 33 source files, EXIT=0. Smoke extended: invoice count after subscribe+upgrade, dunning lockout with reads surviving, recovery, post-recovery quote, scope audit clean. S7 CLOSED 5/5 (15/15 pts); cumulative 60/100 stories, 248/399 pts (62.2%).</t>
  </si>
  <si>
    <t xml:space="preserve">D13; L-047/L-048; test-run.log 20260913_1026</t>
  </si>
  <si>
    <t xml:space="preserve">Cumulative 60/100, 248/399</t>
  </si>
  <si>
    <t xml:space="preserve">Live design-partner recruitment still external (R-Q5)</t>
  </si>
  <si>
    <t xml:space="preserve">E042</t>
  </si>
  <si>
    <t xml:space="preserve">S8</t>
  </si>
  <si>
    <t xml:space="preserve">NEXT: S8 — Beta iteration + Deal/line-item sync (22 stories, 87 pts), the largest remaining sprint. Await continue signal.</t>
  </si>
  <si>
    <t xml:space="preserve">L-049; v014 planned</t>
  </si>
  <si>
    <t xml:space="preserve">Tracker v006 planned</t>
  </si>
  <si>
    <t xml:space="preserve">E043</t>
  </si>
  <si>
    <t xml:space="preserve">S8 OPENED — 22 stories / 87 pts, 45% larger than any prior sprint, spanning four epics. Planned as four tranches (F5 sync 42, E6 trust 18, E7 founder ops 16, EQ performance 11) and executed in that order.</t>
  </si>
  <si>
    <t xml:space="preserve">L-050; v014</t>
  </si>
  <si>
    <t xml:space="preserve">S8 in build</t>
  </si>
  <si>
    <t xml:space="preserve">E044</t>
  </si>
  <si>
    <t xml:space="preserve">S8 BUILT: syncService + trust + founderAnalytics (three new services, ~1,400 lines), 11 new routes, latency-sampling middleware, /ready + /internal/drain lifecycle, and a breaker-guarded DealWriter wired against the HubSpot CRM v3 API in index.ts.</t>
  </si>
  <si>
    <t xml:space="preserve">ST-041..050/065/066/067/070/073..077/087/088/092; L-051</t>
  </si>
  <si>
    <t xml:space="preserve">22 S8 stories Done-in-code (87 pts)</t>
  </si>
  <si>
    <t xml:space="preserve">E045</t>
  </si>
  <si>
    <t xml:space="preserve">SCOPE EXPANSION HANDLED PER DQ13: sync needs crm.objects.deals.write and crm.objects.line_items.write. Both were added to SCOPE_REGISTRY with feature, stories, using call and justification IN THE SAME CHANGE that added them to the config scope string. The S7 tests that pinned a 3-scope registry failed immediately on the change and were updated deliberately — exactly the drift alarm DQ13 was built to raise.</t>
  </si>
  <si>
    <t xml:space="preserve">DQ13; scopes.ts; s7/s7api assertion updates</t>
  </si>
  <si>
    <t xml:space="preserve">Registry now 5 scopes, leastPrivilege still clean</t>
  </si>
  <si>
    <t xml:space="preserve">Listing review will scrutinise the write scopes</t>
  </si>
  <si>
    <t xml:space="preserve">E046</t>
  </si>
  <si>
    <t xml:space="preserve">DQ14 LOCKED: sync correctness rests on a deterministic idempotency key (portal:deal:quoteHash). Re-pushing an unchanged quote is a no-op — the failure mode that silently corrupts a CRM is a retry after a timeout, and this closes it. Paused portals QUEUE runs and drain on resume; dropping loses work silently, writing violates the pause.</t>
  </si>
  <si>
    <t xml:space="preserve">DQ14; s8 idempotency + pause tests</t>
  </si>
  <si>
    <t xml:space="preserve">Third pause semantic: write-gate (S3/S5), read-gate (S6), queue (S8)</t>
  </si>
  <si>
    <t xml:space="preserve">E047</t>
  </si>
  <si>
    <t xml:space="preserve">DQ15 + DQ16 LOCKED. DQ15: the trust document is generated from the constants the code uses, and unmet controls publish as PARTIAL with a named owner — SEC-03 (vault) and SEC-04 (at-rest) are outstanding, and a test asserts the outstanding list is non-empty so silently claiming compliance fails the build. DQ16: backoff alone still issues a full retry series per request against a downed dependency, so a circuit breaker now fronts platform writes (5 failures -&gt; open 30s -&gt; half-open single trial).</t>
  </si>
  <si>
    <t xml:space="preserve">DQ15/DQ16; trust.ts; s8 tests</t>
  </si>
  <si>
    <t xml:space="preserve">Trust page is honest by construction</t>
  </si>
  <si>
    <t xml:space="preserve">R-Q11 opened for vault/at-rest</t>
  </si>
  <si>
    <t xml:space="preserve">E048</t>
  </si>
  <si>
    <t xml:space="preserve">TWO DEFECTS FOUND BY TESTS, both fixed: (1) a retried run left the prior run still queued/failed, so a drained queue never emptied and the same run would re-drain on every resume — retry now marks the prior run superseded; (2) the health band checked score&gt;=70 before the configured churn floor, making any churnRiskScore above 70 a silent no-op — the configured floor now wins, because raising it is a deliberate decision to treat more accounts as at risk.</t>
  </si>
  <si>
    <t xml:space="preserve">L-055; s8.test</t>
  </si>
  <si>
    <t xml:space="preserve">Both locked by assertions</t>
  </si>
  <si>
    <t xml:space="preserve">E049</t>
  </si>
  <si>
    <t xml:space="preserve">D13 TEST GATE HELD — 246 -&gt; 289 tests / 18 suites, 100% x4 on 38 source files, EXIT=0. ST-088 load test drives 250 mixed requests through the real stack: all 200s, every p95 budget held, 50 deals synced exactly once with zero duplicate writes. S8 CLOSED 22/22 (87/87 pts); cumulative 82/100 stories, 335/399 pts (84.0%).</t>
  </si>
  <si>
    <t xml:space="preserve">D13; L-055/L-056; test-run.log 20260913_1038</t>
  </si>
  <si>
    <t xml:space="preserve">Cumulative 82/100, 335/399</t>
  </si>
  <si>
    <t xml:space="preserve">E050</t>
  </si>
  <si>
    <t xml:space="preserve">S9</t>
  </si>
  <si>
    <t xml:space="preserve">NEXT: S9 — Marketplace review prep (7 stories, 30 pts). Await continue signal.</t>
  </si>
  <si>
    <t xml:space="preserve">L-057; v015 planned</t>
  </si>
  <si>
    <t xml:space="preserve">Tracker v007 planned</t>
  </si>
  <si>
    <t xml:space="preserve">E051</t>
  </si>
  <si>
    <t xml:space="preserve">S9 OPENED — Marketplace review prep (ST-068/069/089/090/091/093/094, 7 stories, 30 pts). Two stories were identified at planning as not completable from code alone: ST-068 needs a commissioned external pen test and ST-094 needs a live install to capture assets. Both were planned to produce everything that CAN be produced now, and flagged rather than quietly marked done.</t>
  </si>
  <si>
    <t xml:space="preserve">L-058; v015</t>
  </si>
  <si>
    <t xml:space="preserve">S9 in build</t>
  </si>
  <si>
    <t xml:space="preserve">ST-068 / ST-094 external deps known up front</t>
  </si>
  <si>
    <t xml:space="preserve">E052</t>
  </si>
  <si>
    <t xml:space="preserve">S9 BUILT: privacy service (export bundle + manifest, two-step deletion, backup/restore/drill), 8 portal-source adapters, review service (WCAG AA checker + accessible shell renderer + security evidence pack), 9 new routes, all five UI shells regenerated through the accessible renderer, plus listing copy variants and the asset brief.</t>
  </si>
  <si>
    <t xml:space="preserve">L-059; v015</t>
  </si>
  <si>
    <t xml:space="preserve">5 Done + 2 Partial</t>
  </si>
  <si>
    <t xml:space="preserve">E053</t>
  </si>
  <si>
    <t xml:space="preserve">DQ17 LOCKED: deletion is two-step and token-confirmed (15-minute window, cancellable, owner-only) and returns a receipt of the counts destroyed; export is available to any admin so a customer can always take their data before deciding. A single unguarded wipe endpoint is an outage waiting to happen, and review flags irreversible actions without confirmation.</t>
  </si>
  <si>
    <t xml:space="preserve">DQ17; s9/s9api deletion tests</t>
  </si>
  <si>
    <t xml:space="preserve">Data rights are self-serve and reversible up to the confirm</t>
  </si>
  <si>
    <t xml:space="preserve">E054</t>
  </si>
  <si>
    <t xml:space="preserve">DQ18 LOCKED: review evidence is generated and asserted, never narrated. The a11y checker runs over the HTML the app actually serves and is itself tested against deliberately broken HTML per rule class; the security pack states no external pen test has been commissioned; the restore drill reports non-restorable sources as SKIPPED. Overclaiming in any of the three would require deleting a test.</t>
  </si>
  <si>
    <t xml:space="preserve">DQ18; auditHtml, securityEvidence, drill</t>
  </si>
  <si>
    <t xml:space="preserve">Third generated-evidence mechanism after DQ13 (scopes) and DQ15 (trust)</t>
  </si>
  <si>
    <t xml:space="preserve">E055</t>
  </si>
  <si>
    <t xml:space="preserve">DEFECT FOUND BY SMOKE (L-062): BackupService.drill purged EVERY source before restoring, but only sources with a restore path came back — so a drill on a live portal permanently destroyed the price-book catalog. The smoke checklist falling from 7/7 to 5/7 exposed it; no unit test would have, because each unit passed in isolation. Fixed to purge only restorable sources, with a regression test asserting the catalog survives a drill intact.</t>
  </si>
  <si>
    <t xml:space="preserve">L-062; src/services/privacy.ts</t>
  </si>
  <si>
    <t xml:space="preserve">The backup feature was itself a data-loss bug for one release-candidate hour</t>
  </si>
  <si>
    <t xml:space="preserve">E056</t>
  </si>
  <si>
    <t xml:space="preserve">ST-068 PARTIAL and honestly marked: the evidence pack documents 10 abuse cases with mitigations — 8 proven by automated tests here, 1 needing a scheduled manual owner, 1 (infrastructure-level) needing an external tester. QuoteFlow has not commissioned an external penetration test, and securityEvidence().statement says exactly that. R-Q12 opened.</t>
  </si>
  <si>
    <t xml:space="preserve">ST-068; R-Q12; GET /api/review/security</t>
  </si>
  <si>
    <t xml:space="preserve">Story marked Partial, not Done</t>
  </si>
  <si>
    <t xml:space="preserve">External pen test outstanding</t>
  </si>
  <si>
    <t xml:space="preserve">E057</t>
  </si>
  <si>
    <t xml:space="preserve">D13 TEST GATE HELD — 289 -&gt; 316 tests / 20 suites, 100% x4 on 42 source files, EXIT=0. ST-091 chaos asserts six degradation properties under a simulated platform outage. S9 CLOSED: 5 Done (17 pts) + 2 Partial (13 pts executed, externally blocked). Cumulative strictly-Done 87/100 stories, 352/399 pts (88.2%).</t>
  </si>
  <si>
    <t xml:space="preserve">D13; L-063/L-064; test-run.log 20260913_1056</t>
  </si>
  <si>
    <t xml:space="preserve">Cumulative 87/100, 352/399 strict</t>
  </si>
  <si>
    <t xml:space="preserve">ST-094 capture blocked on R-Q5</t>
  </si>
  <si>
    <t xml:space="preserve">E058</t>
  </si>
  <si>
    <t xml:space="preserve">S10</t>
  </si>
  <si>
    <t xml:space="preserve">NEXT: S10 — Review remediation + docs (7 stories, 24 pts): help center with 15 articles, in-app chat, demo/sandbox mode, status page, pricing page, security/trust page, submission dry-run. Await continue signal.</t>
  </si>
  <si>
    <t xml:space="preserve">v016 planned</t>
  </si>
  <si>
    <t xml:space="preserve">Tracker v008 planned</t>
  </si>
  <si>
    <t xml:space="preserve">E059</t>
  </si>
  <si>
    <t xml:space="preserve">S10 OPENED — Review remediation + docs (ST-080/081/083/084/095/096/097, 7 stories, 24 pts). Unlike prior sprints this is mostly new public-facing surface: documentation, support, status, pricing, trust and the submission dry-run.</t>
  </si>
  <si>
    <t xml:space="preserve">L-065; v016</t>
  </si>
  <si>
    <t xml:space="preserve">S10 in build</t>
  </si>
  <si>
    <t xml:space="preserve">E060</t>
  </si>
  <si>
    <t xml:space="preserve">S10 BUILT: help centre (15 articles + ranked search), support service with business-hours SLA maths, public surfaces module (status + incident templates, generated pricing and trust pages, demo seed, submission dry-run), 16 new routes. The /api identity middleware now bypasses /api/help/* and /api/public/* alongside the signer surface — a reviewer or prospective customer must be able to read docs, status, pricing and trust before installing anything.</t>
  </si>
  <si>
    <t xml:space="preserve">L-066; v016</t>
  </si>
  <si>
    <t xml:space="preserve">7 S10 stories Done-in-code (24 pts)</t>
  </si>
  <si>
    <t xml:space="preserve">E061</t>
  </si>
  <si>
    <t xml:space="preserve">DQ19 LOCKED: the pricing page, its FAQ and the trust page are GENERATED from the constants the product runs on. A published price that disagrees with what the billing code charges is a promise the product breaks, and a hand-maintained page drifts on the first pricing change. Tests assert each published value equals its source constant, so changing a price without updating the page is impossible.</t>
  </si>
  <si>
    <t xml:space="preserve">DQ19; s10 pricing/trust tests</t>
  </si>
  <si>
    <t xml:space="preserve">Fourth generated-evidence mechanism (DQ13 scopes, DQ15 trust, DQ18 review, DQ19 pages)</t>
  </si>
  <si>
    <t xml:space="preserve">E062</t>
  </si>
  <si>
    <t xml:space="preserve">DQ20 LOCKED: the support SLA is measured in BUSINESS hours (09:00-17:00 UTC, Mon-Fri). A naive elapsed-hours timer would mark a Friday-evening message breached by Saturday lunchtime and make the team look non-compliant against a promise nobody made. Equally, conversations still unanswered past their due time count as breaches in the compliance figure — a breach cannot be hidden by never replying.</t>
  </si>
  <si>
    <t xml:space="preserve">DQ20; businessMsBetween/addBusinessMs tests</t>
  </si>
  <si>
    <t xml:space="preserve">Weekend message answered Monday 10:00 = 1 business hour</t>
  </si>
  <si>
    <t xml:space="preserve">E063</t>
  </si>
  <si>
    <t xml:space="preserve">DQ21 LOCKED: the submission dry-run acts as the second reviewer by reading live system state — the scope audit result, the accessibility check result, the real article count — not a hand-kept checklist. Items that need a human are reported as MANUAL and listed as blockers, never counted as passes. Current position: 12 pass, 0 fail, 2 manual (R-Q12 external pen test, R-Q5 asset capture).</t>
  </si>
  <si>
    <t xml:space="preserve">DQ21; GET /api/review/submission</t>
  </si>
  <si>
    <t xml:space="preserve">readyToSubmit true with both manual items visible</t>
  </si>
  <si>
    <t xml:space="preserve">Two manual items remain</t>
  </si>
  <si>
    <t xml:space="preserve">E064</t>
  </si>
  <si>
    <t xml:space="preserve">TWO CORRECTIONS DURING BUILD: (1) my own test arithmetic for the SLA was wrong — Monday 16:00 plus 4 business hours is Tuesday 12:00, not 11:00; the implementation was correct and the test was fixed, which is the right way round; (2) coverage found dead code left in the submission route (a conditional spread that always produced an empty object) and it was deleted. Writing the demo-seed error-path test also surfaced that seeding twice would double every dashboard number, so a second seed is now refused.</t>
  </si>
  <si>
    <t xml:space="preserve">L-070; s10.test; src/app.ts</t>
  </si>
  <si>
    <t xml:space="preserve">Dead code removed; double-seed protection added</t>
  </si>
  <si>
    <t xml:space="preserve">E065</t>
  </si>
  <si>
    <t xml:space="preserve">D13 TEST GATE HELD — 316 -&gt; 352 tests / 22 suites, 100% x4 on 46 source files, EXIT=0. S10 CLOSED 7/7 (24/24 pts). Cumulative strictly-Done 94/100 stories, 376/399 pts (94.2%). Remaining: S11 launch (3 stories / 8 pts), S12 post-launch (1 story / 2 pts), plus the two S9 partials pending R-Q12 and R-Q5.</t>
  </si>
  <si>
    <t xml:space="preserve">D13; L-070/L-071; test-run.log 20260913_1111</t>
  </si>
  <si>
    <t xml:space="preserve">Cumulative 94/100, 376/399</t>
  </si>
  <si>
    <t xml:space="preserve">E066</t>
  </si>
  <si>
    <t xml:space="preserve">S11</t>
  </si>
  <si>
    <t xml:space="preserve">S11 OPENED — Launch (ST-082 in-app review ask, ST-098 launch-day runbook, ST-100 design-partner reviews), 3 stories, 8 pts.</t>
  </si>
  <si>
    <t xml:space="preserve">L-072; v017</t>
  </si>
  <si>
    <t xml:space="preserve">S11 in build</t>
  </si>
  <si>
    <t xml:space="preserve">E067</t>
  </si>
  <si>
    <t xml:space="preserve">S11 BUILT: reviewAsk service (decision engine + state), launch service (preflight, rollback procedure, comms tree, partner pipeline, outreach sequence), 7 routes, docs/launch-runbook.md.</t>
  </si>
  <si>
    <t xml:space="preserve">L-073; v017</t>
  </si>
  <si>
    <t xml:space="preserve">3 S11 stories Done-in-code (8 pts)</t>
  </si>
  <si>
    <t xml:space="preserve">E068</t>
  </si>
  <si>
    <t xml:space="preserve">DQ22 LOCKED: the review ask only fires when the portal is demonstrably happy (aha reached, 5+ quotes in 30 days, no unresolved error, no open support conversation, billing healthy), with a lifetime cap of 2 asks 90 days apart, a 30-day snooze and a PERMANENT decline. Explicitly NOT implemented: sentiment gating or routing unhappy users away from the listing — that is review-gating and breaches marketplace rules. The prompt instead invites unhappy users to reply with what is missing.</t>
  </si>
  <si>
    <t xml:space="preserve">DQ22; s11 review tests</t>
  </si>
  <si>
    <t xml:space="preserve">A prompt at the wrong moment costs more than the rating is worth</t>
  </si>
  <si>
    <t xml:space="preserve">E069</t>
  </si>
  <si>
    <t xml:space="preserve">DQ23 LOCKED: the runbook is executable. Preflight actually runs a restore drill rather than trusting a checkbox; every rollback step carries a verification, because a step you cannot verify is a wish; the order stops traffic before redeploying and checks data integrity afterwards; the comms tree names audience, owner and deadline per trigger, and data-integrity comms are never templated. The markdown runbook and GET /api/ops/runbook serve the same constants so they cannot drift apart.</t>
  </si>
  <si>
    <t xml:space="preserve">DQ23; rollback/comms tests; docs/launch-runbook.md</t>
  </si>
  <si>
    <t xml:space="preserve">77-minute rollback budget asserted</t>
  </si>
  <si>
    <t xml:space="preserve">E070</t>
  </si>
  <si>
    <t xml:space="preserve">DQ24 LOCKED: the partner pipeline counts SCHEDULED reviews, not intentions. A test asserts that ten identified names count as zero and ten contacted names still count as zero — only a booked call or beyond counts toward the target of ten, and a decline drops out. The story asked for reviews scheduled, and that is what the number means.</t>
  </si>
  <si>
    <t xml:space="preserve">DQ24; pipeline honesty test</t>
  </si>
  <si>
    <t xml:space="preserve">Ten names in a spreadsheet is not ten scheduled reviews</t>
  </si>
  <si>
    <t xml:space="preserve">E071</t>
  </si>
  <si>
    <t xml:space="preserve">D13 TEST GATE HELD — 352 -&gt; 381 tests / 24 suites, 100% x4 on 48 source files, EXIT=0. S11 CLOSED 3/3 (8/8 pts); cumulative strictly-Done 97/100 stories, 384/399 pts (96.2%). HONEST STATUS: the launch preflight returns NO_GO in this environment because billing runs against provider stubs (PRE-07 / R-Q10). The smoke test asserts the no_go rather than passing a flag to make it green — the flag exists only so the go path is also covered.</t>
  </si>
  <si>
    <t xml:space="preserve">D13; L-077; test-run.log 20260913_1125</t>
  </si>
  <si>
    <t xml:space="preserve">Cumulative 97/100, 384/399</t>
  </si>
  <si>
    <t xml:space="preserve">Launch blocked on R-Q10 billing credentials</t>
  </si>
  <si>
    <t xml:space="preserve">E072</t>
  </si>
  <si>
    <t xml:space="preserve">S12</t>
  </si>
  <si>
    <t xml:space="preserve">S12 OPENED — the final sprint: ST-099 post-launch listing SEO iteration 1 from search-term data (1 story, 2 pts).</t>
  </si>
  <si>
    <t xml:space="preserve">L-078; v018</t>
  </si>
  <si>
    <t xml:space="preserve">S12 in build</t>
  </si>
  <si>
    <t xml:space="preserve">E073</t>
  </si>
  <si>
    <t xml:space="preserve">S12 BUILT: listingSeo service (validated CSV import, five-verdict term classification, ranked recommendations with evidence, supported/forbidden vocabulary guards, length-capped copy proposals), 2 routes, docs/listing-seo-iteration-1.md.</t>
  </si>
  <si>
    <t xml:space="preserve">L-079; v018</t>
  </si>
  <si>
    <t xml:space="preserve">1 S12 story Done-in-code (2 pts)</t>
  </si>
  <si>
    <t xml:space="preserve">E074</t>
  </si>
  <si>
    <t xml:space="preserve">DQ25 LOCKED: an SEO recommendation may never propose a claim the product does not support. High-demand unsupported terms (contract lifecycle management, ERP, invoicing automation) are recorded as PRODUCT DEMAND and explicitly excluded from listing copy. Ranking for something the product does not do converts once, churns, and is a false claim in a marketplace listing.</t>
  </si>
  <si>
    <t xml:space="preserve">DQ25; isSupportedTerm + unsupported-demand tests</t>
  </si>
  <si>
    <t xml:space="preserve">Sixth generated/guarded-claim mechanism</t>
  </si>
  <si>
    <t xml:space="preserve">E075</t>
  </si>
  <si>
    <t xml:space="preserve">DEFECT FOUND IN BUILD: vocabulary matching used substring includes(), so the forbidden claim "erp" matched inside "enterprise" and rejected a legitimate search term. The same flaw in the other direction would have let "sign" match inside "design" and produce a false claim. Replaced with word-boundary phrase matching, with tests locking BOTH directions. Separately, the CSV importer treated an empty cell as zero because Number("") is 0; an empty cell is now rejected as missing data.</t>
  </si>
  <si>
    <t xml:space="preserve">L-081; src/services/listingSeo.ts</t>
  </si>
  <si>
    <t xml:space="preserve">E076</t>
  </si>
  <si>
    <t xml:space="preserve">D13 TEST GATE HELD — 381 -&gt; 397 tests / 26 suites, 100% x4 on 49 source files, EXIT=0. S12 CLOSED 1/1 (2/2 pts).</t>
  </si>
  <si>
    <t xml:space="preserve">D13; L-082; test-run.log 20260913_1134</t>
  </si>
  <si>
    <t xml:space="preserve">Final suite green</t>
  </si>
  <si>
    <t xml:space="preserve">E077</t>
  </si>
  <si>
    <t xml:space="preserve">PROGRAMME CLOSED. 12 sprints executed from S1 (foundation) to S12 (post-launch SEO). 98/100 stories Done with automated evidence; 2 Partial (ST-068 external pen test, ST-094 asset capture) left Partial rather than rounded up to Done. 386/399 points. 25 design decisions logged with the test that locks each. Eleven defects caught by tests, two of which would have destroyed customer data. Six external items remain and none are code — the launch blocker is R-Q10 (billing credentials), after which GET /api/ops/launch-preflight goes green. Full close-out, including what is NOT done and the recommended order of next steps, is on the Programme_Closeout sheet of product workbook v018.</t>
  </si>
  <si>
    <t xml:space="preserve">L-083; v018 Programme_Closeout</t>
  </si>
  <si>
    <t xml:space="preserve">Handover complete</t>
  </si>
  <si>
    <t xml:space="preserve">Six external items open, all owned by Senthil</t>
  </si>
  <si>
    <t xml:space="preserve">E078</t>
  </si>
  <si>
    <t xml:space="preserve">REVIEW</t>
  </si>
  <si>
    <t xml:space="preserve">COLD REVIEW OPENED. The 12-sprint plan was exhausted; rather than invent a sprint, the portfolio protocol applied — QuoteFlow had never had an adversarial review, and every sibling's first review found serious defects in code already at 100% coverage.</t>
  </si>
  <si>
    <t xml:space="preserve">L-084; v019</t>
  </si>
  <si>
    <t xml:space="preserve">Pass 1 in progress</t>
  </si>
  <si>
    <t xml:space="preserve">E079</t>
  </si>
  <si>
    <t xml:space="preserve">FOUR CRITICAL DEFECTS. F-Q01: delete-my-data purged 8 of 11 sources — notifications, support conversations and review state survived a deletion the endpoint described as permanent, and were missing from export and backup so the restore drill stayed green while losing them. F-Q02: no runnable entrypoint existed — start() was never called and there was no npm start, so the rollback runbook step "redeploy and curl /health" could not have been executed. F-Q03: identity was two unsigned headers, so anyone reaching the API could claim owner of any portal. F-Q04: trial_expired reported readOnly:false, making the 14-day trial decorative.</t>
  </si>
  <si>
    <t xml:space="preserve">Review_Findings F-Q01..F-Q04</t>
  </si>
  <si>
    <t xml:space="preserve">All fixed with regressions</t>
  </si>
  <si>
    <t xml:space="preserve">E080</t>
  </si>
  <si>
    <t xml:space="preserve">FOUR FURTHER DEFECTS. F-Q05 OAuth callback accepted any state (CSRF) — now signed over a nonce with a 10-minute TTL. F-Q06 six async handlers had no try/catch and Express 4 drops rejected promises, hanging the request with no status — a class that hides from a green suite because the test times out rather than fails. F-Q07 the SEO corpus was process-wide, so one tenant's import replaced every other tenant's report. F-Q08 audit, analytics and sync ledgers were unbounded.</t>
  </si>
  <si>
    <t xml:space="preserve">Review_Findings F-Q05..F-Q08</t>
  </si>
  <si>
    <t xml:space="preserve">E081</t>
  </si>
  <si>
    <t xml:space="preserve">TWO SIBLING CLASSES CHECKED AND VERIFIED ABSENT: the CSV importer is a proper quote-aware state machine (not the naive split that bit OnCall/EngageOS/MeetSync), and realSleep is genuinely wired into PlatformClient in production (not the no-op backoff that bit VoiceBridge). Recorded so a later pass does not re-litigate them.</t>
  </si>
  <si>
    <t xml:space="preserve">Review_Findings verified-absent table</t>
  </si>
  <si>
    <t xml:space="preserve">No action</t>
  </si>
  <si>
    <t xml:space="preserve">E082</t>
  </si>
  <si>
    <t xml:space="preserve">PASS 1 CLOSED. 397 -&gt; 410 tests / 27 suites, 100% x4, EXIT=0, dist/server.js build-verified. Story position deliberately unchanged (98 Done / 2 Partial) — this changed correctness, not scope. L-Q1 logged: twelve sprints closed green at 100% coverage and the first review still found a product that could not boot and a deletion endpoint that lied to the customer. NEXT: pass 2 over untouched modules, and an artifact-gap audit — the published 400-day retention policy and the backup drill still sit on in-memory stores with no DB schema behind them (R-Q4).</t>
  </si>
  <si>
    <t xml:space="preserve">L-086/L-087; test-run.log 20260913_1151</t>
  </si>
  <si>
    <t xml:space="preserve">Cumulative unchanged 98/100</t>
  </si>
  <si>
    <t xml:space="preserve">R-Q4 now reads as an artifact gap, not just a deferral</t>
  </si>
  <si>
    <t xml:space="preserve">E083</t>
  </si>
  <si>
    <t xml:space="preserve">PASS 2 OPENED with a different question from pass 1: not "what defect class might be in this code" but "does every published claim have code behind it, and does every referenced artifact exist". Four of the six findings came straight out of that reframing.</t>
  </si>
  <si>
    <t xml:space="preserve">L-088; v020</t>
  </si>
  <si>
    <t xml:space="preserve">Pass 2 in progress</t>
  </si>
  <si>
    <t xml:space="preserve">E084</t>
  </si>
  <si>
    <t xml:space="preserve">F-Q09 CRITICAL — the trust page published a retention schedule (analytics 400 days, sync 180, audit 400, billing 2555) and nothing anywhere enforced it. The only deletion path was uninstall, so a live portal accumulated records forever while GET /api/public/trust told customers and reviewers they aged out. Fixed with a sweep that reads each store's OWN published window, plus a drift gate so the policy and the sweepers cannot diverge.</t>
  </si>
  <si>
    <t xml:space="preserve">F-Q09; review2 + review1 HTTP test</t>
  </si>
  <si>
    <t xml:space="preserve">Published policy is now a shipped feature</t>
  </si>
  <si>
    <t xml:space="preserve">E085</t>
  </si>
  <si>
    <t xml:space="preserve">THREE MORE CLAIMS WITH NOTHING BEHIND THEM. F-Q10: SEC-05 said token-shaped values are redacted before logging; redactSecrets had zero call sites — a control that existed as a tested function and a sentence. F-Q11: ST-070 said "backoff + circuit breaker on platform APIs"; the breaker fronted only deal writes, so every read hammered a dependency already known down. F-Q12: the runbook's rollback step 4 pointed at a blue/green deploy workflow nobody had written.</t>
  </si>
  <si>
    <t xml:space="preserve">F-Q10/F-Q11/F-Q12</t>
  </si>
  <si>
    <t xml:space="preserve">All three now real</t>
  </si>
  <si>
    <t xml:space="preserve">E086</t>
  </si>
  <si>
    <t xml:space="preserve">F-Q13 — no database schema existed behind the retention policy, the backup drill or the encryption-at-rest claim: every store was in-memory, so the drill round-tripped process memory. R-Q4 had been logged as "Postgres deferred" when it was really an artifact gap. Four ordered migrations added (one table per data-flow node, ON DELETE CASCADE from portals so F-Q01 deletion is real at the schema level, the indexes the retention sweep needs, and a unique idempotency index for sync). F-Q14 also fixed: signature verification rejected stale timestamps but not future ones, leaving far-future-signed requests replayable forever.</t>
  </si>
  <si>
    <t xml:space="preserve">F-Q13/F-Q14; migrations/001-004</t>
  </si>
  <si>
    <t xml:space="preserve">Schema exists; adapter still pending (R-Q4 code half)</t>
  </si>
  <si>
    <t xml:space="preserve">R-Q4 reclassified from deferral to gap</t>
  </si>
  <si>
    <t xml:space="preserve">E087</t>
  </si>
  <si>
    <t xml:space="preserve">PASS 2 CLOSED. 410 -&gt; 424 tests / 28 suites, 100% x4, EXIT=0. DQ26 locked: every fix ships with a DRIFT GATE, not only a regression — the sweepers must match the published retention policy and the migrations must match the published store list, or the build fails. L-Q2 logged: the generated-evidence mechanisms built in S7-S12 worked for the claims they covered, but nothing covered claims made in prose inside DATA_FLOW, SECURITY_CONTROLS and the story text, which is exactly where all four hollow claims lived.</t>
  </si>
  <si>
    <t xml:space="preserve">L-090/L-091; test-run.log 20260913_1203</t>
  </si>
  <si>
    <t xml:space="preserve">Pass 3 + Postgres adapter next</t>
  </si>
  <si>
    <t xml:space="preserve">E088</t>
  </si>
  <si>
    <t xml:space="preserve">PASS 3 OPENED over the modules passes 1 and 2 never touched: help centre, support, public pages, founder ops, launch. Same question as pass 2, applied to surfaces rather than claims.</t>
  </si>
  <si>
    <t xml:space="preserve">L-092; v021</t>
  </si>
  <si>
    <t xml:space="preserve">Pass 3 in progress</t>
  </si>
  <si>
    <t xml:space="preserve">E089</t>
  </si>
  <si>
    <t xml:space="preserve">F-Q15 and F-Q16 - two surfaces that read as live and were wired to literals. The public status page took breakerOpen:false and recentSyncFailures:0 as constants, so during a real HubSpot outage it would have shown deal sync "operational" while every push failed; its own component copy describes a breaker-open state that was unreachable. Launch preflight hardcoded readinessOk:true, so PRE-03 could not fail even while the app was draining. Both now read real signals.</t>
  </si>
  <si>
    <t xml:space="preserve">F-Q15/F-Q16; review2 pass-3 block</t>
  </si>
  <si>
    <t xml:space="preserve">Status page and preflight are honest</t>
  </si>
  <si>
    <t xml:space="preserve">E090</t>
  </si>
  <si>
    <t xml:space="preserve">F-Q17 CRITICAL - nine vendor-only surfaces sat behind ordinary tenant RBAC: the usage heatmap aggregating EVERY portal, the process-wide latency report, founder alert thresholds, launch preflight, the runbook (which states the drain token equals the app client secret), and the design-partner pipeline holding prospect names and contact emails. Any portal owner could read other tenants aggregates and the vendor sales pipeline. Now gated on a timing-safe operator token on top of tenant identity, failing CLOSED when unset.</t>
  </si>
  <si>
    <t xml:space="preserve">F-Q17; requireVendor; review2 tenancy tests</t>
  </si>
  <si>
    <t xml:space="preserve">Vendor and tenant planes separated</t>
  </si>
  <si>
    <t xml:space="preserve">Operator token must be set in deployment config</t>
  </si>
  <si>
    <t xml:space="preserve">E091</t>
  </si>
  <si>
    <t xml:space="preserve">PASS 3 CLOSED. 424 -&gt; 428 tests / 28 suites, 100% x4, EXIT=0. DQ27 locked. L-Q3 logged: across passes 2 and 3 the same shape appeared seven times - a surface or document that reads as live and authoritative while wired to a literal, a claim with no call path, or an artifact nobody wrote. Coverage cannot catch any of it because the constant executes. NEXT: the Postgres adapter behind the pass-2 migrations (R-Q4 code half).</t>
  </si>
  <si>
    <t xml:space="preserve">L-093/L-094; test-run.log 20260913_1625</t>
  </si>
  <si>
    <t xml:space="preserve">R-Q4 code half outstanding</t>
  </si>
  <si>
    <t xml:space="preserve">-</t>
  </si>
  <si>
    <t xml:space="preserve">E092</t>
  </si>
  <si>
    <t xml:space="preserve">R-Q4</t>
  </si>
  <si>
    <t xml:space="preserve">POSTGRES ADAPTERS BUILT for the three retention-critical stores (audit, analytics, sync) against the pass-2 tables, implementing the existing interfaces so no call site changes. This closes the code half of R-Q4: pass 2 delivered the schema, and until now nothing connected to it.</t>
  </si>
  <si>
    <t xml:space="preserve">L-095; v022</t>
  </si>
  <si>
    <t xml:space="preserve">Adapters exist</t>
  </si>
  <si>
    <t xml:space="preserve">E093</t>
  </si>
  <si>
    <t xml:space="preserve">PROVED BY EXECUTION. A single store-contract specification now runs twice: against the in-memory stores and against the adapters executing REAL SQL on a REAL Postgres engine (pg-mem, in process) with the REAL migration files applied. Two durability tests drop every in-process cache the way a restart would and assert both that records return and that a purge deleted ROWS rather than cache - F-Q01 promised the customer deletion is permanent, and that promise has to hold at the database. The pass-2 retention sweep is part of the shared contract, so the policy now holds on durable storage too.</t>
  </si>
  <si>
    <t xml:space="preserve">L-096; tests/storeContract.test.ts</t>
  </si>
  <si>
    <t xml:space="preserve">439 tests / 29 suites 100% x4</t>
  </si>
  <si>
    <t xml:space="preserve">E094</t>
  </si>
  <si>
    <t xml:space="preserve">CONSTRAINT STATED UP FRONT, NOT DISCOVERED LATER: the store interfaces are synchronous because ~40 call sites read them inside request handlers written against a synchronous contract, so each adapter uses a write-through cache and only one process may write - a second would not see another writes until hydrate(). R-Q13 opened for the async interface migration, which is a larger change than a review pass should make. Six stores remain in memory; their tables exist and the contract suite is the pattern for adapting them.</t>
  </si>
  <si>
    <t xml:space="preserve">L-097; R-Q13</t>
  </si>
  <si>
    <t xml:space="preserve">Honest scope boundary</t>
  </si>
  <si>
    <t xml:space="preserve">R-Q13 open; live Postgres run still pending an instance</t>
  </si>
  <si>
    <t xml:space="preserve">E095</t>
  </si>
  <si>
    <t xml:space="preserve">REMAINING SIX STORES ADAPTED: catalog, signatures, billing, notifications, support and review state. All nine stores now have a Postgres implementation, each behind the existing synchronous interface so no call site changed.</t>
  </si>
  <si>
    <t xml:space="preserve">L-098; v023</t>
  </si>
  <si>
    <t xml:space="preserve">Nine of nine adapted</t>
  </si>
  <si>
    <t xml:space="preserve">E096</t>
  </si>
  <si>
    <t xml:space="preserve">F-Q18 FOUND WHILE WRITING PgCatalogStore: the catalog holds six kinds of record and only three had tables. Bundles and pricing rules would have been silently dropped by a Postgres-backed catalog - quotes would simply have priced differently after the migration, with no error anywhere. Pause flags had nowhere to persist, so a feature an admin deliberately paused would have re-enabled itself on the next restart. Migration 005 adds all three; the durability test asserts a paused feature stays paused across a reload. The pass-2 drift gate had asserted "every published store has a table" and the catalog passed on three of its six record types - the gate checked STORE granularity when the risk lives at FIELD granularity.</t>
  </si>
  <si>
    <t xml:space="preserve">F-Q18; migrations/005</t>
  </si>
  <si>
    <t xml:space="preserve">Fixed and covered</t>
  </si>
  <si>
    <t xml:space="preserve">Drift gates need field-level assertions</t>
  </si>
  <si>
    <t xml:space="preserve">E097</t>
  </si>
  <si>
    <t xml:space="preserve">SECOND CONTRACT SUITE: the six stores run against in-memory and against real SQL on a real engine with all five migrations - restart survival, purge-deletes-rows, optional fields both absent and present, untouched portals reading clean, and JSONB decoding from both object and text drivers. 439 -&gt; 457 tests / 30 suites, 100% x4, EXIT=0. Still open: R-Q13 (async interfaces / single writer), a live Postgres instance, and wiring the adapters into index.ts behind a DATABASE_URL switch.</t>
  </si>
  <si>
    <t xml:space="preserve">L-100; test-run.log 20260913_1641</t>
  </si>
  <si>
    <t xml:space="preserve">457 tests / 30 suites</t>
  </si>
  <si>
    <t xml:space="preserve">R-Q13; adapters not yet wired into boot</t>
  </si>
  <si>
    <t xml:space="preserve">E098</t>
  </si>
  <si>
    <t xml:space="preserve">CALL-PATH GAP CLOSED. The schema and all nine adapters existed while index.ts still always built in-memory stores - the adapters had no caller, which is precisely the shape of F-Q10 (a control nothing invoked) and F-Q02 (a server nobody started). buildStores() now chooses from DATABASE_URL and wire() returns the chosen backend so a deploy can assert it rather than hope; server.ts applies all five migrations in order before listening.</t>
  </si>
  <si>
    <t xml:space="preserve">L-101; v024</t>
  </si>
  <si>
    <t xml:space="preserve">Adapters reachable at boot</t>
  </si>
  <si>
    <t xml:space="preserve">E099</t>
  </si>
  <si>
    <t xml:space="preserve">PROVED BY DRIVING THE REAL APP. tests/pgBoot.test.ts runs a full quoting journey over HTTP against Postgres-backed stores and then checks the ROWS (price_books, price_book_items, quote_events, audit_log, portal_settings), boots a SECOND process against the same database and asserts price books, users and a paused feature all survive - the F-Q18 pause-flag defect now has an application-level regression. Hydration is proved to happen once per portal by counting SELECTs, and a hydration failure to return 500 rather than hang, applying F-Q06 discipline to the newly async identity middleware.</t>
  </si>
  <si>
    <t xml:space="preserve">L-102; tests/pgBoot.test.ts</t>
  </si>
  <si>
    <t xml:space="preserve">465 tests / 31 suites 100% x4</t>
  </si>
  <si>
    <t xml:space="preserve">E100</t>
  </si>
  <si>
    <t xml:space="preserve">GAP NAMED AT THE SEAM: approvals is still in-memory. Its tables exist from migration 002 but no adapter writes them, so approval requests do not survive a restart. buildStores() says so in a comment at the point of choice and a test asserts the class, so it cannot quietly start looking persistent - the opposite of how F-Q01 and F-Q18 were found. Remaining: PgApprovalStore, R-Q13 async interfaces (single writer today), and a live Postgres run.</t>
  </si>
  <si>
    <t xml:space="preserve">L-103; R-Q13</t>
  </si>
  <si>
    <t xml:space="preserve">Honest boundary</t>
  </si>
  <si>
    <t xml:space="preserve">Approvals not durable; R-Q13 open</t>
  </si>
  <si>
    <t xml:space="preserve">E101</t>
  </si>
  <si>
    <t xml:space="preserve">R-Q14</t>
  </si>
  <si>
    <t xml:space="preserve">PgApprovalStore written - the last store to reach Postgres. Chains and requests persist, and a decision is saved by UPDATE on conflict so approving amends the request rather than inserting a duplicate. This one mattered more than most: an approval decision is the evidence a discount was authorised and the audit trail points at it, so losing it would have left audit entries referring to records that no longer exist.</t>
  </si>
  <si>
    <t xml:space="preserve">L-104; v025</t>
  </si>
  <si>
    <t xml:space="preserve">Every store durable</t>
  </si>
  <si>
    <t xml:space="preserve">E102</t>
  </si>
  <si>
    <t xml:space="preserve">PROVED TWICE. The contract suite now covers chains and requests against both backends (round-trip, update-not-duplicate, purge, portal scoping, restart survival). pgBoot drives a real over-threshold quote through the approval flow over HTTP - the discount coming from a pricing rule, the way the product actually produces one - approves it, then boots a SECOND process against the same database and asserts the status, approver and comment all survive. The boot test also asserts the class is PgApprovalStore, so the gap cannot silently reopen. R-Q14 closed; R-Q13 and a live Postgres run remain.</t>
  </si>
  <si>
    <t xml:space="preserve">L-105/L-106; test-run.log 20260913_1723</t>
  </si>
  <si>
    <t xml:space="preserve">466 tests / 31 suites 100% x4</t>
  </si>
  <si>
    <t xml:space="preserve">R-Q13 open</t>
  </si>
  <si>
    <t xml:space="preserve">E103</t>
  </si>
  <si>
    <t xml:space="preserve">R-Q13</t>
  </si>
  <si>
    <t xml:space="preserve">JUDGEMENT RECORDED: the full async store migration touches roughly 40 call sites across services and routes. Attempting it in one pass would most likely have left the repo half-migrated with a red suite, which is worse than not starting. Instead the DANGEROUS half of R-Q13 was closed: breaking the single-writer rule used to fail silently - a second instance serving stale reads from its own cache and overwriting the first, with no error and no log.</t>
  </si>
  <si>
    <t xml:space="preserve">DQ31; L-107</t>
  </si>
  <si>
    <t xml:space="preserve">Scope judgement</t>
  </si>
  <si>
    <t xml:space="preserve">Async migration still open</t>
  </si>
  <si>
    <t xml:space="preserve">E104</t>
  </si>
  <si>
    <t xml:space="preserve">WRITER LEASE SHIPPED. Migration 006 adds writer_lease; an instance must hold it to write and one that cannot prints a message naming the current holder and R-Q13, then exits. A heartbeat renews it every 10s; a lease expires after 30s so a crashed holder is taken over rather than blocking the service; an instance that loses the lease learns it from its own heartbeat and exits rather than writing on. Six tests cover refusal, self-reacquire, expiry takeover, renewal, loss detection and release. 472 tests / 32 suites, 100% x4.</t>
  </si>
  <si>
    <t xml:space="preserve">L-108; tests/writerLease.test.ts</t>
  </si>
  <si>
    <t xml:space="preserve">Silent divergence impossible</t>
  </si>
  <si>
    <t xml:space="preserve">R-Q13 async migration still open</t>
  </si>
  <si>
    <t xml:space="preserve">E105</t>
  </si>
  <si>
    <t xml:space="preserve">PHASE 1 - THE CASCADE. Every store migration was blocked on one thing: privacy export, the backup drill and the retention sweep all read stores synchronously, so no store could go async until they did. That change is now made once: PortalDataSource, PrivacyService, BackupService and RetentionService are async, along with the six routes that call them, each wrapped in the F-Q06 guard so a rejection returns a status rather than hanging the request.</t>
  </si>
  <si>
    <t xml:space="preserve">L-109; v027</t>
  </si>
  <si>
    <t xml:space="preserve">Cascade resolved</t>
  </si>
  <si>
    <t xml:space="preserve">E106</t>
  </si>
  <si>
    <t xml:space="preserve">NOTHING MOVED, WHICH IS THE POINT. The new signatures accept a value or a promise, so the synchronous stores are untouched and the suite stayed at 472 tests / 32 suites, 100% x4, EXIT=0. Phase 2 - converting the stores and dropping their write-through caches, which is what finally permits more than one writer and makes the lease advisory rather than load-bearing - is now LOCAL work per store rather than a repo-wide change. Staged deliberately: a green checkpoint is worth more than a large half-finished change.</t>
  </si>
  <si>
    <t xml:space="preserve">L-110/L-111; test-run.log 20260913_1848</t>
  </si>
  <si>
    <t xml:space="preserve">472 tests unchanged</t>
  </si>
  <si>
    <t xml:space="preserve">Phase 2 open; live Postgres run open</t>
  </si>
  <si>
    <t xml:space="preserve">E107</t>
  </si>
  <si>
    <t xml:space="preserve">PHASE 2 STORE 1 OF 9. Review state chosen first because it was the smallest complete vertical slice - three source call sites - so the pattern is established at the lowest risk. ReviewStore is async and PgReviewStore no longer keeps a write-through cache: reads go to Postgres.</t>
  </si>
  <si>
    <t xml:space="preserve">L-112; v028</t>
  </si>
  <si>
    <t xml:space="preserve">Pattern established</t>
  </si>
  <si>
    <t xml:space="preserve">E108</t>
  </si>
  <si>
    <t xml:space="preserve">CROSS-INSTANCE PROOF. Two app instances against one database, both already running, no restart and no re-hydration: instance one records a review outcome and instance two reads it immediately. That is precisely the constraint the writer lease exists to guard, and for this store it is now gone.</t>
  </si>
  <si>
    <t xml:space="preserve">L-113; tests/pgBoot.test.ts</t>
  </si>
  <si>
    <t xml:space="preserve">473 tests / 32 suites 100% x4</t>
  </si>
  <si>
    <t xml:space="preserve">E109</t>
  </si>
  <si>
    <t xml:space="preserve">SELF-INFLICTED REGRESSION, CAUGHT BY THE GATE. portalSources had stores.reviews.get(portalId) ?? null. Once get() returned a promise the coalesce applied to the promise - never null - so an absent review state would export as undefined, and JSON.stringify drops undefined keys: it would have vanished from export bundles and backups. That is the F-Q01 failure mode reintroduced by my own change, and only the 100% branch gate surfaced it. DQ33 logged: when a store read becomes async, re-check every ?? and ?. applied to it.</t>
  </si>
  <si>
    <t xml:space="preserve">L-114; DQ33</t>
  </si>
  <si>
    <t xml:space="preserve">Fixed</t>
  </si>
  <si>
    <t xml:space="preserve">Applies to the remaining eight stores</t>
  </si>
  <si>
    <t xml:space="preserve">E110</t>
  </si>
  <si>
    <t xml:space="preserve">PHASE 2 STORE 2 OF 9 - support conversations. Chosen second because the store is read only by SupportService and the export source, so the ripple stayed contained: seven service methods, six routes and one export source. PgSupportStore now queries Postgres on every read instead of serving a cache.</t>
  </si>
  <si>
    <t xml:space="preserve">L-115; v029</t>
  </si>
  <si>
    <t xml:space="preserve">Two of nine cache-free</t>
  </si>
  <si>
    <t xml:space="preserve">E111</t>
  </si>
  <si>
    <t xml:space="preserve">DQ33 APPLIED DELIBERATELY. Every ?? and ?. touching a support read was re-checked as it became async - that is the exact mistake which, in store 1, would have dropped review state from export bundles and backups. The suite stayed at 473 tests / 32 suites, 100% x4: a conversion that changes no behaviour should move no numbers, and that is the check. Seven stores remain; the writer lease stays load-bearing until all nine are done.</t>
  </si>
  <si>
    <t xml:space="preserve">L-116; DQ33; test-run.log 20260913_1933</t>
  </si>
  <si>
    <t xml:space="preserve">473 tests unchanged</t>
  </si>
  <si>
    <t xml:space="preserve">Seven stores remain; live Postgres run open</t>
  </si>
  <si>
    <t xml:space="preserve">E112</t>
  </si>
  <si>
    <t xml:space="preserve">CORRECTION. At v029 I claimed each remaining store was now local work. Measuring rather than repeating it showed that is true for reviews and support only: signatures drags analytics with it through the shared stale-quote provider, catalog reads getRole inside the identity middleware on every authenticated request, billing owns two request gates, audit has 53 call sites behind one helper, notifications ~20 fan-out sites. Phase 1 removed the plumbing cascade, not the service-level ones.</t>
  </si>
  <si>
    <t xml:space="preserve">L-117; docs/async-migration-plan.md</t>
  </si>
  <si>
    <t xml:space="preserve">Claim corrected</t>
  </si>
  <si>
    <t xml:space="preserve">Seven stores are larger than stated at v029</t>
  </si>
  <si>
    <t xml:space="preserve">E113</t>
  </si>
  <si>
    <t xml:space="preserve">PLAN PUBLISHED AND GATED. Order by risk: approvals, sync, audit, signatures+analytics together, notifications, billing, catalog last - with a session shape so every boundary ends green and the work can stop safely. A test asserts the plan against the code: stores marked done must be async, a store listed as pending must still be synchronous. A plan nobody checks becomes aspirational, which is the same failure class as the hollow published claims found in review pass 2. The writer lease stays load-bearing until all nine are converted.</t>
  </si>
  <si>
    <t xml:space="preserve">L-118/L-119; DQ34</t>
  </si>
  <si>
    <t xml:space="preserve">474 tests / 32 suites 100% x4</t>
  </si>
  <si>
    <t xml:space="preserve">Multi-instance unavailable until catalog is done</t>
  </si>
  <si>
    <t xml:space="preserve">E114</t>
  </si>
  <si>
    <t xml:space="preserve">PHASE 2 STORE 3 OF 9 - approvals. Store, service and Pg adapter converted, the adapter now reading Postgres directly instead of a cache. The plan called this one self-contained; it nearly was, but the CRM card and the first-run checklist both read chains, so both became async too. The plan has been corrected rather than left flattering.</t>
  </si>
  <si>
    <t xml:space="preserve">L-120; v031</t>
  </si>
  <si>
    <t xml:space="preserve">Three of nine cache-free</t>
  </si>
  <si>
    <t xml:space="preserve">E115</t>
  </si>
  <si>
    <t xml:space="preserve">TWO DEFECTS FROM THE MECHANICAL PASS, BOTH UN-AWAITED PROMISES. createChain inside the CSV chain importer lost its await, so the duplicate-name error escaped its try/catch and a duplicate chain imported silently; a portal-source restore?.() became a promise nobody awaited. The importer bug surfaced only because that test asserts imported:1 / skipped:1 rather than merely that the request succeeded - a status-only assertion would have passed. Worth carrying into the remaining six stores: in this migration the defects come from the mechanical part, not the design.</t>
  </si>
  <si>
    <t xml:space="preserve">L-121; DQ33</t>
  </si>
  <si>
    <t xml:space="preserve">474 tests unchanged</t>
  </si>
  <si>
    <t xml:space="preserve">Six stores remain; lease still load-bearing</t>
  </si>
  <si>
    <t xml:space="preserve">E116</t>
  </si>
  <si>
    <t xml:space="preserve">PHASE 2 STORE 4 OF 9 - sync. Runs now read straight from Postgres, including countFailuresSince which feeds the public status page, so one instance sees another instance failures immediately - the F-Q15 status page becomes genuinely fleet-wide rather than per-process. Settings stay in memory on the adapter by deliberate choice: small, read per request, and a query per read would cost more than the risk is worth; recorded in the migration plan rather than left as an undocumented inconsistency. Suite held at 474 tests, which is the expected result for a behaviour-preserving conversion.</t>
  </si>
  <si>
    <t xml:space="preserve">L-123/L-124; v032</t>
  </si>
  <si>
    <t xml:space="preserve">Five stores remain; lease still load-bearing</t>
  </si>
  <si>
    <t xml:space="preserve">E117</t>
  </si>
  <si>
    <t xml:space="preserve">PHASE 2 STORE 5 OF 9 - audit, and a deliberate departure from my own plan. The plan proposed fire-and-forget writes to avoid touching 53 call sites: void the promise, catch the error, leave the handlers alone. I did not take it. Awaiting every record() converted 23 sync handlers to guarded async - materially more churn - but a failed audit write now surfaces instead of being swallowed. The whole value of the trail is that an admin can trust it when two people are working at once, and one that silently drops entries is worse than one that errors. DQ35 locked and the plan corrected rather than left standing.</t>
  </si>
  <si>
    <t xml:space="preserve">L-125/L-126; DQ35; v033</t>
  </si>
  <si>
    <t xml:space="preserve">Four stores remain; lease still load-bearing</t>
  </si>
  <si>
    <t xml:space="preserve">E118</t>
  </si>
  <si>
    <t xml:space="preserve">STORE 6+7 ATTEMPT ABANDONED. The source conversion succeeded and tsc was clean on src/ - the plan was right that signatures and analytics are coupled by the stale-quote provider and must move together. The test surface defeated it: roughly 200 assertion sites, 107 in s5 and 87 in s6 alone. A repo-wide regex intended to wrap awaited property access also matched await request(app).get(...) and broke supertest chains in 16 files; successive repairs of await expect(X).rejects ping-ponged between two wrong forms. The suite bottomed out at 15 failed / 17 passed and I stopped rather than push on with little headroom.</t>
  </si>
  <si>
    <t xml:space="preserve">L-127; v034</t>
  </si>
  <si>
    <t xml:space="preserve">No stores lost</t>
  </si>
  <si>
    <t xml:space="preserve">Stores 6-9 still pending</t>
  </si>
  <si>
    <t xml:space="preserve">E119</t>
  </si>
  <si>
    <t xml:space="preserve">TREE RESTORED AND RE-VERIFIED at 474 tests / 32 suites / 100% x4 from quoteflow_asyncphase2e_codebase_20260913_2026.zip. This is DQ32 working as designed: staging the migration so every checkpoint is green meant a failed attempt could be discarded whole without losing the five converted stores. DQ36 locked - convert src/ to a clean tsc first, then fix ONE SUITE AT A TIME compiling after each, never a pattern across all of tests/, biggest suite first, and treat overrun as the signal to keep the checkpoint rather than hurry. Also recorded: stores 1-5 worked with pattern passes because their test surfaces were small, which was luck rather than method - do not infer method from the easy cases.</t>
  </si>
  <si>
    <t xml:space="preserve">L-128; DQ36</t>
  </si>
  <si>
    <t xml:space="preserve">474 tests green</t>
  </si>
  <si>
    <t xml:space="preserve">Retry 6+7 in a fresh session</t>
  </si>
  <si>
    <t xml:space="preserve">DECISIONS (tracker scope)</t>
  </si>
  <si>
    <t xml:space="preserve">Portfolio decisions keep their D-numbers; QuoteFlow-local decisions are DQ-numbered. Product-workbook tracker refs in Rationale.</t>
  </si>
  <si>
    <t xml:space="preserve">Decision</t>
  </si>
  <si>
    <t xml:space="preserve">Rationale</t>
  </si>
  <si>
    <t xml:space="preserve">Decided by</t>
  </si>
  <si>
    <t xml:space="preserve">D13</t>
  </si>
  <si>
    <t xml:space="preserve">(Portfolio-wide) Discovery interviews parked; development proceeds with 100% automation test coverage on ALL code — hard jest threshold, build fails below 100x4.</t>
  </si>
  <si>
    <t xml:space="preserve">Senthil 10 Sep 20:45; applied to QuoteFlow at 22:03 (L-001); ST-085 amended in backlog</t>
  </si>
  <si>
    <t xml:space="preserve">Senthil</t>
  </si>
  <si>
    <t xml:space="preserve">LOCKED</t>
  </si>
  <si>
    <t xml:space="preserve">DQ1</t>
  </si>
  <si>
    <t xml:space="preserve">S1+ stack = TypeScript/Node 22/Express 4/Jest per v006 ReadMe stack assumption; strict tsc.</t>
  </si>
  <si>
    <t xml:space="preserve">Follows workbook stack line; consistent with the rest of the portfolio builds</t>
  </si>
  <si>
    <t xml:space="preserve">Claude — flagged for ratification</t>
  </si>
  <si>
    <t xml:space="preserve">OPEN</t>
  </si>
  <si>
    <t xml:space="preserve">DQ2</t>
  </si>
  <si>
    <t xml:space="preserve">/api identity is header-based (X-QF-Portal-Id/X-QF-User-Id, first-user-owner bootstrap); the HubSpot-SIGNED surface is GET /crm-card (v3 HMAC). Extending signed identity to /api rides with the S4+ UI-extension work.</t>
  </si>
  <si>
    <t xml:space="preserve">L-011 (S2) partially resolved by ST-005 in S3 — card surface signed; API headers remain until UI extension auth lands</t>
  </si>
  <si>
    <t xml:space="preserve">Claude — flagged</t>
  </si>
  <si>
    <t xml:space="preserve">DQ3</t>
  </si>
  <si>
    <t xml:space="preserve">Approval requests snapshot chain steps at creation; decisions read the snapshot. Trigger thresholds are strict (&gt;): a 15% discount does not trip the 15% default chain.</t>
  </si>
  <si>
    <t xml:space="preserve">L-017 — in-flight requests immune to chain edits/deletes; removes unreachable error branch; boundary documented in tests</t>
  </si>
  <si>
    <t xml:space="preserve">Claude</t>
  </si>
  <si>
    <t xml:space="preserve">DQ4</t>
  </si>
  <si>
    <t xml:space="preserve">Postgres adapter deferred to S4; in-memory stores behind CatalogStore/AuditStore/NotificationStore/ApprovalStore + Purgeable interfaces remain the tested reference.</t>
  </si>
  <si>
    <t xml:space="preserve">L-018 — no live Postgres in build env; an unexecuted adapter would violate the honest-status rule. UPDATE 11 Sep 08:17 (L-024): live install attempted — apt mirror 404s + sandbox timeout, PG_ABSENT verified; deferral stands with evidence.</t>
  </si>
  <si>
    <t xml:space="preserve">DQ5</t>
  </si>
  <si>
    <t xml:space="preserve">Email transport is an injected EmailSender with a no-op production default until a provider (Postmark-class) is wired with GTM plumbing; notification code paths (sent/failed/retry) fully tested against a mutable fake.</t>
  </si>
  <si>
    <t xml:space="preserve">Email delivery is a provider integration (noop sender in dev); notification records + retry endpoint are real. UPDATE 11 Sep 08:52: signer link delivery for e-sign envelopes rides the same provider decision — the API returns signerLinks so the UI can share links meanwhile.</t>
  </si>
  <si>
    <t xml:space="preserve">DQ6</t>
  </si>
  <si>
    <t xml:space="preserve">Feature-scoped pause (ST-018): pausing approvals blocks NEW requests only; decisions on already-pending requests remain allowed so in-flight approvals never strand. Global pause blocks both features.</t>
  </si>
  <si>
    <t xml:space="preserve">S4 build (E017); prevents stuck approvals during maintenance windows; tested both directions</t>
  </si>
  <si>
    <t xml:space="preserve">DQ7</t>
  </si>
  <si>
    <t xml:space="preserve">Error-spike semantics (ST-072): threshold 5 server errors in a rolling 15-min window; one error_spike notification per episode to every admin/owner; episode resets when the window rolls clean.</t>
  </si>
  <si>
    <t xml:space="preserve">S4 build (E017); avoids alert storms while guaranteeing a signal; constants exported for tuning</t>
  </si>
  <si>
    <t xml:space="preserve">DQ8</t>
  </si>
  <si>
    <t xml:space="preserve">Public signer surface: the token IS the identity — /api identity middleware is bypassed for /api/esign/sign/*; signer actions audited as signer:&lt;email&gt;. Tokens are minted only after ALL signers validate (no token burn on invalid input; found and fixed in build). Production tokens are crypto.randomUUID via injected generator.</t>
  </si>
  <si>
    <t xml:space="preserve">S5 build (E024); guessable or burned tokens would break the feature; regression-tested</t>
  </si>
  <si>
    <t xml:space="preserve">DQ9</t>
  </si>
  <si>
    <t xml:space="preserve">Esign pause blocks NEW envelopes only — sent links keep signing (DQ6 never-strand, now covering pricebook/approvals/esign). Envelope behaviour snapshots settings at creation; later settings changes never mutate in-flight envelopes.</t>
  </si>
  <si>
    <t xml:space="preserve">S5 build (E025); protects external signers mid-flow; tested over HTTP while paused</t>
  </si>
  <si>
    <t xml:space="preserve">DQ10</t>
  </si>
  <si>
    <t xml:space="preserve">Analytics pause blocks dashboards (summary/trends/export 409) but NEVER event capture — capture gating would create history gaps, i.e. data loss (ST-038 forbids). Capture is setup-independent: events record before defaults; alerts only fire once settings exist. Deliberate inversion of the DQ6 write-gate.</t>
  </si>
  <si>
    <t xml:space="preserve">S6 build (E031); proved over HTTP: paused-time quote visible after resume</t>
  </si>
  <si>
    <t xml:space="preserve">DQ11</t>
  </si>
  <si>
    <t xml:space="preserve">Billing channel fixed per portal at subscribe: marketplace -&gt; HubSpot app-monetization API (mandated for marketplace installs), direct -&gt; Stripe. Changes reuse the channel. Provider failure = BILLING_PROVIDER_UNAVAILABLE 502 retryable, persisting nothing. Proration on a fixed 30-day period; net&lt;=0 ledger-credits without a provider call; elapsed clamps at period end.</t>
  </si>
  <si>
    <t xml:space="preserve">S6 build (E032); exact-cents proration + failure-persistence tests</t>
  </si>
  <si>
    <t xml:space="preserve">DQ12</t>
  </si>
  <si>
    <t xml:space="preserve">Billing read-only (dunning lapse or cancellation) gates WRITES only: quote creation, approval requests and envelopes return 402 BILLING_READ_ONLY, while dashboards, exports, invoices and billing routes stay readable. Quota exhaustion behaves the same way.</t>
  </si>
  <si>
    <t xml:space="preserve">S7 build (E038); non-payment must not strand a customer from their own data, and cancellation read-lock would break data portability</t>
  </si>
  <si>
    <t xml:space="preserve">DQ13</t>
  </si>
  <si>
    <t xml:space="preserve">Requested OAuth scopes are validated in code: SCOPE_REGISTRY (scope -&gt; feature, stories, using call, why), auditScopes failing on unjustified AND missing scopes, disclosure text generated from the registry. A test asserts leastPrivilege against the real config.</t>
  </si>
  <si>
    <t xml:space="preserve">S7 build (E039); listing review demands justification and prose drifts from config</t>
  </si>
  <si>
    <t xml:space="preserve">DQ14</t>
  </si>
  <si>
    <t xml:space="preserve">Deal sync is idempotent on a deterministic portal:deal:quoteHash key — an unchanged quote re-pushed is a no-op; a changed quote or different deal writes. Paused portals queue runs (status queued) and drain on resume; a retry marks the prior run superseded so the queue empties.</t>
  </si>
  <si>
    <t xml:space="preserve">S8 build (E046); a retry after timeout double-writing CRM line items is the failure mode that silently corrupts a customer CRM</t>
  </si>
  <si>
    <t xml:space="preserve">DQ15</t>
  </si>
  <si>
    <t xml:space="preserve">The trust page (data-flow map, retention schedule, security controls) is generated from the same constants the code uses, and unmet controls publish as partial/not_met with a named owner. A test asserts the outstanding list is non-empty.</t>
  </si>
  <si>
    <t xml:space="preserve">S8 build (E047); a hand-written compliance doc drifts from the system it describes and invites overclaiming</t>
  </si>
  <si>
    <t xml:space="preserve">DQ16</t>
  </si>
  <si>
    <t xml:space="preserve">A circuit breaker fronts platform writes: 5 consecutive failures open it for a 30s cooldown, then one half-open trial call closes it or re-opens for another full cooldown. Exponential backoff (S2) is retained beneath it.</t>
  </si>
  <si>
    <t xml:space="preserve">S8 build (E047); backoff alone still issues a full retry series per request against a downed dependency</t>
  </si>
  <si>
    <t xml:space="preserve">DQ17</t>
  </si>
  <si>
    <t xml:space="preserve">Portal deletion is two-step: POST /api/privacy/delete mints a 15-minute confirmation token (cancellable, owner-only), and POST /api/privacy/delete/confirm purges every source and returns a receipt of the record counts destroyed. Export is available to any admin at any time.</t>
  </si>
  <si>
    <t xml:space="preserve">S9 build (E053); irreversible one-call wipes are both an outage risk and a review finding</t>
  </si>
  <si>
    <t xml:space="preserve">DQ18</t>
  </si>
  <si>
    <t xml:space="preserve">Review evidence (accessibility, security posture, restore fidelity) is generated from code and asserted by tests rather than written as prose. The a11y checker is tested against broken HTML per rule; the security pack disclaims the uncommissioned pen test; the drill reports skipped sources.</t>
  </si>
  <si>
    <t xml:space="preserve">S9 build (E054); a compliance claim that no test enforces decays silently</t>
  </si>
  <si>
    <t xml:space="preserve">DQ19</t>
  </si>
  <si>
    <t xml:space="preserve">The pricing page, pricing FAQ and trust page are generated from the constants the product runs on (PLANS, TRIAL_DAYS, PERIOD_DAYS, GRACE_DAYS, DATA_FLOW, SCOPE_REGISTRY, SECURITY_CONTROLS). Tests assert published values equal their source constants.</t>
  </si>
  <si>
    <t xml:space="preserve">S10 build (E061); a published price that disagrees with what billing charges is a broken promise, and hand-maintained pages drift</t>
  </si>
  <si>
    <t xml:space="preserve">DQ20</t>
  </si>
  <si>
    <t xml:space="preserve">Support first-response SLA is measured in business hours (09:00-17:00 UTC, Mon-Fri). Unanswered conversations past their due time count as breaches in the compliance figure.</t>
  </si>
  <si>
    <t xml:space="preserve">S10 build (E062); elapsed-hours timers create false breaches over weekends, and excluding unanswered tickets would let a breach hide</t>
  </si>
  <si>
    <t xml:space="preserve">DQ21</t>
  </si>
  <si>
    <t xml:space="preserve">The submission dry-run reads live system state and classifies items as pass / fail / manual. Manual items appear in the blockers list and are never counted as passes.</t>
  </si>
  <si>
    <t xml:space="preserve">S10 build (E063); a self-assessment that grades its own unknowns as passes is worthless to a reviewer</t>
  </si>
  <si>
    <t xml:space="preserve">DQ22</t>
  </si>
  <si>
    <t xml:space="preserve">The in-app review ask fires only after the aha moment with 5+ quotes in 30 days and no unresolved error, open support conversation or billing problem. Max 2 asks per lifetime, 90 days apart; snooze 30 days; decline permanent with no re-prompt. No sentiment gating and no diverting unhappy users away from the listing.</t>
  </si>
  <si>
    <t xml:space="preserve">S11 build (E068); a prompt at the wrong moment costs more than the rating, and review-gating breaches marketplace rules</t>
  </si>
  <si>
    <t xml:space="preserve">DQ23</t>
  </si>
  <si>
    <t xml:space="preserve">The launch runbook is executable: preflight runs a real restore drill, every rollback step has a verification, traffic stops before redeploy and integrity is checked after, and the comms tree names audience/owner/deadline. Data-integrity comms are never templated. Markdown and API serve the same constants.</t>
  </si>
  <si>
    <t xml:space="preserve">S11 build (E069); a runbook nobody can execute under pressure is decoration</t>
  </si>
  <si>
    <t xml:space="preserve">DQ24</t>
  </si>
  <si>
    <t xml:space="preserve">The design-partner pipeline counts only partners at call_scheduled or beyond toward the target of ten; identified and contacted count as zero, declined drops out.</t>
  </si>
  <si>
    <t xml:space="preserve">S11 build (E070); the story asked for reviews SCHEDULED, and a pipeline that counts intentions misreports readiness</t>
  </si>
  <si>
    <t xml:space="preserve">DQ25</t>
  </si>
  <si>
    <t xml:space="preserve">Listing SEO recommendations are constrained by a supported vocabulary and a forbidden-claims list, matched on word boundaries. Unsupported high-demand terms are recorded as product demand and never enter listing copy. Proposed copy is length-capped with a baseline fallback.</t>
  </si>
  <si>
    <t xml:space="preserve">S12 build (E074); ranking for something the product does not do converts once and churns, and is a false claim in a marketplace listing</t>
  </si>
  <si>
    <t xml:space="preserve">DQ26</t>
  </si>
  <si>
    <t xml:space="preserve">Every fix arising from a review ships with a drift gate as well as a regression test: the retention sweepers are asserted to match the published policy exactly, and the migrations are asserted to cover every published store. A regression proves today behaves; a drift gate stops tomorrow silently diverging.</t>
  </si>
  <si>
    <t xml:space="preserve">Pass 2 (E087); four of six findings were published claims that had drifted from — or never had — code</t>
  </si>
  <si>
    <t xml:space="preserve">DQ27</t>
  </si>
  <si>
    <t xml:space="preserve">Vendor-only surfaces (cross-tenant aggregates, process-wide latency, founder thresholds, launch preflight, runbook, partner pipeline) require a timing-safe operator token in addition to tenant identity, and fail closed when no token is configured.</t>
  </si>
  <si>
    <t xml:space="preserve">Pass 3 (E090); tenant RBAC is the wrong plane for vendor data - any portal owner could otherwise read other tenants aggregates and the sales pipeline</t>
  </si>
  <si>
    <t xml:space="preserve">DQ28</t>
  </si>
  <si>
    <t xml:space="preserve">A persistence adapter is only accepted when a single store-contract suite passes against both the in-memory implementation and the adapter running real SQL against a real engine with the real migrations, including durability tests that drop all caches.</t>
  </si>
  <si>
    <t xml:space="preserve">R-Q4 (E093); an adapter tested against a mock proves the mock, and the whole point of the schema was that memory was not durable</t>
  </si>
  <si>
    <t xml:space="preserve">DQ29</t>
  </si>
  <si>
    <t xml:space="preserve">A store adapter is only accepted when the contract suite round-trips every record type the interface exposes, asserted field by field including optional fields in both their present and absent forms. Checking that a store "has a table" is not enough.</t>
  </si>
  <si>
    <t xml:space="preserve">F-Q18 (E096); the catalog satisfied a store-level drift gate while three of its six record types had nowhere to persist</t>
  </si>
  <si>
    <t xml:space="preserve">DQ30</t>
  </si>
  <si>
    <t xml:space="preserve">A persistence backend must be selectable at boot from configuration, must report which backend it chose, and is only accepted once the real application has been driven end to end against it - including a second process started on the same database.</t>
  </si>
  <si>
    <t xml:space="preserve">Boot wiring (E098/E099); adapters that nothing constructs are indistinguishable from adapters that do not exist</t>
  </si>
  <si>
    <t xml:space="preserve">DQ31</t>
  </si>
  <si>
    <t xml:space="preserve">Where a known constraint cannot be removed yet, enforce it so that breaking it fails loudly rather than silently. The single-writer rule is enforced by a lease: a second instance is refused at startup, and an instance that loses the lease exits.</t>
  </si>
  <si>
    <t xml:space="preserve">R-Q13 (E103); a silent correctness failure is the worst kind, and converting it into a startup failure is the right trade while the real fix is pending</t>
  </si>
  <si>
    <t xml:space="preserve">DQ32</t>
  </si>
  <si>
    <t xml:space="preserve">A large migration is staged so that every checkpoint is green and shippable. Phase 1 changes only the layer that blocks everything else, with signatures accepting a value or a promise so existing implementations are untouched.</t>
  </si>
  <si>
    <t xml:space="preserve">R-Q13 phase 1 (E106); a half-migrated repo is worse than an unmigrated one, and a green checkpoint can be shipped or abandoned safely</t>
  </si>
  <si>
    <t xml:space="preserve">DQ33</t>
  </si>
  <si>
    <t xml:space="preserve">When a store read becomes async, every ?? and ?. applied to that read must be re-checked: the operators begin acting on a Promise, which is never null or undefined, so the fallback silently stops firing.</t>
  </si>
  <si>
    <t xml:space="preserve">Phase 2 store 1 (E109); this exact mistake would have dropped review state from export bundles and backups</t>
  </si>
  <si>
    <t xml:space="preserve">DQ34</t>
  </si>
  <si>
    <t xml:space="preserve">A plan that outlives a session is asserted against the code by a test, so it cannot drift into aspiration. Estimates of remaining work are measured from call sites, not asserted from memory.</t>
  </si>
  <si>
    <t xml:space="preserve">R-Q13 phase 2 (E112/E113); an unchecked plan is the same failure class as the hollow published claims found in review pass 2</t>
  </si>
  <si>
    <t xml:space="preserve">DQ35</t>
  </si>
  <si>
    <t xml:space="preserve">Audit writes are awaited, never fire-and-forget. Voiding the promise would have avoided 23 handler conversions, but it hides a failed write; an audit trail that silently drops entries is worse than one that errors.</t>
  </si>
  <si>
    <t xml:space="preserve">Phase 2 store 5 (E117); the trail exists to be trusted under concurrent use</t>
  </si>
  <si>
    <t xml:space="preserve">DQ36</t>
  </si>
  <si>
    <t xml:space="preserve">In a store-by-store async migration: convert src/ to a clean tsc first, then fix test suites one at a time, compiling after each. Never run a text pattern across all of tests/. Do the biggest suite first, and treat overrun as the signal to keep the green checkpoint rather than to hurry.</t>
  </si>
  <si>
    <t xml:space="preserve">Abandoned store 6+7 attempt (E118); repo-wide regex broke 16 files of supertest chains and cost the whole attempt</t>
  </si>
  <si>
    <t xml:space="preserve">S1 BUILD BOARD — Foundation — exit: app installs cleanly in dev store/org; telemetry firing</t>
  </si>
  <si>
    <t xml:space="preserve">Backlog stories ST-051/052/055/056 (13 pts) + foundation infrastructure. Evidence version: product workbook v007 (22:03), codebase zip quoteflow_s1_foundation_20260910_2203.zip.</t>
  </si>
  <si>
    <t xml:space="preserve">Item</t>
  </si>
  <si>
    <t xml:space="preserve">Story ref</t>
  </si>
  <si>
    <t xml:space="preserve">Points</t>
  </si>
  <si>
    <t xml:space="preserve">Owner</t>
  </si>
  <si>
    <t xml:space="preserve">Notes / Evidence</t>
  </si>
  <si>
    <t xml:space="preserve">S1-01</t>
  </si>
  <si>
    <t xml:space="preserve">Repo scaffold + strict tsc + jest with 100% coverage gate (D13)</t>
  </si>
  <si>
    <t xml:space="preserve">Done</t>
  </si>
  <si>
    <t xml:space="preserve">jest.config.js coverageThreshold {stmts,branch,funcs,lines}=100; E001/E003.</t>
  </si>
  <si>
    <t xml:space="preserve">S1-02</t>
  </si>
  <si>
    <t xml:space="preserve">Env config with secrets validation</t>
  </si>
  <si>
    <t xml:space="preserve">src/config.ts — 6 tests; missing-var failures explicit.</t>
  </si>
  <si>
    <t xml:space="preserve">S1-03</t>
  </si>
  <si>
    <t xml:space="preserve">Token store + deletion queue (adapter seam for Postgres)</t>
  </si>
  <si>
    <t xml:space="preserve">src/store/tokenStore.ts, src/store/deletionQueue.ts; DQ4 constraint logged as R-Q4.</t>
  </si>
  <si>
    <t xml:space="preserve">S1-04</t>
  </si>
  <si>
    <t xml:space="preserve">OAuth install flow -&gt; welcome state</t>
  </si>
  <si>
    <t xml:space="preserve">ST-051</t>
  </si>
  <si>
    <t xml:space="preserve">DONE-IN-CODE 22:03 — src/services/oauth.ts buildAuthorizeUrl/completeInstall, GET /install + /oauth/callback; state carries source+ts. v007.</t>
  </si>
  <si>
    <t xml:space="preserve">S1-05</t>
  </si>
  <si>
    <t xml:space="preserve">Uninstall webhook: HMAC verify, token wipe, retention-scheduled deletion</t>
  </si>
  <si>
    <t xml:space="preserve">ST-052</t>
  </si>
  <si>
    <t xml:space="preserve">DONE-IN-CODE 22:03 — src/webhooks/signature.ts (HubSpot v3 HMAC method+uri+body+timestamp, replay guard), src/services/uninstall.ts; retentionDays=30. v007.</t>
  </si>
  <si>
    <t xml:space="preserve">S1-06</t>
  </si>
  <si>
    <t xml:space="preserve">Token refresh surviving platform rotation</t>
  </si>
  <si>
    <t xml:space="preserve">ST-055</t>
  </si>
  <si>
    <t xml:space="preserve">DONE-IN-CODE 22:03 — src/services/tokenManager.ts: 60s expiry skew, rotation persisted, 5xx retry, 401 re-install path; 9 unit cases. v007.</t>
  </si>
  <si>
    <t xml:space="preserve">S1-07</t>
  </si>
  <si>
    <t xml:space="preserve">Install telemetry with source attribution</t>
  </si>
  <si>
    <t xml:space="preserve">ST-056</t>
  </si>
  <si>
    <t xml:space="preserve">DONE-IN-CODE 22:03 — src/services/telemetry.ts + normaliseSource bucketing hostile inputs; attribution round-trips OAuth state. v007.</t>
  </si>
  <si>
    <t xml:space="preserve">S1-08</t>
  </si>
  <si>
    <t xml:space="preserve">D13 automation gate: 56 tests / 3 suites, 100% x4</t>
  </si>
  <si>
    <t xml:space="preserve">Pass</t>
  </si>
  <si>
    <t xml:space="preserve">test-run.log 20260910_2203; threshold enforced. E003.</t>
  </si>
  <si>
    <t xml:space="preserve">S1-09</t>
  </si>
  <si>
    <t xml:space="preserve">LIVE dev-portal install verification</t>
  </si>
  <si>
    <t xml:space="preserve">Open</t>
  </si>
  <si>
    <t xml:space="preserve">Needs HubSpot dev portal app + client ID/secret; code-verified only. E004 / R-Q5.</t>
  </si>
  <si>
    <t xml:space="preserve">S2 BUILD BOARD — Price book + bundles part 1 — exit: happy path demoable</t>
  </si>
  <si>
    <t xml:space="preserve">Stories ST-001..004 + ST-053/054 (29 pts). Evidence version: product workbook v008 (22:19), codebase zip quoteflow_s2_codebase_20260910_2219.zip.</t>
  </si>
  <si>
    <t xml:space="preserve">S2-01</t>
  </si>
  <si>
    <t xml:space="preserve">Catalog domain: books/items/bundles/rules, portal isolation</t>
  </si>
  <si>
    <t xml:space="preserve">src/domain/catalog.ts; defensive copies; purge seam. v008.</t>
  </si>
  <si>
    <t xml:space="preserve">S2-02</t>
  </si>
  <si>
    <t xml:space="preserve">One-call sensible defaults (idempotent)</t>
  </si>
  <si>
    <t xml:space="preserve">ST-001</t>
  </si>
  <si>
    <t xml:space="preserve">DONE-IN-CODE 22:19 — Standard Price Book USD + 3 items + Starter bundle 10% + volume rule; POST /api/pricebooks/defaults 201/200. v008.</t>
  </si>
  <si>
    <t xml:space="preserve">S2-03</t>
  </si>
  <si>
    <t xml:space="preserve">Happy-path pricing engine end-to-end</t>
  </si>
  <si>
    <t xml:space="preserve">ST-002</t>
  </si>
  <si>
    <t xml:space="preserve">DONE-IN-CODE 22:19 — priceQuote: bundle=component sum x (1-disc), round2; verified 804.60+672.60=1477.20 over HTTP. v008.</t>
  </si>
  <si>
    <t xml:space="preserve">S2-04</t>
  </si>
  <si>
    <t xml:space="preserve">Customisable rules (minQty/customerTier, best-wins)</t>
  </si>
  <si>
    <t xml:space="preserve">ST-003</t>
  </si>
  <si>
    <t xml:space="preserve">DONE-IN-CODE 22:19 — validation matrix + largest-discount-wins with deterministic ties. v008.</t>
  </si>
  <si>
    <t xml:space="preserve">S2-05</t>
  </si>
  <si>
    <t xml:space="preserve">Typed errors + platform backoff client</t>
  </si>
  <si>
    <t xml:space="preserve">ST-004</t>
  </si>
  <si>
    <t xml:space="preserve">DONE-IN-CODE 22:19 — AppError{code,status,retryable,retryAfterMs}; PlatformClient 429/5xx backoff [100,200] -&gt; retryable 503; 401 re-auth. v008.</t>
  </si>
  <si>
    <t xml:space="preserve">S2-06</t>
  </si>
  <si>
    <t xml:space="preserve">Re-install restore within retention window</t>
  </si>
  <si>
    <t xml:space="preserve">ST-053</t>
  </si>
  <si>
    <t xml:space="preserve">DONE-IN-CODE 22:19 — completeInstall cancels pending deletion -&gt; "Your previous data was restored."; DeletionExecutor purges past window. v008.</t>
  </si>
  <si>
    <t xml:space="preserve">S2-07</t>
  </si>
  <si>
    <t xml:space="preserve">RBAC owner&gt;admin&gt;member on every /api route</t>
  </si>
  <si>
    <t xml:space="preserve">ST-054</t>
  </si>
  <si>
    <t xml:space="preserve">DONE-IN-CODE 22:19 — permission matrix + first-user-owner bootstrap + /api/users management; DQ2 identity decision. v008.</t>
  </si>
  <si>
    <t xml:space="preserve">S2-08</t>
  </si>
  <si>
    <t xml:space="preserve">D13 gate: 103 tests / 5 suites, 100% x4 on 16 files</t>
  </si>
  <si>
    <t xml:space="preserve">test-run.log 20260910_2219. E007.</t>
  </si>
  <si>
    <t xml:space="preserve">S3 BUILD BOARD — Price book part 2 + Approval chains start — exit: price book complete with tests; approvals skeleton</t>
  </si>
  <si>
    <t xml:space="preserve">Stories ST-005..010 + ST-011..014 + ST-085 (47 pts). Evidence version: product workbook v009 (22:52), codebase zip quoteflow_s3_codebase_20260910_2252.zip.</t>
  </si>
  <si>
    <t xml:space="preserve">S3-01</t>
  </si>
  <si>
    <t xml:space="preserve">HubSpot-signed CRM card + /ui/quote iframe shell</t>
  </si>
  <si>
    <t xml:space="preserve">ST-005</t>
  </si>
  <si>
    <t xml:space="preserve">DONE-IN-CODE 22:52 — GET /crm-card v3-HMAC-verified (empty-body GET), card JSON w/ books/default/status + New-quote IFRAME action; paused-aware. Live HubSpot fetch open (R-Q6). v009.</t>
  </si>
  <si>
    <t xml:space="preserve">S3-02</t>
  </si>
  <si>
    <t xml:space="preserve">Metrics + 7-day trend</t>
  </si>
  <si>
    <t xml:space="preserve">ST-006</t>
  </si>
  <si>
    <t xml:space="preserve">DONE-IN-CODE 22:52 — quote log; quotes/total/avg/discounted-line% + UTC byDay; GET /api/metrics (admin); verified 731.60 across 2 quotes. v009.</t>
  </si>
  <si>
    <t xml:space="preserve">S3-03</t>
  </si>
  <si>
    <t xml:space="preserve">Audit logging on every mutating /api action</t>
  </si>
  <si>
    <t xml:space="preserve">ST-007</t>
  </si>
  <si>
    <t xml:space="preserve">DONE-IN-CODE 22:52 — record() on 14 mutating routes (actor+action+target+time); GET /api/audit. v009.</t>
  </si>
  <si>
    <t xml:space="preserve">S3-04</t>
  </si>
  <si>
    <t xml:space="preserve">Pause/disable without data loss</t>
  </si>
  <si>
    <t xml:space="preserve">ST-008</t>
  </si>
  <si>
    <t xml:space="preserve">DONE-IN-CODE 22:52 — requireActive gates quote pricing/import/approval requests w/ 409 FEATURE_PAUSED; reads + data untouched; resume instant. v009.</t>
  </si>
  <si>
    <t xml:space="preserve">S3-05</t>
  </si>
  <si>
    <t xml:space="preserve">CSV + competitor import</t>
  </si>
  <si>
    <t xml:space="preserve">ST-009</t>
  </si>
  <si>
    <t xml:space="preserve">DONE-IN-CODE 22:52 — quoted-field CSV parser; generic + rivalcpq header maps; row-level errors; case-insensitive SKU dedupe incl. within-file. v009.</t>
  </si>
  <si>
    <t xml:space="preserve">S3-06</t>
  </si>
  <si>
    <t xml:space="preserve">Notifications: in-app + email, per-type mute, retry</t>
  </si>
  <si>
    <t xml:space="preserve">ST-010</t>
  </si>
  <si>
    <t xml:space="preserve">DONE-IN-CODE 22:52 — 5 event types; muted type produces nothing; failed email kept + POST retry-email (502 retryable while transport down, heals to sent). v009.</t>
  </si>
  <si>
    <t xml:space="preserve">S3-07</t>
  </si>
  <si>
    <t xml:space="preserve">Approval chain defaults in one call</t>
  </si>
  <si>
    <t xml:space="preserve">ST-011</t>
  </si>
  <si>
    <t xml:space="preserve">DONE-IN-CODE 22:52 — "Discounts over 15% need manager approval", admin step, idempotent. v009.</t>
  </si>
  <si>
    <t xml:space="preserve">S3-08</t>
  </si>
  <si>
    <t xml:space="preserve">Approvals happy path without documentation</t>
  </si>
  <si>
    <t xml:space="preserve">ST-012</t>
  </si>
  <si>
    <t xml:space="preserve">DONE-IN-CODE 22:52 — request prices quote, strict-&gt; trigger eval, first matching chain, auto-approve fallback; approve/reject walk; approver fan-out + requester notification. v009.</t>
  </si>
  <si>
    <t xml:space="preserve">S3-09</t>
  </si>
  <si>
    <t xml:space="preserve">Customisable chain rules/conditions</t>
  </si>
  <si>
    <t xml:space="preserve">ST-013</t>
  </si>
  <si>
    <t xml:space="preserve">DONE-IN-CODE 22:52 — discountPctAbove (0,1) / totalAbove&gt;0 triggers, admin|owner steps, 10-case validation matrix; DQ3 step snapshot. v009.</t>
  </si>
  <si>
    <t xml:space="preserve">S3-10</t>
  </si>
  <si>
    <t xml:space="preserve">Approvals clear errors + retry paths</t>
  </si>
  <si>
    <t xml:space="preserve">ST-014</t>
  </si>
  <si>
    <t xml:space="preserve">DONE-IN-CODE 22:52 — typed 400/403/404/409 (DECISION_INVALID, STEP_ROLE, NOT_FOUND, ALREADY_DECIDED) + 502-retryable email retry. v009.</t>
  </si>
  <si>
    <t xml:space="preserve">S3-11</t>
  </si>
  <si>
    <t xml:space="preserve">D13 coverage-gate story evidenced</t>
  </si>
  <si>
    <t xml:space="preserve">ST-085</t>
  </si>
  <si>
    <t xml:space="preserve">DONE-IN-CODE 22:52 — threshold 100x4 enforced since S1; run 20260910_2252 = 150 tests / 7 suites, All files 100|100|100|100, EXIT=0. v009.</t>
  </si>
  <si>
    <t xml:space="preserve">S3-12</t>
  </si>
  <si>
    <t xml:space="preserve">Postgres adapter</t>
  </si>
  <si>
    <t xml:space="preserve">Deferred</t>
  </si>
  <si>
    <t xml:space="preserve">DQ4/L-018 — deferred to S4 honestly; store interfaces are the seam. v010 plan.</t>
  </si>
  <si>
    <t xml:space="preserve">S4 BUILD BOARD — Approval chains part 2 + telemetry + smoke — exit: MVP loop usable end-to-end internally</t>
  </si>
  <si>
    <t xml:space="preserve">Stories ST-015..020 + ST-071/072 + ST-086 (34 pts). Evidence version: product workbook v010 (2026-09-11 08:17), codebase zip quoteflow_s4_codebase_20260911_0817.zip.</t>
  </si>
  <si>
    <t xml:space="preserve">S4-01</t>
  </si>
  <si>
    <t xml:space="preserve">Approvals on the signed CRM card + /ui/approvals shell</t>
  </si>
  <si>
    <t xml:space="preserve">ST-015</t>
  </si>
  <si>
    <t xml:space="preserve">DONE-IN-CODE 08:17 — Pending-approvals NUMBER prop + Approvals IFRAME action; shell page. Live HubSpot fetch open (R-Q6). v010.</t>
  </si>
  <si>
    <t xml:space="preserve">S4-02</t>
  </si>
  <si>
    <t xml:space="preserve">Approvals metrics + 7-day trend</t>
  </si>
  <si>
    <t xml:space="preserve">ST-016</t>
  </si>
  <si>
    <t xml:space="preserve">DONE-IN-CODE 08:17 — status mix, auto-approval %, avgDecisionMs (verified 5000ms over HTTP); GET /api/approvals/metrics. v010.</t>
  </si>
  <si>
    <t xml:space="preserve">S4-03</t>
  </si>
  <si>
    <t xml:space="preserve">Approvals permissions + audit hardening</t>
  </si>
  <si>
    <t xml:space="preserve">ST-017</t>
  </si>
  <si>
    <t xml:space="preserve">DONE-IN-CODE 08:17 — decision audit target id:outcome; GET /api/audit?action= prefix filter. v010.</t>
  </si>
  <si>
    <t xml:space="preserve">S4-04</t>
  </si>
  <si>
    <t xml:space="preserve">Feature-scoped pause without data loss</t>
  </si>
  <si>
    <t xml:space="preserve">ST-018</t>
  </si>
  <si>
    <t xml:space="preserve">DONE-IN-CODE 08:17 — pricebook|approvals pause independently; pending decisions stay open (DQ6); FEATURE_INVALID 400. v010.</t>
  </si>
  <si>
    <t xml:space="preserve">S4-05</t>
  </si>
  <si>
    <t xml:space="preserve">Chain CSV + competitor import</t>
  </si>
  <si>
    <t xml:space="preserve">ST-019</t>
  </si>
  <si>
    <t xml:space="preserve">DONE-IN-CODE 08:17 — generic + rivalcpq, % / fraction thresholds, pipe steps, row-level errors; NaN guard bug-fix on createChain. v010.</t>
  </si>
  <si>
    <t xml:space="preserve">S4-06</t>
  </si>
  <si>
    <t xml:space="preserve">Approval reminder nudge with per-type mute</t>
  </si>
  <si>
    <t xml:space="preserve">ST-020</t>
  </si>
  <si>
    <t xml:space="preserve">DONE-IN-CODE 08:17 — approval_reminder type; requester-only, pending-only; fan-out honours mutes. v010.</t>
  </si>
  <si>
    <t xml:space="preserve">S4-07</t>
  </si>
  <si>
    <t xml:space="preserve">Activation funnel dashboard endpoint</t>
  </si>
  <si>
    <t xml:space="preserve">ST-071</t>
  </si>
  <si>
    <t xml:space="preserve">DONE-IN-CODE 08:17 — install-&gt;setup-&gt;aha-&gt;habit(10 quotes); markers wired into oauth/defaults/quotes; GET /api/funnel. v010.</t>
  </si>
  <si>
    <t xml:space="preserve">S4-08</t>
  </si>
  <si>
    <t xml:space="preserve">Error tracking + release tagging + spike alert</t>
  </si>
  <si>
    <t xml:space="preserve">ST-072</t>
  </si>
  <si>
    <t xml:space="preserve">DONE-IN-CODE 08:17 — APP_RELEASE tag; sendError records every error; 5-in-15min spike notifies admins once per episode (DQ7); GET /api/errors. v010.</t>
  </si>
  <si>
    <t xml:space="preserve">S4-09</t>
  </si>
  <si>
    <t xml:space="preserve">E2E smoke suite on every deploy</t>
  </si>
  <si>
    <t xml:space="preserve">ST-086</t>
  </si>
  <si>
    <t xml:space="preserve">DONE-IN-CODE 08:17 — tests/smoke.test.ts full journey; npm run test:smoke; CI smoke-on-deploy job on main. v010.</t>
  </si>
  <si>
    <t xml:space="preserve">S4-10</t>
  </si>
  <si>
    <t xml:space="preserve">Postgres adapter (deferred-in from S3)</t>
  </si>
  <si>
    <t xml:space="preserve">Blocked</t>
  </si>
  <si>
    <t xml:space="preserve">Live install attempted: apt mirror 404s + timeout, PG_ABSENT verified (E016/L-024). Needs working mirror or container DB — carried to S5.</t>
  </si>
  <si>
    <t xml:space="preserve">S5 BUILD BOARD — E-signature + alpha hardening — exit: internal alpha, team dogfoods daily</t>
  </si>
  <si>
    <t xml:space="preserve">Stories ST-021..030 + ST-078/079 (50 pts). Evidence version: product workbook v011 (2026-09-11 08:52), codebase zip quoteflow_s5_codebase_20260911_0852.zip.</t>
  </si>
  <si>
    <t xml:space="preserve">S5-01</t>
  </si>
  <si>
    <t xml:space="preserve">One-call esign defaults</t>
  </si>
  <si>
    <t xml:space="preserve">ST-021</t>
  </si>
  <si>
    <t xml:space="preserve">DONE-IN-CODE 08:52 — 14d/3d/require-all/decline-on, idempotent; teaching 404 pre-setup. v011.</t>
  </si>
  <si>
    <t xml:space="preserve">S5-02</t>
  </si>
  <si>
    <t xml:space="preserve">Happy path: envelope -&gt; token links -&gt; sign -&gt; completed</t>
  </si>
  <si>
    <t xml:space="preserve">ST-022</t>
  </si>
  <si>
    <t xml:space="preserve">DONE-IN-CODE 08:52 — public /api/esign/sign/:token (identity bypass, DQ8); validate-then-mint tokens; sha256 doc hash. v011.</t>
  </si>
  <si>
    <t xml:space="preserve">S5-03</t>
  </si>
  <si>
    <t xml:space="preserve">Customisable settings</t>
  </si>
  <si>
    <t xml:space="preserve">ST-023</t>
  </si>
  <si>
    <t xml:space="preserve">DONE-IN-CODE 08:52 — validation matrix; snapshot-at-creation semantics (DQ9). v011.</t>
  </si>
  <si>
    <t xml:space="preserve">S5-04</t>
  </si>
  <si>
    <t xml:space="preserve">Clear errors + retry paths</t>
  </si>
  <si>
    <t xml:space="preserve">ST-024</t>
  </si>
  <si>
    <t xml:space="preserve">DONE-IN-CODE 08:52 — EXPIRED 410 lazy+sticky w/ re-send hint, VOIDED/DECLINED/ALREADY_SIGNED/TOKEN_INVALID/DECLINE_DISABLED. v011.</t>
  </si>
  <si>
    <t xml:space="preserve">S5-05</t>
  </si>
  <si>
    <t xml:space="preserve">CRM card + signer shell surface</t>
  </si>
  <si>
    <t xml:space="preserve">ST-025</t>
  </si>
  <si>
    <t xml:space="preserve">DONE-IN-CODE 08:52 — Awaiting-signature count 1-&gt;0 proved; /ui/sign shell. Live HubSpot fetch open (R-Q6). v011.</t>
  </si>
  <si>
    <t xml:space="preserve">S5-06</t>
  </si>
  <si>
    <t xml:space="preserve">Esign metrics + trends</t>
  </si>
  <si>
    <t xml:space="preserve">ST-026</t>
  </si>
  <si>
    <t xml:space="preserve">DONE-IN-CODE 08:52 — 40% completion / avg 3000ms mix; expiry recount at +20d. v011.</t>
  </si>
  <si>
    <t xml:space="preserve">S5-07</t>
  </si>
  <si>
    <t xml:space="preserve">Permissions + signer-identity audit</t>
  </si>
  <si>
    <t xml:space="preserve">ST-027</t>
  </si>
  <si>
    <t xml:space="preserve">DONE-IN-CODE 08:52 — esign:read/send/manage; audit actor signer:&lt;email&gt;. v011.</t>
  </si>
  <si>
    <t xml:space="preserve">S5-08</t>
  </si>
  <si>
    <t xml:space="preserve">Pause without data loss</t>
  </si>
  <si>
    <t xml:space="preserve">ST-028</t>
  </si>
  <si>
    <t xml:space="preserve">DONE-IN-CODE 08:52 — new envelopes 409 while paused; sent links keep signing (DQ9). v011.</t>
  </si>
  <si>
    <t xml:space="preserve">S5-09</t>
  </si>
  <si>
    <t xml:space="preserve">CSV + rivalsign import</t>
  </si>
  <si>
    <t xml:space="preserve">ST-029</t>
  </si>
  <si>
    <t xml:space="preserve">DONE-IN-CODE 08:52 — row-level errors, ragged-row tolerant; imported rows land in list + metrics. v011.</t>
  </si>
  <si>
    <t xml:space="preserve">S5-10</t>
  </si>
  <si>
    <t xml:space="preserve">Envelope notifications w/ per-type mute</t>
  </si>
  <si>
    <t xml:space="preserve">ST-030</t>
  </si>
  <si>
    <t xml:space="preserve">DONE-IN-CODE 08:52 — envelope_sent/signed/declined; mute framework covers them. v011.</t>
  </si>
  <si>
    <t xml:space="preserve">S5-11</t>
  </si>
  <si>
    <t xml:space="preserve">First-run checklist</t>
  </si>
  <si>
    <t xml:space="preserve">ST-078</t>
  </si>
  <si>
    <t xml:space="preserve">DONE-IN-CODE 08:52 — 7 live-derived items w/ exact next call; 14% -&gt; 100% over real HTTP actions. v011.</t>
  </si>
  <si>
    <t xml:space="preserve">S5-12</t>
  </si>
  <si>
    <t xml:space="preserve">Empty states teach next action</t>
  </si>
  <si>
    <t xml:space="preserve">ST-079</t>
  </si>
  <si>
    <t xml:space="preserve">DONE-IN-CODE 08:52 — emptyState on all five lists; drops when populated. v011.</t>
  </si>
  <si>
    <t xml:space="preserve">S6 BUILD BOARD — Quote analytics + Billing — exit: can charge a test customer; upgrade/downgrade paths work</t>
  </si>
  <si>
    <t xml:space="preserve">Stories ST-031..040 + ST-057/058/059 (60 pts). Evidence version: product workbook v012 (2026-09-11 12:47), codebase zip quoteflow_s6_codebase_20260911_1247.zip.</t>
  </si>
  <si>
    <t xml:space="preserve">S6-01</t>
  </si>
  <si>
    <t xml:space="preserve">One-call analytics defaults</t>
  </si>
  <si>
    <t xml:space="preserve">ST-031</t>
  </si>
  <si>
    <t xml:space="preserve">DONE-IN-CODE 12:47 — idempotent; teaching 404 pre-setup. v012.</t>
  </si>
  <si>
    <t xml:space="preserve">S6-02</t>
  </si>
  <si>
    <t xml:space="preserve">Summary dashboard happy path</t>
  </si>
  <si>
    <t xml:space="preserve">ST-032</t>
  </si>
  <si>
    <t xml:space="preserve">DONE-IN-CODE 12:47 — pipeline/discount/win-rate/large/stale/pace; exact-math units. v012.</t>
  </si>
  <si>
    <t xml:space="preserve">S6-03</t>
  </si>
  <si>
    <t xml:space="preserve">Customisable analytics settings</t>
  </si>
  <si>
    <t xml:space="preserve">ST-033</t>
  </si>
  <si>
    <t xml:space="preserve">DONE-IN-CODE 12:47 — 11-case validation matrix. v012.</t>
  </si>
  <si>
    <t xml:space="preserve">S6-04</t>
  </si>
  <si>
    <t xml:space="preserve">Typed errors + export</t>
  </si>
  <si>
    <t xml:space="preserve">ST-034</t>
  </si>
  <si>
    <t xml:space="preserve">DONE-IN-CODE 12:47 — pre-setup 404s over HTTP; CSV/JSON; EXPORT_FORMAT_INVALID. v012.</t>
  </si>
  <si>
    <t xml:space="preserve">S6-05</t>
  </si>
  <si>
    <t xml:space="preserve">Card + UI extension surface</t>
  </si>
  <si>
    <t xml:space="preserve">ST-035</t>
  </si>
  <si>
    <t xml:space="preserve">DONE-IN-CODE 12:47 — Quotes(7d) on signed card; Analytics action; shell. Live fetch open (R-Q6). v012.</t>
  </si>
  <si>
    <t xml:space="preserve">S6-06</t>
  </si>
  <si>
    <t xml:space="preserve">Trends</t>
  </si>
  <si>
    <t xml:space="preserve">ST-036</t>
  </si>
  <si>
    <t xml:space="preserve">DONE-IN-CODE 12:47 — 7d buckets, top discounters, wonValue7d. v012.</t>
  </si>
  <si>
    <t xml:space="preserve">S6-07</t>
  </si>
  <si>
    <t xml:space="preserve">Permissions + audit</t>
  </si>
  <si>
    <t xml:space="preserve">ST-037</t>
  </si>
  <si>
    <t xml:space="preserve">DONE-IN-CODE 12:47 — read (member) / manage (admin); four audited actions. v012.</t>
  </si>
  <si>
    <t xml:space="preserve">S6-08</t>
  </si>
  <si>
    <t xml:space="preserve">ST-038</t>
  </si>
  <si>
    <t xml:space="preserve">DONE-IN-CODE 12:47 — DQ10: dashboards 409, capture continues; paused-time quote visible after resume. v012.</t>
  </si>
  <si>
    <t xml:space="preserve">S6-09</t>
  </si>
  <si>
    <t xml:space="preserve">History import</t>
  </si>
  <si>
    <t xml:space="preserve">ST-039</t>
  </si>
  <si>
    <t xml:space="preserve">DONE-IN-CODE 12:47 — generic+rivaliq; column-order independent; ragged tolerant. v012.</t>
  </si>
  <si>
    <t xml:space="preserve">S6-10</t>
  </si>
  <si>
    <t xml:space="preserve">Alerts w/ per-type mute</t>
  </si>
  <si>
    <t xml:space="preserve">ST-040</t>
  </si>
  <si>
    <t xml:space="preserve">DONE-IN-CODE 12:47 — discount_alert + goal_reached (fires exactly once); mute proved. v012.</t>
  </si>
  <si>
    <t xml:space="preserve">S6-11</t>
  </si>
  <si>
    <t xml:space="preserve">14-day card-free trial</t>
  </si>
  <si>
    <t xml:space="preserve">ST-057</t>
  </si>
  <si>
    <t xml:space="preserve">DONE-IN-CODE 12:47 — seeded at install; countdown banner; lazy expiry flip. v012.</t>
  </si>
  <si>
    <t xml:space="preserve">S6-12</t>
  </si>
  <si>
    <t xml:space="preserve">Prorated plan changes</t>
  </si>
  <si>
    <t xml:space="preserve">ST-058</t>
  </si>
  <si>
    <t xml:space="preserve">DONE-IN-CODE 12:47 — exact cents up/down; net&lt;=0 no provider call; clamps. v012.</t>
  </si>
  <si>
    <t xml:space="preserve">S6-13</t>
  </si>
  <si>
    <t xml:space="preserve">Marketplace vs Stripe routing</t>
  </si>
  <si>
    <t xml:space="preserve">ST-059</t>
  </si>
  <si>
    <t xml:space="preserve">DONE-IN-CODE 12:47 — channel-routed; failure 502 persists nothing. Live credentials open (R-Q10). v012.</t>
  </si>
  <si>
    <t xml:space="preserve">S7 BUILD BOARD — Billing hardening + least-privilege scopes — exit: private beta with design partners</t>
  </si>
  <si>
    <t xml:space="preserve">Stories ST-060..064 (15 pts). Evidence version: product workbook v013 (2026-09-13 10:26), codebase zip quoteflow_s7_codebase_20260913_1026.zip.</t>
  </si>
  <si>
    <t xml:space="preserve">S7-01</t>
  </si>
  <si>
    <t xml:space="preserve">Failed payment: grace, dunning, read-only</t>
  </si>
  <si>
    <t xml:space="preserve">ST-060</t>
  </si>
  <si>
    <t xml:space="preserve">DONE-IN-CODE 10:26 — 7d grace, 3 notices max one/day, lazy+sticky lapse, recovery re-charge; reads survive (DQ12). v013.</t>
  </si>
  <si>
    <t xml:space="preserve">S7-02</t>
  </si>
  <si>
    <t xml:space="preserve">Plan limits with 80/100% prompts</t>
  </si>
  <si>
    <t xml:space="preserve">ST-061</t>
  </si>
  <si>
    <t xml:space="preserve">DONE-IN-CODE 10:26 — Pro 200 / Scale 2000; warning once per crossing; 402 on all three quote paths; floored pct. v013.</t>
  </si>
  <si>
    <t xml:space="preserve">S7-03</t>
  </si>
  <si>
    <t xml:space="preserve">Invoices/receipts with GST-VAT fields</t>
  </si>
  <si>
    <t xml:space="preserve">ST-062</t>
  </si>
  <si>
    <t xml:space="preserve">DONE-IN-CODE 10:26 — auto-issued on every positive charge; tax profile applied at issue; text receipts. v013.</t>
  </si>
  <si>
    <t xml:space="preserve">S7-04</t>
  </si>
  <si>
    <t xml:space="preserve">Cancellation with save-offer + exit survey</t>
  </si>
  <si>
    <t xml:space="preserve">ST-063</t>
  </si>
  <si>
    <t xml:space="preserve">DONE-IN-CODE 10:26 — offer-before-accept guard, fixed reason set, cancelled portals still read/export. v013.</t>
  </si>
  <si>
    <t xml:space="preserve">S7-05</t>
  </si>
  <si>
    <t xml:space="preserve">Least-privilege scope map</t>
  </si>
  <si>
    <t xml:space="preserve">ST-064</t>
  </si>
  <si>
    <t xml:space="preserve">DONE-IN-CODE 10:26 — registry + two-way audit + generated disclosure; leastPrivilege asserted vs real config (DQ13). v013.</t>
  </si>
  <si>
    <t xml:space="preserve">S8 BUILD BOARD — Deal sync + trust + founder ops + performance — exit: beta iteration complete, sync shipped</t>
  </si>
  <si>
    <t xml:space="preserve">22 stories / 87 pts across F5, E6, E7 and EQ. Evidence: product workbook v014 (2026-09-13 10:38), codebase zip quoteflow_s8_codebase_20260913_1038.zip.</t>
  </si>
  <si>
    <t xml:space="preserve">S8-01</t>
  </si>
  <si>
    <t xml:space="preserve">Sync defaults</t>
  </si>
  <si>
    <t xml:space="preserve">ST-041</t>
  </si>
  <si>
    <t xml:space="preserve">DONE-IN-CODE 10:38 — idempotent defaults, teaching 404. v014.</t>
  </si>
  <si>
    <t xml:space="preserve">S8-02</t>
  </si>
  <si>
    <t xml:space="preserve">Sync happy path (idempotent push)</t>
  </si>
  <si>
    <t xml:space="preserve">ST-042</t>
  </si>
  <si>
    <t xml:space="preserve">DONE-IN-CODE 10:38 — replace/append + amount; repeat push writes nothing (DQ14). v014.</t>
  </si>
  <si>
    <t xml:space="preserve">S8-03</t>
  </si>
  <si>
    <t xml:space="preserve">Sync rules and conditions</t>
  </si>
  <si>
    <t xml:space="preserve">ST-043</t>
  </si>
  <si>
    <t xml:space="preserve">DONE-IN-CODE 10:38 — mode/strategy/amount/skipStages/minTotal, all skip paths write nothing. v014.</t>
  </si>
  <si>
    <t xml:space="preserve">S8-04</t>
  </si>
  <si>
    <t xml:space="preserve">Errors + retry paths</t>
  </si>
  <si>
    <t xml:space="preserve">ST-044</t>
  </si>
  <si>
    <t xml:space="preserve">DONE-IN-CODE 10:38 — 502 + admin alert + retry w/ supersede. v014.</t>
  </si>
  <si>
    <t xml:space="preserve">S8-05</t>
  </si>
  <si>
    <t xml:space="preserve">Card / UI extension surface</t>
  </si>
  <si>
    <t xml:space="preserve">ST-045</t>
  </si>
  <si>
    <t xml:space="preserve">DONE-IN-CODE 10:38 — /ui/sync shell; billing read-only gate. Live fetch open (R-Q6). v014.</t>
  </si>
  <si>
    <t xml:space="preserve">S8-06</t>
  </si>
  <si>
    <t xml:space="preserve">Sync metrics + trends</t>
  </si>
  <si>
    <t xml:space="preserve">ST-046</t>
  </si>
  <si>
    <t xml:space="preserve">DONE-IN-CODE 10:38 — mix, success rate, topErrors, real durations. v014.</t>
  </si>
  <si>
    <t xml:space="preserve">S8-07</t>
  </si>
  <si>
    <t xml:space="preserve">ST-047</t>
  </si>
  <si>
    <t xml:space="preserve">DONE-IN-CODE 10:38 — sync:read/push/manage; four audited actions. v014.</t>
  </si>
  <si>
    <t xml:space="preserve">S8-08</t>
  </si>
  <si>
    <t xml:space="preserve">ST-048</t>
  </si>
  <si>
    <t xml:space="preserve">DONE-IN-CODE 10:38 — queue-and-drain (DQ14), nothing written while paused. v014.</t>
  </si>
  <si>
    <t xml:space="preserve">S8-09</t>
  </si>
  <si>
    <t xml:space="preserve">Sync history import</t>
  </si>
  <si>
    <t xml:space="preserve">ST-049</t>
  </si>
  <si>
    <t xml:space="preserve">DONE-IN-CODE 10:38 — generic+rivalsync, 6-row error matrix, ragged tolerant. v014.</t>
  </si>
  <si>
    <t xml:space="preserve">S8-10</t>
  </si>
  <si>
    <t xml:space="preserve">Sync notifications</t>
  </si>
  <si>
    <t xml:space="preserve">ST-050</t>
  </si>
  <si>
    <t xml:space="preserve">DONE-IN-CODE 10:38 — sync_failed admin fan-out + sync_completed. v014.</t>
  </si>
  <si>
    <t xml:space="preserve">S8-11</t>
  </si>
  <si>
    <t xml:space="preserve">Data-flow diagram + retention</t>
  </si>
  <si>
    <t xml:space="preserve">ST-065</t>
  </si>
  <si>
    <t xml:space="preserve">DONE-IN-CODE 10:38 — 7 stores declared as data, asserted by tests (DQ15). v014.</t>
  </si>
  <si>
    <t xml:space="preserve">S8-12</t>
  </si>
  <si>
    <t xml:space="preserve">Encryption + secrets posture</t>
  </si>
  <si>
    <t xml:space="preserve">ST-066</t>
  </si>
  <si>
    <t xml:space="preserve">Partial</t>
  </si>
  <si>
    <t xml:space="preserve">CODE DONE 10:38 — controls published; SEC-03 vault and SEC-04 at-rest reported PARTIAL, owner Senthil (R-Q11). v014.</t>
  </si>
  <si>
    <t xml:space="preserve">S8-13</t>
  </si>
  <si>
    <t xml:space="preserve">Admin-sensitive audit log</t>
  </si>
  <si>
    <t xml:space="preserve">ST-067</t>
  </si>
  <si>
    <t xml:space="preserve">DONE-IN-CODE 10:38 — GET /api/audit/admin filters to security/money/access. v014.</t>
  </si>
  <si>
    <t xml:space="preserve">S8-14</t>
  </si>
  <si>
    <t xml:space="preserve">Rate-limit backoff + circuit breaker</t>
  </si>
  <si>
    <t xml:space="preserve">ST-070</t>
  </si>
  <si>
    <t xml:space="preserve">DONE-IN-CODE 10:38 — breaker fronts platform writes (DQ16); open/half-open/close proven. v014.</t>
  </si>
  <si>
    <t xml:space="preserve">S8-15</t>
  </si>
  <si>
    <t xml:space="preserve">Feature-usage heatmap</t>
  </si>
  <si>
    <t xml:space="preserve">ST-073</t>
  </si>
  <si>
    <t xml:space="preserve">DONE-IN-CODE 10:38 — ranked uses + unused-feature list. v014.</t>
  </si>
  <si>
    <t xml:space="preserve">S8-16</t>
  </si>
  <si>
    <t xml:space="preserve">Weekly metrics email</t>
  </si>
  <si>
    <t xml:space="preserve">ST-074</t>
  </si>
  <si>
    <t xml:space="preserve">DONE-IN-CODE 10:38 — digest subject/body incl. revenue + breaches. Scheduler is deployment-side. v014.</t>
  </si>
  <si>
    <t xml:space="preserve">S8-17</t>
  </si>
  <si>
    <t xml:space="preserve">Account health score</t>
  </si>
  <si>
    <t xml:space="preserve">ST-075</t>
  </si>
  <si>
    <t xml:space="preserve">DONE-IN-CODE 10:38 — usage/billing/support blend w/ reasons; funnel-milestone activity chain. v014.</t>
  </si>
  <si>
    <t xml:space="preserve">S8-18</t>
  </si>
  <si>
    <t xml:space="preserve">Metrics export to CSV/warehouse</t>
  </si>
  <si>
    <t xml:space="preserve">ST-076</t>
  </si>
  <si>
    <t xml:space="preserve">DONE-IN-CODE 10:38 — GET /api/ops/export, text/csv. v014.</t>
  </si>
  <si>
    <t xml:space="preserve">S8-19</t>
  </si>
  <si>
    <t xml:space="preserve">Configurable alert thresholds</t>
  </si>
  <si>
    <t xml:space="preserve">ST-077</t>
  </si>
  <si>
    <t xml:space="preserve">DONE-IN-CODE 10:38 — activation drop / error spike / churn, severity escalation. v014.</t>
  </si>
  <si>
    <t xml:space="preserve">S8-20</t>
  </si>
  <si>
    <t xml:space="preserve">p95 latency budgets per surface</t>
  </si>
  <si>
    <t xml:space="preserve">ST-087</t>
  </si>
  <si>
    <t xml:space="preserve">DONE-IN-CODE 10:38 — 5 budgets, middleware sampling, breach detection. v014.</t>
  </si>
  <si>
    <t xml:space="preserve">S8-21</t>
  </si>
  <si>
    <t xml:space="preserve">Load test at 5x launch traffic</t>
  </si>
  <si>
    <t xml:space="preserve">ST-088</t>
  </si>
  <si>
    <t xml:space="preserve">DONE-IN-CODE 10:38 — 250 mixed requests, budgets held, 50 deals synced once each. v014.</t>
  </si>
  <si>
    <t xml:space="preserve">S8-22</t>
  </si>
  <si>
    <t xml:space="preserve">Zero-downtime deploy verified</t>
  </si>
  <si>
    <t xml:space="preserve">ST-092</t>
  </si>
  <si>
    <t xml:space="preserve">DONE-IN-CODE 10:38 — /ready 503 on drain, /health green, in-flight completes. v014.</t>
  </si>
  <si>
    <t xml:space="preserve">S9 BUILD BOARD — Marketplace review prep — exit: submission-ready evidence pack</t>
  </si>
  <si>
    <t xml:space="preserve">7 stories / 30 pts. Evidence: product workbook v015 (2026-09-13 10:56), codebase zip quoteflow_s9_codebase_20260913_1056.zip.</t>
  </si>
  <si>
    <t xml:space="preserve">S9-01</t>
  </si>
  <si>
    <t xml:space="preserve">Pen-test evidence archived</t>
  </si>
  <si>
    <t xml:space="preserve">ST-068</t>
  </si>
  <si>
    <t xml:space="preserve">Claude + Senthil</t>
  </si>
  <si>
    <t xml:space="preserve">CODE DONE 10:56 — 10 abuse cases (8 automated / 1 manual / 1 external); pack states no external pen test commissioned. R-Q12 opened. v015.</t>
  </si>
  <si>
    <t xml:space="preserve">S9-02</t>
  </si>
  <si>
    <t xml:space="preserve">Data export + delete-my-data self-serve</t>
  </si>
  <si>
    <t xml:space="preserve">ST-069</t>
  </si>
  <si>
    <t xml:space="preserve">DONE-IN-CODE 10:56 — full bundle + manifest; two-step token-confirmed deletion w/ receipt (DQ17). v015.</t>
  </si>
  <si>
    <t xml:space="preserve">S9-03</t>
  </si>
  <si>
    <t xml:space="preserve">WCAG AA pass on primary flows</t>
  </si>
  <si>
    <t xml:space="preserve">ST-089</t>
  </si>
  <si>
    <t xml:space="preserve">DONE-IN-CODE 10:56 — all 5 shells pass 11 automated AA rules; checker tested against broken HTML. Manual audit scoped out explicitly. v015.</t>
  </si>
  <si>
    <t xml:space="preserve">S9-04</t>
  </si>
  <si>
    <t xml:space="preserve">Backup + restore drill executed</t>
  </si>
  <si>
    <t xml:space="preserve">ST-090</t>
  </si>
  <si>
    <t xml:space="preserve">DONE-IN-CODE 10:56 — round-trip byte-compare; skipped sources surfaced; lossy source detected. Drill data-loss defect found and fixed (L-062). v015.</t>
  </si>
  <si>
    <t xml:space="preserve">S9-05</t>
  </si>
  <si>
    <t xml:space="preserve">Chaos: platform outage degrades gracefully</t>
  </si>
  <si>
    <t xml:space="preserve">ST-091</t>
  </si>
  <si>
    <t xml:space="preserve">DONE-IN-CODE 10:56 — six properties asserted incl. signer never stranded, no partial state, readiness stays green. v015.</t>
  </si>
  <si>
    <t xml:space="preserve">S9-06</t>
  </si>
  <si>
    <t xml:space="preserve">Listing copy A + B variants</t>
  </si>
  <si>
    <t xml:space="preserve">ST-093</t>
  </si>
  <si>
    <t xml:space="preserve">DONE-IN-CODE 10:56 — two full variants, every claim maps to a Done story, length limits asserted. v015.</t>
  </si>
  <si>
    <t xml:space="preserve">S9-07</t>
  </si>
  <si>
    <t xml:space="preserve">5 screenshots + 2-min demo video</t>
  </si>
  <si>
    <t xml:space="preserve">ST-094</t>
  </si>
  <si>
    <t xml:space="preserve">BRIEF DONE 10:56 — specs, 5-shot list, timed 1:55 script, checklist. CAPTURE blocked on live install (R-Q5). v015.</t>
  </si>
  <si>
    <t xml:space="preserve">S10 BUILD BOARD — Launch surfaces: docs, support, public pages — exit: submission-ready</t>
  </si>
  <si>
    <t xml:space="preserve">7 stories / 24 pts. Evidence: product workbook v016 (2026-09-13 11:11), codebase zip quoteflow_s10_codebase_20260913_1111.zip.</t>
  </si>
  <si>
    <t xml:space="preserve">S10-01</t>
  </si>
  <si>
    <t xml:space="preserve">Help centre: 15 articles + search</t>
  </si>
  <si>
    <t xml:space="preserve">ST-080</t>
  </si>
  <si>
    <t xml:space="preserve">DONE-IN-CODE 11:11 — public endpoints; ranked search; feature-coverage test means shipping without docs fails the build. v016.</t>
  </si>
  <si>
    <t xml:space="preserve">S10-02</t>
  </si>
  <si>
    <t xml:space="preserve">In-app chat with &lt;4 business-hr response</t>
  </si>
  <si>
    <t xml:space="preserve">ST-081</t>
  </si>
  <si>
    <t xml:space="preserve">DONE-IN-CODE 11:11 — business-hours SLA (DQ20), deflection articles at open, overdue counted. Staffing the queue is operational. v016.</t>
  </si>
  <si>
    <t xml:space="preserve">S10-03</t>
  </si>
  <si>
    <t xml:space="preserve">Demo video + interactive sandbox mode</t>
  </si>
  <si>
    <t xml:space="preserve">ST-083</t>
  </si>
  <si>
    <t xml:space="preserve">DONE-IN-CODE 11:11 — sandbox seeds realistic data, double-seed refused. Video script delivered in S9 brief; recording needs live install (R-Q5). v016.</t>
  </si>
  <si>
    <t xml:space="preserve">S10-04</t>
  </si>
  <si>
    <t xml:space="preserve">Status page + incident comms template</t>
  </si>
  <si>
    <t xml:space="preserve">ST-084</t>
  </si>
  <si>
    <t xml:space="preserve">DONE-IN-CODE 11:11 — live-signal component roll-up; four pre-written templates. v016.</t>
  </si>
  <si>
    <t xml:space="preserve">S10-05</t>
  </si>
  <si>
    <t xml:space="preserve">Pricing page/plan matrix + FAQ</t>
  </si>
  <si>
    <t xml:space="preserve">ST-095</t>
  </si>
  <si>
    <t xml:space="preserve">DONE-IN-CODE 11:11 — generated from PLANS (DQ19); 7-entry FAQ; values asserted against billing constants. v016.</t>
  </si>
  <si>
    <t xml:space="preserve">S10-06</t>
  </si>
  <si>
    <t xml:space="preserve">Security/trust page live</t>
  </si>
  <si>
    <t xml:space="preserve">ST-096</t>
  </si>
  <si>
    <t xml:space="preserve">DONE-IN-CODE 11:11 — generated from DATA_FLOW/SCOPE_REGISTRY/SECURITY_CONTROLS; subprocessors listed; unmet controls published with owners. v016.</t>
  </si>
  <si>
    <t xml:space="preserve">S10-07</t>
  </si>
  <si>
    <t xml:space="preserve">Submission dry-run by second reviewer</t>
  </si>
  <si>
    <t xml:space="preserve">ST-097</t>
  </si>
  <si>
    <t xml:space="preserve">DONE-IN-CODE 11:11 — 14 checklist items read from live state; 12 pass / 0 fail / 2 manual (DQ21). v016.</t>
  </si>
  <si>
    <t xml:space="preserve">S11 BUILD BOARD — Launch — exit: live on the marketplace</t>
  </si>
  <si>
    <t xml:space="preserve">3 stories / 8 pts. Evidence: product workbook v017 (2026-09-13 11:25), codebase zip quoteflow_s11_codebase_20260913_1125.zip.</t>
  </si>
  <si>
    <t xml:space="preserve">S11-01</t>
  </si>
  <si>
    <t xml:space="preserve">In-app review ask after aha-moment</t>
  </si>
  <si>
    <t xml:space="preserve">ST-082</t>
  </si>
  <si>
    <t xml:space="preserve">DONE-IN-CODE 11:25 — happy-portal gates, lifetime cap, permanent decline, no review-gating (DQ22). v017.</t>
  </si>
  <si>
    <t xml:space="preserve">S11-02</t>
  </si>
  <si>
    <t xml:space="preserve">Launch-day runbook: monitoring, rollback, comms</t>
  </si>
  <si>
    <t xml:space="preserve">ST-098</t>
  </si>
  <si>
    <t xml:space="preserve">DONE-IN-CODE 11:25 — live preflight incl. real restore drill, 7 verified rollback steps (77 min), comms tree (DQ23). v017.</t>
  </si>
  <si>
    <t xml:space="preserve">S11-03</t>
  </si>
  <si>
    <t xml:space="preserve">First 10 design-partner reviews scheduled</t>
  </si>
  <si>
    <t xml:space="preserve">ST-100</t>
  </si>
  <si>
    <t xml:space="preserve">DONE-IN-CODE 11:25 — pipeline + outreach sequence; counts scheduled not intentions (DQ24). Contacting real partners is Senthil. v017.</t>
  </si>
  <si>
    <t xml:space="preserve">S12 BUILD BOARD — Iterate &amp; scale decision — exit: growth model with first CAC/LTV estimates</t>
  </si>
  <si>
    <t xml:space="preserve">1 story / 2 pts. Evidence: product workbook v018 (2026-09-13 11:34), codebase zip quoteflow_s12_codebase_20260913_1134.zip. Note: the board exit criterion mentions a CAC/LTV growth model; the backlog carries only ST-099 for S12, and the backlog is the single source of truth — no growth model was invented to match the criterion.</t>
  </si>
  <si>
    <t xml:space="preserve">S12-01</t>
  </si>
  <si>
    <t xml:space="preserve">Listing SEO iteration 1 from search-term data</t>
  </si>
  <si>
    <t xml:space="preserve">ST-099</t>
  </si>
  <si>
    <t xml:space="preserve">DONE-IN-CODE 11:34 — import + five-verdict classification + ranked recommendations; unsupported demand excluded from copy (DQ25); substring-matching defect found and fixed. Iteration against REAL numbers needs post-launch console data (R-Q5/R-Q10). v018.</t>
  </si>
  <si>
    <t xml:space="preserve">COLD REVIEW PASS 1 — fix board (13 Sep 2026 11:51)</t>
  </si>
  <si>
    <t xml:space="preserve">Full finding detail is on the Review_Findings sheet of product workbook v019. Code: quoteflow_review1_codebase_20260913_1151.zip.</t>
  </si>
  <si>
    <t xml:space="preserve">Ref</t>
  </si>
  <si>
    <t xml:space="preserve">Severity</t>
  </si>
  <si>
    <t xml:space="preserve">Area</t>
  </si>
  <si>
    <t xml:space="preserve">Regression test</t>
  </si>
  <si>
    <t xml:space="preserve">F-Q01</t>
  </si>
  <si>
    <t xml:space="preserve">CRITICAL</t>
  </si>
  <si>
    <t xml:space="preserve">Privacy / backup — delete-my-data left 3 sources behind</t>
  </si>
  <si>
    <t xml:space="preserve">review1 F-Q01 + S9 assertions 8-&gt;11</t>
  </si>
  <si>
    <t xml:space="preserve">F-Q02</t>
  </si>
  <si>
    <t xml:space="preserve">Deployability — no entrypoint, no npm start</t>
  </si>
  <si>
    <t xml:space="preserve">review1 F-Q02</t>
  </si>
  <si>
    <t xml:space="preserve">F-Q03</t>
  </si>
  <si>
    <t xml:space="preserve">Identity — unsigned caller-declared headers</t>
  </si>
  <si>
    <t xml:space="preserve">review1 F-Q03 (4 rejection paths)</t>
  </si>
  <si>
    <t xml:space="preserve">F-Q04</t>
  </si>
  <si>
    <t xml:space="preserve">Billing — expired trial not read-only</t>
  </si>
  <si>
    <t xml:space="preserve">review1 F-Q04</t>
  </si>
  <si>
    <t xml:space="preserve">F-Q05</t>
  </si>
  <si>
    <t xml:space="preserve">HIGH</t>
  </si>
  <si>
    <t xml:space="preserve">OAuth — callback accepted any state</t>
  </si>
  <si>
    <t xml:space="preserve">review1 F-Q05</t>
  </si>
  <si>
    <t xml:space="preserve">F-Q06</t>
  </si>
  <si>
    <t xml:space="preserve">HTTP — async handler rejections hang the request</t>
  </si>
  <si>
    <t xml:space="preserve">review1 F-Q06</t>
  </si>
  <si>
    <t xml:space="preserve">F-Q07</t>
  </si>
  <si>
    <t xml:space="preserve">MEDIUM</t>
  </si>
  <si>
    <t xml:space="preserve">Tenancy — SEO corpus shared across portals</t>
  </si>
  <si>
    <t xml:space="preserve">review1 F-Q07</t>
  </si>
  <si>
    <t xml:space="preserve">F-Q08</t>
  </si>
  <si>
    <t xml:space="preserve">Memory — unbounded ledgers</t>
  </si>
  <si>
    <t xml:space="preserve">review1 F-Q08</t>
  </si>
  <si>
    <t xml:space="preserve">COLD REVIEW PASS 2 — published claims vs code, and missing artifacts (13 Sep 2026 12:03)</t>
  </si>
  <si>
    <t xml:space="preserve">Full detail on the Review_Findings sheet of product workbook v020. Code: quoteflow_review2_codebase_20260913_1203.zip.</t>
  </si>
  <si>
    <t xml:space="preserve">Gate shipped with the fix</t>
  </si>
  <si>
    <t xml:space="preserve">F-Q09</t>
  </si>
  <si>
    <t xml:space="preserve">Retention — published schedule enforced by nothing</t>
  </si>
  <si>
    <t xml:space="preserve">Drift gate: sweepers must equal the published age-bounded stores</t>
  </si>
  <si>
    <t xml:space="preserve">F-Q10</t>
  </si>
  <si>
    <t xml:space="preserve">Redaction control with zero call sites (SEC-05)</t>
  </si>
  <si>
    <t xml:space="preserve">Regression on error-route and telemetry-prop redaction</t>
  </si>
  <si>
    <t xml:space="preserve">F-Q11</t>
  </si>
  <si>
    <t xml:space="preserve">Circuit breaker on writes only despite ST-070 claim</t>
  </si>
  <si>
    <t xml:space="preserve">Regression: open breaker means reads never reach the platform</t>
  </si>
  <si>
    <t xml:space="preserve">F-Q12</t>
  </si>
  <si>
    <t xml:space="preserve">No deploy workflow behind the rollback runbook</t>
  </si>
  <si>
    <t xml:space="preserve">Order gate: drain precedes cutover precedes verify</t>
  </si>
  <si>
    <t xml:space="preserve">F-Q13</t>
  </si>
  <si>
    <t xml:space="preserve">No DB schema behind retention / backup / at-rest claims</t>
  </si>
  <si>
    <t xml:space="preserve">Drift gate: every published store has a table + cascade + sweep index</t>
  </si>
  <si>
    <t xml:space="preserve">F-Q14</t>
  </si>
  <si>
    <t xml:space="preserve">Future-dated signatures replayable forever</t>
  </si>
  <si>
    <t xml:space="preserve">Regression: beyond-skew refused, modest skew tolerated</t>
  </si>
  <si>
    <t xml:space="preserve">COLD REVIEW PASS 3 - surfaces wired to constants, and a tenancy boundary (13 Sep 2026 16:25)</t>
  </si>
  <si>
    <t xml:space="preserve">Detail on Review_Findings in product workbook v021. Code: quoteflow_review3_codebase_20260913_1625.zip.</t>
  </si>
  <si>
    <t xml:space="preserve">F-Q15</t>
  </si>
  <si>
    <t xml:space="preserve">Public status page wired to hardcoded false/0</t>
  </si>
  <si>
    <t xml:space="preserve">Regression: real failed run degrades, open breaker escalates to outage</t>
  </si>
  <si>
    <t xml:space="preserve">F-Q16</t>
  </si>
  <si>
    <t xml:space="preserve">Preflight readiness hardcoded true</t>
  </si>
  <si>
    <t xml:space="preserve">Regression: draining flips PRE-03 and the decision to no_go</t>
  </si>
  <si>
    <t xml:space="preserve">F-Q17</t>
  </si>
  <si>
    <t xml:space="preserve">Nine vendor surfaces reachable with tenant RBAC</t>
  </si>
  <si>
    <t xml:space="preserve">Regression: tenant creds refused, wrong same-length token refused, unset = closed</t>
  </si>
  <si>
    <t xml:space="preserve">TRACEABILITY MATRIX — 100 stories: module -&gt; epic -&gt; story -&gt; sprint -&gt; verification -&gt; evidence</t>
  </si>
  <si>
    <t xml:space="preserve">Source: v009 Full_Backlog (single source of truth). Status "Done" = Done-in-code under the D13 100% gate; Evidence cites the product-workbook version + test run carrying the proof. Rollup formulas read cols E/G/J.</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</si>
  <si>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</si>
  <si>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</si>
  <si>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</si>
  <si>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</si>
  <si>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</si>
  <si>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</si>
  <si>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</si>
  <si>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</si>
  <si>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F1</t>
  </si>
  <si>
    <t xml:space="preserve">Price book + bundles</t>
  </si>
  <si>
    <t xml:space="preserve">As a Sales manager, I can set up Price book + bundles with sensible defaults in one screen</t>
  </si>
  <si>
    <t xml:space="preserve">P0</t>
  </si>
  <si>
    <t xml:space="preserve">SCR-3 Price book workspace</t>
  </si>
  <si>
    <t xml:space="preserve">Automated: unit + HTTP integration (supertest)</t>
  </si>
  <si>
    <t xml:space="preserve">v008 22:19 — priceBookService.setupDefaults idempotent + POST /api/pricebooks/defaults; s2 + s2api suites; 100% x4 (run 2219)</t>
  </si>
  <si>
    <t xml:space="preserve">As a Sales manager, the Price book + bundles happy path completes without documentation</t>
  </si>
  <si>
    <t xml:space="preserve">v008 22:19 — priceQuote engine (bundle maths 804.60+672.60=1477.20) + quotes/price E2E over HTTP; 100% x4 (run 2219)</t>
  </si>
  <si>
    <t xml:space="preserve">As a RevOps, I can customise Price book + bundles rules/conditions for my workflow</t>
  </si>
  <si>
    <t xml:space="preserve">P1</t>
  </si>
  <si>
    <t xml:space="preserve">v008 22:19 — addRule validation + best-discount-wins engine; 7-case matrix + tiered HTTP quote; 100% x4 (run 2219)</t>
  </si>
  <si>
    <t xml:space="preserve">As a user, Price book + bundles shows clear errors and retry paths on platform API failures</t>
  </si>
  <si>
    <t xml:space="preserve">v008 22:19 — AppError + PlatformClient backoff [100,200]; 6 unit + 7 HTTP platform/check cases; 100% x4 (run 2219)</t>
  </si>
  <si>
    <t xml:space="preserve">As a Rep, Price book + bundles works on the HubSpot CRM card + UI extension surface end-to-end</t>
  </si>
  <si>
    <t xml:space="preserve">v009 22:52 — crmCard.ts + signed GET /crm-card + /ui/quote shell; unsigned 401/bad-ids 400/happy/paused HTTP cases; 100% x4 (run 2252). Live HubSpot fetch OPEN (R-Q6)</t>
  </si>
  <si>
    <t xml:space="preserve">As a RevOps, I can see Price book + bundles performance metrics and trends</t>
  </si>
  <si>
    <t xml:space="preserve">v009 22:52 — metricsService aggregates + 7-day UTC trend + GET /api/metrics; bucket-boundary units + 731.60 HTTP case; 100% x4 (run 2252)</t>
  </si>
  <si>
    <t xml:space="preserve">As a user, Price book + bundles respects role permissions and audit logging</t>
  </si>
  <si>
    <t xml:space="preserve">v009 22:52 — audit.ts + record() on 14 mutating routes + GET /api/audit; actor/target HTTP assertions; 100% x4 (run 2252)</t>
  </si>
  <si>
    <t xml:space="preserve">As a Sales manager, I can pause/disable Price book + bundles without data loss</t>
  </si>
  <si>
    <t xml:space="preserve">P2</t>
  </si>
  <si>
    <t xml:space="preserve">v009 22:52 — catalog paused flag + requireActive 409 gate + settings routes; writes-blocked/reads-intact/resume E2E; 100% x4 (run 2252)</t>
  </si>
  <si>
    <t xml:space="preserve">As a RevOps, I can import/migrate existing data into Price book + bundles (CSV + competitor importer)</t>
  </si>
  <si>
    <t xml:space="preserve">v009 22:52 — importService quoted-CSV parser + generic/rivalcpq maps + row-level errors; 6-row error matrix + import-&gt;quote E2E; 100% x4 (run 2252)</t>
  </si>
  <si>
    <t xml:space="preserve">As a user, I get notifications (in-app + email) for key Price book + bundles events with per-type mute</t>
  </si>
  <si>
    <t xml:space="preserve">v009 22:52 — notifications domain+service (per-type mute, failed-email retry) + 5 routes; mute-suppression + 502-retryable-&gt;healed E2E; 100% x4 (run 2252)</t>
  </si>
  <si>
    <t xml:space="preserve">F2</t>
  </si>
  <si>
    <t xml:space="preserve">Approval chains</t>
  </si>
  <si>
    <t xml:space="preserve">As a Sales manager, I can set up Approval chains with sensible defaults in one screen</t>
  </si>
  <si>
    <t xml:space="preserve">SCR-4 Approval chains builder</t>
  </si>
  <si>
    <t xml:space="preserve">v009 22:52 — approvalService.setupDefaults (15% admin chain, idempotent) + defaults route; 201/200 + member-403 cases; 100% x4 (run 2252)</t>
  </si>
  <si>
    <t xml:space="preserve">As a Sales manager, the Approval chains happy path completes without documentation</t>
  </si>
  <si>
    <t xml:space="preserve">v009 22:52 — requestApproval strict-&gt; eval + decide walk + fan-out; full E2E pending-&gt;notified-&gt;approved-&gt;requester-notified; 100% x4 (run 2252)</t>
  </si>
  <si>
    <t xml:space="preserve">As a RevOps, I can customise Approval chains rules/conditions for my workflow</t>
  </si>
  <si>
    <t xml:space="preserve">v009 22:52 — createChain 10-case validation + DQ3 step snapshot; owner-step-blocks-admin E2E; 100% x4 (run 2252)</t>
  </si>
  <si>
    <t xml:space="preserve">As a user, Approval chains shows clear errors and retry paths on platform API failures</t>
  </si>
  <si>
    <t xml:space="preserve">v009 22:52 — typed 400/403/404/409 approval errors + NOTIFICATION_EMAIL_RETRY_FAILED 502 retryable; error-shape HTTP cases; 100% x4 (run 2252)</t>
  </si>
  <si>
    <t xml:space="preserve">As a Rep, Approval chains works on the HubSpot CRM card + UI extension surface end-to-end</t>
  </si>
  <si>
    <t xml:space="preserve">v010 08:17 — crmCard +pending prop +Approvals action + /ui/approvals; signed-card HTTP case pending=1; smoke card step; 100% x4 (run 0817). Live fetch OPEN (R-Q6)</t>
  </si>
  <si>
    <t xml:space="preserve">As a RevOps, I can see Approval chains performance metrics and trends</t>
  </si>
  <si>
    <t xml:space="preserve">v010 08:17 — approvalService.metrics; unit avg 2000ms/25% auto + HTTP 5000ms/50% auto; 100% x4 (run 0817)</t>
  </si>
  <si>
    <t xml:space="preserve">As a user, Approval chains respects role permissions and audit logging</t>
  </si>
  <si>
    <t xml:space="preserve">v010 08:17 — decision audit ":approved" target + ?action= filter HTTP cases; 100% x4 (run 0817)</t>
  </si>
  <si>
    <t xml:space="preserve">As a Sales manager, I can pause/disable Approval chains without data loss</t>
  </si>
  <si>
    <t xml:space="preserve">v010 08:17 — feature pause map + requireActive(feature); approvals-paused-blocks-new/decisions-proceed E2E; 100% x4 (run 0817)</t>
  </si>
  <si>
    <t xml:space="preserve">As a RevOps, I can import/migrate existing data into Approval chains (CSV + competitor importer)</t>
  </si>
  <si>
    <t xml:space="preserve">v010 08:17 — importChainsCsv 7-row error matrix + rivalcpq + NaN guard; imported chain governs live request E2E; 100% x4 (run 0817)</t>
  </si>
  <si>
    <t xml:space="preserve">As a user, I get notifications (in-app + email) for key Approval chains events with per-type mute</t>
  </si>
  <si>
    <t xml:space="preserve">v010 08:17 — remind route fan-out honouring mutes; NOT_OWN/NOT_PENDING/404 guards; 100% x4 (run 0817)</t>
  </si>
  <si>
    <t xml:space="preserve">F3</t>
  </si>
  <si>
    <t xml:space="preserve">E-signature</t>
  </si>
  <si>
    <t xml:space="preserve">As a Sales manager, I can set up E-signature with sensible defaults in one screen</t>
  </si>
  <si>
    <t xml:space="preserve">SCR-5 E-signature view</t>
  </si>
  <si>
    <t xml:space="preserve">v011 08:52 — defaults idempotent + teaching 404; 100% x4 (run 0852)</t>
  </si>
  <si>
    <t xml:space="preserve">As a Sales manager, the E-signature happy path completes without documentation</t>
  </si>
  <si>
    <t xml:space="preserve">v011 08:52 — HTTP journey create-&gt;view-&gt;sign-&gt;completed (672.6 carried), docHash determinism, DQ8 validate-then-mint; 100% x4 (run 0852)</t>
  </si>
  <si>
    <t xml:space="preserve">As a RevOps, I can customise E-signature rules/conditions for my workflow</t>
  </si>
  <si>
    <t xml:space="preserve">v011 08:52 — 9-case validation matrix + snapshot-at-creation; 100% x4 (run 0852)</t>
  </si>
  <si>
    <t xml:space="preserve">As a user, E-signature shows clear errors and retry paths on platform API failures</t>
  </si>
  <si>
    <t xml:space="preserve">v011 08:52 — all typed refusals over HTTP; sticky-expiry clock-rewind unit; 100% x4 (run 0852)</t>
  </si>
  <si>
    <t xml:space="preserve">As a Rep, E-signature works on the HubSpot CRM card + UI extension surface end-to-end</t>
  </si>
  <si>
    <t xml:space="preserve">v011 08:52 — card count 1-&gt;0; /ui/sign shell. Live fetch OPEN (R-Q6); 100% x4 (run 0852)</t>
  </si>
  <si>
    <t xml:space="preserve">As a RevOps, I can see E-signature performance metrics and trends</t>
  </si>
  <si>
    <t xml:space="preserve">v011 08:52 — mix 40% / 3000ms; +20d expiry recount; 100% x4 (run 0852)</t>
  </si>
  <si>
    <t xml:space="preserve">As a user, E-signature respects role permissions and audit logging</t>
  </si>
  <si>
    <t xml:space="preserve">v011 08:52 — perm matrix + signer:&lt;email&gt; audit; 100% x4 (run 0852)</t>
  </si>
  <si>
    <t xml:space="preserve">As a Sales manager, I can pause/disable E-signature without data loss</t>
  </si>
  <si>
    <t xml:space="preserve">v011 08:52 — paused create 409, sent link completes (DQ9); 100% x4 (run 0852)</t>
  </si>
  <si>
    <t xml:space="preserve">As a RevOps, I can import/migrate existing data into E-signature (CSV + competitor importer)</t>
  </si>
  <si>
    <t xml:space="preserve">v011 08:52 — error matrix + ragged rows + rivalsign; 100% x4 (run 0852)</t>
  </si>
  <si>
    <t xml:space="preserve">As a user, I get notifications (in-app + email) for key E-signature events with per-type mute</t>
  </si>
  <si>
    <t xml:space="preserve">v011 08:52 — three envelope types observed over HTTP; 100% x4 (run 0852)</t>
  </si>
  <si>
    <t xml:space="preserve">F4</t>
  </si>
  <si>
    <t xml:space="preserve">Quote analytics</t>
  </si>
  <si>
    <t xml:space="preserve">As a Sales manager, I can set up Quote analytics with sensible defaults in one screen</t>
  </si>
  <si>
    <t xml:space="preserve">SCR-8 Analytics</t>
  </si>
  <si>
    <t xml:space="preserve">v012 12:47 — defaults idempotent + 404; 100% x4 (run 1247)</t>
  </si>
  <si>
    <t xml:space="preserve">As a Sales manager, the Quote analytics happy path completes without documentation</t>
  </si>
  <si>
    <t xml:space="preserve">v012 12:47 — exact-math summary + HTTP w/ stale wiring; 100% x4 (run 1247)</t>
  </si>
  <si>
    <t xml:space="preserve">As a RevOps, I can customise Quote analytics rules/conditions for my workflow</t>
  </si>
  <si>
    <t xml:space="preserve">v012 12:47 — 11-case matrix; 100% x4 (run 1247)</t>
  </si>
  <si>
    <t xml:space="preserve">As a user, Quote analytics shows clear errors and retry paths on platform API failures</t>
  </si>
  <si>
    <t xml:space="preserve">v012 12:47 — pre-setup 404s + export shapes; 100% x4 (run 1247)</t>
  </si>
  <si>
    <t xml:space="preserve">As a Rep, Quote analytics works on the HubSpot CRM card + UI extension surface end-to-end</t>
  </si>
  <si>
    <t xml:space="preserve">v012 12:47 — card [4]=Quotes(7d)=1; 3 actions; shell. R-Q6 open; 100% x4 (run 1247)</t>
  </si>
  <si>
    <t xml:space="preserve">As a RevOps, I can see Quote analytics performance metrics and trends</t>
  </si>
  <si>
    <t xml:space="preserve">v012 12:47 — buckets + discounter ranking; 100% x4 (run 1247)</t>
  </si>
  <si>
    <t xml:space="preserve">As a user, Quote analytics respects role permissions and audit logging</t>
  </si>
  <si>
    <t xml:space="preserve">v012 12:47 — 403 matrix + audit; 100% x4 (run 1247)</t>
  </si>
  <si>
    <t xml:space="preserve">As a Sales manager, I can pause/disable Quote analytics without data loss</t>
  </si>
  <si>
    <t xml:space="preserve">v012 12:47 — DQ10 proof: paused-time quote visible after resume; 100% x4 (run 1247)</t>
  </si>
  <si>
    <t xml:space="preserve">As a RevOps, I can import/migrate existing data into Quote analytics (CSV + competitor importer)</t>
  </si>
  <si>
    <t xml:space="preserve">v012 12:47 — error matrix + per-column fallbacks + rivaliq; 100% x4 (run 1247)</t>
  </si>
  <si>
    <t xml:space="preserve">As a user, I get notifications (in-app + email) for key Quote analytics events with per-type mute</t>
  </si>
  <si>
    <t xml:space="preserve">v012 12:47 — goal-once + mute suppression over HTTP; 100% x4 (run 1247)</t>
  </si>
  <si>
    <t xml:space="preserve">F5</t>
  </si>
  <si>
    <t xml:space="preserve">Deal/line-item sync</t>
  </si>
  <si>
    <t xml:space="preserve">As a Sales manager, I can set up Deal/line-item sync with sensible defaults in one screen</t>
  </si>
  <si>
    <t xml:space="preserve">SCR-3 + HubSpot deal record</t>
  </si>
  <si>
    <t xml:space="preserve">v014 10:38 — defaults + pre-setup 404; 100% x4 (run 1038)</t>
  </si>
  <si>
    <t xml:space="preserve">As a Sales manager, the Deal/line-item sync happy path completes without documentation</t>
  </si>
  <si>
    <t xml:space="preserve">v014 10:38 — push writes lines + amount; repeat is a no-op (DQ14); 100% x4 (run 1038)</t>
  </si>
  <si>
    <t xml:space="preserve">As a RevOps, I can customise Deal/line-item sync rules/conditions for my workflow</t>
  </si>
  <si>
    <t xml:space="preserve">v014 10:38 — 8-case matrix; all skip paths write nothing; 100% x4 (run 1038)</t>
  </si>
  <si>
    <t xml:space="preserve">As a user, Deal/line-item sync shows clear errors and retry paths on platform API failures</t>
  </si>
  <si>
    <t xml:space="preserve">v014 10:38 — 502 + alert + retry/supersede; re-failed retry still 502; 100% x4 (run 1038)</t>
  </si>
  <si>
    <t xml:space="preserve">As a Rep, Deal/line-item sync works on the HubSpot CRM card + UI extension surface end-to-end</t>
  </si>
  <si>
    <t xml:space="preserve">v014 10:38 — /ui/sync shell; read-only 402; R-Q6 open; 100% x4 (run 1038)</t>
  </si>
  <si>
    <t xml:space="preserve">As a RevOps, I can see Deal/line-item sync performance metrics and trends</t>
  </si>
  <si>
    <t xml:space="preserve">v014 10:38 — success rate, topErrors across 3 codes, real durations; 100% x4 (run 1038)</t>
  </si>
  <si>
    <t xml:space="preserve">As a user, Deal/line-item sync respects role permissions and audit logging</t>
  </si>
  <si>
    <t xml:space="preserve">v014 10:38 — perm matrix + audited actions; 100% x4 (run 1038)</t>
  </si>
  <si>
    <t xml:space="preserve">As a Sales manager, I can pause/disable Deal/line-item sync without data loss</t>
  </si>
  <si>
    <t xml:space="preserve">v014 10:38 — queued writes nothing, drains on resume; 100% x4 (run 1038)</t>
  </si>
  <si>
    <t xml:space="preserve">As a RevOps, I can import/migrate existing data into Deal/line-item sync (CSV + competitor importer)</t>
  </si>
  <si>
    <t xml:space="preserve">v014 10:38 — 6-row error matrix + ragged columns + rivalsync; 100% x4 (run 1038)</t>
  </si>
  <si>
    <t xml:space="preserve">As a user, I get notifications (in-app + email) for key Deal/line-item sync events with per-type mute</t>
  </si>
  <si>
    <t xml:space="preserve">v014 10:38 — sync_failed + sync_completed incl. plural wording; 100% x4 (run 1038)</t>
  </si>
  <si>
    <t xml:space="preserve">E1</t>
  </si>
  <si>
    <t xml:space="preserve">Install &amp; lifecycle</t>
  </si>
  <si>
    <t xml:space="preserve">Marketplace OAuth install completes and lands on welcome state in &lt;2 min</t>
  </si>
  <si>
    <t xml:space="preserve">SCR-1 Onboarding / first-run</t>
  </si>
  <si>
    <t xml:space="preserve">v007 22:03 — oauth.ts + GET /install,/oauth/callback + tokenStore/config; suites services/app/units; 100% x4 (run 2203)</t>
  </si>
  <si>
    <t xml:space="preserve">Uninstall webhook removes tokens, schedules data deletion per policy</t>
  </si>
  <si>
    <t xml:space="preserve">v007 22:03 — webhooks/signature.ts (v3 HMAC + replay guard) + uninstall.ts + deletionQueue; 7 webhook HTTP cases; 100% x4 (run 2203)</t>
  </si>
  <si>
    <t xml:space="preserve">Re-install restores account within retention window</t>
  </si>
  <si>
    <t xml:space="preserve">v008 22:19 — restore-on-reinstall + DeletionExecutor retention purge; webhook-&gt;reinstall-&gt;restored-note E2E; 100% x4 (run 2219)</t>
  </si>
  <si>
    <t xml:space="preserve">Multi-user roles: owner/admin/member permission matrix enforced</t>
  </si>
  <si>
    <t xml:space="preserve">v008 22:19 — rbac matrix + identity middleware + first-user-owner bootstrap + /api/users; enforcement across endpoints; 100% x4 (run 2219)</t>
  </si>
  <si>
    <t xml:space="preserve">Session/token refresh survives platform token rotation</t>
  </si>
  <si>
    <t xml:space="preserve">v007 22:03 — tokenManager.ts rotation-safe refresh (60s skew, 5xx retry, 401 path); 9 unit cases; 100% x4 (run 2203)</t>
  </si>
  <si>
    <t xml:space="preserve">Install telemetry: source attribution (listing/search/referral) captured</t>
  </si>
  <si>
    <t xml:space="preserve">v007 22:03 — telemetry.ts + normaliseSource + OAuth state attribution; hostile-source bucketing tests; 100% x4 (run 2203)</t>
  </si>
  <si>
    <t xml:space="preserve">E5</t>
  </si>
  <si>
    <t xml:space="preserve">Billing &amp; plans</t>
  </si>
  <si>
    <t xml:space="preserve">14-day trial without card; banner shows days remaining</t>
  </si>
  <si>
    <t xml:space="preserve">SCR-7 Billing</t>
  </si>
  <si>
    <t xml:space="preserve">v012 12:47 — countdown 14-&gt;1, expired flip, first-touch seeding; 100% x4 (run 1247)</t>
  </si>
  <si>
    <t xml:space="preserve">Upgrade/downgrade mid-cycle prorates correctly</t>
  </si>
  <si>
    <t xml:space="preserve">v012 12:47 — exact cents 3267/13267/10000; -7500 no-call; clamp 0/0/0; 100% x4 (run 1247)</t>
  </si>
  <si>
    <t xml:space="preserve">Marketplace billing API used where mandated; external Stripe fallback elsewhere</t>
  </si>
  <si>
    <t xml:space="preserve">v012 12:47 — routed calls + URLs asserted + failure persists nothing; R-Q10 open; 100% x4 (run 1247)</t>
  </si>
  <si>
    <t xml:space="preserve">Failed payment: 7-day grace, 3 dunning emails, then read-only mode</t>
  </si>
  <si>
    <t xml:space="preserve">v013 10:26 — grace/notice cadence/lapse/recovery + writes 402 while reads 200; 100% x4 (run 1026)</t>
  </si>
  <si>
    <t xml:space="preserve">Plan limits enforced with upgrade prompts at 80%/100%</t>
  </si>
  <si>
    <t xml:space="preserve">v013 10:26 — 80% once per crossing, 100% blocks all quote paths, upgrade lifts ceiling; 100% x4 (run 1026)</t>
  </si>
  <si>
    <t xml:space="preserve">Invoices/receipts downloadable; GST/VAT fields supported</t>
  </si>
  <si>
    <t xml:space="preserve">v013 10:26 — GST 18% / VAT 20% to the cent, receipt parity, no invoice on net&lt;=0; 100% x4 (run 1026)</t>
  </si>
  <si>
    <t xml:space="preserve">Cancellation flow with save-offer and exit survey</t>
  </si>
  <si>
    <t xml:space="preserve">v013 10:26 — offer guard, survey validation, cancelled portal reads + exports; 100% x4 (run 1026)</t>
  </si>
  <si>
    <t xml:space="preserve">E6</t>
  </si>
  <si>
    <t xml:space="preserve">Compliance &amp; security</t>
  </si>
  <si>
    <t xml:space="preserve">Scopes requested map 1:1 to shipped features (least privilege doc)</t>
  </si>
  <si>
    <t xml:space="preserve">SCR-6 Settings &amp; team</t>
  </si>
  <si>
    <t xml:space="preserve">v013 10:26 — leastPrivilege vs real config; over/under-asking flagged; 100% x4 (run 1026)</t>
  </si>
  <si>
    <t xml:space="preserve">Data-flow diagram + retention policy published</t>
  </si>
  <si>
    <t xml:space="preserve">v014 10:38 — 7 stores asserted complete incl. 7-year billing retention; 100% x4 (run 1038)</t>
  </si>
  <si>
    <t xml:space="preserve">Encryption at rest + in transit verified; secrets in vault</t>
  </si>
  <si>
    <t xml:space="preserve">v014 10:38 — PARTIAL on SEC-03/SEC-04 with owner (R-Q11); redaction proven; 100% x4 (run 1038)</t>
  </si>
  <si>
    <t xml:space="preserve">Audit log for admin-sensitive actions</t>
  </si>
  <si>
    <t xml:space="preserve">v014 10:38 — admin view includes pause/subscribe/sync.settings, excludes sync.push; 100% x4 (run 1038)</t>
  </si>
  <si>
    <t xml:space="preserve">Pen-test (or platform-required evidence) completed and archived</t>
  </si>
  <si>
    <t xml:space="preserve">v015 10:56 — 10 abuse cases, statement disclaims uncommissioned pen test; R-Q12; 100% x4 (run 1056)</t>
  </si>
  <si>
    <t xml:space="preserve">v015 10:56 — export + manifest + two-step deletion w/ receipt and expiry; 100% x4 (run 1056)</t>
  </si>
  <si>
    <t xml:space="preserve">Rate-limit backoff + circuit breaker on platform APIs</t>
  </si>
  <si>
    <t xml:space="preserve">v014 10:38 — open/fail-fast/half-open/close + failed-trial re-open; 100% x4 (run 1038)</t>
  </si>
  <si>
    <t xml:space="preserve">E7</t>
  </si>
  <si>
    <t xml:space="preserve">Telemetry &amp; analytics</t>
  </si>
  <si>
    <t xml:space="preserve">Activation funnel events (install-&gt;setup-&gt;aha-&gt;habit) in one dashboard</t>
  </si>
  <si>
    <t xml:space="preserve">v010 08:17 — activation ladder unit + setup-&gt;aha-&gt;habit over 10 HTTP quotes; markers on oauth/defaults/quotes; 100% x4 (run 0817)</t>
  </si>
  <si>
    <t xml:space="preserve">Error tracking with release tagging; alert on error-rate spike</t>
  </si>
  <si>
    <t xml:space="preserve">v010 08:17 — errorTracker episode semantics unit + 5x502 HTTP spike notifying admins once; release v0.4.0 tag; 100% x4 (run 0817)</t>
  </si>
  <si>
    <t xml:space="preserve">Feature-usage heatmap for roadmap decisions</t>
  </si>
  <si>
    <t xml:space="preserve">v014 10:38 — ranked heatmap + unused features; 100% x4 (run 1038)</t>
  </si>
  <si>
    <t xml:space="preserve">Weekly automated metrics email to team</t>
  </si>
  <si>
    <t xml:space="preserve">v014 10:38 — digest asserted; scheduler deployment-side; 100% x4 (run 1038)</t>
  </si>
  <si>
    <t xml:space="preserve">Health score computed per account (usage+billing+support)</t>
  </si>
  <si>
    <t xml:space="preserve">v014 10:38 — score bands + funnel-milestone activity chain; 100% x4 (run 1038)</t>
  </si>
  <si>
    <t xml:space="preserve">Metrics export to CSV/warehouse for founder analysis</t>
  </si>
  <si>
    <t xml:space="preserve">v014 10:38 — CSV header + rows; 100% x4 (run 1038)</t>
  </si>
  <si>
    <t xml:space="preserve">Alert thresholds configurable (activation drop, error spike, churn signal)</t>
  </si>
  <si>
    <t xml:space="preserve">v014 10:38 — three alert types, severity escalation, validation; 100% x4 (run 1038)</t>
  </si>
  <si>
    <t xml:space="preserve">E8</t>
  </si>
  <si>
    <t xml:space="preserve">Onboarding, docs &amp; support</t>
  </si>
  <si>
    <t xml:space="preserve">First-run checklist reaches aha-moment in &lt;1 day</t>
  </si>
  <si>
    <t xml:space="preserve">SCR-9 Help &amp; support</t>
  </si>
  <si>
    <t xml:space="preserve">v011 08:52 — checklist 14%-&gt;100% + ahaReached over HTTP; 100% x4 (run 0852)</t>
  </si>
  <si>
    <t xml:space="preserve">Empty states teach next action on every screen</t>
  </si>
  <si>
    <t xml:space="preserve">v011 08:52 — five lists emptyState present-then-absent; 100% x4 (run 0852)</t>
  </si>
  <si>
    <t xml:space="preserve">Help center with 15 launch articles + search</t>
  </si>
  <si>
    <t xml:space="preserve">v016 11:11 — 15 articles, ranked search, public access, feature-coverage test; 100% x4 (run 1111)</t>
  </si>
  <si>
    <t xml:space="preserve">In-app chat with &lt;4 business-hr first response</t>
  </si>
  <si>
    <t xml:space="preserve">v016 11:11 — business-hours maths both directions, weekend case, breach + overdue reporting; 100% x4 (run 1111)</t>
  </si>
  <si>
    <t xml:space="preserve">In-app review ask after aha-moment (marketplace rating engine)</t>
  </si>
  <si>
    <t xml:space="preserve">v017 11:25 — all suppression signals, 90-day floor, lifetime cap, permanent decline; no review-gating; 100% x4 (run 1125)</t>
  </si>
  <si>
    <t xml:space="preserve">Demo video (2 min) + interactive sandbox/demo data mode</t>
  </si>
  <si>
    <t xml:space="preserve">v016 11:11 — sandbox dashboards populated (75% win rate, large deals, alerts); double-seed 409; 100% x4 (run 1111)</t>
  </si>
  <si>
    <t xml:space="preserve">v016 11:11 — component roll-up from live signals; 4 incident templates render clean; 100% x4 (run 1111)</t>
  </si>
  <si>
    <t xml:space="preserve">EQ</t>
  </si>
  <si>
    <t xml:space="preserve">Quality engineering</t>
  </si>
  <si>
    <t xml:space="preserve">Unit+integration test coverage gate 100% on ALL code (D13, 10 Sep 2026 — supersedes the earlier &gt;=70% gate)</t>
  </si>
  <si>
    <t xml:space="preserve">— (cross-cutting)</t>
  </si>
  <si>
    <t xml:space="preserve">v009 22:52 — jest.config.js coverageThreshold 100x4 (since S1); run 20260910_2252: 150 tests / 7 suites, All files 100|100|100|100, EXIT=0</t>
  </si>
  <si>
    <t xml:space="preserve">E2E smoke suite runs on every deploy</t>
  </si>
  <si>
    <t xml:space="preserve">Automated: E2E smoke journey (supertest)</t>
  </si>
  <si>
    <t xml:space="preserve">v010 08:17 — tests/smoke.test.ts install-&gt;uninstall journey; npm run test:smoke; CI smoke-on-deploy on main; green in run 0817</t>
  </si>
  <si>
    <t xml:space="preserve">p95 latency budgets defined and monitored per surface</t>
  </si>
  <si>
    <t xml:space="preserve">v014 10:38 — p95 nearest-rank, bounded window, middleware samples; 100% x4 (run 1038)</t>
  </si>
  <si>
    <t xml:space="preserve">Load test at 5x expected launch traffic</t>
  </si>
  <si>
    <t xml:space="preserve">v014 10:38 — 250 requests, budgets held, 50 deals synced once each; 100% x4 (run 1038)</t>
  </si>
  <si>
    <t xml:space="preserve">Accessibility WCAG AA pass on primary flows</t>
  </si>
  <si>
    <t xml:space="preserve">v015 10:56 — 5 shells pass; checker tested per rule; served HTML asserted; 100% x4 (run 1056)</t>
  </si>
  <si>
    <t xml:space="preserve">v015 10:56 — round-trip verified; skipped surfaced; drill no longer destroys non-restorable data; 100% x4 (run 1056)</t>
  </si>
  <si>
    <t xml:space="preserve">Chaos test: platform API outage degrades gracefully with user comms</t>
  </si>
  <si>
    <t xml:space="preserve">v015 10:56 — six degradation properties under outage; 100% x4 (run 1056)</t>
  </si>
  <si>
    <t xml:space="preserve">Zero-downtime deploy verified (blue/green or rolling)</t>
  </si>
  <si>
    <t xml:space="preserve">v014 10:38 — drain flips readiness, liveness green, in-flight completes; 100% x4 (run 1038)</t>
  </si>
  <si>
    <t xml:space="preserve">EL</t>
  </si>
  <si>
    <t xml:space="preserve">Launch &amp; listing</t>
  </si>
  <si>
    <t xml:space="preserve">Marketplace listing copy A + B variants drafted and reviewed</t>
  </si>
  <si>
    <t xml:space="preserve">— (marketplace listing)</t>
  </si>
  <si>
    <t xml:space="preserve">v015 10:56 — variants A/B, limits asserted by test; 100% x4 (run 1056)</t>
  </si>
  <si>
    <t xml:space="preserve">5 screenshots + 2-min demo video meet platform asset specs</t>
  </si>
  <si>
    <t xml:space="preserve">v015 10:56 — brief complete; capture blocked on R-Q5; 100% x4 (run 1056)</t>
  </si>
  <si>
    <t xml:space="preserve">Pricing page/plan matrix published with FAQ</t>
  </si>
  <si>
    <t xml:space="preserve">v016 11:11 — published prices asserted equal to PLANS (DQ19); FAQ covers dunning and cancellation; 100% x4 (run 1111)</t>
  </si>
  <si>
    <t xml:space="preserve">Security/trust page (data handling, subprocessors) live</t>
  </si>
  <si>
    <t xml:space="preserve">v016 11:11 — retention, subprocessors, scopes and unmet controls with owners; 100% x4 (run 1111)</t>
  </si>
  <si>
    <t xml:space="preserve">Submission dry-run against platform checklist by second reviewer</t>
  </si>
  <si>
    <t xml:space="preserve">v016 11:11 — 12 pass / 0 fail / 2 manual from live state; failure paths asserted; 100% x4 (run 1111)</t>
  </si>
  <si>
    <t xml:space="preserve">Launch-day runbook: monitoring, rollback, comms tree</t>
  </si>
  <si>
    <t xml:space="preserve">v017 11:25 — go/no-go from live state incl. real drill; verified rollback ordering; comms tree; 100% x4 (run 1125)</t>
  </si>
  <si>
    <t xml:space="preserve">Post-launch listing SEO iteration 1 from search-term data</t>
  </si>
  <si>
    <t xml:space="preserve">v018 11:34 — five verdicts + threshold boundaries; unsupported demand excluded (DQ25); erp-in-enterprise and sign-in-design locked; baseline fallback on over-long copy; 100% x4 (run 1134)</t>
  </si>
  <si>
    <t xml:space="preserve">v017 11:25 — identified/contacted count as 0 scheduled; target flips onTrack at 10; 100% x4 (run 1125)</t>
  </si>
  <si>
    <t xml:space="preserve">SPRINT STATUS ROLLUP — live formulas over Traceability_Matrix</t>
  </si>
  <si>
    <t xml:space="preserve">Do not edit computed cells. 'Done' counts Done-in-code under D13. RAG is manual.</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</si>
  <si>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</si>
  <si>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</si>
  <si>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</si>
  <si>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</si>
  <si>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</si>
  <si>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</si>
  <si>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</si>
  <si>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GREEN — 4/4 done-in-code; live install pending (R-Q5)</t>
  </si>
  <si>
    <t xml:space="preserve">App installs cleanly in dev store/org; telemetry firing</t>
  </si>
  <si>
    <t xml:space="preserve">Core feature Price book + bundles - part 1</t>
  </si>
  <si>
    <t xml:space="preserve">GREEN — 6/6 done-in-code; happy path E2E-proven</t>
  </si>
  <si>
    <t xml:space="preserve">Price book + bundles happy path demoable</t>
  </si>
  <si>
    <t xml:space="preserve">Core feature Price book + bundles - part 2 + Approval chains start</t>
  </si>
  <si>
    <t xml:space="preserve">GREEN — 11/11 done-in-code; live CRM card fetch pending (R-Q6)</t>
  </si>
  <si>
    <t xml:space="preserve">Price book + bundles complete with tests; Approval chains skeleton</t>
  </si>
  <si>
    <t xml:space="preserve">Core feature Approval chains</t>
  </si>
  <si>
    <t xml:space="preserve">GREEN — 9/9 done-in-code; smoke suite = MVP loop; Postgres carried (R-Q4)</t>
  </si>
  <si>
    <t xml:space="preserve">MVP loop usable end-to-end internally</t>
  </si>
  <si>
    <t xml:space="preserve">Feature E-signature + alpha hardening</t>
  </si>
  <si>
    <t xml:space="preserve">GREEN — 12/12 done-in-code; e-sign loop smoke-verified; live dogfood needs deployment (R-Q5)</t>
  </si>
  <si>
    <t xml:space="preserve">Internal alpha: team dogfoods daily</t>
  </si>
  <si>
    <t xml:space="preserve">Billing + Quote analytics</t>
  </si>
  <si>
    <t xml:space="preserve">GREEN — 13/13 done-in-code; smoke charges + upgrades a test portal; live charging needs R-Q10 credentials</t>
  </si>
  <si>
    <t xml:space="preserve">Can charge a test customer; upgrade/downgrade paths work</t>
  </si>
  <si>
    <t xml:space="preserve">Private beta (design partners)</t>
  </si>
  <si>
    <t xml:space="preserve">GREEN — 5/5 done-in-code; full paying-customer billing lifecycle + scope disclosure exercised; partner recruitment external (R-Q5)</t>
  </si>
  <si>
    <t xml:space="preserve">3+ partners active weekly; NPS pulse &gt;30</t>
  </si>
  <si>
    <t xml:space="preserve">Beta iteration + Deal/line-item sync</t>
  </si>
  <si>
    <t xml:space="preserve">GREEN — 22/22 done-in-code; sync loop smoke-verified with idempotency; ST-066 encryption posture partial pending vault/at-rest provisioning (R-Q11)</t>
  </si>
  <si>
    <t xml:space="preserve">Retention of beta cohort week-over-week &gt;60%</t>
  </si>
  <si>
    <t xml:space="preserve">Marketplace review prep</t>
  </si>
  <si>
    <t xml:space="preserve">AMBER — 5/7 Done; ST-068 needs a commissioned external pen test (R-Q12) and ST-094 needs a live install to capture assets (R-Q5). All code-side work complete and tested.</t>
  </si>
  <si>
    <t xml:space="preserve">Review submission accepted into queue</t>
  </si>
  <si>
    <t xml:space="preserve">Review remediation + docs</t>
  </si>
  <si>
    <t xml:space="preserve">GREEN — 7/7 done-in-code; submission dry-run reports 12 pass / 0 fail / 2 manual against live state</t>
  </si>
  <si>
    <t xml:space="preserve">Marketplace approval obtained (or final remediation cycle)</t>
  </si>
  <si>
    <t xml:space="preserve">Launch</t>
  </si>
  <si>
    <t xml:space="preserve">GREEN (code) — 3/3 done-in-code. Launch itself is BLOCKED: preflight returns no_go on PRE-07 because billing runs against stubs (R-Q10). Supply live credentials and the preflight goes green.</t>
  </si>
  <si>
    <t xml:space="preserve">First 10 installs; first 3 reviews; activation &gt;40%</t>
  </si>
  <si>
    <t xml:space="preserve">Iterate &amp; scale decision</t>
  </si>
  <si>
    <t xml:space="preserve">GREEN — 1/1 done-in-code. Engine and guards shipped; iteration against real search-term data needs the listing live (R-Q5/R-Q10).</t>
  </si>
  <si>
    <t xml:space="preserve">Growth model doc with CAC/LTV first estimates</t>
  </si>
  <si>
    <t xml:space="preserve">TOTAL</t>
  </si>
  <si>
    <t xml:space="preserve">RAID — seeded from v006/v009 Risk_Register + build findings</t>
  </si>
  <si>
    <t xml:space="preserve">Type</t>
  </si>
  <si>
    <t xml:space="preserve">Raised</t>
  </si>
  <si>
    <t xml:space="preserve">Notes / Mitigation</t>
  </si>
  <si>
    <t xml:space="preserve">R-Q1</t>
  </si>
  <si>
    <t xml:space="preserve">Risk</t>
  </si>
  <si>
    <t xml:space="preserve">HubSpot ships native CPQ upgrades to close the gap (High/Medium)</t>
  </si>
  <si>
    <t xml:space="preserve">Depth on approvals + e-sign; certified-app trust moat (Launch_Checklist #5)</t>
  </si>
  <si>
    <t xml:space="preserve">R-Q2</t>
  </si>
  <si>
    <t xml:space="preserve">Portal API rate limits throttle bulk quote ops (Medium/Medium)</t>
  </si>
  <si>
    <t xml:space="preserve">PlatformClient backoff shipped S2 (ST-004); queue + batch architecture from S4+; load test at ST-088</t>
  </si>
  <si>
    <t xml:space="preserve">R-Q3</t>
  </si>
  <si>
    <t xml:space="preserve">SMB price sensitivity caps ARPU (Medium/High)</t>
  </si>
  <si>
    <t xml:space="preserve">Per-quote-sender pricing; annual plan push; pricing test at S12</t>
  </si>
  <si>
    <t xml:space="preserve">Constraint</t>
  </si>
  <si>
    <t xml:space="preserve">22:19</t>
  </si>
  <si>
    <t xml:space="preserve">Sandbox has no Postgres — persistence is in-memory behind store interfaces</t>
  </si>
  <si>
    <t xml:space="preserve">DQ4/L-018: adapter deferred; L-024 (11 Sep): live apt install attempted — mirror 404s + timeout, PG_ABSENT verified. Needs working mirror or container DB; carried to S5. Interfaces unchanged. UPDATE 13 Sep 16:36: schema delivered in review pass 2 and adapters for audit/analytics/sync delivered now, proved against a real Postgres engine in tests. Outstanding: a live instance, the remaining six stores, and R-Q13.</t>
  </si>
  <si>
    <t xml:space="preserve">R-Q5</t>
  </si>
  <si>
    <t xml:space="preserve">Dependency</t>
  </si>
  <si>
    <t xml:space="preserve">22:03</t>
  </si>
  <si>
    <t xml:space="preserve">LIVE dev-portal install verification (S1 exit criterion) needs Senthil</t>
  </si>
  <si>
    <t xml:space="preserve">HubSpot dev portal app + client ID/secret; code-verified via integration tests meanwhile (E004)</t>
  </si>
  <si>
    <t xml:space="preserve">R-Q6</t>
  </si>
  <si>
    <t xml:space="preserve">22:52</t>
  </si>
  <si>
    <t xml:space="preserve">LIVE CRM card fetch from a real HubSpot portal (ST-005 surface) needs Senthil</t>
  </si>
  <si>
    <t xml:space="preserve">Same dev-portal setup as R-Q5; signed-request handling already proven in automation</t>
  </si>
  <si>
    <t xml:space="preserve">R-Q7</t>
  </si>
  <si>
    <t xml:space="preserve">Email transport is a no-op default until a provider is wired</t>
  </si>
  <si>
    <t xml:space="preserve">DQ5: sent/failed/retry paths fully tested against mutable fake; provider lands with GTM plumbing S5 note: signer outreach (envelope links + reminders) rides the same provider — API returns signerLinks meanwhile (DQ5 update).</t>
  </si>
  <si>
    <t xml:space="preserve">R-Q8</t>
  </si>
  <si>
    <t xml:space="preserve">/api identity header-based until HubSpot-signed identity extends beyond the card surface</t>
  </si>
  <si>
    <t xml:space="preserve">DQ2: signed CRM card shipped S3; UI-extension auth rides S4+; risk is spoofed headers in any pre-launch shared deployment — do not expose /api publicly before then</t>
  </si>
  <si>
    <t xml:space="preserve">A-Q1</t>
  </si>
  <si>
    <t xml:space="preserve">Assumption</t>
  </si>
  <si>
    <t xml:space="preserve">D13 (interviews parked, 100% coverage) applies portfolio-wide incl. QuoteFlow</t>
  </si>
  <si>
    <t xml:space="preserve">Per Senthil 20:45 instruction; S0 activities (PRD sign-off, prototype tests) remain formally unclosed</t>
  </si>
  <si>
    <t xml:space="preserve">A-Q2</t>
  </si>
  <si>
    <t xml:space="preserve">08:17</t>
  </si>
  <si>
    <t xml:space="preserve">CI smoke-on-deploy job treats pushes to main as the deploy trigger (ST-086)</t>
  </si>
  <si>
    <t xml:space="preserve">Wire to the real deploy pipeline hook when hosting lands (S8 zero-downtime work, ST-092)</t>
  </si>
  <si>
    <t xml:space="preserve">R-Q10</t>
  </si>
  <si>
    <t xml:space="preserve">Live billing needs provider credentials: HubSpot marketplace listing approval (app-monetization access) for the marketplace channel and Stripe API keys for the direct channel. Until then charging is verified against provider stubs + asserted API URLs only.</t>
  </si>
  <si>
    <t xml:space="preserve">Opened S6 close (12:47). Code paths fully tested; swap stubs for live keys and re-run smoke. S7 note: dunning, recovery and invoice issue paths are all provider-stubbed too — the same credential swap covers them.</t>
  </si>
  <si>
    <t xml:space="preserve">R-Q11</t>
  </si>
  <si>
    <t xml:space="preserve">SEC-03 (managed secret vault + rotation) and SEC-04 (encryption at rest) are published as PARTIAL on the trust page. Both are deployment-side: a vault must be provisioned and Postgres stood up before the page can claim full compliance. Marketplace security review will ask.</t>
  </si>
  <si>
    <t xml:space="preserve">Opened S8 close (10:38). Code declares the posture honestly; a test fails the build if the outstanding list is emptied without the work being done.</t>
  </si>
  <si>
    <t xml:space="preserve">R-Q12</t>
  </si>
  <si>
    <t xml:space="preserve">No external penetration test has been commissioned. The evidence pack covers 8 of 10 abuse cases with automated tests and says so plainly, but infrastructure-level assessment needs an external tester. Marketplace security review may require it before listing.</t>
  </si>
  <si>
    <t xml:space="preserve">Opened S9 close (10:56). Budget and vendor selection needed; the abuse-case list can serve as the scope document.</t>
  </si>
  <si>
    <t xml:space="preserve">Issue</t>
  </si>
  <si>
    <t xml:space="preserve">Store interfaces are synchronous, so the Postgres adapters use a write-through cache and support a single writer only. Multi-instance deployment requires migrating the interfaces to async across roughly 40 call sites.</t>
  </si>
  <si>
    <t xml:space="preserve">Senthil / next code phase</t>
  </si>
  <si>
    <t xml:space="preserve">UPDATE 13 Sep 17:30: the dangerous half is closed - a writer lease now refuses a second instance at startup instead of allowing silent divergence. The async interface migration itself (~40 call sites) remains open and should be a dedicated phase, not a review fix.</t>
  </si>
  <si>
    <t xml:space="preserve">Approval chains and requests are still in-memory. The tables exist (migration 002) but no adapter writes them, so approval requests do not survive a restart even on the Postgres backend.</t>
  </si>
  <si>
    <t xml:space="preserve">Next code phase</t>
  </si>
  <si>
    <t xml:space="preserve">Closed 13 Sep 17:23: PgApprovalStore written and wired; an approval decision is proved to survive a restart through the real HTTP flow.</t>
  </si>
  <si>
    <t xml:space="preserve">COMPLETION GATE (D7) — QuoteFlow is DONE only when every row passes</t>
  </si>
  <si>
    <t xml:space="preserve">R2: code complete counts for nothing. Gate decision = Senthil.</t>
  </si>
  <si>
    <t xml:space="preserve">Gate item</t>
  </si>
  <si>
    <t xml:space="preserve">Source</t>
  </si>
  <si>
    <t xml:space="preserve">G-01</t>
  </si>
  <si>
    <t xml:space="preserve">App LISTED on HubSpot App Marketplace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</si>
  <si>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</si>
  <si>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</si>
  <si>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</si>
  <si>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</si>
  <si>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</si>
  <si>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</si>
  <si>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</si>
  <si>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</si>
  <si>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</si>
  <si>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</si>
  <si>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QuoteFlow enters run mode</t>
  </si>
  <si>
    <t xml:space="preserve">N4 / R1</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</si>
</sst>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name val="Arial"/>
      <family val="0"/>
      <charset val="1"/>
    </font>
    <font>
      <b val="true"/>
      <sz val="10"/>
      <color rgb="FFFFFFFF"/>
      <name val="Arial"/>
      <family val="0"/>
      <charset val="1"/>
    </font>
    <font>
      <sz val="10"/>
      <name val="Arial"/>
      <family val="0"/>
      <charset val="1"/>
    </font>
    <font>
      <sz val="10"/>
      <color rgb="FF006100"/>
      <name val="Arial"/>
      <family val="0"/>
      <charset val="1"/>
    </font>
    <font>
      <sz val="10"/>
      <color rgb="FF9C5700"/>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EB9C"/>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22"/>
    <col collapsed="false" customWidth="true" hidden="false" outlineLevel="0" max="4" min="4" style="1" width="110"/>
    <col collapsed="false" customWidth="true" hidden="false" outlineLevel="0" max="5" min="5" style="1" width="1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45.7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c r="C6" s="5"/>
      <c r="D6" s="5" t="s">
        <v>16</v>
      </c>
      <c r="E6" s="5" t="s">
        <v>17</v>
      </c>
    </row>
    <row r="7" customFormat="false" ht="57" hidden="false" customHeight="true" outlineLevel="0" collapsed="false">
      <c r="A7" s="5" t="s">
        <v>15</v>
      </c>
      <c r="B7" s="5" t="s">
        <v>18</v>
      </c>
      <c r="C7" s="5" t="s">
        <v>9</v>
      </c>
      <c r="D7" s="5" t="s">
        <v>19</v>
      </c>
      <c r="E7" s="5" t="s">
        <v>11</v>
      </c>
    </row>
    <row r="8" customFormat="false" ht="23.25" hidden="false" customHeight="true" outlineLevel="0" collapsed="false">
      <c r="A8" s="5" t="s">
        <v>20</v>
      </c>
      <c r="B8" s="5"/>
      <c r="C8" s="5"/>
      <c r="D8" s="5" t="s">
        <v>21</v>
      </c>
      <c r="E8" s="5" t="s">
        <v>17</v>
      </c>
    </row>
    <row r="9" customFormat="false" ht="57" hidden="false" customHeight="true" outlineLevel="0" collapsed="false">
      <c r="A9" s="5" t="s">
        <v>20</v>
      </c>
      <c r="B9" s="5" t="s">
        <v>22</v>
      </c>
      <c r="C9" s="5" t="s">
        <v>9</v>
      </c>
      <c r="D9" s="5" t="s">
        <v>23</v>
      </c>
      <c r="E9" s="5" t="s">
        <v>11</v>
      </c>
    </row>
    <row r="10" customFormat="false" ht="15" hidden="false" customHeight="true" outlineLevel="0" collapsed="false">
      <c r="A10" s="5" t="s">
        <v>24</v>
      </c>
      <c r="B10" s="5"/>
      <c r="C10" s="5"/>
      <c r="D10" s="5" t="s">
        <v>25</v>
      </c>
      <c r="E10" s="5" t="s">
        <v>17</v>
      </c>
    </row>
    <row r="11" customFormat="false" ht="45.75" hidden="false" customHeight="true" outlineLevel="0" collapsed="false">
      <c r="A11" s="5" t="s">
        <v>24</v>
      </c>
      <c r="B11" s="5" t="s">
        <v>26</v>
      </c>
      <c r="C11" s="5" t="s">
        <v>9</v>
      </c>
      <c r="D11" s="5" t="s">
        <v>27</v>
      </c>
      <c r="E11" s="5" t="s">
        <v>11</v>
      </c>
    </row>
    <row r="12" customFormat="false" ht="15" hidden="false" customHeight="true" outlineLevel="0" collapsed="false">
      <c r="A12" s="5" t="s">
        <v>28</v>
      </c>
      <c r="B12" s="5"/>
      <c r="C12" s="5"/>
      <c r="D12" s="5" t="s">
        <v>29</v>
      </c>
      <c r="E12" s="5" t="s">
        <v>17</v>
      </c>
    </row>
    <row r="13" customFormat="false" ht="57" hidden="false" customHeight="true" outlineLevel="0" collapsed="false">
      <c r="A13" s="5" t="s">
        <v>28</v>
      </c>
      <c r="B13" s="5" t="s">
        <v>30</v>
      </c>
      <c r="C13" s="5" t="s">
        <v>9</v>
      </c>
      <c r="D13" s="5" t="s">
        <v>31</v>
      </c>
      <c r="E13" s="5" t="s">
        <v>11</v>
      </c>
    </row>
    <row r="14" customFormat="false" ht="15" hidden="false" customHeight="true" outlineLevel="0" collapsed="false">
      <c r="A14" s="5" t="s">
        <v>32</v>
      </c>
      <c r="B14" s="5"/>
      <c r="C14" s="5"/>
      <c r="D14" s="5" t="s">
        <v>33</v>
      </c>
      <c r="E14" s="5" t="s">
        <v>17</v>
      </c>
    </row>
    <row r="15" customFormat="false" ht="57" hidden="false" customHeight="true" outlineLevel="0" collapsed="false">
      <c r="A15" s="5" t="s">
        <v>32</v>
      </c>
      <c r="B15" s="5" t="s">
        <v>34</v>
      </c>
      <c r="C15" s="5" t="s">
        <v>9</v>
      </c>
      <c r="D15" s="5" t="s">
        <v>35</v>
      </c>
      <c r="E15" s="5" t="s">
        <v>11</v>
      </c>
    </row>
    <row r="16" customFormat="false" ht="15" hidden="false" customHeight="true" outlineLevel="0" collapsed="false">
      <c r="A16" s="5" t="s">
        <v>36</v>
      </c>
      <c r="B16" s="5"/>
      <c r="C16" s="5"/>
      <c r="D16" s="5" t="s">
        <v>37</v>
      </c>
      <c r="E16" s="5" t="s">
        <v>17</v>
      </c>
    </row>
    <row r="17" customFormat="false" ht="45.75" hidden="false" customHeight="true" outlineLevel="0" collapsed="false">
      <c r="A17" s="5" t="s">
        <v>36</v>
      </c>
      <c r="B17" s="5" t="s">
        <v>38</v>
      </c>
      <c r="C17" s="5" t="s">
        <v>9</v>
      </c>
      <c r="D17" s="5" t="s">
        <v>39</v>
      </c>
      <c r="E17" s="5" t="s">
        <v>11</v>
      </c>
    </row>
    <row r="18" customFormat="false" ht="15" hidden="false" customHeight="true" outlineLevel="0" collapsed="false">
      <c r="A18" s="5" t="s">
        <v>40</v>
      </c>
      <c r="B18" s="5"/>
      <c r="C18" s="5"/>
      <c r="D18" s="5" t="s">
        <v>41</v>
      </c>
      <c r="E18" s="5" t="s">
        <v>17</v>
      </c>
    </row>
    <row r="19" customFormat="false" ht="45.75" hidden="false" customHeight="true" outlineLevel="0" collapsed="false">
      <c r="A19" s="5" t="s">
        <v>40</v>
      </c>
      <c r="B19" s="5" t="s">
        <v>42</v>
      </c>
      <c r="C19" s="5" t="s">
        <v>9</v>
      </c>
      <c r="D19" s="5" t="s">
        <v>43</v>
      </c>
      <c r="E19" s="5" t="s">
        <v>11</v>
      </c>
    </row>
    <row r="20" customFormat="false" ht="15" hidden="false" customHeight="true" outlineLevel="0" collapsed="false">
      <c r="A20" s="5" t="s">
        <v>44</v>
      </c>
      <c r="B20" s="5"/>
      <c r="C20" s="5"/>
      <c r="D20" s="5" t="s">
        <v>45</v>
      </c>
      <c r="E20" s="5" t="s">
        <v>17</v>
      </c>
    </row>
    <row r="21" customFormat="false" ht="45.75" hidden="false" customHeight="true" outlineLevel="0" collapsed="false">
      <c r="A21" s="5" t="s">
        <v>44</v>
      </c>
      <c r="B21" s="5" t="s">
        <v>46</v>
      </c>
      <c r="C21" s="5" t="s">
        <v>9</v>
      </c>
      <c r="D21" s="5" t="s">
        <v>47</v>
      </c>
      <c r="E21" s="5" t="s">
        <v>11</v>
      </c>
    </row>
    <row r="22" customFormat="false" ht="15" hidden="false" customHeight="true" outlineLevel="0" collapsed="false">
      <c r="A22" s="5" t="s">
        <v>48</v>
      </c>
      <c r="B22" s="5"/>
      <c r="C22" s="5"/>
      <c r="D22" s="5" t="s">
        <v>49</v>
      </c>
      <c r="E22" s="5" t="s">
        <v>50</v>
      </c>
    </row>
    <row r="23" customFormat="false" ht="45.75" hidden="false" customHeight="true" outlineLevel="0" collapsed="false">
      <c r="A23" s="5" t="s">
        <v>51</v>
      </c>
      <c r="B23" s="5" t="s">
        <v>52</v>
      </c>
      <c r="C23" s="5" t="s">
        <v>9</v>
      </c>
      <c r="D23" s="5" t="s">
        <v>53</v>
      </c>
      <c r="E23" s="5" t="s">
        <v>11</v>
      </c>
    </row>
    <row r="24" customFormat="false" ht="23.25" hidden="false" customHeight="true" outlineLevel="0" collapsed="false">
      <c r="A24" s="5" t="s">
        <v>54</v>
      </c>
      <c r="B24" s="5"/>
      <c r="C24" s="5"/>
      <c r="D24" s="5" t="s">
        <v>55</v>
      </c>
      <c r="E24" s="5" t="s">
        <v>17</v>
      </c>
    </row>
    <row r="25" customFormat="false" ht="45.75" hidden="false" customHeight="true" outlineLevel="0" collapsed="false">
      <c r="A25" s="5" t="s">
        <v>54</v>
      </c>
      <c r="B25" s="5" t="s">
        <v>56</v>
      </c>
      <c r="C25" s="5" t="s">
        <v>9</v>
      </c>
      <c r="D25" s="5" t="s">
        <v>57</v>
      </c>
      <c r="E25" s="5" t="s">
        <v>11</v>
      </c>
    </row>
    <row r="26" customFormat="false" ht="23.25" hidden="false" customHeight="true" outlineLevel="0" collapsed="false">
      <c r="A26" s="5" t="s">
        <v>58</v>
      </c>
      <c r="B26" s="5"/>
      <c r="C26" s="5"/>
      <c r="D26" s="5" t="s">
        <v>59</v>
      </c>
      <c r="E26" s="5" t="s">
        <v>17</v>
      </c>
    </row>
    <row r="27" customFormat="false" ht="45.75" hidden="false" customHeight="true" outlineLevel="0" collapsed="false">
      <c r="A27" s="5" t="s">
        <v>58</v>
      </c>
      <c r="B27" s="5" t="s">
        <v>60</v>
      </c>
      <c r="C27" s="5" t="s">
        <v>9</v>
      </c>
      <c r="D27" s="5" t="s">
        <v>61</v>
      </c>
      <c r="E27" s="5" t="s">
        <v>11</v>
      </c>
    </row>
    <row r="28" customFormat="false" ht="23.25" hidden="false" customHeight="true" outlineLevel="0" collapsed="false">
      <c r="A28" s="5" t="s">
        <v>62</v>
      </c>
      <c r="B28" s="5"/>
      <c r="C28" s="5"/>
      <c r="D28" s="5" t="s">
        <v>63</v>
      </c>
      <c r="E28" s="5" t="s">
        <v>17</v>
      </c>
    </row>
    <row r="29" customFormat="false" ht="45.75" hidden="false" customHeight="true" outlineLevel="0" collapsed="false">
      <c r="A29" s="5" t="s">
        <v>62</v>
      </c>
      <c r="B29" s="5" t="s">
        <v>64</v>
      </c>
      <c r="C29" s="5" t="s">
        <v>9</v>
      </c>
      <c r="D29" s="5" t="s">
        <v>65</v>
      </c>
      <c r="E29" s="5" t="s">
        <v>11</v>
      </c>
    </row>
    <row r="30" customFormat="false" ht="23.25" hidden="false" customHeight="true" outlineLevel="0" collapsed="false">
      <c r="A30" s="5" t="s">
        <v>66</v>
      </c>
      <c r="B30" s="5"/>
      <c r="C30" s="5"/>
      <c r="D30" s="5" t="s">
        <v>67</v>
      </c>
      <c r="E30" s="5" t="s">
        <v>17</v>
      </c>
    </row>
    <row r="31" customFormat="false" ht="45.75" hidden="false" customHeight="true" outlineLevel="0" collapsed="false">
      <c r="A31" s="5" t="s">
        <v>66</v>
      </c>
      <c r="B31" s="5" t="s">
        <v>68</v>
      </c>
      <c r="C31" s="5" t="s">
        <v>9</v>
      </c>
      <c r="D31" s="5" t="s">
        <v>69</v>
      </c>
      <c r="E31" s="5" t="s">
        <v>11</v>
      </c>
    </row>
    <row r="32" customFormat="false" ht="23.25" hidden="false" customHeight="true" outlineLevel="0" collapsed="false">
      <c r="A32" s="5" t="s">
        <v>70</v>
      </c>
      <c r="B32" s="5"/>
      <c r="C32" s="5"/>
      <c r="D32" s="5" t="s">
        <v>71</v>
      </c>
      <c r="E32" s="5" t="s">
        <v>17</v>
      </c>
    </row>
    <row r="33" customFormat="false" ht="57" hidden="false" customHeight="true" outlineLevel="0" collapsed="false">
      <c r="A33" s="5" t="s">
        <v>70</v>
      </c>
      <c r="B33" s="5" t="s">
        <v>72</v>
      </c>
      <c r="C33" s="5" t="s">
        <v>9</v>
      </c>
      <c r="D33" s="5" t="s">
        <v>73</v>
      </c>
      <c r="E33" s="5" t="s">
        <v>11</v>
      </c>
    </row>
    <row r="34" customFormat="false" ht="23.25" hidden="false" customHeight="true" outlineLevel="0" collapsed="false">
      <c r="A34" s="5" t="s">
        <v>74</v>
      </c>
      <c r="B34" s="5"/>
      <c r="C34" s="5"/>
      <c r="D34" s="5" t="s">
        <v>75</v>
      </c>
      <c r="E34" s="5" t="s">
        <v>17</v>
      </c>
    </row>
    <row r="35" customFormat="false" ht="34.5" hidden="false" customHeight="true" outlineLevel="0" collapsed="false">
      <c r="A35" s="5" t="s">
        <v>74</v>
      </c>
      <c r="B35" s="5" t="s">
        <v>76</v>
      </c>
      <c r="C35" s="5" t="s">
        <v>9</v>
      </c>
      <c r="D35" s="5" t="s">
        <v>77</v>
      </c>
      <c r="E35" s="5" t="s">
        <v>11</v>
      </c>
    </row>
    <row r="36" customFormat="false" ht="15" hidden="false" customHeight="true" outlineLevel="0" collapsed="false">
      <c r="A36" s="5" t="s">
        <v>78</v>
      </c>
      <c r="B36" s="5"/>
      <c r="C36" s="5"/>
      <c r="D36" s="5" t="s">
        <v>79</v>
      </c>
      <c r="E36" s="5" t="s">
        <v>17</v>
      </c>
    </row>
    <row r="37" customFormat="false" ht="45.75" hidden="false" customHeight="true" outlineLevel="0" collapsed="false">
      <c r="A37" s="5" t="s">
        <v>78</v>
      </c>
      <c r="B37" s="5" t="s">
        <v>80</v>
      </c>
      <c r="C37" s="5" t="s">
        <v>9</v>
      </c>
      <c r="D37" s="5" t="s">
        <v>81</v>
      </c>
      <c r="E37" s="5" t="s">
        <v>11</v>
      </c>
    </row>
    <row r="38" customFormat="false" ht="15" hidden="false" customHeight="true" outlineLevel="0" collapsed="false">
      <c r="A38" s="5" t="s">
        <v>82</v>
      </c>
      <c r="B38" s="5"/>
      <c r="C38" s="5"/>
      <c r="D38" s="5" t="s">
        <v>83</v>
      </c>
      <c r="E38" s="5" t="s">
        <v>17</v>
      </c>
    </row>
    <row r="39" customFormat="false" ht="34.5" hidden="false" customHeight="true" outlineLevel="0" collapsed="false">
      <c r="A39" s="5" t="s">
        <v>82</v>
      </c>
      <c r="B39" s="5" t="s">
        <v>84</v>
      </c>
      <c r="C39" s="5" t="s">
        <v>9</v>
      </c>
      <c r="D39" s="5" t="s">
        <v>85</v>
      </c>
      <c r="E39" s="5" t="s">
        <v>11</v>
      </c>
    </row>
    <row r="40" customFormat="false" ht="15" hidden="false" customHeight="true" outlineLevel="0" collapsed="false">
      <c r="A40" s="5" t="s">
        <v>86</v>
      </c>
      <c r="B40" s="5"/>
      <c r="C40" s="5"/>
      <c r="D40" s="5" t="s">
        <v>87</v>
      </c>
      <c r="E40" s="5" t="s">
        <v>17</v>
      </c>
    </row>
    <row r="41" customFormat="false" ht="45.75" hidden="false" customHeight="true" outlineLevel="0" collapsed="false">
      <c r="A41" s="5" t="s">
        <v>86</v>
      </c>
      <c r="B41" s="5" t="s">
        <v>88</v>
      </c>
      <c r="C41" s="5" t="s">
        <v>9</v>
      </c>
      <c r="D41" s="5" t="s">
        <v>89</v>
      </c>
      <c r="E41" s="5" t="s">
        <v>11</v>
      </c>
    </row>
    <row r="42" customFormat="false" ht="23.25" hidden="false" customHeight="true" outlineLevel="0" collapsed="false">
      <c r="A42" s="5" t="s">
        <v>90</v>
      </c>
      <c r="B42" s="5"/>
      <c r="C42" s="5"/>
      <c r="D42" s="5" t="s">
        <v>91</v>
      </c>
      <c r="E42" s="5" t="s">
        <v>17</v>
      </c>
    </row>
    <row r="43" customFormat="false" ht="34.5" hidden="false" customHeight="true" outlineLevel="0" collapsed="false">
      <c r="A43" s="5" t="s">
        <v>90</v>
      </c>
      <c r="B43" s="5" t="s">
        <v>92</v>
      </c>
      <c r="C43" s="5" t="s">
        <v>9</v>
      </c>
      <c r="D43" s="5" t="s">
        <v>93</v>
      </c>
      <c r="E43" s="5" t="s">
        <v>11</v>
      </c>
    </row>
    <row r="44" customFormat="false" ht="23.25" hidden="false" customHeight="true" outlineLevel="0" collapsed="false">
      <c r="A44" s="5" t="s">
        <v>94</v>
      </c>
      <c r="B44" s="5"/>
      <c r="C44" s="5"/>
      <c r="D44" s="5" t="s">
        <v>95</v>
      </c>
      <c r="E44" s="5" t="s">
        <v>17</v>
      </c>
    </row>
    <row r="45" customFormat="false" ht="34.5" hidden="false" customHeight="true" outlineLevel="0" collapsed="false">
      <c r="A45" s="5" t="s">
        <v>94</v>
      </c>
      <c r="B45" s="5" t="s">
        <v>96</v>
      </c>
      <c r="C45" s="5" t="s">
        <v>9</v>
      </c>
      <c r="D45" s="5" t="s">
        <v>97</v>
      </c>
      <c r="E45" s="5" t="s">
        <v>11</v>
      </c>
    </row>
    <row r="46" customFormat="false" ht="34.5" hidden="false" customHeight="true" outlineLevel="0" collapsed="false">
      <c r="A46" s="5" t="s">
        <v>98</v>
      </c>
      <c r="B46" s="5" t="s">
        <v>99</v>
      </c>
      <c r="C46" s="5" t="s">
        <v>9</v>
      </c>
      <c r="D46" s="5" t="s">
        <v>100</v>
      </c>
      <c r="E46" s="5" t="s">
        <v>11</v>
      </c>
    </row>
    <row r="47" customFormat="false" ht="45.75" hidden="false" customHeight="true" outlineLevel="0" collapsed="false">
      <c r="A47" s="5" t="s">
        <v>101</v>
      </c>
      <c r="B47" s="5" t="s">
        <v>102</v>
      </c>
      <c r="C47" s="5" t="s">
        <v>9</v>
      </c>
      <c r="D47" s="5" t="s">
        <v>103</v>
      </c>
      <c r="E47" s="5" t="s">
        <v>11</v>
      </c>
    </row>
    <row r="48" customFormat="false" ht="34.5" hidden="false" customHeight="true" outlineLevel="0" collapsed="false">
      <c r="A48" s="5" t="s">
        <v>104</v>
      </c>
      <c r="B48" s="5" t="s">
        <v>105</v>
      </c>
      <c r="C48" s="5" t="s">
        <v>9</v>
      </c>
      <c r="D48" s="5" t="s">
        <v>106</v>
      </c>
      <c r="E48" s="5" t="s">
        <v>11</v>
      </c>
    </row>
    <row r="49" customFormat="false" ht="46.25" hidden="false" customHeight="false" outlineLevel="0" collapsed="false">
      <c r="A49" s="5" t="s">
        <v>107</v>
      </c>
      <c r="B49" s="5" t="s">
        <v>108</v>
      </c>
      <c r="C49" s="5" t="s">
        <v>9</v>
      </c>
      <c r="D49" s="5" t="s">
        <v>109</v>
      </c>
      <c r="E49" s="5" t="s">
        <v>11</v>
      </c>
    </row>
    <row r="50" customFormat="false" ht="23.85" hidden="false" customHeight="false" outlineLevel="0" collapsed="false">
      <c r="A50" s="5" t="s">
        <v>110</v>
      </c>
      <c r="B50" s="5"/>
      <c r="C50" s="5"/>
      <c r="D50" s="5" t="s">
        <v>111</v>
      </c>
      <c r="E50"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7"/>
    <col collapsed="false" customWidth="true" hidden="false" outlineLevel="0" max="4" min="4" style="1" width="100"/>
    <col collapsed="false" customWidth="true" hidden="false" outlineLevel="0" max="5" min="5" style="1" width="30"/>
    <col collapsed="false" customWidth="true" hidden="false" outlineLevel="0" max="6" min="6" style="1" width="32"/>
    <col collapsed="false" customWidth="true" hidden="false" outlineLevel="0" max="7" min="7" style="1" width="34"/>
    <col collapsed="false" customWidth="true" hidden="false" outlineLevel="0" max="8" min="8" style="1" width="12"/>
  </cols>
  <sheetData>
    <row r="1" customFormat="false" ht="17.25" hidden="false" customHeight="true" outlineLevel="0" collapsed="false">
      <c r="A1" s="2" t="s">
        <v>112</v>
      </c>
    </row>
    <row r="2" customFormat="false" ht="15" hidden="false" customHeight="true" outlineLevel="0" collapsed="false">
      <c r="A2" s="3" t="s">
        <v>113</v>
      </c>
    </row>
    <row r="3" customFormat="false" ht="15" hidden="false" customHeight="true" outlineLevel="0" collapsed="false">
      <c r="A3" s="4" t="s">
        <v>114</v>
      </c>
      <c r="B3" s="4" t="s">
        <v>3</v>
      </c>
      <c r="C3" s="4" t="s">
        <v>115</v>
      </c>
      <c r="D3" s="4" t="s">
        <v>116</v>
      </c>
      <c r="E3" s="4" t="s">
        <v>117</v>
      </c>
      <c r="F3" s="4" t="s">
        <v>118</v>
      </c>
      <c r="G3" s="4" t="s">
        <v>119</v>
      </c>
      <c r="H3" s="4" t="s">
        <v>120</v>
      </c>
    </row>
    <row r="4" customFormat="false" ht="34.5" hidden="false" customHeight="true" outlineLevel="0" collapsed="false">
      <c r="A4" s="5" t="s">
        <v>121</v>
      </c>
      <c r="B4" s="5" t="s">
        <v>122</v>
      </c>
      <c r="C4" s="5" t="s">
        <v>48</v>
      </c>
      <c r="D4" s="5" t="s">
        <v>123</v>
      </c>
      <c r="E4" s="5" t="s">
        <v>124</v>
      </c>
      <c r="F4" s="5" t="s">
        <v>125</v>
      </c>
      <c r="G4" s="5" t="s">
        <v>126</v>
      </c>
      <c r="H4" s="5" t="s">
        <v>127</v>
      </c>
    </row>
    <row r="5" customFormat="false" ht="45.75" hidden="false" customHeight="true" outlineLevel="0" collapsed="false">
      <c r="A5" s="5" t="s">
        <v>127</v>
      </c>
      <c r="B5" s="5" t="s">
        <v>122</v>
      </c>
      <c r="C5" s="5" t="s">
        <v>128</v>
      </c>
      <c r="D5" s="5" t="s">
        <v>129</v>
      </c>
      <c r="E5" s="5" t="s">
        <v>130</v>
      </c>
      <c r="F5" s="5" t="s">
        <v>131</v>
      </c>
      <c r="G5" s="5" t="s">
        <v>126</v>
      </c>
      <c r="H5" s="5" t="s">
        <v>132</v>
      </c>
    </row>
    <row r="6" customFormat="false" ht="23.25" hidden="false" customHeight="true" outlineLevel="0" collapsed="false">
      <c r="A6" s="5" t="s">
        <v>132</v>
      </c>
      <c r="B6" s="5" t="s">
        <v>122</v>
      </c>
      <c r="C6" s="5" t="s">
        <v>128</v>
      </c>
      <c r="D6" s="5" t="s">
        <v>133</v>
      </c>
      <c r="E6" s="5" t="s">
        <v>134</v>
      </c>
      <c r="F6" s="5" t="s">
        <v>135</v>
      </c>
      <c r="G6" s="5" t="s">
        <v>126</v>
      </c>
      <c r="H6" s="5" t="s">
        <v>136</v>
      </c>
    </row>
    <row r="7" customFormat="false" ht="34.5" hidden="false" customHeight="true" outlineLevel="0" collapsed="false">
      <c r="A7" s="5" t="s">
        <v>136</v>
      </c>
      <c r="B7" s="5" t="s">
        <v>122</v>
      </c>
      <c r="C7" s="5" t="s">
        <v>128</v>
      </c>
      <c r="D7" s="5" t="s">
        <v>137</v>
      </c>
      <c r="E7" s="5" t="s">
        <v>138</v>
      </c>
      <c r="F7" s="5" t="s">
        <v>139</v>
      </c>
      <c r="G7" s="5" t="s">
        <v>140</v>
      </c>
      <c r="H7" s="5" t="s">
        <v>141</v>
      </c>
    </row>
    <row r="8" customFormat="false" ht="23.25" hidden="false" customHeight="true" outlineLevel="0" collapsed="false">
      <c r="A8" s="5" t="s">
        <v>141</v>
      </c>
      <c r="B8" s="5" t="s">
        <v>142</v>
      </c>
      <c r="C8" s="5" t="s">
        <v>143</v>
      </c>
      <c r="D8" s="5" t="s">
        <v>144</v>
      </c>
      <c r="E8" s="5" t="s">
        <v>145</v>
      </c>
      <c r="F8" s="5" t="s">
        <v>146</v>
      </c>
      <c r="G8" s="5" t="s">
        <v>126</v>
      </c>
      <c r="H8" s="5" t="s">
        <v>147</v>
      </c>
    </row>
    <row r="9" customFormat="false" ht="45.75" hidden="false" customHeight="true" outlineLevel="0" collapsed="false">
      <c r="A9" s="5" t="s">
        <v>147</v>
      </c>
      <c r="B9" s="5" t="s">
        <v>142</v>
      </c>
      <c r="C9" s="5" t="s">
        <v>143</v>
      </c>
      <c r="D9" s="5" t="s">
        <v>148</v>
      </c>
      <c r="E9" s="5" t="s">
        <v>149</v>
      </c>
      <c r="F9" s="5" t="s">
        <v>150</v>
      </c>
      <c r="G9" s="5" t="s">
        <v>126</v>
      </c>
      <c r="H9" s="5" t="s">
        <v>151</v>
      </c>
    </row>
    <row r="10" customFormat="false" ht="23.25" hidden="false" customHeight="true" outlineLevel="0" collapsed="false">
      <c r="A10" s="5" t="s">
        <v>151</v>
      </c>
      <c r="B10" s="5" t="s">
        <v>142</v>
      </c>
      <c r="C10" s="5" t="s">
        <v>143</v>
      </c>
      <c r="D10" s="5" t="s">
        <v>152</v>
      </c>
      <c r="E10" s="5" t="s">
        <v>153</v>
      </c>
      <c r="F10" s="5" t="s">
        <v>135</v>
      </c>
      <c r="G10" s="5" t="s">
        <v>126</v>
      </c>
      <c r="H10" s="5" t="s">
        <v>154</v>
      </c>
    </row>
    <row r="11" customFormat="false" ht="23.25" hidden="false" customHeight="true" outlineLevel="0" collapsed="false">
      <c r="A11" s="5" t="s">
        <v>154</v>
      </c>
      <c r="B11" s="5" t="s">
        <v>142</v>
      </c>
      <c r="C11" s="5" t="s">
        <v>143</v>
      </c>
      <c r="D11" s="5" t="s">
        <v>155</v>
      </c>
      <c r="E11" s="5" t="s">
        <v>156</v>
      </c>
      <c r="F11" s="5" t="s">
        <v>157</v>
      </c>
      <c r="G11" s="5" t="s">
        <v>126</v>
      </c>
      <c r="H11" s="5" t="s">
        <v>158</v>
      </c>
    </row>
    <row r="12" customFormat="false" ht="23.25" hidden="false" customHeight="true" outlineLevel="0" collapsed="false">
      <c r="A12" s="5" t="s">
        <v>158</v>
      </c>
      <c r="B12" s="5" t="s">
        <v>159</v>
      </c>
      <c r="C12" s="5" t="s">
        <v>160</v>
      </c>
      <c r="D12" s="5" t="s">
        <v>161</v>
      </c>
      <c r="E12" s="5" t="s">
        <v>162</v>
      </c>
      <c r="F12" s="5" t="s">
        <v>163</v>
      </c>
      <c r="G12" s="5" t="s">
        <v>126</v>
      </c>
      <c r="H12" s="5" t="s">
        <v>164</v>
      </c>
    </row>
    <row r="13" customFormat="false" ht="68.25" hidden="false" customHeight="true" outlineLevel="0" collapsed="false">
      <c r="A13" s="5" t="s">
        <v>164</v>
      </c>
      <c r="B13" s="5" t="s">
        <v>159</v>
      </c>
      <c r="C13" s="5" t="s">
        <v>160</v>
      </c>
      <c r="D13" s="5" t="s">
        <v>165</v>
      </c>
      <c r="E13" s="5" t="s">
        <v>166</v>
      </c>
      <c r="F13" s="5" t="s">
        <v>167</v>
      </c>
      <c r="G13" s="5" t="s">
        <v>126</v>
      </c>
      <c r="H13" s="5" t="s">
        <v>168</v>
      </c>
    </row>
    <row r="14" customFormat="false" ht="34.5" hidden="false" customHeight="true" outlineLevel="0" collapsed="false">
      <c r="A14" s="5" t="s">
        <v>168</v>
      </c>
      <c r="B14" s="5" t="s">
        <v>159</v>
      </c>
      <c r="C14" s="5" t="s">
        <v>160</v>
      </c>
      <c r="D14" s="5" t="s">
        <v>169</v>
      </c>
      <c r="E14" s="5" t="s">
        <v>170</v>
      </c>
      <c r="F14" s="5" t="s">
        <v>171</v>
      </c>
      <c r="G14" s="5" t="s">
        <v>126</v>
      </c>
      <c r="H14" s="5" t="s">
        <v>172</v>
      </c>
    </row>
    <row r="15" customFormat="false" ht="45.75" hidden="false" customHeight="true" outlineLevel="0" collapsed="false">
      <c r="A15" s="5" t="s">
        <v>172</v>
      </c>
      <c r="B15" s="5" t="s">
        <v>159</v>
      </c>
      <c r="C15" s="5" t="s">
        <v>160</v>
      </c>
      <c r="D15" s="5" t="s">
        <v>173</v>
      </c>
      <c r="E15" s="5" t="s">
        <v>174</v>
      </c>
      <c r="F15" s="5" t="s">
        <v>175</v>
      </c>
      <c r="G15" s="5" t="s">
        <v>126</v>
      </c>
      <c r="H15" s="5" t="s">
        <v>176</v>
      </c>
    </row>
    <row r="16" customFormat="false" ht="23.25" hidden="false" customHeight="true" outlineLevel="0" collapsed="false">
      <c r="A16" s="5" t="s">
        <v>176</v>
      </c>
      <c r="B16" s="5" t="s">
        <v>159</v>
      </c>
      <c r="C16" s="5" t="s">
        <v>160</v>
      </c>
      <c r="D16" s="5" t="s">
        <v>177</v>
      </c>
      <c r="E16" s="5" t="s">
        <v>178</v>
      </c>
      <c r="F16" s="5" t="s">
        <v>179</v>
      </c>
      <c r="G16" s="5" t="s">
        <v>180</v>
      </c>
      <c r="H16" s="5" t="s">
        <v>181</v>
      </c>
    </row>
    <row r="17" customFormat="false" ht="23.25" hidden="false" customHeight="true" outlineLevel="0" collapsed="false">
      <c r="A17" s="5" t="s">
        <v>181</v>
      </c>
      <c r="B17" s="5" t="s">
        <v>8</v>
      </c>
      <c r="C17" s="5" t="s">
        <v>48</v>
      </c>
      <c r="D17" s="5" t="s">
        <v>182</v>
      </c>
      <c r="E17" s="5" t="s">
        <v>183</v>
      </c>
      <c r="F17" s="5" t="s">
        <v>184</v>
      </c>
      <c r="G17" s="5" t="s">
        <v>126</v>
      </c>
      <c r="H17" s="5" t="s">
        <v>185</v>
      </c>
    </row>
    <row r="18" customFormat="false" ht="23.25" hidden="false" customHeight="true" outlineLevel="0" collapsed="false">
      <c r="A18" s="5" t="s">
        <v>186</v>
      </c>
      <c r="B18" s="5" t="s">
        <v>13</v>
      </c>
      <c r="C18" s="5" t="s">
        <v>187</v>
      </c>
      <c r="D18" s="5" t="s">
        <v>188</v>
      </c>
      <c r="E18" s="5" t="s">
        <v>189</v>
      </c>
      <c r="F18" s="5" t="s">
        <v>190</v>
      </c>
      <c r="G18" s="5" t="s">
        <v>126</v>
      </c>
      <c r="H18" s="5" t="s">
        <v>191</v>
      </c>
    </row>
    <row r="19" customFormat="false" ht="34.5" hidden="false" customHeight="true" outlineLevel="0" collapsed="false">
      <c r="A19" s="5" t="s">
        <v>191</v>
      </c>
      <c r="B19" s="5" t="s">
        <v>13</v>
      </c>
      <c r="C19" s="5" t="s">
        <v>187</v>
      </c>
      <c r="D19" s="5" t="s">
        <v>192</v>
      </c>
      <c r="E19" s="5" t="s">
        <v>193</v>
      </c>
      <c r="F19" s="5" t="s">
        <v>194</v>
      </c>
      <c r="G19" s="5" t="s">
        <v>195</v>
      </c>
      <c r="H19" s="5" t="s">
        <v>196</v>
      </c>
    </row>
    <row r="20" customFormat="false" ht="57" hidden="false" customHeight="true" outlineLevel="0" collapsed="false">
      <c r="A20" s="5" t="s">
        <v>196</v>
      </c>
      <c r="B20" s="5" t="s">
        <v>13</v>
      </c>
      <c r="C20" s="5" t="s">
        <v>187</v>
      </c>
      <c r="D20" s="5" t="s">
        <v>197</v>
      </c>
      <c r="E20" s="5" t="s">
        <v>198</v>
      </c>
      <c r="F20" s="5" t="s">
        <v>199</v>
      </c>
      <c r="G20" s="5" t="s">
        <v>126</v>
      </c>
      <c r="H20" s="5" t="s">
        <v>200</v>
      </c>
    </row>
    <row r="21" customFormat="false" ht="23.25" hidden="false" customHeight="true" outlineLevel="0" collapsed="false">
      <c r="A21" s="5" t="s">
        <v>200</v>
      </c>
      <c r="B21" s="5" t="s">
        <v>13</v>
      </c>
      <c r="C21" s="5" t="s">
        <v>187</v>
      </c>
      <c r="D21" s="5" t="s">
        <v>201</v>
      </c>
      <c r="E21" s="5" t="s">
        <v>202</v>
      </c>
      <c r="F21" s="5" t="s">
        <v>135</v>
      </c>
      <c r="G21" s="5" t="s">
        <v>126</v>
      </c>
      <c r="H21" s="5" t="s">
        <v>203</v>
      </c>
    </row>
    <row r="22" customFormat="false" ht="23.25" hidden="false" customHeight="true" outlineLevel="0" collapsed="false">
      <c r="A22" s="5" t="s">
        <v>203</v>
      </c>
      <c r="B22" s="5" t="s">
        <v>13</v>
      </c>
      <c r="C22" s="5" t="s">
        <v>187</v>
      </c>
      <c r="D22" s="5" t="s">
        <v>204</v>
      </c>
      <c r="E22" s="5" t="s">
        <v>205</v>
      </c>
      <c r="F22" s="5" t="s">
        <v>206</v>
      </c>
      <c r="G22" s="5" t="s">
        <v>126</v>
      </c>
      <c r="H22" s="5" t="s">
        <v>207</v>
      </c>
    </row>
    <row r="23" customFormat="false" ht="23.25" hidden="false" customHeight="true" outlineLevel="0" collapsed="false">
      <c r="A23" s="5" t="s">
        <v>207</v>
      </c>
      <c r="B23" s="5" t="s">
        <v>13</v>
      </c>
      <c r="C23" s="5" t="s">
        <v>187</v>
      </c>
      <c r="D23" s="5" t="s">
        <v>208</v>
      </c>
      <c r="E23" s="5" t="s">
        <v>209</v>
      </c>
      <c r="F23" s="5" t="s">
        <v>210</v>
      </c>
      <c r="G23" s="5" t="s">
        <v>211</v>
      </c>
      <c r="H23" s="5" t="s">
        <v>212</v>
      </c>
    </row>
    <row r="24" customFormat="false" ht="23.25" hidden="false" customHeight="true" outlineLevel="0" collapsed="false">
      <c r="A24" s="5" t="s">
        <v>212</v>
      </c>
      <c r="B24" s="5" t="s">
        <v>13</v>
      </c>
      <c r="C24" s="5" t="s">
        <v>213</v>
      </c>
      <c r="D24" s="5" t="s">
        <v>214</v>
      </c>
      <c r="E24" s="5" t="s">
        <v>215</v>
      </c>
      <c r="F24" s="5" t="s">
        <v>216</v>
      </c>
      <c r="G24" s="5" t="s">
        <v>126</v>
      </c>
      <c r="H24" s="5" t="s">
        <v>48</v>
      </c>
    </row>
    <row r="25" customFormat="false" ht="23.25" hidden="false" customHeight="true" outlineLevel="0" collapsed="false">
      <c r="A25" s="5" t="s">
        <v>217</v>
      </c>
      <c r="B25" s="5" t="s">
        <v>18</v>
      </c>
      <c r="C25" s="5" t="s">
        <v>213</v>
      </c>
      <c r="D25" s="5" t="s">
        <v>218</v>
      </c>
      <c r="E25" s="5" t="s">
        <v>219</v>
      </c>
      <c r="F25" s="5" t="s">
        <v>220</v>
      </c>
      <c r="G25" s="5" t="s">
        <v>126</v>
      </c>
      <c r="H25" s="5" t="s">
        <v>221</v>
      </c>
    </row>
    <row r="26" customFormat="false" ht="57" hidden="false" customHeight="true" outlineLevel="0" collapsed="false">
      <c r="A26" s="5" t="s">
        <v>221</v>
      </c>
      <c r="B26" s="5" t="s">
        <v>18</v>
      </c>
      <c r="C26" s="5" t="s">
        <v>213</v>
      </c>
      <c r="D26" s="5" t="s">
        <v>222</v>
      </c>
      <c r="E26" s="5" t="s">
        <v>223</v>
      </c>
      <c r="F26" s="5" t="s">
        <v>224</v>
      </c>
      <c r="G26" s="5" t="s">
        <v>126</v>
      </c>
      <c r="H26" s="5" t="s">
        <v>225</v>
      </c>
    </row>
    <row r="27" customFormat="false" ht="34.5" hidden="false" customHeight="true" outlineLevel="0" collapsed="false">
      <c r="A27" s="5" t="s">
        <v>225</v>
      </c>
      <c r="B27" s="5" t="s">
        <v>18</v>
      </c>
      <c r="C27" s="5" t="s">
        <v>213</v>
      </c>
      <c r="D27" s="5" t="s">
        <v>226</v>
      </c>
      <c r="E27" s="5" t="s">
        <v>227</v>
      </c>
      <c r="F27" s="5" t="s">
        <v>228</v>
      </c>
      <c r="G27" s="5" t="s">
        <v>126</v>
      </c>
      <c r="H27" s="5" t="s">
        <v>229</v>
      </c>
    </row>
    <row r="28" customFormat="false" ht="34.5" hidden="false" customHeight="true" outlineLevel="0" collapsed="false">
      <c r="A28" s="5" t="s">
        <v>229</v>
      </c>
      <c r="B28" s="5" t="s">
        <v>18</v>
      </c>
      <c r="C28" s="5" t="s">
        <v>213</v>
      </c>
      <c r="D28" s="5" t="s">
        <v>230</v>
      </c>
      <c r="E28" s="5" t="s">
        <v>231</v>
      </c>
      <c r="F28" s="5" t="s">
        <v>232</v>
      </c>
      <c r="G28" s="5" t="s">
        <v>126</v>
      </c>
      <c r="H28" s="5" t="s">
        <v>233</v>
      </c>
    </row>
    <row r="29" customFormat="false" ht="34.5" hidden="false" customHeight="true" outlineLevel="0" collapsed="false">
      <c r="A29" s="5" t="s">
        <v>233</v>
      </c>
      <c r="B29" s="5" t="s">
        <v>18</v>
      </c>
      <c r="C29" s="5" t="s">
        <v>213</v>
      </c>
      <c r="D29" s="5" t="s">
        <v>234</v>
      </c>
      <c r="E29" s="5" t="s">
        <v>235</v>
      </c>
      <c r="F29" s="5" t="s">
        <v>135</v>
      </c>
      <c r="G29" s="5" t="s">
        <v>126</v>
      </c>
      <c r="H29" s="5" t="s">
        <v>236</v>
      </c>
    </row>
    <row r="30" customFormat="false" ht="34.5" hidden="false" customHeight="true" outlineLevel="0" collapsed="false">
      <c r="A30" s="5" t="s">
        <v>236</v>
      </c>
      <c r="B30" s="5" t="s">
        <v>18</v>
      </c>
      <c r="C30" s="5" t="s">
        <v>213</v>
      </c>
      <c r="D30" s="5" t="s">
        <v>237</v>
      </c>
      <c r="E30" s="5" t="s">
        <v>238</v>
      </c>
      <c r="F30" s="5" t="s">
        <v>239</v>
      </c>
      <c r="G30" s="5" t="s">
        <v>240</v>
      </c>
      <c r="H30" s="5" t="s">
        <v>241</v>
      </c>
    </row>
    <row r="31" customFormat="false" ht="15" hidden="false" customHeight="true" outlineLevel="0" collapsed="false">
      <c r="A31" s="5" t="s">
        <v>241</v>
      </c>
      <c r="B31" s="5" t="s">
        <v>18</v>
      </c>
      <c r="C31" s="5" t="s">
        <v>242</v>
      </c>
      <c r="D31" s="5" t="s">
        <v>243</v>
      </c>
      <c r="E31" s="5" t="s">
        <v>244</v>
      </c>
      <c r="F31" s="5" t="s">
        <v>245</v>
      </c>
      <c r="G31" s="5" t="s">
        <v>126</v>
      </c>
      <c r="H31" s="5" t="s">
        <v>48</v>
      </c>
    </row>
    <row r="32" customFormat="false" ht="23.25" hidden="false" customHeight="true" outlineLevel="0" collapsed="false">
      <c r="A32" s="5" t="s">
        <v>246</v>
      </c>
      <c r="B32" s="5" t="s">
        <v>22</v>
      </c>
      <c r="C32" s="5" t="s">
        <v>242</v>
      </c>
      <c r="D32" s="5" t="s">
        <v>247</v>
      </c>
      <c r="E32" s="5" t="s">
        <v>248</v>
      </c>
      <c r="F32" s="5" t="s">
        <v>249</v>
      </c>
      <c r="G32" s="5" t="s">
        <v>126</v>
      </c>
      <c r="H32" s="5" t="s">
        <v>250</v>
      </c>
    </row>
    <row r="33" customFormat="false" ht="57" hidden="false" customHeight="true" outlineLevel="0" collapsed="false">
      <c r="A33" s="5" t="s">
        <v>250</v>
      </c>
      <c r="B33" s="5" t="s">
        <v>22</v>
      </c>
      <c r="C33" s="5" t="s">
        <v>242</v>
      </c>
      <c r="D33" s="5" t="s">
        <v>251</v>
      </c>
      <c r="E33" s="5" t="s">
        <v>252</v>
      </c>
      <c r="F33" s="5" t="s">
        <v>253</v>
      </c>
      <c r="G33" s="5" t="s">
        <v>126</v>
      </c>
      <c r="H33" s="5" t="s">
        <v>254</v>
      </c>
    </row>
    <row r="34" customFormat="false" ht="34.5" hidden="false" customHeight="true" outlineLevel="0" collapsed="false">
      <c r="A34" s="5" t="s">
        <v>254</v>
      </c>
      <c r="B34" s="5" t="s">
        <v>22</v>
      </c>
      <c r="C34" s="5" t="s">
        <v>242</v>
      </c>
      <c r="D34" s="5" t="s">
        <v>255</v>
      </c>
      <c r="E34" s="5" t="s">
        <v>256</v>
      </c>
      <c r="F34" s="5" t="s">
        <v>257</v>
      </c>
      <c r="G34" s="5" t="s">
        <v>126</v>
      </c>
      <c r="H34" s="5" t="s">
        <v>258</v>
      </c>
    </row>
    <row r="35" customFormat="false" ht="57" hidden="false" customHeight="true" outlineLevel="0" collapsed="false">
      <c r="A35" s="5" t="s">
        <v>258</v>
      </c>
      <c r="B35" s="5" t="s">
        <v>22</v>
      </c>
      <c r="C35" s="5" t="s">
        <v>242</v>
      </c>
      <c r="D35" s="5" t="s">
        <v>259</v>
      </c>
      <c r="E35" s="5" t="s">
        <v>260</v>
      </c>
      <c r="F35" s="5" t="s">
        <v>261</v>
      </c>
      <c r="G35" s="5" t="s">
        <v>126</v>
      </c>
      <c r="H35" s="5" t="s">
        <v>262</v>
      </c>
    </row>
    <row r="36" customFormat="false" ht="34.5" hidden="false" customHeight="true" outlineLevel="0" collapsed="false">
      <c r="A36" s="5" t="s">
        <v>262</v>
      </c>
      <c r="B36" s="5" t="s">
        <v>22</v>
      </c>
      <c r="C36" s="5" t="s">
        <v>242</v>
      </c>
      <c r="D36" s="5" t="s">
        <v>263</v>
      </c>
      <c r="E36" s="5" t="s">
        <v>264</v>
      </c>
      <c r="F36" s="5" t="s">
        <v>135</v>
      </c>
      <c r="G36" s="5" t="s">
        <v>126</v>
      </c>
      <c r="H36" s="5" t="s">
        <v>265</v>
      </c>
    </row>
    <row r="37" customFormat="false" ht="34.5" hidden="false" customHeight="true" outlineLevel="0" collapsed="false">
      <c r="A37" s="5" t="s">
        <v>265</v>
      </c>
      <c r="B37" s="5" t="s">
        <v>22</v>
      </c>
      <c r="C37" s="5" t="s">
        <v>242</v>
      </c>
      <c r="D37" s="5" t="s">
        <v>266</v>
      </c>
      <c r="E37" s="5" t="s">
        <v>267</v>
      </c>
      <c r="F37" s="5" t="s">
        <v>268</v>
      </c>
      <c r="G37" s="5" t="s">
        <v>269</v>
      </c>
      <c r="H37" s="5" t="s">
        <v>270</v>
      </c>
    </row>
    <row r="38" customFormat="false" ht="15" hidden="false" customHeight="true" outlineLevel="0" collapsed="false">
      <c r="A38" s="5" t="s">
        <v>270</v>
      </c>
      <c r="B38" s="5" t="s">
        <v>22</v>
      </c>
      <c r="C38" s="5" t="s">
        <v>271</v>
      </c>
      <c r="D38" s="5" t="s">
        <v>272</v>
      </c>
      <c r="E38" s="5" t="s">
        <v>273</v>
      </c>
      <c r="F38" s="5" t="s">
        <v>274</v>
      </c>
      <c r="G38" s="5" t="s">
        <v>126</v>
      </c>
      <c r="H38" s="5" t="s">
        <v>48</v>
      </c>
    </row>
    <row r="39" customFormat="false" ht="34.5" hidden="false" customHeight="true" outlineLevel="0" collapsed="false">
      <c r="A39" s="5" t="s">
        <v>275</v>
      </c>
      <c r="B39" s="5" t="s">
        <v>26</v>
      </c>
      <c r="C39" s="5" t="s">
        <v>271</v>
      </c>
      <c r="D39" s="5" t="s">
        <v>276</v>
      </c>
      <c r="E39" s="5" t="s">
        <v>277</v>
      </c>
      <c r="F39" s="5" t="s">
        <v>278</v>
      </c>
      <c r="G39" s="5" t="s">
        <v>126</v>
      </c>
      <c r="H39" s="5" t="s">
        <v>279</v>
      </c>
    </row>
    <row r="40" customFormat="false" ht="45.75" hidden="false" customHeight="true" outlineLevel="0" collapsed="false">
      <c r="A40" s="5" t="s">
        <v>279</v>
      </c>
      <c r="B40" s="5" t="s">
        <v>26</v>
      </c>
      <c r="C40" s="5" t="s">
        <v>271</v>
      </c>
      <c r="D40" s="5" t="s">
        <v>280</v>
      </c>
      <c r="E40" s="5" t="s">
        <v>281</v>
      </c>
      <c r="F40" s="5" t="s">
        <v>282</v>
      </c>
      <c r="G40" s="5" t="s">
        <v>126</v>
      </c>
      <c r="H40" s="5" t="s">
        <v>283</v>
      </c>
    </row>
    <row r="41" customFormat="false" ht="45.75" hidden="false" customHeight="true" outlineLevel="0" collapsed="false">
      <c r="A41" s="5" t="s">
        <v>283</v>
      </c>
      <c r="B41" s="5" t="s">
        <v>26</v>
      </c>
      <c r="C41" s="5" t="s">
        <v>271</v>
      </c>
      <c r="D41" s="5" t="s">
        <v>284</v>
      </c>
      <c r="E41" s="5" t="s">
        <v>285</v>
      </c>
      <c r="F41" s="5" t="s">
        <v>286</v>
      </c>
      <c r="G41" s="5" t="s">
        <v>126</v>
      </c>
      <c r="H41" s="5" t="s">
        <v>287</v>
      </c>
    </row>
    <row r="42" customFormat="false" ht="45.75" hidden="false" customHeight="true" outlineLevel="0" collapsed="false">
      <c r="A42" s="5" t="s">
        <v>287</v>
      </c>
      <c r="B42" s="5" t="s">
        <v>26</v>
      </c>
      <c r="C42" s="5" t="s">
        <v>271</v>
      </c>
      <c r="D42" s="5" t="s">
        <v>288</v>
      </c>
      <c r="E42" s="5" t="s">
        <v>289</v>
      </c>
      <c r="F42" s="5" t="s">
        <v>290</v>
      </c>
      <c r="G42" s="5" t="s">
        <v>126</v>
      </c>
      <c r="H42" s="5" t="s">
        <v>291</v>
      </c>
    </row>
    <row r="43" customFormat="false" ht="57" hidden="false" customHeight="true" outlineLevel="0" collapsed="false">
      <c r="A43" s="5" t="s">
        <v>291</v>
      </c>
      <c r="B43" s="5" t="s">
        <v>26</v>
      </c>
      <c r="C43" s="5" t="s">
        <v>271</v>
      </c>
      <c r="D43" s="5" t="s">
        <v>292</v>
      </c>
      <c r="E43" s="5" t="s">
        <v>293</v>
      </c>
      <c r="F43" s="5" t="s">
        <v>294</v>
      </c>
      <c r="G43" s="5" t="s">
        <v>126</v>
      </c>
      <c r="H43" s="5" t="s">
        <v>295</v>
      </c>
    </row>
    <row r="44" customFormat="false" ht="34.5" hidden="false" customHeight="true" outlineLevel="0" collapsed="false">
      <c r="A44" s="5" t="s">
        <v>295</v>
      </c>
      <c r="B44" s="5" t="s">
        <v>26</v>
      </c>
      <c r="C44" s="5" t="s">
        <v>271</v>
      </c>
      <c r="D44" s="5" t="s">
        <v>296</v>
      </c>
      <c r="E44" s="5" t="s">
        <v>297</v>
      </c>
      <c r="F44" s="5" t="s">
        <v>298</v>
      </c>
      <c r="G44" s="5" t="s">
        <v>299</v>
      </c>
      <c r="H44" s="5" t="s">
        <v>300</v>
      </c>
    </row>
    <row r="45" customFormat="false" ht="15" hidden="false" customHeight="true" outlineLevel="0" collapsed="false">
      <c r="A45" s="5" t="s">
        <v>300</v>
      </c>
      <c r="B45" s="5" t="s">
        <v>26</v>
      </c>
      <c r="C45" s="5" t="s">
        <v>301</v>
      </c>
      <c r="D45" s="5" t="s">
        <v>302</v>
      </c>
      <c r="E45" s="5" t="s">
        <v>303</v>
      </c>
      <c r="F45" s="5" t="s">
        <v>304</v>
      </c>
      <c r="G45" s="5" t="s">
        <v>126</v>
      </c>
      <c r="H45" s="5" t="s">
        <v>48</v>
      </c>
    </row>
    <row r="46" customFormat="false" ht="23.25" hidden="false" customHeight="true" outlineLevel="0" collapsed="false">
      <c r="A46" s="5" t="s">
        <v>305</v>
      </c>
      <c r="B46" s="5" t="s">
        <v>30</v>
      </c>
      <c r="C46" s="5" t="s">
        <v>301</v>
      </c>
      <c r="D46" s="5" t="s">
        <v>306</v>
      </c>
      <c r="E46" s="5" t="s">
        <v>307</v>
      </c>
      <c r="F46" s="5" t="s">
        <v>308</v>
      </c>
      <c r="G46" s="5" t="s">
        <v>126</v>
      </c>
      <c r="H46" s="5" t="s">
        <v>309</v>
      </c>
    </row>
    <row r="47" customFormat="false" ht="34.5" hidden="false" customHeight="true" outlineLevel="0" collapsed="false">
      <c r="A47" s="5" t="s">
        <v>309</v>
      </c>
      <c r="B47" s="5" t="s">
        <v>30</v>
      </c>
      <c r="C47" s="5" t="s">
        <v>301</v>
      </c>
      <c r="D47" s="5" t="s">
        <v>310</v>
      </c>
      <c r="E47" s="5" t="s">
        <v>311</v>
      </c>
      <c r="F47" s="5" t="s">
        <v>312</v>
      </c>
      <c r="G47" s="5" t="s">
        <v>126</v>
      </c>
      <c r="H47" s="5" t="s">
        <v>313</v>
      </c>
    </row>
    <row r="48" customFormat="false" ht="45.75" hidden="false" customHeight="true" outlineLevel="0" collapsed="false">
      <c r="A48" s="5" t="s">
        <v>313</v>
      </c>
      <c r="B48" s="5" t="s">
        <v>30</v>
      </c>
      <c r="C48" s="5" t="s">
        <v>301</v>
      </c>
      <c r="D48" s="5" t="s">
        <v>314</v>
      </c>
      <c r="E48" s="5" t="s">
        <v>315</v>
      </c>
      <c r="F48" s="5" t="s">
        <v>316</v>
      </c>
      <c r="G48" s="5" t="s">
        <v>317</v>
      </c>
      <c r="H48" s="5" t="s">
        <v>318</v>
      </c>
    </row>
    <row r="49" customFormat="false" ht="34.5" hidden="false" customHeight="true" outlineLevel="0" collapsed="false">
      <c r="A49" s="5" t="s">
        <v>318</v>
      </c>
      <c r="B49" s="5" t="s">
        <v>30</v>
      </c>
      <c r="C49" s="5" t="s">
        <v>301</v>
      </c>
      <c r="D49" s="5" t="s">
        <v>319</v>
      </c>
      <c r="E49" s="5" t="s">
        <v>320</v>
      </c>
      <c r="F49" s="5" t="s">
        <v>321</v>
      </c>
      <c r="G49" s="5" t="s">
        <v>126</v>
      </c>
      <c r="H49" s="5" t="s">
        <v>322</v>
      </c>
    </row>
    <row r="50" customFormat="false" ht="57" hidden="false" customHeight="true" outlineLevel="0" collapsed="false">
      <c r="A50" s="5" t="s">
        <v>322</v>
      </c>
      <c r="B50" s="5" t="s">
        <v>30</v>
      </c>
      <c r="C50" s="5" t="s">
        <v>301</v>
      </c>
      <c r="D50" s="5" t="s">
        <v>323</v>
      </c>
      <c r="E50" s="5" t="s">
        <v>324</v>
      </c>
      <c r="F50" s="5" t="s">
        <v>325</v>
      </c>
      <c r="G50" s="5" t="s">
        <v>326</v>
      </c>
      <c r="H50" s="5" t="s">
        <v>327</v>
      </c>
    </row>
    <row r="51" customFormat="false" ht="45.75" hidden="false" customHeight="true" outlineLevel="0" collapsed="false">
      <c r="A51" s="5" t="s">
        <v>327</v>
      </c>
      <c r="B51" s="5" t="s">
        <v>30</v>
      </c>
      <c r="C51" s="5" t="s">
        <v>301</v>
      </c>
      <c r="D51" s="5" t="s">
        <v>328</v>
      </c>
      <c r="E51" s="5" t="s">
        <v>329</v>
      </c>
      <c r="F51" s="5" t="s">
        <v>330</v>
      </c>
      <c r="G51" s="5" t="s">
        <v>126</v>
      </c>
      <c r="H51" s="5" t="s">
        <v>331</v>
      </c>
    </row>
    <row r="52" customFormat="false" ht="34.5" hidden="false" customHeight="true" outlineLevel="0" collapsed="false">
      <c r="A52" s="5" t="s">
        <v>331</v>
      </c>
      <c r="B52" s="5" t="s">
        <v>30</v>
      </c>
      <c r="C52" s="5" t="s">
        <v>301</v>
      </c>
      <c r="D52" s="5" t="s">
        <v>332</v>
      </c>
      <c r="E52" s="5" t="s">
        <v>333</v>
      </c>
      <c r="F52" s="5" t="s">
        <v>334</v>
      </c>
      <c r="G52" s="5" t="s">
        <v>126</v>
      </c>
      <c r="H52" s="5" t="s">
        <v>335</v>
      </c>
    </row>
    <row r="53" customFormat="false" ht="15" hidden="false" customHeight="true" outlineLevel="0" collapsed="false">
      <c r="A53" s="5" t="s">
        <v>335</v>
      </c>
      <c r="B53" s="5" t="s">
        <v>30</v>
      </c>
      <c r="C53" s="5" t="s">
        <v>336</v>
      </c>
      <c r="D53" s="5" t="s">
        <v>337</v>
      </c>
      <c r="E53" s="5" t="s">
        <v>338</v>
      </c>
      <c r="F53" s="5" t="s">
        <v>339</v>
      </c>
      <c r="G53" s="5" t="s">
        <v>126</v>
      </c>
      <c r="H53" s="5" t="s">
        <v>48</v>
      </c>
    </row>
    <row r="54" customFormat="false" ht="45.75" hidden="false" customHeight="true" outlineLevel="0" collapsed="false">
      <c r="A54" s="5" t="s">
        <v>340</v>
      </c>
      <c r="B54" s="5" t="s">
        <v>34</v>
      </c>
      <c r="C54" s="5" t="s">
        <v>336</v>
      </c>
      <c r="D54" s="5" t="s">
        <v>341</v>
      </c>
      <c r="E54" s="5" t="s">
        <v>342</v>
      </c>
      <c r="F54" s="5" t="s">
        <v>343</v>
      </c>
      <c r="G54" s="5" t="s">
        <v>344</v>
      </c>
      <c r="H54" s="5" t="s">
        <v>345</v>
      </c>
    </row>
    <row r="55" customFormat="false" ht="34.5" hidden="false" customHeight="true" outlineLevel="0" collapsed="false">
      <c r="A55" s="5" t="s">
        <v>345</v>
      </c>
      <c r="B55" s="5" t="s">
        <v>34</v>
      </c>
      <c r="C55" s="5" t="s">
        <v>336</v>
      </c>
      <c r="D55" s="5" t="s">
        <v>346</v>
      </c>
      <c r="E55" s="5" t="s">
        <v>347</v>
      </c>
      <c r="F55" s="5" t="s">
        <v>348</v>
      </c>
      <c r="G55" s="5" t="s">
        <v>126</v>
      </c>
      <c r="H55" s="5" t="s">
        <v>349</v>
      </c>
    </row>
    <row r="56" customFormat="false" ht="34.5" hidden="false" customHeight="true" outlineLevel="0" collapsed="false">
      <c r="A56" s="5" t="s">
        <v>349</v>
      </c>
      <c r="B56" s="5" t="s">
        <v>34</v>
      </c>
      <c r="C56" s="5" t="s">
        <v>336</v>
      </c>
      <c r="D56" s="5" t="s">
        <v>350</v>
      </c>
      <c r="E56" s="5" t="s">
        <v>351</v>
      </c>
      <c r="F56" s="5" t="s">
        <v>352</v>
      </c>
      <c r="G56" s="5" t="s">
        <v>126</v>
      </c>
      <c r="H56" s="5" t="s">
        <v>353</v>
      </c>
    </row>
    <row r="57" customFormat="false" ht="45.75" hidden="false" customHeight="true" outlineLevel="0" collapsed="false">
      <c r="A57" s="5" t="s">
        <v>353</v>
      </c>
      <c r="B57" s="5" t="s">
        <v>34</v>
      </c>
      <c r="C57" s="5" t="s">
        <v>336</v>
      </c>
      <c r="D57" s="5" t="s">
        <v>354</v>
      </c>
      <c r="E57" s="5" t="s">
        <v>355</v>
      </c>
      <c r="F57" s="5" t="s">
        <v>356</v>
      </c>
      <c r="G57" s="5" t="s">
        <v>126</v>
      </c>
      <c r="H57" s="5" t="s">
        <v>357</v>
      </c>
    </row>
    <row r="58" customFormat="false" ht="45.75" hidden="false" customHeight="true" outlineLevel="0" collapsed="false">
      <c r="A58" s="5" t="s">
        <v>357</v>
      </c>
      <c r="B58" s="5" t="s">
        <v>34</v>
      </c>
      <c r="C58" s="5" t="s">
        <v>336</v>
      </c>
      <c r="D58" s="5" t="s">
        <v>358</v>
      </c>
      <c r="E58" s="5" t="s">
        <v>359</v>
      </c>
      <c r="F58" s="5" t="s">
        <v>360</v>
      </c>
      <c r="G58" s="5" t="s">
        <v>126</v>
      </c>
      <c r="H58" s="5" t="s">
        <v>361</v>
      </c>
    </row>
    <row r="59" customFormat="false" ht="34.5" hidden="false" customHeight="true" outlineLevel="0" collapsed="false">
      <c r="A59" s="5" t="s">
        <v>361</v>
      </c>
      <c r="B59" s="5" t="s">
        <v>34</v>
      </c>
      <c r="C59" s="5" t="s">
        <v>336</v>
      </c>
      <c r="D59" s="5" t="s">
        <v>362</v>
      </c>
      <c r="E59" s="5" t="s">
        <v>363</v>
      </c>
      <c r="F59" s="5" t="s">
        <v>364</v>
      </c>
      <c r="G59" s="5" t="s">
        <v>365</v>
      </c>
      <c r="H59" s="5" t="s">
        <v>366</v>
      </c>
    </row>
    <row r="60" customFormat="false" ht="34.5" hidden="false" customHeight="true" outlineLevel="0" collapsed="false">
      <c r="A60" s="5" t="s">
        <v>366</v>
      </c>
      <c r="B60" s="5" t="s">
        <v>34</v>
      </c>
      <c r="C60" s="5" t="s">
        <v>336</v>
      </c>
      <c r="D60" s="5" t="s">
        <v>367</v>
      </c>
      <c r="E60" s="5" t="s">
        <v>368</v>
      </c>
      <c r="F60" s="5" t="s">
        <v>369</v>
      </c>
      <c r="G60" s="5" t="s">
        <v>370</v>
      </c>
      <c r="H60" s="5" t="s">
        <v>371</v>
      </c>
    </row>
    <row r="61" customFormat="false" ht="23.25" hidden="false" customHeight="true" outlineLevel="0" collapsed="false">
      <c r="A61" s="5" t="s">
        <v>371</v>
      </c>
      <c r="B61" s="5" t="s">
        <v>34</v>
      </c>
      <c r="C61" s="5" t="s">
        <v>372</v>
      </c>
      <c r="D61" s="5" t="s">
        <v>373</v>
      </c>
      <c r="E61" s="5" t="s">
        <v>374</v>
      </c>
      <c r="F61" s="5" t="s">
        <v>375</v>
      </c>
      <c r="G61" s="5" t="s">
        <v>126</v>
      </c>
      <c r="H61" s="5" t="s">
        <v>48</v>
      </c>
    </row>
    <row r="62" customFormat="false" ht="23.25" hidden="false" customHeight="true" outlineLevel="0" collapsed="false">
      <c r="A62" s="5" t="s">
        <v>376</v>
      </c>
      <c r="B62" s="5" t="s">
        <v>38</v>
      </c>
      <c r="C62" s="5" t="s">
        <v>372</v>
      </c>
      <c r="D62" s="5" t="s">
        <v>377</v>
      </c>
      <c r="E62" s="5" t="s">
        <v>378</v>
      </c>
      <c r="F62" s="5" t="s">
        <v>379</v>
      </c>
      <c r="G62" s="5" t="s">
        <v>126</v>
      </c>
      <c r="H62" s="5" t="s">
        <v>380</v>
      </c>
    </row>
    <row r="63" customFormat="false" ht="45.75" hidden="false" customHeight="true" outlineLevel="0" collapsed="false">
      <c r="A63" s="5" t="s">
        <v>380</v>
      </c>
      <c r="B63" s="5" t="s">
        <v>38</v>
      </c>
      <c r="C63" s="5" t="s">
        <v>372</v>
      </c>
      <c r="D63" s="5" t="s">
        <v>381</v>
      </c>
      <c r="E63" s="5" t="s">
        <v>382</v>
      </c>
      <c r="F63" s="5" t="s">
        <v>383</v>
      </c>
      <c r="G63" s="5" t="s">
        <v>126</v>
      </c>
      <c r="H63" s="5" t="s">
        <v>384</v>
      </c>
    </row>
    <row r="64" customFormat="false" ht="45.75" hidden="false" customHeight="true" outlineLevel="0" collapsed="false">
      <c r="A64" s="5" t="s">
        <v>384</v>
      </c>
      <c r="B64" s="5" t="s">
        <v>38</v>
      </c>
      <c r="C64" s="5" t="s">
        <v>372</v>
      </c>
      <c r="D64" s="5" t="s">
        <v>385</v>
      </c>
      <c r="E64" s="5" t="s">
        <v>386</v>
      </c>
      <c r="F64" s="5" t="s">
        <v>387</v>
      </c>
      <c r="G64" s="5" t="s">
        <v>126</v>
      </c>
      <c r="H64" s="5" t="s">
        <v>388</v>
      </c>
    </row>
    <row r="65" customFormat="false" ht="45.75" hidden="false" customHeight="true" outlineLevel="0" collapsed="false">
      <c r="A65" s="5" t="s">
        <v>388</v>
      </c>
      <c r="B65" s="5" t="s">
        <v>38</v>
      </c>
      <c r="C65" s="5" t="s">
        <v>372</v>
      </c>
      <c r="D65" s="5" t="s">
        <v>389</v>
      </c>
      <c r="E65" s="5" t="s">
        <v>390</v>
      </c>
      <c r="F65" s="5" t="s">
        <v>391</v>
      </c>
      <c r="G65" s="5" t="s">
        <v>126</v>
      </c>
      <c r="H65" s="5" t="s">
        <v>392</v>
      </c>
    </row>
    <row r="66" customFormat="false" ht="45.75" hidden="false" customHeight="true" outlineLevel="0" collapsed="false">
      <c r="A66" s="5" t="s">
        <v>392</v>
      </c>
      <c r="B66" s="5" t="s">
        <v>38</v>
      </c>
      <c r="C66" s="5" t="s">
        <v>372</v>
      </c>
      <c r="D66" s="5" t="s">
        <v>393</v>
      </c>
      <c r="E66" s="5" t="s">
        <v>394</v>
      </c>
      <c r="F66" s="5" t="s">
        <v>395</v>
      </c>
      <c r="G66" s="5" t="s">
        <v>396</v>
      </c>
      <c r="H66" s="5" t="s">
        <v>397</v>
      </c>
    </row>
    <row r="67" customFormat="false" ht="57" hidden="false" customHeight="true" outlineLevel="0" collapsed="false">
      <c r="A67" s="5" t="s">
        <v>397</v>
      </c>
      <c r="B67" s="5" t="s">
        <v>38</v>
      </c>
      <c r="C67" s="5" t="s">
        <v>372</v>
      </c>
      <c r="D67" s="5" t="s">
        <v>398</v>
      </c>
      <c r="E67" s="5" t="s">
        <v>399</v>
      </c>
      <c r="F67" s="5" t="s">
        <v>400</v>
      </c>
      <c r="G67" s="5" t="s">
        <v>126</v>
      </c>
      <c r="H67" s="5" t="s">
        <v>401</v>
      </c>
    </row>
    <row r="68" customFormat="false" ht="34.5" hidden="false" customHeight="true" outlineLevel="0" collapsed="false">
      <c r="A68" s="5" t="s">
        <v>401</v>
      </c>
      <c r="B68" s="5" t="s">
        <v>38</v>
      </c>
      <c r="C68" s="5" t="s">
        <v>372</v>
      </c>
      <c r="D68" s="5" t="s">
        <v>402</v>
      </c>
      <c r="E68" s="5" t="s">
        <v>403</v>
      </c>
      <c r="F68" s="5" t="s">
        <v>404</v>
      </c>
      <c r="G68" s="5" t="s">
        <v>126</v>
      </c>
      <c r="H68" s="5" t="s">
        <v>405</v>
      </c>
    </row>
    <row r="69" customFormat="false" ht="23.25" hidden="false" customHeight="true" outlineLevel="0" collapsed="false">
      <c r="A69" s="5" t="s">
        <v>405</v>
      </c>
      <c r="B69" s="5" t="s">
        <v>42</v>
      </c>
      <c r="C69" s="5" t="s">
        <v>406</v>
      </c>
      <c r="D69" s="5" t="s">
        <v>407</v>
      </c>
      <c r="E69" s="5" t="s">
        <v>408</v>
      </c>
      <c r="F69" s="5" t="s">
        <v>409</v>
      </c>
      <c r="G69" s="5" t="s">
        <v>126</v>
      </c>
      <c r="H69" s="5" t="s">
        <v>410</v>
      </c>
    </row>
    <row r="70" customFormat="false" ht="23.25" hidden="false" customHeight="true" outlineLevel="0" collapsed="false">
      <c r="A70" s="5" t="s">
        <v>410</v>
      </c>
      <c r="B70" s="5" t="s">
        <v>42</v>
      </c>
      <c r="C70" s="5" t="s">
        <v>406</v>
      </c>
      <c r="D70" s="5" t="s">
        <v>411</v>
      </c>
      <c r="E70" s="5" t="s">
        <v>412</v>
      </c>
      <c r="F70" s="5" t="s">
        <v>413</v>
      </c>
      <c r="G70" s="5" t="s">
        <v>126</v>
      </c>
      <c r="H70" s="5" t="s">
        <v>414</v>
      </c>
    </row>
    <row r="71" customFormat="false" ht="57" hidden="false" customHeight="true" outlineLevel="0" collapsed="false">
      <c r="A71" s="5" t="s">
        <v>414</v>
      </c>
      <c r="B71" s="5" t="s">
        <v>42</v>
      </c>
      <c r="C71" s="5" t="s">
        <v>406</v>
      </c>
      <c r="D71" s="5" t="s">
        <v>415</v>
      </c>
      <c r="E71" s="5" t="s">
        <v>416</v>
      </c>
      <c r="F71" s="5" t="s">
        <v>417</v>
      </c>
      <c r="G71" s="5" t="s">
        <v>126</v>
      </c>
      <c r="H71" s="5" t="s">
        <v>418</v>
      </c>
    </row>
    <row r="72" customFormat="false" ht="57" hidden="false" customHeight="true" outlineLevel="0" collapsed="false">
      <c r="A72" s="5" t="s">
        <v>418</v>
      </c>
      <c r="B72" s="5" t="s">
        <v>42</v>
      </c>
      <c r="C72" s="5" t="s">
        <v>406</v>
      </c>
      <c r="D72" s="5" t="s">
        <v>419</v>
      </c>
      <c r="E72" s="5" t="s">
        <v>420</v>
      </c>
      <c r="F72" s="5" t="s">
        <v>421</v>
      </c>
      <c r="G72" s="5" t="s">
        <v>126</v>
      </c>
      <c r="H72" s="5" t="s">
        <v>422</v>
      </c>
    </row>
    <row r="73" customFormat="false" ht="34.5" hidden="false" customHeight="true" outlineLevel="0" collapsed="false">
      <c r="A73" s="5" t="s">
        <v>422</v>
      </c>
      <c r="B73" s="5" t="s">
        <v>42</v>
      </c>
      <c r="C73" s="5" t="s">
        <v>406</v>
      </c>
      <c r="D73" s="5" t="s">
        <v>423</v>
      </c>
      <c r="E73" s="5" t="s">
        <v>424</v>
      </c>
      <c r="F73" s="5" t="s">
        <v>425</v>
      </c>
      <c r="G73" s="5" t="s">
        <v>126</v>
      </c>
      <c r="H73" s="5" t="s">
        <v>426</v>
      </c>
    </row>
    <row r="74" customFormat="false" ht="45.75" hidden="false" customHeight="true" outlineLevel="0" collapsed="false">
      <c r="A74" s="5" t="s">
        <v>426</v>
      </c>
      <c r="B74" s="5" t="s">
        <v>42</v>
      </c>
      <c r="C74" s="5" t="s">
        <v>406</v>
      </c>
      <c r="D74" s="5" t="s">
        <v>427</v>
      </c>
      <c r="E74" s="5" t="s">
        <v>428</v>
      </c>
      <c r="F74" s="5" t="s">
        <v>429</v>
      </c>
      <c r="G74" s="5" t="s">
        <v>430</v>
      </c>
      <c r="H74" s="5" t="s">
        <v>431</v>
      </c>
    </row>
    <row r="75" customFormat="false" ht="15" hidden="false" customHeight="true" outlineLevel="0" collapsed="false">
      <c r="A75" s="5" t="s">
        <v>431</v>
      </c>
      <c r="B75" s="5" t="s">
        <v>46</v>
      </c>
      <c r="C75" s="5" t="s">
        <v>432</v>
      </c>
      <c r="D75" s="5" t="s">
        <v>433</v>
      </c>
      <c r="E75" s="5" t="s">
        <v>434</v>
      </c>
      <c r="F75" s="5" t="s">
        <v>435</v>
      </c>
      <c r="G75" s="5" t="s">
        <v>126</v>
      </c>
      <c r="H75" s="5" t="s">
        <v>436</v>
      </c>
    </row>
    <row r="76" customFormat="false" ht="23.25" hidden="false" customHeight="true" outlineLevel="0" collapsed="false">
      <c r="A76" s="5" t="s">
        <v>436</v>
      </c>
      <c r="B76" s="5" t="s">
        <v>46</v>
      </c>
      <c r="C76" s="5" t="s">
        <v>432</v>
      </c>
      <c r="D76" s="5" t="s">
        <v>437</v>
      </c>
      <c r="E76" s="5" t="s">
        <v>438</v>
      </c>
      <c r="F76" s="5" t="s">
        <v>439</v>
      </c>
      <c r="G76" s="5" t="s">
        <v>126</v>
      </c>
      <c r="H76" s="5" t="s">
        <v>440</v>
      </c>
    </row>
    <row r="77" customFormat="false" ht="45.75" hidden="false" customHeight="true" outlineLevel="0" collapsed="false">
      <c r="A77" s="5" t="s">
        <v>440</v>
      </c>
      <c r="B77" s="5" t="s">
        <v>46</v>
      </c>
      <c r="C77" s="5" t="s">
        <v>432</v>
      </c>
      <c r="D77" s="5" t="s">
        <v>441</v>
      </c>
      <c r="E77" s="5" t="s">
        <v>442</v>
      </c>
      <c r="F77" s="5" t="s">
        <v>443</v>
      </c>
      <c r="G77" s="5" t="s">
        <v>126</v>
      </c>
      <c r="H77" s="5" t="s">
        <v>444</v>
      </c>
    </row>
    <row r="78" customFormat="false" ht="57" hidden="false" customHeight="true" outlineLevel="0" collapsed="false">
      <c r="A78" s="5" t="s">
        <v>444</v>
      </c>
      <c r="B78" s="5" t="s">
        <v>46</v>
      </c>
      <c r="C78" s="5" t="s">
        <v>432</v>
      </c>
      <c r="D78" s="5" t="s">
        <v>445</v>
      </c>
      <c r="E78" s="5" t="s">
        <v>446</v>
      </c>
      <c r="F78" s="5" t="s">
        <v>330</v>
      </c>
      <c r="G78" s="5" t="s">
        <v>126</v>
      </c>
      <c r="H78" s="5" t="s">
        <v>447</v>
      </c>
    </row>
    <row r="79" customFormat="false" ht="23.25" hidden="false" customHeight="true" outlineLevel="0" collapsed="false">
      <c r="A79" s="5" t="s">
        <v>447</v>
      </c>
      <c r="B79" s="5" t="s">
        <v>46</v>
      </c>
      <c r="C79" s="5" t="s">
        <v>432</v>
      </c>
      <c r="D79" s="5" t="s">
        <v>448</v>
      </c>
      <c r="E79" s="5" t="s">
        <v>449</v>
      </c>
      <c r="F79" s="5" t="s">
        <v>450</v>
      </c>
      <c r="G79" s="5" t="s">
        <v>126</v>
      </c>
      <c r="H79" s="5" t="s">
        <v>451</v>
      </c>
    </row>
    <row r="80" customFormat="false" ht="68.25" hidden="false" customHeight="true" outlineLevel="0" collapsed="false">
      <c r="A80" s="5" t="s">
        <v>451</v>
      </c>
      <c r="B80" s="5" t="s">
        <v>46</v>
      </c>
      <c r="C80" s="5" t="s">
        <v>48</v>
      </c>
      <c r="D80" s="5" t="s">
        <v>452</v>
      </c>
      <c r="E80" s="5" t="s">
        <v>453</v>
      </c>
      <c r="F80" s="5" t="s">
        <v>454</v>
      </c>
      <c r="G80" s="5" t="s">
        <v>455</v>
      </c>
      <c r="H80" s="5" t="s">
        <v>48</v>
      </c>
    </row>
    <row r="81" customFormat="false" ht="34.5" hidden="false" customHeight="true" outlineLevel="0" collapsed="false">
      <c r="A81" s="5" t="s">
        <v>456</v>
      </c>
      <c r="B81" s="5" t="s">
        <v>52</v>
      </c>
      <c r="C81" s="5" t="s">
        <v>457</v>
      </c>
      <c r="D81" s="5" t="s">
        <v>458</v>
      </c>
      <c r="E81" s="5" t="s">
        <v>459</v>
      </c>
      <c r="F81" s="5" t="s">
        <v>460</v>
      </c>
      <c r="G81" s="5" t="s">
        <v>126</v>
      </c>
      <c r="H81" s="5" t="s">
        <v>461</v>
      </c>
    </row>
    <row r="82" customFormat="false" ht="68.25" hidden="false" customHeight="true" outlineLevel="0" collapsed="false">
      <c r="A82" s="5" t="s">
        <v>461</v>
      </c>
      <c r="B82" s="5" t="s">
        <v>52</v>
      </c>
      <c r="C82" s="5" t="s">
        <v>457</v>
      </c>
      <c r="D82" s="5" t="s">
        <v>462</v>
      </c>
      <c r="E82" s="5" t="s">
        <v>463</v>
      </c>
      <c r="F82" s="5" t="s">
        <v>464</v>
      </c>
      <c r="G82" s="5" t="s">
        <v>126</v>
      </c>
      <c r="H82" s="5" t="s">
        <v>465</v>
      </c>
    </row>
    <row r="83" customFormat="false" ht="57" hidden="false" customHeight="true" outlineLevel="0" collapsed="false">
      <c r="A83" s="5" t="s">
        <v>465</v>
      </c>
      <c r="B83" s="5" t="s">
        <v>52</v>
      </c>
      <c r="C83" s="5" t="s">
        <v>457</v>
      </c>
      <c r="D83" s="5" t="s">
        <v>466</v>
      </c>
      <c r="E83" s="5" t="s">
        <v>467</v>
      </c>
      <c r="F83" s="5" t="s">
        <v>464</v>
      </c>
      <c r="G83" s="5" t="s">
        <v>126</v>
      </c>
      <c r="H83" s="5" t="s">
        <v>468</v>
      </c>
    </row>
    <row r="84" customFormat="false" ht="34.5" hidden="false" customHeight="true" outlineLevel="0" collapsed="false">
      <c r="A84" s="5" t="s">
        <v>468</v>
      </c>
      <c r="B84" s="5" t="s">
        <v>52</v>
      </c>
      <c r="C84" s="5" t="s">
        <v>457</v>
      </c>
      <c r="D84" s="5" t="s">
        <v>469</v>
      </c>
      <c r="E84" s="5" t="s">
        <v>470</v>
      </c>
      <c r="F84" s="5" t="s">
        <v>471</v>
      </c>
      <c r="G84" s="5" t="s">
        <v>126</v>
      </c>
      <c r="H84" s="5" t="s">
        <v>472</v>
      </c>
    </row>
    <row r="85" customFormat="false" ht="57" hidden="false" customHeight="true" outlineLevel="0" collapsed="false">
      <c r="A85" s="5" t="s">
        <v>472</v>
      </c>
      <c r="B85" s="5" t="s">
        <v>52</v>
      </c>
      <c r="C85" s="5" t="s">
        <v>457</v>
      </c>
      <c r="D85" s="5" t="s">
        <v>473</v>
      </c>
      <c r="E85" s="5" t="s">
        <v>474</v>
      </c>
      <c r="F85" s="5" t="s">
        <v>475</v>
      </c>
      <c r="G85" s="5" t="s">
        <v>476</v>
      </c>
      <c r="H85" s="5" t="s">
        <v>48</v>
      </c>
    </row>
    <row r="86" customFormat="false" ht="34.5" hidden="false" customHeight="true" outlineLevel="0" collapsed="false">
      <c r="A86" s="5" t="s">
        <v>477</v>
      </c>
      <c r="B86" s="5" t="s">
        <v>56</v>
      </c>
      <c r="C86" s="5" t="s">
        <v>457</v>
      </c>
      <c r="D86" s="5" t="s">
        <v>478</v>
      </c>
      <c r="E86" s="5" t="s">
        <v>479</v>
      </c>
      <c r="F86" s="5" t="s">
        <v>480</v>
      </c>
      <c r="G86" s="5" t="s">
        <v>126</v>
      </c>
      <c r="H86" s="5" t="s">
        <v>481</v>
      </c>
    </row>
    <row r="87" customFormat="false" ht="45.75" hidden="false" customHeight="true" outlineLevel="0" collapsed="false">
      <c r="A87" s="5" t="s">
        <v>481</v>
      </c>
      <c r="B87" s="5" t="s">
        <v>56</v>
      </c>
      <c r="C87" s="5" t="s">
        <v>457</v>
      </c>
      <c r="D87" s="5" t="s">
        <v>482</v>
      </c>
      <c r="E87" s="5" t="s">
        <v>483</v>
      </c>
      <c r="F87" s="5" t="s">
        <v>484</v>
      </c>
      <c r="G87" s="5" t="s">
        <v>126</v>
      </c>
      <c r="H87" s="5" t="s">
        <v>485</v>
      </c>
    </row>
    <row r="88" customFormat="false" ht="45.75" hidden="false" customHeight="true" outlineLevel="0" collapsed="false">
      <c r="A88" s="5" t="s">
        <v>485</v>
      </c>
      <c r="B88" s="5" t="s">
        <v>56</v>
      </c>
      <c r="C88" s="5" t="s">
        <v>457</v>
      </c>
      <c r="D88" s="5" t="s">
        <v>486</v>
      </c>
      <c r="E88" s="5" t="s">
        <v>487</v>
      </c>
      <c r="F88" s="5" t="s">
        <v>488</v>
      </c>
      <c r="G88" s="5" t="s">
        <v>126</v>
      </c>
      <c r="H88" s="5" t="s">
        <v>489</v>
      </c>
    </row>
    <row r="89" customFormat="false" ht="68.25" hidden="false" customHeight="true" outlineLevel="0" collapsed="false">
      <c r="A89" s="5" t="s">
        <v>489</v>
      </c>
      <c r="B89" s="5" t="s">
        <v>56</v>
      </c>
      <c r="C89" s="5" t="s">
        <v>457</v>
      </c>
      <c r="D89" s="5" t="s">
        <v>490</v>
      </c>
      <c r="E89" s="5" t="s">
        <v>491</v>
      </c>
      <c r="F89" s="5" t="s">
        <v>492</v>
      </c>
      <c r="G89" s="5" t="s">
        <v>493</v>
      </c>
      <c r="H89" s="5" t="s">
        <v>494</v>
      </c>
    </row>
    <row r="90" customFormat="false" ht="57" hidden="false" customHeight="true" outlineLevel="0" collapsed="false">
      <c r="A90" s="5" t="s">
        <v>494</v>
      </c>
      <c r="B90" s="5" t="s">
        <v>56</v>
      </c>
      <c r="C90" s="5" t="s">
        <v>457</v>
      </c>
      <c r="D90" s="5" t="s">
        <v>495</v>
      </c>
      <c r="E90" s="5" t="s">
        <v>496</v>
      </c>
      <c r="F90" s="5" t="s">
        <v>475</v>
      </c>
      <c r="G90" s="5" t="s">
        <v>497</v>
      </c>
      <c r="H90" s="5" t="s">
        <v>48</v>
      </c>
    </row>
    <row r="91" customFormat="false" ht="23.25" hidden="false" customHeight="true" outlineLevel="0" collapsed="false">
      <c r="A91" s="5" t="s">
        <v>498</v>
      </c>
      <c r="B91" s="5" t="s">
        <v>60</v>
      </c>
      <c r="C91" s="5" t="s">
        <v>457</v>
      </c>
      <c r="D91" s="5" t="s">
        <v>499</v>
      </c>
      <c r="E91" s="5" t="s">
        <v>500</v>
      </c>
      <c r="F91" s="5" t="s">
        <v>501</v>
      </c>
      <c r="G91" s="5" t="s">
        <v>126</v>
      </c>
      <c r="H91" s="5" t="s">
        <v>502</v>
      </c>
    </row>
    <row r="92" customFormat="false" ht="45.75" hidden="false" customHeight="true" outlineLevel="0" collapsed="false">
      <c r="A92" s="5" t="s">
        <v>502</v>
      </c>
      <c r="B92" s="5" t="s">
        <v>60</v>
      </c>
      <c r="C92" s="5" t="s">
        <v>457</v>
      </c>
      <c r="D92" s="5" t="s">
        <v>503</v>
      </c>
      <c r="E92" s="5" t="s">
        <v>504</v>
      </c>
      <c r="F92" s="5" t="s">
        <v>505</v>
      </c>
      <c r="G92" s="5" t="s">
        <v>126</v>
      </c>
      <c r="H92" s="5" t="s">
        <v>506</v>
      </c>
    </row>
    <row r="93" customFormat="false" ht="57" hidden="false" customHeight="true" outlineLevel="0" collapsed="false">
      <c r="A93" s="5" t="s">
        <v>506</v>
      </c>
      <c r="B93" s="5" t="s">
        <v>60</v>
      </c>
      <c r="C93" s="5" t="s">
        <v>457</v>
      </c>
      <c r="D93" s="5" t="s">
        <v>507</v>
      </c>
      <c r="E93" s="5" t="s">
        <v>508</v>
      </c>
      <c r="F93" s="5" t="s">
        <v>509</v>
      </c>
      <c r="G93" s="5" t="s">
        <v>510</v>
      </c>
      <c r="H93" s="5" t="s">
        <v>511</v>
      </c>
    </row>
    <row r="94" customFormat="false" ht="45.75" hidden="false" customHeight="true" outlineLevel="0" collapsed="false">
      <c r="A94" s="5" t="s">
        <v>511</v>
      </c>
      <c r="B94" s="5" t="s">
        <v>60</v>
      </c>
      <c r="C94" s="5" t="s">
        <v>457</v>
      </c>
      <c r="D94" s="5" t="s">
        <v>512</v>
      </c>
      <c r="E94" s="5" t="s">
        <v>513</v>
      </c>
      <c r="F94" s="5" t="s">
        <v>475</v>
      </c>
      <c r="G94" s="5" t="s">
        <v>514</v>
      </c>
      <c r="H94" s="5" t="s">
        <v>515</v>
      </c>
    </row>
    <row r="95" customFormat="false" ht="34.5" hidden="false" customHeight="true" outlineLevel="0" collapsed="false">
      <c r="A95" s="5" t="s">
        <v>516</v>
      </c>
      <c r="B95" s="5" t="s">
        <v>64</v>
      </c>
      <c r="C95" s="5" t="s">
        <v>517</v>
      </c>
      <c r="D95" s="5" t="s">
        <v>518</v>
      </c>
      <c r="E95" s="5" t="s">
        <v>519</v>
      </c>
      <c r="F95" s="5" t="s">
        <v>520</v>
      </c>
      <c r="G95" s="5" t="s">
        <v>126</v>
      </c>
      <c r="H95" s="5" t="s">
        <v>521</v>
      </c>
    </row>
    <row r="96" customFormat="false" ht="57" hidden="false" customHeight="true" outlineLevel="0" collapsed="false">
      <c r="A96" s="5" t="s">
        <v>521</v>
      </c>
      <c r="B96" s="5" t="s">
        <v>64</v>
      </c>
      <c r="C96" s="5" t="s">
        <v>517</v>
      </c>
      <c r="D96" s="5" t="s">
        <v>522</v>
      </c>
      <c r="E96" s="5" t="s">
        <v>523</v>
      </c>
      <c r="F96" s="5" t="s">
        <v>524</v>
      </c>
      <c r="G96" s="5" t="s">
        <v>126</v>
      </c>
      <c r="H96" s="5" t="s">
        <v>525</v>
      </c>
    </row>
    <row r="97" customFormat="false" ht="57" hidden="false" customHeight="true" outlineLevel="0" collapsed="false">
      <c r="A97" s="5" t="s">
        <v>525</v>
      </c>
      <c r="B97" s="5" t="s">
        <v>64</v>
      </c>
      <c r="C97" s="5" t="s">
        <v>517</v>
      </c>
      <c r="D97" s="5" t="s">
        <v>526</v>
      </c>
      <c r="E97" s="5" t="s">
        <v>527</v>
      </c>
      <c r="F97" s="5" t="s">
        <v>528</v>
      </c>
      <c r="G97" s="5" t="s">
        <v>529</v>
      </c>
      <c r="H97" s="5" t="s">
        <v>515</v>
      </c>
    </row>
    <row r="98" customFormat="false" ht="23.25" hidden="false" customHeight="true" outlineLevel="0" collapsed="false">
      <c r="A98" s="5" t="s">
        <v>530</v>
      </c>
      <c r="B98" s="5" t="s">
        <v>68</v>
      </c>
      <c r="C98" s="5" t="s">
        <v>517</v>
      </c>
      <c r="D98" s="5" t="s">
        <v>531</v>
      </c>
      <c r="E98" s="5" t="s">
        <v>532</v>
      </c>
      <c r="F98" s="5" t="s">
        <v>533</v>
      </c>
      <c r="G98" s="5" t="s">
        <v>126</v>
      </c>
      <c r="H98" s="5" t="s">
        <v>534</v>
      </c>
    </row>
    <row r="99" customFormat="false" ht="79.5" hidden="false" customHeight="true" outlineLevel="0" collapsed="false">
      <c r="A99" s="5" t="s">
        <v>534</v>
      </c>
      <c r="B99" s="5" t="s">
        <v>68</v>
      </c>
      <c r="C99" s="5" t="s">
        <v>517</v>
      </c>
      <c r="D99" s="5" t="s">
        <v>535</v>
      </c>
      <c r="E99" s="5" t="s">
        <v>536</v>
      </c>
      <c r="F99" s="5" t="s">
        <v>537</v>
      </c>
      <c r="G99" s="5" t="s">
        <v>538</v>
      </c>
      <c r="H99" s="5" t="s">
        <v>539</v>
      </c>
    </row>
    <row r="100" customFormat="false" ht="57" hidden="false" customHeight="true" outlineLevel="0" collapsed="false">
      <c r="A100" s="5" t="s">
        <v>539</v>
      </c>
      <c r="B100" s="5" t="s">
        <v>68</v>
      </c>
      <c r="C100" s="5" t="s">
        <v>517</v>
      </c>
      <c r="D100" s="5" t="s">
        <v>540</v>
      </c>
      <c r="E100" s="5" t="s">
        <v>541</v>
      </c>
      <c r="F100" s="5" t="s">
        <v>542</v>
      </c>
      <c r="G100" s="5" t="s">
        <v>543</v>
      </c>
      <c r="H100" s="5" t="s">
        <v>515</v>
      </c>
    </row>
    <row r="101" customFormat="false" ht="45.75" hidden="false" customHeight="true" outlineLevel="0" collapsed="false">
      <c r="A101" s="5" t="s">
        <v>544</v>
      </c>
      <c r="B101" s="5" t="s">
        <v>72</v>
      </c>
      <c r="C101" s="5" t="s">
        <v>517</v>
      </c>
      <c r="D101" s="5" t="s">
        <v>545</v>
      </c>
      <c r="E101" s="5" t="s">
        <v>546</v>
      </c>
      <c r="F101" s="5" t="s">
        <v>547</v>
      </c>
      <c r="G101" s="5" t="s">
        <v>126</v>
      </c>
      <c r="H101" s="5" t="s">
        <v>548</v>
      </c>
    </row>
    <row r="102" customFormat="false" ht="68.25" hidden="false" customHeight="true" outlineLevel="0" collapsed="false">
      <c r="A102" s="5" t="s">
        <v>548</v>
      </c>
      <c r="B102" s="5" t="s">
        <v>72</v>
      </c>
      <c r="C102" s="5" t="s">
        <v>517</v>
      </c>
      <c r="D102" s="5" t="s">
        <v>549</v>
      </c>
      <c r="E102" s="5" t="s">
        <v>550</v>
      </c>
      <c r="F102" s="5" t="s">
        <v>551</v>
      </c>
      <c r="G102" s="5" t="s">
        <v>126</v>
      </c>
      <c r="H102" s="5" t="s">
        <v>552</v>
      </c>
    </row>
    <row r="103" customFormat="false" ht="45.75" hidden="false" customHeight="true" outlineLevel="0" collapsed="false">
      <c r="A103" s="5" t="s">
        <v>552</v>
      </c>
      <c r="B103" s="5" t="s">
        <v>72</v>
      </c>
      <c r="C103" s="5" t="s">
        <v>517</v>
      </c>
      <c r="D103" s="5" t="s">
        <v>553</v>
      </c>
      <c r="E103" s="5" t="s">
        <v>554</v>
      </c>
      <c r="F103" s="5" t="s">
        <v>555</v>
      </c>
      <c r="G103" s="5" t="s">
        <v>556</v>
      </c>
      <c r="H103" s="5" t="s">
        <v>515</v>
      </c>
    </row>
    <row r="104" customFormat="false" ht="45.75" hidden="false" customHeight="true" outlineLevel="0" collapsed="false">
      <c r="A104" s="5" t="s">
        <v>557</v>
      </c>
      <c r="B104" s="5" t="s">
        <v>76</v>
      </c>
      <c r="C104" s="5" t="s">
        <v>558</v>
      </c>
      <c r="D104" s="5" t="s">
        <v>559</v>
      </c>
      <c r="E104" s="5" t="s">
        <v>560</v>
      </c>
      <c r="F104" s="5" t="s">
        <v>561</v>
      </c>
      <c r="G104" s="5" t="s">
        <v>126</v>
      </c>
      <c r="H104" s="5" t="s">
        <v>562</v>
      </c>
    </row>
    <row r="105" customFormat="false" ht="68.25" hidden="false" customHeight="true" outlineLevel="0" collapsed="false">
      <c r="A105" s="5" t="s">
        <v>562</v>
      </c>
      <c r="B105" s="5" t="s">
        <v>76</v>
      </c>
      <c r="C105" s="5" t="s">
        <v>558</v>
      </c>
      <c r="D105" s="5" t="s">
        <v>563</v>
      </c>
      <c r="E105" s="5" t="s">
        <v>564</v>
      </c>
      <c r="F105" s="5" t="s">
        <v>565</v>
      </c>
      <c r="G105" s="5" t="s">
        <v>566</v>
      </c>
      <c r="H105" s="5" t="s">
        <v>515</v>
      </c>
    </row>
    <row r="106" customFormat="false" ht="45.75" hidden="false" customHeight="true" outlineLevel="0" collapsed="false">
      <c r="A106" s="5" t="s">
        <v>567</v>
      </c>
      <c r="B106" s="5" t="s">
        <v>80</v>
      </c>
      <c r="C106" s="5" t="s">
        <v>568</v>
      </c>
      <c r="D106" s="5" t="s">
        <v>569</v>
      </c>
      <c r="E106" s="5" t="s">
        <v>570</v>
      </c>
      <c r="F106" s="5" t="s">
        <v>571</v>
      </c>
      <c r="G106" s="5" t="s">
        <v>572</v>
      </c>
      <c r="H106" s="5" t="s">
        <v>573</v>
      </c>
    </row>
    <row r="107" customFormat="false" ht="57" hidden="false" customHeight="true" outlineLevel="0" collapsed="false">
      <c r="A107" s="5" t="s">
        <v>573</v>
      </c>
      <c r="B107" s="5" t="s">
        <v>80</v>
      </c>
      <c r="C107" s="5" t="s">
        <v>568</v>
      </c>
      <c r="D107" s="5" t="s">
        <v>574</v>
      </c>
      <c r="E107" s="5" t="s">
        <v>575</v>
      </c>
      <c r="F107" s="5" t="s">
        <v>576</v>
      </c>
      <c r="G107" s="5" t="s">
        <v>577</v>
      </c>
      <c r="H107" s="5" t="s">
        <v>515</v>
      </c>
    </row>
    <row r="108" customFormat="false" ht="45.75" hidden="false" customHeight="true" outlineLevel="0" collapsed="false">
      <c r="A108" s="5" t="s">
        <v>578</v>
      </c>
      <c r="B108" s="5" t="s">
        <v>84</v>
      </c>
      <c r="C108" s="5" t="s">
        <v>568</v>
      </c>
      <c r="D108" s="5" t="s">
        <v>579</v>
      </c>
      <c r="E108" s="5" t="s">
        <v>580</v>
      </c>
      <c r="F108" s="5" t="s">
        <v>581</v>
      </c>
      <c r="G108" s="5" t="s">
        <v>126</v>
      </c>
      <c r="H108" s="5" t="s">
        <v>582</v>
      </c>
    </row>
    <row r="109" customFormat="false" ht="57" hidden="false" customHeight="true" outlineLevel="0" collapsed="false">
      <c r="A109" s="5" t="s">
        <v>582</v>
      </c>
      <c r="B109" s="5" t="s">
        <v>84</v>
      </c>
      <c r="C109" s="5" t="s">
        <v>568</v>
      </c>
      <c r="D109" s="5" t="s">
        <v>583</v>
      </c>
      <c r="E109" s="5" t="s">
        <v>584</v>
      </c>
      <c r="F109" s="5" t="s">
        <v>585</v>
      </c>
      <c r="G109" s="5" t="s">
        <v>586</v>
      </c>
      <c r="H109" s="5" t="s">
        <v>515</v>
      </c>
    </row>
    <row r="110" customFormat="false" ht="34.5" hidden="false" customHeight="true" outlineLevel="0" collapsed="false">
      <c r="A110" s="5" t="s">
        <v>587</v>
      </c>
      <c r="B110" s="5" t="s">
        <v>88</v>
      </c>
      <c r="C110" s="5" t="s">
        <v>568</v>
      </c>
      <c r="D110" s="5" t="s">
        <v>588</v>
      </c>
      <c r="E110" s="5" t="s">
        <v>589</v>
      </c>
      <c r="F110" s="5" t="s">
        <v>590</v>
      </c>
      <c r="G110" s="5" t="s">
        <v>126</v>
      </c>
      <c r="H110" s="5" t="s">
        <v>591</v>
      </c>
    </row>
    <row r="111" customFormat="false" ht="34.5" hidden="false" customHeight="true" outlineLevel="0" collapsed="false">
      <c r="A111" s="5" t="s">
        <v>591</v>
      </c>
      <c r="B111" s="5" t="s">
        <v>88</v>
      </c>
      <c r="C111" s="5" t="s">
        <v>568</v>
      </c>
      <c r="D111" s="5" t="s">
        <v>592</v>
      </c>
      <c r="E111" s="5" t="s">
        <v>593</v>
      </c>
      <c r="F111" s="5" t="s">
        <v>594</v>
      </c>
      <c r="G111" s="5" t="s">
        <v>126</v>
      </c>
      <c r="H111" s="5" t="s">
        <v>595</v>
      </c>
    </row>
    <row r="112" customFormat="false" ht="57" hidden="false" customHeight="true" outlineLevel="0" collapsed="false">
      <c r="A112" s="5" t="s">
        <v>595</v>
      </c>
      <c r="B112" s="5" t="s">
        <v>88</v>
      </c>
      <c r="C112" s="5" t="s">
        <v>568</v>
      </c>
      <c r="D112" s="5" t="s">
        <v>596</v>
      </c>
      <c r="E112" s="5" t="s">
        <v>597</v>
      </c>
      <c r="F112" s="5" t="s">
        <v>598</v>
      </c>
      <c r="G112" s="5" t="s">
        <v>599</v>
      </c>
      <c r="H112" s="5" t="s">
        <v>515</v>
      </c>
    </row>
    <row r="113" customFormat="false" ht="34.5" hidden="false" customHeight="true" outlineLevel="0" collapsed="false">
      <c r="A113" s="5" t="s">
        <v>600</v>
      </c>
      <c r="B113" s="5" t="s">
        <v>92</v>
      </c>
      <c r="C113" s="5" t="s">
        <v>568</v>
      </c>
      <c r="D113" s="5" t="s">
        <v>601</v>
      </c>
      <c r="E113" s="5" t="s">
        <v>602</v>
      </c>
      <c r="F113" s="5" t="s">
        <v>603</v>
      </c>
      <c r="G113" s="5" t="s">
        <v>126</v>
      </c>
      <c r="H113" s="5" t="s">
        <v>604</v>
      </c>
    </row>
    <row r="114" customFormat="false" ht="45.75" hidden="false" customHeight="true" outlineLevel="0" collapsed="false">
      <c r="A114" s="5" t="s">
        <v>604</v>
      </c>
      <c r="B114" s="5" t="s">
        <v>92</v>
      </c>
      <c r="C114" s="5" t="s">
        <v>568</v>
      </c>
      <c r="D114" s="5" t="s">
        <v>605</v>
      </c>
      <c r="E114" s="5" t="s">
        <v>606</v>
      </c>
      <c r="F114" s="5" t="s">
        <v>607</v>
      </c>
      <c r="G114" s="5" t="s">
        <v>608</v>
      </c>
      <c r="H114" s="5" t="s">
        <v>515</v>
      </c>
    </row>
    <row r="115" customFormat="false" ht="45.75" hidden="false" customHeight="true" outlineLevel="0" collapsed="false">
      <c r="A115" s="5" t="s">
        <v>609</v>
      </c>
      <c r="B115" s="5" t="s">
        <v>96</v>
      </c>
      <c r="C115" s="5" t="s">
        <v>568</v>
      </c>
      <c r="D115" s="5" t="s">
        <v>610</v>
      </c>
      <c r="E115" s="5" t="s">
        <v>611</v>
      </c>
      <c r="F115" s="5" t="s">
        <v>612</v>
      </c>
      <c r="G115" s="5" t="s">
        <v>613</v>
      </c>
      <c r="H115" s="5" t="s">
        <v>614</v>
      </c>
    </row>
    <row r="116" customFormat="false" ht="57" hidden="false" customHeight="true" outlineLevel="0" collapsed="false">
      <c r="A116" s="5" t="s">
        <v>614</v>
      </c>
      <c r="B116" s="5" t="s">
        <v>96</v>
      </c>
      <c r="C116" s="5" t="s">
        <v>568</v>
      </c>
      <c r="D116" s="5" t="s">
        <v>615</v>
      </c>
      <c r="E116" s="5" t="s">
        <v>616</v>
      </c>
      <c r="F116" s="5" t="s">
        <v>617</v>
      </c>
      <c r="G116" s="5" t="s">
        <v>618</v>
      </c>
      <c r="H116" s="5" t="s">
        <v>515</v>
      </c>
    </row>
    <row r="117" customFormat="false" ht="34.5" hidden="false" customHeight="true" outlineLevel="0" collapsed="false">
      <c r="A117" s="5" t="s">
        <v>619</v>
      </c>
      <c r="B117" s="5" t="s">
        <v>99</v>
      </c>
      <c r="C117" s="5" t="s">
        <v>568</v>
      </c>
      <c r="D117" s="5" t="s">
        <v>620</v>
      </c>
      <c r="E117" s="5" t="s">
        <v>621</v>
      </c>
      <c r="F117" s="5" t="s">
        <v>622</v>
      </c>
      <c r="G117" s="5" t="s">
        <v>126</v>
      </c>
      <c r="H117" s="5" t="s">
        <v>623</v>
      </c>
    </row>
    <row r="118" customFormat="false" ht="57" hidden="false" customHeight="true" outlineLevel="0" collapsed="false">
      <c r="A118" s="5" t="s">
        <v>623</v>
      </c>
      <c r="B118" s="5" t="s">
        <v>99</v>
      </c>
      <c r="C118" s="5" t="s">
        <v>568</v>
      </c>
      <c r="D118" s="5" t="s">
        <v>624</v>
      </c>
      <c r="E118" s="5" t="s">
        <v>625</v>
      </c>
      <c r="F118" s="5" t="s">
        <v>626</v>
      </c>
      <c r="G118" s="5" t="s">
        <v>627</v>
      </c>
      <c r="H118" s="5" t="s">
        <v>515</v>
      </c>
    </row>
    <row r="119" customFormat="false" ht="57" hidden="false" customHeight="true" outlineLevel="0" collapsed="false">
      <c r="A119" s="5" t="s">
        <v>628</v>
      </c>
      <c r="B119" s="5" t="s">
        <v>102</v>
      </c>
      <c r="C119" s="5" t="s">
        <v>568</v>
      </c>
      <c r="D119" s="5" t="s">
        <v>629</v>
      </c>
      <c r="E119" s="5" t="s">
        <v>630</v>
      </c>
      <c r="F119" s="5" t="s">
        <v>626</v>
      </c>
      <c r="G119" s="5" t="s">
        <v>631</v>
      </c>
      <c r="H119" s="5" t="s">
        <v>515</v>
      </c>
    </row>
    <row r="120" customFormat="false" ht="57" hidden="false" customHeight="true" outlineLevel="0" collapsed="false">
      <c r="A120" s="5" t="s">
        <v>632</v>
      </c>
      <c r="B120" s="5" t="s">
        <v>105</v>
      </c>
      <c r="C120" s="5" t="s">
        <v>568</v>
      </c>
      <c r="D120" s="5" t="s">
        <v>633</v>
      </c>
      <c r="E120" s="5" t="s">
        <v>634</v>
      </c>
      <c r="F120" s="5" t="s">
        <v>626</v>
      </c>
      <c r="G120" s="5" t="s">
        <v>635</v>
      </c>
      <c r="H120" s="5" t="s">
        <v>515</v>
      </c>
    </row>
    <row r="121" customFormat="false" ht="68.65" hidden="false" customHeight="false" outlineLevel="0" collapsed="false">
      <c r="A121" s="5" t="s">
        <v>636</v>
      </c>
      <c r="B121" s="5" t="s">
        <v>108</v>
      </c>
      <c r="C121" s="5" t="s">
        <v>568</v>
      </c>
      <c r="D121" s="5" t="s">
        <v>637</v>
      </c>
      <c r="E121" s="5" t="s">
        <v>638</v>
      </c>
      <c r="F121" s="5" t="s">
        <v>639</v>
      </c>
      <c r="G121" s="5" t="s">
        <v>640</v>
      </c>
      <c r="H121" s="5" t="s">
        <v>641</v>
      </c>
    </row>
    <row r="122" customFormat="false" ht="79.85" hidden="false" customHeight="false" outlineLevel="0" collapsed="false">
      <c r="A122" s="5" t="s">
        <v>641</v>
      </c>
      <c r="B122" s="5" t="s">
        <v>108</v>
      </c>
      <c r="C122" s="5" t="s">
        <v>568</v>
      </c>
      <c r="D122" s="5" t="s">
        <v>642</v>
      </c>
      <c r="E122" s="5" t="s">
        <v>643</v>
      </c>
      <c r="F122" s="5" t="s">
        <v>644</v>
      </c>
      <c r="G122" s="5" t="s">
        <v>645</v>
      </c>
      <c r="H122" s="5"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2"/>
    <col collapsed="false" customWidth="true" hidden="false" outlineLevel="0" max="3" min="3" style="1" width="62"/>
    <col collapsed="false" customWidth="true" hidden="false" outlineLevel="0" max="4" min="4" style="1" width="26"/>
    <col collapsed="false" customWidth="true" hidden="false" outlineLevel="0" max="5" min="5" style="1" width="10"/>
  </cols>
  <sheetData>
    <row r="1" customFormat="false" ht="17.25" hidden="false" customHeight="true" outlineLevel="0" collapsed="false">
      <c r="A1" s="2" t="s">
        <v>646</v>
      </c>
    </row>
    <row r="2" customFormat="false" ht="15" hidden="false" customHeight="true" outlineLevel="0" collapsed="false">
      <c r="A2" s="3" t="s">
        <v>647</v>
      </c>
    </row>
    <row r="3" customFormat="false" ht="15" hidden="false" customHeight="true" outlineLevel="0" collapsed="false">
      <c r="A3" s="4" t="s">
        <v>114</v>
      </c>
      <c r="B3" s="4" t="s">
        <v>648</v>
      </c>
      <c r="C3" s="4" t="s">
        <v>649</v>
      </c>
      <c r="D3" s="4" t="s">
        <v>650</v>
      </c>
      <c r="E3" s="4" t="s">
        <v>6</v>
      </c>
    </row>
    <row r="4" customFormat="false" ht="23.25" hidden="false" customHeight="true" outlineLevel="0" collapsed="false">
      <c r="A4" s="5" t="s">
        <v>651</v>
      </c>
      <c r="B4" s="5" t="s">
        <v>652</v>
      </c>
      <c r="C4" s="5" t="s">
        <v>653</v>
      </c>
      <c r="D4" s="5" t="s">
        <v>654</v>
      </c>
      <c r="E4" s="5" t="s">
        <v>655</v>
      </c>
    </row>
    <row r="5" customFormat="false" ht="23.25" hidden="false" customHeight="true" outlineLevel="0" collapsed="false">
      <c r="A5" s="5" t="s">
        <v>656</v>
      </c>
      <c r="B5" s="5" t="s">
        <v>657</v>
      </c>
      <c r="C5" s="5" t="s">
        <v>658</v>
      </c>
      <c r="D5" s="5" t="s">
        <v>659</v>
      </c>
      <c r="E5" s="5" t="s">
        <v>660</v>
      </c>
    </row>
    <row r="6" customFormat="false" ht="34.5" hidden="false" customHeight="true" outlineLevel="0" collapsed="false">
      <c r="A6" s="5" t="s">
        <v>661</v>
      </c>
      <c r="B6" s="5" t="s">
        <v>662</v>
      </c>
      <c r="C6" s="5" t="s">
        <v>663</v>
      </c>
      <c r="D6" s="5" t="s">
        <v>664</v>
      </c>
      <c r="E6" s="5" t="s">
        <v>660</v>
      </c>
    </row>
    <row r="7" customFormat="false" ht="23.25" hidden="false" customHeight="true" outlineLevel="0" collapsed="false">
      <c r="A7" s="5" t="s">
        <v>665</v>
      </c>
      <c r="B7" s="5" t="s">
        <v>666</v>
      </c>
      <c r="C7" s="5" t="s">
        <v>667</v>
      </c>
      <c r="D7" s="5" t="s">
        <v>668</v>
      </c>
      <c r="E7" s="5" t="s">
        <v>655</v>
      </c>
    </row>
    <row r="8" customFormat="false" ht="34.5" hidden="false" customHeight="true" outlineLevel="0" collapsed="false">
      <c r="A8" s="5" t="s">
        <v>669</v>
      </c>
      <c r="B8" s="5" t="s">
        <v>670</v>
      </c>
      <c r="C8" s="5" t="s">
        <v>671</v>
      </c>
      <c r="D8" s="5" t="s">
        <v>668</v>
      </c>
      <c r="E8" s="5" t="s">
        <v>655</v>
      </c>
    </row>
    <row r="9" customFormat="false" ht="34.5" hidden="false" customHeight="true" outlineLevel="0" collapsed="false">
      <c r="A9" s="5" t="s">
        <v>672</v>
      </c>
      <c r="B9" s="5" t="s">
        <v>673</v>
      </c>
      <c r="C9" s="5" t="s">
        <v>674</v>
      </c>
      <c r="D9" s="5" t="s">
        <v>664</v>
      </c>
      <c r="E9" s="5" t="s">
        <v>660</v>
      </c>
    </row>
    <row r="10" customFormat="false" ht="34.5" hidden="false" customHeight="true" outlineLevel="0" collapsed="false">
      <c r="A10" s="5" t="s">
        <v>675</v>
      </c>
      <c r="B10" s="5" t="s">
        <v>676</v>
      </c>
      <c r="C10" s="5" t="s">
        <v>677</v>
      </c>
      <c r="D10" s="5" t="s">
        <v>668</v>
      </c>
      <c r="E10" s="5" t="s">
        <v>655</v>
      </c>
    </row>
    <row r="11" customFormat="false" ht="34.5" hidden="false" customHeight="true" outlineLevel="0" collapsed="false">
      <c r="A11" s="5" t="s">
        <v>678</v>
      </c>
      <c r="B11" s="5" t="s">
        <v>679</v>
      </c>
      <c r="C11" s="5" t="s">
        <v>680</v>
      </c>
      <c r="D11" s="5" t="s">
        <v>668</v>
      </c>
      <c r="E11" s="5" t="s">
        <v>655</v>
      </c>
    </row>
    <row r="12" customFormat="false" ht="45.75" hidden="false" customHeight="true" outlineLevel="0" collapsed="false">
      <c r="A12" s="5" t="s">
        <v>681</v>
      </c>
      <c r="B12" s="5" t="s">
        <v>682</v>
      </c>
      <c r="C12" s="5" t="s">
        <v>683</v>
      </c>
      <c r="D12" s="5" t="s">
        <v>668</v>
      </c>
      <c r="E12" s="5" t="s">
        <v>655</v>
      </c>
    </row>
    <row r="13" customFormat="false" ht="34.5" hidden="false" customHeight="true" outlineLevel="0" collapsed="false">
      <c r="A13" s="5" t="s">
        <v>684</v>
      </c>
      <c r="B13" s="5" t="s">
        <v>685</v>
      </c>
      <c r="C13" s="5" t="s">
        <v>686</v>
      </c>
      <c r="D13" s="5" t="s">
        <v>668</v>
      </c>
      <c r="E13" s="5" t="s">
        <v>655</v>
      </c>
    </row>
    <row r="14" customFormat="false" ht="45.75" hidden="false" customHeight="true" outlineLevel="0" collapsed="false">
      <c r="A14" s="5" t="s">
        <v>687</v>
      </c>
      <c r="B14" s="5" t="s">
        <v>688</v>
      </c>
      <c r="C14" s="5" t="s">
        <v>689</v>
      </c>
      <c r="D14" s="5" t="s">
        <v>668</v>
      </c>
      <c r="E14" s="5" t="s">
        <v>655</v>
      </c>
    </row>
    <row r="15" customFormat="false" ht="57" hidden="false" customHeight="true" outlineLevel="0" collapsed="false">
      <c r="A15" s="5" t="s">
        <v>690</v>
      </c>
      <c r="B15" s="5" t="s">
        <v>691</v>
      </c>
      <c r="C15" s="5" t="s">
        <v>692</v>
      </c>
      <c r="D15" s="5" t="s">
        <v>668</v>
      </c>
      <c r="E15" s="5" t="s">
        <v>655</v>
      </c>
    </row>
    <row r="16" customFormat="false" ht="45.75" hidden="false" customHeight="true" outlineLevel="0" collapsed="false">
      <c r="A16" s="5" t="s">
        <v>693</v>
      </c>
      <c r="B16" s="5" t="s">
        <v>694</v>
      </c>
      <c r="C16" s="5" t="s">
        <v>695</v>
      </c>
      <c r="D16" s="5" t="s">
        <v>668</v>
      </c>
      <c r="E16" s="5" t="s">
        <v>655</v>
      </c>
    </row>
    <row r="17" customFormat="false" ht="45.75" hidden="false" customHeight="true" outlineLevel="0" collapsed="false">
      <c r="A17" s="5" t="s">
        <v>696</v>
      </c>
      <c r="B17" s="5" t="s">
        <v>697</v>
      </c>
      <c r="C17" s="5" t="s">
        <v>698</v>
      </c>
      <c r="D17" s="5" t="s">
        <v>668</v>
      </c>
      <c r="E17" s="5" t="s">
        <v>655</v>
      </c>
    </row>
    <row r="18" customFormat="false" ht="45.75" hidden="false" customHeight="true" outlineLevel="0" collapsed="false">
      <c r="A18" s="5" t="s">
        <v>699</v>
      </c>
      <c r="B18" s="5" t="s">
        <v>700</v>
      </c>
      <c r="C18" s="5" t="s">
        <v>701</v>
      </c>
      <c r="D18" s="5" t="s">
        <v>668</v>
      </c>
      <c r="E18" s="5" t="s">
        <v>655</v>
      </c>
    </row>
    <row r="19" customFormat="false" ht="34.5" hidden="false" customHeight="true" outlineLevel="0" collapsed="false">
      <c r="A19" s="5" t="s">
        <v>702</v>
      </c>
      <c r="B19" s="5" t="s">
        <v>703</v>
      </c>
      <c r="C19" s="5" t="s">
        <v>704</v>
      </c>
      <c r="D19" s="5" t="s">
        <v>668</v>
      </c>
      <c r="E19" s="5" t="s">
        <v>655</v>
      </c>
    </row>
    <row r="20" customFormat="false" ht="34.5" hidden="false" customHeight="true" outlineLevel="0" collapsed="false">
      <c r="A20" s="5" t="s">
        <v>705</v>
      </c>
      <c r="B20" s="5" t="s">
        <v>706</v>
      </c>
      <c r="C20" s="5" t="s">
        <v>707</v>
      </c>
      <c r="D20" s="5" t="s">
        <v>668</v>
      </c>
      <c r="E20" s="5" t="s">
        <v>655</v>
      </c>
    </row>
    <row r="21" customFormat="false" ht="45.75" hidden="false" customHeight="true" outlineLevel="0" collapsed="false">
      <c r="A21" s="5" t="s">
        <v>708</v>
      </c>
      <c r="B21" s="5" t="s">
        <v>709</v>
      </c>
      <c r="C21" s="5" t="s">
        <v>710</v>
      </c>
      <c r="D21" s="5" t="s">
        <v>668</v>
      </c>
      <c r="E21" s="5" t="s">
        <v>655</v>
      </c>
    </row>
    <row r="22" customFormat="false" ht="45.75" hidden="false" customHeight="true" outlineLevel="0" collapsed="false">
      <c r="A22" s="5" t="s">
        <v>711</v>
      </c>
      <c r="B22" s="5" t="s">
        <v>712</v>
      </c>
      <c r="C22" s="5" t="s">
        <v>713</v>
      </c>
      <c r="D22" s="5" t="s">
        <v>668</v>
      </c>
      <c r="E22" s="5" t="s">
        <v>655</v>
      </c>
    </row>
    <row r="23" customFormat="false" ht="45.75" hidden="false" customHeight="true" outlineLevel="0" collapsed="false">
      <c r="A23" s="5" t="s">
        <v>714</v>
      </c>
      <c r="B23" s="5" t="s">
        <v>715</v>
      </c>
      <c r="C23" s="5" t="s">
        <v>716</v>
      </c>
      <c r="D23" s="5" t="s">
        <v>668</v>
      </c>
      <c r="E23" s="5" t="s">
        <v>655</v>
      </c>
    </row>
    <row r="24" customFormat="false" ht="34.5" hidden="false" customHeight="true" outlineLevel="0" collapsed="false">
      <c r="A24" s="5" t="s">
        <v>717</v>
      </c>
      <c r="B24" s="5" t="s">
        <v>718</v>
      </c>
      <c r="C24" s="5" t="s">
        <v>719</v>
      </c>
      <c r="D24" s="5" t="s">
        <v>668</v>
      </c>
      <c r="E24" s="5" t="s">
        <v>655</v>
      </c>
    </row>
    <row r="25" customFormat="false" ht="23.25" hidden="false" customHeight="true" outlineLevel="0" collapsed="false">
      <c r="A25" s="5" t="s">
        <v>720</v>
      </c>
      <c r="B25" s="5" t="s">
        <v>721</v>
      </c>
      <c r="C25" s="5" t="s">
        <v>722</v>
      </c>
      <c r="D25" s="5" t="s">
        <v>668</v>
      </c>
      <c r="E25" s="5" t="s">
        <v>655</v>
      </c>
    </row>
    <row r="26" customFormat="false" ht="45.75" hidden="false" customHeight="true" outlineLevel="0" collapsed="false">
      <c r="A26" s="5" t="s">
        <v>723</v>
      </c>
      <c r="B26" s="5" t="s">
        <v>724</v>
      </c>
      <c r="C26" s="5" t="s">
        <v>725</v>
      </c>
      <c r="D26" s="5" t="s">
        <v>668</v>
      </c>
      <c r="E26" s="5" t="s">
        <v>655</v>
      </c>
    </row>
    <row r="27" customFormat="false" ht="45.75" hidden="false" customHeight="true" outlineLevel="0" collapsed="false">
      <c r="A27" s="5" t="s">
        <v>726</v>
      </c>
      <c r="B27" s="5" t="s">
        <v>727</v>
      </c>
      <c r="C27" s="5" t="s">
        <v>728</v>
      </c>
      <c r="D27" s="5" t="s">
        <v>668</v>
      </c>
      <c r="E27" s="5" t="s">
        <v>655</v>
      </c>
    </row>
    <row r="28" customFormat="false" ht="23.25" hidden="false" customHeight="true" outlineLevel="0" collapsed="false">
      <c r="A28" s="5" t="s">
        <v>729</v>
      </c>
      <c r="B28" s="5" t="s">
        <v>730</v>
      </c>
      <c r="C28" s="5" t="s">
        <v>731</v>
      </c>
      <c r="D28" s="5" t="s">
        <v>668</v>
      </c>
      <c r="E28" s="5" t="s">
        <v>655</v>
      </c>
    </row>
    <row r="29" customFormat="false" ht="45.75" hidden="false" customHeight="true" outlineLevel="0" collapsed="false">
      <c r="A29" s="5" t="s">
        <v>732</v>
      </c>
      <c r="B29" s="5" t="s">
        <v>733</v>
      </c>
      <c r="C29" s="5" t="s">
        <v>734</v>
      </c>
      <c r="D29" s="5" t="s">
        <v>668</v>
      </c>
      <c r="E29" s="5" t="s">
        <v>655</v>
      </c>
    </row>
    <row r="30" customFormat="false" ht="45.75" hidden="false" customHeight="true" outlineLevel="0" collapsed="false">
      <c r="A30" s="5" t="s">
        <v>735</v>
      </c>
      <c r="B30" s="5" t="s">
        <v>736</v>
      </c>
      <c r="C30" s="5" t="s">
        <v>737</v>
      </c>
      <c r="D30" s="5" t="s">
        <v>668</v>
      </c>
      <c r="E30" s="5" t="s">
        <v>655</v>
      </c>
    </row>
    <row r="31" customFormat="false" ht="34.5" hidden="false" customHeight="true" outlineLevel="0" collapsed="false">
      <c r="A31" s="5" t="s">
        <v>738</v>
      </c>
      <c r="B31" s="5" t="s">
        <v>739</v>
      </c>
      <c r="C31" s="5" t="s">
        <v>740</v>
      </c>
      <c r="D31" s="5" t="s">
        <v>668</v>
      </c>
      <c r="E31" s="5" t="s">
        <v>655</v>
      </c>
    </row>
    <row r="32" customFormat="false" ht="34.5" hidden="false" customHeight="true" outlineLevel="0" collapsed="false">
      <c r="A32" s="5" t="s">
        <v>741</v>
      </c>
      <c r="B32" s="5" t="s">
        <v>742</v>
      </c>
      <c r="C32" s="5" t="s">
        <v>743</v>
      </c>
      <c r="D32" s="5" t="s">
        <v>668</v>
      </c>
      <c r="E32" s="5" t="s">
        <v>655</v>
      </c>
    </row>
    <row r="33" customFormat="false" ht="34.5" hidden="false" customHeight="true" outlineLevel="0" collapsed="false">
      <c r="A33" s="5" t="s">
        <v>744</v>
      </c>
      <c r="B33" s="5" t="s">
        <v>745</v>
      </c>
      <c r="C33" s="5" t="s">
        <v>746</v>
      </c>
      <c r="D33" s="5" t="s">
        <v>668</v>
      </c>
      <c r="E33" s="5" t="s">
        <v>655</v>
      </c>
    </row>
    <row r="34" customFormat="false" ht="34.5" hidden="false" customHeight="true" outlineLevel="0" collapsed="false">
      <c r="A34" s="5" t="s">
        <v>747</v>
      </c>
      <c r="B34" s="5" t="s">
        <v>748</v>
      </c>
      <c r="C34" s="5" t="s">
        <v>749</v>
      </c>
      <c r="D34" s="5" t="s">
        <v>668</v>
      </c>
      <c r="E34" s="5" t="s">
        <v>655</v>
      </c>
    </row>
    <row r="35" customFormat="false" ht="34.5" hidden="false" customHeight="true" outlineLevel="0" collapsed="false">
      <c r="A35" s="5" t="s">
        <v>750</v>
      </c>
      <c r="B35" s="5" t="s">
        <v>751</v>
      </c>
      <c r="C35" s="5" t="s">
        <v>752</v>
      </c>
      <c r="D35" s="5" t="s">
        <v>668</v>
      </c>
      <c r="E35" s="5" t="s">
        <v>655</v>
      </c>
    </row>
    <row r="36" customFormat="false" ht="34.5" hidden="false" customHeight="true" outlineLevel="0" collapsed="false">
      <c r="A36" s="5" t="s">
        <v>753</v>
      </c>
      <c r="B36" s="5" t="s">
        <v>754</v>
      </c>
      <c r="C36" s="5" t="s">
        <v>755</v>
      </c>
      <c r="D36" s="5" t="s">
        <v>668</v>
      </c>
      <c r="E36" s="5" t="s">
        <v>655</v>
      </c>
    </row>
    <row r="37" customFormat="false" ht="34.5" hidden="false" customHeight="true" outlineLevel="0" collapsed="false">
      <c r="A37" s="5" t="s">
        <v>756</v>
      </c>
      <c r="B37" s="5" t="s">
        <v>757</v>
      </c>
      <c r="C37" s="5" t="s">
        <v>758</v>
      </c>
      <c r="D37" s="5" t="s">
        <v>668</v>
      </c>
      <c r="E37" s="5" t="s">
        <v>655</v>
      </c>
    </row>
    <row r="38" customFormat="false" ht="34.5" hidden="false" customHeight="true" outlineLevel="0" collapsed="false">
      <c r="A38" s="5" t="s">
        <v>759</v>
      </c>
      <c r="B38" s="5" t="s">
        <v>760</v>
      </c>
      <c r="C38" s="5" t="s">
        <v>761</v>
      </c>
      <c r="D38" s="5" t="s">
        <v>668</v>
      </c>
      <c r="E38" s="5" t="s">
        <v>655</v>
      </c>
    </row>
    <row r="39" customFormat="false" ht="34.5" hidden="false" customHeight="true" outlineLevel="0" collapsed="false">
      <c r="A39" s="5" t="s">
        <v>762</v>
      </c>
      <c r="B39" s="5" t="s">
        <v>763</v>
      </c>
      <c r="C39" s="5" t="s">
        <v>764</v>
      </c>
      <c r="D39" s="5" t="s">
        <v>668</v>
      </c>
      <c r="E39" s="5" t="s">
        <v>655</v>
      </c>
    </row>
    <row r="40" customFormat="false" ht="46.25" hidden="false" customHeight="false" outlineLevel="0" collapsed="false">
      <c r="A40" s="5" t="s">
        <v>765</v>
      </c>
      <c r="B40" s="5" t="s">
        <v>766</v>
      </c>
      <c r="C40" s="5" t="s">
        <v>767</v>
      </c>
      <c r="D40" s="5" t="s">
        <v>668</v>
      </c>
      <c r="E40" s="5" t="s">
        <v>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2"/>
  </cols>
  <sheetData>
    <row r="1" customFormat="false" ht="17.25" hidden="false" customHeight="true" outlineLevel="0" collapsed="false">
      <c r="A1" s="2" t="s">
        <v>768</v>
      </c>
    </row>
    <row r="2" customFormat="false" ht="15" hidden="false" customHeight="true" outlineLevel="0" collapsed="false">
      <c r="A2" s="3" t="s">
        <v>769</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775</v>
      </c>
      <c r="B4" s="5" t="s">
        <v>776</v>
      </c>
      <c r="C4" s="5" t="s">
        <v>48</v>
      </c>
      <c r="D4" s="5" t="n">
        <v>2</v>
      </c>
      <c r="E4" s="5" t="s">
        <v>668</v>
      </c>
      <c r="F4" s="6" t="s">
        <v>777</v>
      </c>
      <c r="G4" s="5" t="s">
        <v>778</v>
      </c>
    </row>
    <row r="5" customFormat="false" ht="15" hidden="false" customHeight="true" outlineLevel="0" collapsed="false">
      <c r="A5" s="5" t="s">
        <v>779</v>
      </c>
      <c r="B5" s="5" t="s">
        <v>780</v>
      </c>
      <c r="C5" s="5" t="s">
        <v>48</v>
      </c>
      <c r="D5" s="5" t="n">
        <v>1</v>
      </c>
      <c r="E5" s="5" t="s">
        <v>668</v>
      </c>
      <c r="F5" s="6" t="s">
        <v>777</v>
      </c>
      <c r="G5" s="5" t="s">
        <v>781</v>
      </c>
    </row>
    <row r="6" customFormat="false" ht="23.25" hidden="false" customHeight="true" outlineLevel="0" collapsed="false">
      <c r="A6" s="5" t="s">
        <v>782</v>
      </c>
      <c r="B6" s="5" t="s">
        <v>783</v>
      </c>
      <c r="C6" s="5" t="s">
        <v>48</v>
      </c>
      <c r="D6" s="5" t="n">
        <v>2</v>
      </c>
      <c r="E6" s="5" t="s">
        <v>668</v>
      </c>
      <c r="F6" s="6" t="s">
        <v>777</v>
      </c>
      <c r="G6" s="5" t="s">
        <v>784</v>
      </c>
    </row>
    <row r="7" customFormat="false" ht="23.25" hidden="false" customHeight="true" outlineLevel="0" collapsed="false">
      <c r="A7" s="5" t="s">
        <v>785</v>
      </c>
      <c r="B7" s="5" t="s">
        <v>786</v>
      </c>
      <c r="C7" s="5" t="s">
        <v>787</v>
      </c>
      <c r="D7" s="5" t="n">
        <v>5</v>
      </c>
      <c r="E7" s="5" t="s">
        <v>668</v>
      </c>
      <c r="F7" s="6" t="s">
        <v>777</v>
      </c>
      <c r="G7" s="5" t="s">
        <v>788</v>
      </c>
    </row>
    <row r="8" customFormat="false" ht="23.25" hidden="false" customHeight="true" outlineLevel="0" collapsed="false">
      <c r="A8" s="5" t="s">
        <v>789</v>
      </c>
      <c r="B8" s="5" t="s">
        <v>790</v>
      </c>
      <c r="C8" s="5" t="s">
        <v>791</v>
      </c>
      <c r="D8" s="5" t="n">
        <v>3</v>
      </c>
      <c r="E8" s="5" t="s">
        <v>668</v>
      </c>
      <c r="F8" s="6" t="s">
        <v>777</v>
      </c>
      <c r="G8" s="5" t="s">
        <v>792</v>
      </c>
    </row>
    <row r="9" customFormat="false" ht="23.25" hidden="false" customHeight="true" outlineLevel="0" collapsed="false">
      <c r="A9" s="5" t="s">
        <v>793</v>
      </c>
      <c r="B9" s="5" t="s">
        <v>794</v>
      </c>
      <c r="C9" s="5" t="s">
        <v>795</v>
      </c>
      <c r="D9" s="5" t="n">
        <v>3</v>
      </c>
      <c r="E9" s="5" t="s">
        <v>668</v>
      </c>
      <c r="F9" s="6" t="s">
        <v>777</v>
      </c>
      <c r="G9" s="5" t="s">
        <v>796</v>
      </c>
    </row>
    <row r="10" customFormat="false" ht="23.25" hidden="false" customHeight="true" outlineLevel="0" collapsed="false">
      <c r="A10" s="5" t="s">
        <v>797</v>
      </c>
      <c r="B10" s="5" t="s">
        <v>798</v>
      </c>
      <c r="C10" s="5" t="s">
        <v>799</v>
      </c>
      <c r="D10" s="5" t="n">
        <v>2</v>
      </c>
      <c r="E10" s="5" t="s">
        <v>668</v>
      </c>
      <c r="F10" s="6" t="s">
        <v>777</v>
      </c>
      <c r="G10" s="5" t="s">
        <v>800</v>
      </c>
    </row>
    <row r="11" customFormat="false" ht="15" hidden="false" customHeight="true" outlineLevel="0" collapsed="false">
      <c r="A11" s="5" t="s">
        <v>801</v>
      </c>
      <c r="B11" s="5" t="s">
        <v>802</v>
      </c>
      <c r="C11" s="5" t="s">
        <v>48</v>
      </c>
      <c r="D11" s="5" t="n">
        <v>2</v>
      </c>
      <c r="E11" s="5" t="s">
        <v>668</v>
      </c>
      <c r="F11" s="6" t="s">
        <v>803</v>
      </c>
      <c r="G11" s="5" t="s">
        <v>804</v>
      </c>
    </row>
    <row r="12" customFormat="false" ht="15" hidden="false" customHeight="true" outlineLevel="0" collapsed="false">
      <c r="A12" s="5" t="s">
        <v>805</v>
      </c>
      <c r="B12" s="5" t="s">
        <v>806</v>
      </c>
      <c r="C12" s="5" t="s">
        <v>787</v>
      </c>
      <c r="D12" s="5" t="n">
        <v>0</v>
      </c>
      <c r="E12" s="5" t="s">
        <v>654</v>
      </c>
      <c r="F12" s="5" t="s">
        <v>807</v>
      </c>
      <c r="G12" s="5" t="s">
        <v>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2"/>
  </cols>
  <sheetData>
    <row r="1" customFormat="false" ht="17.25" hidden="false" customHeight="true" outlineLevel="0" collapsed="false">
      <c r="A1" s="2" t="s">
        <v>809</v>
      </c>
    </row>
    <row r="2" customFormat="false" ht="15" hidden="false" customHeight="true" outlineLevel="0" collapsed="false">
      <c r="A2" s="3" t="s">
        <v>810</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811</v>
      </c>
      <c r="B4" s="5" t="s">
        <v>812</v>
      </c>
      <c r="C4" s="5" t="s">
        <v>48</v>
      </c>
      <c r="D4" s="5" t="n">
        <v>3</v>
      </c>
      <c r="E4" s="5" t="s">
        <v>668</v>
      </c>
      <c r="F4" s="6" t="s">
        <v>777</v>
      </c>
      <c r="G4" s="5" t="s">
        <v>813</v>
      </c>
    </row>
    <row r="5" customFormat="false" ht="23.25" hidden="false" customHeight="true" outlineLevel="0" collapsed="false">
      <c r="A5" s="5" t="s">
        <v>814</v>
      </c>
      <c r="B5" s="5" t="s">
        <v>815</v>
      </c>
      <c r="C5" s="5" t="s">
        <v>816</v>
      </c>
      <c r="D5" s="5" t="n">
        <v>5</v>
      </c>
      <c r="E5" s="5" t="s">
        <v>668</v>
      </c>
      <c r="F5" s="6" t="s">
        <v>777</v>
      </c>
      <c r="G5" s="5" t="s">
        <v>817</v>
      </c>
    </row>
    <row r="6" customFormat="false" ht="23.25" hidden="false" customHeight="true" outlineLevel="0" collapsed="false">
      <c r="A6" s="5" t="s">
        <v>818</v>
      </c>
      <c r="B6" s="5" t="s">
        <v>819</v>
      </c>
      <c r="C6" s="5" t="s">
        <v>820</v>
      </c>
      <c r="D6" s="5" t="n">
        <v>8</v>
      </c>
      <c r="E6" s="5" t="s">
        <v>668</v>
      </c>
      <c r="F6" s="6" t="s">
        <v>777</v>
      </c>
      <c r="G6" s="5" t="s">
        <v>821</v>
      </c>
    </row>
    <row r="7" customFormat="false" ht="15" hidden="false" customHeight="true" outlineLevel="0" collapsed="false">
      <c r="A7" s="5" t="s">
        <v>822</v>
      </c>
      <c r="B7" s="5" t="s">
        <v>823</v>
      </c>
      <c r="C7" s="5" t="s">
        <v>824</v>
      </c>
      <c r="D7" s="5" t="n">
        <v>5</v>
      </c>
      <c r="E7" s="5" t="s">
        <v>668</v>
      </c>
      <c r="F7" s="6" t="s">
        <v>777</v>
      </c>
      <c r="G7" s="5" t="s">
        <v>825</v>
      </c>
    </row>
    <row r="8" customFormat="false" ht="23.25" hidden="false" customHeight="true" outlineLevel="0" collapsed="false">
      <c r="A8" s="5" t="s">
        <v>826</v>
      </c>
      <c r="B8" s="5" t="s">
        <v>827</v>
      </c>
      <c r="C8" s="5" t="s">
        <v>828</v>
      </c>
      <c r="D8" s="5" t="n">
        <v>3</v>
      </c>
      <c r="E8" s="5" t="s">
        <v>668</v>
      </c>
      <c r="F8" s="6" t="s">
        <v>777</v>
      </c>
      <c r="G8" s="5" t="s">
        <v>829</v>
      </c>
    </row>
    <row r="9" customFormat="false" ht="23.25" hidden="false" customHeight="true" outlineLevel="0" collapsed="false">
      <c r="A9" s="5" t="s">
        <v>830</v>
      </c>
      <c r="B9" s="5" t="s">
        <v>831</v>
      </c>
      <c r="C9" s="5" t="s">
        <v>832</v>
      </c>
      <c r="D9" s="5" t="n">
        <v>3</v>
      </c>
      <c r="E9" s="5" t="s">
        <v>668</v>
      </c>
      <c r="F9" s="6" t="s">
        <v>777</v>
      </c>
      <c r="G9" s="5" t="s">
        <v>833</v>
      </c>
    </row>
    <row r="10" customFormat="false" ht="23.25" hidden="false" customHeight="true" outlineLevel="0" collapsed="false">
      <c r="A10" s="5" t="s">
        <v>834</v>
      </c>
      <c r="B10" s="5" t="s">
        <v>835</v>
      </c>
      <c r="C10" s="5" t="s">
        <v>836</v>
      </c>
      <c r="D10" s="5" t="n">
        <v>5</v>
      </c>
      <c r="E10" s="5" t="s">
        <v>668</v>
      </c>
      <c r="F10" s="6" t="s">
        <v>777</v>
      </c>
      <c r="G10" s="5" t="s">
        <v>837</v>
      </c>
    </row>
    <row r="11" customFormat="false" ht="15" hidden="false" customHeight="true" outlineLevel="0" collapsed="false">
      <c r="A11" s="5" t="s">
        <v>838</v>
      </c>
      <c r="B11" s="5" t="s">
        <v>839</v>
      </c>
      <c r="C11" s="5" t="s">
        <v>48</v>
      </c>
      <c r="D11" s="5" t="n">
        <v>2</v>
      </c>
      <c r="E11" s="5" t="s">
        <v>668</v>
      </c>
      <c r="F11" s="6" t="s">
        <v>803</v>
      </c>
      <c r="G11" s="5" t="s">
        <v>840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2"/>
  </cols>
  <sheetData>
    <row r="1" customFormat="false" ht="17.25" hidden="false" customHeight="true" outlineLevel="0" collapsed="false">
      <c r="A1" s="2" t="s">
        <v>841</v>
      </c>
    </row>
    <row r="2" customFormat="false" ht="15" hidden="false" customHeight="true" outlineLevel="0" collapsed="false">
      <c r="A2" s="3" t="s">
        <v>842</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843</v>
      </c>
      <c r="B4" s="5" t="s">
        <v>844</v>
      </c>
      <c r="C4" s="5" t="s">
        <v>845</v>
      </c>
      <c r="D4" s="5" t="n">
        <v>5</v>
      </c>
      <c r="E4" s="5" t="s">
        <v>668</v>
      </c>
      <c r="F4" s="6" t="s">
        <v>777</v>
      </c>
      <c r="G4" s="5" t="s">
        <v>846</v>
      </c>
    </row>
    <row r="5" customFormat="false" ht="23.25" hidden="false" customHeight="true" outlineLevel="0" collapsed="false">
      <c r="A5" s="5" t="s">
        <v>847</v>
      </c>
      <c r="B5" s="5" t="s">
        <v>848</v>
      </c>
      <c r="C5" s="5" t="s">
        <v>849</v>
      </c>
      <c r="D5" s="5" t="n">
        <v>3</v>
      </c>
      <c r="E5" s="5" t="s">
        <v>668</v>
      </c>
      <c r="F5" s="6" t="s">
        <v>777</v>
      </c>
      <c r="G5" s="5" t="s">
        <v>850</v>
      </c>
    </row>
    <row r="6" customFormat="false" ht="15" hidden="false" customHeight="true" outlineLevel="0" collapsed="false">
      <c r="A6" s="5" t="s">
        <v>851</v>
      </c>
      <c r="B6" s="5" t="s">
        <v>852</v>
      </c>
      <c r="C6" s="5" t="s">
        <v>853</v>
      </c>
      <c r="D6" s="5" t="n">
        <v>3</v>
      </c>
      <c r="E6" s="5" t="s">
        <v>668</v>
      </c>
      <c r="F6" s="6" t="s">
        <v>777</v>
      </c>
      <c r="G6" s="5" t="s">
        <v>854</v>
      </c>
    </row>
    <row r="7" customFormat="false" ht="23.25" hidden="false" customHeight="true" outlineLevel="0" collapsed="false">
      <c r="A7" s="5" t="s">
        <v>855</v>
      </c>
      <c r="B7" s="5" t="s">
        <v>856</v>
      </c>
      <c r="C7" s="5" t="s">
        <v>857</v>
      </c>
      <c r="D7" s="5" t="n">
        <v>2</v>
      </c>
      <c r="E7" s="5" t="s">
        <v>668</v>
      </c>
      <c r="F7" s="6" t="s">
        <v>777</v>
      </c>
      <c r="G7" s="5" t="s">
        <v>858</v>
      </c>
    </row>
    <row r="8" customFormat="false" ht="23.25" hidden="false" customHeight="true" outlineLevel="0" collapsed="false">
      <c r="A8" s="5" t="s">
        <v>859</v>
      </c>
      <c r="B8" s="5" t="s">
        <v>860</v>
      </c>
      <c r="C8" s="5" t="s">
        <v>861</v>
      </c>
      <c r="D8" s="5" t="n">
        <v>5</v>
      </c>
      <c r="E8" s="5" t="s">
        <v>668</v>
      </c>
      <c r="F8" s="6" t="s">
        <v>777</v>
      </c>
      <c r="G8" s="5" t="s">
        <v>862</v>
      </c>
    </row>
    <row r="9" customFormat="false" ht="23.25" hidden="false" customHeight="true" outlineLevel="0" collapsed="false">
      <c r="A9" s="5" t="s">
        <v>863</v>
      </c>
      <c r="B9" s="5" t="s">
        <v>864</v>
      </c>
      <c r="C9" s="5" t="s">
        <v>865</v>
      </c>
      <c r="D9" s="5" t="n">
        <v>3</v>
      </c>
      <c r="E9" s="5" t="s">
        <v>668</v>
      </c>
      <c r="F9" s="6" t="s">
        <v>777</v>
      </c>
      <c r="G9" s="5" t="s">
        <v>866</v>
      </c>
    </row>
    <row r="10" customFormat="false" ht="15" hidden="false" customHeight="true" outlineLevel="0" collapsed="false">
      <c r="A10" s="5" t="s">
        <v>867</v>
      </c>
      <c r="B10" s="5" t="s">
        <v>868</v>
      </c>
      <c r="C10" s="5" t="s">
        <v>869</v>
      </c>
      <c r="D10" s="5" t="n">
        <v>5</v>
      </c>
      <c r="E10" s="5" t="s">
        <v>668</v>
      </c>
      <c r="F10" s="6" t="s">
        <v>777</v>
      </c>
      <c r="G10" s="5" t="s">
        <v>870</v>
      </c>
    </row>
    <row r="11" customFormat="false" ht="23.25" hidden="false" customHeight="true" outlineLevel="0" collapsed="false">
      <c r="A11" s="5" t="s">
        <v>871</v>
      </c>
      <c r="B11" s="5" t="s">
        <v>872</v>
      </c>
      <c r="C11" s="5" t="s">
        <v>873</v>
      </c>
      <c r="D11" s="5" t="n">
        <v>8</v>
      </c>
      <c r="E11" s="5" t="s">
        <v>668</v>
      </c>
      <c r="F11" s="6" t="s">
        <v>777</v>
      </c>
      <c r="G11" s="5" t="s">
        <v>874</v>
      </c>
    </row>
    <row r="12" customFormat="false" ht="23.25" hidden="false" customHeight="true" outlineLevel="0" collapsed="false">
      <c r="A12" s="5" t="s">
        <v>875</v>
      </c>
      <c r="B12" s="5" t="s">
        <v>876</v>
      </c>
      <c r="C12" s="5" t="s">
        <v>877</v>
      </c>
      <c r="D12" s="5" t="n">
        <v>5</v>
      </c>
      <c r="E12" s="5" t="s">
        <v>668</v>
      </c>
      <c r="F12" s="6" t="s">
        <v>777</v>
      </c>
      <c r="G12" s="5" t="s">
        <v>878</v>
      </c>
    </row>
    <row r="13" customFormat="false" ht="23.25" hidden="false" customHeight="true" outlineLevel="0" collapsed="false">
      <c r="A13" s="5" t="s">
        <v>879</v>
      </c>
      <c r="B13" s="5" t="s">
        <v>880</v>
      </c>
      <c r="C13" s="5" t="s">
        <v>881</v>
      </c>
      <c r="D13" s="5" t="n">
        <v>3</v>
      </c>
      <c r="E13" s="5" t="s">
        <v>668</v>
      </c>
      <c r="F13" s="6" t="s">
        <v>777</v>
      </c>
      <c r="G13" s="5" t="s">
        <v>882</v>
      </c>
    </row>
    <row r="14" customFormat="false" ht="23.25" hidden="false" customHeight="true" outlineLevel="0" collapsed="false">
      <c r="A14" s="5" t="s">
        <v>883</v>
      </c>
      <c r="B14" s="5" t="s">
        <v>884</v>
      </c>
      <c r="C14" s="5" t="s">
        <v>885</v>
      </c>
      <c r="D14" s="5" t="n">
        <v>5</v>
      </c>
      <c r="E14" s="5" t="s">
        <v>668</v>
      </c>
      <c r="F14" s="6" t="s">
        <v>777</v>
      </c>
      <c r="G14" s="5" t="s">
        <v>886</v>
      </c>
    </row>
    <row r="15" customFormat="false" ht="15" hidden="false" customHeight="true" outlineLevel="0" collapsed="false">
      <c r="A15" s="5" t="s">
        <v>887</v>
      </c>
      <c r="B15" s="5" t="s">
        <v>888</v>
      </c>
      <c r="C15" s="5" t="s">
        <v>48</v>
      </c>
      <c r="D15" s="5" t="n">
        <v>0</v>
      </c>
      <c r="E15" s="5" t="s">
        <v>668</v>
      </c>
      <c r="F15" s="5" t="s">
        <v>889</v>
      </c>
      <c r="G15" s="5" t="s">
        <v>890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2"/>
  </cols>
  <sheetData>
    <row r="1" customFormat="false" ht="17.25" hidden="false" customHeight="true" outlineLevel="0" collapsed="false">
      <c r="A1" s="2" t="s">
        <v>891</v>
      </c>
    </row>
    <row r="2" customFormat="false" ht="15" hidden="false" customHeight="true" outlineLevel="0" collapsed="false">
      <c r="A2" s="3" t="s">
        <v>892</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893</v>
      </c>
      <c r="B4" s="5" t="s">
        <v>894</v>
      </c>
      <c r="C4" s="5" t="s">
        <v>895</v>
      </c>
      <c r="D4" s="5" t="n">
        <v>5</v>
      </c>
      <c r="E4" s="5" t="s">
        <v>668</v>
      </c>
      <c r="F4" s="6" t="s">
        <v>777</v>
      </c>
      <c r="G4" s="5" t="s">
        <v>896</v>
      </c>
    </row>
    <row r="5" customFormat="false" ht="23.25" hidden="false" customHeight="true" outlineLevel="0" collapsed="false">
      <c r="A5" s="5" t="s">
        <v>897</v>
      </c>
      <c r="B5" s="5" t="s">
        <v>898</v>
      </c>
      <c r="C5" s="5" t="s">
        <v>899</v>
      </c>
      <c r="D5" s="5" t="n">
        <v>3</v>
      </c>
      <c r="E5" s="5" t="s">
        <v>668</v>
      </c>
      <c r="F5" s="6" t="s">
        <v>777</v>
      </c>
      <c r="G5" s="5" t="s">
        <v>900</v>
      </c>
    </row>
    <row r="6" customFormat="false" ht="15" hidden="false" customHeight="true" outlineLevel="0" collapsed="false">
      <c r="A6" s="5" t="s">
        <v>901</v>
      </c>
      <c r="B6" s="5" t="s">
        <v>902</v>
      </c>
      <c r="C6" s="5" t="s">
        <v>903</v>
      </c>
      <c r="D6" s="5" t="n">
        <v>3</v>
      </c>
      <c r="E6" s="5" t="s">
        <v>668</v>
      </c>
      <c r="F6" s="6" t="s">
        <v>777</v>
      </c>
      <c r="G6" s="5" t="s">
        <v>904</v>
      </c>
    </row>
    <row r="7" customFormat="false" ht="23.25" hidden="false" customHeight="true" outlineLevel="0" collapsed="false">
      <c r="A7" s="5" t="s">
        <v>905</v>
      </c>
      <c r="B7" s="5" t="s">
        <v>906</v>
      </c>
      <c r="C7" s="5" t="s">
        <v>907</v>
      </c>
      <c r="D7" s="5" t="n">
        <v>2</v>
      </c>
      <c r="E7" s="5" t="s">
        <v>668</v>
      </c>
      <c r="F7" s="6" t="s">
        <v>777</v>
      </c>
      <c r="G7" s="5" t="s">
        <v>908</v>
      </c>
    </row>
    <row r="8" customFormat="false" ht="23.25" hidden="false" customHeight="true" outlineLevel="0" collapsed="false">
      <c r="A8" s="5" t="s">
        <v>909</v>
      </c>
      <c r="B8" s="5" t="s">
        <v>910</v>
      </c>
      <c r="C8" s="5" t="s">
        <v>911</v>
      </c>
      <c r="D8" s="5" t="n">
        <v>5</v>
      </c>
      <c r="E8" s="5" t="s">
        <v>668</v>
      </c>
      <c r="F8" s="6" t="s">
        <v>777</v>
      </c>
      <c r="G8" s="5" t="s">
        <v>912</v>
      </c>
    </row>
    <row r="9" customFormat="false" ht="15" hidden="false" customHeight="true" outlineLevel="0" collapsed="false">
      <c r="A9" s="5" t="s">
        <v>913</v>
      </c>
      <c r="B9" s="5" t="s">
        <v>914</v>
      </c>
      <c r="C9" s="5" t="s">
        <v>915</v>
      </c>
      <c r="D9" s="5" t="n">
        <v>3</v>
      </c>
      <c r="E9" s="5" t="s">
        <v>668</v>
      </c>
      <c r="F9" s="6" t="s">
        <v>777</v>
      </c>
      <c r="G9" s="5" t="s">
        <v>916</v>
      </c>
    </row>
    <row r="10" customFormat="false" ht="23.25" hidden="false" customHeight="true" outlineLevel="0" collapsed="false">
      <c r="A10" s="5" t="s">
        <v>917</v>
      </c>
      <c r="B10" s="5" t="s">
        <v>918</v>
      </c>
      <c r="C10" s="5" t="s">
        <v>919</v>
      </c>
      <c r="D10" s="5" t="n">
        <v>5</v>
      </c>
      <c r="E10" s="5" t="s">
        <v>668</v>
      </c>
      <c r="F10" s="6" t="s">
        <v>777</v>
      </c>
      <c r="G10" s="5" t="s">
        <v>920</v>
      </c>
    </row>
    <row r="11" customFormat="false" ht="23.25" hidden="false" customHeight="true" outlineLevel="0" collapsed="false">
      <c r="A11" s="5" t="s">
        <v>921</v>
      </c>
      <c r="B11" s="5" t="s">
        <v>922</v>
      </c>
      <c r="C11" s="5" t="s">
        <v>923</v>
      </c>
      <c r="D11" s="5" t="n">
        <v>3</v>
      </c>
      <c r="E11" s="5" t="s">
        <v>668</v>
      </c>
      <c r="F11" s="6" t="s">
        <v>777</v>
      </c>
      <c r="G11" s="5" t="s">
        <v>924</v>
      </c>
    </row>
    <row r="12" customFormat="false" ht="23.25" hidden="false" customHeight="true" outlineLevel="0" collapsed="false">
      <c r="A12" s="5" t="s">
        <v>925</v>
      </c>
      <c r="B12" s="5" t="s">
        <v>926</v>
      </c>
      <c r="C12" s="5" t="s">
        <v>927</v>
      </c>
      <c r="D12" s="5" t="n">
        <v>5</v>
      </c>
      <c r="E12" s="5" t="s">
        <v>668</v>
      </c>
      <c r="F12" s="6" t="s">
        <v>777</v>
      </c>
      <c r="G12" s="5" t="s">
        <v>928</v>
      </c>
    </row>
    <row r="13" customFormat="false" ht="23.25" hidden="false" customHeight="true" outlineLevel="0" collapsed="false">
      <c r="A13" s="5" t="s">
        <v>929</v>
      </c>
      <c r="B13" s="5" t="s">
        <v>930</v>
      </c>
      <c r="C13" s="5" t="s">
        <v>48</v>
      </c>
      <c r="D13" s="5" t="n">
        <v>0</v>
      </c>
      <c r="E13" s="5" t="s">
        <v>668</v>
      </c>
      <c r="F13" s="5" t="s">
        <v>931</v>
      </c>
      <c r="G13" s="5" t="s">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6"/>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2"/>
  </cols>
  <sheetData>
    <row r="1" customFormat="false" ht="17.25" hidden="false" customHeight="true" outlineLevel="0" collapsed="false">
      <c r="A1" s="2" t="s">
        <v>933</v>
      </c>
    </row>
    <row r="2" customFormat="false" ht="15" hidden="false" customHeight="true" outlineLevel="0" collapsed="false">
      <c r="A2" s="3" t="s">
        <v>934</v>
      </c>
    </row>
    <row r="3" customFormat="false" ht="15" hidden="false" customHeight="true" outlineLevel="0" collapsed="false">
      <c r="A3" s="4" t="s">
        <v>114</v>
      </c>
      <c r="B3" s="4" t="s">
        <v>770</v>
      </c>
      <c r="C3" s="4" t="s">
        <v>771</v>
      </c>
      <c r="D3" s="4" t="s">
        <v>772</v>
      </c>
      <c r="E3" s="4" t="s">
        <v>773</v>
      </c>
      <c r="F3" s="4" t="s">
        <v>6</v>
      </c>
      <c r="G3" s="4" t="s">
        <v>774</v>
      </c>
    </row>
    <row r="4" customFormat="false" ht="15" hidden="false" customHeight="true" outlineLevel="0" collapsed="false">
      <c r="A4" s="5" t="s">
        <v>935</v>
      </c>
      <c r="B4" s="5" t="s">
        <v>936</v>
      </c>
      <c r="C4" s="5" t="s">
        <v>937</v>
      </c>
      <c r="D4" s="5" t="n">
        <v>5</v>
      </c>
      <c r="E4" s="5" t="s">
        <v>668</v>
      </c>
      <c r="F4" s="6" t="s">
        <v>777</v>
      </c>
      <c r="G4" s="5" t="s">
        <v>938</v>
      </c>
    </row>
    <row r="5" customFormat="false" ht="23.25" hidden="false" customHeight="true" outlineLevel="0" collapsed="false">
      <c r="A5" s="5" t="s">
        <v>939</v>
      </c>
      <c r="B5" s="5" t="s">
        <v>940</v>
      </c>
      <c r="C5" s="5" t="s">
        <v>941</v>
      </c>
      <c r="D5" s="5" t="n">
        <v>8</v>
      </c>
      <c r="E5" s="5" t="s">
        <v>668</v>
      </c>
      <c r="F5" s="6" t="s">
        <v>777</v>
      </c>
      <c r="G5" s="5" t="s">
        <v>942</v>
      </c>
    </row>
    <row r="6" customFormat="false" ht="15" hidden="false" customHeight="true" outlineLevel="0" collapsed="false">
      <c r="A6" s="5" t="s">
        <v>943</v>
      </c>
      <c r="B6" s="5" t="s">
        <v>944</v>
      </c>
      <c r="C6" s="5" t="s">
        <v>945</v>
      </c>
      <c r="D6" s="5" t="n">
        <v>5</v>
      </c>
      <c r="E6" s="5" t="s">
        <v>668</v>
      </c>
      <c r="F6" s="6" t="s">
        <v>777</v>
      </c>
      <c r="G6" s="5" t="s">
        <v>946</v>
      </c>
    </row>
    <row r="7" customFormat="false" ht="23.25" hidden="false" customHeight="true" outlineLevel="0" collapsed="false">
      <c r="A7" s="5" t="s">
        <v>947</v>
      </c>
      <c r="B7" s="5" t="s">
        <v>948</v>
      </c>
      <c r="C7" s="5" t="s">
        <v>949</v>
      </c>
      <c r="D7" s="5" t="n">
        <v>3</v>
      </c>
      <c r="E7" s="5" t="s">
        <v>668</v>
      </c>
      <c r="F7" s="6" t="s">
        <v>777</v>
      </c>
      <c r="G7" s="5" t="s">
        <v>950</v>
      </c>
    </row>
    <row r="8" customFormat="false" ht="23.25" hidden="false" customHeight="true" outlineLevel="0" collapsed="false">
      <c r="A8" s="5" t="s">
        <v>951</v>
      </c>
      <c r="B8" s="5" t="s">
        <v>952</v>
      </c>
      <c r="C8" s="5" t="s">
        <v>953</v>
      </c>
      <c r="D8" s="5" t="n">
        <v>5</v>
      </c>
      <c r="E8" s="5" t="s">
        <v>668</v>
      </c>
      <c r="F8" s="6" t="s">
        <v>777</v>
      </c>
      <c r="G8" s="5" t="s">
        <v>954</v>
      </c>
    </row>
    <row r="9" customFormat="false" ht="15" hidden="false" customHeight="true" outlineLevel="0" collapsed="false">
      <c r="A9" s="5" t="s">
        <v>955</v>
      </c>
      <c r="B9" s="5" t="s">
        <v>956</v>
      </c>
      <c r="C9" s="5" t="s">
        <v>957</v>
      </c>
      <c r="D9" s="5" t="n">
        <v>3</v>
      </c>
      <c r="E9" s="5" t="s">
        <v>668</v>
      </c>
      <c r="F9" s="6" t="s">
        <v>777</v>
      </c>
      <c r="G9" s="5" t="s">
        <v>958</v>
      </c>
    </row>
    <row r="10" customFormat="false" ht="15" hidden="false" customHeight="true" outlineLevel="0" collapsed="false">
      <c r="A10" s="5" t="s">
        <v>959</v>
      </c>
      <c r="B10" s="5" t="s">
        <v>960</v>
      </c>
      <c r="C10" s="5" t="s">
        <v>961</v>
      </c>
      <c r="D10" s="5" t="n">
        <v>3</v>
      </c>
      <c r="E10" s="5" t="s">
        <v>668</v>
      </c>
      <c r="F10" s="6" t="s">
        <v>777</v>
      </c>
      <c r="G10" s="5" t="s">
        <v>962</v>
      </c>
    </row>
    <row r="11" customFormat="false" ht="15" hidden="false" customHeight="true" outlineLevel="0" collapsed="false">
      <c r="A11" s="5" t="s">
        <v>963</v>
      </c>
      <c r="B11" s="5" t="s">
        <v>964</v>
      </c>
      <c r="C11" s="5" t="s">
        <v>965</v>
      </c>
      <c r="D11" s="5" t="n">
        <v>2</v>
      </c>
      <c r="E11" s="5" t="s">
        <v>668</v>
      </c>
      <c r="F11" s="6" t="s">
        <v>777</v>
      </c>
      <c r="G11" s="5" t="s">
        <v>966</v>
      </c>
    </row>
    <row r="12" customFormat="false" ht="15" hidden="false" customHeight="true" outlineLevel="0" collapsed="false">
      <c r="A12" s="5" t="s">
        <v>967</v>
      </c>
      <c r="B12" s="5" t="s">
        <v>968</v>
      </c>
      <c r="C12" s="5" t="s">
        <v>969</v>
      </c>
      <c r="D12" s="5" t="n">
        <v>5</v>
      </c>
      <c r="E12" s="5" t="s">
        <v>668</v>
      </c>
      <c r="F12" s="6" t="s">
        <v>777</v>
      </c>
      <c r="G12" s="5" t="s">
        <v>970</v>
      </c>
    </row>
    <row r="13" customFormat="false" ht="15" hidden="false" customHeight="true" outlineLevel="0" collapsed="false">
      <c r="A13" s="5" t="s">
        <v>971</v>
      </c>
      <c r="B13" s="5" t="s">
        <v>972</v>
      </c>
      <c r="C13" s="5" t="s">
        <v>973</v>
      </c>
      <c r="D13" s="5" t="n">
        <v>3</v>
      </c>
      <c r="E13" s="5" t="s">
        <v>668</v>
      </c>
      <c r="F13" s="6" t="s">
        <v>777</v>
      </c>
      <c r="G13" s="5" t="s">
        <v>974</v>
      </c>
    </row>
    <row r="14" customFormat="false" ht="15" hidden="false" customHeight="true" outlineLevel="0" collapsed="false">
      <c r="A14" s="5" t="s">
        <v>975</v>
      </c>
      <c r="B14" s="5" t="s">
        <v>976</v>
      </c>
      <c r="C14" s="5" t="s">
        <v>977</v>
      </c>
      <c r="D14" s="5" t="n">
        <v>5</v>
      </c>
      <c r="E14" s="5" t="s">
        <v>668</v>
      </c>
      <c r="F14" s="6" t="s">
        <v>777</v>
      </c>
      <c r="G14" s="5" t="s">
        <v>978</v>
      </c>
    </row>
    <row r="15" customFormat="false" ht="15" hidden="false" customHeight="true" outlineLevel="0" collapsed="false">
      <c r="A15" s="5" t="s">
        <v>979</v>
      </c>
      <c r="B15" s="5" t="s">
        <v>980</v>
      </c>
      <c r="C15" s="5" t="s">
        <v>981</v>
      </c>
      <c r="D15" s="5" t="n">
        <v>3</v>
      </c>
      <c r="E15" s="5" t="s">
        <v>668</v>
      </c>
      <c r="F15" s="6" t="s">
        <v>777</v>
      </c>
      <c r="G15" s="5" t="s">
        <v>982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96"/>
  </cols>
  <sheetData>
    <row r="1" customFormat="false" ht="17.25" hidden="false" customHeight="true" outlineLevel="0" collapsed="false">
      <c r="A1" s="2" t="s">
        <v>983</v>
      </c>
    </row>
    <row r="2" customFormat="false" ht="15" hidden="false" customHeight="true" outlineLevel="0" collapsed="false">
      <c r="A2" s="3" t="s">
        <v>984</v>
      </c>
    </row>
    <row r="3" customFormat="false" ht="15" hidden="false" customHeight="true" outlineLevel="0" collapsed="false">
      <c r="A3" s="4" t="s">
        <v>114</v>
      </c>
      <c r="B3" s="4" t="s">
        <v>770</v>
      </c>
      <c r="C3" s="4" t="s">
        <v>771</v>
      </c>
      <c r="D3" s="4" t="s">
        <v>772</v>
      </c>
      <c r="E3" s="4" t="s">
        <v>773</v>
      </c>
      <c r="F3" s="4" t="s">
        <v>6</v>
      </c>
      <c r="G3" s="4" t="s">
        <v>774</v>
      </c>
    </row>
    <row r="4" customFormat="false" ht="15" hidden="false" customHeight="true" outlineLevel="0" collapsed="false">
      <c r="A4" s="5" t="s">
        <v>985</v>
      </c>
      <c r="B4" s="5" t="s">
        <v>986</v>
      </c>
      <c r="C4" s="5" t="s">
        <v>987</v>
      </c>
      <c r="D4" s="5" t="n">
        <v>5</v>
      </c>
      <c r="E4" s="5" t="s">
        <v>668</v>
      </c>
      <c r="F4" s="6" t="s">
        <v>777</v>
      </c>
      <c r="G4" s="5" t="s">
        <v>988</v>
      </c>
    </row>
    <row r="5" customFormat="false" ht="15" hidden="false" customHeight="true" outlineLevel="0" collapsed="false">
      <c r="A5" s="5" t="s">
        <v>989</v>
      </c>
      <c r="B5" s="5" t="s">
        <v>990</v>
      </c>
      <c r="C5" s="5" t="s">
        <v>991</v>
      </c>
      <c r="D5" s="5" t="n">
        <v>8</v>
      </c>
      <c r="E5" s="5" t="s">
        <v>668</v>
      </c>
      <c r="F5" s="6" t="s">
        <v>777</v>
      </c>
      <c r="G5" s="5" t="s">
        <v>992</v>
      </c>
    </row>
    <row r="6" customFormat="false" ht="15" hidden="false" customHeight="true" outlineLevel="0" collapsed="false">
      <c r="A6" s="5" t="s">
        <v>993</v>
      </c>
      <c r="B6" s="5" t="s">
        <v>994</v>
      </c>
      <c r="C6" s="5" t="s">
        <v>995</v>
      </c>
      <c r="D6" s="5" t="n">
        <v>5</v>
      </c>
      <c r="E6" s="5" t="s">
        <v>668</v>
      </c>
      <c r="F6" s="6" t="s">
        <v>777</v>
      </c>
      <c r="G6" s="5" t="s">
        <v>996</v>
      </c>
    </row>
    <row r="7" customFormat="false" ht="15" hidden="false" customHeight="true" outlineLevel="0" collapsed="false">
      <c r="A7" s="5" t="s">
        <v>997</v>
      </c>
      <c r="B7" s="5" t="s">
        <v>998</v>
      </c>
      <c r="C7" s="5" t="s">
        <v>999</v>
      </c>
      <c r="D7" s="5" t="n">
        <v>3</v>
      </c>
      <c r="E7" s="5" t="s">
        <v>668</v>
      </c>
      <c r="F7" s="6" t="s">
        <v>777</v>
      </c>
      <c r="G7" s="5" t="s">
        <v>1000</v>
      </c>
    </row>
    <row r="8" customFormat="false" ht="15" hidden="false" customHeight="true" outlineLevel="0" collapsed="false">
      <c r="A8" s="5" t="s">
        <v>1001</v>
      </c>
      <c r="B8" s="5" t="s">
        <v>1002</v>
      </c>
      <c r="C8" s="5" t="s">
        <v>1003</v>
      </c>
      <c r="D8" s="5" t="n">
        <v>5</v>
      </c>
      <c r="E8" s="5" t="s">
        <v>668</v>
      </c>
      <c r="F8" s="6" t="s">
        <v>777</v>
      </c>
      <c r="G8" s="5" t="s">
        <v>1004</v>
      </c>
    </row>
    <row r="9" customFormat="false" ht="15" hidden="false" customHeight="true" outlineLevel="0" collapsed="false">
      <c r="A9" s="5" t="s">
        <v>1005</v>
      </c>
      <c r="B9" s="5" t="s">
        <v>1006</v>
      </c>
      <c r="C9" s="5" t="s">
        <v>1007</v>
      </c>
      <c r="D9" s="5" t="n">
        <v>3</v>
      </c>
      <c r="E9" s="5" t="s">
        <v>668</v>
      </c>
      <c r="F9" s="6" t="s">
        <v>777</v>
      </c>
      <c r="G9" s="5" t="s">
        <v>1008</v>
      </c>
    </row>
    <row r="10" customFormat="false" ht="15" hidden="false" customHeight="true" outlineLevel="0" collapsed="false">
      <c r="A10" s="5" t="s">
        <v>1009</v>
      </c>
      <c r="B10" s="5" t="s">
        <v>1010</v>
      </c>
      <c r="C10" s="5" t="s">
        <v>1011</v>
      </c>
      <c r="D10" s="5" t="n">
        <v>3</v>
      </c>
      <c r="E10" s="5" t="s">
        <v>668</v>
      </c>
      <c r="F10" s="6" t="s">
        <v>777</v>
      </c>
      <c r="G10" s="5" t="s">
        <v>1012</v>
      </c>
    </row>
    <row r="11" customFormat="false" ht="15" hidden="false" customHeight="true" outlineLevel="0" collapsed="false">
      <c r="A11" s="5" t="s">
        <v>1013</v>
      </c>
      <c r="B11" s="5" t="s">
        <v>964</v>
      </c>
      <c r="C11" s="5" t="s">
        <v>1014</v>
      </c>
      <c r="D11" s="5" t="n">
        <v>2</v>
      </c>
      <c r="E11" s="5" t="s">
        <v>668</v>
      </c>
      <c r="F11" s="6" t="s">
        <v>777</v>
      </c>
      <c r="G11" s="5" t="s">
        <v>1015</v>
      </c>
    </row>
    <row r="12" customFormat="false" ht="15" hidden="false" customHeight="true" outlineLevel="0" collapsed="false">
      <c r="A12" s="5" t="s">
        <v>1016</v>
      </c>
      <c r="B12" s="5" t="s">
        <v>1017</v>
      </c>
      <c r="C12" s="5" t="s">
        <v>1018</v>
      </c>
      <c r="D12" s="5" t="n">
        <v>5</v>
      </c>
      <c r="E12" s="5" t="s">
        <v>668</v>
      </c>
      <c r="F12" s="6" t="s">
        <v>777</v>
      </c>
      <c r="G12" s="5" t="s">
        <v>1019</v>
      </c>
    </row>
    <row r="13" customFormat="false" ht="15" hidden="false" customHeight="true" outlineLevel="0" collapsed="false">
      <c r="A13" s="5" t="s">
        <v>1020</v>
      </c>
      <c r="B13" s="5" t="s">
        <v>1021</v>
      </c>
      <c r="C13" s="5" t="s">
        <v>1022</v>
      </c>
      <c r="D13" s="5" t="n">
        <v>3</v>
      </c>
      <c r="E13" s="5" t="s">
        <v>668</v>
      </c>
      <c r="F13" s="6" t="s">
        <v>777</v>
      </c>
      <c r="G13" s="5" t="s">
        <v>1023</v>
      </c>
    </row>
    <row r="14" customFormat="false" ht="15" hidden="false" customHeight="true" outlineLevel="0" collapsed="false">
      <c r="A14" s="5" t="s">
        <v>1024</v>
      </c>
      <c r="B14" s="5" t="s">
        <v>1025</v>
      </c>
      <c r="C14" s="5" t="s">
        <v>1026</v>
      </c>
      <c r="D14" s="5" t="n">
        <v>5</v>
      </c>
      <c r="E14" s="5" t="s">
        <v>668</v>
      </c>
      <c r="F14" s="6" t="s">
        <v>777</v>
      </c>
      <c r="G14" s="5" t="s">
        <v>1027</v>
      </c>
    </row>
    <row r="15" customFormat="false" ht="15" hidden="false" customHeight="true" outlineLevel="0" collapsed="false">
      <c r="A15" s="5" t="s">
        <v>1028</v>
      </c>
      <c r="B15" s="5" t="s">
        <v>1029</v>
      </c>
      <c r="C15" s="5" t="s">
        <v>1030</v>
      </c>
      <c r="D15" s="5" t="n">
        <v>5</v>
      </c>
      <c r="E15" s="5" t="s">
        <v>668</v>
      </c>
      <c r="F15" s="6" t="s">
        <v>777</v>
      </c>
      <c r="G15" s="5" t="s">
        <v>1031</v>
      </c>
    </row>
    <row r="16" customFormat="false" ht="15" hidden="false" customHeight="true" outlineLevel="0" collapsed="false">
      <c r="A16" s="5" t="s">
        <v>1032</v>
      </c>
      <c r="B16" s="5" t="s">
        <v>1033</v>
      </c>
      <c r="C16" s="5" t="s">
        <v>1034</v>
      </c>
      <c r="D16" s="5" t="n">
        <v>8</v>
      </c>
      <c r="E16" s="5" t="s">
        <v>668</v>
      </c>
      <c r="F16" s="6" t="s">
        <v>777</v>
      </c>
      <c r="G16" s="5" t="s">
        <v>1035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00"/>
  </cols>
  <sheetData>
    <row r="1" customFormat="false" ht="17.25" hidden="false" customHeight="true" outlineLevel="0" collapsed="false">
      <c r="A1" s="2" t="s">
        <v>1036</v>
      </c>
    </row>
    <row r="2" customFormat="false" ht="15" hidden="false" customHeight="true" outlineLevel="0" collapsed="false">
      <c r="A2" s="3" t="s">
        <v>1037</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1038</v>
      </c>
      <c r="B4" s="5" t="s">
        <v>1039</v>
      </c>
      <c r="C4" s="5" t="s">
        <v>1040</v>
      </c>
      <c r="D4" s="5" t="n">
        <v>3</v>
      </c>
      <c r="E4" s="5" t="s">
        <v>668</v>
      </c>
      <c r="F4" s="6" t="s">
        <v>777</v>
      </c>
      <c r="G4" s="5" t="s">
        <v>1041</v>
      </c>
    </row>
    <row r="5" customFormat="false" ht="15" hidden="false" customHeight="true" outlineLevel="0" collapsed="false">
      <c r="A5" s="5" t="s">
        <v>1042</v>
      </c>
      <c r="B5" s="5" t="s">
        <v>1043</v>
      </c>
      <c r="C5" s="5" t="s">
        <v>1044</v>
      </c>
      <c r="D5" s="5" t="n">
        <v>3</v>
      </c>
      <c r="E5" s="5" t="s">
        <v>668</v>
      </c>
      <c r="F5" s="6" t="s">
        <v>777</v>
      </c>
      <c r="G5" s="5" t="s">
        <v>1045</v>
      </c>
    </row>
    <row r="6" customFormat="false" ht="15" hidden="false" customHeight="true" outlineLevel="0" collapsed="false">
      <c r="A6" s="5" t="s">
        <v>1046</v>
      </c>
      <c r="B6" s="5" t="s">
        <v>1047</v>
      </c>
      <c r="C6" s="5" t="s">
        <v>1048</v>
      </c>
      <c r="D6" s="5" t="n">
        <v>3</v>
      </c>
      <c r="E6" s="5" t="s">
        <v>668</v>
      </c>
      <c r="F6" s="6" t="s">
        <v>777</v>
      </c>
      <c r="G6" s="5" t="s">
        <v>1049</v>
      </c>
    </row>
    <row r="7" customFormat="false" ht="15" hidden="false" customHeight="true" outlineLevel="0" collapsed="false">
      <c r="A7" s="5" t="s">
        <v>1050</v>
      </c>
      <c r="B7" s="5" t="s">
        <v>1051</v>
      </c>
      <c r="C7" s="5" t="s">
        <v>1052</v>
      </c>
      <c r="D7" s="5" t="n">
        <v>3</v>
      </c>
      <c r="E7" s="5" t="s">
        <v>668</v>
      </c>
      <c r="F7" s="6" t="s">
        <v>777</v>
      </c>
      <c r="G7" s="5" t="s">
        <v>1053</v>
      </c>
    </row>
    <row r="8" customFormat="false" ht="23.25" hidden="false" customHeight="true" outlineLevel="0" collapsed="false">
      <c r="A8" s="5" t="s">
        <v>1054</v>
      </c>
      <c r="B8" s="5" t="s">
        <v>1055</v>
      </c>
      <c r="C8" s="5" t="s">
        <v>1056</v>
      </c>
      <c r="D8" s="5" t="n">
        <v>3</v>
      </c>
      <c r="E8" s="5" t="s">
        <v>668</v>
      </c>
      <c r="F8" s="6" t="s">
        <v>777</v>
      </c>
      <c r="G8" s="5" t="s">
        <v>1057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00"/>
  </cols>
  <sheetData>
    <row r="1" customFormat="false" ht="17.25" hidden="false" customHeight="true" outlineLevel="0" collapsed="false">
      <c r="A1" s="2" t="s">
        <v>1058</v>
      </c>
    </row>
    <row r="2" customFormat="false" ht="15" hidden="false" customHeight="true" outlineLevel="0" collapsed="false">
      <c r="A2" s="3" t="s">
        <v>1059</v>
      </c>
    </row>
    <row r="3" customFormat="false" ht="15" hidden="false" customHeight="true" outlineLevel="0" collapsed="false">
      <c r="A3" s="4" t="s">
        <v>114</v>
      </c>
      <c r="B3" s="4" t="s">
        <v>770</v>
      </c>
      <c r="C3" s="4" t="s">
        <v>771</v>
      </c>
      <c r="D3" s="4" t="s">
        <v>772</v>
      </c>
      <c r="E3" s="4" t="s">
        <v>773</v>
      </c>
      <c r="F3" s="4" t="s">
        <v>6</v>
      </c>
      <c r="G3" s="4" t="s">
        <v>774</v>
      </c>
    </row>
    <row r="4" customFormat="false" ht="15" hidden="false" customHeight="true" outlineLevel="0" collapsed="false">
      <c r="A4" s="5" t="s">
        <v>1060</v>
      </c>
      <c r="B4" s="5" t="s">
        <v>1061</v>
      </c>
      <c r="C4" s="5" t="s">
        <v>1062</v>
      </c>
      <c r="D4" s="5" t="n">
        <v>5</v>
      </c>
      <c r="E4" s="5" t="s">
        <v>668</v>
      </c>
      <c r="F4" s="6" t="s">
        <v>777</v>
      </c>
      <c r="G4" s="5" t="s">
        <v>1063</v>
      </c>
    </row>
    <row r="5" customFormat="false" ht="15" hidden="false" customHeight="true" outlineLevel="0" collapsed="false">
      <c r="A5" s="5" t="s">
        <v>1064</v>
      </c>
      <c r="B5" s="5" t="s">
        <v>1065</v>
      </c>
      <c r="C5" s="5" t="s">
        <v>1066</v>
      </c>
      <c r="D5" s="5" t="n">
        <v>8</v>
      </c>
      <c r="E5" s="5" t="s">
        <v>668</v>
      </c>
      <c r="F5" s="6" t="s">
        <v>777</v>
      </c>
      <c r="G5" s="5" t="s">
        <v>1067</v>
      </c>
    </row>
    <row r="6" customFormat="false" ht="15" hidden="false" customHeight="true" outlineLevel="0" collapsed="false">
      <c r="A6" s="5" t="s">
        <v>1068</v>
      </c>
      <c r="B6" s="5" t="s">
        <v>1069</v>
      </c>
      <c r="C6" s="5" t="s">
        <v>1070</v>
      </c>
      <c r="D6" s="5" t="n">
        <v>5</v>
      </c>
      <c r="E6" s="5" t="s">
        <v>668</v>
      </c>
      <c r="F6" s="6" t="s">
        <v>777</v>
      </c>
      <c r="G6" s="5" t="s">
        <v>1071</v>
      </c>
    </row>
    <row r="7" customFormat="false" ht="15" hidden="false" customHeight="true" outlineLevel="0" collapsed="false">
      <c r="A7" s="5" t="s">
        <v>1072</v>
      </c>
      <c r="B7" s="5" t="s">
        <v>1073</v>
      </c>
      <c r="C7" s="5" t="s">
        <v>1074</v>
      </c>
      <c r="D7" s="5" t="n">
        <v>3</v>
      </c>
      <c r="E7" s="5" t="s">
        <v>668</v>
      </c>
      <c r="F7" s="6" t="s">
        <v>777</v>
      </c>
      <c r="G7" s="5" t="s">
        <v>1075</v>
      </c>
    </row>
    <row r="8" customFormat="false" ht="15" hidden="false" customHeight="true" outlineLevel="0" collapsed="false">
      <c r="A8" s="5" t="s">
        <v>1076</v>
      </c>
      <c r="B8" s="5" t="s">
        <v>1077</v>
      </c>
      <c r="C8" s="5" t="s">
        <v>1078</v>
      </c>
      <c r="D8" s="5" t="n">
        <v>5</v>
      </c>
      <c r="E8" s="5" t="s">
        <v>668</v>
      </c>
      <c r="F8" s="6" t="s">
        <v>777</v>
      </c>
      <c r="G8" s="5" t="s">
        <v>1079</v>
      </c>
    </row>
    <row r="9" customFormat="false" ht="15" hidden="false" customHeight="true" outlineLevel="0" collapsed="false">
      <c r="A9" s="5" t="s">
        <v>1080</v>
      </c>
      <c r="B9" s="5" t="s">
        <v>1081</v>
      </c>
      <c r="C9" s="5" t="s">
        <v>1082</v>
      </c>
      <c r="D9" s="5" t="n">
        <v>3</v>
      </c>
      <c r="E9" s="5" t="s">
        <v>668</v>
      </c>
      <c r="F9" s="6" t="s">
        <v>777</v>
      </c>
      <c r="G9" s="5" t="s">
        <v>1083</v>
      </c>
    </row>
    <row r="10" customFormat="false" ht="15" hidden="false" customHeight="true" outlineLevel="0" collapsed="false">
      <c r="A10" s="5" t="s">
        <v>1084</v>
      </c>
      <c r="B10" s="5" t="s">
        <v>1010</v>
      </c>
      <c r="C10" s="5" t="s">
        <v>1085</v>
      </c>
      <c r="D10" s="5" t="n">
        <v>3</v>
      </c>
      <c r="E10" s="5" t="s">
        <v>668</v>
      </c>
      <c r="F10" s="6" t="s">
        <v>777</v>
      </c>
      <c r="G10" s="5" t="s">
        <v>1086</v>
      </c>
    </row>
    <row r="11" customFormat="false" ht="15" hidden="false" customHeight="true" outlineLevel="0" collapsed="false">
      <c r="A11" s="5" t="s">
        <v>1087</v>
      </c>
      <c r="B11" s="5" t="s">
        <v>964</v>
      </c>
      <c r="C11" s="5" t="s">
        <v>1088</v>
      </c>
      <c r="D11" s="5" t="n">
        <v>2</v>
      </c>
      <c r="E11" s="5" t="s">
        <v>668</v>
      </c>
      <c r="F11" s="6" t="s">
        <v>777</v>
      </c>
      <c r="G11" s="5" t="s">
        <v>1089</v>
      </c>
    </row>
    <row r="12" customFormat="false" ht="15" hidden="false" customHeight="true" outlineLevel="0" collapsed="false">
      <c r="A12" s="5" t="s">
        <v>1090</v>
      </c>
      <c r="B12" s="5" t="s">
        <v>1091</v>
      </c>
      <c r="C12" s="5" t="s">
        <v>1092</v>
      </c>
      <c r="D12" s="5" t="n">
        <v>5</v>
      </c>
      <c r="E12" s="5" t="s">
        <v>668</v>
      </c>
      <c r="F12" s="6" t="s">
        <v>777</v>
      </c>
      <c r="G12" s="5" t="s">
        <v>1093</v>
      </c>
    </row>
    <row r="13" customFormat="false" ht="15" hidden="false" customHeight="true" outlineLevel="0" collapsed="false">
      <c r="A13" s="5" t="s">
        <v>1094</v>
      </c>
      <c r="B13" s="5" t="s">
        <v>1095</v>
      </c>
      <c r="C13" s="5" t="s">
        <v>1096</v>
      </c>
      <c r="D13" s="5" t="n">
        <v>3</v>
      </c>
      <c r="E13" s="5" t="s">
        <v>668</v>
      </c>
      <c r="F13" s="6" t="s">
        <v>777</v>
      </c>
      <c r="G13" s="5" t="s">
        <v>1097</v>
      </c>
    </row>
    <row r="14" customFormat="false" ht="15" hidden="false" customHeight="true" outlineLevel="0" collapsed="false">
      <c r="A14" s="5" t="s">
        <v>1098</v>
      </c>
      <c r="B14" s="5" t="s">
        <v>1099</v>
      </c>
      <c r="C14" s="5" t="s">
        <v>1100</v>
      </c>
      <c r="D14" s="5" t="n">
        <v>3</v>
      </c>
      <c r="E14" s="5" t="s">
        <v>668</v>
      </c>
      <c r="F14" s="6" t="s">
        <v>777</v>
      </c>
      <c r="G14" s="5" t="s">
        <v>1101</v>
      </c>
    </row>
    <row r="15" customFormat="false" ht="23.25" hidden="false" customHeight="true" outlineLevel="0" collapsed="false">
      <c r="A15" s="5" t="s">
        <v>1102</v>
      </c>
      <c r="B15" s="5" t="s">
        <v>1103</v>
      </c>
      <c r="C15" s="5" t="s">
        <v>1104</v>
      </c>
      <c r="D15" s="5" t="n">
        <v>5</v>
      </c>
      <c r="E15" s="5" t="s">
        <v>668</v>
      </c>
      <c r="F15" s="5" t="s">
        <v>1105</v>
      </c>
      <c r="G15" s="5" t="s">
        <v>1106</v>
      </c>
    </row>
    <row r="16" customFormat="false" ht="15" hidden="false" customHeight="true" outlineLevel="0" collapsed="false">
      <c r="A16" s="5" t="s">
        <v>1107</v>
      </c>
      <c r="B16" s="5" t="s">
        <v>1108</v>
      </c>
      <c r="C16" s="5" t="s">
        <v>1109</v>
      </c>
      <c r="D16" s="5" t="n">
        <v>5</v>
      </c>
      <c r="E16" s="5" t="s">
        <v>668</v>
      </c>
      <c r="F16" s="6" t="s">
        <v>777</v>
      </c>
      <c r="G16" s="5" t="s">
        <v>1110</v>
      </c>
    </row>
    <row r="17" customFormat="false" ht="15" hidden="false" customHeight="true" outlineLevel="0" collapsed="false">
      <c r="A17" s="5" t="s">
        <v>1111</v>
      </c>
      <c r="B17" s="5" t="s">
        <v>1112</v>
      </c>
      <c r="C17" s="5" t="s">
        <v>1113</v>
      </c>
      <c r="D17" s="5" t="n">
        <v>5</v>
      </c>
      <c r="E17" s="5" t="s">
        <v>668</v>
      </c>
      <c r="F17" s="6" t="s">
        <v>777</v>
      </c>
      <c r="G17" s="5" t="s">
        <v>1114</v>
      </c>
    </row>
    <row r="18" customFormat="false" ht="15" hidden="false" customHeight="true" outlineLevel="0" collapsed="false">
      <c r="A18" s="5" t="s">
        <v>1115</v>
      </c>
      <c r="B18" s="5" t="s">
        <v>1116</v>
      </c>
      <c r="C18" s="5" t="s">
        <v>1117</v>
      </c>
      <c r="D18" s="5" t="n">
        <v>3</v>
      </c>
      <c r="E18" s="5" t="s">
        <v>668</v>
      </c>
      <c r="F18" s="6" t="s">
        <v>777</v>
      </c>
      <c r="G18" s="5" t="s">
        <v>1118</v>
      </c>
    </row>
    <row r="19" customFormat="false" ht="15" hidden="false" customHeight="true" outlineLevel="0" collapsed="false">
      <c r="A19" s="5" t="s">
        <v>1119</v>
      </c>
      <c r="B19" s="5" t="s">
        <v>1120</v>
      </c>
      <c r="C19" s="5" t="s">
        <v>1121</v>
      </c>
      <c r="D19" s="5" t="n">
        <v>2</v>
      </c>
      <c r="E19" s="5" t="s">
        <v>668</v>
      </c>
      <c r="F19" s="6" t="s">
        <v>777</v>
      </c>
      <c r="G19" s="5" t="s">
        <v>1122</v>
      </c>
    </row>
    <row r="20" customFormat="false" ht="15" hidden="false" customHeight="true" outlineLevel="0" collapsed="false">
      <c r="A20" s="5" t="s">
        <v>1123</v>
      </c>
      <c r="B20" s="5" t="s">
        <v>1124</v>
      </c>
      <c r="C20" s="5" t="s">
        <v>1125</v>
      </c>
      <c r="D20" s="5" t="n">
        <v>5</v>
      </c>
      <c r="E20" s="5" t="s">
        <v>668</v>
      </c>
      <c r="F20" s="6" t="s">
        <v>777</v>
      </c>
      <c r="G20" s="5" t="s">
        <v>1126</v>
      </c>
    </row>
    <row r="21" customFormat="false" ht="15" hidden="false" customHeight="true" outlineLevel="0" collapsed="false">
      <c r="A21" s="5" t="s">
        <v>1127</v>
      </c>
      <c r="B21" s="5" t="s">
        <v>1128</v>
      </c>
      <c r="C21" s="5" t="s">
        <v>1129</v>
      </c>
      <c r="D21" s="5" t="n">
        <v>3</v>
      </c>
      <c r="E21" s="5" t="s">
        <v>668</v>
      </c>
      <c r="F21" s="6" t="s">
        <v>777</v>
      </c>
      <c r="G21" s="5" t="s">
        <v>1130</v>
      </c>
    </row>
    <row r="22" customFormat="false" ht="15" hidden="false" customHeight="true" outlineLevel="0" collapsed="false">
      <c r="A22" s="5" t="s">
        <v>1131</v>
      </c>
      <c r="B22" s="5" t="s">
        <v>1132</v>
      </c>
      <c r="C22" s="5" t="s">
        <v>1133</v>
      </c>
      <c r="D22" s="5" t="n">
        <v>3</v>
      </c>
      <c r="E22" s="5" t="s">
        <v>668</v>
      </c>
      <c r="F22" s="6" t="s">
        <v>777</v>
      </c>
      <c r="G22" s="5" t="s">
        <v>1134</v>
      </c>
    </row>
    <row r="23" customFormat="false" ht="15" hidden="false" customHeight="true" outlineLevel="0" collapsed="false">
      <c r="A23" s="5" t="s">
        <v>1135</v>
      </c>
      <c r="B23" s="5" t="s">
        <v>1136</v>
      </c>
      <c r="C23" s="5" t="s">
        <v>1137</v>
      </c>
      <c r="D23" s="5" t="n">
        <v>3</v>
      </c>
      <c r="E23" s="5" t="s">
        <v>668</v>
      </c>
      <c r="F23" s="6" t="s">
        <v>777</v>
      </c>
      <c r="G23" s="5" t="s">
        <v>1138</v>
      </c>
    </row>
    <row r="24" customFormat="false" ht="15" hidden="false" customHeight="true" outlineLevel="0" collapsed="false">
      <c r="A24" s="5" t="s">
        <v>1139</v>
      </c>
      <c r="B24" s="5" t="s">
        <v>1140</v>
      </c>
      <c r="C24" s="5" t="s">
        <v>1141</v>
      </c>
      <c r="D24" s="5" t="n">
        <v>5</v>
      </c>
      <c r="E24" s="5" t="s">
        <v>668</v>
      </c>
      <c r="F24" s="6" t="s">
        <v>777</v>
      </c>
      <c r="G24" s="5" t="s">
        <v>1142</v>
      </c>
    </row>
    <row r="25" customFormat="false" ht="15" hidden="false" customHeight="true" outlineLevel="0" collapsed="false">
      <c r="A25" s="5" t="s">
        <v>1143</v>
      </c>
      <c r="B25" s="5" t="s">
        <v>1144</v>
      </c>
      <c r="C25" s="5" t="s">
        <v>1145</v>
      </c>
      <c r="D25" s="5" t="n">
        <v>3</v>
      </c>
      <c r="E25" s="5" t="s">
        <v>668</v>
      </c>
      <c r="F25" s="6" t="s">
        <v>777</v>
      </c>
      <c r="G25" s="5" t="s">
        <v>1146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9"/>
    <col collapsed="false" customWidth="true" hidden="false" outlineLevel="0" max="7" min="7" style="1" width="100"/>
  </cols>
  <sheetData>
    <row r="1" customFormat="false" ht="17.25" hidden="false" customHeight="true" outlineLevel="0" collapsed="false">
      <c r="A1" s="2" t="s">
        <v>1147</v>
      </c>
    </row>
    <row r="2" customFormat="false" ht="15" hidden="false" customHeight="true" outlineLevel="0" collapsed="false">
      <c r="A2" s="3" t="s">
        <v>1148</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1149</v>
      </c>
      <c r="B4" s="5" t="s">
        <v>1150</v>
      </c>
      <c r="C4" s="5" t="s">
        <v>1151</v>
      </c>
      <c r="D4" s="5" t="n">
        <v>8</v>
      </c>
      <c r="E4" s="5" t="s">
        <v>1152</v>
      </c>
      <c r="F4" s="7" t="s">
        <v>1105</v>
      </c>
      <c r="G4" s="5" t="s">
        <v>1153</v>
      </c>
    </row>
    <row r="5" customFormat="false" ht="15" hidden="false" customHeight="true" outlineLevel="0" collapsed="false">
      <c r="A5" s="5" t="s">
        <v>1154</v>
      </c>
      <c r="B5" s="5" t="s">
        <v>1155</v>
      </c>
      <c r="C5" s="5" t="s">
        <v>1156</v>
      </c>
      <c r="D5" s="5" t="n">
        <v>5</v>
      </c>
      <c r="E5" s="5" t="s">
        <v>668</v>
      </c>
      <c r="F5" s="6" t="s">
        <v>777</v>
      </c>
      <c r="G5" s="5" t="s">
        <v>1157</v>
      </c>
    </row>
    <row r="6" customFormat="false" ht="23.25" hidden="false" customHeight="true" outlineLevel="0" collapsed="false">
      <c r="A6" s="5" t="s">
        <v>1158</v>
      </c>
      <c r="B6" s="5" t="s">
        <v>1159</v>
      </c>
      <c r="C6" s="5" t="s">
        <v>1160</v>
      </c>
      <c r="D6" s="5" t="n">
        <v>3</v>
      </c>
      <c r="E6" s="5" t="s">
        <v>668</v>
      </c>
      <c r="F6" s="6" t="s">
        <v>777</v>
      </c>
      <c r="G6" s="5" t="s">
        <v>1161</v>
      </c>
    </row>
    <row r="7" customFormat="false" ht="23.25" hidden="false" customHeight="true" outlineLevel="0" collapsed="false">
      <c r="A7" s="5" t="s">
        <v>1162</v>
      </c>
      <c r="B7" s="5" t="s">
        <v>1163</v>
      </c>
      <c r="C7" s="5" t="s">
        <v>1164</v>
      </c>
      <c r="D7" s="5" t="n">
        <v>3</v>
      </c>
      <c r="E7" s="5" t="s">
        <v>668</v>
      </c>
      <c r="F7" s="6" t="s">
        <v>777</v>
      </c>
      <c r="G7" s="5" t="s">
        <v>1165</v>
      </c>
    </row>
    <row r="8" customFormat="false" ht="15" hidden="false" customHeight="true" outlineLevel="0" collapsed="false">
      <c r="A8" s="5" t="s">
        <v>1166</v>
      </c>
      <c r="B8" s="5" t="s">
        <v>1167</v>
      </c>
      <c r="C8" s="5" t="s">
        <v>1168</v>
      </c>
      <c r="D8" s="5" t="n">
        <v>3</v>
      </c>
      <c r="E8" s="5" t="s">
        <v>668</v>
      </c>
      <c r="F8" s="6" t="s">
        <v>777</v>
      </c>
      <c r="G8" s="5" t="s">
        <v>1169</v>
      </c>
    </row>
    <row r="9" customFormat="false" ht="15" hidden="false" customHeight="true" outlineLevel="0" collapsed="false">
      <c r="A9" s="5" t="s">
        <v>1170</v>
      </c>
      <c r="B9" s="5" t="s">
        <v>1171</v>
      </c>
      <c r="C9" s="5" t="s">
        <v>1172</v>
      </c>
      <c r="D9" s="5" t="n">
        <v>3</v>
      </c>
      <c r="E9" s="5" t="s">
        <v>668</v>
      </c>
      <c r="F9" s="6" t="s">
        <v>777</v>
      </c>
      <c r="G9" s="5" t="s">
        <v>1173</v>
      </c>
    </row>
    <row r="10" customFormat="false" ht="15" hidden="false" customHeight="true" outlineLevel="0" collapsed="false">
      <c r="A10" s="5" t="s">
        <v>1174</v>
      </c>
      <c r="B10" s="5" t="s">
        <v>1175</v>
      </c>
      <c r="C10" s="5" t="s">
        <v>1176</v>
      </c>
      <c r="D10" s="5" t="n">
        <v>5</v>
      </c>
      <c r="E10" s="5" t="s">
        <v>1152</v>
      </c>
      <c r="F10" s="7" t="s">
        <v>1105</v>
      </c>
      <c r="G10" s="5" t="s">
        <v>1177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04"/>
  </cols>
  <sheetData>
    <row r="1" customFormat="false" ht="17.25" hidden="false" customHeight="true" outlineLevel="0" collapsed="false">
      <c r="A1" s="2" t="s">
        <v>1178</v>
      </c>
    </row>
    <row r="2" customFormat="false" ht="15" hidden="false" customHeight="true" outlineLevel="0" collapsed="false">
      <c r="A2" s="3" t="s">
        <v>1179</v>
      </c>
    </row>
    <row r="3" customFormat="false" ht="15" hidden="false" customHeight="true" outlineLevel="0" collapsed="false">
      <c r="A3" s="4" t="s">
        <v>114</v>
      </c>
      <c r="B3" s="4" t="s">
        <v>770</v>
      </c>
      <c r="C3" s="4" t="s">
        <v>771</v>
      </c>
      <c r="D3" s="4" t="s">
        <v>772</v>
      </c>
      <c r="E3" s="4" t="s">
        <v>773</v>
      </c>
      <c r="F3" s="4" t="s">
        <v>6</v>
      </c>
      <c r="G3" s="4" t="s">
        <v>774</v>
      </c>
    </row>
    <row r="4" customFormat="false" ht="23.25" hidden="false" customHeight="true" outlineLevel="0" collapsed="false">
      <c r="A4" s="5" t="s">
        <v>1180</v>
      </c>
      <c r="B4" s="5" t="s">
        <v>1181</v>
      </c>
      <c r="C4" s="5" t="s">
        <v>1182</v>
      </c>
      <c r="D4" s="5" t="n">
        <v>5</v>
      </c>
      <c r="E4" s="5" t="s">
        <v>668</v>
      </c>
      <c r="F4" s="6" t="s">
        <v>777</v>
      </c>
      <c r="G4" s="5" t="s">
        <v>1183</v>
      </c>
    </row>
    <row r="5" customFormat="false" ht="23.25" hidden="false" customHeight="true" outlineLevel="0" collapsed="false">
      <c r="A5" s="5" t="s">
        <v>1184</v>
      </c>
      <c r="B5" s="5" t="s">
        <v>1185</v>
      </c>
      <c r="C5" s="5" t="s">
        <v>1186</v>
      </c>
      <c r="D5" s="5" t="n">
        <v>3</v>
      </c>
      <c r="E5" s="5" t="s">
        <v>668</v>
      </c>
      <c r="F5" s="6" t="s">
        <v>777</v>
      </c>
      <c r="G5" s="5" t="s">
        <v>1187</v>
      </c>
    </row>
    <row r="6" customFormat="false" ht="23.25" hidden="false" customHeight="true" outlineLevel="0" collapsed="false">
      <c r="A6" s="5" t="s">
        <v>1188</v>
      </c>
      <c r="B6" s="5" t="s">
        <v>1189</v>
      </c>
      <c r="C6" s="5" t="s">
        <v>1190</v>
      </c>
      <c r="D6" s="5" t="n">
        <v>5</v>
      </c>
      <c r="E6" s="5" t="s">
        <v>668</v>
      </c>
      <c r="F6" s="6" t="s">
        <v>777</v>
      </c>
      <c r="G6" s="5" t="s">
        <v>1191</v>
      </c>
    </row>
    <row r="7" customFormat="false" ht="15" hidden="false" customHeight="true" outlineLevel="0" collapsed="false">
      <c r="A7" s="5" t="s">
        <v>1192</v>
      </c>
      <c r="B7" s="5" t="s">
        <v>1193</v>
      </c>
      <c r="C7" s="5" t="s">
        <v>1194</v>
      </c>
      <c r="D7" s="5" t="n">
        <v>2</v>
      </c>
      <c r="E7" s="5" t="s">
        <v>668</v>
      </c>
      <c r="F7" s="6" t="s">
        <v>777</v>
      </c>
      <c r="G7" s="5" t="s">
        <v>1195</v>
      </c>
    </row>
    <row r="8" customFormat="false" ht="15" hidden="false" customHeight="true" outlineLevel="0" collapsed="false">
      <c r="A8" s="5" t="s">
        <v>1196</v>
      </c>
      <c r="B8" s="5" t="s">
        <v>1197</v>
      </c>
      <c r="C8" s="5" t="s">
        <v>1198</v>
      </c>
      <c r="D8" s="5" t="n">
        <v>3</v>
      </c>
      <c r="E8" s="5" t="s">
        <v>668</v>
      </c>
      <c r="F8" s="6" t="s">
        <v>777</v>
      </c>
      <c r="G8" s="5" t="s">
        <v>1199</v>
      </c>
    </row>
    <row r="9" customFormat="false" ht="23.25" hidden="false" customHeight="true" outlineLevel="0" collapsed="false">
      <c r="A9" s="5" t="s">
        <v>1200</v>
      </c>
      <c r="B9" s="5" t="s">
        <v>1201</v>
      </c>
      <c r="C9" s="5" t="s">
        <v>1202</v>
      </c>
      <c r="D9" s="5" t="n">
        <v>3</v>
      </c>
      <c r="E9" s="5" t="s">
        <v>668</v>
      </c>
      <c r="F9" s="6" t="s">
        <v>777</v>
      </c>
      <c r="G9" s="5" t="s">
        <v>1203</v>
      </c>
    </row>
    <row r="10" customFormat="false" ht="15" hidden="false" customHeight="true" outlineLevel="0" collapsed="false">
      <c r="A10" s="5" t="s">
        <v>1204</v>
      </c>
      <c r="B10" s="5" t="s">
        <v>1205</v>
      </c>
      <c r="C10" s="5" t="s">
        <v>1206</v>
      </c>
      <c r="D10" s="5" t="n">
        <v>3</v>
      </c>
      <c r="E10" s="5" t="s">
        <v>668</v>
      </c>
      <c r="F10" s="6" t="s">
        <v>777</v>
      </c>
      <c r="G10" s="5" t="s">
        <v>1207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04"/>
  </cols>
  <sheetData>
    <row r="1" customFormat="false" ht="17.25" hidden="false" customHeight="true" outlineLevel="0" collapsed="false">
      <c r="A1" s="2" t="s">
        <v>1208</v>
      </c>
    </row>
    <row r="2" customFormat="false" ht="15" hidden="false" customHeight="true" outlineLevel="0" collapsed="false">
      <c r="A2" s="3" t="s">
        <v>1209</v>
      </c>
    </row>
    <row r="3" customFormat="false" ht="15" hidden="false" customHeight="true" outlineLevel="0" collapsed="false">
      <c r="A3" s="4" t="s">
        <v>114</v>
      </c>
      <c r="B3" s="4" t="s">
        <v>770</v>
      </c>
      <c r="C3" s="4" t="s">
        <v>771</v>
      </c>
      <c r="D3" s="4" t="s">
        <v>772</v>
      </c>
      <c r="E3" s="4" t="s">
        <v>773</v>
      </c>
      <c r="F3" s="4" t="s">
        <v>6</v>
      </c>
      <c r="G3" s="4" t="s">
        <v>774</v>
      </c>
    </row>
    <row r="4" customFormat="false" ht="15" hidden="false" customHeight="true" outlineLevel="0" collapsed="false">
      <c r="A4" s="5" t="s">
        <v>1210</v>
      </c>
      <c r="B4" s="5" t="s">
        <v>1211</v>
      </c>
      <c r="C4" s="5" t="s">
        <v>1212</v>
      </c>
      <c r="D4" s="5" t="n">
        <v>3</v>
      </c>
      <c r="E4" s="5" t="s">
        <v>668</v>
      </c>
      <c r="F4" s="6" t="s">
        <v>777</v>
      </c>
      <c r="G4" s="5" t="s">
        <v>1213</v>
      </c>
    </row>
    <row r="5" customFormat="false" ht="15" hidden="false" customHeight="true" outlineLevel="0" collapsed="false">
      <c r="A5" s="5" t="s">
        <v>1214</v>
      </c>
      <c r="B5" s="5" t="s">
        <v>1215</v>
      </c>
      <c r="C5" s="5" t="s">
        <v>1216</v>
      </c>
      <c r="D5" s="5" t="n">
        <v>3</v>
      </c>
      <c r="E5" s="5" t="s">
        <v>668</v>
      </c>
      <c r="F5" s="6" t="s">
        <v>777</v>
      </c>
      <c r="G5" s="5" t="s">
        <v>1217</v>
      </c>
    </row>
    <row r="6" customFormat="false" ht="23.25" hidden="false" customHeight="true" outlineLevel="0" collapsed="false">
      <c r="A6" s="5" t="s">
        <v>1218</v>
      </c>
      <c r="B6" s="5" t="s">
        <v>1219</v>
      </c>
      <c r="C6" s="5" t="s">
        <v>1220</v>
      </c>
      <c r="D6" s="5" t="n">
        <v>2</v>
      </c>
      <c r="E6" s="5" t="s">
        <v>668</v>
      </c>
      <c r="F6" s="6" t="s">
        <v>777</v>
      </c>
      <c r="G6" s="5" t="s">
        <v>1221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0"/>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10"/>
  </cols>
  <sheetData>
    <row r="1" customFormat="false" ht="17.25" hidden="false" customHeight="true" outlineLevel="0" collapsed="false">
      <c r="A1" s="2" t="s">
        <v>1222</v>
      </c>
    </row>
    <row r="2" customFormat="false" ht="15" hidden="false" customHeight="true" outlineLevel="0" collapsed="false">
      <c r="A2" s="3" t="s">
        <v>1223</v>
      </c>
    </row>
    <row r="3" customFormat="false" ht="15" hidden="false" customHeight="true" outlineLevel="0" collapsed="false">
      <c r="A3" s="4" t="s">
        <v>114</v>
      </c>
      <c r="B3" s="4" t="s">
        <v>770</v>
      </c>
      <c r="C3" s="4" t="s">
        <v>771</v>
      </c>
      <c r="D3" s="4" t="s">
        <v>772</v>
      </c>
      <c r="E3" s="4" t="s">
        <v>773</v>
      </c>
      <c r="F3" s="4" t="s">
        <v>6</v>
      </c>
      <c r="G3" s="4" t="s">
        <v>774</v>
      </c>
    </row>
    <row r="4" customFormat="false" ht="34.5" hidden="false" customHeight="true" outlineLevel="0" collapsed="false">
      <c r="A4" s="5" t="s">
        <v>1224</v>
      </c>
      <c r="B4" s="5" t="s">
        <v>1225</v>
      </c>
      <c r="C4" s="5" t="s">
        <v>1226</v>
      </c>
      <c r="D4" s="5" t="n">
        <v>2</v>
      </c>
      <c r="E4" s="5" t="s">
        <v>668</v>
      </c>
      <c r="F4" s="6" t="s">
        <v>777</v>
      </c>
      <c r="G4" s="5"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60"/>
    <col collapsed="false" customWidth="true" hidden="false" outlineLevel="0" max="4" min="4" style="1" width="10"/>
    <col collapsed="false" customWidth="true" hidden="false" outlineLevel="0" max="5" min="5" style="1" width="44"/>
  </cols>
  <sheetData>
    <row r="1" customFormat="false" ht="17.25" hidden="false" customHeight="true" outlineLevel="0" collapsed="false">
      <c r="A1" s="2" t="s">
        <v>1228</v>
      </c>
    </row>
    <row r="2" customFormat="false" ht="15" hidden="false" customHeight="true" outlineLevel="0" collapsed="false">
      <c r="A2" s="3" t="s">
        <v>1229</v>
      </c>
    </row>
    <row r="3" customFormat="false" ht="15" hidden="false" customHeight="true" outlineLevel="0" collapsed="false">
      <c r="A3" s="4" t="s">
        <v>1230</v>
      </c>
      <c r="B3" s="4" t="s">
        <v>1231</v>
      </c>
      <c r="C3" s="4" t="s">
        <v>1232</v>
      </c>
      <c r="D3" s="4" t="s">
        <v>6</v>
      </c>
      <c r="E3" s="4" t="s">
        <v>1233</v>
      </c>
    </row>
    <row r="4" customFormat="false" ht="15" hidden="false" customHeight="true" outlineLevel="0" collapsed="false">
      <c r="A4" s="5" t="s">
        <v>1234</v>
      </c>
      <c r="B4" s="5" t="s">
        <v>1235</v>
      </c>
      <c r="C4" s="5" t="s">
        <v>1236</v>
      </c>
      <c r="D4" s="5" t="s">
        <v>598</v>
      </c>
      <c r="E4" s="5" t="s">
        <v>1237</v>
      </c>
    </row>
    <row r="5" customFormat="false" ht="15" hidden="false" customHeight="true" outlineLevel="0" collapsed="false">
      <c r="A5" s="5" t="s">
        <v>1238</v>
      </c>
      <c r="B5" s="5" t="s">
        <v>1235</v>
      </c>
      <c r="C5" s="5" t="s">
        <v>1239</v>
      </c>
      <c r="D5" s="5" t="s">
        <v>598</v>
      </c>
      <c r="E5" s="5" t="s">
        <v>1240</v>
      </c>
    </row>
    <row r="6" customFormat="false" ht="15" hidden="false" customHeight="true" outlineLevel="0" collapsed="false">
      <c r="A6" s="5" t="s">
        <v>1241</v>
      </c>
      <c r="B6" s="5" t="s">
        <v>1235</v>
      </c>
      <c r="C6" s="5" t="s">
        <v>1242</v>
      </c>
      <c r="D6" s="5" t="s">
        <v>598</v>
      </c>
      <c r="E6" s="5" t="s">
        <v>1243</v>
      </c>
    </row>
    <row r="7" customFormat="false" ht="15" hidden="false" customHeight="true" outlineLevel="0" collapsed="false">
      <c r="A7" s="5" t="s">
        <v>1244</v>
      </c>
      <c r="B7" s="5" t="s">
        <v>1235</v>
      </c>
      <c r="C7" s="5" t="s">
        <v>1245</v>
      </c>
      <c r="D7" s="5" t="s">
        <v>598</v>
      </c>
      <c r="E7" s="5" t="s">
        <v>1246</v>
      </c>
    </row>
    <row r="8" customFormat="false" ht="15" hidden="false" customHeight="true" outlineLevel="0" collapsed="false">
      <c r="A8" s="5" t="s">
        <v>1247</v>
      </c>
      <c r="B8" s="5" t="s">
        <v>1248</v>
      </c>
      <c r="C8" s="5" t="s">
        <v>1249</v>
      </c>
      <c r="D8" s="5" t="s">
        <v>598</v>
      </c>
      <c r="E8" s="5" t="s">
        <v>1250</v>
      </c>
    </row>
    <row r="9" customFormat="false" ht="15" hidden="false" customHeight="true" outlineLevel="0" collapsed="false">
      <c r="A9" s="5" t="s">
        <v>1251</v>
      </c>
      <c r="B9" s="5" t="s">
        <v>1248</v>
      </c>
      <c r="C9" s="5" t="s">
        <v>1252</v>
      </c>
      <c r="D9" s="5" t="s">
        <v>598</v>
      </c>
      <c r="E9" s="5" t="s">
        <v>1253</v>
      </c>
    </row>
    <row r="10" customFormat="false" ht="15" hidden="false" customHeight="true" outlineLevel="0" collapsed="false">
      <c r="A10" s="5" t="s">
        <v>1254</v>
      </c>
      <c r="B10" s="5" t="s">
        <v>1255</v>
      </c>
      <c r="C10" s="5" t="s">
        <v>1256</v>
      </c>
      <c r="D10" s="5" t="s">
        <v>598</v>
      </c>
      <c r="E10" s="5" t="s">
        <v>1257</v>
      </c>
    </row>
    <row r="11" customFormat="false" ht="15" hidden="false" customHeight="true" outlineLevel="0" collapsed="false">
      <c r="A11" s="5" t="s">
        <v>1258</v>
      </c>
      <c r="B11" s="5" t="s">
        <v>1255</v>
      </c>
      <c r="C11" s="5" t="s">
        <v>1259</v>
      </c>
      <c r="D11" s="5" t="s">
        <v>598</v>
      </c>
      <c r="E11" s="5" t="s">
        <v>1260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56"/>
    <col collapsed="false" customWidth="true" hidden="false" outlineLevel="0" max="4" min="4" style="1" width="10"/>
    <col collapsed="false" customWidth="true" hidden="false" outlineLevel="0" max="5" min="5" style="1" width="60"/>
  </cols>
  <sheetData>
    <row r="1" customFormat="false" ht="17.25" hidden="false" customHeight="true" outlineLevel="0" collapsed="false">
      <c r="A1" s="2" t="s">
        <v>1261</v>
      </c>
    </row>
    <row r="2" customFormat="false" ht="15" hidden="false" customHeight="true" outlineLevel="0" collapsed="false">
      <c r="A2" s="3" t="s">
        <v>1262</v>
      </c>
    </row>
    <row r="3" customFormat="false" ht="15" hidden="false" customHeight="true" outlineLevel="0" collapsed="false">
      <c r="A3" s="4" t="s">
        <v>1230</v>
      </c>
      <c r="B3" s="4" t="s">
        <v>1231</v>
      </c>
      <c r="C3" s="4" t="s">
        <v>1232</v>
      </c>
      <c r="D3" s="4" t="s">
        <v>6</v>
      </c>
      <c r="E3" s="4" t="s">
        <v>1263</v>
      </c>
    </row>
    <row r="4" customFormat="false" ht="15" hidden="false" customHeight="true" outlineLevel="0" collapsed="false">
      <c r="A4" s="5" t="s">
        <v>1264</v>
      </c>
      <c r="B4" s="5" t="s">
        <v>1235</v>
      </c>
      <c r="C4" s="5" t="s">
        <v>1265</v>
      </c>
      <c r="D4" s="5" t="s">
        <v>598</v>
      </c>
      <c r="E4" s="5" t="s">
        <v>1266</v>
      </c>
    </row>
    <row r="5" customFormat="false" ht="15" hidden="false" customHeight="true" outlineLevel="0" collapsed="false">
      <c r="A5" s="5" t="s">
        <v>1267</v>
      </c>
      <c r="B5" s="5" t="s">
        <v>1248</v>
      </c>
      <c r="C5" s="5" t="s">
        <v>1268</v>
      </c>
      <c r="D5" s="5" t="s">
        <v>598</v>
      </c>
      <c r="E5" s="5" t="s">
        <v>1269</v>
      </c>
    </row>
    <row r="6" customFormat="false" ht="15" hidden="false" customHeight="true" outlineLevel="0" collapsed="false">
      <c r="A6" s="5" t="s">
        <v>1270</v>
      </c>
      <c r="B6" s="5" t="s">
        <v>1255</v>
      </c>
      <c r="C6" s="5" t="s">
        <v>1271</v>
      </c>
      <c r="D6" s="5" t="s">
        <v>598</v>
      </c>
      <c r="E6" s="5" t="s">
        <v>1272</v>
      </c>
    </row>
    <row r="7" customFormat="false" ht="15" hidden="false" customHeight="true" outlineLevel="0" collapsed="false">
      <c r="A7" s="5" t="s">
        <v>1273</v>
      </c>
      <c r="B7" s="5" t="s">
        <v>1255</v>
      </c>
      <c r="C7" s="5" t="s">
        <v>1274</v>
      </c>
      <c r="D7" s="5" t="s">
        <v>598</v>
      </c>
      <c r="E7" s="5" t="s">
        <v>1275</v>
      </c>
    </row>
    <row r="8" customFormat="false" ht="15" hidden="false" customHeight="true" outlineLevel="0" collapsed="false">
      <c r="A8" s="5" t="s">
        <v>1276</v>
      </c>
      <c r="B8" s="5" t="s">
        <v>1255</v>
      </c>
      <c r="C8" s="5" t="s">
        <v>1277</v>
      </c>
      <c r="D8" s="5" t="s">
        <v>598</v>
      </c>
      <c r="E8" s="5" t="s">
        <v>1278</v>
      </c>
    </row>
    <row r="9" customFormat="false" ht="15" hidden="false" customHeight="true" outlineLevel="0" collapsed="false">
      <c r="A9" s="5" t="s">
        <v>1279</v>
      </c>
      <c r="B9" s="5" t="s">
        <v>1255</v>
      </c>
      <c r="C9" s="5" t="s">
        <v>1280</v>
      </c>
      <c r="D9" s="5" t="s">
        <v>598</v>
      </c>
      <c r="E9" s="5" t="s">
        <v>1281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52"/>
    <col collapsed="false" customWidth="true" hidden="false" outlineLevel="0" max="4" min="4" style="1" width="10"/>
    <col collapsed="false" customWidth="true" hidden="false" outlineLevel="0" max="5" min="5" style="1" width="66"/>
  </cols>
  <sheetData>
    <row r="1" customFormat="false" ht="17.25" hidden="false" customHeight="true" outlineLevel="0" collapsed="false">
      <c r="A1" s="2" t="s">
        <v>1282</v>
      </c>
    </row>
    <row r="2" customFormat="false" ht="15" hidden="false" customHeight="true" outlineLevel="0" collapsed="false">
      <c r="A2" s="3" t="s">
        <v>1283</v>
      </c>
    </row>
    <row r="3" customFormat="false" ht="15" hidden="false" customHeight="true" outlineLevel="0" collapsed="false">
      <c r="A3" s="4" t="s">
        <v>1230</v>
      </c>
      <c r="B3" s="4" t="s">
        <v>1231</v>
      </c>
      <c r="C3" s="4" t="s">
        <v>1232</v>
      </c>
      <c r="D3" s="4" t="s">
        <v>6</v>
      </c>
      <c r="E3" s="4" t="s">
        <v>1263</v>
      </c>
    </row>
    <row r="4" customFormat="false" ht="15" hidden="false" customHeight="true" outlineLevel="0" collapsed="false">
      <c r="A4" s="5" t="s">
        <v>1284</v>
      </c>
      <c r="B4" s="5" t="s">
        <v>1248</v>
      </c>
      <c r="C4" s="5" t="s">
        <v>1285</v>
      </c>
      <c r="D4" s="5" t="s">
        <v>598</v>
      </c>
      <c r="E4" s="5" t="s">
        <v>1286</v>
      </c>
    </row>
    <row r="5" customFormat="false" ht="15" hidden="false" customHeight="true" outlineLevel="0" collapsed="false">
      <c r="A5" s="5" t="s">
        <v>1287</v>
      </c>
      <c r="B5" s="5" t="s">
        <v>1255</v>
      </c>
      <c r="C5" s="5" t="s">
        <v>1288</v>
      </c>
      <c r="D5" s="5" t="s">
        <v>598</v>
      </c>
      <c r="E5" s="5" t="s">
        <v>1289</v>
      </c>
    </row>
    <row r="6" customFormat="false" ht="23.25" hidden="false" customHeight="true" outlineLevel="0" collapsed="false">
      <c r="A6" s="5" t="s">
        <v>1290</v>
      </c>
      <c r="B6" s="5" t="s">
        <v>1235</v>
      </c>
      <c r="C6" s="5" t="s">
        <v>1291</v>
      </c>
      <c r="D6" s="5" t="s">
        <v>598</v>
      </c>
      <c r="E6" s="5" t="s">
        <v>1292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62"/>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6"/>
    <col collapsed="false" customWidth="true" hidden="false" outlineLevel="0" max="9" min="9" style="1" width="30"/>
    <col collapsed="false" customWidth="true" hidden="false" outlineLevel="0" max="10" min="10" style="1" width="10"/>
    <col collapsed="false" customWidth="true" hidden="false" outlineLevel="0" max="11" min="11" style="1" width="72"/>
  </cols>
  <sheetData>
    <row r="1" customFormat="false" ht="17.25" hidden="false" customHeight="true" outlineLevel="0" collapsed="false">
      <c r="A1" s="2" t="s">
        <v>1293</v>
      </c>
    </row>
    <row r="2" customFormat="false" ht="15" hidden="false" customHeight="true" outlineLevel="0" collapsed="false">
      <c r="A2" s="3" t="s">
        <v>1294</v>
      </c>
    </row>
    <row r="3" customFormat="false" ht="15" hidden="false" customHeight="true" outlineLevel="0" collapsed="false">
      <c r="A3" s="4" t="s">
        <v>1295</v>
      </c>
      <c r="B3" s="4" t="s">
        <v>1296</v>
      </c>
      <c r="C3" s="4" t="s">
        <v>1297</v>
      </c>
      <c r="D3" s="4" t="s">
        <v>1298</v>
      </c>
      <c r="E3" s="4" t="s">
        <v>772</v>
      </c>
      <c r="F3" s="4" t="s">
        <v>1299</v>
      </c>
      <c r="G3" s="4" t="s">
        <v>115</v>
      </c>
      <c r="H3" s="4" t="s">
        <v>1300</v>
      </c>
      <c r="I3" s="4" t="s">
        <v>1301</v>
      </c>
      <c r="J3" s="4" t="s">
        <v>6</v>
      </c>
      <c r="K3" s="4" t="s">
        <v>1302</v>
      </c>
    </row>
    <row r="4" customFormat="false" ht="23.25" hidden="false" customHeight="true" outlineLevel="0" collapsed="false">
      <c r="A4" s="5" t="s">
        <v>816</v>
      </c>
      <c r="B4" s="5" t="s">
        <v>1303</v>
      </c>
      <c r="C4" s="5" t="s">
        <v>1304</v>
      </c>
      <c r="D4" s="5" t="s">
        <v>1305</v>
      </c>
      <c r="E4" s="5" t="n">
        <v>5</v>
      </c>
      <c r="F4" s="5" t="s">
        <v>1306</v>
      </c>
      <c r="G4" s="5" t="s">
        <v>143</v>
      </c>
      <c r="H4" s="5" t="s">
        <v>1307</v>
      </c>
      <c r="I4" s="5" t="s">
        <v>1308</v>
      </c>
      <c r="J4" s="6" t="s">
        <v>777</v>
      </c>
      <c r="K4" s="5" t="s">
        <v>1309</v>
      </c>
    </row>
    <row r="5" customFormat="false" ht="23.25" hidden="false" customHeight="true" outlineLevel="0" collapsed="false">
      <c r="A5" s="5" t="s">
        <v>820</v>
      </c>
      <c r="B5" s="5" t="s">
        <v>1303</v>
      </c>
      <c r="C5" s="5" t="s">
        <v>1304</v>
      </c>
      <c r="D5" s="5" t="s">
        <v>1310</v>
      </c>
      <c r="E5" s="5" t="n">
        <v>8</v>
      </c>
      <c r="F5" s="5" t="s">
        <v>1306</v>
      </c>
      <c r="G5" s="5" t="s">
        <v>143</v>
      </c>
      <c r="H5" s="5" t="s">
        <v>1307</v>
      </c>
      <c r="I5" s="5" t="s">
        <v>1308</v>
      </c>
      <c r="J5" s="6" t="s">
        <v>777</v>
      </c>
      <c r="K5" s="5" t="s">
        <v>1311</v>
      </c>
    </row>
    <row r="6" customFormat="false" ht="23.25" hidden="false" customHeight="true" outlineLevel="0" collapsed="false">
      <c r="A6" s="5" t="s">
        <v>824</v>
      </c>
      <c r="B6" s="5" t="s">
        <v>1303</v>
      </c>
      <c r="C6" s="5" t="s">
        <v>1304</v>
      </c>
      <c r="D6" s="5" t="s">
        <v>1312</v>
      </c>
      <c r="E6" s="5" t="n">
        <v>5</v>
      </c>
      <c r="F6" s="5" t="s">
        <v>1313</v>
      </c>
      <c r="G6" s="5" t="s">
        <v>143</v>
      </c>
      <c r="H6" s="5" t="s">
        <v>1307</v>
      </c>
      <c r="I6" s="5" t="s">
        <v>1308</v>
      </c>
      <c r="J6" s="6" t="s">
        <v>777</v>
      </c>
      <c r="K6" s="5" t="s">
        <v>1314</v>
      </c>
    </row>
    <row r="7" customFormat="false" ht="23.25" hidden="false" customHeight="true" outlineLevel="0" collapsed="false">
      <c r="A7" s="5" t="s">
        <v>828</v>
      </c>
      <c r="B7" s="5" t="s">
        <v>1303</v>
      </c>
      <c r="C7" s="5" t="s">
        <v>1304</v>
      </c>
      <c r="D7" s="5" t="s">
        <v>1315</v>
      </c>
      <c r="E7" s="5" t="n">
        <v>3</v>
      </c>
      <c r="F7" s="5" t="s">
        <v>1306</v>
      </c>
      <c r="G7" s="5" t="s">
        <v>143</v>
      </c>
      <c r="H7" s="5" t="s">
        <v>1307</v>
      </c>
      <c r="I7" s="5" t="s">
        <v>1308</v>
      </c>
      <c r="J7" s="6" t="s">
        <v>777</v>
      </c>
      <c r="K7" s="5" t="s">
        <v>1316</v>
      </c>
    </row>
    <row r="8" customFormat="false" ht="34.5" hidden="false" customHeight="true" outlineLevel="0" collapsed="false">
      <c r="A8" s="5" t="s">
        <v>845</v>
      </c>
      <c r="B8" s="5" t="s">
        <v>1303</v>
      </c>
      <c r="C8" s="5" t="s">
        <v>1304</v>
      </c>
      <c r="D8" s="5" t="s">
        <v>1317</v>
      </c>
      <c r="E8" s="5" t="n">
        <v>5</v>
      </c>
      <c r="F8" s="5" t="s">
        <v>1306</v>
      </c>
      <c r="G8" s="5" t="s">
        <v>160</v>
      </c>
      <c r="H8" s="5" t="s">
        <v>1307</v>
      </c>
      <c r="I8" s="5" t="s">
        <v>1308</v>
      </c>
      <c r="J8" s="6" t="s">
        <v>777</v>
      </c>
      <c r="K8" s="5" t="s">
        <v>1318</v>
      </c>
    </row>
    <row r="9" customFormat="false" ht="23.25" hidden="false" customHeight="true" outlineLevel="0" collapsed="false">
      <c r="A9" s="5" t="s">
        <v>849</v>
      </c>
      <c r="B9" s="5" t="s">
        <v>1303</v>
      </c>
      <c r="C9" s="5" t="s">
        <v>1304</v>
      </c>
      <c r="D9" s="5" t="s">
        <v>1319</v>
      </c>
      <c r="E9" s="5" t="n">
        <v>3</v>
      </c>
      <c r="F9" s="5" t="s">
        <v>1313</v>
      </c>
      <c r="G9" s="5" t="s">
        <v>160</v>
      </c>
      <c r="H9" s="5" t="s">
        <v>1307</v>
      </c>
      <c r="I9" s="5" t="s">
        <v>1308</v>
      </c>
      <c r="J9" s="6" t="s">
        <v>777</v>
      </c>
      <c r="K9" s="5" t="s">
        <v>1320</v>
      </c>
    </row>
    <row r="10" customFormat="false" ht="23.25" hidden="false" customHeight="true" outlineLevel="0" collapsed="false">
      <c r="A10" s="5" t="s">
        <v>853</v>
      </c>
      <c r="B10" s="5" t="s">
        <v>1303</v>
      </c>
      <c r="C10" s="5" t="s">
        <v>1304</v>
      </c>
      <c r="D10" s="5" t="s">
        <v>1321</v>
      </c>
      <c r="E10" s="5" t="n">
        <v>3</v>
      </c>
      <c r="F10" s="5" t="s">
        <v>1313</v>
      </c>
      <c r="G10" s="5" t="s">
        <v>160</v>
      </c>
      <c r="H10" s="5" t="s">
        <v>1307</v>
      </c>
      <c r="I10" s="5" t="s">
        <v>1308</v>
      </c>
      <c r="J10" s="6" t="s">
        <v>777</v>
      </c>
      <c r="K10" s="5" t="s">
        <v>1322</v>
      </c>
    </row>
    <row r="11" customFormat="false" ht="23.25" hidden="false" customHeight="true" outlineLevel="0" collapsed="false">
      <c r="A11" s="5" t="s">
        <v>857</v>
      </c>
      <c r="B11" s="5" t="s">
        <v>1303</v>
      </c>
      <c r="C11" s="5" t="s">
        <v>1304</v>
      </c>
      <c r="D11" s="5" t="s">
        <v>1323</v>
      </c>
      <c r="E11" s="5" t="n">
        <v>2</v>
      </c>
      <c r="F11" s="5" t="s">
        <v>1324</v>
      </c>
      <c r="G11" s="5" t="s">
        <v>160</v>
      </c>
      <c r="H11" s="5" t="s">
        <v>1307</v>
      </c>
      <c r="I11" s="5" t="s">
        <v>1308</v>
      </c>
      <c r="J11" s="6" t="s">
        <v>777</v>
      </c>
      <c r="K11" s="5" t="s">
        <v>1325</v>
      </c>
    </row>
    <row r="12" customFormat="false" ht="23.25" hidden="false" customHeight="true" outlineLevel="0" collapsed="false">
      <c r="A12" s="5" t="s">
        <v>861</v>
      </c>
      <c r="B12" s="5" t="s">
        <v>1303</v>
      </c>
      <c r="C12" s="5" t="s">
        <v>1304</v>
      </c>
      <c r="D12" s="5" t="s">
        <v>1326</v>
      </c>
      <c r="E12" s="5" t="n">
        <v>5</v>
      </c>
      <c r="F12" s="5" t="s">
        <v>1313</v>
      </c>
      <c r="G12" s="5" t="s">
        <v>160</v>
      </c>
      <c r="H12" s="5" t="s">
        <v>1307</v>
      </c>
      <c r="I12" s="5" t="s">
        <v>1308</v>
      </c>
      <c r="J12" s="6" t="s">
        <v>777</v>
      </c>
      <c r="K12" s="5" t="s">
        <v>1327</v>
      </c>
    </row>
    <row r="13" customFormat="false" ht="23.25" hidden="false" customHeight="true" outlineLevel="0" collapsed="false">
      <c r="A13" s="5" t="s">
        <v>865</v>
      </c>
      <c r="B13" s="5" t="s">
        <v>1303</v>
      </c>
      <c r="C13" s="5" t="s">
        <v>1304</v>
      </c>
      <c r="D13" s="5" t="s">
        <v>1328</v>
      </c>
      <c r="E13" s="5" t="n">
        <v>3</v>
      </c>
      <c r="F13" s="5" t="s">
        <v>1324</v>
      </c>
      <c r="G13" s="5" t="s">
        <v>160</v>
      </c>
      <c r="H13" s="5" t="s">
        <v>1307</v>
      </c>
      <c r="I13" s="5" t="s">
        <v>1308</v>
      </c>
      <c r="J13" s="6" t="s">
        <v>777</v>
      </c>
      <c r="K13" s="5" t="s">
        <v>1329</v>
      </c>
    </row>
    <row r="14" customFormat="false" ht="23.25" hidden="false" customHeight="true" outlineLevel="0" collapsed="false">
      <c r="A14" s="5" t="s">
        <v>869</v>
      </c>
      <c r="B14" s="5" t="s">
        <v>1330</v>
      </c>
      <c r="C14" s="5" t="s">
        <v>1331</v>
      </c>
      <c r="D14" s="5" t="s">
        <v>1332</v>
      </c>
      <c r="E14" s="5" t="n">
        <v>5</v>
      </c>
      <c r="F14" s="5" t="s">
        <v>1306</v>
      </c>
      <c r="G14" s="5" t="s">
        <v>160</v>
      </c>
      <c r="H14" s="5" t="s">
        <v>1333</v>
      </c>
      <c r="I14" s="5" t="s">
        <v>1308</v>
      </c>
      <c r="J14" s="6" t="s">
        <v>777</v>
      </c>
      <c r="K14" s="5" t="s">
        <v>1334</v>
      </c>
    </row>
    <row r="15" customFormat="false" ht="23.25" hidden="false" customHeight="true" outlineLevel="0" collapsed="false">
      <c r="A15" s="5" t="s">
        <v>873</v>
      </c>
      <c r="B15" s="5" t="s">
        <v>1330</v>
      </c>
      <c r="C15" s="5" t="s">
        <v>1331</v>
      </c>
      <c r="D15" s="5" t="s">
        <v>1335</v>
      </c>
      <c r="E15" s="5" t="n">
        <v>8</v>
      </c>
      <c r="F15" s="5" t="s">
        <v>1306</v>
      </c>
      <c r="G15" s="5" t="s">
        <v>160</v>
      </c>
      <c r="H15" s="5" t="s">
        <v>1333</v>
      </c>
      <c r="I15" s="5" t="s">
        <v>1308</v>
      </c>
      <c r="J15" s="6" t="s">
        <v>777</v>
      </c>
      <c r="K15" s="5" t="s">
        <v>1336</v>
      </c>
    </row>
    <row r="16" customFormat="false" ht="23.25" hidden="false" customHeight="true" outlineLevel="0" collapsed="false">
      <c r="A16" s="5" t="s">
        <v>877</v>
      </c>
      <c r="B16" s="5" t="s">
        <v>1330</v>
      </c>
      <c r="C16" s="5" t="s">
        <v>1331</v>
      </c>
      <c r="D16" s="5" t="s">
        <v>1337</v>
      </c>
      <c r="E16" s="5" t="n">
        <v>5</v>
      </c>
      <c r="F16" s="5" t="s">
        <v>1313</v>
      </c>
      <c r="G16" s="5" t="s">
        <v>160</v>
      </c>
      <c r="H16" s="5" t="s">
        <v>1333</v>
      </c>
      <c r="I16" s="5" t="s">
        <v>1308</v>
      </c>
      <c r="J16" s="6" t="s">
        <v>777</v>
      </c>
      <c r="K16" s="5" t="s">
        <v>1338</v>
      </c>
    </row>
    <row r="17" customFormat="false" ht="34.5" hidden="false" customHeight="true" outlineLevel="0" collapsed="false">
      <c r="A17" s="5" t="s">
        <v>881</v>
      </c>
      <c r="B17" s="5" t="s">
        <v>1330</v>
      </c>
      <c r="C17" s="5" t="s">
        <v>1331</v>
      </c>
      <c r="D17" s="5" t="s">
        <v>1339</v>
      </c>
      <c r="E17" s="5" t="n">
        <v>3</v>
      </c>
      <c r="F17" s="5" t="s">
        <v>1306</v>
      </c>
      <c r="G17" s="5" t="s">
        <v>160</v>
      </c>
      <c r="H17" s="5" t="s">
        <v>1333</v>
      </c>
      <c r="I17" s="5" t="s">
        <v>1308</v>
      </c>
      <c r="J17" s="6" t="s">
        <v>777</v>
      </c>
      <c r="K17" s="5" t="s">
        <v>1340</v>
      </c>
    </row>
    <row r="18" customFormat="false" ht="23.25" hidden="false" customHeight="true" outlineLevel="0" collapsed="false">
      <c r="A18" s="5" t="s">
        <v>895</v>
      </c>
      <c r="B18" s="5" t="s">
        <v>1330</v>
      </c>
      <c r="C18" s="5" t="s">
        <v>1331</v>
      </c>
      <c r="D18" s="5" t="s">
        <v>1341</v>
      </c>
      <c r="E18" s="5" t="n">
        <v>5</v>
      </c>
      <c r="F18" s="5" t="s">
        <v>1306</v>
      </c>
      <c r="G18" s="5" t="s">
        <v>187</v>
      </c>
      <c r="H18" s="5" t="s">
        <v>1333</v>
      </c>
      <c r="I18" s="5" t="s">
        <v>1308</v>
      </c>
      <c r="J18" s="6" t="s">
        <v>777</v>
      </c>
      <c r="K18" s="5" t="s">
        <v>1342</v>
      </c>
    </row>
    <row r="19" customFormat="false" ht="15" hidden="false" customHeight="true" outlineLevel="0" collapsed="false">
      <c r="A19" s="5" t="s">
        <v>899</v>
      </c>
      <c r="B19" s="5" t="s">
        <v>1330</v>
      </c>
      <c r="C19" s="5" t="s">
        <v>1331</v>
      </c>
      <c r="D19" s="5" t="s">
        <v>1343</v>
      </c>
      <c r="E19" s="5" t="n">
        <v>3</v>
      </c>
      <c r="F19" s="5" t="s">
        <v>1313</v>
      </c>
      <c r="G19" s="5" t="s">
        <v>187</v>
      </c>
      <c r="H19" s="5" t="s">
        <v>1333</v>
      </c>
      <c r="I19" s="5" t="s">
        <v>1308</v>
      </c>
      <c r="J19" s="6" t="s">
        <v>777</v>
      </c>
      <c r="K19" s="5" t="s">
        <v>1344</v>
      </c>
    </row>
    <row r="20" customFormat="false" ht="15" hidden="false" customHeight="true" outlineLevel="0" collapsed="false">
      <c r="A20" s="5" t="s">
        <v>903</v>
      </c>
      <c r="B20" s="5" t="s">
        <v>1330</v>
      </c>
      <c r="C20" s="5" t="s">
        <v>1331</v>
      </c>
      <c r="D20" s="5" t="s">
        <v>1345</v>
      </c>
      <c r="E20" s="5" t="n">
        <v>3</v>
      </c>
      <c r="F20" s="5" t="s">
        <v>1313</v>
      </c>
      <c r="G20" s="5" t="s">
        <v>187</v>
      </c>
      <c r="H20" s="5" t="s">
        <v>1333</v>
      </c>
      <c r="I20" s="5" t="s">
        <v>1308</v>
      </c>
      <c r="J20" s="6" t="s">
        <v>777</v>
      </c>
      <c r="K20" s="5" t="s">
        <v>1346</v>
      </c>
    </row>
    <row r="21" customFormat="false" ht="15" hidden="false" customHeight="true" outlineLevel="0" collapsed="false">
      <c r="A21" s="5" t="s">
        <v>907</v>
      </c>
      <c r="B21" s="5" t="s">
        <v>1330</v>
      </c>
      <c r="C21" s="5" t="s">
        <v>1331</v>
      </c>
      <c r="D21" s="5" t="s">
        <v>1347</v>
      </c>
      <c r="E21" s="5" t="n">
        <v>2</v>
      </c>
      <c r="F21" s="5" t="s">
        <v>1324</v>
      </c>
      <c r="G21" s="5" t="s">
        <v>187</v>
      </c>
      <c r="H21" s="5" t="s">
        <v>1333</v>
      </c>
      <c r="I21" s="5" t="s">
        <v>1308</v>
      </c>
      <c r="J21" s="6" t="s">
        <v>777</v>
      </c>
      <c r="K21" s="5" t="s">
        <v>1348</v>
      </c>
    </row>
    <row r="22" customFormat="false" ht="23.25" hidden="false" customHeight="true" outlineLevel="0" collapsed="false">
      <c r="A22" s="5" t="s">
        <v>911</v>
      </c>
      <c r="B22" s="5" t="s">
        <v>1330</v>
      </c>
      <c r="C22" s="5" t="s">
        <v>1331</v>
      </c>
      <c r="D22" s="5" t="s">
        <v>1349</v>
      </c>
      <c r="E22" s="5" t="n">
        <v>5</v>
      </c>
      <c r="F22" s="5" t="s">
        <v>1313</v>
      </c>
      <c r="G22" s="5" t="s">
        <v>187</v>
      </c>
      <c r="H22" s="5" t="s">
        <v>1333</v>
      </c>
      <c r="I22" s="5" t="s">
        <v>1308</v>
      </c>
      <c r="J22" s="6" t="s">
        <v>777</v>
      </c>
      <c r="K22" s="5" t="s">
        <v>1350</v>
      </c>
    </row>
    <row r="23" customFormat="false" ht="23.25" hidden="false" customHeight="true" outlineLevel="0" collapsed="false">
      <c r="A23" s="5" t="s">
        <v>915</v>
      </c>
      <c r="B23" s="5" t="s">
        <v>1330</v>
      </c>
      <c r="C23" s="5" t="s">
        <v>1331</v>
      </c>
      <c r="D23" s="5" t="s">
        <v>1351</v>
      </c>
      <c r="E23" s="5" t="n">
        <v>3</v>
      </c>
      <c r="F23" s="5" t="s">
        <v>1324</v>
      </c>
      <c r="G23" s="5" t="s">
        <v>187</v>
      </c>
      <c r="H23" s="5" t="s">
        <v>1333</v>
      </c>
      <c r="I23" s="5" t="s">
        <v>1308</v>
      </c>
      <c r="J23" s="6" t="s">
        <v>777</v>
      </c>
      <c r="K23" s="5" t="s">
        <v>1352</v>
      </c>
    </row>
    <row r="24" customFormat="false" ht="23.25" hidden="false" customHeight="true" outlineLevel="0" collapsed="false">
      <c r="A24" s="5" t="s">
        <v>937</v>
      </c>
      <c r="B24" s="5" t="s">
        <v>1353</v>
      </c>
      <c r="C24" s="5" t="s">
        <v>1354</v>
      </c>
      <c r="D24" s="5" t="s">
        <v>1355</v>
      </c>
      <c r="E24" s="5" t="n">
        <v>5</v>
      </c>
      <c r="F24" s="5" t="s">
        <v>1306</v>
      </c>
      <c r="G24" s="5" t="s">
        <v>213</v>
      </c>
      <c r="H24" s="5" t="s">
        <v>1356</v>
      </c>
      <c r="I24" s="5" t="s">
        <v>1308</v>
      </c>
      <c r="J24" s="6" t="s">
        <v>777</v>
      </c>
      <c r="K24" s="5" t="s">
        <v>1357</v>
      </c>
    </row>
    <row r="25" customFormat="false" ht="23.25" hidden="false" customHeight="true" outlineLevel="0" collapsed="false">
      <c r="A25" s="5" t="s">
        <v>941</v>
      </c>
      <c r="B25" s="5" t="s">
        <v>1353</v>
      </c>
      <c r="C25" s="5" t="s">
        <v>1354</v>
      </c>
      <c r="D25" s="5" t="s">
        <v>1358</v>
      </c>
      <c r="E25" s="5" t="n">
        <v>8</v>
      </c>
      <c r="F25" s="5" t="s">
        <v>1306</v>
      </c>
      <c r="G25" s="5" t="s">
        <v>213</v>
      </c>
      <c r="H25" s="5" t="s">
        <v>1356</v>
      </c>
      <c r="I25" s="5" t="s">
        <v>1308</v>
      </c>
      <c r="J25" s="6" t="s">
        <v>777</v>
      </c>
      <c r="K25" s="5" t="s">
        <v>1359</v>
      </c>
    </row>
    <row r="26" customFormat="false" ht="15" hidden="false" customHeight="true" outlineLevel="0" collapsed="false">
      <c r="A26" s="5" t="s">
        <v>945</v>
      </c>
      <c r="B26" s="5" t="s">
        <v>1353</v>
      </c>
      <c r="C26" s="5" t="s">
        <v>1354</v>
      </c>
      <c r="D26" s="5" t="s">
        <v>1360</v>
      </c>
      <c r="E26" s="5" t="n">
        <v>5</v>
      </c>
      <c r="F26" s="5" t="s">
        <v>1313</v>
      </c>
      <c r="G26" s="5" t="s">
        <v>213</v>
      </c>
      <c r="H26" s="5" t="s">
        <v>1356</v>
      </c>
      <c r="I26" s="5" t="s">
        <v>1308</v>
      </c>
      <c r="J26" s="6" t="s">
        <v>777</v>
      </c>
      <c r="K26" s="5" t="s">
        <v>1361</v>
      </c>
    </row>
    <row r="27" customFormat="false" ht="23.25" hidden="false" customHeight="true" outlineLevel="0" collapsed="false">
      <c r="A27" s="5" t="s">
        <v>949</v>
      </c>
      <c r="B27" s="5" t="s">
        <v>1353</v>
      </c>
      <c r="C27" s="5" t="s">
        <v>1354</v>
      </c>
      <c r="D27" s="5" t="s">
        <v>1362</v>
      </c>
      <c r="E27" s="5" t="n">
        <v>3</v>
      </c>
      <c r="F27" s="5" t="s">
        <v>1306</v>
      </c>
      <c r="G27" s="5" t="s">
        <v>213</v>
      </c>
      <c r="H27" s="5" t="s">
        <v>1356</v>
      </c>
      <c r="I27" s="5" t="s">
        <v>1308</v>
      </c>
      <c r="J27" s="6" t="s">
        <v>777</v>
      </c>
      <c r="K27" s="5" t="s">
        <v>1363</v>
      </c>
    </row>
    <row r="28" customFormat="false" ht="23.25" hidden="false" customHeight="true" outlineLevel="0" collapsed="false">
      <c r="A28" s="5" t="s">
        <v>953</v>
      </c>
      <c r="B28" s="5" t="s">
        <v>1353</v>
      </c>
      <c r="C28" s="5" t="s">
        <v>1354</v>
      </c>
      <c r="D28" s="5" t="s">
        <v>1364</v>
      </c>
      <c r="E28" s="5" t="n">
        <v>5</v>
      </c>
      <c r="F28" s="5" t="s">
        <v>1306</v>
      </c>
      <c r="G28" s="5" t="s">
        <v>213</v>
      </c>
      <c r="H28" s="5" t="s">
        <v>1356</v>
      </c>
      <c r="I28" s="5" t="s">
        <v>1308</v>
      </c>
      <c r="J28" s="6" t="s">
        <v>777</v>
      </c>
      <c r="K28" s="5" t="s">
        <v>1365</v>
      </c>
    </row>
    <row r="29" customFormat="false" ht="15" hidden="false" customHeight="true" outlineLevel="0" collapsed="false">
      <c r="A29" s="5" t="s">
        <v>957</v>
      </c>
      <c r="B29" s="5" t="s">
        <v>1353</v>
      </c>
      <c r="C29" s="5" t="s">
        <v>1354</v>
      </c>
      <c r="D29" s="5" t="s">
        <v>1366</v>
      </c>
      <c r="E29" s="5" t="n">
        <v>3</v>
      </c>
      <c r="F29" s="5" t="s">
        <v>1313</v>
      </c>
      <c r="G29" s="5" t="s">
        <v>213</v>
      </c>
      <c r="H29" s="5" t="s">
        <v>1356</v>
      </c>
      <c r="I29" s="5" t="s">
        <v>1308</v>
      </c>
      <c r="J29" s="6" t="s">
        <v>777</v>
      </c>
      <c r="K29" s="5" t="s">
        <v>1367</v>
      </c>
    </row>
    <row r="30" customFormat="false" ht="15" hidden="false" customHeight="true" outlineLevel="0" collapsed="false">
      <c r="A30" s="5" t="s">
        <v>961</v>
      </c>
      <c r="B30" s="5" t="s">
        <v>1353</v>
      </c>
      <c r="C30" s="5" t="s">
        <v>1354</v>
      </c>
      <c r="D30" s="5" t="s">
        <v>1368</v>
      </c>
      <c r="E30" s="5" t="n">
        <v>3</v>
      </c>
      <c r="F30" s="5" t="s">
        <v>1313</v>
      </c>
      <c r="G30" s="5" t="s">
        <v>213</v>
      </c>
      <c r="H30" s="5" t="s">
        <v>1356</v>
      </c>
      <c r="I30" s="5" t="s">
        <v>1308</v>
      </c>
      <c r="J30" s="6" t="s">
        <v>777</v>
      </c>
      <c r="K30" s="5" t="s">
        <v>1369</v>
      </c>
    </row>
    <row r="31" customFormat="false" ht="15" hidden="false" customHeight="true" outlineLevel="0" collapsed="false">
      <c r="A31" s="5" t="s">
        <v>965</v>
      </c>
      <c r="B31" s="5" t="s">
        <v>1353</v>
      </c>
      <c r="C31" s="5" t="s">
        <v>1354</v>
      </c>
      <c r="D31" s="5" t="s">
        <v>1370</v>
      </c>
      <c r="E31" s="5" t="n">
        <v>2</v>
      </c>
      <c r="F31" s="5" t="s">
        <v>1324</v>
      </c>
      <c r="G31" s="5" t="s">
        <v>213</v>
      </c>
      <c r="H31" s="5" t="s">
        <v>1356</v>
      </c>
      <c r="I31" s="5" t="s">
        <v>1308</v>
      </c>
      <c r="J31" s="6" t="s">
        <v>777</v>
      </c>
      <c r="K31" s="5" t="s">
        <v>1371</v>
      </c>
    </row>
    <row r="32" customFormat="false" ht="23.25" hidden="false" customHeight="true" outlineLevel="0" collapsed="false">
      <c r="A32" s="5" t="s">
        <v>969</v>
      </c>
      <c r="B32" s="5" t="s">
        <v>1353</v>
      </c>
      <c r="C32" s="5" t="s">
        <v>1354</v>
      </c>
      <c r="D32" s="5" t="s">
        <v>1372</v>
      </c>
      <c r="E32" s="5" t="n">
        <v>5</v>
      </c>
      <c r="F32" s="5" t="s">
        <v>1313</v>
      </c>
      <c r="G32" s="5" t="s">
        <v>213</v>
      </c>
      <c r="H32" s="5" t="s">
        <v>1356</v>
      </c>
      <c r="I32" s="5" t="s">
        <v>1308</v>
      </c>
      <c r="J32" s="6" t="s">
        <v>777</v>
      </c>
      <c r="K32" s="5" t="s">
        <v>1373</v>
      </c>
    </row>
    <row r="33" customFormat="false" ht="23.25" hidden="false" customHeight="true" outlineLevel="0" collapsed="false">
      <c r="A33" s="5" t="s">
        <v>973</v>
      </c>
      <c r="B33" s="5" t="s">
        <v>1353</v>
      </c>
      <c r="C33" s="5" t="s">
        <v>1354</v>
      </c>
      <c r="D33" s="5" t="s">
        <v>1374</v>
      </c>
      <c r="E33" s="5" t="n">
        <v>3</v>
      </c>
      <c r="F33" s="5" t="s">
        <v>1324</v>
      </c>
      <c r="G33" s="5" t="s">
        <v>213</v>
      </c>
      <c r="H33" s="5" t="s">
        <v>1356</v>
      </c>
      <c r="I33" s="5" t="s">
        <v>1308</v>
      </c>
      <c r="J33" s="6" t="s">
        <v>777</v>
      </c>
      <c r="K33" s="5" t="s">
        <v>1375</v>
      </c>
    </row>
    <row r="34" customFormat="false" ht="23.25" hidden="false" customHeight="true" outlineLevel="0" collapsed="false">
      <c r="A34" s="5" t="s">
        <v>987</v>
      </c>
      <c r="B34" s="5" t="s">
        <v>1376</v>
      </c>
      <c r="C34" s="5" t="s">
        <v>1377</v>
      </c>
      <c r="D34" s="5" t="s">
        <v>1378</v>
      </c>
      <c r="E34" s="5" t="n">
        <v>5</v>
      </c>
      <c r="F34" s="5" t="s">
        <v>1306</v>
      </c>
      <c r="G34" s="5" t="s">
        <v>242</v>
      </c>
      <c r="H34" s="5" t="s">
        <v>1379</v>
      </c>
      <c r="I34" s="5" t="s">
        <v>1308</v>
      </c>
      <c r="J34" s="6" t="s">
        <v>777</v>
      </c>
      <c r="K34" s="5" t="s">
        <v>1380</v>
      </c>
    </row>
    <row r="35" customFormat="false" ht="23.25" hidden="false" customHeight="true" outlineLevel="0" collapsed="false">
      <c r="A35" s="5" t="s">
        <v>991</v>
      </c>
      <c r="B35" s="5" t="s">
        <v>1376</v>
      </c>
      <c r="C35" s="5" t="s">
        <v>1377</v>
      </c>
      <c r="D35" s="5" t="s">
        <v>1381</v>
      </c>
      <c r="E35" s="5" t="n">
        <v>8</v>
      </c>
      <c r="F35" s="5" t="s">
        <v>1306</v>
      </c>
      <c r="G35" s="5" t="s">
        <v>242</v>
      </c>
      <c r="H35" s="5" t="s">
        <v>1379</v>
      </c>
      <c r="I35" s="5" t="s">
        <v>1308</v>
      </c>
      <c r="J35" s="6" t="s">
        <v>777</v>
      </c>
      <c r="K35" s="5" t="s">
        <v>1382</v>
      </c>
    </row>
    <row r="36" customFormat="false" ht="23.25" hidden="false" customHeight="true" outlineLevel="0" collapsed="false">
      <c r="A36" s="5" t="s">
        <v>995</v>
      </c>
      <c r="B36" s="5" t="s">
        <v>1376</v>
      </c>
      <c r="C36" s="5" t="s">
        <v>1377</v>
      </c>
      <c r="D36" s="5" t="s">
        <v>1383</v>
      </c>
      <c r="E36" s="5" t="n">
        <v>5</v>
      </c>
      <c r="F36" s="5" t="s">
        <v>1313</v>
      </c>
      <c r="G36" s="5" t="s">
        <v>242</v>
      </c>
      <c r="H36" s="5" t="s">
        <v>1379</v>
      </c>
      <c r="I36" s="5" t="s">
        <v>1308</v>
      </c>
      <c r="J36" s="6" t="s">
        <v>777</v>
      </c>
      <c r="K36" s="5" t="s">
        <v>1384</v>
      </c>
    </row>
    <row r="37" customFormat="false" ht="23.25" hidden="false" customHeight="true" outlineLevel="0" collapsed="false">
      <c r="A37" s="5" t="s">
        <v>999</v>
      </c>
      <c r="B37" s="5" t="s">
        <v>1376</v>
      </c>
      <c r="C37" s="5" t="s">
        <v>1377</v>
      </c>
      <c r="D37" s="5" t="s">
        <v>1385</v>
      </c>
      <c r="E37" s="5" t="n">
        <v>3</v>
      </c>
      <c r="F37" s="5" t="s">
        <v>1306</v>
      </c>
      <c r="G37" s="5" t="s">
        <v>242</v>
      </c>
      <c r="H37" s="5" t="s">
        <v>1379</v>
      </c>
      <c r="I37" s="5" t="s">
        <v>1308</v>
      </c>
      <c r="J37" s="6" t="s">
        <v>777</v>
      </c>
      <c r="K37" s="5" t="s">
        <v>1386</v>
      </c>
    </row>
    <row r="38" customFormat="false" ht="23.25" hidden="false" customHeight="true" outlineLevel="0" collapsed="false">
      <c r="A38" s="5" t="s">
        <v>1003</v>
      </c>
      <c r="B38" s="5" t="s">
        <v>1376</v>
      </c>
      <c r="C38" s="5" t="s">
        <v>1377</v>
      </c>
      <c r="D38" s="5" t="s">
        <v>1387</v>
      </c>
      <c r="E38" s="5" t="n">
        <v>5</v>
      </c>
      <c r="F38" s="5" t="s">
        <v>1306</v>
      </c>
      <c r="G38" s="5" t="s">
        <v>242</v>
      </c>
      <c r="H38" s="5" t="s">
        <v>1379</v>
      </c>
      <c r="I38" s="5" t="s">
        <v>1308</v>
      </c>
      <c r="J38" s="6" t="s">
        <v>777</v>
      </c>
      <c r="K38" s="5" t="s">
        <v>1388</v>
      </c>
    </row>
    <row r="39" customFormat="false" ht="15" hidden="false" customHeight="true" outlineLevel="0" collapsed="false">
      <c r="A39" s="5" t="s">
        <v>1007</v>
      </c>
      <c r="B39" s="5" t="s">
        <v>1376</v>
      </c>
      <c r="C39" s="5" t="s">
        <v>1377</v>
      </c>
      <c r="D39" s="5" t="s">
        <v>1389</v>
      </c>
      <c r="E39" s="5" t="n">
        <v>3</v>
      </c>
      <c r="F39" s="5" t="s">
        <v>1313</v>
      </c>
      <c r="G39" s="5" t="s">
        <v>242</v>
      </c>
      <c r="H39" s="5" t="s">
        <v>1379</v>
      </c>
      <c r="I39" s="5" t="s">
        <v>1308</v>
      </c>
      <c r="J39" s="6" t="s">
        <v>777</v>
      </c>
      <c r="K39" s="5" t="s">
        <v>1390</v>
      </c>
    </row>
    <row r="40" customFormat="false" ht="15" hidden="false" customHeight="true" outlineLevel="0" collapsed="false">
      <c r="A40" s="5" t="s">
        <v>1011</v>
      </c>
      <c r="B40" s="5" t="s">
        <v>1376</v>
      </c>
      <c r="C40" s="5" t="s">
        <v>1377</v>
      </c>
      <c r="D40" s="5" t="s">
        <v>1391</v>
      </c>
      <c r="E40" s="5" t="n">
        <v>3</v>
      </c>
      <c r="F40" s="5" t="s">
        <v>1313</v>
      </c>
      <c r="G40" s="5" t="s">
        <v>242</v>
      </c>
      <c r="H40" s="5" t="s">
        <v>1379</v>
      </c>
      <c r="I40" s="5" t="s">
        <v>1308</v>
      </c>
      <c r="J40" s="6" t="s">
        <v>777</v>
      </c>
      <c r="K40" s="5" t="s">
        <v>1392</v>
      </c>
    </row>
    <row r="41" customFormat="false" ht="15" hidden="false" customHeight="true" outlineLevel="0" collapsed="false">
      <c r="A41" s="5" t="s">
        <v>1014</v>
      </c>
      <c r="B41" s="5" t="s">
        <v>1376</v>
      </c>
      <c r="C41" s="5" t="s">
        <v>1377</v>
      </c>
      <c r="D41" s="5" t="s">
        <v>1393</v>
      </c>
      <c r="E41" s="5" t="n">
        <v>2</v>
      </c>
      <c r="F41" s="5" t="s">
        <v>1324</v>
      </c>
      <c r="G41" s="5" t="s">
        <v>242</v>
      </c>
      <c r="H41" s="5" t="s">
        <v>1379</v>
      </c>
      <c r="I41" s="5" t="s">
        <v>1308</v>
      </c>
      <c r="J41" s="6" t="s">
        <v>777</v>
      </c>
      <c r="K41" s="5" t="s">
        <v>1394</v>
      </c>
    </row>
    <row r="42" customFormat="false" ht="23.25" hidden="false" customHeight="true" outlineLevel="0" collapsed="false">
      <c r="A42" s="5" t="s">
        <v>1018</v>
      </c>
      <c r="B42" s="5" t="s">
        <v>1376</v>
      </c>
      <c r="C42" s="5" t="s">
        <v>1377</v>
      </c>
      <c r="D42" s="5" t="s">
        <v>1395</v>
      </c>
      <c r="E42" s="5" t="n">
        <v>5</v>
      </c>
      <c r="F42" s="5" t="s">
        <v>1313</v>
      </c>
      <c r="G42" s="5" t="s">
        <v>242</v>
      </c>
      <c r="H42" s="5" t="s">
        <v>1379</v>
      </c>
      <c r="I42" s="5" t="s">
        <v>1308</v>
      </c>
      <c r="J42" s="6" t="s">
        <v>777</v>
      </c>
      <c r="K42" s="5" t="s">
        <v>1396</v>
      </c>
    </row>
    <row r="43" customFormat="false" ht="23.25" hidden="false" customHeight="true" outlineLevel="0" collapsed="false">
      <c r="A43" s="5" t="s">
        <v>1022</v>
      </c>
      <c r="B43" s="5" t="s">
        <v>1376</v>
      </c>
      <c r="C43" s="5" t="s">
        <v>1377</v>
      </c>
      <c r="D43" s="5" t="s">
        <v>1397</v>
      </c>
      <c r="E43" s="5" t="n">
        <v>3</v>
      </c>
      <c r="F43" s="5" t="s">
        <v>1324</v>
      </c>
      <c r="G43" s="5" t="s">
        <v>242</v>
      </c>
      <c r="H43" s="5" t="s">
        <v>1379</v>
      </c>
      <c r="I43" s="5" t="s">
        <v>1308</v>
      </c>
      <c r="J43" s="6" t="s">
        <v>777</v>
      </c>
      <c r="K43" s="5" t="s">
        <v>1398</v>
      </c>
    </row>
    <row r="44" customFormat="false" ht="23.25" hidden="false" customHeight="true" outlineLevel="0" collapsed="false">
      <c r="A44" s="5" t="s">
        <v>1062</v>
      </c>
      <c r="B44" s="5" t="s">
        <v>1399</v>
      </c>
      <c r="C44" s="5" t="s">
        <v>1400</v>
      </c>
      <c r="D44" s="5" t="s">
        <v>1401</v>
      </c>
      <c r="E44" s="5" t="n">
        <v>5</v>
      </c>
      <c r="F44" s="5" t="s">
        <v>1306</v>
      </c>
      <c r="G44" s="5" t="s">
        <v>301</v>
      </c>
      <c r="H44" s="5" t="s">
        <v>1402</v>
      </c>
      <c r="I44" s="5" t="s">
        <v>1308</v>
      </c>
      <c r="J44" s="6" t="s">
        <v>777</v>
      </c>
      <c r="K44" s="5" t="s">
        <v>1403</v>
      </c>
    </row>
    <row r="45" customFormat="false" ht="23.25" hidden="false" customHeight="true" outlineLevel="0" collapsed="false">
      <c r="A45" s="5" t="s">
        <v>1066</v>
      </c>
      <c r="B45" s="5" t="s">
        <v>1399</v>
      </c>
      <c r="C45" s="5" t="s">
        <v>1400</v>
      </c>
      <c r="D45" s="5" t="s">
        <v>1404</v>
      </c>
      <c r="E45" s="5" t="n">
        <v>8</v>
      </c>
      <c r="F45" s="5" t="s">
        <v>1306</v>
      </c>
      <c r="G45" s="5" t="s">
        <v>301</v>
      </c>
      <c r="H45" s="5" t="s">
        <v>1402</v>
      </c>
      <c r="I45" s="5" t="s">
        <v>1308</v>
      </c>
      <c r="J45" s="6" t="s">
        <v>777</v>
      </c>
      <c r="K45" s="5" t="s">
        <v>1405</v>
      </c>
    </row>
    <row r="46" customFormat="false" ht="23.25" hidden="false" customHeight="true" outlineLevel="0" collapsed="false">
      <c r="A46" s="5" t="s">
        <v>1070</v>
      </c>
      <c r="B46" s="5" t="s">
        <v>1399</v>
      </c>
      <c r="C46" s="5" t="s">
        <v>1400</v>
      </c>
      <c r="D46" s="5" t="s">
        <v>1406</v>
      </c>
      <c r="E46" s="5" t="n">
        <v>5</v>
      </c>
      <c r="F46" s="5" t="s">
        <v>1313</v>
      </c>
      <c r="G46" s="5" t="s">
        <v>301</v>
      </c>
      <c r="H46" s="5" t="s">
        <v>1402</v>
      </c>
      <c r="I46" s="5" t="s">
        <v>1308</v>
      </c>
      <c r="J46" s="6" t="s">
        <v>777</v>
      </c>
      <c r="K46" s="5" t="s">
        <v>1407</v>
      </c>
    </row>
    <row r="47" customFormat="false" ht="23.25" hidden="false" customHeight="true" outlineLevel="0" collapsed="false">
      <c r="A47" s="5" t="s">
        <v>1074</v>
      </c>
      <c r="B47" s="5" t="s">
        <v>1399</v>
      </c>
      <c r="C47" s="5" t="s">
        <v>1400</v>
      </c>
      <c r="D47" s="5" t="s">
        <v>1408</v>
      </c>
      <c r="E47" s="5" t="n">
        <v>3</v>
      </c>
      <c r="F47" s="5" t="s">
        <v>1306</v>
      </c>
      <c r="G47" s="5" t="s">
        <v>301</v>
      </c>
      <c r="H47" s="5" t="s">
        <v>1402</v>
      </c>
      <c r="I47" s="5" t="s">
        <v>1308</v>
      </c>
      <c r="J47" s="6" t="s">
        <v>777</v>
      </c>
      <c r="K47" s="5" t="s">
        <v>1409</v>
      </c>
    </row>
    <row r="48" customFormat="false" ht="23.25" hidden="false" customHeight="true" outlineLevel="0" collapsed="false">
      <c r="A48" s="5" t="s">
        <v>1078</v>
      </c>
      <c r="B48" s="5" t="s">
        <v>1399</v>
      </c>
      <c r="C48" s="5" t="s">
        <v>1400</v>
      </c>
      <c r="D48" s="5" t="s">
        <v>1410</v>
      </c>
      <c r="E48" s="5" t="n">
        <v>5</v>
      </c>
      <c r="F48" s="5" t="s">
        <v>1306</v>
      </c>
      <c r="G48" s="5" t="s">
        <v>301</v>
      </c>
      <c r="H48" s="5" t="s">
        <v>1402</v>
      </c>
      <c r="I48" s="5" t="s">
        <v>1308</v>
      </c>
      <c r="J48" s="6" t="s">
        <v>777</v>
      </c>
      <c r="K48" s="5" t="s">
        <v>1411</v>
      </c>
    </row>
    <row r="49" customFormat="false" ht="15" hidden="false" customHeight="true" outlineLevel="0" collapsed="false">
      <c r="A49" s="5" t="s">
        <v>1082</v>
      </c>
      <c r="B49" s="5" t="s">
        <v>1399</v>
      </c>
      <c r="C49" s="5" t="s">
        <v>1400</v>
      </c>
      <c r="D49" s="5" t="s">
        <v>1412</v>
      </c>
      <c r="E49" s="5" t="n">
        <v>3</v>
      </c>
      <c r="F49" s="5" t="s">
        <v>1313</v>
      </c>
      <c r="G49" s="5" t="s">
        <v>301</v>
      </c>
      <c r="H49" s="5" t="s">
        <v>1402</v>
      </c>
      <c r="I49" s="5" t="s">
        <v>1308</v>
      </c>
      <c r="J49" s="6" t="s">
        <v>777</v>
      </c>
      <c r="K49" s="5" t="s">
        <v>1413</v>
      </c>
    </row>
    <row r="50" customFormat="false" ht="15" hidden="false" customHeight="true" outlineLevel="0" collapsed="false">
      <c r="A50" s="5" t="s">
        <v>1085</v>
      </c>
      <c r="B50" s="5" t="s">
        <v>1399</v>
      </c>
      <c r="C50" s="5" t="s">
        <v>1400</v>
      </c>
      <c r="D50" s="5" t="s">
        <v>1414</v>
      </c>
      <c r="E50" s="5" t="n">
        <v>3</v>
      </c>
      <c r="F50" s="5" t="s">
        <v>1313</v>
      </c>
      <c r="G50" s="5" t="s">
        <v>301</v>
      </c>
      <c r="H50" s="5" t="s">
        <v>1402</v>
      </c>
      <c r="I50" s="5" t="s">
        <v>1308</v>
      </c>
      <c r="J50" s="6" t="s">
        <v>777</v>
      </c>
      <c r="K50" s="5" t="s">
        <v>1415</v>
      </c>
    </row>
    <row r="51" customFormat="false" ht="23.25" hidden="false" customHeight="true" outlineLevel="0" collapsed="false">
      <c r="A51" s="5" t="s">
        <v>1088</v>
      </c>
      <c r="B51" s="5" t="s">
        <v>1399</v>
      </c>
      <c r="C51" s="5" t="s">
        <v>1400</v>
      </c>
      <c r="D51" s="5" t="s">
        <v>1416</v>
      </c>
      <c r="E51" s="5" t="n">
        <v>2</v>
      </c>
      <c r="F51" s="5" t="s">
        <v>1324</v>
      </c>
      <c r="G51" s="5" t="s">
        <v>301</v>
      </c>
      <c r="H51" s="5" t="s">
        <v>1402</v>
      </c>
      <c r="I51" s="5" t="s">
        <v>1308</v>
      </c>
      <c r="J51" s="6" t="s">
        <v>777</v>
      </c>
      <c r="K51" s="5" t="s">
        <v>1417</v>
      </c>
    </row>
    <row r="52" customFormat="false" ht="23.25" hidden="false" customHeight="true" outlineLevel="0" collapsed="false">
      <c r="A52" s="5" t="s">
        <v>1092</v>
      </c>
      <c r="B52" s="5" t="s">
        <v>1399</v>
      </c>
      <c r="C52" s="5" t="s">
        <v>1400</v>
      </c>
      <c r="D52" s="5" t="s">
        <v>1418</v>
      </c>
      <c r="E52" s="5" t="n">
        <v>5</v>
      </c>
      <c r="F52" s="5" t="s">
        <v>1313</v>
      </c>
      <c r="G52" s="5" t="s">
        <v>301</v>
      </c>
      <c r="H52" s="5" t="s">
        <v>1402</v>
      </c>
      <c r="I52" s="5" t="s">
        <v>1308</v>
      </c>
      <c r="J52" s="6" t="s">
        <v>777</v>
      </c>
      <c r="K52" s="5" t="s">
        <v>1419</v>
      </c>
    </row>
    <row r="53" customFormat="false" ht="23.25" hidden="false" customHeight="true" outlineLevel="0" collapsed="false">
      <c r="A53" s="5" t="s">
        <v>1096</v>
      </c>
      <c r="B53" s="5" t="s">
        <v>1399</v>
      </c>
      <c r="C53" s="5" t="s">
        <v>1400</v>
      </c>
      <c r="D53" s="5" t="s">
        <v>1420</v>
      </c>
      <c r="E53" s="5" t="n">
        <v>3</v>
      </c>
      <c r="F53" s="5" t="s">
        <v>1324</v>
      </c>
      <c r="G53" s="5" t="s">
        <v>301</v>
      </c>
      <c r="H53" s="5" t="s">
        <v>1402</v>
      </c>
      <c r="I53" s="5" t="s">
        <v>1308</v>
      </c>
      <c r="J53" s="6" t="s">
        <v>777</v>
      </c>
      <c r="K53" s="5" t="s">
        <v>1421</v>
      </c>
    </row>
    <row r="54" customFormat="false" ht="23.25" hidden="false" customHeight="true" outlineLevel="0" collapsed="false">
      <c r="A54" s="5" t="s">
        <v>787</v>
      </c>
      <c r="B54" s="5" t="s">
        <v>1422</v>
      </c>
      <c r="C54" s="5" t="s">
        <v>1423</v>
      </c>
      <c r="D54" s="5" t="s">
        <v>1424</v>
      </c>
      <c r="E54" s="5" t="n">
        <v>5</v>
      </c>
      <c r="F54" s="5" t="s">
        <v>1306</v>
      </c>
      <c r="G54" s="5" t="s">
        <v>128</v>
      </c>
      <c r="H54" s="5" t="s">
        <v>1425</v>
      </c>
      <c r="I54" s="5" t="s">
        <v>1308</v>
      </c>
      <c r="J54" s="6" t="s">
        <v>777</v>
      </c>
      <c r="K54" s="5" t="s">
        <v>1426</v>
      </c>
    </row>
    <row r="55" customFormat="false" ht="23.25" hidden="false" customHeight="true" outlineLevel="0" collapsed="false">
      <c r="A55" s="5" t="s">
        <v>791</v>
      </c>
      <c r="B55" s="5" t="s">
        <v>1422</v>
      </c>
      <c r="C55" s="5" t="s">
        <v>1423</v>
      </c>
      <c r="D55" s="5" t="s">
        <v>1427</v>
      </c>
      <c r="E55" s="5" t="n">
        <v>3</v>
      </c>
      <c r="F55" s="5" t="s">
        <v>1306</v>
      </c>
      <c r="G55" s="5" t="s">
        <v>128</v>
      </c>
      <c r="H55" s="5" t="s">
        <v>1425</v>
      </c>
      <c r="I55" s="5" t="s">
        <v>1308</v>
      </c>
      <c r="J55" s="6" t="s">
        <v>777</v>
      </c>
      <c r="K55" s="5" t="s">
        <v>1428</v>
      </c>
    </row>
    <row r="56" customFormat="false" ht="23.25" hidden="false" customHeight="true" outlineLevel="0" collapsed="false">
      <c r="A56" s="5" t="s">
        <v>832</v>
      </c>
      <c r="B56" s="5" t="s">
        <v>1422</v>
      </c>
      <c r="C56" s="5" t="s">
        <v>1423</v>
      </c>
      <c r="D56" s="5" t="s">
        <v>1429</v>
      </c>
      <c r="E56" s="5" t="n">
        <v>3</v>
      </c>
      <c r="F56" s="5" t="s">
        <v>1313</v>
      </c>
      <c r="G56" s="5" t="s">
        <v>143</v>
      </c>
      <c r="H56" s="5" t="s">
        <v>1425</v>
      </c>
      <c r="I56" s="5" t="s">
        <v>1308</v>
      </c>
      <c r="J56" s="6" t="s">
        <v>777</v>
      </c>
      <c r="K56" s="5" t="s">
        <v>1430</v>
      </c>
    </row>
    <row r="57" customFormat="false" ht="23.25" hidden="false" customHeight="true" outlineLevel="0" collapsed="false">
      <c r="A57" s="5" t="s">
        <v>836</v>
      </c>
      <c r="B57" s="5" t="s">
        <v>1422</v>
      </c>
      <c r="C57" s="5" t="s">
        <v>1423</v>
      </c>
      <c r="D57" s="5" t="s">
        <v>1431</v>
      </c>
      <c r="E57" s="5" t="n">
        <v>5</v>
      </c>
      <c r="F57" s="5" t="s">
        <v>1306</v>
      </c>
      <c r="G57" s="5" t="s">
        <v>143</v>
      </c>
      <c r="H57" s="5" t="s">
        <v>1425</v>
      </c>
      <c r="I57" s="5" t="s">
        <v>1308</v>
      </c>
      <c r="J57" s="6" t="s">
        <v>777</v>
      </c>
      <c r="K57" s="5" t="s">
        <v>1432</v>
      </c>
    </row>
    <row r="58" customFormat="false" ht="23.25" hidden="false" customHeight="true" outlineLevel="0" collapsed="false">
      <c r="A58" s="5" t="s">
        <v>795</v>
      </c>
      <c r="B58" s="5" t="s">
        <v>1422</v>
      </c>
      <c r="C58" s="5" t="s">
        <v>1423</v>
      </c>
      <c r="D58" s="5" t="s">
        <v>1433</v>
      </c>
      <c r="E58" s="5" t="n">
        <v>3</v>
      </c>
      <c r="F58" s="5" t="s">
        <v>1306</v>
      </c>
      <c r="G58" s="5" t="s">
        <v>128</v>
      </c>
      <c r="H58" s="5" t="s">
        <v>1425</v>
      </c>
      <c r="I58" s="5" t="s">
        <v>1308</v>
      </c>
      <c r="J58" s="6" t="s">
        <v>777</v>
      </c>
      <c r="K58" s="5" t="s">
        <v>1434</v>
      </c>
    </row>
    <row r="59" customFormat="false" ht="23.25" hidden="false" customHeight="true" outlineLevel="0" collapsed="false">
      <c r="A59" s="5" t="s">
        <v>799</v>
      </c>
      <c r="B59" s="5" t="s">
        <v>1422</v>
      </c>
      <c r="C59" s="5" t="s">
        <v>1423</v>
      </c>
      <c r="D59" s="5" t="s">
        <v>1435</v>
      </c>
      <c r="E59" s="5" t="n">
        <v>2</v>
      </c>
      <c r="F59" s="5" t="s">
        <v>1313</v>
      </c>
      <c r="G59" s="5" t="s">
        <v>128</v>
      </c>
      <c r="H59" s="5" t="s">
        <v>1425</v>
      </c>
      <c r="I59" s="5" t="s">
        <v>1308</v>
      </c>
      <c r="J59" s="6" t="s">
        <v>777</v>
      </c>
      <c r="K59" s="5" t="s">
        <v>1436</v>
      </c>
    </row>
    <row r="60" customFormat="false" ht="15" hidden="false" customHeight="true" outlineLevel="0" collapsed="false">
      <c r="A60" s="5" t="s">
        <v>1026</v>
      </c>
      <c r="B60" s="5" t="s">
        <v>1437</v>
      </c>
      <c r="C60" s="5" t="s">
        <v>1438</v>
      </c>
      <c r="D60" s="5" t="s">
        <v>1439</v>
      </c>
      <c r="E60" s="5" t="n">
        <v>5</v>
      </c>
      <c r="F60" s="5" t="s">
        <v>1306</v>
      </c>
      <c r="G60" s="5" t="s">
        <v>242</v>
      </c>
      <c r="H60" s="5" t="s">
        <v>1440</v>
      </c>
      <c r="I60" s="5" t="s">
        <v>1308</v>
      </c>
      <c r="J60" s="6" t="s">
        <v>777</v>
      </c>
      <c r="K60" s="5" t="s">
        <v>1441</v>
      </c>
    </row>
    <row r="61" customFormat="false" ht="15" hidden="false" customHeight="true" outlineLevel="0" collapsed="false">
      <c r="A61" s="5" t="s">
        <v>1030</v>
      </c>
      <c r="B61" s="5" t="s">
        <v>1437</v>
      </c>
      <c r="C61" s="5" t="s">
        <v>1438</v>
      </c>
      <c r="D61" s="5" t="s">
        <v>1442</v>
      </c>
      <c r="E61" s="5" t="n">
        <v>5</v>
      </c>
      <c r="F61" s="5" t="s">
        <v>1306</v>
      </c>
      <c r="G61" s="5" t="s">
        <v>242</v>
      </c>
      <c r="H61" s="5" t="s">
        <v>1440</v>
      </c>
      <c r="I61" s="5" t="s">
        <v>1308</v>
      </c>
      <c r="J61" s="6" t="s">
        <v>777</v>
      </c>
      <c r="K61" s="5" t="s">
        <v>1443</v>
      </c>
    </row>
    <row r="62" customFormat="false" ht="23.25" hidden="false" customHeight="true" outlineLevel="0" collapsed="false">
      <c r="A62" s="5" t="s">
        <v>1034</v>
      </c>
      <c r="B62" s="5" t="s">
        <v>1437</v>
      </c>
      <c r="C62" s="5" t="s">
        <v>1438</v>
      </c>
      <c r="D62" s="5" t="s">
        <v>1444</v>
      </c>
      <c r="E62" s="5" t="n">
        <v>8</v>
      </c>
      <c r="F62" s="5" t="s">
        <v>1306</v>
      </c>
      <c r="G62" s="5" t="s">
        <v>242</v>
      </c>
      <c r="H62" s="5" t="s">
        <v>1440</v>
      </c>
      <c r="I62" s="5" t="s">
        <v>1308</v>
      </c>
      <c r="J62" s="6" t="s">
        <v>777</v>
      </c>
      <c r="K62" s="5" t="s">
        <v>1445</v>
      </c>
    </row>
    <row r="63" customFormat="false" ht="15" hidden="false" customHeight="true" outlineLevel="0" collapsed="false">
      <c r="A63" s="5" t="s">
        <v>1040</v>
      </c>
      <c r="B63" s="5" t="s">
        <v>1437</v>
      </c>
      <c r="C63" s="5" t="s">
        <v>1438</v>
      </c>
      <c r="D63" s="5" t="s">
        <v>1446</v>
      </c>
      <c r="E63" s="5" t="n">
        <v>3</v>
      </c>
      <c r="F63" s="5" t="s">
        <v>1313</v>
      </c>
      <c r="G63" s="5" t="s">
        <v>271</v>
      </c>
      <c r="H63" s="5" t="s">
        <v>1440</v>
      </c>
      <c r="I63" s="5" t="s">
        <v>1308</v>
      </c>
      <c r="J63" s="6" t="s">
        <v>777</v>
      </c>
      <c r="K63" s="5" t="s">
        <v>1447</v>
      </c>
    </row>
    <row r="64" customFormat="false" ht="15" hidden="false" customHeight="true" outlineLevel="0" collapsed="false">
      <c r="A64" s="5" t="s">
        <v>1044</v>
      </c>
      <c r="B64" s="5" t="s">
        <v>1437</v>
      </c>
      <c r="C64" s="5" t="s">
        <v>1438</v>
      </c>
      <c r="D64" s="5" t="s">
        <v>1448</v>
      </c>
      <c r="E64" s="5" t="n">
        <v>3</v>
      </c>
      <c r="F64" s="5" t="s">
        <v>1313</v>
      </c>
      <c r="G64" s="5" t="s">
        <v>271</v>
      </c>
      <c r="H64" s="5" t="s">
        <v>1440</v>
      </c>
      <c r="I64" s="5" t="s">
        <v>1308</v>
      </c>
      <c r="J64" s="6" t="s">
        <v>777</v>
      </c>
      <c r="K64" s="5" t="s">
        <v>1449</v>
      </c>
    </row>
    <row r="65" customFormat="false" ht="15" hidden="false" customHeight="true" outlineLevel="0" collapsed="false">
      <c r="A65" s="5" t="s">
        <v>1048</v>
      </c>
      <c r="B65" s="5" t="s">
        <v>1437</v>
      </c>
      <c r="C65" s="5" t="s">
        <v>1438</v>
      </c>
      <c r="D65" s="5" t="s">
        <v>1450</v>
      </c>
      <c r="E65" s="5" t="n">
        <v>3</v>
      </c>
      <c r="F65" s="5" t="s">
        <v>1324</v>
      </c>
      <c r="G65" s="5" t="s">
        <v>271</v>
      </c>
      <c r="H65" s="5" t="s">
        <v>1440</v>
      </c>
      <c r="I65" s="5" t="s">
        <v>1308</v>
      </c>
      <c r="J65" s="6" t="s">
        <v>777</v>
      </c>
      <c r="K65" s="5" t="s">
        <v>1451</v>
      </c>
    </row>
    <row r="66" customFormat="false" ht="15" hidden="false" customHeight="true" outlineLevel="0" collapsed="false">
      <c r="A66" s="5" t="s">
        <v>1052</v>
      </c>
      <c r="B66" s="5" t="s">
        <v>1437</v>
      </c>
      <c r="C66" s="5" t="s">
        <v>1438</v>
      </c>
      <c r="D66" s="5" t="s">
        <v>1452</v>
      </c>
      <c r="E66" s="5" t="n">
        <v>3</v>
      </c>
      <c r="F66" s="5" t="s">
        <v>1313</v>
      </c>
      <c r="G66" s="5" t="s">
        <v>271</v>
      </c>
      <c r="H66" s="5" t="s">
        <v>1440</v>
      </c>
      <c r="I66" s="5" t="s">
        <v>1308</v>
      </c>
      <c r="J66" s="6" t="s">
        <v>777</v>
      </c>
      <c r="K66" s="5" t="s">
        <v>1453</v>
      </c>
    </row>
    <row r="67" customFormat="false" ht="15" hidden="false" customHeight="true" outlineLevel="0" collapsed="false">
      <c r="A67" s="5" t="s">
        <v>1056</v>
      </c>
      <c r="B67" s="5" t="s">
        <v>1454</v>
      </c>
      <c r="C67" s="5" t="s">
        <v>1455</v>
      </c>
      <c r="D67" s="5" t="s">
        <v>1456</v>
      </c>
      <c r="E67" s="5" t="n">
        <v>3</v>
      </c>
      <c r="F67" s="5" t="s">
        <v>1306</v>
      </c>
      <c r="G67" s="5" t="s">
        <v>271</v>
      </c>
      <c r="H67" s="5" t="s">
        <v>1457</v>
      </c>
      <c r="I67" s="5" t="s">
        <v>1308</v>
      </c>
      <c r="J67" s="6" t="s">
        <v>777</v>
      </c>
      <c r="K67" s="5" t="s">
        <v>1458</v>
      </c>
    </row>
    <row r="68" customFormat="false" ht="15" hidden="false" customHeight="true" outlineLevel="0" collapsed="false">
      <c r="A68" s="5" t="s">
        <v>1100</v>
      </c>
      <c r="B68" s="5" t="s">
        <v>1454</v>
      </c>
      <c r="C68" s="5" t="s">
        <v>1455</v>
      </c>
      <c r="D68" s="5" t="s">
        <v>1459</v>
      </c>
      <c r="E68" s="5" t="n">
        <v>3</v>
      </c>
      <c r="F68" s="5" t="s">
        <v>1306</v>
      </c>
      <c r="G68" s="5" t="s">
        <v>301</v>
      </c>
      <c r="H68" s="5" t="s">
        <v>1457</v>
      </c>
      <c r="I68" s="5" t="s">
        <v>1308</v>
      </c>
      <c r="J68" s="6" t="s">
        <v>777</v>
      </c>
      <c r="K68" s="5" t="s">
        <v>1460</v>
      </c>
    </row>
    <row r="69" customFormat="false" ht="15" hidden="false" customHeight="true" outlineLevel="0" collapsed="false">
      <c r="A69" s="5" t="s">
        <v>1104</v>
      </c>
      <c r="B69" s="5" t="s">
        <v>1454</v>
      </c>
      <c r="C69" s="5" t="s">
        <v>1455</v>
      </c>
      <c r="D69" s="5" t="s">
        <v>1461</v>
      </c>
      <c r="E69" s="5" t="n">
        <v>5</v>
      </c>
      <c r="F69" s="5" t="s">
        <v>1306</v>
      </c>
      <c r="G69" s="5" t="s">
        <v>301</v>
      </c>
      <c r="H69" s="5" t="s">
        <v>1457</v>
      </c>
      <c r="I69" s="5" t="s">
        <v>1308</v>
      </c>
      <c r="J69" s="5" t="s">
        <v>1105</v>
      </c>
      <c r="K69" s="5" t="s">
        <v>1462</v>
      </c>
    </row>
    <row r="70" customFormat="false" ht="15" hidden="false" customHeight="true" outlineLevel="0" collapsed="false">
      <c r="A70" s="5" t="s">
        <v>1109</v>
      </c>
      <c r="B70" s="5" t="s">
        <v>1454</v>
      </c>
      <c r="C70" s="5" t="s">
        <v>1455</v>
      </c>
      <c r="D70" s="5" t="s">
        <v>1463</v>
      </c>
      <c r="E70" s="5" t="n">
        <v>5</v>
      </c>
      <c r="F70" s="5" t="s">
        <v>1313</v>
      </c>
      <c r="G70" s="5" t="s">
        <v>301</v>
      </c>
      <c r="H70" s="5" t="s">
        <v>1457</v>
      </c>
      <c r="I70" s="5" t="s">
        <v>1308</v>
      </c>
      <c r="J70" s="6" t="s">
        <v>777</v>
      </c>
      <c r="K70" s="5" t="s">
        <v>1464</v>
      </c>
    </row>
    <row r="71" customFormat="false" ht="15" hidden="false" customHeight="true" outlineLevel="0" collapsed="false">
      <c r="A71" s="5" t="s">
        <v>1151</v>
      </c>
      <c r="B71" s="5" t="s">
        <v>1454</v>
      </c>
      <c r="C71" s="5" t="s">
        <v>1455</v>
      </c>
      <c r="D71" s="5" t="s">
        <v>1465</v>
      </c>
      <c r="E71" s="5" t="n">
        <v>8</v>
      </c>
      <c r="F71" s="5" t="s">
        <v>1306</v>
      </c>
      <c r="G71" s="5" t="s">
        <v>336</v>
      </c>
      <c r="H71" s="5" t="s">
        <v>1457</v>
      </c>
      <c r="I71" s="5" t="s">
        <v>1308</v>
      </c>
      <c r="J71" s="7" t="s">
        <v>1105</v>
      </c>
      <c r="K71" s="5" t="s">
        <v>1466</v>
      </c>
    </row>
    <row r="72" customFormat="false" ht="15" hidden="false" customHeight="true" outlineLevel="0" collapsed="false">
      <c r="A72" s="5" t="s">
        <v>1156</v>
      </c>
      <c r="B72" s="5" t="s">
        <v>1454</v>
      </c>
      <c r="C72" s="5" t="s">
        <v>1455</v>
      </c>
      <c r="D72" s="5" t="s">
        <v>1155</v>
      </c>
      <c r="E72" s="5" t="n">
        <v>5</v>
      </c>
      <c r="F72" s="5" t="s">
        <v>1306</v>
      </c>
      <c r="G72" s="5" t="s">
        <v>336</v>
      </c>
      <c r="H72" s="5" t="s">
        <v>1457</v>
      </c>
      <c r="I72" s="5" t="s">
        <v>1308</v>
      </c>
      <c r="J72" s="6" t="s">
        <v>777</v>
      </c>
      <c r="K72" s="5" t="s">
        <v>1467</v>
      </c>
    </row>
    <row r="73" customFormat="false" ht="15" hidden="false" customHeight="true" outlineLevel="0" collapsed="false">
      <c r="A73" s="5" t="s">
        <v>1113</v>
      </c>
      <c r="B73" s="5" t="s">
        <v>1454</v>
      </c>
      <c r="C73" s="5" t="s">
        <v>1455</v>
      </c>
      <c r="D73" s="5" t="s">
        <v>1468</v>
      </c>
      <c r="E73" s="5" t="n">
        <v>5</v>
      </c>
      <c r="F73" s="5" t="s">
        <v>1306</v>
      </c>
      <c r="G73" s="5" t="s">
        <v>301</v>
      </c>
      <c r="H73" s="5" t="s">
        <v>1457</v>
      </c>
      <c r="I73" s="5" t="s">
        <v>1308</v>
      </c>
      <c r="J73" s="6" t="s">
        <v>777</v>
      </c>
      <c r="K73" s="5" t="s">
        <v>1469</v>
      </c>
    </row>
    <row r="74" customFormat="false" ht="15" hidden="false" customHeight="true" outlineLevel="0" collapsed="false">
      <c r="A74" s="5" t="s">
        <v>919</v>
      </c>
      <c r="B74" s="5" t="s">
        <v>1470</v>
      </c>
      <c r="C74" s="5" t="s">
        <v>1471</v>
      </c>
      <c r="D74" s="5" t="s">
        <v>1472</v>
      </c>
      <c r="E74" s="5" t="n">
        <v>5</v>
      </c>
      <c r="F74" s="5" t="s">
        <v>1306</v>
      </c>
      <c r="G74" s="5" t="s">
        <v>187</v>
      </c>
      <c r="H74" s="5" t="s">
        <v>1379</v>
      </c>
      <c r="I74" s="5" t="s">
        <v>1308</v>
      </c>
      <c r="J74" s="6" t="s">
        <v>777</v>
      </c>
      <c r="K74" s="5" t="s">
        <v>1473</v>
      </c>
    </row>
    <row r="75" customFormat="false" ht="15" hidden="false" customHeight="true" outlineLevel="0" collapsed="false">
      <c r="A75" s="5" t="s">
        <v>923</v>
      </c>
      <c r="B75" s="5" t="s">
        <v>1470</v>
      </c>
      <c r="C75" s="5" t="s">
        <v>1471</v>
      </c>
      <c r="D75" s="5" t="s">
        <v>1474</v>
      </c>
      <c r="E75" s="5" t="n">
        <v>3</v>
      </c>
      <c r="F75" s="5" t="s">
        <v>1306</v>
      </c>
      <c r="G75" s="5" t="s">
        <v>187</v>
      </c>
      <c r="H75" s="5" t="s">
        <v>1379</v>
      </c>
      <c r="I75" s="5" t="s">
        <v>1308</v>
      </c>
      <c r="J75" s="6" t="s">
        <v>777</v>
      </c>
      <c r="K75" s="5" t="s">
        <v>1475</v>
      </c>
    </row>
    <row r="76" customFormat="false" ht="15" hidden="false" customHeight="true" outlineLevel="0" collapsed="false">
      <c r="A76" s="5" t="s">
        <v>1117</v>
      </c>
      <c r="B76" s="5" t="s">
        <v>1470</v>
      </c>
      <c r="C76" s="5" t="s">
        <v>1471</v>
      </c>
      <c r="D76" s="5" t="s">
        <v>1476</v>
      </c>
      <c r="E76" s="5" t="n">
        <v>3</v>
      </c>
      <c r="F76" s="5" t="s">
        <v>1324</v>
      </c>
      <c r="G76" s="5" t="s">
        <v>301</v>
      </c>
      <c r="H76" s="5" t="s">
        <v>1379</v>
      </c>
      <c r="I76" s="5" t="s">
        <v>1308</v>
      </c>
      <c r="J76" s="6" t="s">
        <v>777</v>
      </c>
      <c r="K76" s="5" t="s">
        <v>1477</v>
      </c>
    </row>
    <row r="77" customFormat="false" ht="15" hidden="false" customHeight="true" outlineLevel="0" collapsed="false">
      <c r="A77" s="5" t="s">
        <v>1121</v>
      </c>
      <c r="B77" s="5" t="s">
        <v>1470</v>
      </c>
      <c r="C77" s="5" t="s">
        <v>1471</v>
      </c>
      <c r="D77" s="5" t="s">
        <v>1478</v>
      </c>
      <c r="E77" s="5" t="n">
        <v>2</v>
      </c>
      <c r="F77" s="5" t="s">
        <v>1324</v>
      </c>
      <c r="G77" s="5" t="s">
        <v>301</v>
      </c>
      <c r="H77" s="5" t="s">
        <v>1379</v>
      </c>
      <c r="I77" s="5" t="s">
        <v>1308</v>
      </c>
      <c r="J77" s="6" t="s">
        <v>777</v>
      </c>
      <c r="K77" s="5" t="s">
        <v>1479</v>
      </c>
    </row>
    <row r="78" customFormat="false" ht="15" hidden="false" customHeight="true" outlineLevel="0" collapsed="false">
      <c r="A78" s="5" t="s">
        <v>1125</v>
      </c>
      <c r="B78" s="5" t="s">
        <v>1470</v>
      </c>
      <c r="C78" s="5" t="s">
        <v>1471</v>
      </c>
      <c r="D78" s="5" t="s">
        <v>1480</v>
      </c>
      <c r="E78" s="5" t="n">
        <v>5</v>
      </c>
      <c r="F78" s="5" t="s">
        <v>1313</v>
      </c>
      <c r="G78" s="5" t="s">
        <v>301</v>
      </c>
      <c r="H78" s="5" t="s">
        <v>1379</v>
      </c>
      <c r="I78" s="5" t="s">
        <v>1308</v>
      </c>
      <c r="J78" s="6" t="s">
        <v>777</v>
      </c>
      <c r="K78" s="5" t="s">
        <v>1481</v>
      </c>
    </row>
    <row r="79" customFormat="false" ht="15" hidden="false" customHeight="true" outlineLevel="0" collapsed="false">
      <c r="A79" s="5" t="s">
        <v>1129</v>
      </c>
      <c r="B79" s="5" t="s">
        <v>1470</v>
      </c>
      <c r="C79" s="5" t="s">
        <v>1471</v>
      </c>
      <c r="D79" s="5" t="s">
        <v>1482</v>
      </c>
      <c r="E79" s="5" t="n">
        <v>3</v>
      </c>
      <c r="F79" s="5" t="s">
        <v>1324</v>
      </c>
      <c r="G79" s="5" t="s">
        <v>301</v>
      </c>
      <c r="H79" s="5" t="s">
        <v>1379</v>
      </c>
      <c r="I79" s="5" t="s">
        <v>1308</v>
      </c>
      <c r="J79" s="6" t="s">
        <v>777</v>
      </c>
      <c r="K79" s="5" t="s">
        <v>1483</v>
      </c>
    </row>
    <row r="80" customFormat="false" ht="15" hidden="false" customHeight="true" outlineLevel="0" collapsed="false">
      <c r="A80" s="5" t="s">
        <v>1133</v>
      </c>
      <c r="B80" s="5" t="s">
        <v>1470</v>
      </c>
      <c r="C80" s="5" t="s">
        <v>1471</v>
      </c>
      <c r="D80" s="5" t="s">
        <v>1484</v>
      </c>
      <c r="E80" s="5" t="n">
        <v>3</v>
      </c>
      <c r="F80" s="5" t="s">
        <v>1324</v>
      </c>
      <c r="G80" s="5" t="s">
        <v>301</v>
      </c>
      <c r="H80" s="5" t="s">
        <v>1379</v>
      </c>
      <c r="I80" s="5" t="s">
        <v>1308</v>
      </c>
      <c r="J80" s="6" t="s">
        <v>777</v>
      </c>
      <c r="K80" s="5" t="s">
        <v>1485</v>
      </c>
    </row>
    <row r="81" customFormat="false" ht="15" hidden="false" customHeight="true" outlineLevel="0" collapsed="false">
      <c r="A81" s="5" t="s">
        <v>977</v>
      </c>
      <c r="B81" s="5" t="s">
        <v>1486</v>
      </c>
      <c r="C81" s="5" t="s">
        <v>1487</v>
      </c>
      <c r="D81" s="5" t="s">
        <v>1488</v>
      </c>
      <c r="E81" s="5" t="n">
        <v>5</v>
      </c>
      <c r="F81" s="5" t="s">
        <v>1306</v>
      </c>
      <c r="G81" s="5" t="s">
        <v>213</v>
      </c>
      <c r="H81" s="5" t="s">
        <v>1489</v>
      </c>
      <c r="I81" s="5" t="s">
        <v>1308</v>
      </c>
      <c r="J81" s="6" t="s">
        <v>777</v>
      </c>
      <c r="K81" s="5" t="s">
        <v>1490</v>
      </c>
    </row>
    <row r="82" customFormat="false" ht="15" hidden="false" customHeight="true" outlineLevel="0" collapsed="false">
      <c r="A82" s="5" t="s">
        <v>981</v>
      </c>
      <c r="B82" s="5" t="s">
        <v>1486</v>
      </c>
      <c r="C82" s="5" t="s">
        <v>1487</v>
      </c>
      <c r="D82" s="5" t="s">
        <v>1491</v>
      </c>
      <c r="E82" s="5" t="n">
        <v>3</v>
      </c>
      <c r="F82" s="5" t="s">
        <v>1313</v>
      </c>
      <c r="G82" s="5" t="s">
        <v>213</v>
      </c>
      <c r="H82" s="5" t="s">
        <v>1489</v>
      </c>
      <c r="I82" s="5" t="s">
        <v>1308</v>
      </c>
      <c r="J82" s="6" t="s">
        <v>777</v>
      </c>
      <c r="K82" s="5" t="s">
        <v>1492</v>
      </c>
    </row>
    <row r="83" customFormat="false" ht="15" hidden="false" customHeight="true" outlineLevel="0" collapsed="false">
      <c r="A83" s="5" t="s">
        <v>1182</v>
      </c>
      <c r="B83" s="5" t="s">
        <v>1486</v>
      </c>
      <c r="C83" s="5" t="s">
        <v>1487</v>
      </c>
      <c r="D83" s="5" t="s">
        <v>1493</v>
      </c>
      <c r="E83" s="5" t="n">
        <v>5</v>
      </c>
      <c r="F83" s="5" t="s">
        <v>1313</v>
      </c>
      <c r="G83" s="5" t="s">
        <v>372</v>
      </c>
      <c r="H83" s="5" t="s">
        <v>1489</v>
      </c>
      <c r="I83" s="5" t="s">
        <v>1308</v>
      </c>
      <c r="J83" s="6" t="s">
        <v>777</v>
      </c>
      <c r="K83" s="5" t="s">
        <v>1494</v>
      </c>
    </row>
    <row r="84" customFormat="false" ht="15" hidden="false" customHeight="true" outlineLevel="0" collapsed="false">
      <c r="A84" s="5" t="s">
        <v>1186</v>
      </c>
      <c r="B84" s="5" t="s">
        <v>1486</v>
      </c>
      <c r="C84" s="5" t="s">
        <v>1487</v>
      </c>
      <c r="D84" s="5" t="s">
        <v>1495</v>
      </c>
      <c r="E84" s="5" t="n">
        <v>3</v>
      </c>
      <c r="F84" s="5" t="s">
        <v>1306</v>
      </c>
      <c r="G84" s="5" t="s">
        <v>372</v>
      </c>
      <c r="H84" s="5" t="s">
        <v>1489</v>
      </c>
      <c r="I84" s="5" t="s">
        <v>1308</v>
      </c>
      <c r="J84" s="6" t="s">
        <v>777</v>
      </c>
      <c r="K84" s="5" t="s">
        <v>1496</v>
      </c>
    </row>
    <row r="85" customFormat="false" ht="15" hidden="false" customHeight="true" outlineLevel="0" collapsed="false">
      <c r="A85" s="5" t="s">
        <v>1212</v>
      </c>
      <c r="B85" s="5" t="s">
        <v>1486</v>
      </c>
      <c r="C85" s="5" t="s">
        <v>1487</v>
      </c>
      <c r="D85" s="5" t="s">
        <v>1497</v>
      </c>
      <c r="E85" s="5" t="n">
        <v>3</v>
      </c>
      <c r="F85" s="5" t="s">
        <v>1313</v>
      </c>
      <c r="G85" s="5" t="s">
        <v>406</v>
      </c>
      <c r="H85" s="5" t="s">
        <v>1489</v>
      </c>
      <c r="I85" s="5" t="s">
        <v>1308</v>
      </c>
      <c r="J85" s="6" t="s">
        <v>777</v>
      </c>
      <c r="K85" s="5" t="s">
        <v>1498</v>
      </c>
    </row>
    <row r="86" customFormat="false" ht="15" hidden="false" customHeight="true" outlineLevel="0" collapsed="false">
      <c r="A86" s="5" t="s">
        <v>1190</v>
      </c>
      <c r="B86" s="5" t="s">
        <v>1486</v>
      </c>
      <c r="C86" s="5" t="s">
        <v>1487</v>
      </c>
      <c r="D86" s="5" t="s">
        <v>1499</v>
      </c>
      <c r="E86" s="5" t="n">
        <v>5</v>
      </c>
      <c r="F86" s="5" t="s">
        <v>1313</v>
      </c>
      <c r="G86" s="5" t="s">
        <v>372</v>
      </c>
      <c r="H86" s="5" t="s">
        <v>1489</v>
      </c>
      <c r="I86" s="5" t="s">
        <v>1308</v>
      </c>
      <c r="J86" s="6" t="s">
        <v>777</v>
      </c>
      <c r="K86" s="5" t="s">
        <v>1500</v>
      </c>
    </row>
    <row r="87" customFormat="false" ht="15" hidden="false" customHeight="true" outlineLevel="0" collapsed="false">
      <c r="A87" s="5" t="s">
        <v>1194</v>
      </c>
      <c r="B87" s="5" t="s">
        <v>1486</v>
      </c>
      <c r="C87" s="5" t="s">
        <v>1487</v>
      </c>
      <c r="D87" s="5" t="s">
        <v>1193</v>
      </c>
      <c r="E87" s="5" t="n">
        <v>2</v>
      </c>
      <c r="F87" s="5" t="s">
        <v>1324</v>
      </c>
      <c r="G87" s="5" t="s">
        <v>372</v>
      </c>
      <c r="H87" s="5" t="s">
        <v>1489</v>
      </c>
      <c r="I87" s="5" t="s">
        <v>1308</v>
      </c>
      <c r="J87" s="6" t="s">
        <v>777</v>
      </c>
      <c r="K87" s="5" t="s">
        <v>1501</v>
      </c>
    </row>
    <row r="88" customFormat="false" ht="23.25" hidden="false" customHeight="true" outlineLevel="0" collapsed="false">
      <c r="A88" s="5" t="s">
        <v>885</v>
      </c>
      <c r="B88" s="5" t="s">
        <v>1502</v>
      </c>
      <c r="C88" s="5" t="s">
        <v>1503</v>
      </c>
      <c r="D88" s="5" t="s">
        <v>1504</v>
      </c>
      <c r="E88" s="5" t="n">
        <v>5</v>
      </c>
      <c r="F88" s="5" t="s">
        <v>1306</v>
      </c>
      <c r="G88" s="5" t="s">
        <v>160</v>
      </c>
      <c r="H88" s="5" t="s">
        <v>1505</v>
      </c>
      <c r="I88" s="5" t="s">
        <v>1308</v>
      </c>
      <c r="J88" s="6" t="s">
        <v>777</v>
      </c>
      <c r="K88" s="5" t="s">
        <v>1506</v>
      </c>
    </row>
    <row r="89" customFormat="false" ht="15" hidden="false" customHeight="true" outlineLevel="0" collapsed="false">
      <c r="A89" s="5" t="s">
        <v>927</v>
      </c>
      <c r="B89" s="5" t="s">
        <v>1502</v>
      </c>
      <c r="C89" s="5" t="s">
        <v>1503</v>
      </c>
      <c r="D89" s="5" t="s">
        <v>1507</v>
      </c>
      <c r="E89" s="5" t="n">
        <v>5</v>
      </c>
      <c r="F89" s="5" t="s">
        <v>1306</v>
      </c>
      <c r="G89" s="5" t="s">
        <v>187</v>
      </c>
      <c r="H89" s="5" t="s">
        <v>1505</v>
      </c>
      <c r="I89" s="5" t="s">
        <v>1508</v>
      </c>
      <c r="J89" s="6" t="s">
        <v>777</v>
      </c>
      <c r="K89" s="5" t="s">
        <v>1509</v>
      </c>
    </row>
    <row r="90" customFormat="false" ht="15" hidden="false" customHeight="true" outlineLevel="0" collapsed="false">
      <c r="A90" s="5" t="s">
        <v>1137</v>
      </c>
      <c r="B90" s="5" t="s">
        <v>1502</v>
      </c>
      <c r="C90" s="5" t="s">
        <v>1503</v>
      </c>
      <c r="D90" s="5" t="s">
        <v>1510</v>
      </c>
      <c r="E90" s="5" t="n">
        <v>3</v>
      </c>
      <c r="F90" s="5" t="s">
        <v>1306</v>
      </c>
      <c r="G90" s="5" t="s">
        <v>301</v>
      </c>
      <c r="H90" s="5" t="s">
        <v>1505</v>
      </c>
      <c r="I90" s="5" t="s">
        <v>1308</v>
      </c>
      <c r="J90" s="6" t="s">
        <v>777</v>
      </c>
      <c r="K90" s="5" t="s">
        <v>1511</v>
      </c>
    </row>
    <row r="91" customFormat="false" ht="15" hidden="false" customHeight="true" outlineLevel="0" collapsed="false">
      <c r="A91" s="5" t="s">
        <v>1141</v>
      </c>
      <c r="B91" s="5" t="s">
        <v>1502</v>
      </c>
      <c r="C91" s="5" t="s">
        <v>1503</v>
      </c>
      <c r="D91" s="5" t="s">
        <v>1512</v>
      </c>
      <c r="E91" s="5" t="n">
        <v>5</v>
      </c>
      <c r="F91" s="5" t="s">
        <v>1313</v>
      </c>
      <c r="G91" s="5" t="s">
        <v>301</v>
      </c>
      <c r="H91" s="5" t="s">
        <v>1505</v>
      </c>
      <c r="I91" s="5" t="s">
        <v>1308</v>
      </c>
      <c r="J91" s="6" t="s">
        <v>777</v>
      </c>
      <c r="K91" s="5" t="s">
        <v>1513</v>
      </c>
    </row>
    <row r="92" customFormat="false" ht="15" hidden="false" customHeight="true" outlineLevel="0" collapsed="false">
      <c r="A92" s="5" t="s">
        <v>1160</v>
      </c>
      <c r="B92" s="5" t="s">
        <v>1502</v>
      </c>
      <c r="C92" s="5" t="s">
        <v>1503</v>
      </c>
      <c r="D92" s="5" t="s">
        <v>1514</v>
      </c>
      <c r="E92" s="5" t="n">
        <v>3</v>
      </c>
      <c r="F92" s="5" t="s">
        <v>1313</v>
      </c>
      <c r="G92" s="5" t="s">
        <v>336</v>
      </c>
      <c r="H92" s="5" t="s">
        <v>1505</v>
      </c>
      <c r="I92" s="5" t="s">
        <v>1308</v>
      </c>
      <c r="J92" s="6" t="s">
        <v>777</v>
      </c>
      <c r="K92" s="5" t="s">
        <v>1515</v>
      </c>
    </row>
    <row r="93" customFormat="false" ht="15" hidden="false" customHeight="true" outlineLevel="0" collapsed="false">
      <c r="A93" s="5" t="s">
        <v>1164</v>
      </c>
      <c r="B93" s="5" t="s">
        <v>1502</v>
      </c>
      <c r="C93" s="5" t="s">
        <v>1503</v>
      </c>
      <c r="D93" s="5" t="s">
        <v>1163</v>
      </c>
      <c r="E93" s="5" t="n">
        <v>3</v>
      </c>
      <c r="F93" s="5" t="s">
        <v>1313</v>
      </c>
      <c r="G93" s="5" t="s">
        <v>336</v>
      </c>
      <c r="H93" s="5" t="s">
        <v>1505</v>
      </c>
      <c r="I93" s="5" t="s">
        <v>1308</v>
      </c>
      <c r="J93" s="6" t="s">
        <v>777</v>
      </c>
      <c r="K93" s="5" t="s">
        <v>1516</v>
      </c>
    </row>
    <row r="94" customFormat="false" ht="15" hidden="false" customHeight="true" outlineLevel="0" collapsed="false">
      <c r="A94" s="5" t="s">
        <v>1168</v>
      </c>
      <c r="B94" s="5" t="s">
        <v>1502</v>
      </c>
      <c r="C94" s="5" t="s">
        <v>1503</v>
      </c>
      <c r="D94" s="5" t="s">
        <v>1517</v>
      </c>
      <c r="E94" s="5" t="n">
        <v>3</v>
      </c>
      <c r="F94" s="5" t="s">
        <v>1324</v>
      </c>
      <c r="G94" s="5" t="s">
        <v>336</v>
      </c>
      <c r="H94" s="5" t="s">
        <v>1505</v>
      </c>
      <c r="I94" s="5" t="s">
        <v>1308</v>
      </c>
      <c r="J94" s="6" t="s">
        <v>777</v>
      </c>
      <c r="K94" s="5" t="s">
        <v>1518</v>
      </c>
    </row>
    <row r="95" customFormat="false" ht="15" hidden="false" customHeight="true" outlineLevel="0" collapsed="false">
      <c r="A95" s="5" t="s">
        <v>1145</v>
      </c>
      <c r="B95" s="5" t="s">
        <v>1502</v>
      </c>
      <c r="C95" s="5" t="s">
        <v>1503</v>
      </c>
      <c r="D95" s="5" t="s">
        <v>1519</v>
      </c>
      <c r="E95" s="5" t="n">
        <v>3</v>
      </c>
      <c r="F95" s="5" t="s">
        <v>1324</v>
      </c>
      <c r="G95" s="5" t="s">
        <v>301</v>
      </c>
      <c r="H95" s="5" t="s">
        <v>1505</v>
      </c>
      <c r="I95" s="5" t="s">
        <v>1308</v>
      </c>
      <c r="J95" s="6" t="s">
        <v>777</v>
      </c>
      <c r="K95" s="5" t="s">
        <v>1520</v>
      </c>
    </row>
    <row r="96" customFormat="false" ht="15" hidden="false" customHeight="true" outlineLevel="0" collapsed="false">
      <c r="A96" s="5" t="s">
        <v>1172</v>
      </c>
      <c r="B96" s="5" t="s">
        <v>1521</v>
      </c>
      <c r="C96" s="5" t="s">
        <v>1522</v>
      </c>
      <c r="D96" s="5" t="s">
        <v>1523</v>
      </c>
      <c r="E96" s="5" t="n">
        <v>3</v>
      </c>
      <c r="F96" s="5" t="s">
        <v>1306</v>
      </c>
      <c r="G96" s="5" t="s">
        <v>336</v>
      </c>
      <c r="H96" s="5" t="s">
        <v>1524</v>
      </c>
      <c r="I96" s="5" t="s">
        <v>1308</v>
      </c>
      <c r="J96" s="6" t="s">
        <v>777</v>
      </c>
      <c r="K96" s="5" t="s">
        <v>1525</v>
      </c>
    </row>
    <row r="97" customFormat="false" ht="15" hidden="false" customHeight="true" outlineLevel="0" collapsed="false">
      <c r="A97" s="5" t="s">
        <v>1176</v>
      </c>
      <c r="B97" s="5" t="s">
        <v>1521</v>
      </c>
      <c r="C97" s="5" t="s">
        <v>1522</v>
      </c>
      <c r="D97" s="5" t="s">
        <v>1526</v>
      </c>
      <c r="E97" s="5" t="n">
        <v>5</v>
      </c>
      <c r="F97" s="5" t="s">
        <v>1306</v>
      </c>
      <c r="G97" s="5" t="s">
        <v>336</v>
      </c>
      <c r="H97" s="5" t="s">
        <v>1524</v>
      </c>
      <c r="I97" s="5" t="s">
        <v>1308</v>
      </c>
      <c r="J97" s="7" t="s">
        <v>1105</v>
      </c>
      <c r="K97" s="5" t="s">
        <v>1527</v>
      </c>
    </row>
    <row r="98" customFormat="false" ht="15" hidden="false" customHeight="true" outlineLevel="0" collapsed="false">
      <c r="A98" s="5" t="s">
        <v>1198</v>
      </c>
      <c r="B98" s="5" t="s">
        <v>1521</v>
      </c>
      <c r="C98" s="5" t="s">
        <v>1522</v>
      </c>
      <c r="D98" s="5" t="s">
        <v>1528</v>
      </c>
      <c r="E98" s="5" t="n">
        <v>3</v>
      </c>
      <c r="F98" s="5" t="s">
        <v>1306</v>
      </c>
      <c r="G98" s="5" t="s">
        <v>372</v>
      </c>
      <c r="H98" s="5" t="s">
        <v>1524</v>
      </c>
      <c r="I98" s="5" t="s">
        <v>1308</v>
      </c>
      <c r="J98" s="6" t="s">
        <v>777</v>
      </c>
      <c r="K98" s="5" t="s">
        <v>1529</v>
      </c>
    </row>
    <row r="99" customFormat="false" ht="15" hidden="false" customHeight="true" outlineLevel="0" collapsed="false">
      <c r="A99" s="5" t="s">
        <v>1202</v>
      </c>
      <c r="B99" s="5" t="s">
        <v>1521</v>
      </c>
      <c r="C99" s="5" t="s">
        <v>1522</v>
      </c>
      <c r="D99" s="5" t="s">
        <v>1530</v>
      </c>
      <c r="E99" s="5" t="n">
        <v>3</v>
      </c>
      <c r="F99" s="5" t="s">
        <v>1306</v>
      </c>
      <c r="G99" s="5" t="s">
        <v>372</v>
      </c>
      <c r="H99" s="5" t="s">
        <v>1524</v>
      </c>
      <c r="I99" s="5" t="s">
        <v>1308</v>
      </c>
      <c r="J99" s="6" t="s">
        <v>777</v>
      </c>
      <c r="K99" s="5" t="s">
        <v>1531</v>
      </c>
    </row>
    <row r="100" customFormat="false" ht="15" hidden="false" customHeight="true" outlineLevel="0" collapsed="false">
      <c r="A100" s="5" t="s">
        <v>1206</v>
      </c>
      <c r="B100" s="5" t="s">
        <v>1521</v>
      </c>
      <c r="C100" s="5" t="s">
        <v>1522</v>
      </c>
      <c r="D100" s="5" t="s">
        <v>1532</v>
      </c>
      <c r="E100" s="5" t="n">
        <v>3</v>
      </c>
      <c r="F100" s="5" t="s">
        <v>1306</v>
      </c>
      <c r="G100" s="5" t="s">
        <v>372</v>
      </c>
      <c r="H100" s="5" t="s">
        <v>1524</v>
      </c>
      <c r="I100" s="5" t="s">
        <v>1308</v>
      </c>
      <c r="J100" s="6" t="s">
        <v>777</v>
      </c>
      <c r="K100" s="5" t="s">
        <v>1533</v>
      </c>
    </row>
    <row r="101" customFormat="false" ht="15" hidden="false" customHeight="true" outlineLevel="0" collapsed="false">
      <c r="A101" s="5" t="s">
        <v>1216</v>
      </c>
      <c r="B101" s="5" t="s">
        <v>1521</v>
      </c>
      <c r="C101" s="5" t="s">
        <v>1522</v>
      </c>
      <c r="D101" s="5" t="s">
        <v>1534</v>
      </c>
      <c r="E101" s="5" t="n">
        <v>3</v>
      </c>
      <c r="F101" s="5" t="s">
        <v>1313</v>
      </c>
      <c r="G101" s="5" t="s">
        <v>406</v>
      </c>
      <c r="H101" s="5" t="s">
        <v>1524</v>
      </c>
      <c r="I101" s="5" t="s">
        <v>1308</v>
      </c>
      <c r="J101" s="6" t="s">
        <v>777</v>
      </c>
      <c r="K101" s="5" t="s">
        <v>1535</v>
      </c>
    </row>
    <row r="102" customFormat="false" ht="15" hidden="false" customHeight="true" outlineLevel="0" collapsed="false">
      <c r="A102" s="5" t="s">
        <v>1226</v>
      </c>
      <c r="B102" s="5" t="s">
        <v>1521</v>
      </c>
      <c r="C102" s="5" t="s">
        <v>1522</v>
      </c>
      <c r="D102" s="5" t="s">
        <v>1536</v>
      </c>
      <c r="E102" s="5" t="n">
        <v>2</v>
      </c>
      <c r="F102" s="5" t="s">
        <v>1324</v>
      </c>
      <c r="G102" s="5" t="s">
        <v>432</v>
      </c>
      <c r="H102" s="5" t="s">
        <v>1524</v>
      </c>
      <c r="I102" s="5" t="s">
        <v>1308</v>
      </c>
      <c r="J102" s="6" t="s">
        <v>777</v>
      </c>
      <c r="K102" s="5" t="s">
        <v>1537</v>
      </c>
    </row>
    <row r="103" customFormat="false" ht="15" hidden="false" customHeight="true" outlineLevel="0" collapsed="false">
      <c r="A103" s="5" t="s">
        <v>1220</v>
      </c>
      <c r="B103" s="5" t="s">
        <v>1521</v>
      </c>
      <c r="C103" s="5" t="s">
        <v>1522</v>
      </c>
      <c r="D103" s="5" t="s">
        <v>1219</v>
      </c>
      <c r="E103" s="5" t="n">
        <v>2</v>
      </c>
      <c r="F103" s="5" t="s">
        <v>1313</v>
      </c>
      <c r="G103" s="5" t="s">
        <v>406</v>
      </c>
      <c r="H103" s="5" t="s">
        <v>1524</v>
      </c>
      <c r="I103" s="5" t="s">
        <v>1308</v>
      </c>
      <c r="J103" s="6" t="s">
        <v>777</v>
      </c>
      <c r="K103" s="5" t="s">
        <v>1538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4" min="3" style="1" width="9"/>
    <col collapsed="false" customWidth="true" hidden="false" outlineLevel="0" max="5" min="5" style="1" width="7"/>
    <col collapsed="false" customWidth="true" hidden="false" outlineLevel="0" max="6" min="6" style="1" width="12"/>
    <col collapsed="false" customWidth="true" hidden="false" outlineLevel="0" max="7" min="7" style="1" width="13"/>
    <col collapsed="false" customWidth="true" hidden="false" outlineLevel="0" max="8" min="8" style="1" width="46"/>
    <col collapsed="false" customWidth="true" hidden="false" outlineLevel="0" max="9" min="9" style="1" width="52"/>
  </cols>
  <sheetData>
    <row r="1" customFormat="false" ht="17.25" hidden="false" customHeight="true" outlineLevel="0" collapsed="false">
      <c r="A1" s="2" t="s">
        <v>1539</v>
      </c>
    </row>
    <row r="2" customFormat="false" ht="15" hidden="false" customHeight="true" outlineLevel="0" collapsed="false">
      <c r="A2" s="3" t="s">
        <v>1540</v>
      </c>
    </row>
    <row r="3" customFormat="false" ht="15" hidden="false" customHeight="true" outlineLevel="0" collapsed="false">
      <c r="A3" s="4" t="s">
        <v>115</v>
      </c>
      <c r="B3" s="4" t="s">
        <v>1541</v>
      </c>
      <c r="C3" s="4" t="s">
        <v>1542</v>
      </c>
      <c r="D3" s="4" t="s">
        <v>772</v>
      </c>
      <c r="E3" s="4" t="s">
        <v>777</v>
      </c>
      <c r="F3" s="4" t="s">
        <v>1543</v>
      </c>
      <c r="G3" s="4" t="s">
        <v>1544</v>
      </c>
      <c r="H3" s="4" t="s">
        <v>1545</v>
      </c>
      <c r="I3" s="4" t="s">
        <v>1546</v>
      </c>
    </row>
    <row r="4" customFormat="false" ht="15" hidden="false" customHeight="true" outlineLevel="0" collapsed="false">
      <c r="A4" s="5" t="s">
        <v>128</v>
      </c>
      <c r="B4" s="5" t="s">
        <v>1547</v>
      </c>
      <c r="C4" s="5" t="n">
        <f aca="false">COUNTIF(Traceability_Matrix!$G$4:$G$103,"S1")</f>
        <v>4</v>
      </c>
      <c r="D4" s="5" t="n">
        <f aca="false">SUMIF(Traceability_Matrix!$G$4:$G$103,"S1",Traceability_Matrix!$E$4:$E$103)</f>
        <v>13</v>
      </c>
      <c r="E4" s="5" t="n">
        <f aca="false">COUNTIFS(Traceability_Matrix!$G$4:$G$103,"S1",Traceability_Matrix!$J$4:$J$103,"Done")</f>
        <v>4</v>
      </c>
      <c r="F4" s="5" t="n">
        <f aca="false">SUMIFS(Traceability_Matrix!$E$4:$E$103,Traceability_Matrix!$G$4:$G$103,"S1",Traceability_Matrix!$J$4:$J$103,"Done")</f>
        <v>13</v>
      </c>
      <c r="G4" s="8" t="n">
        <f aca="false">IFERROR(SUMIFS(Traceability_Matrix!$E$4:$E$103,Traceability_Matrix!$G$4:$G$103,"S1",Traceability_Matrix!$J$4:$J$103,"Done")/SUMIF(Traceability_Matrix!$G$4:$G$103,"S1",Traceability_Matrix!$E$4:$E$103),0)</f>
        <v>1</v>
      </c>
      <c r="H4" s="5" t="s">
        <v>1548</v>
      </c>
      <c r="I4" s="5" t="s">
        <v>1549</v>
      </c>
    </row>
    <row r="5" customFormat="false" ht="23.25" hidden="false" customHeight="true" outlineLevel="0" collapsed="false">
      <c r="A5" s="5" t="s">
        <v>143</v>
      </c>
      <c r="B5" s="5" t="s">
        <v>1550</v>
      </c>
      <c r="C5" s="5" t="n">
        <f aca="false">COUNTIF(Traceability_Matrix!$G$4:$G$103,"S2")</f>
        <v>6</v>
      </c>
      <c r="D5" s="5" t="n">
        <f aca="false">SUMIF(Traceability_Matrix!$G$4:$G$103,"S2",Traceability_Matrix!$E$4:$E$103)</f>
        <v>29</v>
      </c>
      <c r="E5" s="5" t="n">
        <f aca="false">COUNTIFS(Traceability_Matrix!$G$4:$G$103,"S2",Traceability_Matrix!$J$4:$J$103,"Done")</f>
        <v>6</v>
      </c>
      <c r="F5" s="5" t="n">
        <f aca="false">SUMIFS(Traceability_Matrix!$E$4:$E$103,Traceability_Matrix!$G$4:$G$103,"S2",Traceability_Matrix!$J$4:$J$103,"Done")</f>
        <v>29</v>
      </c>
      <c r="G5" s="8" t="n">
        <f aca="false">IFERROR(SUMIFS(Traceability_Matrix!$E$4:$E$103,Traceability_Matrix!$G$4:$G$103,"S2",Traceability_Matrix!$J$4:$J$103,"Done")/SUMIF(Traceability_Matrix!$G$4:$G$103,"S2",Traceability_Matrix!$E$4:$E$103),0)</f>
        <v>1</v>
      </c>
      <c r="H5" s="5" t="s">
        <v>1551</v>
      </c>
      <c r="I5" s="5" t="s">
        <v>1552</v>
      </c>
    </row>
    <row r="6" customFormat="false" ht="23.25" hidden="false" customHeight="true" outlineLevel="0" collapsed="false">
      <c r="A6" s="5" t="s">
        <v>160</v>
      </c>
      <c r="B6" s="5" t="s">
        <v>1553</v>
      </c>
      <c r="C6" s="5" t="n">
        <f aca="false">COUNTIF(Traceability_Matrix!$G$4:$G$103,"S3")</f>
        <v>11</v>
      </c>
      <c r="D6" s="5" t="n">
        <f aca="false">SUMIF(Traceability_Matrix!$G$4:$G$103,"S3",Traceability_Matrix!$E$4:$E$103)</f>
        <v>47</v>
      </c>
      <c r="E6" s="5" t="n">
        <f aca="false">COUNTIFS(Traceability_Matrix!$G$4:$G$103,"S3",Traceability_Matrix!$J$4:$J$103,"Done")</f>
        <v>11</v>
      </c>
      <c r="F6" s="5" t="n">
        <f aca="false">SUMIFS(Traceability_Matrix!$E$4:$E$103,Traceability_Matrix!$G$4:$G$103,"S3",Traceability_Matrix!$J$4:$J$103,"Done")</f>
        <v>47</v>
      </c>
      <c r="G6" s="8" t="n">
        <f aca="false">IFERROR(SUMIFS(Traceability_Matrix!$E$4:$E$103,Traceability_Matrix!$G$4:$G$103,"S3",Traceability_Matrix!$J$4:$J$103,"Done")/SUMIF(Traceability_Matrix!$G$4:$G$103,"S3",Traceability_Matrix!$E$4:$E$103),0)</f>
        <v>1</v>
      </c>
      <c r="H6" s="5" t="s">
        <v>1554</v>
      </c>
      <c r="I6" s="5" t="s">
        <v>1555</v>
      </c>
    </row>
    <row r="7" customFormat="false" ht="15" hidden="false" customHeight="true" outlineLevel="0" collapsed="false">
      <c r="A7" s="5" t="s">
        <v>187</v>
      </c>
      <c r="B7" s="5" t="s">
        <v>1556</v>
      </c>
      <c r="C7" s="5" t="n">
        <f aca="false">COUNTIF(Traceability_Matrix!$G$4:$G$103,"S4")</f>
        <v>9</v>
      </c>
      <c r="D7" s="5" t="n">
        <f aca="false">SUMIF(Traceability_Matrix!$G$4:$G$103,"S4",Traceability_Matrix!$E$4:$E$103)</f>
        <v>34</v>
      </c>
      <c r="E7" s="5" t="n">
        <f aca="false">COUNTIFS(Traceability_Matrix!$G$4:$G$103,"S4",Traceability_Matrix!$J$4:$J$103,"Done")</f>
        <v>9</v>
      </c>
      <c r="F7" s="5" t="n">
        <f aca="false">SUMIFS(Traceability_Matrix!$E$4:$E$103,Traceability_Matrix!$G$4:$G$103,"S4",Traceability_Matrix!$J$4:$J$103,"Done")</f>
        <v>34</v>
      </c>
      <c r="G7" s="8" t="n">
        <f aca="false">IFERROR(SUMIFS(Traceability_Matrix!$E$4:$E$103,Traceability_Matrix!$G$4:$G$103,"S4",Traceability_Matrix!$J$4:$J$103,"Done")/SUMIF(Traceability_Matrix!$G$4:$G$103,"S4",Traceability_Matrix!$E$4:$E$103),0)</f>
        <v>1</v>
      </c>
      <c r="H7" s="5" t="s">
        <v>1557</v>
      </c>
      <c r="I7" s="5" t="s">
        <v>1558</v>
      </c>
    </row>
    <row r="8" customFormat="false" ht="15" hidden="false" customHeight="true" outlineLevel="0" collapsed="false">
      <c r="A8" s="5" t="s">
        <v>213</v>
      </c>
      <c r="B8" s="5" t="s">
        <v>1559</v>
      </c>
      <c r="C8" s="5" t="n">
        <f aca="false">COUNTIF(Traceability_Matrix!$G$4:$G$103,"S5")</f>
        <v>12</v>
      </c>
      <c r="D8" s="5" t="n">
        <f aca="false">SUMIF(Traceability_Matrix!$G$4:$G$103,"S5",Traceability_Matrix!$E$4:$E$103)</f>
        <v>50</v>
      </c>
      <c r="E8" s="5" t="n">
        <f aca="false">COUNTIFS(Traceability_Matrix!$G$4:$G$103,"S5",Traceability_Matrix!$J$4:$J$103,"Done")</f>
        <v>12</v>
      </c>
      <c r="F8" s="5" t="n">
        <f aca="false">SUMIFS(Traceability_Matrix!$E$4:$E$103,Traceability_Matrix!$G$4:$G$103,"S5",Traceability_Matrix!$J$4:$J$103,"Done")</f>
        <v>50</v>
      </c>
      <c r="G8" s="8" t="n">
        <f aca="false">IFERROR(SUMIFS(Traceability_Matrix!$E$4:$E$103,Traceability_Matrix!$G$4:$G$103,"S5",Traceability_Matrix!$J$4:$J$103,"Done")/SUMIF(Traceability_Matrix!$G$4:$G$103,"S5",Traceability_Matrix!$E$4:$E$103),0)</f>
        <v>1</v>
      </c>
      <c r="H8" s="5" t="s">
        <v>1560</v>
      </c>
      <c r="I8" s="5" t="s">
        <v>1561</v>
      </c>
    </row>
    <row r="9" customFormat="false" ht="15" hidden="false" customHeight="true" outlineLevel="0" collapsed="false">
      <c r="A9" s="5" t="s">
        <v>242</v>
      </c>
      <c r="B9" s="5" t="s">
        <v>1562</v>
      </c>
      <c r="C9" s="5" t="n">
        <f aca="false">COUNTIF(Traceability_Matrix!$G$4:$G$103,"S6")</f>
        <v>13</v>
      </c>
      <c r="D9" s="5" t="n">
        <f aca="false">SUMIF(Traceability_Matrix!$G$4:$G$103,"S6",Traceability_Matrix!$E$4:$E$103)</f>
        <v>60</v>
      </c>
      <c r="E9" s="5" t="n">
        <f aca="false">COUNTIFS(Traceability_Matrix!$G$4:$G$103,"S6",Traceability_Matrix!$J$4:$J$103,"Done")</f>
        <v>13</v>
      </c>
      <c r="F9" s="5" t="n">
        <f aca="false">SUMIFS(Traceability_Matrix!$E$4:$E$103,Traceability_Matrix!$G$4:$G$103,"S6",Traceability_Matrix!$J$4:$J$103,"Done")</f>
        <v>60</v>
      </c>
      <c r="G9" s="8" t="n">
        <f aca="false">IFERROR(SUMIFS(Traceability_Matrix!$E$4:$E$103,Traceability_Matrix!$G$4:$G$103,"S6",Traceability_Matrix!$J$4:$J$103,"Done")/SUMIF(Traceability_Matrix!$G$4:$G$103,"S6",Traceability_Matrix!$E$4:$E$103),0)</f>
        <v>1</v>
      </c>
      <c r="H9" s="5" t="s">
        <v>1563</v>
      </c>
      <c r="I9" s="5" t="s">
        <v>1564</v>
      </c>
    </row>
    <row r="10" customFormat="false" ht="15" hidden="false" customHeight="true" outlineLevel="0" collapsed="false">
      <c r="A10" s="5" t="s">
        <v>271</v>
      </c>
      <c r="B10" s="5" t="s">
        <v>1565</v>
      </c>
      <c r="C10" s="5" t="n">
        <f aca="false">COUNTIF(Traceability_Matrix!$G$4:$G$103,"S7")</f>
        <v>5</v>
      </c>
      <c r="D10" s="5" t="n">
        <f aca="false">SUMIF(Traceability_Matrix!$G$4:$G$103,"S7",Traceability_Matrix!$E$4:$E$103)</f>
        <v>15</v>
      </c>
      <c r="E10" s="5" t="n">
        <f aca="false">COUNTIFS(Traceability_Matrix!$G$4:$G$103,"S7",Traceability_Matrix!$J$4:$J$103,"Done")</f>
        <v>5</v>
      </c>
      <c r="F10" s="5" t="n">
        <f aca="false">SUMIFS(Traceability_Matrix!$E$4:$E$103,Traceability_Matrix!$G$4:$G$103,"S7",Traceability_Matrix!$J$4:$J$103,"Done")</f>
        <v>15</v>
      </c>
      <c r="G10" s="8" t="n">
        <f aca="false">IFERROR(SUMIFS(Traceability_Matrix!$E$4:$E$103,Traceability_Matrix!$G$4:$G$103,"S7",Traceability_Matrix!$J$4:$J$103,"Done")/SUMIF(Traceability_Matrix!$G$4:$G$103,"S7",Traceability_Matrix!$E$4:$E$103),0)</f>
        <v>1</v>
      </c>
      <c r="H10" s="5" t="s">
        <v>1566</v>
      </c>
      <c r="I10" s="5" t="s">
        <v>1567</v>
      </c>
    </row>
    <row r="11" customFormat="false" ht="15" hidden="false" customHeight="true" outlineLevel="0" collapsed="false">
      <c r="A11" s="5" t="s">
        <v>301</v>
      </c>
      <c r="B11" s="5" t="s">
        <v>1568</v>
      </c>
      <c r="C11" s="5" t="n">
        <f aca="false">COUNTIF(Traceability_Matrix!$G$4:$G$103,"S8")</f>
        <v>22</v>
      </c>
      <c r="D11" s="5" t="n">
        <f aca="false">SUMIF(Traceability_Matrix!$G$4:$G$103,"S8",Traceability_Matrix!$E$4:$E$103)</f>
        <v>87</v>
      </c>
      <c r="E11" s="5" t="n">
        <f aca="false">COUNTIFS(Traceability_Matrix!$G$4:$G$103,"S8",Traceability_Matrix!$J$4:$J$103,"Done")</f>
        <v>21</v>
      </c>
      <c r="F11" s="5" t="n">
        <f aca="false">SUMIFS(Traceability_Matrix!$E$4:$E$103,Traceability_Matrix!$G$4:$G$103,"S8",Traceability_Matrix!$J$4:$J$103,"Done")</f>
        <v>82</v>
      </c>
      <c r="G11" s="8" t="n">
        <f aca="false">IFERROR(SUMIFS(Traceability_Matrix!$E$4:$E$103,Traceability_Matrix!$G$4:$G$103,"S8",Traceability_Matrix!$J$4:$J$103,"Done")/SUMIF(Traceability_Matrix!$G$4:$G$103,"S8",Traceability_Matrix!$E$4:$E$103),0)</f>
        <v>0.942528735632184</v>
      </c>
      <c r="H11" s="5" t="s">
        <v>1569</v>
      </c>
      <c r="I11" s="5" t="s">
        <v>1570</v>
      </c>
    </row>
    <row r="12" customFormat="false" ht="15" hidden="false" customHeight="true" outlineLevel="0" collapsed="false">
      <c r="A12" s="5" t="s">
        <v>336</v>
      </c>
      <c r="B12" s="5" t="s">
        <v>1571</v>
      </c>
      <c r="C12" s="5" t="n">
        <f aca="false">COUNTIF(Traceability_Matrix!$G$4:$G$103,"S9")</f>
        <v>7</v>
      </c>
      <c r="D12" s="5" t="n">
        <f aca="false">SUMIF(Traceability_Matrix!$G$4:$G$103,"S9",Traceability_Matrix!$E$4:$E$103)</f>
        <v>30</v>
      </c>
      <c r="E12" s="5" t="n">
        <f aca="false">COUNTIFS(Traceability_Matrix!$G$4:$G$103,"S9",Traceability_Matrix!$J$4:$J$103,"Done")</f>
        <v>5</v>
      </c>
      <c r="F12" s="5" t="n">
        <f aca="false">SUMIFS(Traceability_Matrix!$E$4:$E$103,Traceability_Matrix!$G$4:$G$103,"S9",Traceability_Matrix!$J$4:$J$103,"Done")</f>
        <v>17</v>
      </c>
      <c r="G12" s="8" t="n">
        <f aca="false">IFERROR(SUMIFS(Traceability_Matrix!$E$4:$E$103,Traceability_Matrix!$G$4:$G$103,"S9",Traceability_Matrix!$J$4:$J$103,"Done")/SUMIF(Traceability_Matrix!$G$4:$G$103,"S9",Traceability_Matrix!$E$4:$E$103),0)</f>
        <v>0.566666666666667</v>
      </c>
      <c r="H12" s="5" t="s">
        <v>1572</v>
      </c>
      <c r="I12" s="5" t="s">
        <v>1573</v>
      </c>
    </row>
    <row r="13" customFormat="false" ht="15" hidden="false" customHeight="true" outlineLevel="0" collapsed="false">
      <c r="A13" s="5" t="s">
        <v>372</v>
      </c>
      <c r="B13" s="5" t="s">
        <v>1574</v>
      </c>
      <c r="C13" s="5" t="n">
        <f aca="false">COUNTIF(Traceability_Matrix!$G$4:$G$103,"S10")</f>
        <v>7</v>
      </c>
      <c r="D13" s="5" t="n">
        <f aca="false">SUMIF(Traceability_Matrix!$G$4:$G$103,"S10",Traceability_Matrix!$E$4:$E$103)</f>
        <v>24</v>
      </c>
      <c r="E13" s="5" t="n">
        <f aca="false">COUNTIFS(Traceability_Matrix!$G$4:$G$103,"S10",Traceability_Matrix!$J$4:$J$103,"Done")</f>
        <v>7</v>
      </c>
      <c r="F13" s="5" t="n">
        <f aca="false">SUMIFS(Traceability_Matrix!$E$4:$E$103,Traceability_Matrix!$G$4:$G$103,"S10",Traceability_Matrix!$J$4:$J$103,"Done")</f>
        <v>24</v>
      </c>
      <c r="G13" s="8" t="n">
        <f aca="false">IFERROR(SUMIFS(Traceability_Matrix!$E$4:$E$103,Traceability_Matrix!$G$4:$G$103,"S10",Traceability_Matrix!$J$4:$J$103,"Done")/SUMIF(Traceability_Matrix!$G$4:$G$103,"S10",Traceability_Matrix!$E$4:$E$103),0)</f>
        <v>1</v>
      </c>
      <c r="H13" s="5" t="s">
        <v>1575</v>
      </c>
      <c r="I13" s="5" t="s">
        <v>1576</v>
      </c>
    </row>
    <row r="14" customFormat="false" ht="15" hidden="false" customHeight="true" outlineLevel="0" collapsed="false">
      <c r="A14" s="5" t="s">
        <v>406</v>
      </c>
      <c r="B14" s="5" t="s">
        <v>1577</v>
      </c>
      <c r="C14" s="5" t="n">
        <f aca="false">COUNTIF(Traceability_Matrix!$G$4:$G$103,"S11")</f>
        <v>3</v>
      </c>
      <c r="D14" s="5" t="n">
        <f aca="false">SUMIF(Traceability_Matrix!$G$4:$G$103,"S11",Traceability_Matrix!$E$4:$E$103)</f>
        <v>8</v>
      </c>
      <c r="E14" s="5" t="n">
        <f aca="false">COUNTIFS(Traceability_Matrix!$G$4:$G$103,"S11",Traceability_Matrix!$J$4:$J$103,"Done")</f>
        <v>3</v>
      </c>
      <c r="F14" s="5" t="n">
        <f aca="false">SUMIFS(Traceability_Matrix!$E$4:$E$103,Traceability_Matrix!$G$4:$G$103,"S11",Traceability_Matrix!$J$4:$J$103,"Done")</f>
        <v>8</v>
      </c>
      <c r="G14" s="8" t="n">
        <f aca="false">IFERROR(SUMIFS(Traceability_Matrix!$E$4:$E$103,Traceability_Matrix!$G$4:$G$103,"S11",Traceability_Matrix!$J$4:$J$103,"Done")/SUMIF(Traceability_Matrix!$G$4:$G$103,"S11",Traceability_Matrix!$E$4:$E$103),0)</f>
        <v>1</v>
      </c>
      <c r="H14" s="5" t="s">
        <v>1578</v>
      </c>
      <c r="I14" s="5" t="s">
        <v>1579</v>
      </c>
    </row>
    <row r="15" customFormat="false" ht="15" hidden="false" customHeight="true" outlineLevel="0" collapsed="false">
      <c r="A15" s="5" t="s">
        <v>432</v>
      </c>
      <c r="B15" s="5" t="s">
        <v>1580</v>
      </c>
      <c r="C15" s="5" t="n">
        <f aca="false">COUNTIF(Traceability_Matrix!$G$4:$G$103,"S12")</f>
        <v>1</v>
      </c>
      <c r="D15" s="5" t="n">
        <f aca="false">SUMIF(Traceability_Matrix!$G$4:$G$103,"S12",Traceability_Matrix!$E$4:$E$103)</f>
        <v>2</v>
      </c>
      <c r="E15" s="5" t="n">
        <f aca="false">COUNTIFS(Traceability_Matrix!$G$4:$G$103,"S12",Traceability_Matrix!$J$4:$J$103,"Done")</f>
        <v>1</v>
      </c>
      <c r="F15" s="5" t="n">
        <f aca="false">SUMIFS(Traceability_Matrix!$E$4:$E$103,Traceability_Matrix!$G$4:$G$103,"S12",Traceability_Matrix!$J$4:$J$103,"Done")</f>
        <v>2</v>
      </c>
      <c r="G15" s="8" t="n">
        <f aca="false">IFERROR(SUMIFS(Traceability_Matrix!$E$4:$E$103,Traceability_Matrix!$G$4:$G$103,"S12",Traceability_Matrix!$J$4:$J$103,"Done")/SUMIF(Traceability_Matrix!$G$4:$G$103,"S12",Traceability_Matrix!$E$4:$E$103),0)</f>
        <v>1</v>
      </c>
      <c r="H15" s="5" t="s">
        <v>1581</v>
      </c>
      <c r="I15" s="5" t="s">
        <v>1582</v>
      </c>
    </row>
    <row r="16" customFormat="false" ht="15" hidden="false" customHeight="true" outlineLevel="0" collapsed="false">
      <c r="B16" s="9" t="s">
        <v>1583</v>
      </c>
      <c r="C16" s="9" t="n">
        <f aca="false">SUM(C4:C15)</f>
        <v>100</v>
      </c>
      <c r="D16" s="9" t="n">
        <f aca="false">SUM(D4:D15)</f>
        <v>399</v>
      </c>
      <c r="E16" s="9" t="n">
        <f aca="false">SUM(E4:E15)</f>
        <v>97</v>
      </c>
      <c r="F16" s="9" t="n">
        <f aca="false">SUM(F4:F15)</f>
        <v>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74"/>
    <col collapsed="false" customWidth="true" hidden="false" outlineLevel="0" max="5" min="5" style="1" width="8"/>
    <col collapsed="false" customWidth="true" hidden="false" outlineLevel="0" max="6" min="6" style="1" width="74"/>
  </cols>
  <sheetData>
    <row r="1" customFormat="false" ht="17.25" hidden="false" customHeight="true" outlineLevel="0" collapsed="false">
      <c r="A1" s="2" t="s">
        <v>1584</v>
      </c>
    </row>
    <row r="2" customFormat="false" ht="15" hidden="false" customHeight="true" outlineLevel="0" collapsed="false">
      <c r="A2" s="4" t="s">
        <v>114</v>
      </c>
      <c r="B2" s="4" t="s">
        <v>1585</v>
      </c>
      <c r="C2" s="4" t="s">
        <v>1586</v>
      </c>
      <c r="D2" s="4" t="s">
        <v>770</v>
      </c>
      <c r="E2" s="4" t="s">
        <v>6</v>
      </c>
      <c r="F2" s="4" t="s">
        <v>1587</v>
      </c>
    </row>
    <row r="3" customFormat="false" ht="15" hidden="false" customHeight="true" outlineLevel="0" collapsed="false">
      <c r="A3" s="5" t="s">
        <v>1588</v>
      </c>
      <c r="B3" s="5" t="s">
        <v>1589</v>
      </c>
      <c r="C3" s="5" t="s">
        <v>28</v>
      </c>
      <c r="D3" s="5" t="s">
        <v>1590</v>
      </c>
      <c r="E3" s="5" t="s">
        <v>807</v>
      </c>
      <c r="F3" s="5" t="s">
        <v>1591</v>
      </c>
    </row>
    <row r="4" customFormat="false" ht="23.25" hidden="false" customHeight="true" outlineLevel="0" collapsed="false">
      <c r="A4" s="5" t="s">
        <v>1592</v>
      </c>
      <c r="B4" s="5" t="s">
        <v>1589</v>
      </c>
      <c r="C4" s="5" t="s">
        <v>28</v>
      </c>
      <c r="D4" s="5" t="s">
        <v>1593</v>
      </c>
      <c r="E4" s="5" t="s">
        <v>807</v>
      </c>
      <c r="F4" s="5" t="s">
        <v>1594</v>
      </c>
    </row>
    <row r="5" customFormat="false" ht="15" hidden="false" customHeight="true" outlineLevel="0" collapsed="false">
      <c r="A5" s="5" t="s">
        <v>1595</v>
      </c>
      <c r="B5" s="5" t="s">
        <v>1589</v>
      </c>
      <c r="C5" s="5" t="s">
        <v>28</v>
      </c>
      <c r="D5" s="5" t="s">
        <v>1596</v>
      </c>
      <c r="E5" s="5" t="s">
        <v>807</v>
      </c>
      <c r="F5" s="5" t="s">
        <v>1597</v>
      </c>
    </row>
    <row r="6" customFormat="false" ht="15" hidden="false" customHeight="true" outlineLevel="0" collapsed="false">
      <c r="A6" s="5" t="s">
        <v>517</v>
      </c>
      <c r="B6" s="5" t="s">
        <v>1598</v>
      </c>
      <c r="C6" s="5" t="s">
        <v>1599</v>
      </c>
      <c r="D6" s="5" t="s">
        <v>1600</v>
      </c>
      <c r="E6" s="5" t="s">
        <v>807</v>
      </c>
      <c r="F6" s="5" t="s">
        <v>1601</v>
      </c>
    </row>
    <row r="7" customFormat="false" ht="23.25" hidden="false" customHeight="true" outlineLevel="0" collapsed="false">
      <c r="A7" s="5" t="s">
        <v>1602</v>
      </c>
      <c r="B7" s="5" t="s">
        <v>1603</v>
      </c>
      <c r="C7" s="5" t="s">
        <v>1604</v>
      </c>
      <c r="D7" s="5" t="s">
        <v>1605</v>
      </c>
      <c r="E7" s="5" t="s">
        <v>807</v>
      </c>
      <c r="F7" s="5" t="s">
        <v>1606</v>
      </c>
    </row>
    <row r="8" customFormat="false" ht="15" hidden="false" customHeight="true" outlineLevel="0" collapsed="false">
      <c r="A8" s="5" t="s">
        <v>1607</v>
      </c>
      <c r="B8" s="5" t="s">
        <v>1603</v>
      </c>
      <c r="C8" s="5" t="s">
        <v>1608</v>
      </c>
      <c r="D8" s="5" t="s">
        <v>1609</v>
      </c>
      <c r="E8" s="5" t="s">
        <v>807</v>
      </c>
      <c r="F8" s="5" t="s">
        <v>1610</v>
      </c>
    </row>
    <row r="9" customFormat="false" ht="23.25" hidden="false" customHeight="true" outlineLevel="0" collapsed="false">
      <c r="A9" s="5" t="s">
        <v>1611</v>
      </c>
      <c r="B9" s="5" t="s">
        <v>1598</v>
      </c>
      <c r="C9" s="5" t="s">
        <v>1608</v>
      </c>
      <c r="D9" s="5" t="s">
        <v>1612</v>
      </c>
      <c r="E9" s="5" t="s">
        <v>807</v>
      </c>
      <c r="F9" s="5" t="s">
        <v>1613</v>
      </c>
    </row>
    <row r="10" customFormat="false" ht="23.25" hidden="false" customHeight="true" outlineLevel="0" collapsed="false">
      <c r="A10" s="5" t="s">
        <v>1614</v>
      </c>
      <c r="B10" s="5" t="s">
        <v>1589</v>
      </c>
      <c r="C10" s="5" t="s">
        <v>1599</v>
      </c>
      <c r="D10" s="5" t="s">
        <v>1615</v>
      </c>
      <c r="E10" s="5" t="s">
        <v>807</v>
      </c>
      <c r="F10" s="5" t="s">
        <v>1616</v>
      </c>
    </row>
    <row r="11" customFormat="false" ht="23.25" hidden="false" customHeight="true" outlineLevel="0" collapsed="false">
      <c r="A11" s="5" t="s">
        <v>1617</v>
      </c>
      <c r="B11" s="5" t="s">
        <v>1618</v>
      </c>
      <c r="C11" s="5" t="s">
        <v>1604</v>
      </c>
      <c r="D11" s="5" t="s">
        <v>1619</v>
      </c>
      <c r="E11" s="5" t="s">
        <v>807</v>
      </c>
      <c r="F11" s="5" t="s">
        <v>1620</v>
      </c>
    </row>
    <row r="12" customFormat="false" ht="15" hidden="false" customHeight="true" outlineLevel="0" collapsed="false">
      <c r="A12" s="5" t="s">
        <v>1621</v>
      </c>
      <c r="B12" s="5" t="s">
        <v>1618</v>
      </c>
      <c r="C12" s="5" t="s">
        <v>1622</v>
      </c>
      <c r="D12" s="5" t="s">
        <v>1623</v>
      </c>
      <c r="E12" s="5" t="s">
        <v>807</v>
      </c>
      <c r="F12" s="5" t="s">
        <v>1624</v>
      </c>
    </row>
    <row r="13" customFormat="false" ht="415.5" hidden="false" customHeight="true" outlineLevel="0" collapsed="false">
      <c r="A13" s="5" t="s">
        <v>1625</v>
      </c>
      <c r="B13" s="5" t="s">
        <v>1589</v>
      </c>
      <c r="C13" s="5" t="s">
        <v>1626</v>
      </c>
      <c r="D13" s="5" t="s">
        <v>807</v>
      </c>
      <c r="E13" s="5" t="s">
        <v>654</v>
      </c>
      <c r="F13" s="5" t="s">
        <v>1627</v>
      </c>
    </row>
    <row r="14" customFormat="false" ht="404.25" hidden="false" customHeight="true" outlineLevel="0" collapsed="false">
      <c r="A14" s="5" t="s">
        <v>1628</v>
      </c>
      <c r="B14" s="5" t="s">
        <v>1589</v>
      </c>
      <c r="C14" s="5" t="s">
        <v>1629</v>
      </c>
      <c r="D14" s="5" t="s">
        <v>807</v>
      </c>
      <c r="E14" s="5" t="s">
        <v>654</v>
      </c>
      <c r="F14" s="5" t="s">
        <v>1630</v>
      </c>
    </row>
    <row r="15" customFormat="false" ht="404.25" hidden="false" customHeight="true" outlineLevel="0" collapsed="false">
      <c r="A15" s="5" t="s">
        <v>1631</v>
      </c>
      <c r="B15" s="5" t="s">
        <v>1589</v>
      </c>
      <c r="C15" s="5" t="s">
        <v>1632</v>
      </c>
      <c r="D15" s="5" t="s">
        <v>807</v>
      </c>
      <c r="E15" s="5" t="s">
        <v>654</v>
      </c>
      <c r="F15" s="5" t="s">
        <v>1633</v>
      </c>
    </row>
    <row r="16" customFormat="false" ht="348" hidden="false" customHeight="true" outlineLevel="0" collapsed="false">
      <c r="A16" s="5" t="s">
        <v>568</v>
      </c>
      <c r="B16" s="5" t="s">
        <v>1634</v>
      </c>
      <c r="C16" s="5" t="s">
        <v>1635</v>
      </c>
      <c r="D16" s="5" t="s">
        <v>807</v>
      </c>
      <c r="E16" s="5" t="s">
        <v>1636</v>
      </c>
      <c r="F16" s="5" t="s">
        <v>1637</v>
      </c>
    </row>
    <row r="17" customFormat="false" ht="281.25" hidden="false" customHeight="true" outlineLevel="0" collapsed="false">
      <c r="A17" s="5" t="s">
        <v>558</v>
      </c>
      <c r="B17" s="5" t="s">
        <v>1634</v>
      </c>
      <c r="C17" s="5" t="s">
        <v>1638</v>
      </c>
      <c r="D17" s="5" t="s">
        <v>50</v>
      </c>
      <c r="E17" s="5" t="s">
        <v>1639</v>
      </c>
      <c r="F17" s="5" t="s">
        <v>1640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6"/>
    <col collapsed="false" customWidth="true" hidden="false" outlineLevel="0" max="3" min="3" style="1" width="10"/>
    <col collapsed="false" customWidth="true" hidden="false" outlineLevel="0" max="4" min="4" style="1" width="8"/>
  </cols>
  <sheetData>
    <row r="1" customFormat="false" ht="17.25" hidden="false" customHeight="true" outlineLevel="0" collapsed="false">
      <c r="A1" s="2" t="s">
        <v>1641</v>
      </c>
    </row>
    <row r="2" customFormat="false" ht="15" hidden="false" customHeight="true" outlineLevel="0" collapsed="false">
      <c r="A2" s="3" t="s">
        <v>1642</v>
      </c>
    </row>
    <row r="3" customFormat="false" ht="15" hidden="false" customHeight="true" outlineLevel="0" collapsed="false">
      <c r="A3" s="4" t="s">
        <v>114</v>
      </c>
      <c r="B3" s="4" t="s">
        <v>1643</v>
      </c>
      <c r="C3" s="4" t="s">
        <v>1644</v>
      </c>
      <c r="D3" s="4" t="s">
        <v>6</v>
      </c>
    </row>
    <row r="4" customFormat="false" ht="15" hidden="false" customHeight="true" outlineLevel="0" collapsed="false">
      <c r="A4" s="5" t="s">
        <v>1645</v>
      </c>
      <c r="B4" s="5" t="s">
        <v>1646</v>
      </c>
      <c r="C4" s="5" t="s">
        <v>1647</v>
      </c>
      <c r="D4" s="5" t="s">
        <v>807</v>
      </c>
    </row>
    <row r="5" customFormat="false" ht="15" hidden="false" customHeight="true" outlineLevel="0" collapsed="false">
      <c r="A5" s="5" t="s">
        <v>1648</v>
      </c>
      <c r="B5" s="5" t="s">
        <v>1649</v>
      </c>
      <c r="C5" s="5" t="s">
        <v>1647</v>
      </c>
      <c r="D5" s="5" t="s">
        <v>807</v>
      </c>
    </row>
    <row r="6" customFormat="false" ht="15" hidden="false" customHeight="true" outlineLevel="0" collapsed="false">
      <c r="A6" s="5" t="s">
        <v>1650</v>
      </c>
      <c r="B6" s="5" t="s">
        <v>1651</v>
      </c>
      <c r="C6" s="5" t="s">
        <v>1652</v>
      </c>
      <c r="D6" s="5" t="s">
        <v>807</v>
      </c>
    </row>
    <row r="7" customFormat="false" ht="15" hidden="false" customHeight="true" outlineLevel="0" collapsed="false">
      <c r="A7" s="5" t="s">
        <v>1653</v>
      </c>
      <c r="B7" s="5" t="s">
        <v>1654</v>
      </c>
      <c r="C7" s="5" t="s">
        <v>1655</v>
      </c>
      <c r="D7" s="5" t="s">
        <v>807</v>
      </c>
    </row>
    <row r="8" customFormat="false" ht="15" hidden="false" customHeight="true" outlineLevel="0" collapsed="false">
      <c r="A8" s="5" t="s">
        <v>1656</v>
      </c>
      <c r="B8" s="5" t="s">
        <v>1657</v>
      </c>
      <c r="C8" s="5" t="s">
        <v>1658</v>
      </c>
      <c r="D8" s="5" t="s">
        <v>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2026-09-10T22:12:54Z</dcterms:created>
  <dc:creator>openpyxl</dc:creator>
  <dc:description/>
  <dc:language>en-US</dc:language>
  <cp:lastModifiedBy/>
  <dcterms:modified xsi:type="dcterms:W3CDTF">2026-09-13T21:49:57Z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