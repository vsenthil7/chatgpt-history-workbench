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_Control" sheetId="1" state="visible" r:id="rId1"/>
    <sheet xmlns:r="http://schemas.openxmlformats.org/officeDocument/2006/relationships" name="ReadMe_Scope" sheetId="2" state="visible" r:id="rId2"/>
    <sheet xmlns:r="http://schemas.openxmlformats.org/officeDocument/2006/relationships" name="Product_Spec" sheetId="3" state="visible" r:id="rId3"/>
    <sheet xmlns:r="http://schemas.openxmlformats.org/officeDocument/2006/relationships" name="Screens_Wireframes" sheetId="4" state="visible" r:id="rId4"/>
    <sheet xmlns:r="http://schemas.openxmlformats.org/officeDocument/2006/relationships" name="Full_Backlog" sheetId="5" state="visible" r:id="rId5"/>
    <sheet xmlns:r="http://schemas.openxmlformats.org/officeDocument/2006/relationships" name="Sprint_Board" sheetId="6" state="visible" r:id="rId6"/>
    <sheet xmlns:r="http://schemas.openxmlformats.org/officeDocument/2006/relationships" name="Sprint_Tracker_Log" sheetId="7" state="visible" r:id="rId7"/>
    <sheet xmlns:r="http://schemas.openxmlformats.org/officeDocument/2006/relationships" name="Financial_Model" sheetId="8" state="visible" r:id="rId8"/>
    <sheet xmlns:r="http://schemas.openxmlformats.org/officeDocument/2006/relationships" name="Metrics_Targets" sheetId="9" state="visible" r:id="rId9"/>
    <sheet xmlns:r="http://schemas.openxmlformats.org/officeDocument/2006/relationships" name="Risk_Register" sheetId="10" state="visible" r:id="rId10"/>
    <sheet xmlns:r="http://schemas.openxmlformats.org/officeDocument/2006/relationships" name="Traceability_Matrix" sheetId="11" state="visible" r:id="rId11"/>
    <sheet xmlns:r="http://schemas.openxmlformats.org/officeDocument/2006/relationships" name="Review_Findings" sheetId="12" state="visible" r:id="rId12"/>
    <sheet xmlns:r="http://schemas.openxmlformats.org/officeDocument/2006/relationships" name="GTM_Execution" sheetId="13" state="visible" r:id="rId13"/>
    <sheet xmlns:r="http://schemas.openxmlformats.org/officeDocument/2006/relationships" name="Launch_Checklist"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b val="1"/>
      <color rgb="FFFFFFFF"/>
      <sz val="10"/>
    </font>
    <font>
      <name val="Arial"/>
      <charset val="1"/>
      <family val="0"/>
      <sz val="10"/>
    </font>
    <font>
      <name val="Arial"/>
      <charset val="1"/>
      <family val="0"/>
      <sz val="11"/>
    </font>
    <font>
      <name val="Arial"/>
      <charset val="1"/>
      <family val="0"/>
      <b val="1"/>
      <sz val="10"/>
    </font>
    <font>
      <name val="Arial"/>
      <charset val="1"/>
      <family val="0"/>
      <b val="1"/>
      <color rgb="FFFFFFFF"/>
      <sz val="12"/>
    </font>
    <font>
      <name val="Arial"/>
      <charset val="1"/>
      <family val="0"/>
      <b val="1"/>
      <sz val="11"/>
    </font>
    <font>
      <name val="Arial"/>
      <charset val="1"/>
      <family val="0"/>
      <i val="1"/>
      <sz val="11"/>
    </font>
    <font>
      <b val="1"/>
      <sz val="11"/>
    </font>
    <font>
      <b val="1"/>
      <color rgb="FFFFFFFF"/>
      <sz val="12"/>
    </font>
    <font/>
  </fonts>
  <fills count="14">
    <fill>
      <patternFill/>
    </fill>
    <fill>
      <patternFill patternType="gray125"/>
    </fill>
    <fill>
      <patternFill patternType="solid">
        <fgColor rgb="FF1F3864"/>
        <bgColor rgb="FF1F4E79"/>
      </patternFill>
    </fill>
    <fill>
      <patternFill patternType="solid">
        <fgColor rgb="FFFFF2CC"/>
        <bgColor rgb="FFFFEB9C"/>
      </patternFill>
    </fill>
    <fill>
      <patternFill patternType="solid">
        <fgColor rgb="FF1F4E79"/>
        <bgColor rgb="FF1F3864"/>
      </patternFill>
    </fill>
    <fill>
      <patternFill patternType="solid">
        <fgColor rgb="FFD9E2F3"/>
        <bgColor rgb="FFC6EFCE"/>
      </patternFill>
    </fill>
    <fill>
      <patternFill patternType="solid">
        <fgColor rgb="FFC6EFCE"/>
        <bgColor rgb="FFD9E2F3"/>
      </patternFill>
    </fill>
    <fill>
      <patternFill patternType="solid">
        <fgColor rgb="FFFFEB9C"/>
        <bgColor rgb="FFFFF2CC"/>
      </patternFill>
    </fill>
    <fill>
      <patternFill patternType="solid">
        <fgColor rgb="FFC6EFCE"/>
      </patternFill>
    </fill>
    <fill>
      <patternFill patternType="solid">
        <fgColor rgb="FFFCE4D6"/>
      </patternFill>
    </fill>
    <fill>
      <patternFill patternType="solid">
        <fgColor rgb="FFFFF2CC"/>
      </patternFill>
    </fill>
    <fill>
      <patternFill patternType="solid">
        <fgColor rgb="FFDDEBF7"/>
      </patternFill>
    </fill>
    <fill>
      <patternFill patternType="solid">
        <fgColor rgb="FFD9E2F3"/>
      </patternFill>
    </fill>
    <fill>
      <patternFill patternType="solid">
        <fgColor rgb="FF1F4E79"/>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10" fillId="5"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top" wrapText="1"/>
    </xf>
    <xf numFmtId="0" fontId="10" fillId="0" borderId="0" applyAlignment="1" pivotButton="0" quotePrefix="0" xfId="0">
      <alignment horizontal="general" vertical="bottom"/>
    </xf>
    <xf numFmtId="0" fontId="7" fillId="6" borderId="0" applyAlignment="1" pivotButton="0" quotePrefix="0" xfId="0">
      <alignment horizontal="general" vertical="top" wrapText="1"/>
    </xf>
    <xf numFmtId="0" fontId="7" fillId="7" borderId="0" applyAlignment="1" pivotButton="0" quotePrefix="0" xfId="0">
      <alignment horizontal="general" vertical="top" wrapText="1"/>
    </xf>
    <xf numFmtId="0" fontId="11"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1" applyAlignment="1" pivotButton="0" quotePrefix="0" xfId="0">
      <alignment horizontal="general" vertical="top" wrapText="1"/>
    </xf>
    <xf numFmtId="0" fontId="7" fillId="7"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7" fillId="0" borderId="0" applyAlignment="1" pivotButton="0" quotePrefix="0" xfId="0">
      <alignment horizontal="general" vertical="top" wrapText="1"/>
    </xf>
    <xf numFmtId="0" fontId="0" fillId="0" borderId="0" applyAlignment="1" pivotButton="0" quotePrefix="0" xfId="0">
      <alignment vertical="top" wrapText="1"/>
    </xf>
    <xf numFmtId="0" fontId="6" fillId="0" borderId="0" applyAlignment="1" pivotButton="0" quotePrefix="0" xfId="0">
      <alignment horizontal="general" vertical="top" wrapText="1"/>
    </xf>
    <xf numFmtId="0" fontId="0" fillId="0" borderId="4" pivotButton="0" quotePrefix="0" xfId="0"/>
    <xf numFmtId="0" fontId="0" fillId="0" borderId="5" pivotButton="0" quotePrefix="0" xfId="0"/>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6" fillId="0" borderId="0" applyAlignment="1" pivotButton="0" quotePrefix="0" xfId="0">
      <alignment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10" fillId="5"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top" wrapText="1"/>
    </xf>
    <xf numFmtId="0" fontId="13" fillId="13" borderId="0" pivotButton="0" quotePrefix="0" xfId="0"/>
    <xf numFmtId="0" fontId="0" fillId="13" borderId="0" pivotButton="0" quotePrefix="0" xfId="0"/>
    <xf numFmtId="0" fontId="12" fillId="0" borderId="0" pivotButton="0" quotePrefix="0" xfId="0"/>
    <xf numFmtId="0" fontId="12" fillId="12" borderId="0" applyAlignment="1" pivotButton="0" quotePrefix="0" xfId="0">
      <alignment vertical="top" wrapText="1"/>
    </xf>
    <xf numFmtId="0" fontId="0" fillId="10" borderId="0" pivotButton="0" quotePrefix="0" xfId="0"/>
    <xf numFmtId="164" fontId="0" fillId="10" borderId="0" pivotButton="0" quotePrefix="0" xfId="0"/>
    <xf numFmtId="0" fontId="14" fillId="0" borderId="0" pivotButton="0" quotePrefix="0" xfId="0"/>
    <xf numFmtId="0" fontId="7" fillId="6" borderId="0" applyAlignment="1" pivotButton="0" quotePrefix="0" xfId="0">
      <alignment horizontal="general" vertical="top" wrapText="1"/>
    </xf>
    <xf numFmtId="0" fontId="7" fillId="7" borderId="0" applyAlignment="1" pivotButton="0" quotePrefix="0" xfId="0">
      <alignment horizontal="general" vertical="top" wrapText="1"/>
    </xf>
    <xf numFmtId="0" fontId="11" fillId="0" borderId="0" applyAlignment="1" pivotButton="0" quotePrefix="0" xfId="0">
      <alignment vertical="top" wrapText="1"/>
    </xf>
    <xf numFmtId="0" fontId="7" fillId="0" borderId="1" applyAlignment="1" pivotButton="0" quotePrefix="0" xfId="0">
      <alignment horizontal="general" vertical="top" wrapText="1"/>
    </xf>
    <xf numFmtId="0" fontId="7" fillId="7" borderId="1" applyAlignment="1" pivotButton="0" quotePrefix="0" xfId="0">
      <alignment vertical="top" wrapText="1"/>
    </xf>
    <xf numFmtId="0" fontId="7" fillId="0" borderId="1" applyAlignment="1" pivotButton="0" quotePrefix="0" xfId="0">
      <alignment vertical="top" wrapText="1"/>
    </xf>
    <xf numFmtId="0" fontId="7" fillId="7"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4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1" min="1" max="1"/>
    <col width="18" customWidth="1" style="21" min="2" max="2"/>
    <col width="24" customWidth="1" style="21" min="3" max="3"/>
    <col width="80" customWidth="1" style="21" min="4" max="4"/>
    <col width="12" customWidth="1" style="21" min="5" max="5"/>
  </cols>
  <sheetData>
    <row r="1" ht="17.25" customHeight="1" s="22">
      <c r="A1" s="23" t="inlineStr">
        <is>
          <t>VERSION CONTROL — ShiftDesk</t>
        </is>
      </c>
    </row>
    <row r="3" ht="15" customHeight="1" s="22">
      <c r="A3" s="24" t="inlineStr">
        <is>
          <t>Version</t>
        </is>
      </c>
      <c r="B3" s="24" t="inlineStr">
        <is>
          <t>Date</t>
        </is>
      </c>
      <c r="C3" s="24" t="inlineStr">
        <is>
          <t>Author</t>
        </is>
      </c>
      <c r="D3" s="24" t="inlineStr">
        <is>
          <t>Change</t>
        </is>
      </c>
      <c r="E3" s="24" t="inlineStr">
        <is>
          <t>Status</t>
        </is>
      </c>
    </row>
    <row r="4" ht="23.25" customHeight="1" s="22">
      <c r="A4" s="25" t="inlineStr">
        <is>
          <t>v001-v004</t>
        </is>
      </c>
      <c r="B4" s="25" t="inlineStr">
        <is>
          <t>2026-09-05</t>
        </is>
      </c>
      <c r="C4" s="25" t="inlineStr">
        <is>
          <t>Claude for Senthil/KP</t>
        </is>
      </c>
      <c r="D4" s="25" t="inlineStr">
        <is>
          <t>Lineage: marketplace master (868 entries) -&gt; portfolio plan (12 products) -&gt; this product selected for wave-1</t>
        </is>
      </c>
      <c r="E4" s="25" t="inlineStr">
        <is>
          <t>Released</t>
        </is>
      </c>
    </row>
    <row r="5" ht="34.5" customHeight="1" s="22">
      <c r="A5" s="25" t="inlineStr">
        <is>
          <t>v005</t>
        </is>
      </c>
      <c r="B5" s="25" t="inlineStr">
        <is>
          <t>2026-09-05 19:34</t>
        </is>
      </c>
      <c r="C5" s="25" t="inlineStr">
        <is>
          <t>Claude for Senthil/KP</t>
        </is>
      </c>
      <c r="D5" s="25" t="inlineStr">
        <is>
          <t>Full product workbook for ShiftDesk on Microsoft Teams App Store / AppSource: spec, screen inventory, 100+ story backlog, live sprint board, 18-month financial model (editable assumptions), GTM execution tasks, platform launch checklist, metric targets, risk register</t>
        </is>
      </c>
      <c r="E5" s="25" t="inlineStr">
        <is>
          <t>Released</t>
        </is>
      </c>
    </row>
    <row r="6" ht="23.25" customHeight="1" s="22">
      <c r="A6" s="26" t="inlineStr">
        <is>
          <t>v006</t>
        </is>
      </c>
      <c r="B6" s="26" t="n"/>
      <c r="C6" s="26" t="n"/>
      <c r="D6" s="26" t="inlineStr">
        <is>
          <t>PLANNED: post-S0 re-baseline after discovery interviews; verified platform terms; wireframe links added to Screens sheet</t>
        </is>
      </c>
      <c r="E6" s="26" t="inlineStr">
        <is>
          <t>Planned</t>
        </is>
      </c>
    </row>
    <row r="7" ht="77.25" customHeight="1" s="22">
      <c r="A7" s="27" t="inlineStr">
        <is>
          <t>v006</t>
        </is>
      </c>
      <c r="B7" s="27" t="inlineStr">
        <is>
          <t>2026-09-10 22:26</t>
        </is>
      </c>
      <c r="C7" s="27" t="inlineStr">
        <is>
          <t>Claude for Senthil/KP</t>
        </is>
      </c>
      <c r="D7" s="27" t="inlineStr">
        <is>
          <t>Development executed per sprint board S1-S8 + S9 partials: 16 TS modules + 9 React screens built; 15 Jest suites / 67 tests at 100% coverage (statements/branches/functions/lines gate enforced, per D13); CI workflow; least-privilege + retention docs. Backlog statuses updated (75 Done, 8 code-complete pending live, 1 in progress, 16 backlog). Added Sprint_Tracker_Log and Traceability_Matrix sheets.</t>
        </is>
      </c>
      <c r="E7" s="27" t="inlineStr">
        <is>
          <t>Released</t>
        </is>
      </c>
    </row>
    <row r="8" ht="77.25" customHeight="1" s="22">
      <c r="A8" s="27" t="inlineStr">
        <is>
          <t>v007</t>
        </is>
      </c>
      <c r="B8" s="27" t="inlineStr">
        <is>
          <t>2026-09-10 22:54</t>
        </is>
      </c>
      <c r="C8" s="27" t="inlineStr">
        <is>
          <t>Claude for Senthil/KP</t>
        </is>
      </c>
      <c r="D8" s="27" t="inlineStr">
        <is>
          <t>Session 2: jest-axe WCAG suite on all 9 screens in CI (ST-089; 16 suites/76 tests, 100% coverage held); submission dry-run recorded in Launch_Checklist (ST-097); launch content drafted — listing A/B, pricing+FAQ, trust page, 15 help articles, admin guide, positioning one-pager, runbook, incident template, video script (ST-080/083/084/093/095/096/098). Statuses: 75 Done / 9 pending live / 2 in progress / 6 drafted / 8 backlog.</t>
        </is>
      </c>
      <c r="E8" s="27" t="inlineStr">
        <is>
          <t>Released</t>
        </is>
      </c>
    </row>
    <row r="9" ht="64.5" customHeight="1" s="22">
      <c r="A9" s="27" t="inlineStr">
        <is>
          <t>v008</t>
        </is>
      </c>
      <c r="B9" s="27" t="inlineStr">
        <is>
          <t>2026-09-10 23:10</t>
        </is>
      </c>
      <c r="C9" s="27" t="inlineStr">
        <is>
          <t>Claude for Senthil/KP</t>
        </is>
      </c>
      <c r="D9" s="27" t="inlineStr">
        <is>
          <t>Session 3 — live-sweep readiness: Teams app manifest v1.17 + icons (teams-app/, sideload-ready), typed env config loader with fail-fast validation + redacted print, 12-step scripted live verification sweep mapped to the pending-live stories, 30-min dev tenant + Partner Center guide. 18 suites / 85 tests, 100% coverage held. Story statuses unchanged (live-gated); Launch_Checklist #2 advanced.</t>
        </is>
      </c>
      <c r="E9" s="27" t="inlineStr">
        <is>
          <t>Released</t>
        </is>
      </c>
    </row>
    <row r="10" ht="64.5" customHeight="1" s="22">
      <c r="A10" s="27" t="inlineStr">
        <is>
          <t>v009</t>
        </is>
      </c>
      <c r="B10" s="27" t="inlineStr">
        <is>
          <t>2026-09-11 08:20</t>
        </is>
      </c>
      <c r="C10" s="27" t="inlineStr">
        <is>
          <t>Claude for Senthil/KP</t>
        </is>
      </c>
      <c r="D10" s="27" t="inlineStr">
        <is>
          <t>Session 4 (morning) — ops parity pack: k6 load harness at 5x launch traffic with perf-budget thresholds (ST-088), blue/green deploy workflow with 100%-test gate + smoke + approval-gated switch (ST-092), scripted backup/restore drill with RTO/RPO pass bar (ST-090) — all Drafted (execution live-gated). Statuses: 75 Done / 9 pending live / 2 in progress / 9 drafted / 5 backlog. 18 suites / 85 tests at 100% unchanged.</t>
        </is>
      </c>
      <c r="E10" s="27" t="inlineStr">
        <is>
          <t>Released</t>
        </is>
      </c>
    </row>
    <row r="11" ht="102.75" customHeight="1" s="22">
      <c r="A11" s="27" t="inlineStr">
        <is>
          <t>v010</t>
        </is>
      </c>
      <c r="B11" s="27" t="inlineStr">
        <is>
          <t>2026-09-11 12:51</t>
        </is>
      </c>
      <c r="C11" s="27" t="inlineStr">
        <is>
          <t>Claude for Senthil/KP</t>
        </is>
      </c>
      <c r="D11" s="27" t="inlineStr">
        <is>
          <t>Session 5 — adversarial cold-review pass 1: 6 defects found and FIXED with regression tests (F-001 no payment-recovery path, F-002 duplicate-install data loss, F-003 unbounded ledgers, F-004 backoff never applied, F-005 negative amounts auto-approved, F-006 CSV quoting), 2 findings OPEN for disposition (F-007 breaker half-open, F-008 audit-log persistence), 1 evidence-discipline finding corrected by building ST-066 crypto module (AES-256-GCM + SecretsVault). REVIEW_PACK.md for external second reviewer. 20 suites / 94 tests, 100% x4, zero pragmas. New Review_Findings sheet.</t>
        </is>
      </c>
      <c r="E11" s="27" t="inlineStr">
        <is>
          <t>Released</t>
        </is>
      </c>
    </row>
    <row r="12" ht="128.25" customHeight="1" s="22">
      <c r="A12" s="27" t="inlineStr">
        <is>
          <t>v011</t>
        </is>
      </c>
      <c r="B12" s="27" t="inlineStr">
        <is>
          <t>2026-09-11 20:30</t>
        </is>
      </c>
      <c r="C12" s="27" t="inlineStr">
        <is>
          <t>Claude for Senthil/KP</t>
        </is>
      </c>
      <c r="D12" s="27" t="inlineStr">
        <is>
          <t>Session 6 — cold-review pass 2 (F-010 importer RFC-4180 closing RAID R-S7, F-011 alert dedupe+cap, F-012 latency rolling window, F-013 trial banner shown to paying accounts; OBS-SD1 pause semantics for disposition — review complete across all modules, 10 defects total) + completion wave (ST-081 chat SLA engine making vendor optional per D-SD4, ST-100 partner tracker with honest G-02 math, ST-099 SEO engine sandbox half, ST-080 ranked help search + manifest gate, ST-068 SECURITY_EVIDENCE.md, ST-094 ASSET_PLAN.md, ST-095 pricing drift gate). BACKLOG ZERO — SHIFTDESK CODE PHASE COMPLETE (fourth product). 75 Done / 13 code-complete pending live / 3 in progress / 9 drafted / 0 backlog. 22 suites / 109 tests at 100% zero pragmas.</t>
        </is>
      </c>
      <c r="E12" s="27" t="inlineStr">
        <is>
          <t>Released</t>
        </is>
      </c>
    </row>
    <row r="13" ht="128.25" customHeight="1" s="22">
      <c r="A13" s="27" t="inlineStr">
        <is>
          <t>v012</t>
        </is>
      </c>
      <c r="B13" s="27" t="inlineStr">
        <is>
          <t>2026-09-13 09:52</t>
        </is>
      </c>
      <c r="C13" s="27" t="inlineStr">
        <is>
          <t>Claude for Senthil/KP</t>
        </is>
      </c>
      <c r="D13" s="27" t="inlineStr">
        <is>
          <t>Session 7 — external verification sweep vs live Microsoft docs + artifact-gap audit: 2 STORE-BLOCKING findings fixed (VER-SD01 screenshot spec was 1920x1080, actual 1366x768/1MB/min-3/mobile-mandatory; VER-SD02 manifest schema v1.17 -&gt; v1.19), 1 LIVE-BLOCKING gap closed (VER-SD08 static tabs had no TeamsJS handshake — would have rendered blank in Teams), VER-SD03 deprecated permissions block removed, VER-SD04 permission model corrected from org-wide Graph .All scopes to resource-specific consent (LC-5 was wrongly Done), VER-SD06 outline icon tightly cropped, VER-SD05 verified-correct items pinned, VER-SD07 Microsoft Marketplace naming noted (3% fee confirmed). Live sweep 12 -&gt; 14 steps. 24 suites / 120 tests at 100% zero pragmas. Story counts unchanged.</t>
        </is>
      </c>
      <c r="E13" s="27" t="inlineStr">
        <is>
          <t>Released</t>
        </is>
      </c>
    </row>
    <row r="14" ht="102.75" customHeight="1" s="22">
      <c r="A14" s="27" t="inlineStr">
        <is>
          <t>v013</t>
        </is>
      </c>
      <c r="B14" s="27" t="inlineStr">
        <is>
          <t>2026-09-13 10:01</t>
        </is>
      </c>
      <c r="C14" s="27" t="inlineStr">
        <is>
          <t>Claude for Senthil/KP</t>
        </is>
      </c>
      <c r="D14" s="27" t="inlineStr">
        <is>
          <t>Session 8 — artifact-gap audit round 2 (manifest promises vs shipped code): GAP-SD1 LIVE-BLOCKING three declared static tabs had no page behind them — web/ layer built (TabShell, typed TabApi, entry mount, index.html with TeamsJS ordered before the bundle, esbuild -&gt; web-dist/); GAP-SD2 the three advertised bot commands had no handler — botRouter built; GAP-SD3 store package hygiene (bundles moved out of teams-app/, contents asserted); GAP-SD4 ST-094 partially unblocked via a headless-verified 1366x768 demo capture surface. 26 suites / 145 tests at 100% across src/ AND web/, zero pragmas.</t>
        </is>
      </c>
      <c r="E14" s="27" t="inlineStr">
        <is>
          <t>Released</t>
        </is>
      </c>
    </row>
    <row r="15" ht="102.75" customHeight="1" s="22">
      <c r="A15" s="27" t="inlineStr">
        <is>
          <t>v014</t>
        </is>
      </c>
      <c r="B15" s="27" t="inlineStr">
        <is>
          <t>2026-09-13 10:24</t>
        </is>
      </c>
      <c r="C15" s="27" t="inlineStr">
        <is>
          <t>Claude for Senthil/KP</t>
        </is>
      </c>
      <c r="D15" s="27" t="inlineStr">
        <is>
          <t>Session 9 — cold-review pass 3 over the previously unreviewed session 5-8 code: 6 defects fixed with pinned regressions (F-014 Infinity approval amounts, F-015 empty checklist title promoted the first task, F-016 SSO token validated then never sent so every tab call was unauthenticated, F-017 non-idempotent TeamsJS bootstrap, F-018 internal error codes shown to frontline users, F-019 configured trial length ignored by the billing engine) plus OBS-SD2 dead defensive branch removed. Running total 19 defects + 3 observations across three passes. 27 suites / 151 tests at 100% zero pragmas; story counts unchanged (correctness release).</t>
        </is>
      </c>
      <c r="E15" s="27" t="inlineStr">
        <is>
          <t>Released</t>
        </is>
      </c>
    </row>
    <row r="16" ht="115.5" customHeight="1" s="22">
      <c r="A16" s="27" t="inlineStr">
        <is>
          <t>v015</t>
        </is>
      </c>
      <c r="B16" s="27" t="inlineStr">
        <is>
          <t>2026-09-13 10:37</t>
        </is>
      </c>
      <c r="C16" s="27" t="inlineStr">
        <is>
          <t>Claude for Senthil/KP</t>
        </is>
      </c>
      <c r="D16" s="27" t="inlineStr">
        <is>
          <t>Session 10 — artifact-gap audit round 3 (client calls vs server routes): GAP-SD5 LIVE-BLOCKING — no HTTP server existed and three of five tab paths plus the Azure Bot messaging endpoint had no handler; every tab would have loaded then failed on first call. Built src/server.ts (auth-enforced router incl. /api/messages, /health, /status) + src/bootstrap.ts (node:http, config-driven, verified over a real socket) and the dispatcher routes behind them; added a parity test that reads web/tabApi.ts so the gap class now fails CI. Sweep 14 -&gt; 15 steps. OBS-SD3 second dead defensive branch removed. 29 suites / 163 tests at 100% zero pragmas; story counts unchanged.</t>
        </is>
      </c>
      <c r="E16" s="27" t="inlineStr">
        <is>
          <t>Released</t>
        </is>
      </c>
    </row>
    <row r="17" ht="115.5" customHeight="1" s="22">
      <c r="A17" s="27" t="inlineStr">
        <is>
          <t>v016</t>
        </is>
      </c>
      <c r="B17" s="27" t="inlineStr">
        <is>
          <t>2026-09-13 10:42</t>
        </is>
      </c>
      <c r="C17" s="27" t="inlineStr">
        <is>
          <t>Claude for Senthil/KP</t>
        </is>
      </c>
      <c r="D17" s="27" t="inlineStr">
        <is>
          <t>Session 11 — verification sweep 2 over the bot transport seam: 2 LIVE-BLOCKING defects introduced by session 10 and caught here (VER-SD09 endpoint demanded our tab SSO token and a {text} body where Teams sends a Connector JWT and an Activity; VER-SD10 replies were returned in the HTTP body instead of posted to the Connector at serviceUrl) plus VER-SD11 identity source and VER-SD12 conversationUpdate/welcome + activity ack and retry dedupe. src/botTransport.ts built as a distinct trust boundary, server gains an async activity path, bootstrap takes bot deps; k6 harness, sweep wording and dev guide corrected. 30 suites / 174 tests at 100% zero pragmas; story counts unchanged.</t>
        </is>
      </c>
      <c r="E17" s="27" t="inlineStr">
        <is>
          <t>Released</t>
        </is>
      </c>
    </row>
    <row r="18" ht="115.5" customHeight="1" s="22">
      <c r="A18" s="27" t="inlineStr">
        <is>
          <t>v017</t>
        </is>
      </c>
      <c r="B18" s="27" t="inlineStr">
        <is>
          <t>2026-09-13 10:57</t>
        </is>
      </c>
      <c r="C18" s="27" t="inlineStr">
        <is>
          <t>Claude for Senthil/KP</t>
        </is>
      </c>
      <c r="D18" s="27" t="inlineStr">
        <is>
          <t>Session 12 — verification sweep 3 over the tab SSO seam: VER-SD13 LIVE-BLOCKING — the tab had been sending the literal string "teams-sso" as its token since session 8, while the manifest has declared SSO since session 3. Real flow implemented end to end: getAuthToken() with caching and consent-error handling client-side; full Entra v2 claim validation server-side (four audience forms, issuer-tenant match, version, oid/tid, exp/nbf, access_as_user scope) with the JWKS check as an explicit injected seam. VER-SD14: Expose-an-API step added to the dev-tenant guide without which SSO cannot work at all. Sweep 15 -&gt; 16 steps. 31 suites / 181 tests at 100% zero pragmas; story counts unchanged.</t>
        </is>
      </c>
      <c r="E18" s="27" t="inlineStr">
        <is>
          <t>Released</t>
        </is>
      </c>
    </row>
    <row r="19" ht="115.5" customHeight="1" s="22">
      <c r="A19" s="27" t="inlineStr">
        <is>
          <t>v018</t>
        </is>
      </c>
      <c r="B19" s="27" t="inlineStr">
        <is>
          <t>2026-09-13 11:02</t>
        </is>
      </c>
      <c r="C19" s="27" t="inlineStr">
        <is>
          <t>Claude for Senthil/KP</t>
        </is>
      </c>
      <c r="D19" s="27" t="inlineStr">
        <is>
          <t>Session 13 — artifact-gap audit round 4 (permissions vs consumers): GAP-SD6 TeamMember.Read.Group was requested and documented as powering the role matrix but had no consumer — every resolveRole was a stub, so in a live tenant nobody would ever have been an admin; built src/graphMembers.ts (pagination, Retry-After seconds, cache, deny-safe) and bound both trust boundaries to it. GAP-SD7 ChannelMessage.Send.Group dropped as unused (replies go via the Bot Connector, not Graph) — flagged D-SD5. New contract test binds every requested scope to a consumer file in both directions. 32 suites / 190 tests at 100% zero pragmas; story counts unchanged.</t>
        </is>
      </c>
      <c r="E19" s="27" t="inlineStr">
        <is>
          <t>Released</t>
        </is>
      </c>
    </row>
    <row r="20" ht="90" customHeight="1" s="22">
      <c r="A20" s="27" t="inlineStr">
        <is>
          <t>v019</t>
        </is>
      </c>
      <c r="B20" s="27" t="inlineStr">
        <is>
          <t>2026-09-13 11:07</t>
        </is>
      </c>
      <c r="C20" s="27" t="inlineStr">
        <is>
          <t>Claude for Senthil/KP</t>
        </is>
      </c>
      <c r="D20" s="27" t="inlineStr">
        <is>
          <t>Session 14 — cold-review pass 4 over the sessions 10-13 integration code: 5 defects fixed with pinned regressions (F-020 any authenticated user could install/trial an arbitrary tenant, F-021 unbounded Graph pagination loop, F-022 single-tenant mode silently denied everyone, F-023 stale token never cleared on 401, F-024 failed Connector sends deduped away so retries were lost). Running total 24 defects + 3 observations across four passes. 33 suites / 196 tests at 100% zero pragmas; story counts unchanged.</t>
        </is>
      </c>
      <c r="E20" s="27" t="inlineStr">
        <is>
          <t>Released</t>
        </is>
      </c>
    </row>
    <row r="21" ht="128.25" customHeight="1" s="22">
      <c r="A21" s="27" t="inlineStr">
        <is>
          <t>v020</t>
        </is>
      </c>
      <c r="B21" s="27" t="inlineStr">
        <is>
          <t>2026-09-13 11:12</t>
        </is>
      </c>
      <c r="C21" s="27" t="inlineStr">
        <is>
          <t>Claude for Senthil/KP</t>
        </is>
      </c>
      <c r="D21" s="27" t="inlineStr">
        <is>
          <t>Session 15 — artifact-gap audit round 5 (documented architecture vs code): GAP-SD8 LIVE-BLOCKING — the "typed repositories" claimed in RAID R-S4 since session 1 did not exist; all state was in bare Maps, so a restart or blue/green swap would have destroyed every tenant, the backup drill had no schema, and the published retention/deletion policies had no mechanism. Built src/repository.ts (in-memory + Postgres over an injected SqlClient), migrations/001_init.sql, DurableAuditLog, and one contract suite run against both implementations; bootstrap selects by config and warns when running without a database. OBS-SD4 states honestly that the SQL fake is not a database. Sweep 16 -&gt; 17 steps. 34 suites / 208 tests at 100% zero pragmas; story counts unchanged.</t>
        </is>
      </c>
      <c r="E21" s="27" t="inlineStr">
        <is>
          <t>Released</t>
        </is>
      </c>
    </row>
    <row r="22" ht="102.75" customHeight="1" s="22">
      <c r="A22" s="27" t="inlineStr">
        <is>
          <t>v021</t>
        </is>
      </c>
      <c r="B22" s="27" t="inlineStr">
        <is>
          <t>2026-09-13 11:16</t>
        </is>
      </c>
      <c r="C22" s="27" t="inlineStr">
        <is>
          <t>Claude for Senthil/KP</t>
        </is>
      </c>
      <c r="D22" s="27" t="inlineStr">
        <is>
          <t>Session 16 — GAP-SD8b: the repository built last session was used only by the audit log; every feature service still held bare Maps, so the durability fix was half-done. Added pure snapshot/restore to the service core and src/persistence.ts (hydrate at startup, write back per mutating route, only the modules touched), wired through the HTTP layer; proven by restoring a populated tenant into a fresh app including sequence-counter continuity. OBS-SD5 records honestly that billing, install records, chat and telemetry are not yet persisted. 35 suites / 213 tests at 100% zero pragmas; story counts unchanged.</t>
        </is>
      </c>
      <c r="E22" s="27" t="inlineStr">
        <is>
          <t>Released</t>
        </is>
      </c>
    </row>
    <row r="23" ht="102.75" customHeight="1" s="22">
      <c r="A23" s="27" t="inlineStr">
        <is>
          <t>v022</t>
        </is>
      </c>
      <c r="B23" s="27" t="inlineStr">
        <is>
          <t>2026-09-13 11:21</t>
        </is>
      </c>
      <c r="C23" s="27" t="inlineStr">
        <is>
          <t>Claude for Senthil/KP</t>
        </is>
      </c>
      <c r="D23" s="27" t="inlineStr">
        <is>
          <t>Session 17 — persistence slice 2: billing accounts, install/uninstall records and support chat gain snapshot/restore and join the persisted set, so trial clocks, grace windows, dunning counters, the 30-day deletion window and open support SLAs all survive a restart. F-025 found while writing those tests — InMemoryRepository stored live references where Postgres stores values, so dev and production diverged; fixed with copy-in/copy-out pinned by a contract test on both implementations. OBS-SD6 accepts telemetry as unpersisted by design with the reasoning recorded. 36 suites / 219 tests at 100% zero pragmas; story counts unchanged.</t>
        </is>
      </c>
      <c r="E23" s="27" t="inlineStr">
        <is>
          <t>Released</t>
        </is>
      </c>
    </row>
    <row r="24" ht="102.75" customHeight="1" s="22">
      <c r="A24" s="27" t="inlineStr">
        <is>
          <t>v023</t>
        </is>
      </c>
      <c r="B24" s="27" t="inlineStr">
        <is>
          <t>2026-09-13 11:25</t>
        </is>
      </c>
      <c r="C24" s="27" t="inlineStr">
        <is>
          <t>Claude for Senthil/KP</t>
        </is>
      </c>
      <c r="D24" s="27" t="inlineStr">
        <is>
          <t>Session 18 — multi-tenancy audit: F-026 CRITICAL cross-tenant data exposure — the request context carried no tenant and one app instance served every organisation, so any user would have read every other customer's handovers; fixed with tenant-in-identity plus a per-tenant registry hydrated from that tenant's own records (single-flight loading, bounded eviction). F-027 bot mutations were never persisted. F-028 a regression from the same change made /health and /status require a token, caught by an existing test. 37 suites / 227 tests at 100% zero pragmas; story counts unchanged.</t>
        </is>
      </c>
      <c r="E24" s="27" t="inlineStr">
        <is>
          <t>Released</t>
        </is>
      </c>
    </row>
    <row r="25" ht="102.75" customHeight="1" s="22">
      <c r="A25" s="27" t="inlineStr">
        <is>
          <t>v024</t>
        </is>
      </c>
      <c r="B25" s="27" t="inlineStr">
        <is>
          <t>2026-09-13 11:51</t>
        </is>
      </c>
      <c r="C25" s="27" t="inlineStr">
        <is>
          <t>Claude for Senthil/KP</t>
        </is>
      </c>
      <c r="D25" s="27" t="inlineStr">
        <is>
          <t>Session 19 — data-deletion audit: F-029 CRITICAL — the published 30-day retention policy and the self-serve delete-my-data control deleted nothing (purgeTenant had zero callers, DataRights wrote to an unused map, uninstall purge dropped only in-memory bookkeeping), so the trust page and listing promised deletion the product never performed. Built src/tenantLifecycle.ts: durable deletion schedule, cancel on re-install, retention sweep, immediate self-serve purge that also evicts the cached runtime, and real export. Sweep 17 -&gt; 18 steps. 38 suites / 233 tests at 100% zero pragmas; story counts unchanged.</t>
        </is>
      </c>
      <c r="E25" s="27" t="inlineStr">
        <is>
          <t>Released</t>
        </is>
      </c>
    </row>
    <row r="26" ht="90" customHeight="1" s="22">
      <c r="A26" s="27" t="inlineStr">
        <is>
          <t>v025</t>
        </is>
      </c>
      <c r="B26" s="27" t="inlineStr">
        <is>
          <t>2026-09-13 11:55</t>
        </is>
      </c>
      <c r="C26" s="27" t="inlineStr">
        <is>
          <t>Claude for Senthil/KP</t>
        </is>
      </c>
      <c r="D26" s="27" t="inlineStr">
        <is>
          <t>Session 20 — authorization audit: F-030 CRITICAL — five of nine declared permissions were enforced nowhere, including data.delete and data.export, so any frontline member could have deleted or exported an entire tenant and anyone could read the audit trail. Enforcement wired at named sites and bound in both directions by a contract test; deletion receipts added so the record survives the deletion. D-SD6 removes settings.roles, which had no operation to guard. Sweep 18 -&gt; 19 steps. 39 suites / 239 tests at 100% zero pragmas; story counts unchanged.</t>
        </is>
      </c>
      <c r="E26" s="27" t="inlineStr">
        <is>
          <t>Released</t>
        </is>
      </c>
    </row>
    <row r="27" ht="102.75" customHeight="1" s="22">
      <c r="A27" s="27" t="inlineStr">
        <is>
          <t>v026</t>
        </is>
      </c>
      <c r="B27" s="27" t="inlineStr">
        <is>
          <t>2026-09-13 12:02</t>
        </is>
      </c>
      <c r="C27" s="27" t="inlineStr">
        <is>
          <t>Claude for Senthil/KP</t>
        </is>
      </c>
      <c r="D27" s="27" t="inlineStr">
        <is>
          <t>Session 21 — billing-integrity audit: three High defects, all the same shape as F-030 — states declared and never checked. F-031 read-only and cancelled restricted nothing, so the documented dunning ladder was cosmetic; F-032 plan limits were advisory with zero callers; F-033 trials never expired. src/entitlements.ts now gates mutating requests on billing state and the seat cap, never on reads, with refusal messages that tell the user their data is safe. Pricing FAQ updated to describe the real behaviour. Sweep 19 -&gt; 20 steps. 40 suites / 246 tests at 100% zero pragmas; story counts unchanged.</t>
        </is>
      </c>
      <c r="E27" s="27" t="inlineStr">
        <is>
          <t>Released</t>
        </is>
      </c>
    </row>
    <row r="28" ht="102.75" customHeight="1" s="22">
      <c r="A28" s="27" t="inlineStr">
        <is>
          <t>v027</t>
        </is>
      </c>
      <c r="B28" s="27" t="inlineStr">
        <is>
          <t>2026-09-13 16:27</t>
        </is>
      </c>
      <c r="C28" s="27" t="inlineStr">
        <is>
          <t>Claude for Senthil/KP</t>
        </is>
      </c>
      <c r="D28" s="27" t="inlineStr">
        <is>
          <t>Session 22 — delivery and measurement audit: F-034 notifications were never delivered on either channel (the array they were written to was FIFO-discarded), closed with a dispatcher that delivers in-app and email with independent failure handling, durable unread state and mute respected; F-035 the p95 budgets ST-087 calls monitored were measured nowhere, so the runbook rollback trigger could never fire — the request path is now instrumented and /health reports p95 vs budget per surface. Sweep 20 -&gt; 22 steps. 42 suites / 256 tests at 100% zero pragmas; story counts unchanged.</t>
        </is>
      </c>
      <c r="E28" s="27" t="inlineStr">
        <is>
          <t>Released</t>
        </is>
      </c>
    </row>
    <row r="29" ht="102.75" customHeight="1" s="22">
      <c r="A29" s="27" t="inlineStr">
        <is>
          <t>v028</t>
        </is>
      </c>
      <c r="B29" s="27" t="inlineStr">
        <is>
          <t>2026-09-13 16:35</t>
        </is>
      </c>
      <c r="C29" s="27" t="inlineStr">
        <is>
          <t>Claude for Senthil/KP</t>
        </is>
      </c>
      <c r="D29" s="27" t="inlineStr">
        <is>
          <t>Session 23 — measurement and evidence audit: F-036 the entire telemetry epic had zero callers, so the S11 activation metric could not have been computed on launch day; the request path now records install/setup/aha/habit, feature usage and errors by release. F-037 audit entries went to an in-memory log discarded on restart while the durable log built in session 15 sat unused, and only configuration changes were covered; creation and completion are now audited and drained to the durable per-tenant store. Sweep 22 -&gt; 24 steps. 43 suites / 262 tests at 100% zero pragmas; story counts unchanged.</t>
        </is>
      </c>
      <c r="E29" s="27" t="inlineStr">
        <is>
          <t>Released</t>
        </is>
      </c>
    </row>
    <row r="30" ht="115.5" customHeight="1" s="22">
      <c r="A30" s="27" t="inlineStr">
        <is>
          <t>v029</t>
        </is>
      </c>
      <c r="B30" s="27" t="inlineStr">
        <is>
          <t>2026-09-13 16:40</t>
        </is>
      </c>
      <c r="C30" s="27" t="inlineStr">
        <is>
          <t>Claude for Senthil/KP</t>
        </is>
      </c>
      <c r="D30" s="27" t="inlineStr">
        <is>
          <t>Session 24 — systematic wiring audit of all 112 exports (R-S14): F-038 six of nine screens had no mount path, so approvals had no UI at all and settings, billing, analytics and help were unreachable — all eight entities now routed, served and declared as tabs, bound by test; F-039 the notification dispatcher built last session was itself never called, now wired into the request path; F-040 recorded OPEN — the trust page promises AES-256 at rest and the crypto module has no callers, which needs a decision rather than a silent fix; OBS-SD7 documents the remaining deliberate non-wiring. Sweep 24 -&gt; 25 steps. 44 suites / 269 tests at 100% zero pragmas; story counts unchanged.</t>
        </is>
      </c>
      <c r="E30" s="27" t="inlineStr">
        <is>
          <t>Released</t>
        </is>
      </c>
    </row>
    <row r="31" ht="102.75" customHeight="1" s="22">
      <c r="A31" s="27" t="inlineStr">
        <is>
          <t>v030</t>
        </is>
      </c>
      <c r="B31" s="27" t="inlineStr">
        <is>
          <t>2026-09-13 16:47</t>
        </is>
      </c>
      <c r="C31" s="27" t="inlineStr">
        <is>
          <t>Claude for Senthil/KP</t>
        </is>
      </c>
      <c r="D31" s="27" t="inlineStr">
        <is>
          <t>Session 25 — F-040 resolved without pre-empting the decision: src/encryptedRepository.ts encrypts record content with AES-256-GCM when an encryption key is configured, otherwise the deployment relies on provider-managed storage encryption and nothing changes. Read-through keeps pre-encryption rows readable; query keys stay plaintext by design and the trust page now says so precisely instead of claiming blanket AES-256. OBS-SD8 records that key rotation is not yet implemented, which the versioned envelope leaves room for. Sweep 25 -&gt; 26 steps. 45 suites / 276 tests at 100% zero pragmas; story counts unchanged.</t>
        </is>
      </c>
      <c r="E31" s="27" t="inlineStr">
        <is>
          <t>Released</t>
        </is>
      </c>
    </row>
    <row r="32" ht="115.5" customHeight="1" s="22">
      <c r="A32" s="27" t="inlineStr">
        <is>
          <t>v031</t>
        </is>
      </c>
      <c r="B32" s="27" t="inlineStr">
        <is>
          <t>2026-09-13 16:51</t>
        </is>
      </c>
      <c r="C32" s="27" t="inlineStr">
        <is>
          <t>Claude for Senthil/KP</t>
        </is>
      </c>
      <c r="D32" s="27" t="inlineStr">
        <is>
          <t>Session 26 — cold-review pass 5 over the seven modules built in sessions 18-25: five defects fixed with pinned regressions. F-041 the seat cap could never fire because the server asked whether the TENANT had seats rather than whether the PERSON did; F-045 notifications were drained before delivery so an outage discarded them (and my first fix was still a discard, caught by its own test); F-042 re-hydration inflated the install count and understated the S11 activation metric; F-043 deleting a tenant mid-hydration resurrected it; F-044 same-millisecond notices overwrote each other. Running total 34 defects across five passes. 46 suites / 282 tests at 100% zero pragmas; story counts unchanged.</t>
        </is>
      </c>
      <c r="E32" s="27" t="inlineStr">
        <is>
          <t>Released</t>
        </is>
      </c>
    </row>
    <row r="33" ht="115.5" customHeight="1" s="22">
      <c r="A33" s="27" t="inlineStr">
        <is>
          <t>v032</t>
        </is>
      </c>
      <c r="B33" s="27" t="inlineStr">
        <is>
          <t>2026-09-13 17:25</t>
        </is>
      </c>
      <c r="C33" s="27" t="inlineStr">
        <is>
          <t>Claude for Senthil/KP</t>
        </is>
      </c>
      <c r="D33" s="27" t="inlineStr">
        <is>
          <t>Session 27 — multi-instance audit: F-046 CRITICAL — the snapshot persistence model is safe for one writer only, while the blue/green deploy and the 5x load harness both assume several; two instances silently erased each other's handovers with no error. Optimistic concurrency added end to end (versioned records, guarded writes, conflict detection, tenant reload and a 409 with a retry message), proven with two instances over one store. migrations/002_versioning.sql plus a migration step in the deploy workflow. OBS-SD9 records that module-level snapshots make conflicts coarser than per-record writes would. Sweep 26 -&gt; 27 steps. 47 suites / 292 tests at 100% zero pragmas; story counts unchanged.</t>
        </is>
      </c>
      <c r="E33" s="27" t="inlineStr">
        <is>
          <t>Released</t>
        </is>
      </c>
    </row>
    <row r="34" ht="102.75" customHeight="1" s="22">
      <c r="A34" s="27" t="inlineStr">
        <is>
          <t>v033</t>
        </is>
      </c>
      <c r="B34" s="27" t="inlineStr">
        <is>
          <t>2026-09-13 18:51</t>
        </is>
      </c>
      <c r="C34" s="27" t="inlineStr">
        <is>
          <t>Claude for Senthil/KP</t>
        </is>
      </c>
      <c r="D34" s="27" t="inlineStr">
        <is>
          <t>Session 28 — dependency-failure audit: F-047 CRITICAL — no error handling at the HTTP boundary, so a store, Graph or mail failure rejected into a void callback, hung the request and terminated the process on current Node; every request now answers (503 transient / 500 otherwise, no internal detail to the user), a last-resort guard covers the error path itself, and StoreHealth surfaces repeated save failures through /status. F-048 revises my own F-045 fix: delivery is best-effort and the user's write is not, so a mail outage no longer rejects a supervisor's handover. Sweep 27 -&gt; 28 steps. 48 suites / 299 tests at 100% zero pragmas; story counts unchanged.</t>
        </is>
      </c>
      <c r="E34" s="27" t="inlineStr">
        <is>
          <t>Released</t>
        </is>
      </c>
    </row>
    <row r="35" ht="102.75" customHeight="1" s="22">
      <c r="A35" s="27" t="inlineStr">
        <is>
          <t>v034</t>
        </is>
      </c>
      <c r="B35" s="27" t="inlineStr">
        <is>
          <t>2026-09-13 19:10</t>
        </is>
      </c>
      <c r="C35" s="27" t="inlineStr">
        <is>
          <t>Claude for Senthil/KP</t>
        </is>
      </c>
      <c r="D35" s="27" t="inlineStr">
        <is>
          <t>Session 29 — cold-review pass 6 over the sessions 26-28 code: F-049 the error classifier matched message text including a string that only existed in my test fixtures, so a real bug mentioning "timeout" would have been reported to users as transient — now typed; F-050 store degradation cleared on reads, which touch no store, so a broken deployment reported healthy as soon as anyone opened a tab; F-051 a bot mutation hitting a persistence conflict was replayed by the Bot Service retry, turning one command into two handovers. Running total 37 defects across six passes. 49 suites / 303 tests at 100% zero pragmas; story counts unchanged.</t>
        </is>
      </c>
      <c r="E35" s="27" t="inlineStr">
        <is>
          <t>Released</t>
        </is>
      </c>
    </row>
    <row r="36" ht="77.25" customHeight="1" s="22">
      <c r="A36" s="27" t="inlineStr">
        <is>
          <t>v035</t>
        </is>
      </c>
      <c r="B36" s="27" t="inlineStr">
        <is>
          <t>2026-09-13 19:27</t>
        </is>
      </c>
      <c r="C36" s="27" t="inlineStr">
        <is>
          <t>Claude for Senthil/KP</t>
        </is>
      </c>
      <c r="D36" s="27" t="inlineStr">
        <is>
          <t>Session 30 — live-day preparation instead of a further audit: the 28-step sweep was prose, so the dev-tenant day meant 28 manual checks. The machine-checkable half is now executable (src/sweepRunner.ts + npm run sweep), producing a pass/fail report and an explicit operator list, with unimplemented steps reported as manual rather than passed. Proven against a real in-process deployment. 50 suites / 309 tests at 100% zero pragmas; story counts unchanged.</t>
        </is>
      </c>
      <c r="E36" s="27" t="inlineStr">
        <is>
          <t>Released</t>
        </is>
      </c>
    </row>
    <row r="37" ht="90" customHeight="1" s="22">
      <c r="A37" s="27" t="inlineStr">
        <is>
          <t>v036</t>
        </is>
      </c>
      <c r="B37" s="27" t="inlineStr">
        <is>
          <t>2026-09-13 19:32</t>
        </is>
      </c>
      <c r="C37" s="27" t="inlineStr">
        <is>
          <t>Claude for Senthil/KP</t>
        </is>
      </c>
      <c r="D37" s="27" t="inlineStr">
        <is>
          <t>Session 31 — sweep automation round 2: six more published steps made executable behind capability gates (database, second instance, mailbox), with anything unavailable reported SKIP-with-reason rather than passed; the CLI now takes a second instance URL and uses DATABASE_URL when present. F-052 found by writing the funnel check — the Analytics tab read a telemetry instance nothing feeds, so it would have shown zeros forever. 50 suites / 318 tests at 100% zero pragmas; story counts unchanged.</t>
        </is>
      </c>
      <c r="E37" s="27" t="inlineStr">
        <is>
          <t>Released</t>
        </is>
      </c>
    </row>
    <row r="38" ht="77.25" customHeight="1" s="22">
      <c r="A38" s="27" t="inlineStr">
        <is>
          <t>v037</t>
        </is>
      </c>
      <c r="B38" s="27" t="inlineStr">
        <is>
          <t>2026-09-13 19:39</t>
        </is>
      </c>
      <c r="C38" s="27" t="inlineStr">
        <is>
          <t>Claude for Senthil/KP</t>
        </is>
      </c>
      <c r="D38" s="27" t="inlineStr">
        <is>
          <t>Session 32 — live-day preparation 3: packaging. The manual "zip three files" step is now `npm run package` — placeholder substitution from environment variables with the missing one named, manifest validation against the rules the store applies, and an archive with the files at the root rather than inside a folder (the most common sideload rejection). Verified end to end against the real manifest and icons. 51 suites / 323 tests at 100% zero pragmas; story counts unchanged.</t>
        </is>
      </c>
      <c r="E38" s="27" t="inlineStr">
        <is>
          <t>Released</t>
        </is>
      </c>
    </row>
    <row r="39" ht="102.75" customHeight="1" s="22">
      <c r="A39" s="27" t="inlineStr">
        <is>
          <t>v038</t>
        </is>
      </c>
      <c r="B39" s="27" t="inlineStr">
        <is>
          <t>2026-09-13 20:05</t>
        </is>
      </c>
      <c r="C39" s="27" t="inlineStr">
        <is>
          <t>Claude for Senthil/KP</t>
        </is>
      </c>
      <c r="D39" s="27" t="inlineStr">
        <is>
          <t>Session 33 — deliverability audit of my own live-day tooling: F-053 both scripts called an undeclared ts-node and would have failed on a clean install on the tenant day; F-054 the optional Postgres driver was undeclared and would have crashed the sweep rather than skipping its checks; F-056 tsconfig excluded scripts entirely, so the live-day tooling was never typechecked and in fact did not compile under its own runner; OBS-SD10 test tooling was shipped as runtime dependencies. All fixed, with CI now executing both scripts after a clean install. 51 suites / 323 tests at 100% zero pragmas; story counts unchanged.</t>
        </is>
      </c>
      <c r="E39" s="27" t="inlineStr">
        <is>
          <t>Released</t>
        </is>
      </c>
    </row>
    <row r="40" ht="90" customHeight="1" s="22">
      <c r="A40" s="27" t="inlineStr">
        <is>
          <t>v039</t>
        </is>
      </c>
      <c r="B40" s="27" t="inlineStr">
        <is>
          <t>2026-09-13 20:10</t>
        </is>
      </c>
      <c r="C40" s="27" t="inlineStr">
        <is>
          <t>Claude for Senthil/KP</t>
        </is>
      </c>
      <c r="D40" s="27" t="inlineStr">
        <is>
          <t>Session 34 — clean-checkout rehearsal of the whole delivery: unzip, npm ci, typecheck, tests, build, package, start, sweep. It exposed F-057 — the guide has told operators to start the server since session 10 while the repository shipped no entry point at all; scripts/serve.ts now ships as npm start with an explicit verifier seam that refuses to run unconfigured. Rehearsal result: 8 automated checks passed, 0 failed, 5 skipped for access unavailable here, 28 operator steps listed. CI now boots the server and sweeps it. 52 suites / 327 tests at 100% zero pragmas; story counts unchanged.</t>
        </is>
      </c>
      <c r="E40" s="27" t="inlineStr">
        <is>
          <t>Released</t>
        </is>
      </c>
    </row>
    <row r="41" ht="90" customHeight="1" s="22">
      <c r="A41" s="27" t="inlineStr">
        <is>
          <t>v040</t>
        </is>
      </c>
      <c r="B41" s="27" t="inlineStr">
        <is>
          <t>2026-09-13 20:26</t>
        </is>
      </c>
      <c r="C41" s="27" t="inlineStr">
        <is>
          <t>Claude for Senthil/KP</t>
        </is>
      </c>
      <c r="D41" s="27" t="inlineStr">
        <is>
          <t>Session 35 — path-to-use audit 2: F-058 — the manifest points all eight tabs at /tab/ and nothing served that path, so every tab would have 404'd on install day despite three earlier sessions building the tab surface. The app now serves its own built bundle with correct content types, traversal refused, and a clear message when the deployment was never built. Sweep gains A-14, verified against a running server: 9 automated checks pass end to end. 53 suites / 334 tests at 100% zero pragmas; story counts unchanged.</t>
        </is>
      </c>
      <c r="E41" s="27" t="inlineStr">
        <is>
          <t>Released</t>
        </is>
      </c>
    </row>
    <row r="42" ht="90" customHeight="1" s="22">
      <c r="A42" s="27" t="inlineStr">
        <is>
          <t>v041</t>
        </is>
      </c>
      <c r="B42" s="27" t="inlineStr">
        <is>
          <t>2026-09-13 20:32</t>
        </is>
      </c>
      <c r="C42" s="27" t="inlineStr">
        <is>
          <t>Claude for Senthil/KP</t>
        </is>
      </c>
      <c r="D42" s="27" t="inlineStr">
        <is>
          <t>Session 36 — path-to-use audit 3: F-059 — the entry point wired no bot dependencies, so the messaging endpoint answered 503 and every advertised command was dead, including the install welcome. Connector sender built (reply posted to the activity serviceUrl, bot-credential token cached, failures surfaced), dev mode logs replies rather than faking them, production refuses inbound activities until a Connector verifier is wired. Sweep check A-15 distinguishes 503 / 401 / 200. 54 suites / 343 tests at 100% zero pragmas; story counts unchanged.</t>
        </is>
      </c>
      <c r="E42" s="27" t="inlineStr">
        <is>
          <t>Released</t>
        </is>
      </c>
    </row>
    <row r="43" ht="90" customHeight="1" s="22">
      <c r="A43" s="27" t="inlineStr">
        <is>
          <t>v042</t>
        </is>
      </c>
      <c r="B43" s="27" t="inlineStr">
        <is>
          <t>2026-09-13 21:56</t>
        </is>
      </c>
      <c r="C43" s="27" t="inlineStr">
        <is>
          <t>Claude for Senthil/KP</t>
        </is>
      </c>
      <c r="D43" s="27" t="inlineStr">
        <is>
          <t>Session 37 — path-to-use audit 4: F-060 installing or removing the app recorded nothing, so the 30-day window and re-install restore had no trigger; F-061 CRITICAL the retention sweep itself was called by nothing in any deployment, meaning the published 30-day deletion would never have run. Install/uninstall hooks wired through the transport to the entry point, and an hourly scheduler that logs each purge, survives failures and does not hold the process open. 55 suites / 349 tests at 100% zero pragmas; story counts unchanged.</t>
        </is>
      </c>
      <c r="E43" s="27" t="inlineStr">
        <is>
          <t>Released</t>
        </is>
      </c>
    </row>
    <row r="44" ht="102.75" customHeight="1" s="22">
      <c r="A44" s="27" t="inlineStr">
        <is>
          <t>v043</t>
        </is>
      </c>
      <c r="B44" s="27" t="inlineStr">
        <is>
          <t>2026-09-13 22:55</t>
        </is>
      </c>
      <c r="C44" s="27" t="inlineStr">
        <is>
          <t>Claude for Senthil/KP</t>
        </is>
      </c>
      <c r="D44" s="27" t="inlineStr">
        <is>
          <t>Session 38 — runtime wiring audit: F-062 CRITICAL the entry point resolved every user to OWNER, so with F-030 enforcement any frontline member could have deleted or exported the whole tenant; roles now come from a real source or fall back to member, announced at startup. F-063 the notification dispatcher was never constructed at runtime, so delivery did not happen in a deployment; a per-tenant factory is now wired. F-064 the help index was never constructed, so the Help tab was empty despite fifteen shipped articles. Sweep gains A-16. 56 suites / 356 tests at 100% zero pragmas; story counts unchanged.</t>
        </is>
      </c>
      <c r="E44" s="27" t="inlineStr">
        <is>
          <t>Released</t>
        </is>
      </c>
    </row>
    <row r="45" ht="77.25" customHeight="1" s="22">
      <c r="A45" s="27" t="inlineStr">
        <is>
          <t>v044</t>
        </is>
      </c>
      <c r="B45" s="27" t="inlineStr">
        <is>
          <t>2026-09-13 23:05</t>
        </is>
      </c>
      <c r="C45" s="27" t="inlineStr">
        <is>
          <t>Claude for Senthil/KP</t>
        </is>
      </c>
      <c r="D45" s="27" t="inlineStr">
        <is>
          <t>Session 39 — runtime wiring audit 2: F-065 notification addresses were invented from object ids at our own domain, while the SSO token carried the real one and discarded it; F-066 the Graph directory could never be enabled, so after F-062 no deployment could ever have an admin; F-067 install-count seeding existed and was never called. All three wired, with explicit failures rather than silent defaults. 57 suites / 364 tests at 100% zero pragmas; story counts unchanged.</t>
        </is>
      </c>
      <c r="E45" s="27" t="inlineStr">
        <is>
          <t>Released</t>
        </is>
      </c>
    </row>
    <row r="46" ht="102.95" customHeight="1" s="22">
      <c r="A46" s="27" t="inlineStr">
        <is>
          <t>v045</t>
        </is>
      </c>
      <c r="B46" s="27" t="inlineStr">
        <is>
          <t>2026-09-13 23:14</t>
        </is>
      </c>
      <c r="C46" s="27" t="inlineStr">
        <is>
          <t>Claude for Senthil/KP</t>
        </is>
      </c>
      <c r="D46" s="27" t="inlineStr">
        <is>
          <t>Session 40 — runtime wiring audit 3, starting with my own previous session: F-068 the seeding wired last session logged a count and never seeded the observer, so F-067 was reported fixed and was not; F-069 nothing ever populated the role directory, so even with the Graph runtime supplied the installer was never owner and team owners never admins; F-070 every error was tagged "dev" so errors-by-release could not distinguish builds; OBS-SD11 the encrypted store did not forward listAll, which is now part of the contract rather than optional. 58 suites / 371 tests at 100% zero pragmas; story counts unchanged.</t>
        </is>
      </c>
      <c r="E46" s="27" t="inlineStr">
        <is>
          <t>Released</t>
        </is>
      </c>
    </row>
    <row r="47">
      <c r="A47" s="28" t="inlineStr">
        <is>
          <t>v046</t>
        </is>
      </c>
      <c r="B47" s="28" t="inlineStr">
        <is>
          <t>2026-09-20 16:40</t>
        </is>
      </c>
      <c r="C47" s="28" t="inlineStr">
        <is>
          <t>Claude for Senthil/KP</t>
        </is>
      </c>
      <c r="D47" s="28" t="inlineStr">
        <is>
          <t>Session 41: independent review V001 actioned in full. Full_Backlog +47 SD stories (147 total, none dropped) with Sprint_Board extended to S20 and its ranges retargeted. Review_Findings carries the disposition of all 20 P-series findings and all 8 D-series decisions, generated from the shipped REVIEW_PACK.md so workbook and code cannot disagree, plus own goals F-071 and F-072. Financial_Model rebuilt (P-018/D-01/D-02): cash-in and opening-cash inputs, closing-cash and runway rows, a computed breakeven month, a stated funding requirement, and a per-site pricing scenario beside the per-seat one — the reviewer's Scenario A result is reproduced rather than argued with. Metrics_Targets restated with absolute values and a named measurement source per row (D-03). Risk_Register rewritten with the free first-party overlap as the top risk (D-04). Launch_Checklist gains #11 Fulfillment (D-08), #12 residency/legal, #13 durability and #14 recording that the trust page stays unpublished (D-07). Companion tracker v040; codebase v0.14.0 at 68 suites / 552 tests, 100% four ways with zero pragmas, 9/9 real-Postgres integration tests, backup drill PASS at RPO 0s / RTO 0s. Own goals F-071..F-074 recorded, two of them in the release gate itself.</t>
        </is>
      </c>
      <c r="E47" s="28" t="inlineStr">
        <is>
          <t>Released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21" min="1" max="1"/>
  </cols>
  <sheetData>
    <row r="1" ht="17.25" customHeight="1" s="22">
      <c r="A1" s="23" t="inlineStr">
        <is>
          <t>ShiftDesk — Shift comms + approvals + checklists bot for frontline teams inside Teams</t>
        </is>
      </c>
    </row>
    <row r="3" ht="27.75" customHeight="1" s="22">
      <c r="A3" s="29" t="inlineStr">
        <is>
          <t>PLATFORM: Microsoft Teams App Store / AppSource | CATEGORY: Frontline Workforce</t>
        </is>
      </c>
    </row>
    <row r="4" ht="27.75" customHeight="1" s="22">
      <c r="A4" s="29" t="inlineStr">
        <is>
          <t>PROBLEM: 320M+ Teams MAU but frontline tooling is either heavy (dedicated WFM) or absent</t>
        </is>
      </c>
    </row>
    <row r="5" ht="27.75" customHeight="1" s="22">
      <c r="A5" s="29" t="inlineStr">
        <is>
          <t>DIFFERENTIATION: Bot-first UX, works on Teams mobile, per-frontline-seat pricing far under WFM suites</t>
        </is>
      </c>
    </row>
    <row r="6" ht="27.75" customHeight="1" s="22">
      <c r="A6" s="29" t="inlineStr">
        <is>
          <t>ICP: Enterprises 500-20k employees with frontline workforce (retail, logistics, healthcare) on M365 F/E plans</t>
        </is>
      </c>
    </row>
    <row r="7" ht="27.75" customHeight="1" s="22">
      <c r="A7" s="29" t="n"/>
    </row>
    <row r="8" ht="55.5" customHeight="1" s="22">
      <c r="A8" s="29" t="inlineStr">
        <is>
          <t>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is>
      </c>
    </row>
    <row r="9" ht="27.75" customHeight="1" s="22">
      <c r="A9" s="29" t="n"/>
    </row>
    <row r="10" ht="27.75" customHeight="1" s="22">
      <c r="A10" s="29" t="inlineStr">
        <is>
          <t>STACK ASSUMPTION (market standard): TypeScript/Node or platform-mandated runtime, React frontends, Postgres, hosted on AWS/GCP/platform FaaS as required, GitHub Actions CI, PostHog + Sentry telemetry, Intercom-class support.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1" min="1" max="1"/>
    <col width="44" customWidth="1" style="21" min="2" max="2"/>
    <col width="34" customWidth="1" style="21" min="3" max="3"/>
    <col width="40" customWidth="1" style="21" min="4" max="4"/>
  </cols>
  <sheetData>
    <row r="1" ht="17.25" customHeight="1" s="22">
      <c r="A1" s="23" t="inlineStr">
        <is>
          <t>PRODUCT SPEC</t>
        </is>
      </c>
    </row>
    <row r="3" ht="15" customHeight="1" s="22">
      <c r="A3" s="24" t="inlineStr">
        <is>
          <t>Module (feature)</t>
        </is>
      </c>
      <c r="B3" s="24" t="inlineStr">
        <is>
          <t>Scope in MVP</t>
        </is>
      </c>
      <c r="C3" s="24" t="inlineStr">
        <is>
          <t>Out of scope (v1)</t>
        </is>
      </c>
      <c r="D3" s="24" t="inlineStr">
        <is>
          <t>Non-functional requirements</t>
        </is>
      </c>
    </row>
    <row r="4" ht="30" customHeight="1" s="22">
      <c r="A4" s="25" t="inlineStr">
        <is>
          <t>Shift handover threads</t>
        </is>
      </c>
      <c r="B4" s="25" t="inlineStr">
        <is>
          <t>Shift handover threads: end-to-end happy path + edge cases + permissions</t>
        </is>
      </c>
      <c r="C4" s="25" t="inlineStr">
        <is>
          <t>Advanced automation, AI beyond listed, multi-language beyond launch set</t>
        </is>
      </c>
      <c r="D4" s="25" t="inlineStr">
        <is>
          <t>p95 &lt;500ms API / &lt;2s UI loads</t>
        </is>
      </c>
    </row>
    <row r="5" ht="30" customHeight="1" s="22">
      <c r="A5" s="25" t="inlineStr">
        <is>
          <t>Approval workflows</t>
        </is>
      </c>
      <c r="B5" s="25" t="inlineStr">
        <is>
          <t>Approval workflows: end-to-end happy path + edge cases + permissions</t>
        </is>
      </c>
      <c r="C5" s="25" t="inlineStr">
        <is>
          <t>Advanced automation, AI beyond listed, multi-language beyond launch set</t>
        </is>
      </c>
      <c r="D5" s="25" t="inlineStr">
        <is>
          <t>99.5% monthly uptime</t>
        </is>
      </c>
    </row>
    <row r="6" ht="30" customHeight="1" s="22">
      <c r="A6" s="25" t="inlineStr">
        <is>
          <t>Digital checklists</t>
        </is>
      </c>
      <c r="B6" s="25" t="inlineStr">
        <is>
          <t>Digital checklists: end-to-end happy path + edge cases + permissions</t>
        </is>
      </c>
      <c r="C6" s="25" t="inlineStr">
        <is>
          <t>Advanced automation, AI beyond listed, multi-language beyond launch set</t>
        </is>
      </c>
      <c r="D6" s="25" t="inlineStr">
        <is>
          <t>WCAG AA</t>
        </is>
      </c>
    </row>
    <row r="7" ht="30" customHeight="1" s="22">
      <c r="A7" s="25" t="inlineStr">
        <is>
          <t>Kudos/recognition</t>
        </is>
      </c>
      <c r="B7" s="25" t="inlineStr">
        <is>
          <t>Kudos/recognition: end-to-end happy path + edge cases + permissions</t>
        </is>
      </c>
      <c r="C7" s="25" t="inlineStr">
        <is>
          <t>Advanced automation, AI beyond listed, multi-language beyond launch set</t>
        </is>
      </c>
      <c r="D7" s="25" t="inlineStr">
        <is>
          <t>SOC2-track controls</t>
        </is>
      </c>
    </row>
    <row r="8" ht="30" customHeight="1" s="22">
      <c r="A8" s="25" t="inlineStr">
        <is>
          <t>Manager dashboard</t>
        </is>
      </c>
      <c r="B8" s="25" t="inlineStr">
        <is>
          <t>Manager dashboard: end-to-end happy path + edge cases + permissions</t>
        </is>
      </c>
      <c r="C8" s="25" t="inlineStr">
        <is>
          <t>Advanced automation, AI beyond listed, multi-language beyond launch set</t>
        </is>
      </c>
      <c r="D8" s="25" t="inlineStr">
        <is>
          <t>Rate-limit safe (backoff+queue)</t>
        </is>
      </c>
    </row>
    <row r="10" ht="15" customHeight="1" s="22">
      <c r="A10" s="24" t="inlineStr">
        <is>
          <t>Persona</t>
        </is>
      </c>
      <c r="B10" s="24" t="inlineStr">
        <is>
          <t>Jobs-to-be-done</t>
        </is>
      </c>
      <c r="C10" s="24" t="n"/>
      <c r="D10" s="24" t="n"/>
    </row>
    <row r="11" ht="25.5" customHeight="1" s="22">
      <c r="A11" s="25" t="inlineStr">
        <is>
          <t>Ops director</t>
        </is>
      </c>
      <c r="B11" s="25" t="inlineStr">
        <is>
          <t>Buys on compliance + task completion rates</t>
        </is>
      </c>
      <c r="C11" s="30" t="n"/>
      <c r="D11" s="31" t="n"/>
    </row>
    <row r="12" ht="25.5" customHeight="1" s="22">
      <c r="A12" s="25" t="inlineStr">
        <is>
          <t>IT admin (M365)</t>
        </is>
      </c>
      <c r="B12" s="25" t="inlineStr">
        <is>
          <t>Gatekeeper; conditional access, app permission policies</t>
        </is>
      </c>
      <c r="C12" s="30" t="n"/>
      <c r="D12" s="31" t="n"/>
    </row>
    <row r="13" ht="25.5" customHeight="1" s="22">
      <c r="A13" s="25" t="inlineStr">
        <is>
          <t>Frontline supervisor</t>
        </is>
      </c>
      <c r="B13" s="25" t="inlineStr">
        <is>
          <t>Daily user; mobile-first, zero training tolerance</t>
        </is>
      </c>
      <c r="C13" s="30" t="n"/>
      <c r="D13" s="31" t="n"/>
    </row>
  </sheetData>
  <mergeCells count="3">
    <mergeCell ref="B12:D12"/>
    <mergeCell ref="B11:D11"/>
    <mergeCell ref="B13:D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1" min="1" max="1"/>
    <col width="28" customWidth="1" style="21" min="2" max="2"/>
    <col width="40" customWidth="1" style="21" min="3" max="3"/>
    <col width="44" customWidth="1" style="21" min="4" max="4"/>
    <col width="24" customWidth="1" style="21" min="5" max="5"/>
  </cols>
  <sheetData>
    <row r="1" ht="17.25" customHeight="1" s="22">
      <c r="A1" s="23" t="inlineStr">
        <is>
          <t>SCREEN INVENTORY (attach Figma links in col E during S0)</t>
        </is>
      </c>
    </row>
    <row r="3" ht="15" customHeight="1" s="22">
      <c r="A3" s="24" t="inlineStr">
        <is>
          <t>#</t>
        </is>
      </c>
      <c r="B3" s="24" t="inlineStr">
        <is>
          <t>Screen</t>
        </is>
      </c>
      <c r="C3" s="24" t="inlineStr">
        <is>
          <t>Purpose</t>
        </is>
      </c>
      <c r="D3" s="24" t="inlineStr">
        <is>
          <t>Key elements</t>
        </is>
      </c>
      <c r="E3" s="24" t="inlineStr">
        <is>
          <t>Wireframe link</t>
        </is>
      </c>
    </row>
    <row r="4" ht="25.5" customHeight="1" s="22">
      <c r="A4" s="25" t="n">
        <v>1</v>
      </c>
      <c r="B4" s="25" t="inlineStr">
        <is>
          <t>Onboarding / first-run</t>
        </is>
      </c>
      <c r="C4" s="25" t="inlineStr">
        <is>
          <t>Reach aha in &lt;1 day</t>
        </is>
      </c>
      <c r="D4" s="25" t="inlineStr">
        <is>
          <t>Checklist, sample data toggle, connect steps</t>
        </is>
      </c>
      <c r="E4" s="26" t="n"/>
    </row>
    <row r="5" ht="25.5" customHeight="1" s="22">
      <c r="A5" s="25" t="n">
        <v>2</v>
      </c>
      <c r="B5" s="25" t="inlineStr">
        <is>
          <t>Home dashboard</t>
        </is>
      </c>
      <c r="C5" s="25" t="inlineStr">
        <is>
          <t>Daily habit surface</t>
        </is>
      </c>
      <c r="D5" s="25" t="inlineStr">
        <is>
          <t>KPI cards, activity feed, alerts</t>
        </is>
      </c>
      <c r="E5" s="26" t="n"/>
    </row>
    <row r="6" ht="25.5" customHeight="1" s="22">
      <c r="A6" s="25" t="n">
        <v>3</v>
      </c>
      <c r="B6" s="25" t="inlineStr">
        <is>
          <t>Shift handover threads workspace</t>
        </is>
      </c>
      <c r="C6" s="25" t="inlineStr">
        <is>
          <t>Core value surface</t>
        </is>
      </c>
      <c r="D6" s="25" t="inlineStr">
        <is>
          <t>List+detail, bulk actions, status chips</t>
        </is>
      </c>
      <c r="E6" s="26" t="n"/>
    </row>
    <row r="7" ht="25.5" customHeight="1" s="22">
      <c r="A7" s="25" t="n">
        <v>4</v>
      </c>
      <c r="B7" s="25" t="inlineStr">
        <is>
          <t>Approval workflows builder</t>
        </is>
      </c>
      <c r="C7" s="25" t="inlineStr">
        <is>
          <t>Configure second pillar</t>
        </is>
      </c>
      <c r="D7" s="25" t="inlineStr">
        <is>
          <t>Rule builder, preview, test mode</t>
        </is>
      </c>
      <c r="E7" s="26" t="n"/>
    </row>
    <row r="8" ht="25.5" customHeight="1" s="22">
      <c r="A8" s="25" t="n">
        <v>5</v>
      </c>
      <c r="B8" s="25" t="inlineStr">
        <is>
          <t>Digital checklists view</t>
        </is>
      </c>
      <c r="C8" s="25" t="inlineStr">
        <is>
          <t>Differentiator surface</t>
        </is>
      </c>
      <c r="D8" s="25" t="inlineStr">
        <is>
          <t>Timeline/visual, export</t>
        </is>
      </c>
      <c r="E8" s="26" t="n"/>
    </row>
    <row r="9" ht="25.5" customHeight="1" s="22">
      <c r="A9" s="25" t="n">
        <v>6</v>
      </c>
      <c r="B9" s="25" t="inlineStr">
        <is>
          <t>Settings &amp; team</t>
        </is>
      </c>
      <c r="C9" s="25" t="inlineStr">
        <is>
          <t>Roles, notifications, data</t>
        </is>
      </c>
      <c r="D9" s="25" t="inlineStr">
        <is>
          <t>Role matrix, API keys, danger zone</t>
        </is>
      </c>
      <c r="E9" s="26" t="n"/>
    </row>
    <row r="10" ht="25.5" customHeight="1" s="22">
      <c r="A10" s="25" t="n">
        <v>7</v>
      </c>
      <c r="B10" s="25" t="inlineStr">
        <is>
          <t>Billing</t>
        </is>
      </c>
      <c r="C10" s="25" t="inlineStr">
        <is>
          <t>Plan/trial/invoices</t>
        </is>
      </c>
      <c r="D10" s="25" t="inlineStr">
        <is>
          <t>Plan cards, usage meter, invoices</t>
        </is>
      </c>
      <c r="E10" s="26" t="n"/>
    </row>
    <row r="11" ht="25.5" customHeight="1" s="22">
      <c r="A11" s="25" t="n">
        <v>8</v>
      </c>
      <c r="B11" s="25" t="inlineStr">
        <is>
          <t>Analytics</t>
        </is>
      </c>
      <c r="C11" s="25" t="inlineStr">
        <is>
          <t>Prove ROI</t>
        </is>
      </c>
      <c r="D11" s="25" t="inlineStr">
        <is>
          <t>Funnel, cohort, export</t>
        </is>
      </c>
      <c r="E11" s="26" t="n"/>
    </row>
    <row r="12" ht="25.5" customHeight="1" s="22">
      <c r="A12" s="25" t="n">
        <v>9</v>
      </c>
      <c r="B12" s="25" t="inlineStr">
        <is>
          <t>Help &amp; support</t>
        </is>
      </c>
      <c r="C12" s="25" t="inlineStr">
        <is>
          <t>Deflect + assist</t>
        </is>
      </c>
      <c r="D12" s="25" t="inlineStr">
        <is>
          <t>Search, chat, status</t>
        </is>
      </c>
      <c r="E12" s="2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21" min="1" max="1"/>
    <col width="8" customWidth="1" style="21" min="2" max="2"/>
    <col width="84" customWidth="1" style="21" min="3" max="3"/>
    <col width="8" customWidth="1" style="21" min="4" max="4"/>
    <col width="9" customWidth="1" style="21" min="5" max="5"/>
    <col width="8" customWidth="1" style="21" min="6" max="6"/>
    <col width="12" customWidth="1" style="21" min="7" max="7"/>
  </cols>
  <sheetData>
    <row r="1" ht="17.25" customHeight="1" s="22">
      <c r="A1" s="23" t="inlineStr">
        <is>
          <t>FULL BACKLOG — 147 stories (100 original ST + 47 SD from independent review V001, none dropped)</t>
        </is>
      </c>
    </row>
    <row r="3" ht="15" customHeight="1" s="22">
      <c r="A3" s="24" t="inlineStr">
        <is>
          <t>ID</t>
        </is>
      </c>
      <c r="B3" s="24" t="inlineStr">
        <is>
          <t>Epic</t>
        </is>
      </c>
      <c r="C3" s="24" t="inlineStr">
        <is>
          <t>Story</t>
        </is>
      </c>
      <c r="D3" s="24" t="inlineStr">
        <is>
          <t>Points</t>
        </is>
      </c>
      <c r="E3" s="24" t="inlineStr">
        <is>
          <t>Priority</t>
        </is>
      </c>
      <c r="F3" s="24" t="inlineStr">
        <is>
          <t>Sprint</t>
        </is>
      </c>
      <c r="G3" s="24" t="inlineStr">
        <is>
          <t>Status</t>
        </is>
      </c>
    </row>
    <row r="4" ht="25.5" customHeight="1" s="22">
      <c r="A4" s="25" t="inlineStr">
        <is>
          <t>ST-001</t>
        </is>
      </c>
      <c r="B4" s="25" t="inlineStr">
        <is>
          <t>F1</t>
        </is>
      </c>
      <c r="C4" s="25" t="inlineStr">
        <is>
          <t>As a Ops director, I can set up Shift handover threads with sensible defaults in one screen</t>
        </is>
      </c>
      <c r="D4" s="25" t="n">
        <v>5</v>
      </c>
      <c r="E4" s="25" t="inlineStr">
        <is>
          <t>P0</t>
        </is>
      </c>
      <c r="F4" s="25" t="inlineStr">
        <is>
          <t>S2</t>
        </is>
      </c>
      <c r="G4" s="25" t="inlineStr">
        <is>
          <t>Done</t>
        </is>
      </c>
    </row>
    <row r="5" ht="25.5" customHeight="1" s="22">
      <c r="A5" s="25" t="inlineStr">
        <is>
          <t>ST-002</t>
        </is>
      </c>
      <c r="B5" s="25" t="inlineStr">
        <is>
          <t>F1</t>
        </is>
      </c>
      <c r="C5" s="25" t="inlineStr">
        <is>
          <t>As a Ops director, the Shift handover threads happy path completes without documentation</t>
        </is>
      </c>
      <c r="D5" s="25" t="n">
        <v>8</v>
      </c>
      <c r="E5" s="25" t="inlineStr">
        <is>
          <t>P0</t>
        </is>
      </c>
      <c r="F5" s="25" t="inlineStr">
        <is>
          <t>S2</t>
        </is>
      </c>
      <c r="G5" s="25" t="inlineStr">
        <is>
          <t>Done</t>
        </is>
      </c>
    </row>
    <row r="6" ht="25.5" customHeight="1" s="22">
      <c r="A6" s="25" t="inlineStr">
        <is>
          <t>ST-003</t>
        </is>
      </c>
      <c r="B6" s="25" t="inlineStr">
        <is>
          <t>F1</t>
        </is>
      </c>
      <c r="C6" s="25" t="inlineStr">
        <is>
          <t>As a IT admin, I can customise Shift handover threads rules/conditions for my workflow</t>
        </is>
      </c>
      <c r="D6" s="25" t="n">
        <v>5</v>
      </c>
      <c r="E6" s="25" t="inlineStr">
        <is>
          <t>P1</t>
        </is>
      </c>
      <c r="F6" s="25" t="inlineStr">
        <is>
          <t>S2</t>
        </is>
      </c>
      <c r="G6" s="25" t="inlineStr">
        <is>
          <t>Done</t>
        </is>
      </c>
    </row>
    <row r="7" ht="25.5" customHeight="1" s="22">
      <c r="A7" s="25" t="inlineStr">
        <is>
          <t>ST-004</t>
        </is>
      </c>
      <c r="B7" s="25" t="inlineStr">
        <is>
          <t>F1</t>
        </is>
      </c>
      <c r="C7" s="25" t="inlineStr">
        <is>
          <t>As a user, Shift handover threads shows clear errors and retry paths on platform API failures</t>
        </is>
      </c>
      <c r="D7" s="25" t="n">
        <v>3</v>
      </c>
      <c r="E7" s="25" t="inlineStr">
        <is>
          <t>P0</t>
        </is>
      </c>
      <c r="F7" s="25" t="inlineStr">
        <is>
          <t>S2</t>
        </is>
      </c>
      <c r="G7" s="25" t="inlineStr">
        <is>
          <t>Done</t>
        </is>
      </c>
    </row>
    <row r="8" ht="25.5" customHeight="1" s="22">
      <c r="A8" s="25" t="inlineStr">
        <is>
          <t>ST-005</t>
        </is>
      </c>
      <c r="B8" s="25" t="inlineStr">
        <is>
          <t>F1</t>
        </is>
      </c>
      <c r="C8" s="25" t="inlineStr">
        <is>
          <t>As a Frontline supervisor, Shift handover threads works on the Teams tab + bot surface end-to-end</t>
        </is>
      </c>
      <c r="D8" s="25" t="n">
        <v>5</v>
      </c>
      <c r="E8" s="25" t="inlineStr">
        <is>
          <t>P0</t>
        </is>
      </c>
      <c r="F8" s="25" t="inlineStr">
        <is>
          <t>S3</t>
        </is>
      </c>
      <c r="G8" s="25" t="inlineStr">
        <is>
          <t>Code-complete pending live</t>
        </is>
      </c>
    </row>
    <row r="9" ht="25.5" customHeight="1" s="22">
      <c r="A9" s="25" t="inlineStr">
        <is>
          <t>ST-006</t>
        </is>
      </c>
      <c r="B9" s="25" t="inlineStr">
        <is>
          <t>F1</t>
        </is>
      </c>
      <c r="C9" s="25" t="inlineStr">
        <is>
          <t>As a IT admin, I can see Shift handover threads performance metrics and trends</t>
        </is>
      </c>
      <c r="D9" s="25" t="n">
        <v>3</v>
      </c>
      <c r="E9" s="25" t="inlineStr">
        <is>
          <t>P1</t>
        </is>
      </c>
      <c r="F9" s="25" t="inlineStr">
        <is>
          <t>S3</t>
        </is>
      </c>
      <c r="G9" s="25" t="inlineStr">
        <is>
          <t>Done</t>
        </is>
      </c>
    </row>
    <row r="10" ht="25.5" customHeight="1" s="22">
      <c r="A10" s="25" t="inlineStr">
        <is>
          <t>ST-007</t>
        </is>
      </c>
      <c r="B10" s="25" t="inlineStr">
        <is>
          <t>F1</t>
        </is>
      </c>
      <c r="C10" s="25" t="inlineStr">
        <is>
          <t>As a user, Shift handover threads respects role permissions and audit logging</t>
        </is>
      </c>
      <c r="D10" s="25" t="n">
        <v>3</v>
      </c>
      <c r="E10" s="25" t="inlineStr">
        <is>
          <t>P1</t>
        </is>
      </c>
      <c r="F10" s="25" t="inlineStr">
        <is>
          <t>S3</t>
        </is>
      </c>
      <c r="G10" s="25" t="inlineStr">
        <is>
          <t>Done</t>
        </is>
      </c>
    </row>
    <row r="11" ht="25.5" customHeight="1" s="22">
      <c r="A11" s="25" t="inlineStr">
        <is>
          <t>ST-008</t>
        </is>
      </c>
      <c r="B11" s="25" t="inlineStr">
        <is>
          <t>F1</t>
        </is>
      </c>
      <c r="C11" s="25" t="inlineStr">
        <is>
          <t>As a Ops director, I can pause/disable Shift handover threads without data loss</t>
        </is>
      </c>
      <c r="D11" s="25" t="n">
        <v>2</v>
      </c>
      <c r="E11" s="25" t="inlineStr">
        <is>
          <t>P2</t>
        </is>
      </c>
      <c r="F11" s="25" t="inlineStr">
        <is>
          <t>S3</t>
        </is>
      </c>
      <c r="G11" s="25" t="inlineStr">
        <is>
          <t>Done</t>
        </is>
      </c>
    </row>
    <row r="12" ht="25.5" customHeight="1" s="22">
      <c r="A12" s="25" t="inlineStr">
        <is>
          <t>ST-009</t>
        </is>
      </c>
      <c r="B12" s="25" t="inlineStr">
        <is>
          <t>F1</t>
        </is>
      </c>
      <c r="C12" s="25" t="inlineStr">
        <is>
          <t>As a IT admin, I can import/migrate existing data into Shift handover threads (CSV + competitor importer)</t>
        </is>
      </c>
      <c r="D12" s="25" t="n">
        <v>5</v>
      </c>
      <c r="E12" s="25" t="inlineStr">
        <is>
          <t>P1</t>
        </is>
      </c>
      <c r="F12" s="25" t="inlineStr">
        <is>
          <t>S3</t>
        </is>
      </c>
      <c r="G12" s="25" t="inlineStr">
        <is>
          <t>Done</t>
        </is>
      </c>
    </row>
    <row r="13" ht="25.5" customHeight="1" s="22">
      <c r="A13" s="25" t="inlineStr">
        <is>
          <t>ST-010</t>
        </is>
      </c>
      <c r="B13" s="25" t="inlineStr">
        <is>
          <t>F1</t>
        </is>
      </c>
      <c r="C13" s="25" t="inlineStr">
        <is>
          <t>As a user, I get notifications (in-app + email) for key Shift handover threads events with per-type mute</t>
        </is>
      </c>
      <c r="D13" s="25" t="n">
        <v>3</v>
      </c>
      <c r="E13" s="25" t="inlineStr">
        <is>
          <t>P2</t>
        </is>
      </c>
      <c r="F13" s="25" t="inlineStr">
        <is>
          <t>S3</t>
        </is>
      </c>
      <c r="G13" s="25" t="inlineStr">
        <is>
          <t>Done</t>
        </is>
      </c>
    </row>
    <row r="14" ht="25.5" customHeight="1" s="22">
      <c r="A14" s="25" t="inlineStr">
        <is>
          <t>ST-011</t>
        </is>
      </c>
      <c r="B14" s="25" t="inlineStr">
        <is>
          <t>F2</t>
        </is>
      </c>
      <c r="C14" s="25" t="inlineStr">
        <is>
          <t>As a Ops director, I can set up Approval workflows with sensible defaults in one screen</t>
        </is>
      </c>
      <c r="D14" s="25" t="n">
        <v>5</v>
      </c>
      <c r="E14" s="25" t="inlineStr">
        <is>
          <t>P0</t>
        </is>
      </c>
      <c r="F14" s="25" t="inlineStr">
        <is>
          <t>S3</t>
        </is>
      </c>
      <c r="G14" s="25" t="inlineStr">
        <is>
          <t>Done</t>
        </is>
      </c>
    </row>
    <row r="15" ht="25.5" customHeight="1" s="22">
      <c r="A15" s="25" t="inlineStr">
        <is>
          <t>ST-012</t>
        </is>
      </c>
      <c r="B15" s="25" t="inlineStr">
        <is>
          <t>F2</t>
        </is>
      </c>
      <c r="C15" s="25" t="inlineStr">
        <is>
          <t>As a Ops director, the Approval workflows happy path completes without documentation</t>
        </is>
      </c>
      <c r="D15" s="25" t="n">
        <v>8</v>
      </c>
      <c r="E15" s="25" t="inlineStr">
        <is>
          <t>P0</t>
        </is>
      </c>
      <c r="F15" s="25" t="inlineStr">
        <is>
          <t>S3</t>
        </is>
      </c>
      <c r="G15" s="25" t="inlineStr">
        <is>
          <t>Done</t>
        </is>
      </c>
    </row>
    <row r="16" ht="25.5" customHeight="1" s="22">
      <c r="A16" s="25" t="inlineStr">
        <is>
          <t>ST-013</t>
        </is>
      </c>
      <c r="B16" s="25" t="inlineStr">
        <is>
          <t>F2</t>
        </is>
      </c>
      <c r="C16" s="25" t="inlineStr">
        <is>
          <t>As a IT admin, I can customise Approval workflows rules/conditions for my workflow</t>
        </is>
      </c>
      <c r="D16" s="25" t="n">
        <v>5</v>
      </c>
      <c r="E16" s="25" t="inlineStr">
        <is>
          <t>P1</t>
        </is>
      </c>
      <c r="F16" s="25" t="inlineStr">
        <is>
          <t>S3</t>
        </is>
      </c>
      <c r="G16" s="25" t="inlineStr">
        <is>
          <t>Done</t>
        </is>
      </c>
    </row>
    <row r="17" ht="25.5" customHeight="1" s="22">
      <c r="A17" s="25" t="inlineStr">
        <is>
          <t>ST-014</t>
        </is>
      </c>
      <c r="B17" s="25" t="inlineStr">
        <is>
          <t>F2</t>
        </is>
      </c>
      <c r="C17" s="25" t="inlineStr">
        <is>
          <t>As a user, Approval workflows shows clear errors and retry paths on platform API failures</t>
        </is>
      </c>
      <c r="D17" s="25" t="n">
        <v>3</v>
      </c>
      <c r="E17" s="25" t="inlineStr">
        <is>
          <t>P0</t>
        </is>
      </c>
      <c r="F17" s="25" t="inlineStr">
        <is>
          <t>S3</t>
        </is>
      </c>
      <c r="G17" s="25" t="inlineStr">
        <is>
          <t>Done</t>
        </is>
      </c>
    </row>
    <row r="18" ht="25.5" customHeight="1" s="22">
      <c r="A18" s="25" t="inlineStr">
        <is>
          <t>ST-015</t>
        </is>
      </c>
      <c r="B18" s="25" t="inlineStr">
        <is>
          <t>F2</t>
        </is>
      </c>
      <c r="C18" s="25" t="inlineStr">
        <is>
          <t>As a Frontline supervisor, Approval workflows works on the Teams tab + bot surface end-to-end</t>
        </is>
      </c>
      <c r="D18" s="25" t="n">
        <v>5</v>
      </c>
      <c r="E18" s="25" t="inlineStr">
        <is>
          <t>P0</t>
        </is>
      </c>
      <c r="F18" s="25" t="inlineStr">
        <is>
          <t>S4</t>
        </is>
      </c>
      <c r="G18" s="25" t="inlineStr">
        <is>
          <t>Code-complete pending live</t>
        </is>
      </c>
    </row>
    <row r="19" ht="25.5" customHeight="1" s="22">
      <c r="A19" s="25" t="inlineStr">
        <is>
          <t>ST-016</t>
        </is>
      </c>
      <c r="B19" s="25" t="inlineStr">
        <is>
          <t>F2</t>
        </is>
      </c>
      <c r="C19" s="25" t="inlineStr">
        <is>
          <t>As a IT admin, I can see Approval workflows performance metrics and trends</t>
        </is>
      </c>
      <c r="D19" s="25" t="n">
        <v>3</v>
      </c>
      <c r="E19" s="25" t="inlineStr">
        <is>
          <t>P1</t>
        </is>
      </c>
      <c r="F19" s="25" t="inlineStr">
        <is>
          <t>S4</t>
        </is>
      </c>
      <c r="G19" s="25" t="inlineStr">
        <is>
          <t>Done</t>
        </is>
      </c>
    </row>
    <row r="20" ht="25.5" customHeight="1" s="22">
      <c r="A20" s="25" t="inlineStr">
        <is>
          <t>ST-017</t>
        </is>
      </c>
      <c r="B20" s="25" t="inlineStr">
        <is>
          <t>F2</t>
        </is>
      </c>
      <c r="C20" s="25" t="inlineStr">
        <is>
          <t>As a user, Approval workflows respects role permissions and audit logging</t>
        </is>
      </c>
      <c r="D20" s="25" t="n">
        <v>3</v>
      </c>
      <c r="E20" s="25" t="inlineStr">
        <is>
          <t>P1</t>
        </is>
      </c>
      <c r="F20" s="25" t="inlineStr">
        <is>
          <t>S4</t>
        </is>
      </c>
      <c r="G20" s="25" t="inlineStr">
        <is>
          <t>Done</t>
        </is>
      </c>
    </row>
    <row r="21" ht="25.5" customHeight="1" s="22">
      <c r="A21" s="25" t="inlineStr">
        <is>
          <t>ST-018</t>
        </is>
      </c>
      <c r="B21" s="25" t="inlineStr">
        <is>
          <t>F2</t>
        </is>
      </c>
      <c r="C21" s="25" t="inlineStr">
        <is>
          <t>As a Ops director, I can pause/disable Approval workflows without data loss</t>
        </is>
      </c>
      <c r="D21" s="25" t="n">
        <v>2</v>
      </c>
      <c r="E21" s="25" t="inlineStr">
        <is>
          <t>P2</t>
        </is>
      </c>
      <c r="F21" s="25" t="inlineStr">
        <is>
          <t>S4</t>
        </is>
      </c>
      <c r="G21" s="25" t="inlineStr">
        <is>
          <t>Done</t>
        </is>
      </c>
    </row>
    <row r="22" ht="25.5" customHeight="1" s="22">
      <c r="A22" s="25" t="inlineStr">
        <is>
          <t>ST-019</t>
        </is>
      </c>
      <c r="B22" s="25" t="inlineStr">
        <is>
          <t>F2</t>
        </is>
      </c>
      <c r="C22" s="25" t="inlineStr">
        <is>
          <t>As a IT admin, I can import/migrate existing data into Approval workflows (CSV + competitor importer)</t>
        </is>
      </c>
      <c r="D22" s="25" t="n">
        <v>5</v>
      </c>
      <c r="E22" s="25" t="inlineStr">
        <is>
          <t>P1</t>
        </is>
      </c>
      <c r="F22" s="25" t="inlineStr">
        <is>
          <t>S4</t>
        </is>
      </c>
      <c r="G22" s="25" t="inlineStr">
        <is>
          <t>Done</t>
        </is>
      </c>
    </row>
    <row r="23" ht="25.5" customHeight="1" s="22">
      <c r="A23" s="25" t="inlineStr">
        <is>
          <t>ST-020</t>
        </is>
      </c>
      <c r="B23" s="25" t="inlineStr">
        <is>
          <t>F2</t>
        </is>
      </c>
      <c r="C23" s="25" t="inlineStr">
        <is>
          <t>As a user, I get notifications (in-app + email) for key Approval workflows events with per-type mute</t>
        </is>
      </c>
      <c r="D23" s="25" t="n">
        <v>3</v>
      </c>
      <c r="E23" s="25" t="inlineStr">
        <is>
          <t>P2</t>
        </is>
      </c>
      <c r="F23" s="25" t="inlineStr">
        <is>
          <t>S4</t>
        </is>
      </c>
      <c r="G23" s="25" t="inlineStr">
        <is>
          <t>Done</t>
        </is>
      </c>
    </row>
    <row r="24" ht="25.5" customHeight="1" s="22">
      <c r="A24" s="25" t="inlineStr">
        <is>
          <t>ST-021</t>
        </is>
      </c>
      <c r="B24" s="25" t="inlineStr">
        <is>
          <t>F3</t>
        </is>
      </c>
      <c r="C24" s="25" t="inlineStr">
        <is>
          <t>As a Ops director, I can set up Digital checklists with sensible defaults in one screen</t>
        </is>
      </c>
      <c r="D24" s="25" t="n">
        <v>5</v>
      </c>
      <c r="E24" s="25" t="inlineStr">
        <is>
          <t>P0</t>
        </is>
      </c>
      <c r="F24" s="25" t="inlineStr">
        <is>
          <t>S5</t>
        </is>
      </c>
      <c r="G24" s="25" t="inlineStr">
        <is>
          <t>Done</t>
        </is>
      </c>
    </row>
    <row r="25" ht="25.5" customHeight="1" s="22">
      <c r="A25" s="25" t="inlineStr">
        <is>
          <t>ST-022</t>
        </is>
      </c>
      <c r="B25" s="25" t="inlineStr">
        <is>
          <t>F3</t>
        </is>
      </c>
      <c r="C25" s="25" t="inlineStr">
        <is>
          <t>As a Ops director, the Digital checklists happy path completes without documentation</t>
        </is>
      </c>
      <c r="D25" s="25" t="n">
        <v>8</v>
      </c>
      <c r="E25" s="25" t="inlineStr">
        <is>
          <t>P0</t>
        </is>
      </c>
      <c r="F25" s="25" t="inlineStr">
        <is>
          <t>S5</t>
        </is>
      </c>
      <c r="G25" s="25" t="inlineStr">
        <is>
          <t>Done</t>
        </is>
      </c>
    </row>
    <row r="26" ht="25.5" customHeight="1" s="22">
      <c r="A26" s="25" t="inlineStr">
        <is>
          <t>ST-023</t>
        </is>
      </c>
      <c r="B26" s="25" t="inlineStr">
        <is>
          <t>F3</t>
        </is>
      </c>
      <c r="C26" s="25" t="inlineStr">
        <is>
          <t>As a IT admin, I can customise Digital checklists rules/conditions for my workflow</t>
        </is>
      </c>
      <c r="D26" s="25" t="n">
        <v>5</v>
      </c>
      <c r="E26" s="25" t="inlineStr">
        <is>
          <t>P1</t>
        </is>
      </c>
      <c r="F26" s="25" t="inlineStr">
        <is>
          <t>S5</t>
        </is>
      </c>
      <c r="G26" s="25" t="inlineStr">
        <is>
          <t>Done</t>
        </is>
      </c>
    </row>
    <row r="27" ht="25.5" customHeight="1" s="22">
      <c r="A27" s="25" t="inlineStr">
        <is>
          <t>ST-024</t>
        </is>
      </c>
      <c r="B27" s="25" t="inlineStr">
        <is>
          <t>F3</t>
        </is>
      </c>
      <c r="C27" s="25" t="inlineStr">
        <is>
          <t>As a user, Digital checklists shows clear errors and retry paths on platform API failures</t>
        </is>
      </c>
      <c r="D27" s="25" t="n">
        <v>3</v>
      </c>
      <c r="E27" s="25" t="inlineStr">
        <is>
          <t>P0</t>
        </is>
      </c>
      <c r="F27" s="25" t="inlineStr">
        <is>
          <t>S5</t>
        </is>
      </c>
      <c r="G27" s="25" t="inlineStr">
        <is>
          <t>Done</t>
        </is>
      </c>
    </row>
    <row r="28" ht="25.5" customHeight="1" s="22">
      <c r="A28" s="25" t="inlineStr">
        <is>
          <t>ST-025</t>
        </is>
      </c>
      <c r="B28" s="25" t="inlineStr">
        <is>
          <t>F3</t>
        </is>
      </c>
      <c r="C28" s="25" t="inlineStr">
        <is>
          <t>As a Frontline supervisor, Digital checklists works on the Teams tab + bot surface end-to-end</t>
        </is>
      </c>
      <c r="D28" s="25" t="n">
        <v>5</v>
      </c>
      <c r="E28" s="25" t="inlineStr">
        <is>
          <t>P0</t>
        </is>
      </c>
      <c r="F28" s="25" t="inlineStr">
        <is>
          <t>S5</t>
        </is>
      </c>
      <c r="G28" s="25" t="inlineStr">
        <is>
          <t>Code-complete pending live</t>
        </is>
      </c>
    </row>
    <row r="29" ht="25.5" customHeight="1" s="22">
      <c r="A29" s="25" t="inlineStr">
        <is>
          <t>ST-026</t>
        </is>
      </c>
      <c r="B29" s="25" t="inlineStr">
        <is>
          <t>F3</t>
        </is>
      </c>
      <c r="C29" s="25" t="inlineStr">
        <is>
          <t>As a IT admin, I can see Digital checklists performance metrics and trends</t>
        </is>
      </c>
      <c r="D29" s="25" t="n">
        <v>3</v>
      </c>
      <c r="E29" s="25" t="inlineStr">
        <is>
          <t>P1</t>
        </is>
      </c>
      <c r="F29" s="25" t="inlineStr">
        <is>
          <t>S5</t>
        </is>
      </c>
      <c r="G29" s="25" t="inlineStr">
        <is>
          <t>Done</t>
        </is>
      </c>
    </row>
    <row r="30" ht="25.5" customHeight="1" s="22">
      <c r="A30" s="25" t="inlineStr">
        <is>
          <t>ST-027</t>
        </is>
      </c>
      <c r="B30" s="25" t="inlineStr">
        <is>
          <t>F3</t>
        </is>
      </c>
      <c r="C30" s="25" t="inlineStr">
        <is>
          <t>As a user, Digital checklists respects role permissions and audit logging</t>
        </is>
      </c>
      <c r="D30" s="25" t="n">
        <v>3</v>
      </c>
      <c r="E30" s="25" t="inlineStr">
        <is>
          <t>P1</t>
        </is>
      </c>
      <c r="F30" s="25" t="inlineStr">
        <is>
          <t>S5</t>
        </is>
      </c>
      <c r="G30" s="25" t="inlineStr">
        <is>
          <t>Done</t>
        </is>
      </c>
    </row>
    <row r="31" ht="25.5" customHeight="1" s="22">
      <c r="A31" s="25" t="inlineStr">
        <is>
          <t>ST-028</t>
        </is>
      </c>
      <c r="B31" s="25" t="inlineStr">
        <is>
          <t>F3</t>
        </is>
      </c>
      <c r="C31" s="25" t="inlineStr">
        <is>
          <t>As a Ops director, I can pause/disable Digital checklists without data loss</t>
        </is>
      </c>
      <c r="D31" s="25" t="n">
        <v>2</v>
      </c>
      <c r="E31" s="25" t="inlineStr">
        <is>
          <t>P2</t>
        </is>
      </c>
      <c r="F31" s="25" t="inlineStr">
        <is>
          <t>S5</t>
        </is>
      </c>
      <c r="G31" s="25" t="inlineStr">
        <is>
          <t>Done</t>
        </is>
      </c>
    </row>
    <row r="32" ht="25.5" customHeight="1" s="22">
      <c r="A32" s="25" t="inlineStr">
        <is>
          <t>ST-029</t>
        </is>
      </c>
      <c r="B32" s="25" t="inlineStr">
        <is>
          <t>F3</t>
        </is>
      </c>
      <c r="C32" s="25" t="inlineStr">
        <is>
          <t>As a IT admin, I can import/migrate existing data into Digital checklists (CSV + competitor importer)</t>
        </is>
      </c>
      <c r="D32" s="25" t="n">
        <v>5</v>
      </c>
      <c r="E32" s="25" t="inlineStr">
        <is>
          <t>P1</t>
        </is>
      </c>
      <c r="F32" s="25" t="inlineStr">
        <is>
          <t>S5</t>
        </is>
      </c>
      <c r="G32" s="25" t="inlineStr">
        <is>
          <t>Done</t>
        </is>
      </c>
    </row>
    <row r="33" ht="25.5" customHeight="1" s="22">
      <c r="A33" s="25" t="inlineStr">
        <is>
          <t>ST-030</t>
        </is>
      </c>
      <c r="B33" s="25" t="inlineStr">
        <is>
          <t>F3</t>
        </is>
      </c>
      <c r="C33" s="25" t="inlineStr">
        <is>
          <t>As a user, I get notifications (in-app + email) for key Digital checklists events with per-type mute</t>
        </is>
      </c>
      <c r="D33" s="25" t="n">
        <v>3</v>
      </c>
      <c r="E33" s="25" t="inlineStr">
        <is>
          <t>P2</t>
        </is>
      </c>
      <c r="F33" s="25" t="inlineStr">
        <is>
          <t>S5</t>
        </is>
      </c>
      <c r="G33" s="25" t="inlineStr">
        <is>
          <t>Done</t>
        </is>
      </c>
    </row>
    <row r="34" ht="25.5" customHeight="1" s="22">
      <c r="A34" s="25" t="inlineStr">
        <is>
          <t>ST-031</t>
        </is>
      </c>
      <c r="B34" s="25" t="inlineStr">
        <is>
          <t>F4</t>
        </is>
      </c>
      <c r="C34" s="25" t="inlineStr">
        <is>
          <t>As a Ops director, I can set up Kudos/recognition with sensible defaults in one screen</t>
        </is>
      </c>
      <c r="D34" s="25" t="n">
        <v>5</v>
      </c>
      <c r="E34" s="25" t="inlineStr">
        <is>
          <t>P0</t>
        </is>
      </c>
      <c r="F34" s="25" t="inlineStr">
        <is>
          <t>S6</t>
        </is>
      </c>
      <c r="G34" s="25" t="inlineStr">
        <is>
          <t>Done</t>
        </is>
      </c>
    </row>
    <row r="35" ht="25.5" customHeight="1" s="22">
      <c r="A35" s="25" t="inlineStr">
        <is>
          <t>ST-032</t>
        </is>
      </c>
      <c r="B35" s="25" t="inlineStr">
        <is>
          <t>F4</t>
        </is>
      </c>
      <c r="C35" s="25" t="inlineStr">
        <is>
          <t>As a Ops director, the Kudos/recognition happy path completes without documentation</t>
        </is>
      </c>
      <c r="D35" s="25" t="n">
        <v>8</v>
      </c>
      <c r="E35" s="25" t="inlineStr">
        <is>
          <t>P0</t>
        </is>
      </c>
      <c r="F35" s="25" t="inlineStr">
        <is>
          <t>S6</t>
        </is>
      </c>
      <c r="G35" s="25" t="inlineStr">
        <is>
          <t>Done</t>
        </is>
      </c>
    </row>
    <row r="36" ht="25.5" customHeight="1" s="22">
      <c r="A36" s="25" t="inlineStr">
        <is>
          <t>ST-033</t>
        </is>
      </c>
      <c r="B36" s="25" t="inlineStr">
        <is>
          <t>F4</t>
        </is>
      </c>
      <c r="C36" s="25" t="inlineStr">
        <is>
          <t>As a IT admin, I can customise Kudos/recognition rules/conditions for my workflow</t>
        </is>
      </c>
      <c r="D36" s="25" t="n">
        <v>5</v>
      </c>
      <c r="E36" s="25" t="inlineStr">
        <is>
          <t>P1</t>
        </is>
      </c>
      <c r="F36" s="25" t="inlineStr">
        <is>
          <t>S6</t>
        </is>
      </c>
      <c r="G36" s="25" t="inlineStr">
        <is>
          <t>Done</t>
        </is>
      </c>
    </row>
    <row r="37" ht="25.5" customHeight="1" s="22">
      <c r="A37" s="25" t="inlineStr">
        <is>
          <t>ST-034</t>
        </is>
      </c>
      <c r="B37" s="25" t="inlineStr">
        <is>
          <t>F4</t>
        </is>
      </c>
      <c r="C37" s="25" t="inlineStr">
        <is>
          <t>As a user, Kudos/recognition shows clear errors and retry paths on platform API failures</t>
        </is>
      </c>
      <c r="D37" s="25" t="n">
        <v>3</v>
      </c>
      <c r="E37" s="25" t="inlineStr">
        <is>
          <t>P0</t>
        </is>
      </c>
      <c r="F37" s="25" t="inlineStr">
        <is>
          <t>S6</t>
        </is>
      </c>
      <c r="G37" s="25" t="inlineStr">
        <is>
          <t>Done</t>
        </is>
      </c>
    </row>
    <row r="38" ht="25.5" customHeight="1" s="22">
      <c r="A38" s="25" t="inlineStr">
        <is>
          <t>ST-035</t>
        </is>
      </c>
      <c r="B38" s="25" t="inlineStr">
        <is>
          <t>F4</t>
        </is>
      </c>
      <c r="C38" s="25" t="inlineStr">
        <is>
          <t>As a Frontline supervisor, Kudos/recognition works on the Teams tab + bot surface end-to-end</t>
        </is>
      </c>
      <c r="D38" s="25" t="n">
        <v>5</v>
      </c>
      <c r="E38" s="25" t="inlineStr">
        <is>
          <t>P0</t>
        </is>
      </c>
      <c r="F38" s="25" t="inlineStr">
        <is>
          <t>S6</t>
        </is>
      </c>
      <c r="G38" s="25" t="inlineStr">
        <is>
          <t>Code-complete pending live</t>
        </is>
      </c>
    </row>
    <row r="39" ht="25.5" customHeight="1" s="22">
      <c r="A39" s="25" t="inlineStr">
        <is>
          <t>ST-036</t>
        </is>
      </c>
      <c r="B39" s="25" t="inlineStr">
        <is>
          <t>F4</t>
        </is>
      </c>
      <c r="C39" s="25" t="inlineStr">
        <is>
          <t>As a IT admin, I can see Kudos/recognition performance metrics and trends</t>
        </is>
      </c>
      <c r="D39" s="25" t="n">
        <v>3</v>
      </c>
      <c r="E39" s="25" t="inlineStr">
        <is>
          <t>P1</t>
        </is>
      </c>
      <c r="F39" s="25" t="inlineStr">
        <is>
          <t>S6</t>
        </is>
      </c>
      <c r="G39" s="25" t="inlineStr">
        <is>
          <t>Done</t>
        </is>
      </c>
    </row>
    <row r="40" ht="25.5" customHeight="1" s="22">
      <c r="A40" s="25" t="inlineStr">
        <is>
          <t>ST-037</t>
        </is>
      </c>
      <c r="B40" s="25" t="inlineStr">
        <is>
          <t>F4</t>
        </is>
      </c>
      <c r="C40" s="25" t="inlineStr">
        <is>
          <t>As a user, Kudos/recognition respects role permissions and audit logging</t>
        </is>
      </c>
      <c r="D40" s="25" t="n">
        <v>3</v>
      </c>
      <c r="E40" s="25" t="inlineStr">
        <is>
          <t>P1</t>
        </is>
      </c>
      <c r="F40" s="25" t="inlineStr">
        <is>
          <t>S6</t>
        </is>
      </c>
      <c r="G40" s="25" t="inlineStr">
        <is>
          <t>Done</t>
        </is>
      </c>
    </row>
    <row r="41" ht="25.5" customHeight="1" s="22">
      <c r="A41" s="25" t="inlineStr">
        <is>
          <t>ST-038</t>
        </is>
      </c>
      <c r="B41" s="25" t="inlineStr">
        <is>
          <t>F4</t>
        </is>
      </c>
      <c r="C41" s="25" t="inlineStr">
        <is>
          <t>As a Ops director, I can pause/disable Kudos/recognition without data loss</t>
        </is>
      </c>
      <c r="D41" s="25" t="n">
        <v>2</v>
      </c>
      <c r="E41" s="25" t="inlineStr">
        <is>
          <t>P2</t>
        </is>
      </c>
      <c r="F41" s="25" t="inlineStr">
        <is>
          <t>S6</t>
        </is>
      </c>
      <c r="G41" s="25" t="inlineStr">
        <is>
          <t>Done</t>
        </is>
      </c>
    </row>
    <row r="42" ht="25.5" customHeight="1" s="22">
      <c r="A42" s="25" t="inlineStr">
        <is>
          <t>ST-039</t>
        </is>
      </c>
      <c r="B42" s="25" t="inlineStr">
        <is>
          <t>F4</t>
        </is>
      </c>
      <c r="C42" s="25" t="inlineStr">
        <is>
          <t>As a IT admin, I can import/migrate existing data into Kudos/recognition (CSV + competitor importer)</t>
        </is>
      </c>
      <c r="D42" s="25" t="n">
        <v>5</v>
      </c>
      <c r="E42" s="25" t="inlineStr">
        <is>
          <t>P1</t>
        </is>
      </c>
      <c r="F42" s="25" t="inlineStr">
        <is>
          <t>S6</t>
        </is>
      </c>
      <c r="G42" s="25" t="inlineStr">
        <is>
          <t>Done</t>
        </is>
      </c>
    </row>
    <row r="43" ht="25.5" customHeight="1" s="22">
      <c r="A43" s="25" t="inlineStr">
        <is>
          <t>ST-040</t>
        </is>
      </c>
      <c r="B43" s="25" t="inlineStr">
        <is>
          <t>F4</t>
        </is>
      </c>
      <c r="C43" s="25" t="inlineStr">
        <is>
          <t>As a user, I get notifications (in-app + email) for key Kudos/recognition events with per-type mute</t>
        </is>
      </c>
      <c r="D43" s="25" t="n">
        <v>3</v>
      </c>
      <c r="E43" s="25" t="inlineStr">
        <is>
          <t>P2</t>
        </is>
      </c>
      <c r="F43" s="25" t="inlineStr">
        <is>
          <t>S6</t>
        </is>
      </c>
      <c r="G43" s="25" t="inlineStr">
        <is>
          <t>Done</t>
        </is>
      </c>
    </row>
    <row r="44" ht="25.5" customHeight="1" s="22">
      <c r="A44" s="25" t="inlineStr">
        <is>
          <t>ST-041</t>
        </is>
      </c>
      <c r="B44" s="25" t="inlineStr">
        <is>
          <t>F5</t>
        </is>
      </c>
      <c r="C44" s="25" t="inlineStr">
        <is>
          <t>As a Ops director, I can set up Manager dashboard with sensible defaults in one screen</t>
        </is>
      </c>
      <c r="D44" s="25" t="n">
        <v>5</v>
      </c>
      <c r="E44" s="25" t="inlineStr">
        <is>
          <t>P0</t>
        </is>
      </c>
      <c r="F44" s="25" t="inlineStr">
        <is>
          <t>S8</t>
        </is>
      </c>
      <c r="G44" s="25" t="inlineStr">
        <is>
          <t>Done</t>
        </is>
      </c>
    </row>
    <row r="45" ht="25.5" customHeight="1" s="22">
      <c r="A45" s="25" t="inlineStr">
        <is>
          <t>ST-042</t>
        </is>
      </c>
      <c r="B45" s="25" t="inlineStr">
        <is>
          <t>F5</t>
        </is>
      </c>
      <c r="C45" s="25" t="inlineStr">
        <is>
          <t>As a Ops director, the Manager dashboard happy path completes without documentation</t>
        </is>
      </c>
      <c r="D45" s="25" t="n">
        <v>8</v>
      </c>
      <c r="E45" s="25" t="inlineStr">
        <is>
          <t>P0</t>
        </is>
      </c>
      <c r="F45" s="25" t="inlineStr">
        <is>
          <t>S8</t>
        </is>
      </c>
      <c r="G45" s="25" t="inlineStr">
        <is>
          <t>Done</t>
        </is>
      </c>
    </row>
    <row r="46" ht="25.5" customHeight="1" s="22">
      <c r="A46" s="25" t="inlineStr">
        <is>
          <t>ST-043</t>
        </is>
      </c>
      <c r="B46" s="25" t="inlineStr">
        <is>
          <t>F5</t>
        </is>
      </c>
      <c r="C46" s="25" t="inlineStr">
        <is>
          <t>As a IT admin, I can customise Manager dashboard rules/conditions for my workflow</t>
        </is>
      </c>
      <c r="D46" s="25" t="n">
        <v>5</v>
      </c>
      <c r="E46" s="25" t="inlineStr">
        <is>
          <t>P1</t>
        </is>
      </c>
      <c r="F46" s="25" t="inlineStr">
        <is>
          <t>S8</t>
        </is>
      </c>
      <c r="G46" s="25" t="inlineStr">
        <is>
          <t>Done</t>
        </is>
      </c>
    </row>
    <row r="47" ht="25.5" customHeight="1" s="22">
      <c r="A47" s="25" t="inlineStr">
        <is>
          <t>ST-044</t>
        </is>
      </c>
      <c r="B47" s="25" t="inlineStr">
        <is>
          <t>F5</t>
        </is>
      </c>
      <c r="C47" s="25" t="inlineStr">
        <is>
          <t>As a user, Manager dashboard shows clear errors and retry paths on platform API failures</t>
        </is>
      </c>
      <c r="D47" s="25" t="n">
        <v>3</v>
      </c>
      <c r="E47" s="25" t="inlineStr">
        <is>
          <t>P0</t>
        </is>
      </c>
      <c r="F47" s="25" t="inlineStr">
        <is>
          <t>S8</t>
        </is>
      </c>
      <c r="G47" s="25" t="inlineStr">
        <is>
          <t>Done</t>
        </is>
      </c>
    </row>
    <row r="48" ht="25.5" customHeight="1" s="22">
      <c r="A48" s="25" t="inlineStr">
        <is>
          <t>ST-045</t>
        </is>
      </c>
      <c r="B48" s="25" t="inlineStr">
        <is>
          <t>F5</t>
        </is>
      </c>
      <c r="C48" s="25" t="inlineStr">
        <is>
          <t>As a Frontline supervisor, Manager dashboard works on the Teams tab + bot surface end-to-end</t>
        </is>
      </c>
      <c r="D48" s="25" t="n">
        <v>5</v>
      </c>
      <c r="E48" s="25" t="inlineStr">
        <is>
          <t>P0</t>
        </is>
      </c>
      <c r="F48" s="25" t="inlineStr">
        <is>
          <t>S8</t>
        </is>
      </c>
      <c r="G48" s="25" t="inlineStr">
        <is>
          <t>Code-complete pending live</t>
        </is>
      </c>
    </row>
    <row r="49" ht="25.5" customHeight="1" s="22">
      <c r="A49" s="25" t="inlineStr">
        <is>
          <t>ST-046</t>
        </is>
      </c>
      <c r="B49" s="25" t="inlineStr">
        <is>
          <t>F5</t>
        </is>
      </c>
      <c r="C49" s="25" t="inlineStr">
        <is>
          <t>As a IT admin, I can see Manager dashboard performance metrics and trends</t>
        </is>
      </c>
      <c r="D49" s="25" t="n">
        <v>3</v>
      </c>
      <c r="E49" s="25" t="inlineStr">
        <is>
          <t>P1</t>
        </is>
      </c>
      <c r="F49" s="25" t="inlineStr">
        <is>
          <t>S8</t>
        </is>
      </c>
      <c r="G49" s="25" t="inlineStr">
        <is>
          <t>Done</t>
        </is>
      </c>
    </row>
    <row r="50" ht="25.5" customHeight="1" s="22">
      <c r="A50" s="25" t="inlineStr">
        <is>
          <t>ST-047</t>
        </is>
      </c>
      <c r="B50" s="25" t="inlineStr">
        <is>
          <t>F5</t>
        </is>
      </c>
      <c r="C50" s="25" t="inlineStr">
        <is>
          <t>As a user, Manager dashboard respects role permissions and audit logging</t>
        </is>
      </c>
      <c r="D50" s="25" t="n">
        <v>3</v>
      </c>
      <c r="E50" s="25" t="inlineStr">
        <is>
          <t>P1</t>
        </is>
      </c>
      <c r="F50" s="25" t="inlineStr">
        <is>
          <t>S8</t>
        </is>
      </c>
      <c r="G50" s="25" t="inlineStr">
        <is>
          <t>Done</t>
        </is>
      </c>
    </row>
    <row r="51" ht="25.5" customHeight="1" s="22">
      <c r="A51" s="25" t="inlineStr">
        <is>
          <t>ST-048</t>
        </is>
      </c>
      <c r="B51" s="25" t="inlineStr">
        <is>
          <t>F5</t>
        </is>
      </c>
      <c r="C51" s="25" t="inlineStr">
        <is>
          <t>As a Ops director, I can pause/disable Manager dashboard without data loss</t>
        </is>
      </c>
      <c r="D51" s="25" t="n">
        <v>2</v>
      </c>
      <c r="E51" s="25" t="inlineStr">
        <is>
          <t>P2</t>
        </is>
      </c>
      <c r="F51" s="25" t="inlineStr">
        <is>
          <t>S8</t>
        </is>
      </c>
      <c r="G51" s="25" t="inlineStr">
        <is>
          <t>Done</t>
        </is>
      </c>
    </row>
    <row r="52" ht="25.5" customHeight="1" s="22">
      <c r="A52" s="25" t="inlineStr">
        <is>
          <t>ST-049</t>
        </is>
      </c>
      <c r="B52" s="25" t="inlineStr">
        <is>
          <t>F5</t>
        </is>
      </c>
      <c r="C52" s="25" t="inlineStr">
        <is>
          <t>As a IT admin, I can import/migrate existing data into Manager dashboard (CSV + competitor importer)</t>
        </is>
      </c>
      <c r="D52" s="25" t="n">
        <v>5</v>
      </c>
      <c r="E52" s="25" t="inlineStr">
        <is>
          <t>P1</t>
        </is>
      </c>
      <c r="F52" s="25" t="inlineStr">
        <is>
          <t>S8</t>
        </is>
      </c>
      <c r="G52" s="25" t="inlineStr">
        <is>
          <t>Done</t>
        </is>
      </c>
    </row>
    <row r="53" ht="25.5" customHeight="1" s="22">
      <c r="A53" s="25" t="inlineStr">
        <is>
          <t>ST-050</t>
        </is>
      </c>
      <c r="B53" s="25" t="inlineStr">
        <is>
          <t>F5</t>
        </is>
      </c>
      <c r="C53" s="25" t="inlineStr">
        <is>
          <t>As a user, I get notifications (in-app + email) for key Manager dashboard events with per-type mute</t>
        </is>
      </c>
      <c r="D53" s="25" t="n">
        <v>3</v>
      </c>
      <c r="E53" s="25" t="inlineStr">
        <is>
          <t>P2</t>
        </is>
      </c>
      <c r="F53" s="25" t="inlineStr">
        <is>
          <t>S8</t>
        </is>
      </c>
      <c r="G53" s="25" t="inlineStr">
        <is>
          <t>Done</t>
        </is>
      </c>
    </row>
    <row r="54" ht="25.5" customHeight="1" s="22">
      <c r="A54" s="25" t="inlineStr">
        <is>
          <t>ST-051</t>
        </is>
      </c>
      <c r="B54" s="25" t="inlineStr">
        <is>
          <t>E1</t>
        </is>
      </c>
      <c r="C54" s="25" t="inlineStr">
        <is>
          <t>Marketplace OAuth install completes and lands on welcome state in &lt;2 min</t>
        </is>
      </c>
      <c r="D54" s="25" t="n">
        <v>5</v>
      </c>
      <c r="E54" s="25" t="inlineStr">
        <is>
          <t>P0</t>
        </is>
      </c>
      <c r="F54" s="25" t="inlineStr">
        <is>
          <t>S1</t>
        </is>
      </c>
      <c r="G54" s="25" t="inlineStr">
        <is>
          <t>Code-complete pending live</t>
        </is>
      </c>
    </row>
    <row r="55" ht="25.5" customHeight="1" s="22">
      <c r="A55" s="25" t="inlineStr">
        <is>
          <t>ST-052</t>
        </is>
      </c>
      <c r="B55" s="25" t="inlineStr">
        <is>
          <t>E1</t>
        </is>
      </c>
      <c r="C55" s="25" t="inlineStr">
        <is>
          <t>Uninstall webhook removes tokens, schedules data deletion per policy</t>
        </is>
      </c>
      <c r="D55" s="25" t="n">
        <v>3</v>
      </c>
      <c r="E55" s="25" t="inlineStr">
        <is>
          <t>P0</t>
        </is>
      </c>
      <c r="F55" s="25" t="inlineStr">
        <is>
          <t>S1</t>
        </is>
      </c>
      <c r="G55" s="25" t="inlineStr">
        <is>
          <t>Done</t>
        </is>
      </c>
    </row>
    <row r="56" ht="25.5" customHeight="1" s="22">
      <c r="A56" s="25" t="inlineStr">
        <is>
          <t>ST-053</t>
        </is>
      </c>
      <c r="B56" s="25" t="inlineStr">
        <is>
          <t>E1</t>
        </is>
      </c>
      <c r="C56" s="25" t="inlineStr">
        <is>
          <t>Re-install restores account within retention window</t>
        </is>
      </c>
      <c r="D56" s="25" t="n">
        <v>3</v>
      </c>
      <c r="E56" s="25" t="inlineStr">
        <is>
          <t>P1</t>
        </is>
      </c>
      <c r="F56" s="25" t="inlineStr">
        <is>
          <t>S2</t>
        </is>
      </c>
      <c r="G56" s="25" t="inlineStr">
        <is>
          <t>Done</t>
        </is>
      </c>
    </row>
    <row r="57" ht="25.5" customHeight="1" s="22">
      <c r="A57" s="25" t="inlineStr">
        <is>
          <t>ST-054</t>
        </is>
      </c>
      <c r="B57" s="25" t="inlineStr">
        <is>
          <t>E1</t>
        </is>
      </c>
      <c r="C57" s="25" t="inlineStr">
        <is>
          <t>Multi-user roles: owner/admin/member permission matrix enforced</t>
        </is>
      </c>
      <c r="D57" s="25" t="n">
        <v>5</v>
      </c>
      <c r="E57" s="25" t="inlineStr">
        <is>
          <t>P0</t>
        </is>
      </c>
      <c r="F57" s="25" t="inlineStr">
        <is>
          <t>S2</t>
        </is>
      </c>
      <c r="G57" s="25" t="inlineStr">
        <is>
          <t>Done</t>
        </is>
      </c>
    </row>
    <row r="58" ht="25.5" customHeight="1" s="22">
      <c r="A58" s="25" t="inlineStr">
        <is>
          <t>ST-055</t>
        </is>
      </c>
      <c r="B58" s="25" t="inlineStr">
        <is>
          <t>E1</t>
        </is>
      </c>
      <c r="C58" s="25" t="inlineStr">
        <is>
          <t>Session/token refresh survives platform token rotation</t>
        </is>
      </c>
      <c r="D58" s="25" t="n">
        <v>3</v>
      </c>
      <c r="E58" s="25" t="inlineStr">
        <is>
          <t>P0</t>
        </is>
      </c>
      <c r="F58" s="25" t="inlineStr">
        <is>
          <t>S1</t>
        </is>
      </c>
      <c r="G58" s="25" t="inlineStr">
        <is>
          <t>Done</t>
        </is>
      </c>
    </row>
    <row r="59" ht="25.5" customHeight="1" s="22">
      <c r="A59" s="25" t="inlineStr">
        <is>
          <t>ST-056</t>
        </is>
      </c>
      <c r="B59" s="25" t="inlineStr">
        <is>
          <t>E1</t>
        </is>
      </c>
      <c r="C59" s="25" t="inlineStr">
        <is>
          <t>Install telemetry: source attribution (listing/search/referral) captured</t>
        </is>
      </c>
      <c r="D59" s="25" t="n">
        <v>2</v>
      </c>
      <c r="E59" s="25" t="inlineStr">
        <is>
          <t>P1</t>
        </is>
      </c>
      <c r="F59" s="25" t="inlineStr">
        <is>
          <t>S1</t>
        </is>
      </c>
      <c r="G59" s="25" t="inlineStr">
        <is>
          <t>Done</t>
        </is>
      </c>
    </row>
    <row r="60" ht="25.5" customHeight="1" s="22">
      <c r="A60" s="25" t="inlineStr">
        <is>
          <t>ST-057</t>
        </is>
      </c>
      <c r="B60" s="25" t="inlineStr">
        <is>
          <t>E5</t>
        </is>
      </c>
      <c r="C60" s="25" t="inlineStr">
        <is>
          <t>14-day trial without card; banner shows days remaining</t>
        </is>
      </c>
      <c r="D60" s="25" t="n">
        <v>5</v>
      </c>
      <c r="E60" s="25" t="inlineStr">
        <is>
          <t>P0</t>
        </is>
      </c>
      <c r="F60" s="25" t="inlineStr">
        <is>
          <t>S6</t>
        </is>
      </c>
      <c r="G60" s="25" t="inlineStr">
        <is>
          <t>Done</t>
        </is>
      </c>
    </row>
    <row r="61" ht="25.5" customHeight="1" s="22">
      <c r="A61" s="25" t="inlineStr">
        <is>
          <t>ST-058</t>
        </is>
      </c>
      <c r="B61" s="25" t="inlineStr">
        <is>
          <t>E5</t>
        </is>
      </c>
      <c r="C61" s="25" t="inlineStr">
        <is>
          <t>Upgrade/downgrade mid-cycle prorates correctly</t>
        </is>
      </c>
      <c r="D61" s="25" t="n">
        <v>5</v>
      </c>
      <c r="E61" s="25" t="inlineStr">
        <is>
          <t>P0</t>
        </is>
      </c>
      <c r="F61" s="25" t="inlineStr">
        <is>
          <t>S6</t>
        </is>
      </c>
      <c r="G61" s="25" t="inlineStr">
        <is>
          <t>Done</t>
        </is>
      </c>
    </row>
    <row r="62" ht="25.5" customHeight="1" s="22">
      <c r="A62" s="25" t="inlineStr">
        <is>
          <t>ST-059</t>
        </is>
      </c>
      <c r="B62" s="25" t="inlineStr">
        <is>
          <t>E5</t>
        </is>
      </c>
      <c r="C62" s="25" t="inlineStr">
        <is>
          <t>Marketplace billing API used where mandated; external Stripe fallback elsewhere</t>
        </is>
      </c>
      <c r="D62" s="25" t="n">
        <v>8</v>
      </c>
      <c r="E62" s="25" t="inlineStr">
        <is>
          <t>P0</t>
        </is>
      </c>
      <c r="F62" s="25" t="inlineStr">
        <is>
          <t>S6</t>
        </is>
      </c>
      <c r="G62" s="25" t="inlineStr">
        <is>
          <t>Code-complete pending live</t>
        </is>
      </c>
    </row>
    <row r="63" ht="25.5" customHeight="1" s="22">
      <c r="A63" s="25" t="inlineStr">
        <is>
          <t>ST-060</t>
        </is>
      </c>
      <c r="B63" s="25" t="inlineStr">
        <is>
          <t>E5</t>
        </is>
      </c>
      <c r="C63" s="25" t="inlineStr">
        <is>
          <t>Failed payment: 7-day grace, 3 dunning emails, then read-only mode</t>
        </is>
      </c>
      <c r="D63" s="25" t="n">
        <v>3</v>
      </c>
      <c r="E63" s="25" t="inlineStr">
        <is>
          <t>P1</t>
        </is>
      </c>
      <c r="F63" s="25" t="inlineStr">
        <is>
          <t>S7</t>
        </is>
      </c>
      <c r="G63" s="25" t="inlineStr">
        <is>
          <t>Done</t>
        </is>
      </c>
    </row>
    <row r="64" ht="25.5" customHeight="1" s="22">
      <c r="A64" s="25" t="inlineStr">
        <is>
          <t>ST-061</t>
        </is>
      </c>
      <c r="B64" s="25" t="inlineStr">
        <is>
          <t>E5</t>
        </is>
      </c>
      <c r="C64" s="25" t="inlineStr">
        <is>
          <t>Plan limits enforced with upgrade prompts at 80%/100%</t>
        </is>
      </c>
      <c r="D64" s="25" t="n">
        <v>3</v>
      </c>
      <c r="E64" s="25" t="inlineStr">
        <is>
          <t>P1</t>
        </is>
      </c>
      <c r="F64" s="25" t="inlineStr">
        <is>
          <t>S7</t>
        </is>
      </c>
      <c r="G64" s="25" t="inlineStr">
        <is>
          <t>Done</t>
        </is>
      </c>
    </row>
    <row r="65" ht="25.5" customHeight="1" s="22">
      <c r="A65" s="25" t="inlineStr">
        <is>
          <t>ST-062</t>
        </is>
      </c>
      <c r="B65" s="25" t="inlineStr">
        <is>
          <t>E5</t>
        </is>
      </c>
      <c r="C65" s="25" t="inlineStr">
        <is>
          <t>Invoices/receipts downloadable; GST/VAT fields supported</t>
        </is>
      </c>
      <c r="D65" s="25" t="n">
        <v>3</v>
      </c>
      <c r="E65" s="25" t="inlineStr">
        <is>
          <t>P2</t>
        </is>
      </c>
      <c r="F65" s="25" t="inlineStr">
        <is>
          <t>S7</t>
        </is>
      </c>
      <c r="G65" s="25" t="inlineStr">
        <is>
          <t>Done</t>
        </is>
      </c>
    </row>
    <row r="66" ht="25.5" customHeight="1" s="22">
      <c r="A66" s="25" t="inlineStr">
        <is>
          <t>ST-063</t>
        </is>
      </c>
      <c r="B66" s="25" t="inlineStr">
        <is>
          <t>E5</t>
        </is>
      </c>
      <c r="C66" s="25" t="inlineStr">
        <is>
          <t>Cancellation flow with save-offer and exit survey</t>
        </is>
      </c>
      <c r="D66" s="25" t="n">
        <v>3</v>
      </c>
      <c r="E66" s="25" t="inlineStr">
        <is>
          <t>P1</t>
        </is>
      </c>
      <c r="F66" s="25" t="inlineStr">
        <is>
          <t>S7</t>
        </is>
      </c>
      <c r="G66" s="25" t="inlineStr">
        <is>
          <t>Done</t>
        </is>
      </c>
    </row>
    <row r="67" ht="25.5" customHeight="1" s="22">
      <c r="A67" s="25" t="inlineStr">
        <is>
          <t>ST-064</t>
        </is>
      </c>
      <c r="B67" s="25" t="inlineStr">
        <is>
          <t>E6</t>
        </is>
      </c>
      <c r="C67" s="25" t="inlineStr">
        <is>
          <t>Scopes requested map 1:1 to shipped features (least privilege doc)</t>
        </is>
      </c>
      <c r="D67" s="25" t="n">
        <v>3</v>
      </c>
      <c r="E67" s="25" t="inlineStr">
        <is>
          <t>P0</t>
        </is>
      </c>
      <c r="F67" s="25" t="inlineStr">
        <is>
          <t>S7</t>
        </is>
      </c>
      <c r="G67" s="25" t="inlineStr">
        <is>
          <t>Done</t>
        </is>
      </c>
    </row>
    <row r="68" ht="25.5" customHeight="1" s="22">
      <c r="A68" s="25" t="inlineStr">
        <is>
          <t>ST-065</t>
        </is>
      </c>
      <c r="B68" s="25" t="inlineStr">
        <is>
          <t>E6</t>
        </is>
      </c>
      <c r="C68" s="25" t="inlineStr">
        <is>
          <t>Data-flow diagram + retention policy published</t>
        </is>
      </c>
      <c r="D68" s="25" t="n">
        <v>3</v>
      </c>
      <c r="E68" s="25" t="inlineStr">
        <is>
          <t>P0</t>
        </is>
      </c>
      <c r="F68" s="25" t="inlineStr">
        <is>
          <t>S8</t>
        </is>
      </c>
      <c r="G68" s="25" t="inlineStr">
        <is>
          <t>Done</t>
        </is>
      </c>
    </row>
    <row r="69" ht="25.5" customHeight="1" s="22">
      <c r="A69" s="25" t="inlineStr">
        <is>
          <t>ST-066</t>
        </is>
      </c>
      <c r="B69" s="25" t="inlineStr">
        <is>
          <t>E6</t>
        </is>
      </c>
      <c r="C69" s="25" t="inlineStr">
        <is>
          <t>Encryption at rest + in transit verified; secrets in vault</t>
        </is>
      </c>
      <c r="D69" s="25" t="n">
        <v>5</v>
      </c>
      <c r="E69" s="25" t="inlineStr">
        <is>
          <t>P0</t>
        </is>
      </c>
      <c r="F69" s="25" t="inlineStr">
        <is>
          <t>S8</t>
        </is>
      </c>
      <c r="G69" s="25" t="inlineStr">
        <is>
          <t>Code-complete pending live</t>
        </is>
      </c>
    </row>
    <row r="70" ht="25.5" customHeight="1" s="22">
      <c r="A70" s="25" t="inlineStr">
        <is>
          <t>ST-067</t>
        </is>
      </c>
      <c r="B70" s="25" t="inlineStr">
        <is>
          <t>E6</t>
        </is>
      </c>
      <c r="C70" s="25" t="inlineStr">
        <is>
          <t>Audit log for admin-sensitive actions</t>
        </is>
      </c>
      <c r="D70" s="25" t="n">
        <v>5</v>
      </c>
      <c r="E70" s="25" t="inlineStr">
        <is>
          <t>P1</t>
        </is>
      </c>
      <c r="F70" s="25" t="inlineStr">
        <is>
          <t>S8</t>
        </is>
      </c>
      <c r="G70" s="25" t="inlineStr">
        <is>
          <t>Done</t>
        </is>
      </c>
    </row>
    <row r="71" ht="25.5" customHeight="1" s="22">
      <c r="A71" s="25" t="inlineStr">
        <is>
          <t>ST-068</t>
        </is>
      </c>
      <c r="B71" s="25" t="inlineStr">
        <is>
          <t>E6</t>
        </is>
      </c>
      <c r="C71" s="25" t="inlineStr">
        <is>
          <t>Pen-test (or platform-required evidence) completed and archived</t>
        </is>
      </c>
      <c r="D71" s="25" t="n">
        <v>8</v>
      </c>
      <c r="E71" s="25" t="inlineStr">
        <is>
          <t>P0</t>
        </is>
      </c>
      <c r="F71" s="25" t="inlineStr">
        <is>
          <t>S9</t>
        </is>
      </c>
      <c r="G71" s="25" t="inlineStr">
        <is>
          <t>In progress</t>
        </is>
      </c>
    </row>
    <row r="72" ht="25.5" customHeight="1" s="22">
      <c r="A72" s="25" t="inlineStr">
        <is>
          <t>ST-069</t>
        </is>
      </c>
      <c r="B72" s="25" t="inlineStr">
        <is>
          <t>E6</t>
        </is>
      </c>
      <c r="C72" s="25" t="inlineStr">
        <is>
          <t>Data export + delete-my-data self-serve</t>
        </is>
      </c>
      <c r="D72" s="25" t="n">
        <v>5</v>
      </c>
      <c r="E72" s="25" t="inlineStr">
        <is>
          <t>P0</t>
        </is>
      </c>
      <c r="F72" s="25" t="inlineStr">
        <is>
          <t>S9</t>
        </is>
      </c>
      <c r="G72" s="25" t="inlineStr">
        <is>
          <t>Done</t>
        </is>
      </c>
    </row>
    <row r="73" ht="25.5" customHeight="1" s="22">
      <c r="A73" s="25" t="inlineStr">
        <is>
          <t>ST-070</t>
        </is>
      </c>
      <c r="B73" s="25" t="inlineStr">
        <is>
          <t>E6</t>
        </is>
      </c>
      <c r="C73" s="25" t="inlineStr">
        <is>
          <t>Rate-limit backoff + circuit breaker on platform APIs</t>
        </is>
      </c>
      <c r="D73" s="25" t="n">
        <v>5</v>
      </c>
      <c r="E73" s="25" t="inlineStr">
        <is>
          <t>P0</t>
        </is>
      </c>
      <c r="F73" s="25" t="inlineStr">
        <is>
          <t>S8</t>
        </is>
      </c>
      <c r="G73" s="25" t="inlineStr">
        <is>
          <t>Done</t>
        </is>
      </c>
    </row>
    <row r="74" ht="25.5" customHeight="1" s="22">
      <c r="A74" s="25" t="inlineStr">
        <is>
          <t>ST-071</t>
        </is>
      </c>
      <c r="B74" s="25" t="inlineStr">
        <is>
          <t>E7</t>
        </is>
      </c>
      <c r="C74" s="25" t="inlineStr">
        <is>
          <t>Activation funnel events (install-&gt;setup-&gt;aha-&gt;habit) in one dashboard</t>
        </is>
      </c>
      <c r="D74" s="25" t="n">
        <v>5</v>
      </c>
      <c r="E74" s="25" t="inlineStr">
        <is>
          <t>P0</t>
        </is>
      </c>
      <c r="F74" s="25" t="inlineStr">
        <is>
          <t>S4</t>
        </is>
      </c>
      <c r="G74" s="25" t="inlineStr">
        <is>
          <t>Done</t>
        </is>
      </c>
    </row>
    <row r="75" ht="25.5" customHeight="1" s="22">
      <c r="A75" s="25" t="inlineStr">
        <is>
          <t>ST-072</t>
        </is>
      </c>
      <c r="B75" s="25" t="inlineStr">
        <is>
          <t>E7</t>
        </is>
      </c>
      <c r="C75" s="25" t="inlineStr">
        <is>
          <t>Error tracking with release tagging; alert on error-rate spike</t>
        </is>
      </c>
      <c r="D75" s="25" t="n">
        <v>3</v>
      </c>
      <c r="E75" s="25" t="inlineStr">
        <is>
          <t>P0</t>
        </is>
      </c>
      <c r="F75" s="25" t="inlineStr">
        <is>
          <t>S4</t>
        </is>
      </c>
      <c r="G75" s="25" t="inlineStr">
        <is>
          <t>Done</t>
        </is>
      </c>
    </row>
    <row r="76" ht="25.5" customHeight="1" s="22">
      <c r="A76" s="25" t="inlineStr">
        <is>
          <t>ST-073</t>
        </is>
      </c>
      <c r="B76" s="25" t="inlineStr">
        <is>
          <t>E7</t>
        </is>
      </c>
      <c r="C76" s="25" t="inlineStr">
        <is>
          <t>Feature-usage heatmap for roadmap decisions</t>
        </is>
      </c>
      <c r="D76" s="25" t="n">
        <v>3</v>
      </c>
      <c r="E76" s="25" t="inlineStr">
        <is>
          <t>P2</t>
        </is>
      </c>
      <c r="F76" s="25" t="inlineStr">
        <is>
          <t>S8</t>
        </is>
      </c>
      <c r="G76" s="25" t="inlineStr">
        <is>
          <t>Done</t>
        </is>
      </c>
    </row>
    <row r="77" ht="25.5" customHeight="1" s="22">
      <c r="A77" s="25" t="inlineStr">
        <is>
          <t>ST-074</t>
        </is>
      </c>
      <c r="B77" s="25" t="inlineStr">
        <is>
          <t>E7</t>
        </is>
      </c>
      <c r="C77" s="25" t="inlineStr">
        <is>
          <t>Weekly automated metrics email to team</t>
        </is>
      </c>
      <c r="D77" s="25" t="n">
        <v>2</v>
      </c>
      <c r="E77" s="25" t="inlineStr">
        <is>
          <t>P2</t>
        </is>
      </c>
      <c r="F77" s="25" t="inlineStr">
        <is>
          <t>S8</t>
        </is>
      </c>
      <c r="G77" s="25" t="inlineStr">
        <is>
          <t>Done</t>
        </is>
      </c>
    </row>
    <row r="78" ht="25.5" customHeight="1" s="22">
      <c r="A78" s="25" t="inlineStr">
        <is>
          <t>ST-075</t>
        </is>
      </c>
      <c r="B78" s="25" t="inlineStr">
        <is>
          <t>E7</t>
        </is>
      </c>
      <c r="C78" s="25" t="inlineStr">
        <is>
          <t>Health score computed per account (usage+billing+support)</t>
        </is>
      </c>
      <c r="D78" s="25" t="n">
        <v>5</v>
      </c>
      <c r="E78" s="25" t="inlineStr">
        <is>
          <t>P1</t>
        </is>
      </c>
      <c r="F78" s="25" t="inlineStr">
        <is>
          <t>S8</t>
        </is>
      </c>
      <c r="G78" s="25" t="inlineStr">
        <is>
          <t>Done</t>
        </is>
      </c>
    </row>
    <row r="79" ht="25.5" customHeight="1" s="22">
      <c r="A79" s="25" t="inlineStr">
        <is>
          <t>ST-076</t>
        </is>
      </c>
      <c r="B79" s="25" t="inlineStr">
        <is>
          <t>E7</t>
        </is>
      </c>
      <c r="C79" s="25" t="inlineStr">
        <is>
          <t>Metrics export to CSV/warehouse for founder analysis</t>
        </is>
      </c>
      <c r="D79" s="25" t="n">
        <v>3</v>
      </c>
      <c r="E79" s="25" t="inlineStr">
        <is>
          <t>P2</t>
        </is>
      </c>
      <c r="F79" s="25" t="inlineStr">
        <is>
          <t>S8</t>
        </is>
      </c>
      <c r="G79" s="25" t="inlineStr">
        <is>
          <t>Done</t>
        </is>
      </c>
    </row>
    <row r="80" ht="25.5" customHeight="1" s="22">
      <c r="A80" s="25" t="inlineStr">
        <is>
          <t>ST-077</t>
        </is>
      </c>
      <c r="B80" s="25" t="inlineStr">
        <is>
          <t>E7</t>
        </is>
      </c>
      <c r="C80" s="25" t="inlineStr">
        <is>
          <t>Alert thresholds configurable (activation drop, error spike, churn signal)</t>
        </is>
      </c>
      <c r="D80" s="25" t="n">
        <v>3</v>
      </c>
      <c r="E80" s="25" t="inlineStr">
        <is>
          <t>P2</t>
        </is>
      </c>
      <c r="F80" s="25" t="inlineStr">
        <is>
          <t>S8</t>
        </is>
      </c>
      <c r="G80" s="25" t="inlineStr">
        <is>
          <t>Done</t>
        </is>
      </c>
    </row>
    <row r="81" ht="25.5" customHeight="1" s="22">
      <c r="A81" s="25" t="inlineStr">
        <is>
          <t>ST-078</t>
        </is>
      </c>
      <c r="B81" s="25" t="inlineStr">
        <is>
          <t>E8</t>
        </is>
      </c>
      <c r="C81" s="25" t="inlineStr">
        <is>
          <t>First-run checklist reaches aha-moment in &lt;1 day</t>
        </is>
      </c>
      <c r="D81" s="25" t="n">
        <v>5</v>
      </c>
      <c r="E81" s="25" t="inlineStr">
        <is>
          <t>P0</t>
        </is>
      </c>
      <c r="F81" s="25" t="inlineStr">
        <is>
          <t>S5</t>
        </is>
      </c>
      <c r="G81" s="25" t="inlineStr">
        <is>
          <t>Done</t>
        </is>
      </c>
    </row>
    <row r="82" ht="25.5" customHeight="1" s="22">
      <c r="A82" s="25" t="inlineStr">
        <is>
          <t>ST-079</t>
        </is>
      </c>
      <c r="B82" s="25" t="inlineStr">
        <is>
          <t>E8</t>
        </is>
      </c>
      <c r="C82" s="25" t="inlineStr">
        <is>
          <t>Empty states teach next action on every screen</t>
        </is>
      </c>
      <c r="D82" s="25" t="n">
        <v>3</v>
      </c>
      <c r="E82" s="25" t="inlineStr">
        <is>
          <t>P1</t>
        </is>
      </c>
      <c r="F82" s="25" t="inlineStr">
        <is>
          <t>S5</t>
        </is>
      </c>
      <c r="G82" s="25" t="inlineStr">
        <is>
          <t>Done</t>
        </is>
      </c>
    </row>
    <row r="83" ht="25.5" customHeight="1" s="22">
      <c r="A83" s="25" t="inlineStr">
        <is>
          <t>ST-080</t>
        </is>
      </c>
      <c r="B83" s="25" t="inlineStr">
        <is>
          <t>E8</t>
        </is>
      </c>
      <c r="C83" s="25" t="inlineStr">
        <is>
          <t>Help center with 15 launch articles + search</t>
        </is>
      </c>
      <c r="D83" s="25" t="n">
        <v>5</v>
      </c>
      <c r="E83" s="25" t="inlineStr">
        <is>
          <t>P1</t>
        </is>
      </c>
      <c r="F83" s="25" t="inlineStr">
        <is>
          <t>S10</t>
        </is>
      </c>
      <c r="G83" s="25" t="inlineStr">
        <is>
          <t>Code-complete pending live</t>
        </is>
      </c>
    </row>
    <row r="84" ht="25.5" customHeight="1" s="22">
      <c r="A84" s="25" t="inlineStr">
        <is>
          <t>ST-081</t>
        </is>
      </c>
      <c r="B84" s="25" t="inlineStr">
        <is>
          <t>E8</t>
        </is>
      </c>
      <c r="C84" s="25" t="inlineStr">
        <is>
          <t>In-app chat with &lt;4 business-hr first response</t>
        </is>
      </c>
      <c r="D84" s="25" t="n">
        <v>3</v>
      </c>
      <c r="E84" s="25" t="inlineStr">
        <is>
          <t>P0</t>
        </is>
      </c>
      <c r="F84" s="25" t="inlineStr">
        <is>
          <t>S10</t>
        </is>
      </c>
      <c r="G84" s="25" t="inlineStr">
        <is>
          <t>Code-complete pending live</t>
        </is>
      </c>
    </row>
    <row r="85" ht="25.5" customHeight="1" s="22">
      <c r="A85" s="25" t="inlineStr">
        <is>
          <t>ST-082</t>
        </is>
      </c>
      <c r="B85" s="25" t="inlineStr">
        <is>
          <t>E8</t>
        </is>
      </c>
      <c r="C85" s="25" t="inlineStr">
        <is>
          <t>In-app review ask after aha-moment (marketplace rating engine)</t>
        </is>
      </c>
      <c r="D85" s="25" t="n">
        <v>3</v>
      </c>
      <c r="E85" s="25" t="inlineStr">
        <is>
          <t>P1</t>
        </is>
      </c>
      <c r="F85" s="25" t="inlineStr">
        <is>
          <t>S11</t>
        </is>
      </c>
      <c r="G85" s="25" t="inlineStr">
        <is>
          <t>Done</t>
        </is>
      </c>
    </row>
    <row r="86" ht="25.5" customHeight="1" s="22">
      <c r="A86" s="25" t="inlineStr">
        <is>
          <t>ST-083</t>
        </is>
      </c>
      <c r="B86" s="25" t="inlineStr">
        <is>
          <t>E8</t>
        </is>
      </c>
      <c r="C86" s="25" t="inlineStr">
        <is>
          <t>Demo video (2 min) + interactive sandbox/demo data mode</t>
        </is>
      </c>
      <c r="D86" s="25" t="n">
        <v>5</v>
      </c>
      <c r="E86" s="25" t="inlineStr">
        <is>
          <t>P1</t>
        </is>
      </c>
      <c r="F86" s="25" t="inlineStr">
        <is>
          <t>S10</t>
        </is>
      </c>
      <c r="G86" s="25" t="inlineStr">
        <is>
          <t>In progress</t>
        </is>
      </c>
    </row>
    <row r="87" ht="25.5" customHeight="1" s="22">
      <c r="A87" s="25" t="inlineStr">
        <is>
          <t>ST-084</t>
        </is>
      </c>
      <c r="B87" s="25" t="inlineStr">
        <is>
          <t>E8</t>
        </is>
      </c>
      <c r="C87" s="25" t="inlineStr">
        <is>
          <t>Status page + incident comms template</t>
        </is>
      </c>
      <c r="D87" s="25" t="n">
        <v>2</v>
      </c>
      <c r="E87" s="25" t="inlineStr">
        <is>
          <t>P2</t>
        </is>
      </c>
      <c r="F87" s="25" t="inlineStr">
        <is>
          <t>S10</t>
        </is>
      </c>
      <c r="G87" s="25" t="inlineStr">
        <is>
          <t>Drafted</t>
        </is>
      </c>
    </row>
    <row r="88" ht="25.5" customHeight="1" s="22">
      <c r="A88" s="25" t="inlineStr">
        <is>
          <t>ST-085</t>
        </is>
      </c>
      <c r="B88" s="25" t="inlineStr">
        <is>
          <t>EQ</t>
        </is>
      </c>
      <c r="C88" s="25" t="inlineStr">
        <is>
          <t>Unit+integration test coverage gate ≥70% on core modules</t>
        </is>
      </c>
      <c r="D88" s="25" t="n">
        <v>5</v>
      </c>
      <c r="E88" s="25" t="inlineStr">
        <is>
          <t>P0</t>
        </is>
      </c>
      <c r="F88" s="25" t="inlineStr">
        <is>
          <t>S3</t>
        </is>
      </c>
      <c r="G88" s="25" t="inlineStr">
        <is>
          <t>Done</t>
        </is>
      </c>
    </row>
    <row r="89" ht="25.5" customHeight="1" s="22">
      <c r="A89" s="25" t="inlineStr">
        <is>
          <t>ST-086</t>
        </is>
      </c>
      <c r="B89" s="25" t="inlineStr">
        <is>
          <t>EQ</t>
        </is>
      </c>
      <c r="C89" s="25" t="inlineStr">
        <is>
          <t>E2E smoke suite runs on every deploy</t>
        </is>
      </c>
      <c r="D89" s="25" t="n">
        <v>5</v>
      </c>
      <c r="E89" s="25" t="inlineStr">
        <is>
          <t>P0</t>
        </is>
      </c>
      <c r="F89" s="25" t="inlineStr">
        <is>
          <t>S4</t>
        </is>
      </c>
      <c r="G89" s="25" t="inlineStr">
        <is>
          <t>Done</t>
        </is>
      </c>
    </row>
    <row r="90" ht="25.5" customHeight="1" s="22">
      <c r="A90" s="25" t="inlineStr">
        <is>
          <t>ST-087</t>
        </is>
      </c>
      <c r="B90" s="25" t="inlineStr">
        <is>
          <t>EQ</t>
        </is>
      </c>
      <c r="C90" s="25" t="inlineStr">
        <is>
          <t>p95 latency budgets defined and monitored per surface</t>
        </is>
      </c>
      <c r="D90" s="25" t="n">
        <v>3</v>
      </c>
      <c r="E90" s="25" t="inlineStr">
        <is>
          <t>P0</t>
        </is>
      </c>
      <c r="F90" s="25" t="inlineStr">
        <is>
          <t>S8</t>
        </is>
      </c>
      <c r="G90" s="25" t="inlineStr">
        <is>
          <t>Done</t>
        </is>
      </c>
    </row>
    <row r="91" ht="25.5" customHeight="1" s="22">
      <c r="A91" s="25" t="inlineStr">
        <is>
          <t>ST-088</t>
        </is>
      </c>
      <c r="B91" s="25" t="inlineStr">
        <is>
          <t>EQ</t>
        </is>
      </c>
      <c r="C91" s="25" t="inlineStr">
        <is>
          <t>Load test at 5x expected launch traffic</t>
        </is>
      </c>
      <c r="D91" s="25" t="n">
        <v>5</v>
      </c>
      <c r="E91" s="25" t="inlineStr">
        <is>
          <t>P1</t>
        </is>
      </c>
      <c r="F91" s="25" t="inlineStr">
        <is>
          <t>S8</t>
        </is>
      </c>
      <c r="G91" s="25" t="inlineStr">
        <is>
          <t>Drafted</t>
        </is>
      </c>
    </row>
    <row r="92" ht="25.5" customHeight="1" s="22">
      <c r="A92" s="25" t="inlineStr">
        <is>
          <t>ST-089</t>
        </is>
      </c>
      <c r="B92" s="25" t="inlineStr">
        <is>
          <t>EQ</t>
        </is>
      </c>
      <c r="C92" s="25" t="inlineStr">
        <is>
          <t>Accessibility WCAG AA pass on primary flows</t>
        </is>
      </c>
      <c r="D92" s="25" t="n">
        <v>3</v>
      </c>
      <c r="E92" s="25" t="inlineStr">
        <is>
          <t>P1</t>
        </is>
      </c>
      <c r="F92" s="25" t="inlineStr">
        <is>
          <t>S9</t>
        </is>
      </c>
      <c r="G92" s="25" t="inlineStr">
        <is>
          <t>Code-complete pending live</t>
        </is>
      </c>
    </row>
    <row r="93" ht="25.5" customHeight="1" s="22">
      <c r="A93" s="25" t="inlineStr">
        <is>
          <t>ST-090</t>
        </is>
      </c>
      <c r="B93" s="25" t="inlineStr">
        <is>
          <t>EQ</t>
        </is>
      </c>
      <c r="C93" s="25" t="inlineStr">
        <is>
          <t>Backup + restore drill executed</t>
        </is>
      </c>
      <c r="D93" s="25" t="n">
        <v>3</v>
      </c>
      <c r="E93" s="25" t="inlineStr">
        <is>
          <t>P1</t>
        </is>
      </c>
      <c r="F93" s="25" t="inlineStr">
        <is>
          <t>S9</t>
        </is>
      </c>
      <c r="G93" s="25" t="inlineStr">
        <is>
          <t>Drafted</t>
        </is>
      </c>
    </row>
    <row r="94" ht="25.5" customHeight="1" s="22">
      <c r="A94" s="25" t="inlineStr">
        <is>
          <t>ST-091</t>
        </is>
      </c>
      <c r="B94" s="25" t="inlineStr">
        <is>
          <t>EQ</t>
        </is>
      </c>
      <c r="C94" s="25" t="inlineStr">
        <is>
          <t>Chaos test: platform API outage degrades gracefully with user comms</t>
        </is>
      </c>
      <c r="D94" s="25" t="n">
        <v>3</v>
      </c>
      <c r="E94" s="25" t="inlineStr">
        <is>
          <t>P2</t>
        </is>
      </c>
      <c r="F94" s="25" t="inlineStr">
        <is>
          <t>S9</t>
        </is>
      </c>
      <c r="G94" s="25" t="inlineStr">
        <is>
          <t>Done</t>
        </is>
      </c>
    </row>
    <row r="95" ht="25.5" customHeight="1" s="22">
      <c r="A95" s="25" t="inlineStr">
        <is>
          <t>ST-092</t>
        </is>
      </c>
      <c r="B95" s="25" t="inlineStr">
        <is>
          <t>EQ</t>
        </is>
      </c>
      <c r="C95" s="25" t="inlineStr">
        <is>
          <t>Zero-downtime deploy verified (blue/green or rolling)</t>
        </is>
      </c>
      <c r="D95" s="25" t="n">
        <v>3</v>
      </c>
      <c r="E95" s="25" t="inlineStr">
        <is>
          <t>P2</t>
        </is>
      </c>
      <c r="F95" s="25" t="inlineStr">
        <is>
          <t>S8</t>
        </is>
      </c>
      <c r="G95" s="25" t="inlineStr">
        <is>
          <t>Drafted</t>
        </is>
      </c>
    </row>
    <row r="96" ht="25.5" customHeight="1" s="22">
      <c r="A96" s="25" t="inlineStr">
        <is>
          <t>ST-093</t>
        </is>
      </c>
      <c r="B96" s="25" t="inlineStr">
        <is>
          <t>EL</t>
        </is>
      </c>
      <c r="C96" s="25" t="inlineStr">
        <is>
          <t>Marketplace listing copy A + B variants drafted and reviewed</t>
        </is>
      </c>
      <c r="D96" s="25" t="n">
        <v>3</v>
      </c>
      <c r="E96" s="25" t="inlineStr">
        <is>
          <t>P0</t>
        </is>
      </c>
      <c r="F96" s="25" t="inlineStr">
        <is>
          <t>S9</t>
        </is>
      </c>
      <c r="G96" s="25" t="inlineStr">
        <is>
          <t>Drafted</t>
        </is>
      </c>
    </row>
    <row r="97" ht="25.5" customHeight="1" s="22">
      <c r="A97" s="25" t="inlineStr">
        <is>
          <t>ST-094</t>
        </is>
      </c>
      <c r="B97" s="25" t="inlineStr">
        <is>
          <t>EL</t>
        </is>
      </c>
      <c r="C97" s="25" t="inlineStr">
        <is>
          <t>5 screenshots + 2-min demo video meet platform asset specs</t>
        </is>
      </c>
      <c r="D97" s="25" t="n">
        <v>5</v>
      </c>
      <c r="E97" s="25" t="inlineStr">
        <is>
          <t>P0</t>
        </is>
      </c>
      <c r="F97" s="25" t="inlineStr">
        <is>
          <t>S9</t>
        </is>
      </c>
      <c r="G97" s="25" t="inlineStr">
        <is>
          <t>In progress</t>
        </is>
      </c>
    </row>
    <row r="98" ht="25.5" customHeight="1" s="22">
      <c r="A98" s="25" t="inlineStr">
        <is>
          <t>ST-095</t>
        </is>
      </c>
      <c r="B98" s="25" t="inlineStr">
        <is>
          <t>EL</t>
        </is>
      </c>
      <c r="C98" s="25" t="inlineStr">
        <is>
          <t>Pricing page/plan matrix published with FAQ</t>
        </is>
      </c>
      <c r="D98" s="25" t="n">
        <v>3</v>
      </c>
      <c r="E98" s="25" t="inlineStr">
        <is>
          <t>P0</t>
        </is>
      </c>
      <c r="F98" s="25" t="inlineStr">
        <is>
          <t>S10</t>
        </is>
      </c>
      <c r="G98" s="25" t="inlineStr">
        <is>
          <t>Drafted</t>
        </is>
      </c>
    </row>
    <row r="99" ht="25.5" customHeight="1" s="22">
      <c r="A99" s="25" t="inlineStr">
        <is>
          <t>ST-096</t>
        </is>
      </c>
      <c r="B99" s="25" t="inlineStr">
        <is>
          <t>EL</t>
        </is>
      </c>
      <c r="C99" s="25" t="inlineStr">
        <is>
          <t>Security/trust page (data handling, subprocessors) live</t>
        </is>
      </c>
      <c r="D99" s="25" t="n">
        <v>3</v>
      </c>
      <c r="E99" s="25" t="inlineStr">
        <is>
          <t>P0</t>
        </is>
      </c>
      <c r="F99" s="25" t="inlineStr">
        <is>
          <t>S10</t>
        </is>
      </c>
      <c r="G99" s="25" t="inlineStr">
        <is>
          <t>Drafted</t>
        </is>
      </c>
    </row>
    <row r="100" ht="25.5" customHeight="1" s="22">
      <c r="A100" s="25" t="inlineStr">
        <is>
          <t>ST-097</t>
        </is>
      </c>
      <c r="B100" s="25" t="inlineStr">
        <is>
          <t>EL</t>
        </is>
      </c>
      <c r="C100" s="25" t="inlineStr">
        <is>
          <t>Submission dry-run against platform checklist by second reviewer</t>
        </is>
      </c>
      <c r="D100" s="25" t="n">
        <v>3</v>
      </c>
      <c r="E100" s="25" t="inlineStr">
        <is>
          <t>P0</t>
        </is>
      </c>
      <c r="F100" s="25" t="inlineStr">
        <is>
          <t>S10</t>
        </is>
      </c>
      <c r="G100" s="25" t="inlineStr">
        <is>
          <t>In progress</t>
        </is>
      </c>
    </row>
    <row r="101" ht="25.5" customHeight="1" s="22">
      <c r="A101" s="25" t="inlineStr">
        <is>
          <t>ST-098</t>
        </is>
      </c>
      <c r="B101" s="25" t="inlineStr">
        <is>
          <t>EL</t>
        </is>
      </c>
      <c r="C101" s="25" t="inlineStr">
        <is>
          <t>Launch-day runbook: monitoring, rollback, comms tree</t>
        </is>
      </c>
      <c r="D101" s="25" t="n">
        <v>3</v>
      </c>
      <c r="E101" s="25" t="inlineStr">
        <is>
          <t>P1</t>
        </is>
      </c>
      <c r="F101" s="25" t="inlineStr">
        <is>
          <t>S11</t>
        </is>
      </c>
      <c r="G101" s="25" t="inlineStr">
        <is>
          <t>Drafted</t>
        </is>
      </c>
    </row>
    <row r="102" ht="25.5" customHeight="1" s="22">
      <c r="A102" s="25" t="inlineStr">
        <is>
          <t>ST-099</t>
        </is>
      </c>
      <c r="B102" s="25" t="inlineStr">
        <is>
          <t>EL</t>
        </is>
      </c>
      <c r="C102" s="25" t="inlineStr">
        <is>
          <t>Post-launch listing SEO iteration 1 from search-term data</t>
        </is>
      </c>
      <c r="D102" s="25" t="n">
        <v>2</v>
      </c>
      <c r="E102" s="25" t="inlineStr">
        <is>
          <t>P2</t>
        </is>
      </c>
      <c r="F102" s="25" t="inlineStr">
        <is>
          <t>S12</t>
        </is>
      </c>
      <c r="G102" s="25" t="inlineStr">
        <is>
          <t>Code-complete pending live</t>
        </is>
      </c>
    </row>
    <row r="103" ht="25.5" customHeight="1" s="22">
      <c r="A103" s="25" t="inlineStr">
        <is>
          <t>ST-100</t>
        </is>
      </c>
      <c r="B103" s="25" t="inlineStr">
        <is>
          <t>EL</t>
        </is>
      </c>
      <c r="C103" s="25" t="inlineStr">
        <is>
          <t>First 10 design-partner reviews scheduled</t>
        </is>
      </c>
      <c r="D103" s="25" t="n">
        <v>2</v>
      </c>
      <c r="E103" s="25" t="inlineStr">
        <is>
          <t>P1</t>
        </is>
      </c>
      <c r="F103" s="25" t="inlineStr">
        <is>
          <t>S11</t>
        </is>
      </c>
      <c r="G103" s="25" t="inlineStr">
        <is>
          <t>Code-complete pending live</t>
        </is>
      </c>
    </row>
    <row r="104">
      <c r="A104" s="28" t="inlineStr">
        <is>
          <t>SD201</t>
        </is>
      </c>
      <c r="B104" s="28" t="inlineStr">
        <is>
          <t>E13</t>
        </is>
      </c>
      <c r="C104" s="28" t="inlineStr">
        <is>
          <t>JWKS-backed Entra signature verification for tab SSO</t>
        </is>
      </c>
      <c r="D104" s="28" t="n">
        <v>8</v>
      </c>
      <c r="E104" s="28" t="inlineStr">
        <is>
          <t>P0</t>
        </is>
      </c>
      <c r="F104" s="28" t="inlineStr">
        <is>
          <t>S13</t>
        </is>
      </c>
      <c r="G104" s="32" t="inlineStr">
        <is>
          <t>Done</t>
        </is>
      </c>
    </row>
    <row r="105" ht="30" customHeight="1" s="22">
      <c r="A105" s="28" t="inlineStr">
        <is>
          <t>SD202</t>
        </is>
      </c>
      <c r="B105" s="28" t="inlineStr">
        <is>
          <t>E13</t>
        </is>
      </c>
      <c r="C105" s="28" t="inlineStr">
        <is>
          <t>Bot Connector JWT verification</t>
        </is>
      </c>
      <c r="D105" s="28" t="n">
        <v>8</v>
      </c>
      <c r="E105" s="28" t="inlineStr">
        <is>
          <t>P0</t>
        </is>
      </c>
      <c r="F105" s="28" t="inlineStr">
        <is>
          <t>S13</t>
        </is>
      </c>
      <c r="G105" s="32" t="inlineStr">
        <is>
          <t>Done</t>
        </is>
      </c>
    </row>
    <row r="106">
      <c r="A106" s="28" t="inlineStr">
        <is>
          <t>SD203</t>
        </is>
      </c>
      <c r="B106" s="28" t="inlineStr">
        <is>
          <t>E13</t>
        </is>
      </c>
      <c r="C106" s="28" t="inlineStr">
        <is>
          <t>Dev bypass fenced by environment</t>
        </is>
      </c>
      <c r="D106" s="28" t="n">
        <v>3</v>
      </c>
      <c r="E106" s="28" t="inlineStr">
        <is>
          <t>P0</t>
        </is>
      </c>
      <c r="F106" s="28" t="inlineStr">
        <is>
          <t>S13</t>
        </is>
      </c>
      <c r="G106" s="32" t="inlineStr">
        <is>
          <t>Done</t>
        </is>
      </c>
    </row>
    <row r="107">
      <c r="A107" s="28" t="inlineStr">
        <is>
          <t>SD204</t>
        </is>
      </c>
      <c r="B107" s="28" t="inlineStr">
        <is>
          <t>E13</t>
        </is>
      </c>
      <c r="C107" s="28" t="inlineStr">
        <is>
          <t>Production-seam wiring assertion</t>
        </is>
      </c>
      <c r="D107" s="28" t="n">
        <v>5</v>
      </c>
      <c r="E107" s="28" t="inlineStr">
        <is>
          <t>P0</t>
        </is>
      </c>
      <c r="F107" s="28" t="inlineStr">
        <is>
          <t>S13</t>
        </is>
      </c>
      <c r="G107" s="32" t="inlineStr">
        <is>
          <t>Done</t>
        </is>
      </c>
    </row>
    <row r="108">
      <c r="A108" s="28" t="inlineStr">
        <is>
          <t>SD205</t>
        </is>
      </c>
      <c r="B108" s="28" t="inlineStr">
        <is>
          <t>E13</t>
        </is>
      </c>
      <c r="C108" s="28" t="inlineStr">
        <is>
          <t>Request hardening: body cap + rate limits</t>
        </is>
      </c>
      <c r="D108" s="28" t="n">
        <v>8</v>
      </c>
      <c r="E108" s="28" t="inlineStr">
        <is>
          <t>P0</t>
        </is>
      </c>
      <c r="F108" s="28" t="inlineStr">
        <is>
          <t>S13</t>
        </is>
      </c>
      <c r="G108" s="32" t="inlineStr">
        <is>
          <t>Done</t>
        </is>
      </c>
    </row>
    <row r="109">
      <c r="A109" s="28" t="inlineStr">
        <is>
          <t>SD206</t>
        </is>
      </c>
      <c r="B109" s="28" t="inlineStr">
        <is>
          <t>E13</t>
        </is>
      </c>
      <c r="C109" s="28" t="inlineStr">
        <is>
          <t>Security headers on every surface</t>
        </is>
      </c>
      <c r="D109" s="28" t="n">
        <v>3</v>
      </c>
      <c r="E109" s="28" t="inlineStr">
        <is>
          <t>P0</t>
        </is>
      </c>
      <c r="F109" s="28" t="inlineStr">
        <is>
          <t>S13</t>
        </is>
      </c>
      <c r="G109" s="32" t="inlineStr">
        <is>
          <t>Done</t>
        </is>
      </c>
    </row>
    <row r="110">
      <c r="A110" s="28" t="inlineStr">
        <is>
          <t>SD207</t>
        </is>
      </c>
      <c r="B110" s="28" t="inlineStr">
        <is>
          <t>E13</t>
        </is>
      </c>
      <c r="C110" s="28" t="inlineStr">
        <is>
          <t>Circuit breaker half-open probe</t>
        </is>
      </c>
      <c r="D110" s="28" t="n">
        <v>3</v>
      </c>
      <c r="E110" s="28" t="inlineStr">
        <is>
          <t>P0</t>
        </is>
      </c>
      <c r="F110" s="28" t="inlineStr">
        <is>
          <t>S13</t>
        </is>
      </c>
      <c r="G110" s="32" t="inlineStr">
        <is>
          <t>Done</t>
        </is>
      </c>
    </row>
    <row r="111">
      <c r="A111" s="28" t="inlineStr">
        <is>
          <t>SD208</t>
        </is>
      </c>
      <c r="B111" s="28" t="inlineStr">
        <is>
          <t>E14</t>
        </is>
      </c>
      <c r="C111" s="28" t="inlineStr">
        <is>
          <t>Postgres client wired in the entry point</t>
        </is>
      </c>
      <c r="D111" s="28" t="n">
        <v>5</v>
      </c>
      <c r="E111" s="28" t="inlineStr">
        <is>
          <t>P0</t>
        </is>
      </c>
      <c r="F111" s="28" t="inlineStr">
        <is>
          <t>S14</t>
        </is>
      </c>
      <c r="G111" s="32" t="inlineStr">
        <is>
          <t>Done</t>
        </is>
      </c>
    </row>
    <row r="112">
      <c r="A112" s="28" t="inlineStr">
        <is>
          <t>SD209</t>
        </is>
      </c>
      <c r="B112" s="28" t="inlineStr">
        <is>
          <t>E14</t>
        </is>
      </c>
      <c r="C112" s="28" t="inlineStr">
        <is>
          <t>Refuse to serve non-durably in production</t>
        </is>
      </c>
      <c r="D112" s="28" t="n">
        <v>3</v>
      </c>
      <c r="E112" s="28" t="inlineStr">
        <is>
          <t>P0</t>
        </is>
      </c>
      <c r="F112" s="28" t="inlineStr">
        <is>
          <t>S14</t>
        </is>
      </c>
      <c r="G112" s="32" t="inlineStr">
        <is>
          <t>Done</t>
        </is>
      </c>
    </row>
    <row r="113">
      <c r="A113" s="28" t="inlineStr">
        <is>
          <t>SD210</t>
        </is>
      </c>
      <c r="B113" s="28" t="inlineStr">
        <is>
          <t>E14</t>
        </is>
      </c>
      <c r="C113" s="28" t="inlineStr">
        <is>
          <t>Migration runner</t>
        </is>
      </c>
      <c r="D113" s="28" t="n">
        <v>5</v>
      </c>
      <c r="E113" s="28" t="inlineStr">
        <is>
          <t>P0</t>
        </is>
      </c>
      <c r="F113" s="28" t="inlineStr">
        <is>
          <t>S14</t>
        </is>
      </c>
      <c r="G113" s="32" t="inlineStr">
        <is>
          <t>Done</t>
        </is>
      </c>
    </row>
    <row r="114">
      <c r="A114" s="28" t="inlineStr">
        <is>
          <t>SD211</t>
        </is>
      </c>
      <c r="B114" s="28" t="inlineStr">
        <is>
          <t>E14</t>
        </is>
      </c>
      <c r="C114" s="28" t="inlineStr">
        <is>
          <t>Real-Postgres integration tier in CI</t>
        </is>
      </c>
      <c r="D114" s="28" t="n">
        <v>8</v>
      </c>
      <c r="E114" s="28" t="inlineStr">
        <is>
          <t>P0</t>
        </is>
      </c>
      <c r="F114" s="28" t="inlineStr">
        <is>
          <t>S14</t>
        </is>
      </c>
      <c r="G114" s="32" t="inlineStr">
        <is>
          <t>Done</t>
        </is>
      </c>
    </row>
    <row r="115">
      <c r="A115" s="28" t="inlineStr">
        <is>
          <t>SD212</t>
        </is>
      </c>
      <c r="B115" s="28" t="inlineStr">
        <is>
          <t>E14</t>
        </is>
      </c>
      <c r="C115" s="28" t="inlineStr">
        <is>
          <t>Fix list() version projection</t>
        </is>
      </c>
      <c r="D115" s="28" t="n">
        <v>2</v>
      </c>
      <c r="E115" s="28" t="inlineStr">
        <is>
          <t>P0</t>
        </is>
      </c>
      <c r="F115" s="28" t="inlineStr">
        <is>
          <t>S14</t>
        </is>
      </c>
      <c r="G115" s="32" t="inlineStr">
        <is>
          <t>Done</t>
        </is>
      </c>
    </row>
    <row r="116">
      <c r="A116" s="28" t="inlineStr">
        <is>
          <t>SD213</t>
        </is>
      </c>
      <c r="B116" s="28" t="inlineStr">
        <is>
          <t>E14</t>
        </is>
      </c>
      <c r="C116" s="28" t="inlineStr">
        <is>
          <t>One repository, one registry</t>
        </is>
      </c>
      <c r="D116" s="28" t="n">
        <v>5</v>
      </c>
      <c r="E116" s="28" t="inlineStr">
        <is>
          <t>P0</t>
        </is>
      </c>
      <c r="F116" s="28" t="inlineStr">
        <is>
          <t>S14</t>
        </is>
      </c>
      <c r="G116" s="32" t="inlineStr">
        <is>
          <t>Done</t>
        </is>
      </c>
    </row>
    <row r="117">
      <c r="A117" s="28" t="inlineStr">
        <is>
          <t>SD214</t>
        </is>
      </c>
      <c r="B117" s="28" t="inlineStr">
        <is>
          <t>E14</t>
        </is>
      </c>
      <c r="C117" s="28" t="inlineStr">
        <is>
          <t>Restart and blue/green durability tests in CI</t>
        </is>
      </c>
      <c r="D117" s="28" t="n">
        <v>5</v>
      </c>
      <c r="E117" s="28" t="inlineStr">
        <is>
          <t>P0</t>
        </is>
      </c>
      <c r="F117" s="28" t="inlineStr">
        <is>
          <t>S14</t>
        </is>
      </c>
      <c r="G117" s="32" t="inlineStr">
        <is>
          <t>Done</t>
        </is>
      </c>
    </row>
    <row r="118">
      <c r="A118" s="28" t="inlineStr">
        <is>
          <t>SD215</t>
        </is>
      </c>
      <c r="B118" s="28" t="inlineStr">
        <is>
          <t>E14</t>
        </is>
      </c>
      <c r="C118" s="28" t="inlineStr">
        <is>
          <t>Backup/restore automation with numbers</t>
        </is>
      </c>
      <c r="D118" s="28" t="n">
        <v>3</v>
      </c>
      <c r="E118" s="28" t="inlineStr">
        <is>
          <t>P0</t>
        </is>
      </c>
      <c r="F118" s="28" t="inlineStr">
        <is>
          <t>S14</t>
        </is>
      </c>
      <c r="G118" s="32" t="inlineStr">
        <is>
          <t>Done</t>
        </is>
      </c>
    </row>
    <row r="119">
      <c r="A119" s="28" t="inlineStr">
        <is>
          <t>SD216</t>
        </is>
      </c>
      <c r="B119" s="28" t="inlineStr">
        <is>
          <t>E15</t>
        </is>
      </c>
      <c r="C119" s="28" t="inlineStr">
        <is>
          <t>Per-record persistence replacing module snapshots</t>
        </is>
      </c>
      <c r="D119" s="28" t="n">
        <v>13</v>
      </c>
      <c r="E119" s="28" t="inlineStr">
        <is>
          <t>P0</t>
        </is>
      </c>
      <c r="F119" s="28" t="inlineStr">
        <is>
          <t>S15</t>
        </is>
      </c>
      <c r="G119" s="32" t="inlineStr">
        <is>
          <t>Done</t>
        </is>
      </c>
    </row>
    <row r="120">
      <c r="A120" s="28" t="inlineStr">
        <is>
          <t>SD217</t>
        </is>
      </c>
      <c r="B120" s="28" t="inlineStr">
        <is>
          <t>E15</t>
        </is>
      </c>
      <c r="C120" s="28" t="inlineStr">
        <is>
          <t>Bounded working set and windowed hydration</t>
        </is>
      </c>
      <c r="D120" s="28" t="n">
        <v>5</v>
      </c>
      <c r="E120" s="28" t="inlineStr">
        <is>
          <t>P0</t>
        </is>
      </c>
      <c r="F120" s="28" t="inlineStr">
        <is>
          <t>S15</t>
        </is>
      </c>
      <c r="G120" s="32" t="inlineStr">
        <is>
          <t>Done</t>
        </is>
      </c>
    </row>
    <row r="121">
      <c r="A121" s="28" t="inlineStr">
        <is>
          <t>SD218</t>
        </is>
      </c>
      <c r="B121" s="28" t="inlineStr">
        <is>
          <t>E15</t>
        </is>
      </c>
      <c r="C121" s="28" t="inlineStr">
        <is>
          <t>Audit pagination and retention enforcement</t>
        </is>
      </c>
      <c r="D121" s="28" t="n">
        <v>5</v>
      </c>
      <c r="E121" s="28" t="inlineStr">
        <is>
          <t>P0</t>
        </is>
      </c>
      <c r="F121" s="28" t="inlineStr">
        <is>
          <t>S15</t>
        </is>
      </c>
      <c r="G121" s="32" t="inlineStr">
        <is>
          <t>Done</t>
        </is>
      </c>
    </row>
    <row r="122">
      <c r="A122" s="28" t="inlineStr">
        <is>
          <t>SD219</t>
        </is>
      </c>
      <c r="B122" s="28" t="inlineStr">
        <is>
          <t>E15</t>
        </is>
      </c>
      <c r="C122" s="28" t="inlineStr">
        <is>
          <t>Run the k6 5x load sweep on staging</t>
        </is>
      </c>
      <c r="D122" s="28" t="n">
        <v>5</v>
      </c>
      <c r="E122" s="28" t="inlineStr">
        <is>
          <t>P0</t>
        </is>
      </c>
      <c r="F122" s="28" t="inlineStr">
        <is>
          <t>S15</t>
        </is>
      </c>
      <c r="G122" s="33" t="inlineStr">
        <is>
          <t>To do — Senthil</t>
        </is>
      </c>
    </row>
    <row r="123">
      <c r="A123" s="28" t="inlineStr">
        <is>
          <t>SD220</t>
        </is>
      </c>
      <c r="B123" s="28" t="inlineStr">
        <is>
          <t>E15</t>
        </is>
      </c>
      <c r="C123" s="28" t="inlineStr">
        <is>
          <t>Latency and conflict SLO evidence</t>
        </is>
      </c>
      <c r="D123" s="28" t="n">
        <v>3</v>
      </c>
      <c r="E123" s="28" t="inlineStr">
        <is>
          <t>P0</t>
        </is>
      </c>
      <c r="F123" s="28" t="inlineStr">
        <is>
          <t>S15</t>
        </is>
      </c>
      <c r="G123" s="33" t="inlineStr">
        <is>
          <t>To do — Senthil</t>
        </is>
      </c>
    </row>
    <row r="124">
      <c r="A124" s="28" t="inlineStr">
        <is>
          <t>SD221</t>
        </is>
      </c>
      <c r="B124" s="28" t="inlineStr">
        <is>
          <t>E15</t>
        </is>
      </c>
      <c r="C124" s="28" t="inlineStr">
        <is>
          <t>Key rotation with key-id envelope</t>
        </is>
      </c>
      <c r="D124" s="28" t="n">
        <v>3</v>
      </c>
      <c r="E124" s="28" t="inlineStr">
        <is>
          <t>P0</t>
        </is>
      </c>
      <c r="F124" s="28" t="inlineStr">
        <is>
          <t>S15</t>
        </is>
      </c>
      <c r="G124" s="32" t="inlineStr">
        <is>
          <t>Done</t>
        </is>
      </c>
    </row>
    <row r="125">
      <c r="A125" s="28" t="inlineStr">
        <is>
          <t>SD222</t>
        </is>
      </c>
      <c r="B125" s="28" t="inlineStr">
        <is>
          <t>E16</t>
        </is>
      </c>
      <c r="C125" s="28" t="inlineStr">
        <is>
          <t>Adaptive Cards for the four core flows</t>
        </is>
      </c>
      <c r="D125" s="28" t="n">
        <v>13</v>
      </c>
      <c r="E125" s="28" t="inlineStr">
        <is>
          <t>P1</t>
        </is>
      </c>
      <c r="F125" s="28" t="inlineStr">
        <is>
          <t>S16</t>
        </is>
      </c>
      <c r="G125" s="34" t="inlineStr">
        <is>
          <t>Code-complete pending live</t>
        </is>
      </c>
    </row>
    <row r="126">
      <c r="A126" s="28" t="inlineStr">
        <is>
          <t>SD223</t>
        </is>
      </c>
      <c r="B126" s="28" t="inlineStr">
        <is>
          <t>E16</t>
        </is>
      </c>
      <c r="C126" s="28" t="inlineStr">
        <is>
          <t>Proactive messaging and activity feed</t>
        </is>
      </c>
      <c r="D126" s="28" t="n">
        <v>8</v>
      </c>
      <c r="E126" s="28" t="inlineStr">
        <is>
          <t>P1</t>
        </is>
      </c>
      <c r="F126" s="28" t="inlineStr">
        <is>
          <t>S16</t>
        </is>
      </c>
      <c r="G126" s="34" t="inlineStr">
        <is>
          <t>Code-complete pending live</t>
        </is>
      </c>
    </row>
    <row r="127">
      <c r="A127" s="28" t="inlineStr">
        <is>
          <t>SD224</t>
        </is>
      </c>
      <c r="B127" s="28" t="inlineStr">
        <is>
          <t>E16</t>
        </is>
      </c>
      <c r="C127" s="28" t="inlineStr">
        <is>
          <t>Team/channel configurable tab</t>
        </is>
      </c>
      <c r="D127" s="28" t="n">
        <v>8</v>
      </c>
      <c r="E127" s="28" t="inlineStr">
        <is>
          <t>P1</t>
        </is>
      </c>
      <c r="F127" s="28" t="inlineStr">
        <is>
          <t>S16</t>
        </is>
      </c>
      <c r="G127" s="34" t="inlineStr">
        <is>
          <t>Code-complete pending live</t>
        </is>
      </c>
    </row>
    <row r="128">
      <c r="A128" s="28" t="inlineStr">
        <is>
          <t>SD225</t>
        </is>
      </c>
      <c r="B128" s="28" t="inlineStr">
        <is>
          <t>E16</t>
        </is>
      </c>
      <c r="C128" s="28" t="inlineStr">
        <is>
          <t>Command list parity</t>
        </is>
      </c>
      <c r="D128" s="28" t="n">
        <v>2</v>
      </c>
      <c r="E128" s="28" t="inlineStr">
        <is>
          <t>P1</t>
        </is>
      </c>
      <c r="F128" s="28" t="inlineStr">
        <is>
          <t>S16</t>
        </is>
      </c>
      <c r="G128" s="32" t="inlineStr">
        <is>
          <t>Done</t>
        </is>
      </c>
    </row>
    <row r="129">
      <c r="A129" s="28" t="inlineStr">
        <is>
          <t>SD226</t>
        </is>
      </c>
      <c r="B129" s="28" t="inlineStr">
        <is>
          <t>E16</t>
        </is>
      </c>
      <c r="C129" s="28" t="inlineStr">
        <is>
          <t>Mobile pass on live Teams clients</t>
        </is>
      </c>
      <c r="D129" s="28" t="n">
        <v>5</v>
      </c>
      <c r="E129" s="28" t="inlineStr">
        <is>
          <t>P1</t>
        </is>
      </c>
      <c r="F129" s="28" t="inlineStr">
        <is>
          <t>S16</t>
        </is>
      </c>
      <c r="G129" s="33" t="inlineStr">
        <is>
          <t>To do — Senthil</t>
        </is>
      </c>
    </row>
    <row r="130">
      <c r="A130" s="28" t="inlineStr">
        <is>
          <t>SD227</t>
        </is>
      </c>
      <c r="B130" s="28" t="inlineStr">
        <is>
          <t>E16</t>
        </is>
      </c>
      <c r="C130" s="28" t="inlineStr">
        <is>
          <t>i18n scaffold and first launch locale</t>
        </is>
      </c>
      <c r="D130" s="28" t="n">
        <v>4</v>
      </c>
      <c r="E130" s="28" t="inlineStr">
        <is>
          <t>P1</t>
        </is>
      </c>
      <c r="F130" s="28" t="inlineStr">
        <is>
          <t>S16</t>
        </is>
      </c>
      <c r="G130" s="32" t="inlineStr">
        <is>
          <t>Done</t>
        </is>
      </c>
    </row>
    <row r="131">
      <c r="A131" s="28" t="inlineStr">
        <is>
          <t>SD228</t>
        </is>
      </c>
      <c r="B131" s="28" t="inlineStr">
        <is>
          <t>E17</t>
        </is>
      </c>
      <c r="C131" s="28" t="inlineStr">
        <is>
          <t>Admin consent and tenant-wide rollout in 2 tenants</t>
        </is>
      </c>
      <c r="D131" s="28" t="n">
        <v>8</v>
      </c>
      <c r="E131" s="28" t="inlineStr">
        <is>
          <t>P1</t>
        </is>
      </c>
      <c r="F131" s="28" t="inlineStr">
        <is>
          <t>S17</t>
        </is>
      </c>
      <c r="G131" s="33" t="inlineStr">
        <is>
          <t>To do — Senthil</t>
        </is>
      </c>
    </row>
    <row r="132">
      <c r="A132" s="28" t="inlineStr">
        <is>
          <t>SD229</t>
        </is>
      </c>
      <c r="B132" s="28" t="inlineStr">
        <is>
          <t>E17</t>
        </is>
      </c>
      <c r="C132" s="28" t="inlineStr">
        <is>
          <t>Data residency configuration</t>
        </is>
      </c>
      <c r="D132" s="28" t="n">
        <v>5</v>
      </c>
      <c r="E132" s="28" t="inlineStr">
        <is>
          <t>P1</t>
        </is>
      </c>
      <c r="F132" s="28" t="inlineStr">
        <is>
          <t>S17</t>
        </is>
      </c>
      <c r="G132" s="32" t="inlineStr">
        <is>
          <t>Done</t>
        </is>
      </c>
    </row>
    <row r="133">
      <c r="A133" s="28" t="inlineStr">
        <is>
          <t>SD230</t>
        </is>
      </c>
      <c r="B133" s="28" t="inlineStr">
        <is>
          <t>E17</t>
        </is>
      </c>
      <c r="C133" s="28" t="inlineStr">
        <is>
          <t>DPA, subprocessor register, retention schedule published</t>
        </is>
      </c>
      <c r="D133" s="28" t="n">
        <v>5</v>
      </c>
      <c r="E133" s="28" t="inlineStr">
        <is>
          <t>P1</t>
        </is>
      </c>
      <c r="F133" s="28" t="inlineStr">
        <is>
          <t>S17</t>
        </is>
      </c>
      <c r="G133" s="32" t="inlineStr">
        <is>
          <t>Done</t>
        </is>
      </c>
    </row>
    <row r="134">
      <c r="A134" s="28" t="inlineStr">
        <is>
          <t>SD231</t>
        </is>
      </c>
      <c r="B134" s="28" t="inlineStr">
        <is>
          <t>E17</t>
        </is>
      </c>
      <c r="C134" s="28" t="inlineStr">
        <is>
          <t>Self-serve export and delete, admin-visible</t>
        </is>
      </c>
      <c r="D134" s="28" t="n">
        <v>5</v>
      </c>
      <c r="E134" s="28" t="inlineStr">
        <is>
          <t>P1</t>
        </is>
      </c>
      <c r="F134" s="28" t="inlineStr">
        <is>
          <t>S17</t>
        </is>
      </c>
      <c r="G134" s="34" t="inlineStr">
        <is>
          <t>Code-complete pending live</t>
        </is>
      </c>
    </row>
    <row r="135">
      <c r="A135" s="28" t="inlineStr">
        <is>
          <t>SD232</t>
        </is>
      </c>
      <c r="B135" s="28" t="inlineStr">
        <is>
          <t>E17</t>
        </is>
      </c>
      <c r="C135" s="28" t="inlineStr">
        <is>
          <t>KMS-backed key custody</t>
        </is>
      </c>
      <c r="D135" s="28" t="n">
        <v>5</v>
      </c>
      <c r="E135" s="28" t="inlineStr">
        <is>
          <t>P1</t>
        </is>
      </c>
      <c r="F135" s="28" t="inlineStr">
        <is>
          <t>S17</t>
        </is>
      </c>
      <c r="G135" s="34" t="inlineStr">
        <is>
          <t>Code-complete pending live</t>
        </is>
      </c>
    </row>
    <row r="136">
      <c r="A136" s="28" t="inlineStr">
        <is>
          <t>SD233</t>
        </is>
      </c>
      <c r="B136" s="28" t="inlineStr">
        <is>
          <t>E17</t>
        </is>
      </c>
      <c r="C136" s="28" t="inlineStr">
        <is>
          <t>Incident response and breach notification runbook</t>
        </is>
      </c>
      <c r="D136" s="28" t="n">
        <v>4</v>
      </c>
      <c r="E136" s="28" t="inlineStr">
        <is>
          <t>P1</t>
        </is>
      </c>
      <c r="F136" s="28" t="inlineStr">
        <is>
          <t>S17</t>
        </is>
      </c>
      <c r="G136" s="35" t="inlineStr">
        <is>
          <t>Drafted</t>
        </is>
      </c>
    </row>
    <row r="137">
      <c r="A137" s="28" t="inlineStr">
        <is>
          <t>SD234</t>
        </is>
      </c>
      <c r="B137" s="28" t="inlineStr">
        <is>
          <t>E18</t>
        </is>
      </c>
      <c r="C137" s="28" t="inlineStr">
        <is>
          <t>Third-party penetration test and remediation</t>
        </is>
      </c>
      <c r="D137" s="28" t="n">
        <v>8</v>
      </c>
      <c r="E137" s="28" t="inlineStr">
        <is>
          <t>P1</t>
        </is>
      </c>
      <c r="F137" s="28" t="inlineStr">
        <is>
          <t>S18</t>
        </is>
      </c>
      <c r="G137" s="33" t="inlineStr">
        <is>
          <t>To do — Senthil</t>
        </is>
      </c>
    </row>
    <row r="138">
      <c r="A138" s="28" t="inlineStr">
        <is>
          <t>SD235</t>
        </is>
      </c>
      <c r="B138" s="28" t="inlineStr">
        <is>
          <t>E18</t>
        </is>
      </c>
      <c r="C138" s="28" t="inlineStr">
        <is>
          <t>Microsoft 365 Publisher Attestation submitted</t>
        </is>
      </c>
      <c r="D138" s="28" t="n">
        <v>5</v>
      </c>
      <c r="E138" s="28" t="inlineStr">
        <is>
          <t>P1</t>
        </is>
      </c>
      <c r="F138" s="28" t="inlineStr">
        <is>
          <t>S18</t>
        </is>
      </c>
      <c r="G138" s="33" t="inlineStr">
        <is>
          <t>To do — Senthil</t>
        </is>
      </c>
    </row>
    <row r="139">
      <c r="A139" s="28" t="inlineStr">
        <is>
          <t>SD236</t>
        </is>
      </c>
      <c r="B139" s="28" t="inlineStr">
        <is>
          <t>E18</t>
        </is>
      </c>
      <c r="C139" s="28" t="inlineStr">
        <is>
          <t>M365 Certification evidence pack assembled</t>
        </is>
      </c>
      <c r="D139" s="28" t="n">
        <v>8</v>
      </c>
      <c r="E139" s="28" t="inlineStr">
        <is>
          <t>P1</t>
        </is>
      </c>
      <c r="F139" s="28" t="inlineStr">
        <is>
          <t>S18</t>
        </is>
      </c>
      <c r="G139" s="32" t="inlineStr">
        <is>
          <t>Done</t>
        </is>
      </c>
    </row>
    <row r="140">
      <c r="A140" s="28" t="inlineStr">
        <is>
          <t>SD237</t>
        </is>
      </c>
      <c r="B140" s="28" t="inlineStr">
        <is>
          <t>E18</t>
        </is>
      </c>
      <c r="C140" s="28" t="inlineStr">
        <is>
          <t>SOC 2 Type I readiness</t>
        </is>
      </c>
      <c r="D140" s="28" t="n">
        <v>5</v>
      </c>
      <c r="E140" s="28" t="inlineStr">
        <is>
          <t>P1</t>
        </is>
      </c>
      <c r="F140" s="28" t="inlineStr">
        <is>
          <t>S18</t>
        </is>
      </c>
      <c r="G140" s="33" t="inlineStr">
        <is>
          <t>To do — Senthil</t>
        </is>
      </c>
    </row>
    <row r="141">
      <c r="A141" s="28" t="inlineStr">
        <is>
          <t>SD238</t>
        </is>
      </c>
      <c r="B141" s="28" t="inlineStr">
        <is>
          <t>E18</t>
        </is>
      </c>
      <c r="C141" s="28" t="inlineStr">
        <is>
          <t>Manual WCAG AA and screen-reader audit on live tabs</t>
        </is>
      </c>
      <c r="D141" s="28" t="n">
        <v>4</v>
      </c>
      <c r="E141" s="28" t="inlineStr">
        <is>
          <t>P1</t>
        </is>
      </c>
      <c r="F141" s="28" t="inlineStr">
        <is>
          <t>S18</t>
        </is>
      </c>
      <c r="G141" s="33" t="inlineStr">
        <is>
          <t>To do — Senthil</t>
        </is>
      </c>
    </row>
    <row r="142">
      <c r="A142" s="28" t="inlineStr">
        <is>
          <t>SD239</t>
        </is>
      </c>
      <c r="B142" s="28" t="inlineStr">
        <is>
          <t>E19</t>
        </is>
      </c>
      <c r="C142" s="28" t="inlineStr">
        <is>
          <t>Marketplace SaaS Fulfillment integration</t>
        </is>
      </c>
      <c r="D142" s="28" t="n">
        <v>13</v>
      </c>
      <c r="E142" s="28" t="inlineStr">
        <is>
          <t>P1</t>
        </is>
      </c>
      <c r="F142" s="28" t="inlineStr">
        <is>
          <t>S19</t>
        </is>
      </c>
      <c r="G142" s="34" t="inlineStr">
        <is>
          <t>Code-complete pending live</t>
        </is>
      </c>
    </row>
    <row r="143">
      <c r="A143" s="28" t="inlineStr">
        <is>
          <t>SD240</t>
        </is>
      </c>
      <c r="B143" s="28" t="inlineStr">
        <is>
          <t>E19</t>
        </is>
      </c>
      <c r="C143" s="28" t="inlineStr">
        <is>
          <t>Transactable offer with private offers configured</t>
        </is>
      </c>
      <c r="D143" s="28" t="n">
        <v>5</v>
      </c>
      <c r="E143" s="28" t="inlineStr">
        <is>
          <t>P1</t>
        </is>
      </c>
      <c r="F143" s="28" t="inlineStr">
        <is>
          <t>S19</t>
        </is>
      </c>
      <c r="G143" s="33" t="inlineStr">
        <is>
          <t>To do — Senthil</t>
        </is>
      </c>
    </row>
    <row r="144">
      <c r="A144" s="28" t="inlineStr">
        <is>
          <t>SD241</t>
        </is>
      </c>
      <c r="B144" s="28" t="inlineStr">
        <is>
          <t>E19</t>
        </is>
      </c>
      <c r="C144" s="28" t="inlineStr">
        <is>
          <t>Real error and product analytics wiring</t>
        </is>
      </c>
      <c r="D144" s="28" t="n">
        <v>5</v>
      </c>
      <c r="E144" s="28" t="inlineStr">
        <is>
          <t>P1</t>
        </is>
      </c>
      <c r="F144" s="28" t="inlineStr">
        <is>
          <t>S19</t>
        </is>
      </c>
      <c r="G144" s="34" t="inlineStr">
        <is>
          <t>Code-complete pending live</t>
        </is>
      </c>
    </row>
    <row r="145">
      <c r="A145" s="28" t="inlineStr">
        <is>
          <t>SD242</t>
        </is>
      </c>
      <c r="B145" s="28" t="inlineStr">
        <is>
          <t>E19</t>
        </is>
      </c>
      <c r="C145" s="28" t="inlineStr">
        <is>
          <t>SLO, error budget and alerting</t>
        </is>
      </c>
      <c r="D145" s="28" t="n">
        <v>5</v>
      </c>
      <c r="E145" s="28" t="inlineStr">
        <is>
          <t>P1</t>
        </is>
      </c>
      <c r="F145" s="28" t="inlineStr">
        <is>
          <t>S19</t>
        </is>
      </c>
      <c r="G145" s="32" t="inlineStr">
        <is>
          <t>Done</t>
        </is>
      </c>
    </row>
    <row r="146">
      <c r="A146" s="28" t="inlineStr">
        <is>
          <t>SD243</t>
        </is>
      </c>
      <c r="B146" s="28" t="inlineStr">
        <is>
          <t>E19</t>
        </is>
      </c>
      <c r="C146" s="28" t="inlineStr">
        <is>
          <t>Deploy pipeline made real</t>
        </is>
      </c>
      <c r="D146" s="28" t="n">
        <v>4</v>
      </c>
      <c r="E146" s="28" t="inlineStr">
        <is>
          <t>P1</t>
        </is>
      </c>
      <c r="F146" s="28" t="inlineStr">
        <is>
          <t>S19</t>
        </is>
      </c>
      <c r="G146" s="34" t="inlineStr">
        <is>
          <t>Code-complete pending live</t>
        </is>
      </c>
    </row>
    <row r="147">
      <c r="A147" s="28" t="inlineStr">
        <is>
          <t>SD244</t>
        </is>
      </c>
      <c r="B147" s="28" t="inlineStr">
        <is>
          <t>E20</t>
        </is>
      </c>
      <c r="C147" s="28" t="inlineStr">
        <is>
          <t>15 discovery interviews in regulated frontline sectors</t>
        </is>
      </c>
      <c r="D147" s="28" t="n">
        <v>8</v>
      </c>
      <c r="E147" s="28" t="inlineStr">
        <is>
          <t>P1</t>
        </is>
      </c>
      <c r="F147" s="28" t="inlineStr">
        <is>
          <t>S20</t>
        </is>
      </c>
      <c r="G147" s="33" t="inlineStr">
        <is>
          <t>To do — Senthil</t>
        </is>
      </c>
    </row>
    <row r="148">
      <c r="A148" s="28" t="inlineStr">
        <is>
          <t>SD245</t>
        </is>
      </c>
      <c r="B148" s="28" t="inlineStr">
        <is>
          <t>E20</t>
        </is>
      </c>
      <c r="C148" s="28" t="inlineStr">
        <is>
          <t>Reposition to the auditable-evidence wedge</t>
        </is>
      </c>
      <c r="D148" s="28" t="n">
        <v>5</v>
      </c>
      <c r="E148" s="28" t="inlineStr">
        <is>
          <t>P1</t>
        </is>
      </c>
      <c r="F148" s="28" t="inlineStr">
        <is>
          <t>S20</t>
        </is>
      </c>
      <c r="G148" s="35" t="inlineStr">
        <is>
          <t>Drafted</t>
        </is>
      </c>
    </row>
    <row r="149">
      <c r="A149" s="28" t="inlineStr">
        <is>
          <t>SD246</t>
        </is>
      </c>
      <c r="B149" s="28" t="inlineStr">
        <is>
          <t>E20</t>
        </is>
      </c>
      <c r="C149" s="28" t="inlineStr">
        <is>
          <t>Pricing re-test and model repair</t>
        </is>
      </c>
      <c r="D149" s="28" t="n">
        <v>5</v>
      </c>
      <c r="E149" s="28" t="inlineStr">
        <is>
          <t>P1</t>
        </is>
      </c>
      <c r="F149" s="28" t="inlineStr">
        <is>
          <t>S20</t>
        </is>
      </c>
      <c r="G149" s="32" t="inlineStr">
        <is>
          <t>Done</t>
        </is>
      </c>
    </row>
    <row r="150">
      <c r="A150" s="28" t="inlineStr">
        <is>
          <t>SD247</t>
        </is>
      </c>
      <c r="B150" s="28" t="inlineStr">
        <is>
          <t>E20</t>
        </is>
      </c>
      <c r="C150" s="28" t="inlineStr">
        <is>
          <t>5 paid pilots with signed order forms</t>
        </is>
      </c>
      <c r="D150" s="28" t="n">
        <v>6</v>
      </c>
      <c r="E150" s="28" t="inlineStr">
        <is>
          <t>P1</t>
        </is>
      </c>
      <c r="F150" s="28" t="inlineStr">
        <is>
          <t>S20</t>
        </is>
      </c>
      <c r="G150" s="33" t="inlineStr">
        <is>
          <t>To do — Senthil</t>
        </is>
      </c>
    </row>
    <row r="151"/>
    <row r="152">
      <c r="A152" s="36" t="inlineStr">
        <is>
          <t>Total stories: 147 (rows 4-103 = the original 100 ST stories; rows 104-150 = the 47 SD stories from review V001 sprint plan S13-S20). Epics: F1-F5 product features; E1 install, E5 billing, E6 compliance, E7 telemetry, E8 onboarding/docs/support, EQ quality; E13-E20 the review sprints. Status vocabulary per tracker decision D-SD2, extended by D-SD8: "To do — Senthil" marks the 11 stories that are live- or human-gated and can never be closed from a sandbox.</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1" min="1" max="1"/>
    <col width="44" customWidth="1" style="21" min="2" max="2"/>
    <col width="9" customWidth="1" style="21" min="3" max="4"/>
    <col width="8" customWidth="1" style="21" min="5" max="5"/>
    <col width="52" customWidth="1" style="21" min="6" max="6"/>
  </cols>
  <sheetData>
    <row r="1" ht="17.25" customHeight="1" s="22">
      <c r="A1" s="23" t="inlineStr">
        <is>
          <t>SPRINT BOARD — live counts from Full_Backlog</t>
        </is>
      </c>
    </row>
    <row r="3" ht="15" customHeight="1" s="22">
      <c r="A3" s="24" t="inlineStr">
        <is>
          <t>Sprint</t>
        </is>
      </c>
      <c r="B3" s="24" t="inlineStr">
        <is>
          <t>Focus</t>
        </is>
      </c>
      <c r="C3" s="24" t="inlineStr">
        <is>
          <t>Stories</t>
        </is>
      </c>
      <c r="D3" s="24" t="inlineStr">
        <is>
          <t>Points</t>
        </is>
      </c>
      <c r="E3" s="24" t="inlineStr">
        <is>
          <t>Done</t>
        </is>
      </c>
      <c r="F3" s="24" t="inlineStr">
        <is>
          <t>Exit criteria</t>
        </is>
      </c>
    </row>
    <row r="4" ht="31.5" customHeight="1" s="22">
      <c r="A4" s="25" t="inlineStr">
        <is>
          <t>S0</t>
        </is>
      </c>
      <c r="B4" s="25" t="inlineStr">
        <is>
          <t>Discovery &amp; Design (2 wks)</t>
        </is>
      </c>
      <c r="C4" s="25">
        <f>COUNTIF(Full_Backlog!F4:F150,"S0")</f>
        <v/>
      </c>
      <c r="D4" s="25">
        <f>SUMIF(Full_Backlog!F4:F150,"S0",Full_Backlog!D4:D150)</f>
        <v/>
      </c>
      <c r="E4" s="25">
        <f>COUNTIFS(Full_Backlog!F4:F150,"S0",Full_Backlog!G4:G150,"Done")</f>
        <v/>
      </c>
      <c r="F4" s="25" t="inlineStr">
        <is>
          <t>PRD signed off; prototype tested with 5 target users</t>
        </is>
      </c>
    </row>
    <row r="5" ht="31.5" customHeight="1" s="22">
      <c r="A5" s="25" t="inlineStr">
        <is>
          <t>S1</t>
        </is>
      </c>
      <c r="B5" s="25" t="inlineStr">
        <is>
          <t>Foundation (2 wks)</t>
        </is>
      </c>
      <c r="C5" s="25">
        <f>COUNTIF(Full_Backlog!F4:F150,"S1")</f>
        <v/>
      </c>
      <c r="D5" s="25">
        <f>SUMIF(Full_Backlog!F4:F150,"S1",Full_Backlog!D4:D150)</f>
        <v/>
      </c>
      <c r="E5" s="25">
        <f>COUNTIFS(Full_Backlog!F4:F150,"S1",Full_Backlog!G4:G150,"Done")</f>
        <v/>
      </c>
      <c r="F5" s="25" t="inlineStr">
        <is>
          <t>App installs cleanly in dev store/org; telemetry firing</t>
        </is>
      </c>
    </row>
    <row r="6" ht="31.5" customHeight="1" s="22">
      <c r="A6" s="25" t="inlineStr">
        <is>
          <t>S2</t>
        </is>
      </c>
      <c r="B6" s="25" t="inlineStr">
        <is>
          <t>Core feature Shift handover threads - part 1</t>
        </is>
      </c>
      <c r="C6" s="25">
        <f>COUNTIF(Full_Backlog!F4:F150,"S2")</f>
        <v/>
      </c>
      <c r="D6" s="25">
        <f>SUMIF(Full_Backlog!F4:F150,"S2",Full_Backlog!D4:D150)</f>
        <v/>
      </c>
      <c r="E6" s="25">
        <f>COUNTIFS(Full_Backlog!F4:F150,"S2",Full_Backlog!G4:G150,"Done")</f>
        <v/>
      </c>
      <c r="F6" s="25" t="inlineStr">
        <is>
          <t>Shift handover threads happy path demoable</t>
        </is>
      </c>
    </row>
    <row r="7" ht="31.5" customHeight="1" s="22">
      <c r="A7" s="25" t="inlineStr">
        <is>
          <t>S3</t>
        </is>
      </c>
      <c r="B7" s="25" t="inlineStr">
        <is>
          <t>Core feature Shift handover threads - part 2 + Approval workflows start</t>
        </is>
      </c>
      <c r="C7" s="25">
        <f>COUNTIF(Full_Backlog!F4:F150,"S3")</f>
        <v/>
      </c>
      <c r="D7" s="25">
        <f>SUMIF(Full_Backlog!F4:F150,"S3",Full_Backlog!D4:D150)</f>
        <v/>
      </c>
      <c r="E7" s="25">
        <f>COUNTIFS(Full_Backlog!F4:F150,"S3",Full_Backlog!G4:G150,"Done")</f>
        <v/>
      </c>
      <c r="F7" s="25" t="inlineStr">
        <is>
          <t>Shift handover threads complete with tests; Approval workflows skeleton</t>
        </is>
      </c>
    </row>
    <row r="8" ht="31.5" customHeight="1" s="22">
      <c r="A8" s="25" t="inlineStr">
        <is>
          <t>S4</t>
        </is>
      </c>
      <c r="B8" s="25" t="inlineStr">
        <is>
          <t>Core feature Approval workflows</t>
        </is>
      </c>
      <c r="C8" s="25">
        <f>COUNTIF(Full_Backlog!F4:F150,"S4")</f>
        <v/>
      </c>
      <c r="D8" s="25">
        <f>SUMIF(Full_Backlog!F4:F150,"S4",Full_Backlog!D4:D150)</f>
        <v/>
      </c>
      <c r="E8" s="25">
        <f>COUNTIFS(Full_Backlog!F4:F150,"S4",Full_Backlog!G4:G150,"Done")</f>
        <v/>
      </c>
      <c r="F8" s="25" t="inlineStr">
        <is>
          <t>MVP loop usable end-to-end internally</t>
        </is>
      </c>
    </row>
    <row r="9" ht="31.5" customHeight="1" s="22">
      <c r="A9" s="25" t="inlineStr">
        <is>
          <t>S5</t>
        </is>
      </c>
      <c r="B9" s="25" t="inlineStr">
        <is>
          <t>Feature Digital checklists + alpha hardening</t>
        </is>
      </c>
      <c r="C9" s="25">
        <f>COUNTIF(Full_Backlog!F4:F150,"S5")</f>
        <v/>
      </c>
      <c r="D9" s="25">
        <f>SUMIF(Full_Backlog!F4:F150,"S5",Full_Backlog!D4:D150)</f>
        <v/>
      </c>
      <c r="E9" s="25">
        <f>COUNTIFS(Full_Backlog!F4:F150,"S5",Full_Backlog!G4:G150,"Done")</f>
        <v/>
      </c>
      <c r="F9" s="25" t="inlineStr">
        <is>
          <t>Internal alpha: team dogfoods daily</t>
        </is>
      </c>
    </row>
    <row r="10" ht="31.5" customHeight="1" s="22">
      <c r="A10" s="25" t="inlineStr">
        <is>
          <t>S6</t>
        </is>
      </c>
      <c r="B10" s="25" t="inlineStr">
        <is>
          <t>Billing + Kudos/recognition</t>
        </is>
      </c>
      <c r="C10" s="25">
        <f>COUNTIF(Full_Backlog!F4:F150,"S6")</f>
        <v/>
      </c>
      <c r="D10" s="25">
        <f>SUMIF(Full_Backlog!F4:F150,"S6",Full_Backlog!D4:D150)</f>
        <v/>
      </c>
      <c r="E10" s="25">
        <f>COUNTIFS(Full_Backlog!F4:F150,"S6",Full_Backlog!G4:G150,"Done")</f>
        <v/>
      </c>
      <c r="F10" s="25" t="inlineStr">
        <is>
          <t>Can charge a test customer; upgrade/downgrade paths work</t>
        </is>
      </c>
    </row>
    <row r="11" ht="31.5" customHeight="1" s="22">
      <c r="A11" s="25" t="inlineStr">
        <is>
          <t>S7</t>
        </is>
      </c>
      <c r="B11" s="25" t="inlineStr">
        <is>
          <t>Private beta (design partners)</t>
        </is>
      </c>
      <c r="C11" s="25">
        <f>COUNTIF(Full_Backlog!F4:F150,"S7")</f>
        <v/>
      </c>
      <c r="D11" s="25">
        <f>SUMIF(Full_Backlog!F4:F150,"S7",Full_Backlog!D4:D150)</f>
        <v/>
      </c>
      <c r="E11" s="25">
        <f>COUNTIFS(Full_Backlog!F4:F150,"S7",Full_Backlog!G4:G150,"Done")</f>
        <v/>
      </c>
      <c r="F11" s="25" t="inlineStr">
        <is>
          <t>3+ partners active weekly; NPS pulse &gt;30</t>
        </is>
      </c>
    </row>
    <row r="12" ht="31.5" customHeight="1" s="22">
      <c r="A12" s="25" t="inlineStr">
        <is>
          <t>S8</t>
        </is>
      </c>
      <c r="B12" s="25" t="inlineStr">
        <is>
          <t>Beta iteration + Manager dashboard</t>
        </is>
      </c>
      <c r="C12" s="25">
        <f>COUNTIF(Full_Backlog!F4:F150,"S8")</f>
        <v/>
      </c>
      <c r="D12" s="25">
        <f>SUMIF(Full_Backlog!F4:F150,"S8",Full_Backlog!D4:D150)</f>
        <v/>
      </c>
      <c r="E12" s="25">
        <f>COUNTIFS(Full_Backlog!F4:F150,"S8",Full_Backlog!G4:G150,"Done")</f>
        <v/>
      </c>
      <c r="F12" s="25" t="inlineStr">
        <is>
          <t>Retention of beta cohort week-over-week &gt;60%</t>
        </is>
      </c>
    </row>
    <row r="13" ht="31.5" customHeight="1" s="22">
      <c r="A13" s="25" t="inlineStr">
        <is>
          <t>S9</t>
        </is>
      </c>
      <c r="B13" s="25" t="inlineStr">
        <is>
          <t>Marketplace review prep</t>
        </is>
      </c>
      <c r="C13" s="25">
        <f>COUNTIF(Full_Backlog!F4:F150,"S9")</f>
        <v/>
      </c>
      <c r="D13" s="25">
        <f>SUMIF(Full_Backlog!F4:F150,"S9",Full_Backlog!D4:D150)</f>
        <v/>
      </c>
      <c r="E13" s="25">
        <f>COUNTIFS(Full_Backlog!F4:F150,"S9",Full_Backlog!G4:G150,"Done")</f>
        <v/>
      </c>
      <c r="F13" s="25" t="inlineStr">
        <is>
          <t>Review submission accepted into queue</t>
        </is>
      </c>
    </row>
    <row r="14" ht="31.5" customHeight="1" s="22">
      <c r="A14" s="25" t="inlineStr">
        <is>
          <t>S10</t>
        </is>
      </c>
      <c r="B14" s="25" t="inlineStr">
        <is>
          <t>Review remediation + docs</t>
        </is>
      </c>
      <c r="C14" s="25">
        <f>COUNTIF(Full_Backlog!F4:F150,"S10")</f>
        <v/>
      </c>
      <c r="D14" s="25">
        <f>SUMIF(Full_Backlog!F4:F150,"S10",Full_Backlog!D4:D150)</f>
        <v/>
      </c>
      <c r="E14" s="25">
        <f>COUNTIFS(Full_Backlog!F4:F150,"S10",Full_Backlog!G4:G150,"Done")</f>
        <v/>
      </c>
      <c r="F14" s="25" t="inlineStr">
        <is>
          <t>Marketplace approval obtained (or final remediation cycle)</t>
        </is>
      </c>
    </row>
    <row r="15" ht="31.5" customHeight="1" s="22">
      <c r="A15" s="25" t="inlineStr">
        <is>
          <t>S11</t>
        </is>
      </c>
      <c r="B15" s="25" t="inlineStr">
        <is>
          <t>Launch</t>
        </is>
      </c>
      <c r="C15" s="25">
        <f>COUNTIF(Full_Backlog!F4:F150,"S11")</f>
        <v/>
      </c>
      <c r="D15" s="25">
        <f>SUMIF(Full_Backlog!F4:F150,"S11",Full_Backlog!D4:D150)</f>
        <v/>
      </c>
      <c r="E15" s="25">
        <f>COUNTIFS(Full_Backlog!F4:F150,"S11",Full_Backlog!G4:G150,"Done")</f>
        <v/>
      </c>
      <c r="F15" s="25" t="inlineStr">
        <is>
          <t>First 10 installs; first 3 reviews; activation &gt;40%</t>
        </is>
      </c>
    </row>
    <row r="16" ht="31.5" customHeight="1" s="22">
      <c r="A16" s="25" t="inlineStr">
        <is>
          <t>S12</t>
        </is>
      </c>
      <c r="B16" s="25" t="inlineStr">
        <is>
          <t>Iterate &amp; scale decision</t>
        </is>
      </c>
      <c r="C16" s="25">
        <f>COUNTIF(Full_Backlog!F4:F150,"S12")</f>
        <v/>
      </c>
      <c r="D16" s="25">
        <f>SUMIF(Full_Backlog!F4:F150,"S12",Full_Backlog!D4:D150)</f>
        <v/>
      </c>
      <c r="E16" s="25">
        <f>COUNTIFS(Full_Backlog!F4:F150,"S12",Full_Backlog!G4:G150,"Done")</f>
        <v/>
      </c>
      <c r="F16" s="25" t="inlineStr">
        <is>
          <t>Growth model doc with CAC/LTV first estimates</t>
        </is>
      </c>
    </row>
    <row r="17" ht="15" customHeight="1" s="22">
      <c r="A17" s="28" t="inlineStr">
        <is>
          <t>S13</t>
        </is>
      </c>
      <c r="B17" s="28" t="inlineStr">
        <is>
          <t>Trust boundaries for real</t>
        </is>
      </c>
      <c r="C17" s="28">
        <f>COUNTIF(Full_Backlog!F4:F150,"S13")</f>
        <v/>
      </c>
      <c r="D17" s="28">
        <f>SUMIF(Full_Backlog!F4:F150,"S13",Full_Backlog!D4:D150)</f>
        <v/>
      </c>
      <c r="E17" s="28">
        <f>COUNTIFS(Full_Backlog!F4:F150,"S13",Full_Backlog!G4:G150,"Done")</f>
        <v/>
      </c>
      <c r="F17" s="28" t="inlineStr">
        <is>
          <t>A Teams dev tenant loads the tab with a real Entra token and the bot answers a real message, dev bypass disabled</t>
        </is>
      </c>
    </row>
    <row r="18" ht="27.75" customHeight="1" s="22">
      <c r="A18" s="28" t="inlineStr">
        <is>
          <t>S14</t>
        </is>
      </c>
      <c r="B18" s="28" t="inlineStr">
        <is>
          <t>Durability for real</t>
        </is>
      </c>
      <c r="C18" s="28">
        <f>COUNTIF(Full_Backlog!F4:F150,"S14")</f>
        <v/>
      </c>
      <c r="D18" s="28">
        <f>SUMIF(Full_Backlog!F4:F150,"S14",Full_Backlog!D4:D150)</f>
        <v/>
      </c>
      <c r="E18" s="28">
        <f>COUNTIFS(Full_Backlog!F4:F150,"S14",Full_Backlog!G4:G150,"Done")</f>
        <v/>
      </c>
      <c r="F18" s="28" t="inlineStr">
        <is>
          <t>Restart, two-instance and restore drills green in CI against real Postgres, unattended</t>
        </is>
      </c>
    </row>
    <row r="19">
      <c r="A19" s="28" t="inlineStr">
        <is>
          <t>S15</t>
        </is>
      </c>
      <c r="B19" s="28" t="inlineStr">
        <is>
          <t>Scale and data model</t>
        </is>
      </c>
      <c r="C19" s="28">
        <f>COUNTIF(Full_Backlog!F4:F150,"S15")</f>
        <v/>
      </c>
      <c r="D19" s="28">
        <f>SUMIF(Full_Backlog!F4:F150,"S15",Full_Backlog!D4:D150)</f>
        <v/>
      </c>
      <c r="E19" s="28">
        <f>COUNTIFS(Full_Backlog!F4:F150,"S15",Full_Backlog!G4:G150,"Done")</f>
        <v/>
      </c>
      <c r="F19" s="28" t="inlineStr">
        <is>
          <t>5x load sweep passes on staging with per-record persistence and published numbers</t>
        </is>
      </c>
    </row>
    <row r="20">
      <c r="A20" s="28" t="inlineStr">
        <is>
          <t>S16</t>
        </is>
      </c>
      <c r="B20" s="28" t="inlineStr">
        <is>
          <t>Teams-native experience</t>
        </is>
      </c>
      <c r="C20" s="28">
        <f>COUNTIF(Full_Backlog!F4:F150,"S16")</f>
        <v/>
      </c>
      <c r="D20" s="28">
        <f>SUMIF(Full_Backlog!F4:F150,"S16",Full_Backlog!D4:D150)</f>
        <v/>
      </c>
      <c r="E20" s="28">
        <f>COUNTIFS(Full_Backlog!F4:F150,"S16",Full_Backlog!G4:G150,"Done")</f>
        <v/>
      </c>
      <c r="F20" s="28" t="inlineStr">
        <is>
          <t>End-to-end handover completed on Teams mobile using cards, acknowledgement nudge arriving proactively</t>
        </is>
      </c>
    </row>
    <row r="21">
      <c r="A21" s="28" t="inlineStr">
        <is>
          <t>S17</t>
        </is>
      </c>
      <c r="B21" s="28" t="inlineStr">
        <is>
          <t>Enterprise admin and governance</t>
        </is>
      </c>
      <c r="C21" s="28">
        <f>COUNTIF(Full_Backlog!F4:F150,"S17")</f>
        <v/>
      </c>
      <c r="D21" s="28">
        <f>SUMIF(Full_Backlog!F4:F150,"S17",Full_Backlog!D4:D150)</f>
        <v/>
      </c>
      <c r="E21" s="28">
        <f>COUNTIFS(Full_Backlog!F4:F150,"S17",Full_Backlog!G4:G150,"Done")</f>
        <v/>
      </c>
      <c r="F21" s="28" t="inlineStr">
        <is>
          <t>IT-admin dry run (install, consent, rollout, export, delete) completed by someone who did not build it</t>
        </is>
      </c>
    </row>
    <row r="22">
      <c r="A22" s="28" t="inlineStr">
        <is>
          <t>S18</t>
        </is>
      </c>
      <c r="B22" s="28" t="inlineStr">
        <is>
          <t>Assurance and certification</t>
        </is>
      </c>
      <c r="C22" s="28">
        <f>COUNTIF(Full_Backlog!F4:F150,"S18")</f>
        <v/>
      </c>
      <c r="D22" s="28">
        <f>SUMIF(Full_Backlog!F4:F150,"S18",Full_Backlog!D4:D150)</f>
        <v/>
      </c>
      <c r="E22" s="28">
        <f>COUNTIFS(Full_Backlog!F4:F150,"S18",Full_Backlog!G4:G150,"Done")</f>
        <v/>
      </c>
      <c r="F22" s="28" t="inlineStr">
        <is>
          <t>Attestation submitted, pen-test Highs closed, accessibility audit signed</t>
        </is>
      </c>
    </row>
    <row r="23">
      <c r="A23" s="28" t="inlineStr">
        <is>
          <t>S19</t>
        </is>
      </c>
      <c r="B23" s="28" t="inlineStr">
        <is>
          <t>Commercial machinery and observability</t>
        </is>
      </c>
      <c r="C23" s="28">
        <f>COUNTIF(Full_Backlog!F4:F150,"S19")</f>
        <v/>
      </c>
      <c r="D23" s="28">
        <f>SUMIF(Full_Backlog!F4:F150,"S19",Full_Backlog!D4:D150)</f>
        <v/>
      </c>
      <c r="E23" s="28">
        <f>COUNTIFS(Full_Backlog!F4:F150,"S19",Full_Backlog!G4:G150,"Done")</f>
        <v/>
      </c>
      <c r="F23" s="28" t="inlineStr">
        <is>
          <t>A test customer transacts through the marketplace and the entitlement is enforced end to end</t>
        </is>
      </c>
    </row>
    <row r="24">
      <c r="A24" s="28" t="inlineStr">
        <is>
          <t>S20</t>
        </is>
      </c>
      <c r="B24" s="28" t="inlineStr">
        <is>
          <t>Demand validation and go/no-go</t>
        </is>
      </c>
      <c r="C24" s="28">
        <f>COUNTIF(Full_Backlog!F4:F150,"S20")</f>
        <v/>
      </c>
      <c r="D24" s="28">
        <f>SUMIF(Full_Backlog!F4:F150,"S20",Full_Backlog!D4:D150)</f>
        <v/>
      </c>
      <c r="E24" s="28">
        <f>COUNTIFS(Full_Backlog!F4:F150,"S20",Full_Backlog!G4:G150,"Done")</f>
        <v/>
      </c>
      <c r="F24" s="28" t="inlineStr">
        <is>
          <t>G-01/G-02 become achievable on evidence, or kill criteria fire</t>
        </is>
      </c>
    </row>
    <row r="25">
      <c r="B25" s="37" t="inlineStr">
        <is>
          <t>TOTAL</t>
        </is>
      </c>
      <c r="C25" s="37">
        <f>SUM(C4:C24)</f>
        <v/>
      </c>
      <c r="D25" s="37">
        <f>SUM(D4:D24)</f>
        <v/>
      </c>
      <c r="E25">
        <f>SUM(E4:E24)</f>
        <v/>
      </c>
    </row>
    <row r="26">
      <c r="B26" s="36" t="inlineStr">
        <is>
          <t>Velocity check: S2-S8 sat at 30-45 pts/sprint. The review plan S13-S20 is 266 pts across 8 sprints (~33/sprint), the same shape — but 62 of those points are human-gated (D-SD8) and cannot be burned down by building.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14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1" min="1" max="1"/>
    <col width="13" customWidth="1" style="21" min="2" max="2"/>
    <col width="60" customWidth="1" style="21" min="3" max="3"/>
    <col width="12" customWidth="1" style="21" min="4" max="5"/>
    <col width="40" customWidth="1" style="21" min="6" max="6"/>
    <col width="32" customWidth="1" style="21" min="7" max="7"/>
  </cols>
  <sheetData>
    <row r="1" ht="15" customHeight="1" s="22">
      <c r="A1" s="38" t="inlineStr">
        <is>
          <t>SPRINT TRACKER LOG — ShiftDesk (execution session 10/09/2026 22:26-22:40, Claude for Senthil/KP)</t>
        </is>
      </c>
    </row>
    <row r="3" ht="15" customHeight="1" s="22">
      <c r="A3" s="39" t="inlineStr">
        <is>
          <t>Sprint</t>
        </is>
      </c>
      <c r="B3" s="39" t="inlineStr">
        <is>
          <t>Date executed</t>
        </is>
      </c>
      <c r="C3" s="39" t="inlineStr">
        <is>
          <t>Scope executed this session</t>
        </is>
      </c>
      <c r="D3" s="39" t="inlineStr">
        <is>
          <t>Stories Done</t>
        </is>
      </c>
      <c r="E3" s="39" t="inlineStr">
        <is>
          <t>Points Done</t>
        </is>
      </c>
      <c r="F3" s="39" t="inlineStr">
        <is>
          <t>Exit criteria status</t>
        </is>
      </c>
      <c r="G3" s="39" t="inlineStr">
        <is>
          <t>Notes</t>
        </is>
      </c>
    </row>
    <row r="4" ht="26.25" customHeight="1" s="22">
      <c r="A4" s="27" t="inlineStr">
        <is>
          <t>S0</t>
        </is>
      </c>
      <c r="B4" s="27" t="inlineStr">
        <is>
          <t>2026-09-10</t>
        </is>
      </c>
      <c r="C4" s="27" t="inlineStr">
        <is>
          <t>Skipped per D13 (discovery interviews parked); spec taken from v005 as-is</t>
        </is>
      </c>
      <c r="D4" s="27" t="n">
        <v>0</v>
      </c>
      <c r="E4" s="27" t="n">
        <v>0</v>
      </c>
      <c r="F4" s="27" t="inlineStr">
        <is>
          <t>N/A — D13</t>
        </is>
      </c>
      <c r="G4" s="27" t="inlineStr">
        <is>
          <t>Re-baseline in v007 if interviews resume</t>
        </is>
      </c>
    </row>
    <row r="5" ht="39" customHeight="1" s="22">
      <c r="A5" s="27" t="inlineStr">
        <is>
          <t>S1</t>
        </is>
      </c>
      <c r="B5" s="27" t="inlineStr">
        <is>
          <t>2026-09-10</t>
        </is>
      </c>
      <c r="C5" s="27" t="inlineStr">
        <is>
          <t>Install lifecycle: OAuth install-&gt;welcome, uninstall webhook + 30-day deletion, token rotation survival, source attribution (install.ts)</t>
        </is>
      </c>
      <c r="D5" s="27" t="n">
        <v>3</v>
      </c>
      <c r="E5" s="27" t="n">
        <v>8</v>
      </c>
      <c r="F5" s="27" t="inlineStr">
        <is>
          <t>Partial — installs cleanly in mock gateway; live dev-store install pending (ST-051)</t>
        </is>
      </c>
      <c r="G5" s="27" t="inlineStr">
        <is>
          <t>Bot Framework transport mocked at gateway seam</t>
        </is>
      </c>
    </row>
    <row r="6" ht="39" customHeight="1" s="22">
      <c r="A6" s="27" t="inlineStr">
        <is>
          <t>S2</t>
        </is>
      </c>
      <c r="B6" s="27" t="inlineStr">
        <is>
          <t>2026-09-10</t>
        </is>
      </c>
      <c r="C6" s="27" t="inlineStr">
        <is>
          <t>Handover threads part 1: defaults setup, happy path, custom rules, error/retry, re-install restore, role matrix (handover.ts, moduleBase.ts, rbac.ts)</t>
        </is>
      </c>
      <c r="D6" s="27" t="n">
        <v>6</v>
      </c>
      <c r="E6" s="27" t="n">
        <v>29</v>
      </c>
      <c r="F6" s="27" t="inlineStr">
        <is>
          <t>Met — happy path demoable via E2E suite</t>
        </is>
      </c>
      <c r="G6" s="27" t="n"/>
    </row>
    <row r="7" ht="39" customHeight="1" s="22">
      <c r="A7" s="27" t="inlineStr">
        <is>
          <t>S3</t>
        </is>
      </c>
      <c r="B7" s="27" t="inlineStr">
        <is>
          <t>2026-09-10</t>
        </is>
      </c>
      <c r="C7" s="27" t="inlineStr">
        <is>
          <t>Handover part 2 + approvals skeleton: mobile/bot surface code, metrics, permissions+audit, pause, CSV import, notifications; approvals policy builder; ST-085 coverage gate</t>
        </is>
      </c>
      <c r="D7" s="27" t="n">
        <v>10</v>
      </c>
      <c r="E7" s="27" t="n">
        <v>42</v>
      </c>
      <c r="F7" s="27" t="inlineStr">
        <is>
          <t>Met — handover complete with tests; approvals skeleton up</t>
        </is>
      </c>
      <c r="G7" s="27" t="inlineStr">
        <is>
          <t>ST-085 delivered at 100% (D13 supersedes &gt;=70%)</t>
        </is>
      </c>
    </row>
    <row r="8" ht="39" customHeight="1" s="22">
      <c r="A8" s="27" t="inlineStr">
        <is>
          <t>S4</t>
        </is>
      </c>
      <c r="B8" s="27" t="inlineStr">
        <is>
          <t>2026-09-10</t>
        </is>
      </c>
      <c r="C8" s="27" t="inlineStr">
        <is>
          <t>Approval workflows complete: evaluate/auto-approve/block, preview test mode; funnel events + error tracking (approvals.ts, telemetry.ts); E2E smoke suite (ST-086)</t>
        </is>
      </c>
      <c r="D8" s="27" t="n">
        <v>8</v>
      </c>
      <c r="E8" s="27" t="n">
        <v>29</v>
      </c>
      <c r="F8" s="27" t="inlineStr">
        <is>
          <t>Met — MVP loop usable end-to-end in tests</t>
        </is>
      </c>
      <c r="G8" s="27" t="n"/>
    </row>
    <row r="9" ht="26.25" customHeight="1" s="22">
      <c r="A9" s="27" t="inlineStr">
        <is>
          <t>S5</t>
        </is>
      </c>
      <c r="B9" s="27" t="inlineStr">
        <is>
          <t>2026-09-10</t>
        </is>
      </c>
      <c r="C9" s="27" t="inlineStr">
        <is>
          <t>Digital checklists + alpha hardening: create/tick/export, first-run checklist to aha, empty states (checklists.ts, onboarding.ts)</t>
        </is>
      </c>
      <c r="D9" s="27" t="n">
        <v>11</v>
      </c>
      <c r="E9" s="27" t="n">
        <v>45</v>
      </c>
      <c r="F9" s="27" t="inlineStr">
        <is>
          <t>Partial — code hardened; live dogfooding pending</t>
        </is>
      </c>
      <c r="G9" s="27" t="n"/>
    </row>
    <row r="10" ht="39" customHeight="1" s="22">
      <c r="A10" s="27" t="inlineStr">
        <is>
          <t>S6</t>
        </is>
      </c>
      <c r="B10" s="27" t="inlineStr">
        <is>
          <t>2026-09-10</t>
        </is>
      </c>
      <c r="C10" s="27" t="inlineStr">
        <is>
          <t>Billing + kudos: trial/banner, proration, marketplace-vs-Stripe rail, kudos + leaderboard (billing.ts, kudos.ts)</t>
        </is>
      </c>
      <c r="D10" s="27" t="n">
        <v>11</v>
      </c>
      <c r="E10" s="27" t="n">
        <v>47</v>
      </c>
      <c r="F10" s="27" t="inlineStr">
        <is>
          <t>Partial — test customer chargeable via mock rail; live marketplace billing pending (ST-059)</t>
        </is>
      </c>
      <c r="G10" s="27" t="n"/>
    </row>
    <row r="11" ht="26.25" customHeight="1" s="22">
      <c r="A11" s="27" t="inlineStr">
        <is>
          <t>S7</t>
        </is>
      </c>
      <c r="B11" s="27" t="inlineStr">
        <is>
          <t>2026-09-10</t>
        </is>
      </c>
      <c r="C11" s="27" t="inlineStr">
        <is>
          <t>Dunning/grace/read-only, plan-limit prompts, invoices GST/VAT, cancellation save-offer, least-privilege scope doc</t>
        </is>
      </c>
      <c r="D11" s="27" t="n">
        <v>5</v>
      </c>
      <c r="E11" s="27" t="n">
        <v>15</v>
      </c>
      <c r="F11" s="27" t="inlineStr">
        <is>
          <t>Not met — design partners not yet recruited (human-dependent)</t>
        </is>
      </c>
      <c r="G11" s="27" t="inlineStr">
        <is>
          <t>All S7 code stories Done</t>
        </is>
      </c>
    </row>
    <row r="12" ht="39" customHeight="1" s="22">
      <c r="A12" s="27" t="inlineStr">
        <is>
          <t>S8</t>
        </is>
      </c>
      <c r="B12" s="27" t="inlineStr">
        <is>
          <t>2026-09-10</t>
        </is>
      </c>
      <c r="C12" s="27" t="inlineStr">
        <is>
          <t>Manager dashboard: KPI aggregation, trends, open items; retention docs, audit log, backoff+circuit breaker, latency budgets, heatmap/health/alerts</t>
        </is>
      </c>
      <c r="D12" s="27" t="n">
        <v>18</v>
      </c>
      <c r="E12" s="27" t="n">
        <v>69</v>
      </c>
      <c r="F12" s="27" t="inlineStr">
        <is>
          <t>Partial — beta cohort retention unmeasurable pre-live</t>
        </is>
      </c>
      <c r="G12" s="27" t="inlineStr">
        <is>
          <t>Zero-downtime deploy (ST-092) needs live infra</t>
        </is>
      </c>
    </row>
    <row r="13" ht="26.25" customHeight="1" s="22">
      <c r="A13" s="27" t="inlineStr">
        <is>
          <t>S9</t>
        </is>
      </c>
      <c r="B13" s="27" t="inlineStr">
        <is>
          <t>2026-09-10</t>
        </is>
      </c>
      <c r="C13" s="27" t="inlineStr">
        <is>
          <t>Chaos degrade path automated (ST-091); WCAG structure in components; pen test + backup drill deferred to live</t>
        </is>
      </c>
      <c r="D13" s="27" t="n">
        <v>2</v>
      </c>
      <c r="E13" s="27" t="n">
        <v>8</v>
      </c>
      <c r="F13" s="27" t="inlineStr">
        <is>
          <t>Not met — submission needs live tenant + assets</t>
        </is>
      </c>
      <c r="G13" s="27" t="inlineStr">
        <is>
          <t>2 of 7 stories Done</t>
        </is>
      </c>
    </row>
    <row r="14" ht="26.25" customHeight="1" s="22">
      <c r="A14" s="27" t="inlineStr">
        <is>
          <t>S10</t>
        </is>
      </c>
      <c r="B14" s="27" t="inlineStr">
        <is>
          <t>2026-09-10</t>
        </is>
      </c>
      <c r="C14" s="27" t="inlineStr">
        <is>
          <t>No content stories executed (help articles, pricing/trust pages are launch content)</t>
        </is>
      </c>
      <c r="D14" s="27" t="n">
        <v>0</v>
      </c>
      <c r="E14" s="27" t="n">
        <v>0</v>
      </c>
      <c r="F14" s="27" t="inlineStr">
        <is>
          <t>Not met</t>
        </is>
      </c>
      <c r="G14" s="27" t="inlineStr">
        <is>
          <t>Backlog</t>
        </is>
      </c>
    </row>
    <row r="15" ht="15" customHeight="1" s="22">
      <c r="A15" s="27" t="inlineStr">
        <is>
          <t>S11</t>
        </is>
      </c>
      <c r="B15" s="27" t="inlineStr">
        <is>
          <t>2026-09-10</t>
        </is>
      </c>
      <c r="C15" s="27" t="inlineStr">
        <is>
          <t>Launch stories untouched (require approved listing)</t>
        </is>
      </c>
      <c r="D15" s="27" t="n">
        <v>1</v>
      </c>
      <c r="E15" s="27" t="n">
        <v>3</v>
      </c>
      <c r="F15" s="27" t="inlineStr">
        <is>
          <t>Not met</t>
        </is>
      </c>
      <c r="G15" s="27" t="inlineStr">
        <is>
          <t>Backlog</t>
        </is>
      </c>
    </row>
    <row r="16" ht="15" customHeight="1" s="22">
      <c r="A16" s="27" t="inlineStr">
        <is>
          <t>S12</t>
        </is>
      </c>
      <c r="B16" s="27" t="inlineStr">
        <is>
          <t>2026-09-10</t>
        </is>
      </c>
      <c r="C16" s="27" t="inlineStr">
        <is>
          <t>Not started</t>
        </is>
      </c>
      <c r="D16" s="27" t="n">
        <v>0</v>
      </c>
      <c r="E16" s="27" t="n">
        <v>0</v>
      </c>
      <c r="F16" s="27" t="inlineStr">
        <is>
          <t>Not met</t>
        </is>
      </c>
      <c r="G16" s="27" t="inlineStr">
        <is>
          <t>Backlog</t>
        </is>
      </c>
    </row>
    <row r="17" ht="15" customHeight="1" s="22">
      <c r="C17" s="40" t="inlineStr">
        <is>
          <t>TOTALS (live from Full_Backlog)</t>
        </is>
      </c>
      <c r="D17" s="40">
        <f>COUNTIF(Full_Backlog!G4:G103,"Done")</f>
        <v/>
      </c>
      <c r="E17" s="40">
        <f>SUMIF(Full_Backlog!G4:G103,"Done",Full_Backlog!D4:D103)</f>
        <v/>
      </c>
    </row>
    <row r="19" ht="26.25" customHeight="1" s="22">
      <c r="A19" s="41" t="inlineStr">
        <is>
          <t>Session summary 10/09/2026: sprints S1-S8 development complete in code; 75 stories Done, 8 code-complete pending live platform (ST-005/015/025/035/045/051/059/066), 1 in progress (ST-083 sandbox shipped, video outstanding), 16 backlog (pen test, load/WCAG/backup/deploy drills, content, S10-S12 listing/launch).</t>
        </is>
      </c>
    </row>
    <row r="20" ht="26.25" customHeight="1" s="22">
      <c r="A20" s="41" t="inlineStr">
        <is>
          <t>Quality gate: 15 Jest suites, 67 tests, 100% statements/branches/functions/lines enforced via jest.config.js coverageThreshold (D13). TypeScript strict, tsc --noEmit clean. CI: .github/workflows/ci.yml.</t>
        </is>
      </c>
    </row>
    <row r="21" ht="26.25" customHeight="1" s="22">
      <c r="A21" s="41" t="inlineStr">
        <is>
          <t>Assumption: platform transport (Bot Framework/Graph, marketplace billing API) mocked at the PlatformGateway seam — no Microsoft credentials in build environment; wiring unchanged for live swap. Source: shiftdesk_v006_source.zip delivered with this workbook.</t>
        </is>
      </c>
    </row>
    <row r="23" ht="15" customHeight="1" s="22">
      <c r="A23" s="40" t="inlineStr">
        <is>
          <t>SESSION 2 — 10/09/2026 22:54</t>
        </is>
      </c>
    </row>
    <row r="24" ht="51.75" customHeight="1" s="22">
      <c r="A24" s="27" t="inlineStr">
        <is>
          <t>S9</t>
        </is>
      </c>
      <c r="B24" s="27" t="inlineStr">
        <is>
          <t>2026-09-10</t>
        </is>
      </c>
      <c r="C24" s="27" t="inlineStr">
        <is>
          <t>ST-089 WCAG: jest-axe automated suite added over all 9 screens, wired into CI (16 suites / 76 tests, 100% coverage held). ST-097 submission dry-run executed against Launch_Checklist; 10 item statuses recorded.</t>
        </is>
      </c>
      <c r="D24" s="27" t="n">
        <v>0</v>
      </c>
      <c r="E24" s="27" t="n">
        <v>0</v>
      </c>
      <c r="F24" s="27" t="inlineStr">
        <is>
          <t>S9 partial — pen test + live asset items remain</t>
        </is>
      </c>
      <c r="G24" s="27" t="inlineStr">
        <is>
          <t>ST-089 now code-complete pending live audit</t>
        </is>
      </c>
    </row>
    <row r="25" ht="39" customHeight="1" s="22">
      <c r="A25" s="27" t="inlineStr">
        <is>
          <t>S10</t>
        </is>
      </c>
      <c r="B25" s="27" t="inlineStr">
        <is>
          <t>2026-09-10</t>
        </is>
      </c>
      <c r="C25" s="27" t="inlineStr">
        <is>
          <t>Content drafted: listing copy A/B (ST-093), pricing matrix + FAQ (ST-095), security/trust page (ST-096), 15 help articles (ST-080), admin deployment guide, positioning one-pager.</t>
        </is>
      </c>
      <c r="D25" s="27" t="n">
        <v>0</v>
      </c>
      <c r="E25" s="27" t="n">
        <v>0</v>
      </c>
      <c r="F25" s="27" t="inlineStr">
        <is>
          <t>S10 partial — publishing needs live site/listing</t>
        </is>
      </c>
      <c r="G25" s="27" t="inlineStr">
        <is>
          <t>All drafts in content/, external-facing, no company name per rule</t>
        </is>
      </c>
    </row>
    <row r="26" ht="39" customHeight="1" s="22">
      <c r="A26" s="27" t="inlineStr">
        <is>
          <t>S11</t>
        </is>
      </c>
      <c r="B26" s="27" t="inlineStr">
        <is>
          <t>2026-09-10</t>
        </is>
      </c>
      <c r="C26" s="27" t="inlineStr">
        <is>
          <t>Launch-day runbook with rollback triggers + comms tree (ST-098); incident comms template (ST-084); demo video script (ST-083).</t>
        </is>
      </c>
      <c r="D26" s="27" t="n">
        <v>0</v>
      </c>
      <c r="E26" s="27" t="n">
        <v>0</v>
      </c>
      <c r="F26" s="27" t="inlineStr">
        <is>
          <t>S11 partial — listing + installs still gate exit</t>
        </is>
      </c>
      <c r="G26" s="27" t="inlineStr">
        <is>
          <t>Video recording + screenshots (ST-094) need live product UI</t>
        </is>
      </c>
    </row>
    <row r="27" ht="39" customHeight="1" s="22">
      <c r="A27" s="41" t="inlineStr">
        <is>
          <t>Portfolio position after session 2: 75 Done / 9 code-complete pending live / 2 in progress / 6 drafted / 8 backlog. Remaining backlog is entirely Senthil-gated or live-gated: pen test (068), chat vendor (081), load test (088), backup drill (090), deploy drill (092), screenshots+video assets (094), post-launch SEO (099), design-partner reviews (100). ShiftDesk sandbox work is exhausted pending: Partner Center enrollment, live Teams dev tenant, D15.</t>
        </is>
      </c>
    </row>
    <row r="29" ht="15" customHeight="1" s="22">
      <c r="A29" s="40" t="inlineStr">
        <is>
          <t>SESSION 3 — 10/09/2026 23:10</t>
        </is>
      </c>
    </row>
    <row r="30" ht="90" customHeight="1" s="22">
      <c r="A30" s="27" t="inlineStr">
        <is>
          <t>S1/S9</t>
        </is>
      </c>
      <c r="B30" s="27" t="inlineStr">
        <is>
          <t>2026-09-10</t>
        </is>
      </c>
      <c r="C30" s="27" t="inlineStr">
        <is>
          <t>Live-sweep readiness pack: teams-app/manifest.json (v1.17, bot + 3 static tabs + valid domains placeholders) with generated icons; src/config.ts typed loader (fail-fast, redacted print); src/liveSweep.ts 12-step scripted verification sweep mapped to ST-051/005/015/025/054/055/052/053; content/dev-tenant-setup-guide.md (30-min path, sideload does not need Partner Center).</t>
        </is>
      </c>
      <c r="D30" s="27" t="n">
        <v>0</v>
      </c>
      <c r="E30" s="27" t="n">
        <v>0</v>
      </c>
      <c r="F30" s="27" t="inlineStr">
        <is>
          <t>Shortens S1-07 to wiring-only on install day</t>
        </is>
      </c>
      <c r="G30" s="27" t="inlineStr">
        <is>
          <t>18 suites / 85 tests, 100% coverage held; statuses unchanged (live-gated)</t>
        </is>
      </c>
    </row>
    <row r="32" ht="15" customHeight="1" s="22">
      <c r="A32" s="40" t="inlineStr">
        <is>
          <t>SESSION 4 — 11/09/2026 08:20</t>
        </is>
      </c>
    </row>
    <row r="33" ht="64.5" customHeight="1" s="22">
      <c r="A33" s="27" t="inlineStr">
        <is>
          <t>S9/S11</t>
        </is>
      </c>
      <c r="B33" s="27" t="inlineStr">
        <is>
          <t>2026-09-11</t>
        </is>
      </c>
      <c r="C33" s="27" t="inlineStr">
        <is>
          <t>Ops parity with portfolio standard: k6 5x harness (ST-088), blue/green deploy workflow (ST-092), backup/restore drill script (ST-090). Remaining backlog now only 5 items, all external: pen test (068), chat vendor (081), listing assets (094), post-launch SEO (099), design-partner reviews (100).</t>
        </is>
      </c>
      <c r="D33" s="27" t="n">
        <v>0</v>
      </c>
      <c r="E33" s="27" t="n">
        <v>0</v>
      </c>
      <c r="F33" s="27" t="inlineStr">
        <is>
          <t>Execution of all three live-gated</t>
        </is>
      </c>
      <c r="G33" s="27" t="inlineStr">
        <is>
          <t>Coverage gate re-verified 18/85 at 100%</t>
        </is>
      </c>
    </row>
    <row r="35" ht="15" customHeight="1" s="22">
      <c r="A35" s="40" t="inlineStr">
        <is>
          <t>SESSION 5 — 11/09/2026 12:51</t>
        </is>
      </c>
    </row>
    <row r="36" ht="64.5" customHeight="1" s="22">
      <c r="A36" s="27" t="inlineStr">
        <is>
          <t>S9</t>
        </is>
      </c>
      <c r="B36" s="27" t="inlineStr">
        <is>
          <t>2026-09-11</t>
        </is>
      </c>
      <c r="C36" s="27" t="inlineStr">
        <is>
          <t>Cold-review pass 1: F-001..F-006 fixed + pinned, F-007/F-008 for disposition, F-009 corrected by building src/crypto.ts (ST-066 now genuinely coded); REVIEW_PACK.md for external reviewer (ST-097 stays In progress — same-AI review is not independent).</t>
        </is>
      </c>
      <c r="D36" s="27" t="n">
        <v>0</v>
      </c>
      <c r="E36" s="27" t="n">
        <v>0</v>
      </c>
      <c r="F36" s="27" t="inlineStr">
        <is>
          <t>Statuses unchanged except evidence corrections</t>
        </is>
      </c>
      <c r="G36" s="27" t="inlineStr">
        <is>
          <t>20 suites / 94 tests at 100%; importer CSV-quoting flagged as pass-2 candidate</t>
        </is>
      </c>
    </row>
    <row r="38" ht="15" customHeight="1" s="22">
      <c r="A38" s="40" t="inlineStr">
        <is>
          <t>SESSION 6 — 11/09/2026 20:30</t>
        </is>
      </c>
    </row>
    <row r="39" ht="64.5" customHeight="1" s="22">
      <c r="A39" s="27" t="inlineStr">
        <is>
          <t>S9-S12</t>
        </is>
      </c>
      <c r="B39" s="27" t="inlineStr">
        <is>
          <t>2026-09-11</t>
        </is>
      </c>
      <c r="C39" s="27" t="inlineStr">
        <is>
          <t>Cold-review pass 2 (4 fixes F-010..F-013, OBS-SD1 open; review complete, 10 defects total across both passes) + sibling-validated completion wave (chat SLA, partner tracker, SEO engine, help search, security evidence, asset plan, pricing drift gate). CODE PHASE COMPLETE — backlog zero.</t>
        </is>
      </c>
      <c r="D39" s="27" t="n">
        <v>0</v>
      </c>
      <c r="E39" s="27" t="n">
        <v>0</v>
      </c>
      <c r="F39" s="27" t="inlineStr">
        <is>
          <t>Remaining chain 100% Senthil/live</t>
        </is>
      </c>
      <c r="G39" s="27" t="inlineStr">
        <is>
          <t>22 suites / 109 tests at 100%</t>
        </is>
      </c>
    </row>
    <row r="41" ht="15" customHeight="1" s="22">
      <c r="A41" s="40" t="inlineStr">
        <is>
          <t>SESSION 7 — 13/09/2026 09:52</t>
        </is>
      </c>
    </row>
    <row r="42" ht="64.5" customHeight="1" s="22">
      <c r="A42" s="27" t="inlineStr">
        <is>
          <t>S9</t>
        </is>
      </c>
      <c r="B42" s="27" t="inlineStr">
        <is>
          <t>2026-09-13</t>
        </is>
      </c>
      <c r="C42" s="27" t="inlineStr">
        <is>
          <t>External verification sweep vs live Microsoft docs (manifest schema, RSC vs Graph scopes, store validation guidelines, icon rules, marketplace fee) + artifact-gap audit. 6 fixes incl. 2 store-blocking and 1 live-blocking; 1 verified-correct set pinned; LC-5 reopened and corrected.</t>
        </is>
      </c>
      <c r="D42" s="27" t="n">
        <v>0</v>
      </c>
      <c r="E42" s="27" t="n">
        <v>0</v>
      </c>
      <c r="F42" s="27" t="inlineStr">
        <is>
          <t>Sweep extended to 14 steps</t>
        </is>
      </c>
      <c r="G42" s="27" t="inlineStr">
        <is>
          <t>24 suites / 120 tests at 100%; story counts deliberately unchanged</t>
        </is>
      </c>
    </row>
    <row r="44" ht="15" customHeight="1" s="22">
      <c r="A44" s="40" t="inlineStr">
        <is>
          <t>SESSION 8 — 13/09/2026 10:01</t>
        </is>
      </c>
    </row>
    <row r="45" ht="64.5" customHeight="1" s="22">
      <c r="A45" s="27" t="inlineStr">
        <is>
          <t>S2-S5/S9</t>
        </is>
      </c>
      <c r="B45" s="27" t="inlineStr">
        <is>
          <t>2026-09-13</t>
        </is>
      </c>
      <c r="C45" s="27" t="inlineStr">
        <is>
          <t>Artifact-gap audit round 2: built the tab surface the manifest had been promising (shell, API client, entry, bundles) and the bot command router behind the advertised commands; package hygiene fixed; demo capture surface unblocks draft listing screenshots pre-tenant.</t>
        </is>
      </c>
      <c r="D45" s="27" t="n">
        <v>0</v>
      </c>
      <c r="E45" s="27" t="n">
        <v>0</v>
      </c>
      <c r="F45" s="27" t="inlineStr">
        <is>
          <t>Five surface stories now full-stack pending in-client render</t>
        </is>
      </c>
      <c r="G45" s="27" t="inlineStr">
        <is>
          <t>26 suites / 145 tests at 100% incl. new web/ layer</t>
        </is>
      </c>
    </row>
    <row r="47" ht="15" customHeight="1" s="22">
      <c r="A47" s="40" t="inlineStr">
        <is>
          <t>SESSION 9 — 13/09/2026 10:24</t>
        </is>
      </c>
    </row>
    <row r="48" ht="77.25" customHeight="1" s="22">
      <c r="A48" s="27" t="inlineStr">
        <is>
          <t>S9</t>
        </is>
      </c>
      <c r="B48" s="27" t="inlineStr">
        <is>
          <t>2026-09-13</t>
        </is>
      </c>
      <c r="C48" s="27" t="inlineStr">
        <is>
          <t>Cold-review pass 3 over sessions 5-8 code (tab layer, bot router, completion wave, config, crypto): 6 defects fixed with regressions, 1 observation closed. Headline: the tab API validated the SSO token and then dropped it — every call unauthenticated in production, invisible because the fetcher was injected and never asserted on headers.</t>
        </is>
      </c>
      <c r="D48" s="27" t="n">
        <v>0</v>
      </c>
      <c r="E48" s="27" t="n">
        <v>0</v>
      </c>
      <c r="F48" s="27" t="inlineStr">
        <is>
          <t>No story flips — correctness only</t>
        </is>
      </c>
      <c r="G48" s="27" t="inlineStr">
        <is>
          <t>27 suites / 151 tests at 100%; 19 defects total across three review passes</t>
        </is>
      </c>
    </row>
    <row r="50" ht="15" customHeight="1" s="22">
      <c r="A50" s="40" t="inlineStr">
        <is>
          <t>SESSION 10 — 13/09/2026 10:37</t>
        </is>
      </c>
    </row>
    <row r="51" ht="51.75" customHeight="1" s="22">
      <c r="A51" s="27" t="inlineStr">
        <is>
          <t>S1/S9</t>
        </is>
      </c>
      <c r="B51" s="27" t="inlineStr">
        <is>
          <t>2026-09-13</t>
        </is>
      </c>
      <c r="C51" s="27" t="inlineStr">
        <is>
          <t>Artifact-gap audit round 3: built the HTTP server the tab and bot endpoint had been calling into thin air, with bearer auth, health/status, node:http bootstrap and a CI parity test binding client paths to served routes.</t>
        </is>
      </c>
      <c r="D51" s="27" t="n">
        <v>0</v>
      </c>
      <c r="E51" s="27" t="n">
        <v>0</v>
      </c>
      <c r="F51" s="27" t="inlineStr">
        <is>
          <t>Tab + bot surfaces now end-to-end in code</t>
        </is>
      </c>
      <c r="G51" s="27" t="inlineStr">
        <is>
          <t>29 suites / 163 tests at 100%; sweep now 15 steps</t>
        </is>
      </c>
    </row>
    <row r="53" ht="15" customHeight="1" s="22">
      <c r="A53" s="40" t="inlineStr">
        <is>
          <t>SESSION 11 — 13/09/2026 10:42</t>
        </is>
      </c>
    </row>
    <row r="54" ht="64.5" customHeight="1" s="22">
      <c r="A54" s="27" t="inlineStr">
        <is>
          <t>S1/S9</t>
        </is>
      </c>
      <c r="B54" s="27" t="inlineStr">
        <is>
          <t>2026-09-13</t>
        </is>
      </c>
      <c r="C54" s="27" t="inlineStr">
        <is>
          <t>Bot transport seam verified against live Bot Framework docs and rebuilt: Connector JWT boundary, Activity parsing, ack-then-send-via-Connector, install welcome on conversationUpdate, retry dedupe. Two live-blocking defects from the previous session caught before they could ship.</t>
        </is>
      </c>
      <c r="D54" s="27" t="n">
        <v>0</v>
      </c>
      <c r="E54" s="27" t="n">
        <v>0</v>
      </c>
      <c r="F54" s="27" t="inlineStr">
        <is>
          <t>ST-051 welcome now has a real delivery path</t>
        </is>
      </c>
      <c r="G54" s="27" t="inlineStr">
        <is>
          <t>30 suites / 174 tests at 100%</t>
        </is>
      </c>
    </row>
    <row r="56" ht="15" customHeight="1" s="22">
      <c r="A56" s="40" t="inlineStr">
        <is>
          <t>SESSION 12 — 13/09/2026 10:57</t>
        </is>
      </c>
    </row>
    <row r="57" ht="51.75" customHeight="1" s="22">
      <c r="A57" s="27" t="inlineStr">
        <is>
          <t>S1/S9</t>
        </is>
      </c>
      <c r="B57" s="27" t="inlineStr">
        <is>
          <t>2026-09-13</t>
        </is>
      </c>
      <c r="C57" s="27" t="inlineStr">
        <is>
          <t>Tab SSO seam verified against live Entra/Teams docs and implemented: real getAuthToken with consent handling, server-side claim validation, config-derived verifier, Expose-an-API setup step documented.</t>
        </is>
      </c>
      <c r="D57" s="27" t="n">
        <v>0</v>
      </c>
      <c r="E57" s="27" t="n">
        <v>0</v>
      </c>
      <c r="F57" s="27" t="inlineStr">
        <is>
          <t>Third and last declared-but-unimplemented manifest promise closed</t>
        </is>
      </c>
      <c r="G57" s="27" t="inlineStr">
        <is>
          <t>31 suites / 181 tests at 100%; sweep now 16 steps</t>
        </is>
      </c>
    </row>
    <row r="59" ht="15" customHeight="1" s="22">
      <c r="A59" s="40" t="inlineStr">
        <is>
          <t>SESSION 13 — 13/09/2026 11:02</t>
        </is>
      </c>
    </row>
    <row r="60" ht="51.75" customHeight="1" s="22">
      <c r="A60" s="27" t="inlineStr">
        <is>
          <t>S1/S8</t>
        </is>
      </c>
      <c r="B60" s="27" t="inlineStr">
        <is>
          <t>2026-09-13</t>
        </is>
      </c>
      <c r="C60" s="27" t="inlineStr">
        <is>
          <t>Permissions-vs-consumers audit: built the Graph member directory that TeamMember.Read.Group had always claimed to power, dropped an unused scope, and bound scopes to consumers by test.</t>
        </is>
      </c>
      <c r="D60" s="27" t="n">
        <v>0</v>
      </c>
      <c r="E60" s="27" t="n">
        <v>0</v>
      </c>
      <c r="F60" s="27" t="inlineStr">
        <is>
          <t>Role matrix real on both boundaries</t>
        </is>
      </c>
      <c r="G60" s="27" t="inlineStr">
        <is>
          <t>32 suites / 190 tests at 100%</t>
        </is>
      </c>
    </row>
    <row r="62" ht="15" customHeight="1" s="22">
      <c r="A62" s="40" t="inlineStr">
        <is>
          <t>SESSION 14 — 13/09/2026 11:07</t>
        </is>
      </c>
    </row>
    <row r="63" ht="51.75" customHeight="1" s="22">
      <c r="A63" s="27" t="inlineStr">
        <is>
          <t>S9</t>
        </is>
      </c>
      <c r="B63" s="27" t="inlineStr">
        <is>
          <t>2026-09-13</t>
        </is>
      </c>
      <c r="C63" s="27" t="inlineStr">
        <is>
          <t>Cold-review pass 4 over sessions 10-13 integration code: 5 defects fixed with regressions, two of them authorization/data-loss class (arbitrary-tenant lifecycle calls; retries deduped after failed sends).</t>
        </is>
      </c>
      <c r="D63" s="27" t="n">
        <v>0</v>
      </c>
      <c r="E63" s="27" t="n">
        <v>0</v>
      </c>
      <c r="F63" s="27" t="inlineStr">
        <is>
          <t>No story flips — correctness only</t>
        </is>
      </c>
      <c r="G63" s="27" t="inlineStr">
        <is>
          <t>33 suites / 196 tests at 100%; 24 defects total across four passes</t>
        </is>
      </c>
    </row>
    <row r="65" ht="15" customHeight="1" s="22">
      <c r="A65" s="40" t="inlineStr">
        <is>
          <t>SESSION 15 — 13/09/2026 11:12</t>
        </is>
      </c>
    </row>
    <row r="66" ht="51.75" customHeight="1" s="22">
      <c r="A66" s="27" t="inlineStr">
        <is>
          <t>S1/S8</t>
        </is>
      </c>
      <c r="B66" s="27" t="inlineStr">
        <is>
          <t>2026-09-13</t>
        </is>
      </c>
      <c r="C66" s="27" t="inlineStr">
        <is>
          <t>Persistence seam built: repository interface with in-memory and Postgres implementations under one contract suite, migration SQL, durable audit log, tenant purge behind the deletion policies.</t>
        </is>
      </c>
      <c r="D66" s="27" t="n">
        <v>0</v>
      </c>
      <c r="E66" s="27" t="n">
        <v>0</v>
      </c>
      <c r="F66" s="27" t="inlineStr">
        <is>
          <t>Blue/green and the backup drill now have something real to operate on</t>
        </is>
      </c>
      <c r="G66" s="27" t="inlineStr">
        <is>
          <t>34 suites / 208 tests at 100%; sweep now 17 steps</t>
        </is>
      </c>
    </row>
    <row r="68" ht="15" customHeight="1" s="22">
      <c r="A68" s="40" t="inlineStr">
        <is>
          <t>SESSION 16 — 13/09/2026 11:16</t>
        </is>
      </c>
    </row>
    <row r="69" ht="51.75" customHeight="1" s="22">
      <c r="A69" s="27" t="inlineStr">
        <is>
          <t>S1/S8</t>
        </is>
      </c>
      <c r="B69" s="27" t="inlineStr">
        <is>
          <t>2026-09-13</t>
        </is>
      </c>
      <c r="C69" s="27" t="inlineStr">
        <is>
          <t>Finished the persistence work: services now hydrate from and write back to the repository, so handovers, approvals, checklists and kudos survive a restart. Remaining unpersisted state named openly.</t>
        </is>
      </c>
      <c r="D69" s="27" t="n">
        <v>0</v>
      </c>
      <c r="E69" s="27" t="n">
        <v>0</v>
      </c>
      <c r="F69" s="27" t="inlineStr">
        <is>
          <t>Durability claim now true for the core modules</t>
        </is>
      </c>
      <c r="G69" s="27" t="inlineStr">
        <is>
          <t>35 suites / 213 tests at 100%</t>
        </is>
      </c>
    </row>
    <row r="71" ht="15" customHeight="1" s="22">
      <c r="A71" s="40" t="inlineStr">
        <is>
          <t>SESSION 17 — 13/09/2026 11:21</t>
        </is>
      </c>
    </row>
    <row r="72" ht="51.75" customHeight="1" s="22">
      <c r="A72" s="27" t="inlineStr">
        <is>
          <t>S1/S6</t>
        </is>
      </c>
      <c r="B72" s="27" t="inlineStr">
        <is>
          <t>2026-09-13</t>
        </is>
      </c>
      <c r="C72" s="27" t="inlineStr">
        <is>
          <t>Persistence slice 2 (billing, install, chat) plus F-025: the in-memory store handed out live references where Postgres hands out values — dev and production would have behaved differently.</t>
        </is>
      </c>
      <c r="D72" s="27" t="n">
        <v>0</v>
      </c>
      <c r="E72" s="27" t="n">
        <v>0</v>
      </c>
      <c r="F72" s="27" t="inlineStr">
        <is>
          <t>Lifecycle state durable; store semantics now identical across implementations</t>
        </is>
      </c>
      <c r="G72" s="27" t="inlineStr">
        <is>
          <t>36 suites / 219 tests at 100%</t>
        </is>
      </c>
    </row>
    <row r="74" ht="15" customHeight="1" s="22">
      <c r="A74" s="40" t="inlineStr">
        <is>
          <t>SESSION 18 — 13/09/2026 11:25</t>
        </is>
      </c>
    </row>
    <row r="75" ht="39" customHeight="1" s="22">
      <c r="A75" s="27" t="inlineStr">
        <is>
          <t>S1/S8</t>
        </is>
      </c>
      <c r="B75" s="27" t="inlineStr">
        <is>
          <t>2026-09-13</t>
        </is>
      </c>
      <c r="C75" s="27" t="inlineStr">
        <is>
          <t>Multi-tenancy audit: found and fixed cross-tenant data exposure (one app instance for all customers), unpersisted bot mutations, and a health-probe regression from the fix itself.</t>
        </is>
      </c>
      <c r="D75" s="27" t="n">
        <v>0</v>
      </c>
      <c r="E75" s="27" t="n">
        <v>0</v>
      </c>
      <c r="F75" s="27" t="inlineStr">
        <is>
          <t>Tenant isolation enforced and pinned</t>
        </is>
      </c>
      <c r="G75" s="27" t="inlineStr">
        <is>
          <t>37 suites / 227 tests at 100%</t>
        </is>
      </c>
    </row>
    <row r="77" ht="15" customHeight="1" s="22">
      <c r="A77" s="40" t="inlineStr">
        <is>
          <t>SESSION 19 — 13/09/2026 11:51</t>
        </is>
      </c>
    </row>
    <row r="78" ht="39" customHeight="1" s="22">
      <c r="A78" s="27" t="inlineStr">
        <is>
          <t>S8/S9</t>
        </is>
      </c>
      <c r="B78" s="27" t="inlineStr">
        <is>
          <t>2026-09-13</t>
        </is>
      </c>
      <c r="C78" s="27" t="inlineStr">
        <is>
          <t>Deletion audit: the retention policy and delete-my-data were promises with no implementation behind them; both now work against the store and are pinned.</t>
        </is>
      </c>
      <c r="D78" s="27" t="n">
        <v>0</v>
      </c>
      <c r="E78" s="27" t="n">
        <v>0</v>
      </c>
      <c r="F78" s="27" t="inlineStr">
        <is>
          <t>Compliance claims match behaviour</t>
        </is>
      </c>
      <c r="G78" s="27" t="inlineStr">
        <is>
          <t>38 suites / 233 tests at 100%; sweep now 18 steps</t>
        </is>
      </c>
    </row>
    <row r="80" ht="15" customHeight="1" s="22">
      <c r="A80" s="40" t="inlineStr">
        <is>
          <t>SESSION 20 — 13/09/2026 11:55</t>
        </is>
      </c>
    </row>
    <row r="81" ht="39" customHeight="1" s="22">
      <c r="A81" s="27" t="inlineStr">
        <is>
          <t>S8/S9</t>
        </is>
      </c>
      <c r="B81" s="27" t="inlineStr">
        <is>
          <t>2026-09-13</t>
        </is>
      </c>
      <c r="C81" s="27" t="inlineStr">
        <is>
          <t>Authorization audit: the role matrix was documentation, not enforcement — five permissions guarded nothing, two of them the delete and export controls built last session.</t>
        </is>
      </c>
      <c r="D81" s="27" t="n">
        <v>0</v>
      </c>
      <c r="E81" s="27" t="n">
        <v>0</v>
      </c>
      <c r="F81" s="27" t="inlineStr">
        <is>
          <t>Every permission now has an enforcement site bound by test</t>
        </is>
      </c>
      <c r="G81" s="27" t="inlineStr">
        <is>
          <t>39 suites / 239 tests at 100%; sweep now 19 steps</t>
        </is>
      </c>
    </row>
    <row r="83" ht="15" customHeight="1" s="22">
      <c r="A83" s="40" t="inlineStr">
        <is>
          <t>SESSION 21 — 13/09/2026 12:02</t>
        </is>
      </c>
    </row>
    <row r="84" ht="39" customHeight="1" s="22">
      <c r="A84" s="27" t="inlineStr">
        <is>
          <t>S6/S7</t>
        </is>
      </c>
      <c r="B84" s="27" t="inlineStr">
        <is>
          <t>2026-09-13</t>
        </is>
      </c>
      <c r="C84" s="27" t="inlineStr">
        <is>
          <t>Billing-integrity audit: read-only, cancellation, plan limits and trial expiry all restricted nothing. Entitlement gate added at the request boundary; reads stay open by design.</t>
        </is>
      </c>
      <c r="D84" s="27" t="n">
        <v>0</v>
      </c>
      <c r="E84" s="27" t="n">
        <v>0</v>
      </c>
      <c r="F84" s="27" t="inlineStr">
        <is>
          <t>Revenue-protecting states now enforced</t>
        </is>
      </c>
      <c r="G84" s="27" t="inlineStr">
        <is>
          <t>40 suites / 246 tests at 100%; sweep now 20 steps</t>
        </is>
      </c>
    </row>
    <row r="86" ht="15" customHeight="1" s="22">
      <c r="A86" s="40" t="inlineStr">
        <is>
          <t>SESSION 22 — 13/09/2026 16:27</t>
        </is>
      </c>
    </row>
    <row r="87" ht="39" customHeight="1" s="22">
      <c r="A87" s="27" t="inlineStr">
        <is>
          <t>S2-S5/S8</t>
        </is>
      </c>
      <c r="B87" s="27" t="inlineStr">
        <is>
          <t>2026-09-13</t>
        </is>
      </c>
      <c r="C87" s="27" t="inlineStr">
        <is>
          <t>Two more declared-but-absent mechanisms: notification delivery and latency measurement. Both built and instrumented at the boundary that sees a whole request.</t>
        </is>
      </c>
      <c r="D87" s="27" t="n">
        <v>0</v>
      </c>
      <c r="E87" s="27" t="n">
        <v>0</v>
      </c>
      <c r="F87" s="27" t="inlineStr">
        <is>
          <t>Notification and performance claims now real</t>
        </is>
      </c>
      <c r="G87" s="27" t="inlineStr">
        <is>
          <t>42 suites / 256 tests at 100%; sweep now 22 steps</t>
        </is>
      </c>
    </row>
    <row r="89" ht="15" customHeight="1" s="22">
      <c r="A89" s="40" t="inlineStr">
        <is>
          <t>SESSION 23 — 13/09/2026 16:35</t>
        </is>
      </c>
    </row>
    <row r="90" ht="39" customHeight="1" s="22">
      <c r="A90" s="27" t="inlineStr">
        <is>
          <t>S4/S8</t>
        </is>
      </c>
      <c r="B90" s="27" t="inlineStr">
        <is>
          <t>2026-09-13</t>
        </is>
      </c>
      <c r="C90" s="27" t="inlineStr">
        <is>
          <t>Telemetry and audit were fully built and never called. Both wired into the request path; the launch activation metric is now computable and the compliance trail survives a restart.</t>
        </is>
      </c>
      <c r="D90" s="27" t="n">
        <v>0</v>
      </c>
      <c r="E90" s="27" t="n">
        <v>0</v>
      </c>
      <c r="F90" s="27" t="inlineStr">
        <is>
          <t>Launch metrics and audit evidence real</t>
        </is>
      </c>
      <c r="G90" s="27" t="inlineStr">
        <is>
          <t>43 suites / 262 tests at 100%; sweep now 24 steps</t>
        </is>
      </c>
    </row>
    <row r="92" ht="15" customHeight="1" s="22">
      <c r="A92" s="40" t="inlineStr">
        <is>
          <t>SESSION 24 — 13/09/2026 16:40</t>
        </is>
      </c>
    </row>
    <row r="93" ht="39" customHeight="1" s="22">
      <c r="A93" s="27" t="inlineStr">
        <is>
          <t>S3-S8</t>
        </is>
      </c>
      <c r="B93" s="27" t="inlineStr">
        <is>
          <t>2026-09-13</t>
        </is>
      </c>
      <c r="C93" s="27" t="inlineStr">
        <is>
          <t>Wiring audit across every export: six unreachable screens made reachable, notification delivery wired, encryption-at-rest gap recorded open for decision.</t>
        </is>
      </c>
      <c r="D93" s="27" t="n">
        <v>0</v>
      </c>
      <c r="E93" s="27" t="n">
        <v>0</v>
      </c>
      <c r="F93" s="27" t="inlineStr">
        <is>
          <t>Product surface complete; one compliance claim open</t>
        </is>
      </c>
      <c r="G93" s="27" t="inlineStr">
        <is>
          <t>44 suites / 269 tests at 100%; sweep now 25 steps</t>
        </is>
      </c>
    </row>
    <row r="95" ht="15" customHeight="1" s="22">
      <c r="A95" s="40" t="inlineStr">
        <is>
          <t>SESSION 25 — 13/09/2026 16:47</t>
        </is>
      </c>
    </row>
    <row r="96" ht="39" customHeight="1" s="22">
      <c r="A96" s="27" t="inlineStr">
        <is>
          <t>S8</t>
        </is>
      </c>
      <c r="B96" s="27" t="inlineStr">
        <is>
          <t>2026-09-13</t>
        </is>
      </c>
      <c r="C96" s="27" t="inlineStr">
        <is>
          <t>Encryption at rest implemented as an opt-in decorator so either disposition is a config choice; trust page rewritten to state what is actually encrypted and what is not.</t>
        </is>
      </c>
      <c r="D96" s="27" t="n">
        <v>0</v>
      </c>
      <c r="E96" s="27" t="n">
        <v>0</v>
      </c>
      <c r="F96" s="27" t="inlineStr">
        <is>
          <t>Compliance claim now true in both configurations</t>
        </is>
      </c>
      <c r="G96" s="27" t="inlineStr">
        <is>
          <t>45 suites / 276 tests at 100%; sweep now 26 steps</t>
        </is>
      </c>
    </row>
    <row r="98" ht="15" customHeight="1" s="22">
      <c r="A98" s="40" t="inlineStr">
        <is>
          <t>SESSION 26 — 13/09/2026 16:51</t>
        </is>
      </c>
    </row>
    <row r="99" ht="39" customHeight="1" s="22">
      <c r="A99" s="27" t="inlineStr">
        <is>
          <t>S9</t>
        </is>
      </c>
      <c r="B99" s="27" t="inlineStr">
        <is>
          <t>2026-09-13</t>
        </is>
      </c>
      <c r="C99" s="27" t="inlineStr">
        <is>
          <t>Cold-review pass 5: five defects in the newest modules, including a seat cap that could never fire and a notification path that discarded on failure.</t>
        </is>
      </c>
      <c r="D99" s="27" t="n">
        <v>0</v>
      </c>
      <c r="E99" s="27" t="n">
        <v>0</v>
      </c>
      <c r="F99" s="27" t="inlineStr">
        <is>
          <t>No story flips — correctness only</t>
        </is>
      </c>
      <c r="G99" s="27" t="inlineStr">
        <is>
          <t>46 suites / 282 tests at 100%; 34 defects across five passes</t>
        </is>
      </c>
    </row>
    <row r="101" ht="15" customHeight="1" s="22">
      <c r="A101" s="40" t="inlineStr">
        <is>
          <t>SESSION 27 — 13/09/2026 17:25</t>
        </is>
      </c>
    </row>
    <row r="102" ht="51.75" customHeight="1" s="22">
      <c r="A102" s="27" t="inlineStr">
        <is>
          <t>S8/S11</t>
        </is>
      </c>
      <c r="B102" s="27" t="inlineStr">
        <is>
          <t>2026-09-13</t>
        </is>
      </c>
      <c r="C102" s="27" t="inlineStr">
        <is>
          <t>Multi-instance audit: the persistence model silently lost data under the deployment model we ship. Optimistic concurrency added; conflicts are now detected and surfaced rather than overwritten.</t>
        </is>
      </c>
      <c r="D102" s="27" t="n">
        <v>0</v>
      </c>
      <c r="E102" s="27" t="n">
        <v>0</v>
      </c>
      <c r="F102" s="27" t="inlineStr">
        <is>
          <t>Blue/green and scale-out are now data-safe</t>
        </is>
      </c>
      <c r="G102" s="27" t="inlineStr">
        <is>
          <t>47 suites / 292 tests at 100%; sweep now 27 steps</t>
        </is>
      </c>
    </row>
    <row r="104" ht="15" customHeight="1" s="22">
      <c r="A104" s="40" t="inlineStr">
        <is>
          <t>SESSION 28 — 13/09/2026 18:51</t>
        </is>
      </c>
    </row>
    <row r="105" ht="39" customHeight="1" s="22">
      <c r="A105" s="27" t="inlineStr">
        <is>
          <t>S8/S9</t>
        </is>
      </c>
      <c r="B105" s="27" t="inlineStr">
        <is>
          <t>2026-09-13</t>
        </is>
      </c>
      <c r="C105" s="27" t="inlineStr">
        <is>
          <t>Dependency-failure audit: a single store or mail blip hung the request and crashed the process. Boundary error handling, degradation reporting and best-effort delivery added.</t>
        </is>
      </c>
      <c r="D105" s="27" t="n">
        <v>0</v>
      </c>
      <c r="E105" s="27" t="n">
        <v>0</v>
      </c>
      <c r="F105" s="27" t="inlineStr">
        <is>
          <t>Outages now degrade instead of crashing</t>
        </is>
      </c>
      <c r="G105" s="27" t="inlineStr">
        <is>
          <t>48 suites / 299 tests at 100%; sweep now 28 steps</t>
        </is>
      </c>
    </row>
    <row r="107" ht="15" customHeight="1" s="22">
      <c r="A107" s="40" t="inlineStr">
        <is>
          <t>SESSION 29 — 13/09/2026 19:10</t>
        </is>
      </c>
    </row>
    <row r="108" ht="51.75" customHeight="1" s="22">
      <c r="A108" s="27" t="inlineStr">
        <is>
          <t>S9</t>
        </is>
      </c>
      <c r="B108" s="27" t="inlineStr">
        <is>
          <t>2026-09-13</t>
        </is>
      </c>
      <c r="C108" s="27" t="inlineStr">
        <is>
          <t>Cold-review pass 6: three defects in the resilience and versioning work from the last three sessions, including a classifier coupled to test fixtures and a bot retry that duplicated work.</t>
        </is>
      </c>
      <c r="D108" s="27" t="n">
        <v>0</v>
      </c>
      <c r="E108" s="27" t="n">
        <v>0</v>
      </c>
      <c r="F108" s="27" t="inlineStr">
        <is>
          <t>No story flips — correctness only</t>
        </is>
      </c>
      <c r="G108" s="27" t="inlineStr">
        <is>
          <t>49 suites / 303 tests at 100%; 37 defects across six passes</t>
        </is>
      </c>
    </row>
    <row r="110" ht="15" customHeight="1" s="22">
      <c r="A110" s="40" t="inlineStr">
        <is>
          <t>SESSION 30 — 13/09/2026 19:27</t>
        </is>
      </c>
    </row>
    <row r="111" ht="39" customHeight="1" s="22">
      <c r="A111" s="27" t="inlineStr">
        <is>
          <t>S1/S9</t>
        </is>
      </c>
      <c r="B111" s="27" t="inlineStr">
        <is>
          <t>2026-09-13</t>
        </is>
      </c>
      <c r="C111" s="27" t="inlineStr">
        <is>
          <t>Made the live sweep executable so the dev-tenant day is a command plus a short operator list, rather than 28 manual checks.</t>
        </is>
      </c>
      <c r="D111" s="27" t="n">
        <v>0</v>
      </c>
      <c r="E111" s="27" t="n">
        <v>0</v>
      </c>
      <c r="F111" s="27" t="inlineStr">
        <is>
          <t>Live day materially shorter</t>
        </is>
      </c>
      <c r="G111" s="27" t="inlineStr">
        <is>
          <t>50 suites / 309 tests at 100%</t>
        </is>
      </c>
    </row>
    <row r="113" ht="15" customHeight="1" s="22">
      <c r="A113" s="40" t="inlineStr">
        <is>
          <t>SESSION 31 — 13/09/2026 19:32</t>
        </is>
      </c>
    </row>
    <row r="114" ht="39" customHeight="1" s="22">
      <c r="A114" s="27" t="inlineStr">
        <is>
          <t>S1/S9</t>
        </is>
      </c>
      <c r="B114" s="27" t="inlineStr">
        <is>
          <t>2026-09-13</t>
        </is>
      </c>
      <c r="C114" s="27" t="inlineStr">
        <is>
          <t>Six more sweep steps automated behind capability gates; writing the funnel check exposed an Analytics tab that would have shown zeros forever.</t>
        </is>
      </c>
      <c r="D114" s="27" t="n">
        <v>0</v>
      </c>
      <c r="E114" s="27" t="n">
        <v>0</v>
      </c>
      <c r="F114" s="27" t="inlineStr">
        <is>
          <t>Live day shorter again; one real defect found</t>
        </is>
      </c>
      <c r="G114" s="27" t="inlineStr">
        <is>
          <t>50 suites / 318 tests at 100%</t>
        </is>
      </c>
    </row>
    <row r="116" ht="15" customHeight="1" s="22">
      <c r="A116" s="40" t="inlineStr">
        <is>
          <t>SESSION 32 — 13/09/2026 19:39</t>
        </is>
      </c>
    </row>
    <row r="117" ht="39" customHeight="1" s="22">
      <c r="A117" s="27" t="inlineStr">
        <is>
          <t>S1</t>
        </is>
      </c>
      <c r="B117" s="27" t="inlineStr">
        <is>
          <t>2026-09-13</t>
        </is>
      </c>
      <c r="C117" s="27" t="inlineStr">
        <is>
          <t>Packaging automated and validated: substitution, store-rule checks, and a root-level archive. The tenant day no longer depends on zipping the right three files correctly by hand.</t>
        </is>
      </c>
      <c r="D117" s="27" t="n">
        <v>0</v>
      </c>
      <c r="E117" s="27" t="n">
        <v>0</v>
      </c>
      <c r="F117" s="27" t="inlineStr">
        <is>
          <t>One more manual failure mode removed</t>
        </is>
      </c>
      <c r="G117" s="27" t="inlineStr">
        <is>
          <t>51 suites / 323 tests at 100%</t>
        </is>
      </c>
    </row>
    <row r="119" ht="15" customHeight="1" s="22">
      <c r="A119" s="40" t="inlineStr">
        <is>
          <t>SESSION 33 — 13/09/2026 20:05</t>
        </is>
      </c>
    </row>
    <row r="120" ht="39" customHeight="1" s="22">
      <c r="A120" s="27" t="inlineStr">
        <is>
          <t>S1/S9</t>
        </is>
      </c>
      <c r="B120" s="27" t="inlineStr">
        <is>
          <t>2026-09-13</t>
        </is>
      </c>
      <c r="C120" s="27" t="inlineStr">
        <is>
          <t>Audited the tooling built in the last three sessions for whether it runs where it will run. It did not: undeclared dependencies and an untypechecked scripts folder. Fixed and pinned in CI.</t>
        </is>
      </c>
      <c r="D120" s="27" t="n">
        <v>0</v>
      </c>
      <c r="E120" s="27" t="n">
        <v>0</v>
      </c>
      <c r="F120" s="27" t="inlineStr">
        <is>
          <t>Live-day tooling now verified from a clean install</t>
        </is>
      </c>
      <c r="G120" s="27" t="inlineStr">
        <is>
          <t>51 suites / 323 tests at 100%</t>
        </is>
      </c>
    </row>
    <row r="122" ht="15" customHeight="1" s="22">
      <c r="A122" s="40" t="inlineStr">
        <is>
          <t>SESSION 34 — 13/09/2026 20:10</t>
        </is>
      </c>
    </row>
    <row r="123" ht="39" customHeight="1" s="22">
      <c r="A123" s="27" t="inlineStr">
        <is>
          <t>S1/S9</t>
        </is>
      </c>
      <c r="B123" s="27" t="inlineStr">
        <is>
          <t>2026-09-13</t>
        </is>
      </c>
      <c r="C123" s="27" t="inlineStr">
        <is>
          <t>Rehearsed the delivery exactly as it will be received. Found that no server entry point shipped; fixed, and the whole path now runs end to end from the zip.</t>
        </is>
      </c>
      <c r="D123" s="27" t="n">
        <v>0</v>
      </c>
      <c r="E123" s="27" t="n">
        <v>0</v>
      </c>
      <c r="F123" s="27" t="inlineStr">
        <is>
          <t>Tenant-day path proven from a clean checkout</t>
        </is>
      </c>
      <c r="G123" s="27" t="inlineStr">
        <is>
          <t>52 suites / 327 tests at 100%; rehearsal 8 passed 0 failed</t>
        </is>
      </c>
    </row>
    <row r="125" ht="15" customHeight="1" s="22">
      <c r="A125" s="40" t="inlineStr">
        <is>
          <t>SESSION 35 — 13/09/2026 20:26</t>
        </is>
      </c>
    </row>
    <row r="126" ht="39" customHeight="1" s="22">
      <c r="A126" s="27" t="inlineStr">
        <is>
          <t>S2-S5</t>
        </is>
      </c>
      <c r="B126" s="27" t="inlineStr">
        <is>
          <t>2026-09-13</t>
        </is>
      </c>
      <c r="C126" s="27" t="inlineStr">
        <is>
          <t>Followed the manifest from URL to file and found the last hop missing: nothing served /tab. Now served by the app itself, verified live.</t>
        </is>
      </c>
      <c r="D126" s="27" t="n">
        <v>0</v>
      </c>
      <c r="E126" s="27" t="n">
        <v>0</v>
      </c>
      <c r="F126" s="27" t="inlineStr">
        <is>
          <t>All eight tabs reachable from a running server</t>
        </is>
      </c>
      <c r="G126" s="27" t="inlineStr">
        <is>
          <t>53 suites / 334 tests at 100%; sweep 9 passed 0 failed</t>
        </is>
      </c>
    </row>
    <row r="128" ht="15" customHeight="1" s="22">
      <c r="A128" s="40" t="inlineStr">
        <is>
          <t>SESSION 36 — 13/09/2026 20:32</t>
        </is>
      </c>
    </row>
    <row r="129" ht="39" customHeight="1" s="22">
      <c r="A129" s="27" t="inlineStr">
        <is>
          <t>S1/S9</t>
        </is>
      </c>
      <c r="B129" s="27" t="inlineStr">
        <is>
          <t>2026-09-13</t>
        </is>
      </c>
      <c r="C129" s="27" t="inlineStr">
        <is>
          <t>Followed the manifest to a working bot: the endpoint existed but nothing was wired to it. Connector sender and token exchange built; dev and production modes both explicit.</t>
        </is>
      </c>
      <c r="D129" s="27" t="n">
        <v>0</v>
      </c>
      <c r="E129" s="27" t="n">
        <v>0</v>
      </c>
      <c r="F129" s="27" t="inlineStr">
        <is>
          <t>Bot commands reachable from a running server</t>
        </is>
      </c>
      <c r="G129" s="27" t="inlineStr">
        <is>
          <t>54 suites / 343 tests at 100%</t>
        </is>
      </c>
    </row>
    <row r="131" ht="15" customHeight="1" s="22">
      <c r="A131" s="40" t="inlineStr">
        <is>
          <t>SESSION 37 — 13/09/2026 21:56</t>
        </is>
      </c>
    </row>
    <row r="132" ht="39" customHeight="1" s="22">
      <c r="A132" s="27" t="inlineStr">
        <is>
          <t>S1/S8</t>
        </is>
      </c>
      <c r="B132" s="27" t="inlineStr">
        <is>
          <t>2026-09-13</t>
        </is>
      </c>
      <c r="C132" s="27" t="inlineStr">
        <is>
          <t>Install and uninstall now record what the retention policy needs, and the 30-day sweep has something running it. Both were implemented and uncalled.</t>
        </is>
      </c>
      <c r="D132" s="27" t="n">
        <v>0</v>
      </c>
      <c r="E132" s="27" t="n">
        <v>0</v>
      </c>
      <c r="F132" s="27" t="inlineStr">
        <is>
          <t>Retention commitment finally executable in a deployment</t>
        </is>
      </c>
      <c r="G132" s="27" t="inlineStr">
        <is>
          <t>55 suites / 349 tests at 100%</t>
        </is>
      </c>
    </row>
    <row r="134" ht="15" customHeight="1" s="22">
      <c r="A134" s="40" t="inlineStr">
        <is>
          <t>SESSION 38 — 13/09/2026 22:55</t>
        </is>
      </c>
    </row>
    <row r="135" ht="39" customHeight="1" s="22">
      <c r="A135" s="27" t="inlineStr">
        <is>
          <t>S1/S8</t>
        </is>
      </c>
      <c r="B135" s="27" t="inlineStr">
        <is>
          <t>2026-09-13</t>
        </is>
      </c>
      <c r="C135" s="27" t="inlineStr">
        <is>
          <t>Audited what the running process constructs rather than what the code references. Every user was an owner; notifications and help were never instantiated.</t>
        </is>
      </c>
      <c r="D135" s="27" t="n">
        <v>0</v>
      </c>
      <c r="E135" s="27" t="n">
        <v>0</v>
      </c>
      <c r="F135" s="27" t="inlineStr">
        <is>
          <t>Privilege fallback corrected to least privilege</t>
        </is>
      </c>
      <c r="G135" s="27" t="inlineStr">
        <is>
          <t>56 suites / 356 tests at 100%</t>
        </is>
      </c>
    </row>
    <row r="137" ht="15" customHeight="1" s="22">
      <c r="A137" s="40" t="inlineStr">
        <is>
          <t>SESSION 39 — 13/09/2026 23:05</t>
        </is>
      </c>
    </row>
    <row r="138" ht="26.25" customHeight="1" s="22">
      <c r="A138" s="27" t="inlineStr">
        <is>
          <t>S1/S8</t>
        </is>
      </c>
      <c r="B138" s="27" t="inlineStr">
        <is>
          <t>2026-09-13</t>
        </is>
      </c>
      <c r="C138" s="27" t="inlineStr">
        <is>
          <t>Cleared the remaining runtime stubs: invented email addresses, an unreachable Graph path, and unseeded install counts.</t>
        </is>
      </c>
      <c r="D138" s="27" t="n">
        <v>0</v>
      </c>
      <c r="E138" s="27" t="n">
        <v>0</v>
      </c>
      <c r="F138" s="27" t="inlineStr">
        <is>
          <t>Admin roles now attainable; notifications addressed correctly</t>
        </is>
      </c>
      <c r="G138" s="27" t="inlineStr">
        <is>
          <t>57 suites / 364 tests at 100%</t>
        </is>
      </c>
    </row>
    <row r="140" ht="15" customHeight="1" s="22">
      <c r="A140" s="40" t="inlineStr">
        <is>
          <t>SESSION 40 — 13/09/2026 23:14</t>
        </is>
      </c>
    </row>
    <row r="141" ht="39.55" customHeight="1" s="22">
      <c r="A141" s="27" t="inlineStr">
        <is>
          <t>S1/S8</t>
        </is>
      </c>
      <c r="B141" s="27" t="inlineStr">
        <is>
          <t>2026-09-13</t>
        </is>
      </c>
      <c r="C141" s="27" t="inlineStr">
        <is>
          <t>Audited my own last-session wiring first and found it inert. Directory population and release tagging also wired; listAll made contractual.</t>
        </is>
      </c>
      <c r="D141" s="27" t="n">
        <v>0</v>
      </c>
      <c r="E141" s="27" t="n">
        <v>0</v>
      </c>
      <c r="F141" s="27" t="inlineStr">
        <is>
          <t>Roles attainable, seeding real, errors attributable</t>
        </is>
      </c>
      <c r="G141" s="27" t="inlineStr">
        <is>
          <t>58 suites / 371 tests at 100%</t>
        </is>
      </c>
    </row>
    <row r="142">
      <c r="A142" s="28" t="inlineStr">
        <is>
          <t>E084</t>
        </is>
      </c>
      <c r="B142" s="28" t="inlineStr">
        <is>
          <t>2026-09-20 11:02</t>
        </is>
      </c>
      <c r="C142" s="28" t="inlineStr">
        <is>
          <t>—</t>
        </is>
      </c>
      <c r="D142" s="28" t="inlineStr">
        <is>
          <t>SESSION 41 OPENED — independent review V001 received and actioned in full: 20 P-series findings (3 CRITICAL), 8 D-series decisions, an 8-sprint 47-story plan (266 pts). Instruction: do all, enterprise grade, do not shrink scope, keep all tasks in the tracker.</t>
        </is>
      </c>
      <c r="E142" s="28" t="inlineStr">
        <is>
          <t>Review V001</t>
        </is>
      </c>
      <c r="F142" s="28" t="inlineStr">
        <is>
          <t>S13-S20 opened; 47 SD stories admitted</t>
        </is>
      </c>
      <c r="G142" s="28" t="inlineStr">
        <is>
          <t>—</t>
        </is>
      </c>
    </row>
    <row r="143">
      <c r="A143" s="28" t="inlineStr">
        <is>
          <t>E085</t>
        </is>
      </c>
      <c r="B143" s="28" t="inlineStr">
        <is>
          <t>2026-09-20 16:05</t>
        </is>
      </c>
      <c r="C143" s="28" t="inlineStr">
        <is>
          <t>S13-S19</t>
        </is>
      </c>
      <c r="D143" s="28" t="inlineStr">
        <is>
          <t>REVIEW REMEDIATION BUILT — three CRITICALs closed in code (Entra JWKS verification, Connector JWT verification, durability wired against a real Postgres 16 provisioned in-session). Per-record persistence, Adaptive Cards and proactive messaging, residency and generated legal documents, KMS custody, Fulfillment API v2, SLO with eleven alert rules, real deploy pipeline. 36 of 47 stories built; 11 stay owed under D-SD8.</t>
        </is>
      </c>
      <c r="E143" s="28" t="inlineStr">
        <is>
          <t>SD201-SD243</t>
        </is>
      </c>
      <c r="F143" s="28" t="inlineStr">
        <is>
          <t>36 stories built; 11 owed to Senthil</t>
        </is>
      </c>
      <c r="G143" s="28" t="inlineStr">
        <is>
          <t>—</t>
        </is>
      </c>
    </row>
    <row r="144">
      <c r="A144" s="28" t="inlineStr">
        <is>
          <t>E086</t>
        </is>
      </c>
      <c r="B144" s="28" t="inlineStr">
        <is>
          <t>2026-09-20 16:40</t>
        </is>
      </c>
      <c r="C144" s="28" t="inlineStr">
        <is>
          <t>S20</t>
        </is>
      </c>
      <c r="D144" s="28" t="inlineStr">
        <is>
          <t>WORKBOOK REPAIRS AND CLOSEOUT — financial model repaired with cash-in, runway, breakeven and a stated funding requirement plus per-site pricing; metrics restated absolutely; risk register rewritten around the free first-party overlap; launch checklist extended. D-SD7 three-tier gate met: 555 unit tests at 100% four ways, 9/9 real-Postgres integration, production-seam assertion green and enforced at boot. Own goals F-071..F-074 recorded — including F-073 and F-074, two defects in the release gate itself, found by rerunning the suite on a cleaned tree rather than the tree that had been building all day.</t>
        </is>
      </c>
      <c r="E144" s="28" t="inlineStr">
        <is>
          <t>SD244-SD247, D-SD7, F-071..F-074</t>
        </is>
      </c>
      <c r="F144" s="28" t="inlineStr">
        <is>
          <t>Workbook v046, tracker v040, source zip v046 released</t>
        </is>
      </c>
      <c r="G144" s="28"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T59"/>
  <sheetViews>
    <sheetView workbookViewId="0">
      <selection activeCell="A1" sqref="A1"/>
    </sheetView>
  </sheetViews>
  <sheetFormatPr baseColWidth="8" defaultRowHeight="15"/>
  <cols>
    <col width="40" customWidth="1" style="22" min="1" max="1"/>
    <col width="16" customWidth="1" style="22" min="2" max="2"/>
    <col width="16" customWidth="1" style="22" min="3" max="3"/>
    <col width="90" customWidth="1" style="22" min="4" max="4"/>
    <col width="11" customWidth="1" style="22" min="5" max="5"/>
    <col width="11" customWidth="1" style="22" min="6" max="6"/>
    <col width="11" customWidth="1" style="22" min="7" max="7"/>
    <col width="11" customWidth="1" style="22" min="8" max="8"/>
    <col width="11" customWidth="1" style="22" min="9" max="9"/>
    <col width="11" customWidth="1" style="22" min="10" max="10"/>
    <col width="11" customWidth="1" style="22" min="11" max="11"/>
    <col width="11" customWidth="1" style="22" min="12" max="12"/>
    <col width="11" customWidth="1" style="22" min="13" max="13"/>
    <col width="11" customWidth="1" style="22" min="14" max="14"/>
    <col width="11" customWidth="1" style="22" min="15" max="15"/>
    <col width="11" customWidth="1" style="22" min="16" max="16"/>
    <col width="11" customWidth="1" style="22" min="17" max="17"/>
    <col width="11" customWidth="1" style="22" min="18" max="18"/>
    <col width="11" customWidth="1" style="22" min="19" max="19"/>
  </cols>
  <sheetData>
    <row r="1">
      <c r="A1" s="42" t="inlineStr">
        <is>
          <t>18-MONTH FINANCIAL MODEL v046 — repaired per review findings P-018 / D-01 / D-02 (SD246). Yellow cells are inputs. Two pricing scenarios; cash-in, runway, breakeven and funding requirement are computed, not asserted.</t>
        </is>
      </c>
      <c r="B1" s="43" t="n"/>
      <c r="C1" s="43" t="n"/>
      <c r="D1" s="43" t="n"/>
      <c r="E1" s="43" t="n"/>
      <c r="F1" s="43" t="n"/>
      <c r="G1" s="43" t="n"/>
      <c r="H1" s="43" t="n"/>
      <c r="I1" s="43" t="n"/>
      <c r="J1" s="43" t="n"/>
      <c r="K1" s="43" t="n"/>
      <c r="L1" s="43" t="n"/>
      <c r="M1" s="43" t="n"/>
      <c r="N1" s="43" t="n"/>
      <c r="O1" s="43" t="n"/>
      <c r="P1" s="43" t="n"/>
      <c r="Q1" s="43" t="n"/>
      <c r="R1" s="43" t="n"/>
      <c r="S1" s="43" t="n"/>
      <c r="T1" s="43" t="n"/>
    </row>
    <row r="2">
      <c r="A2" s="28" t="inlineStr">
        <is>
          <t>The reviewer recomputed the v045 sheet and found M18 net -$23,822/mo and cumulative -$574,601, with no cash-in or runway row anywhere. Scenario A below reproduces that result on the original assumptions rather than arguing with it. Scenario B models the per-site pricing the review asked for. Neither is a forecast: every input is a planning number until the SD244 interviews and SD247 pilots replace it.</t>
        </is>
      </c>
    </row>
    <row r="4">
      <c r="A4" s="44" t="inlineStr">
        <is>
          <t>SCENARIO A — per-seat pricing, as modelled in v045</t>
        </is>
      </c>
    </row>
    <row r="5">
      <c r="A5" s="45" t="inlineStr">
        <is>
          <t>Assumption</t>
        </is>
      </c>
      <c r="B5" s="45" t="inlineStr">
        <is>
          <t>Value</t>
        </is>
      </c>
      <c r="C5" s="45" t="inlineStr">
        <is>
          <t>Note</t>
        </is>
      </c>
    </row>
    <row r="6">
      <c r="A6" t="inlineStr">
        <is>
          <t>Qualified pilots/mo (month 1)</t>
        </is>
      </c>
      <c r="B6" s="46" t="n">
        <v>6</v>
      </c>
      <c r="C6" s="28" t="inlineStr">
        <is>
          <t>v005 assumption, unchanged</t>
        </is>
      </c>
    </row>
    <row r="7">
      <c r="A7" t="inlineStr">
        <is>
          <t>Monthly growth of that</t>
        </is>
      </c>
      <c r="B7" s="47" t="n">
        <v>0.1</v>
      </c>
      <c r="C7" s="28" t="inlineStr">
        <is>
          <t>v005 assumption, unchanged</t>
        </is>
      </c>
    </row>
    <row r="8">
      <c r="A8" t="inlineStr">
        <is>
          <t>Pilot-&gt;paid %</t>
        </is>
      </c>
      <c r="B8" s="47" t="n">
        <v>0.35</v>
      </c>
      <c r="C8" s="28" t="inlineStr">
        <is>
          <t>v005 assumption, unchanged</t>
        </is>
      </c>
    </row>
    <row r="9">
      <c r="A9" t="inlineStr">
        <is>
          <t>ARPU $/mo (per-seat scenario)</t>
        </is>
      </c>
      <c r="B9" s="46" t="n">
        <v>400</v>
      </c>
      <c r="C9" s="28" t="inlineStr">
        <is>
          <t>Review D-02: at a $2/seat frontline price this implies ~200 seats per "pilot", which contradicts a 6-pilots-a-month founder-led motion. Kept here so the reviewer's numbers reproduce; Scenario B is the honest alternative.</t>
        </is>
      </c>
    </row>
    <row r="10">
      <c r="A10" t="inlineStr">
        <is>
          <t>Monthly churn</t>
        </is>
      </c>
      <c r="B10" s="47" t="n">
        <v>0.015</v>
      </c>
      <c r="C10" s="28" t="inlineStr">
        <is>
          <t>v005 assumption, unchanged</t>
        </is>
      </c>
    </row>
    <row r="11">
      <c r="A11" t="inlineStr">
        <is>
          <t>Marketplace fee</t>
        </is>
      </c>
      <c r="B11" s="47" t="n">
        <v>0.03</v>
      </c>
      <c r="C11" s="28" t="inlineStr">
        <is>
          <t>Microsoft transactable fee. Verify at offer setup (Launch_Checklist #6).</t>
        </is>
      </c>
    </row>
    <row r="12">
      <c r="A12" t="inlineStr">
        <is>
          <t>Team cost month 1 ($)</t>
        </is>
      </c>
      <c r="B12" s="46" t="n">
        <v>35000</v>
      </c>
      <c r="C12" s="28" t="inlineStr">
        <is>
          <t>India-lean base from Team_Roles_Budget (v004)</t>
        </is>
      </c>
    </row>
    <row r="13">
      <c r="A13" t="inlineStr">
        <is>
          <t>Cost growth/mo</t>
        </is>
      </c>
      <c r="B13" s="47" t="n">
        <v>0.03</v>
      </c>
      <c r="C13" s="28" t="inlineStr">
        <is>
          <t>v005 assumption, unchanged</t>
        </is>
      </c>
    </row>
    <row r="14">
      <c r="A14" t="inlineStr">
        <is>
          <t>Opening cash at M1 ($)</t>
        </is>
      </c>
      <c r="B14" s="46" t="n">
        <v>0</v>
      </c>
      <c r="C14" s="28" t="inlineStr">
        <is>
          <t>INPUT OWED — Senthil. Left at zero deliberately: the model must not invent a cash position. With 0 here, "funding requirement" below IS the cash this plan needs.</t>
        </is>
      </c>
    </row>
    <row r="15">
      <c r="A15" t="inlineStr">
        <is>
          <t>Other monthly cash-in ($)</t>
        </is>
      </c>
      <c r="B15" s="46" t="n">
        <v>0</v>
      </c>
      <c r="C15" s="28" t="inlineStr">
        <is>
          <t>INPUT OWED — Senthil. Consulting or other income applied to this product, if any. The absence of this row is what review finding P-018 called out.</t>
        </is>
      </c>
    </row>
    <row r="17">
      <c r="A17" s="45" t="inlineStr">
        <is>
          <t>Line</t>
        </is>
      </c>
      <c r="B17" s="45" t="inlineStr">
        <is>
          <t>M1</t>
        </is>
      </c>
      <c r="C17" s="45" t="inlineStr">
        <is>
          <t>M2</t>
        </is>
      </c>
      <c r="D17" s="45" t="inlineStr">
        <is>
          <t>M3</t>
        </is>
      </c>
      <c r="E17" s="45" t="inlineStr">
        <is>
          <t>M4</t>
        </is>
      </c>
      <c r="F17" s="45" t="inlineStr">
        <is>
          <t>M5</t>
        </is>
      </c>
      <c r="G17" s="45" t="inlineStr">
        <is>
          <t>M6</t>
        </is>
      </c>
      <c r="H17" s="45" t="inlineStr">
        <is>
          <t>M7</t>
        </is>
      </c>
      <c r="I17" s="45" t="inlineStr">
        <is>
          <t>M8</t>
        </is>
      </c>
      <c r="J17" s="45" t="inlineStr">
        <is>
          <t>M9</t>
        </is>
      </c>
      <c r="K17" s="45" t="inlineStr">
        <is>
          <t>M10</t>
        </is>
      </c>
      <c r="L17" s="45" t="inlineStr">
        <is>
          <t>M11</t>
        </is>
      </c>
      <c r="M17" s="45" t="inlineStr">
        <is>
          <t>M12</t>
        </is>
      </c>
      <c r="N17" s="45" t="inlineStr">
        <is>
          <t>M13</t>
        </is>
      </c>
      <c r="O17" s="45" t="inlineStr">
        <is>
          <t>M14</t>
        </is>
      </c>
      <c r="P17" s="45" t="inlineStr">
        <is>
          <t>M15</t>
        </is>
      </c>
      <c r="Q17" s="45" t="inlineStr">
        <is>
          <t>M16</t>
        </is>
      </c>
      <c r="R17" s="45" t="inlineStr">
        <is>
          <t>M17</t>
        </is>
      </c>
      <c r="S17" s="45" t="inlineStr">
        <is>
          <t>M18</t>
        </is>
      </c>
    </row>
    <row r="18">
      <c r="A18" s="48" t="inlineStr">
        <is>
          <t>A leads/installs</t>
        </is>
      </c>
      <c r="B18">
        <f>$B$6</f>
        <v/>
      </c>
      <c r="C18">
        <f>B18*(1+$B$7)</f>
        <v/>
      </c>
      <c r="D18">
        <f>C18*(1+$B$7)</f>
        <v/>
      </c>
      <c r="E18">
        <f>D18*(1+$B$7)</f>
        <v/>
      </c>
      <c r="F18">
        <f>E18*(1+$B$7)</f>
        <v/>
      </c>
      <c r="G18">
        <f>F18*(1+$B$7)</f>
        <v/>
      </c>
      <c r="H18">
        <f>G18*(1+$B$7)</f>
        <v/>
      </c>
      <c r="I18">
        <f>H18*(1+$B$7)</f>
        <v/>
      </c>
      <c r="J18">
        <f>I18*(1+$B$7)</f>
        <v/>
      </c>
      <c r="K18">
        <f>J18*(1+$B$7)</f>
        <v/>
      </c>
      <c r="L18">
        <f>K18*(1+$B$7)</f>
        <v/>
      </c>
      <c r="M18">
        <f>L18*(1+$B$7)</f>
        <v/>
      </c>
      <c r="N18">
        <f>M18*(1+$B$7)</f>
        <v/>
      </c>
      <c r="O18">
        <f>N18*(1+$B$7)</f>
        <v/>
      </c>
      <c r="P18">
        <f>O18*(1+$B$7)</f>
        <v/>
      </c>
      <c r="Q18">
        <f>P18*(1+$B$7)</f>
        <v/>
      </c>
      <c r="R18">
        <f>Q18*(1+$B$7)</f>
        <v/>
      </c>
      <c r="S18">
        <f>R18*(1+$B$7)</f>
        <v/>
      </c>
    </row>
    <row r="19">
      <c r="A19" s="48" t="inlineStr">
        <is>
          <t>A new paying</t>
        </is>
      </c>
      <c r="B19">
        <f>ROUND(B18*$B$8,1)</f>
        <v/>
      </c>
      <c r="C19">
        <f>ROUND(C18*$B$8,1)</f>
        <v/>
      </c>
      <c r="D19">
        <f>ROUND(D18*$B$8,1)</f>
        <v/>
      </c>
      <c r="E19">
        <f>ROUND(E18*$B$8,1)</f>
        <v/>
      </c>
      <c r="F19">
        <f>ROUND(F18*$B$8,1)</f>
        <v/>
      </c>
      <c r="G19">
        <f>ROUND(G18*$B$8,1)</f>
        <v/>
      </c>
      <c r="H19">
        <f>ROUND(H18*$B$8,1)</f>
        <v/>
      </c>
      <c r="I19">
        <f>ROUND(I18*$B$8,1)</f>
        <v/>
      </c>
      <c r="J19">
        <f>ROUND(J18*$B$8,1)</f>
        <v/>
      </c>
      <c r="K19">
        <f>ROUND(K18*$B$8,1)</f>
        <v/>
      </c>
      <c r="L19">
        <f>ROUND(L18*$B$8,1)</f>
        <v/>
      </c>
      <c r="M19">
        <f>ROUND(M18*$B$8,1)</f>
        <v/>
      </c>
      <c r="N19">
        <f>ROUND(N18*$B$8,1)</f>
        <v/>
      </c>
      <c r="O19">
        <f>ROUND(O18*$B$8,1)</f>
        <v/>
      </c>
      <c r="P19">
        <f>ROUND(P18*$B$8,1)</f>
        <v/>
      </c>
      <c r="Q19">
        <f>ROUND(Q18*$B$8,1)</f>
        <v/>
      </c>
      <c r="R19">
        <f>ROUND(R18*$B$8,1)</f>
        <v/>
      </c>
      <c r="S19">
        <f>ROUND(S18*$B$8,1)</f>
        <v/>
      </c>
    </row>
    <row r="20">
      <c r="A20" s="48" t="inlineStr">
        <is>
          <t>A paying accounts</t>
        </is>
      </c>
      <c r="B20">
        <f>B19</f>
        <v/>
      </c>
      <c r="C20">
        <f>ROUND(B20*(1-$B$10)+C19,1)</f>
        <v/>
      </c>
      <c r="D20">
        <f>ROUND(C20*(1-$B$10)+D19,1)</f>
        <v/>
      </c>
      <c r="E20">
        <f>ROUND(D20*(1-$B$10)+E19,1)</f>
        <v/>
      </c>
      <c r="F20">
        <f>ROUND(E20*(1-$B$10)+F19,1)</f>
        <v/>
      </c>
      <c r="G20">
        <f>ROUND(F20*(1-$B$10)+G19,1)</f>
        <v/>
      </c>
      <c r="H20">
        <f>ROUND(G20*(1-$B$10)+H19,1)</f>
        <v/>
      </c>
      <c r="I20">
        <f>ROUND(H20*(1-$B$10)+I19,1)</f>
        <v/>
      </c>
      <c r="J20">
        <f>ROUND(I20*(1-$B$10)+J19,1)</f>
        <v/>
      </c>
      <c r="K20">
        <f>ROUND(J20*(1-$B$10)+K19,1)</f>
        <v/>
      </c>
      <c r="L20">
        <f>ROUND(K20*(1-$B$10)+L19,1)</f>
        <v/>
      </c>
      <c r="M20">
        <f>ROUND(L20*(1-$B$10)+M19,1)</f>
        <v/>
      </c>
      <c r="N20">
        <f>ROUND(M20*(1-$B$10)+N19,1)</f>
        <v/>
      </c>
      <c r="O20">
        <f>ROUND(N20*(1-$B$10)+O19,1)</f>
        <v/>
      </c>
      <c r="P20">
        <f>ROUND(O20*(1-$B$10)+P19,1)</f>
        <v/>
      </c>
      <c r="Q20">
        <f>ROUND(P20*(1-$B$10)+Q19,1)</f>
        <v/>
      </c>
      <c r="R20">
        <f>ROUND(Q20*(1-$B$10)+R19,1)</f>
        <v/>
      </c>
      <c r="S20">
        <f>ROUND(R20*(1-$B$10)+S19,1)</f>
        <v/>
      </c>
    </row>
    <row r="21">
      <c r="A21" s="48" t="inlineStr">
        <is>
          <t>A MRR net of fee</t>
        </is>
      </c>
      <c r="B21">
        <f>ROUND(B20*$B$9*(1-$B$11),0)</f>
        <v/>
      </c>
      <c r="C21">
        <f>ROUND(C20*$B$9*(1-$B$11),0)</f>
        <v/>
      </c>
      <c r="D21">
        <f>ROUND(D20*$B$9*(1-$B$11),0)</f>
        <v/>
      </c>
      <c r="E21">
        <f>ROUND(E20*$B$9*(1-$B$11),0)</f>
        <v/>
      </c>
      <c r="F21">
        <f>ROUND(F20*$B$9*(1-$B$11),0)</f>
        <v/>
      </c>
      <c r="G21">
        <f>ROUND(G20*$B$9*(1-$B$11),0)</f>
        <v/>
      </c>
      <c r="H21">
        <f>ROUND(H20*$B$9*(1-$B$11),0)</f>
        <v/>
      </c>
      <c r="I21">
        <f>ROUND(I20*$B$9*(1-$B$11),0)</f>
        <v/>
      </c>
      <c r="J21">
        <f>ROUND(J20*$B$9*(1-$B$11),0)</f>
        <v/>
      </c>
      <c r="K21">
        <f>ROUND(K20*$B$9*(1-$B$11),0)</f>
        <v/>
      </c>
      <c r="L21">
        <f>ROUND(L20*$B$9*(1-$B$11),0)</f>
        <v/>
      </c>
      <c r="M21">
        <f>ROUND(M20*$B$9*(1-$B$11),0)</f>
        <v/>
      </c>
      <c r="N21">
        <f>ROUND(N20*$B$9*(1-$B$11),0)</f>
        <v/>
      </c>
      <c r="O21">
        <f>ROUND(O20*$B$9*(1-$B$11),0)</f>
        <v/>
      </c>
      <c r="P21">
        <f>ROUND(P20*$B$9*(1-$B$11),0)</f>
        <v/>
      </c>
      <c r="Q21">
        <f>ROUND(Q20*$B$9*(1-$B$11),0)</f>
        <v/>
      </c>
      <c r="R21">
        <f>ROUND(R20*$B$9*(1-$B$11),0)</f>
        <v/>
      </c>
      <c r="S21">
        <f>ROUND(S20*$B$9*(1-$B$11),0)</f>
        <v/>
      </c>
    </row>
    <row r="22">
      <c r="A22" s="48" t="inlineStr">
        <is>
          <t>A team cost</t>
        </is>
      </c>
      <c r="B22">
        <f>$B$12</f>
        <v/>
      </c>
      <c r="C22">
        <f>ROUND(B22*(1+$B$13),0)</f>
        <v/>
      </c>
      <c r="D22">
        <f>ROUND(C22*(1+$B$13),0)</f>
        <v/>
      </c>
      <c r="E22">
        <f>ROUND(D22*(1+$B$13),0)</f>
        <v/>
      </c>
      <c r="F22">
        <f>ROUND(E22*(1+$B$13),0)</f>
        <v/>
      </c>
      <c r="G22">
        <f>ROUND(F22*(1+$B$13),0)</f>
        <v/>
      </c>
      <c r="H22">
        <f>ROUND(G22*(1+$B$13),0)</f>
        <v/>
      </c>
      <c r="I22">
        <f>ROUND(H22*(1+$B$13),0)</f>
        <v/>
      </c>
      <c r="J22">
        <f>ROUND(I22*(1+$B$13),0)</f>
        <v/>
      </c>
      <c r="K22">
        <f>ROUND(J22*(1+$B$13),0)</f>
        <v/>
      </c>
      <c r="L22">
        <f>ROUND(K22*(1+$B$13),0)</f>
        <v/>
      </c>
      <c r="M22">
        <f>ROUND(L22*(1+$B$13),0)</f>
        <v/>
      </c>
      <c r="N22">
        <f>ROUND(M22*(1+$B$13),0)</f>
        <v/>
      </c>
      <c r="O22">
        <f>ROUND(N22*(1+$B$13),0)</f>
        <v/>
      </c>
      <c r="P22">
        <f>ROUND(O22*(1+$B$13),0)</f>
        <v/>
      </c>
      <c r="Q22">
        <f>ROUND(P22*(1+$B$13),0)</f>
        <v/>
      </c>
      <c r="R22">
        <f>ROUND(Q22*(1+$B$13),0)</f>
        <v/>
      </c>
      <c r="S22">
        <f>ROUND(R22*(1+$B$13),0)</f>
        <v/>
      </c>
    </row>
    <row r="23">
      <c r="A23" s="48" t="inlineStr">
        <is>
          <t>A other cash-in</t>
        </is>
      </c>
      <c r="B23">
        <f>$B$15</f>
        <v/>
      </c>
      <c r="C23">
        <f>$B$15</f>
        <v/>
      </c>
      <c r="D23">
        <f>$B$15</f>
        <v/>
      </c>
      <c r="E23">
        <f>$B$15</f>
        <v/>
      </c>
      <c r="F23">
        <f>$B$15</f>
        <v/>
      </c>
      <c r="G23">
        <f>$B$15</f>
        <v/>
      </c>
      <c r="H23">
        <f>$B$15</f>
        <v/>
      </c>
      <c r="I23">
        <f>$B$15</f>
        <v/>
      </c>
      <c r="J23">
        <f>$B$15</f>
        <v/>
      </c>
      <c r="K23">
        <f>$B$15</f>
        <v/>
      </c>
      <c r="L23">
        <f>$B$15</f>
        <v/>
      </c>
      <c r="M23">
        <f>$B$15</f>
        <v/>
      </c>
      <c r="N23">
        <f>$B$15</f>
        <v/>
      </c>
      <c r="O23">
        <f>$B$15</f>
        <v/>
      </c>
      <c r="P23">
        <f>$B$15</f>
        <v/>
      </c>
      <c r="Q23">
        <f>$B$15</f>
        <v/>
      </c>
      <c r="R23">
        <f>$B$15</f>
        <v/>
      </c>
      <c r="S23">
        <f>$B$15</f>
        <v/>
      </c>
    </row>
    <row r="24">
      <c r="A24" s="48" t="inlineStr">
        <is>
          <t>A net cash/mo</t>
        </is>
      </c>
      <c r="B24">
        <f>B21+B23-B22</f>
        <v/>
      </c>
      <c r="C24">
        <f>C21+C23-C22</f>
        <v/>
      </c>
      <c r="D24">
        <f>D21+D23-D22</f>
        <v/>
      </c>
      <c r="E24">
        <f>E21+E23-E22</f>
        <v/>
      </c>
      <c r="F24">
        <f>F21+F23-F22</f>
        <v/>
      </c>
      <c r="G24">
        <f>G21+G23-G22</f>
        <v/>
      </c>
      <c r="H24">
        <f>H21+H23-H22</f>
        <v/>
      </c>
      <c r="I24">
        <f>I21+I23-I22</f>
        <v/>
      </c>
      <c r="J24">
        <f>J21+J23-J22</f>
        <v/>
      </c>
      <c r="K24">
        <f>K21+K23-K22</f>
        <v/>
      </c>
      <c r="L24">
        <f>L21+L23-L22</f>
        <v/>
      </c>
      <c r="M24">
        <f>M21+M23-M22</f>
        <v/>
      </c>
      <c r="N24">
        <f>N21+N23-N22</f>
        <v/>
      </c>
      <c r="O24">
        <f>O21+O23-O22</f>
        <v/>
      </c>
      <c r="P24">
        <f>P21+P23-P22</f>
        <v/>
      </c>
      <c r="Q24">
        <f>Q21+Q23-Q22</f>
        <v/>
      </c>
      <c r="R24">
        <f>R21+R23-R22</f>
        <v/>
      </c>
      <c r="S24">
        <f>S21+S23-S22</f>
        <v/>
      </c>
    </row>
    <row r="25">
      <c r="A25" s="48" t="inlineStr">
        <is>
          <t>A cumulative net</t>
        </is>
      </c>
      <c r="B25">
        <f>B24</f>
        <v/>
      </c>
      <c r="C25">
        <f>B25+C24</f>
        <v/>
      </c>
      <c r="D25">
        <f>C25+D24</f>
        <v/>
      </c>
      <c r="E25">
        <f>D25+E24</f>
        <v/>
      </c>
      <c r="F25">
        <f>E25+F24</f>
        <v/>
      </c>
      <c r="G25">
        <f>F25+G24</f>
        <v/>
      </c>
      <c r="H25">
        <f>G25+H24</f>
        <v/>
      </c>
      <c r="I25">
        <f>H25+I24</f>
        <v/>
      </c>
      <c r="J25">
        <f>I25+J24</f>
        <v/>
      </c>
      <c r="K25">
        <f>J25+K24</f>
        <v/>
      </c>
      <c r="L25">
        <f>K25+L24</f>
        <v/>
      </c>
      <c r="M25">
        <f>L25+M24</f>
        <v/>
      </c>
      <c r="N25">
        <f>M25+N24</f>
        <v/>
      </c>
      <c r="O25">
        <f>N25+O24</f>
        <v/>
      </c>
      <c r="P25">
        <f>O25+P24</f>
        <v/>
      </c>
      <c r="Q25">
        <f>P25+Q24</f>
        <v/>
      </c>
      <c r="R25">
        <f>Q25+R24</f>
        <v/>
      </c>
      <c r="S25">
        <f>R25+S24</f>
        <v/>
      </c>
    </row>
    <row r="26">
      <c r="A26" s="48" t="inlineStr">
        <is>
          <t>A closing cash</t>
        </is>
      </c>
      <c r="B26">
        <f>$B$14+B25</f>
        <v/>
      </c>
      <c r="C26">
        <f>$B$14+C25</f>
        <v/>
      </c>
      <c r="D26">
        <f>$B$14+D25</f>
        <v/>
      </c>
      <c r="E26">
        <f>$B$14+E25</f>
        <v/>
      </c>
      <c r="F26">
        <f>$B$14+F25</f>
        <v/>
      </c>
      <c r="G26">
        <f>$B$14+G25</f>
        <v/>
      </c>
      <c r="H26">
        <f>$B$14+H25</f>
        <v/>
      </c>
      <c r="I26">
        <f>$B$14+I25</f>
        <v/>
      </c>
      <c r="J26">
        <f>$B$14+J25</f>
        <v/>
      </c>
      <c r="K26">
        <f>$B$14+K25</f>
        <v/>
      </c>
      <c r="L26">
        <f>$B$14+L25</f>
        <v/>
      </c>
      <c r="M26">
        <f>$B$14+M25</f>
        <v/>
      </c>
      <c r="N26">
        <f>$B$14+N25</f>
        <v/>
      </c>
      <c r="O26">
        <f>$B$14+O25</f>
        <v/>
      </c>
      <c r="P26">
        <f>$B$14+P25</f>
        <v/>
      </c>
      <c r="Q26">
        <f>$B$14+Q25</f>
        <v/>
      </c>
      <c r="R26">
        <f>$B$14+R25</f>
        <v/>
      </c>
      <c r="S26">
        <f>$B$14+S25</f>
        <v/>
      </c>
    </row>
    <row r="27">
      <c r="A27" s="48" t="inlineStr">
        <is>
          <t>A breakeven flag (net&gt;=0)</t>
        </is>
      </c>
      <c r="B27">
        <f>IF(B24&gt;=0,1,0)</f>
        <v/>
      </c>
      <c r="C27">
        <f>IF(C24&gt;=0,1,0)</f>
        <v/>
      </c>
      <c r="D27">
        <f>IF(D24&gt;=0,1,0)</f>
        <v/>
      </c>
      <c r="E27">
        <f>IF(E24&gt;=0,1,0)</f>
        <v/>
      </c>
      <c r="F27">
        <f>IF(F24&gt;=0,1,0)</f>
        <v/>
      </c>
      <c r="G27">
        <f>IF(G24&gt;=0,1,0)</f>
        <v/>
      </c>
      <c r="H27">
        <f>IF(H24&gt;=0,1,0)</f>
        <v/>
      </c>
      <c r="I27">
        <f>IF(I24&gt;=0,1,0)</f>
        <v/>
      </c>
      <c r="J27">
        <f>IF(J24&gt;=0,1,0)</f>
        <v/>
      </c>
      <c r="K27">
        <f>IF(K24&gt;=0,1,0)</f>
        <v/>
      </c>
      <c r="L27">
        <f>IF(L24&gt;=0,1,0)</f>
        <v/>
      </c>
      <c r="M27">
        <f>IF(M24&gt;=0,1,0)</f>
        <v/>
      </c>
      <c r="N27">
        <f>IF(N24&gt;=0,1,0)</f>
        <v/>
      </c>
      <c r="O27">
        <f>IF(O24&gt;=0,1,0)</f>
        <v/>
      </c>
      <c r="P27">
        <f>IF(P24&gt;=0,1,0)</f>
        <v/>
      </c>
      <c r="Q27">
        <f>IF(Q24&gt;=0,1,0)</f>
        <v/>
      </c>
      <c r="R27">
        <f>IF(R24&gt;=0,1,0)</f>
        <v/>
      </c>
      <c r="S27">
        <f>IF(S24&gt;=0,1,0)</f>
        <v/>
      </c>
    </row>
    <row r="28">
      <c r="A28" s="48" t="inlineStr">
        <is>
          <t>A cash-out flag (closing&lt;0)</t>
        </is>
      </c>
      <c r="B28">
        <f>IF(B26&lt;0,1,0)</f>
        <v/>
      </c>
      <c r="C28">
        <f>IF(C26&lt;0,1,0)</f>
        <v/>
      </c>
      <c r="D28">
        <f>IF(D26&lt;0,1,0)</f>
        <v/>
      </c>
      <c r="E28">
        <f>IF(E26&lt;0,1,0)</f>
        <v/>
      </c>
      <c r="F28">
        <f>IF(F26&lt;0,1,0)</f>
        <v/>
      </c>
      <c r="G28">
        <f>IF(G26&lt;0,1,0)</f>
        <v/>
      </c>
      <c r="H28">
        <f>IF(H26&lt;0,1,0)</f>
        <v/>
      </c>
      <c r="I28">
        <f>IF(I26&lt;0,1,0)</f>
        <v/>
      </c>
      <c r="J28">
        <f>IF(J26&lt;0,1,0)</f>
        <v/>
      </c>
      <c r="K28">
        <f>IF(K26&lt;0,1,0)</f>
        <v/>
      </c>
      <c r="L28">
        <f>IF(L26&lt;0,1,0)</f>
        <v/>
      </c>
      <c r="M28">
        <f>IF(M26&lt;0,1,0)</f>
        <v/>
      </c>
      <c r="N28">
        <f>IF(N26&lt;0,1,0)</f>
        <v/>
      </c>
      <c r="O28">
        <f>IF(O26&lt;0,1,0)</f>
        <v/>
      </c>
      <c r="P28">
        <f>IF(P26&lt;0,1,0)</f>
        <v/>
      </c>
      <c r="Q28">
        <f>IF(Q26&lt;0,1,0)</f>
        <v/>
      </c>
      <c r="R28">
        <f>IF(R26&lt;0,1,0)</f>
        <v/>
      </c>
      <c r="S28">
        <f>IF(S26&lt;0,1,0)</f>
        <v/>
      </c>
    </row>
    <row r="30">
      <c r="A30" s="44" t="inlineStr">
        <is>
          <t>SCENARIO B — per-site pricing (what review finding D-02 asked for)</t>
        </is>
      </c>
    </row>
    <row r="31">
      <c r="A31" s="45" t="inlineStr">
        <is>
          <t>Assumption</t>
        </is>
      </c>
      <c r="B31" s="45" t="inlineStr">
        <is>
          <t>Value</t>
        </is>
      </c>
      <c r="C31" s="45" t="inlineStr">
        <is>
          <t>Note</t>
        </is>
      </c>
    </row>
    <row r="32">
      <c r="A32" t="inlineStr">
        <is>
          <t>Price per site $/mo</t>
        </is>
      </c>
      <c r="B32" s="46" t="n">
        <v>750</v>
      </c>
      <c r="C32" s="28" t="inlineStr">
        <is>
          <t>A site = one depot, ward, store or plant: the unit an ops director actually buys, and the unit an auditor asks about. Planning number, to be tested in the SD244 interviews (SD245/SD246).</t>
        </is>
      </c>
    </row>
    <row r="33">
      <c r="A33" t="inlineStr">
        <is>
          <t>Sites per paying customer</t>
        </is>
      </c>
      <c r="B33" s="46" t="n">
        <v>2</v>
      </c>
      <c r="C33" s="28" t="inlineStr">
        <is>
          <t>Planning number. A single-site pilot that expands is the motion the 6-pilots/month assumption describes.</t>
        </is>
      </c>
    </row>
    <row r="34">
      <c r="A34" t="inlineStr">
        <is>
          <t>Implied ARPU $/mo (B)</t>
        </is>
      </c>
      <c r="B34">
        <f>$B$32*$B$33</f>
        <v/>
      </c>
    </row>
    <row r="36">
      <c r="A36" s="45" t="inlineStr">
        <is>
          <t>Line</t>
        </is>
      </c>
      <c r="B36" s="45" t="inlineStr">
        <is>
          <t>M1</t>
        </is>
      </c>
      <c r="C36" s="45" t="inlineStr">
        <is>
          <t>M2</t>
        </is>
      </c>
      <c r="D36" s="45" t="inlineStr">
        <is>
          <t>M3</t>
        </is>
      </c>
      <c r="E36" s="45" t="inlineStr">
        <is>
          <t>M4</t>
        </is>
      </c>
      <c r="F36" s="45" t="inlineStr">
        <is>
          <t>M5</t>
        </is>
      </c>
      <c r="G36" s="45" t="inlineStr">
        <is>
          <t>M6</t>
        </is>
      </c>
      <c r="H36" s="45" t="inlineStr">
        <is>
          <t>M7</t>
        </is>
      </c>
      <c r="I36" s="45" t="inlineStr">
        <is>
          <t>M8</t>
        </is>
      </c>
      <c r="J36" s="45" t="inlineStr">
        <is>
          <t>M9</t>
        </is>
      </c>
      <c r="K36" s="45" t="inlineStr">
        <is>
          <t>M10</t>
        </is>
      </c>
      <c r="L36" s="45" t="inlineStr">
        <is>
          <t>M11</t>
        </is>
      </c>
      <c r="M36" s="45" t="inlineStr">
        <is>
          <t>M12</t>
        </is>
      </c>
      <c r="N36" s="45" t="inlineStr">
        <is>
          <t>M13</t>
        </is>
      </c>
      <c r="O36" s="45" t="inlineStr">
        <is>
          <t>M14</t>
        </is>
      </c>
      <c r="P36" s="45" t="inlineStr">
        <is>
          <t>M15</t>
        </is>
      </c>
      <c r="Q36" s="45" t="inlineStr">
        <is>
          <t>M16</t>
        </is>
      </c>
      <c r="R36" s="45" t="inlineStr">
        <is>
          <t>M17</t>
        </is>
      </c>
      <c r="S36" s="45" t="inlineStr">
        <is>
          <t>M18</t>
        </is>
      </c>
    </row>
    <row r="37">
      <c r="A37" s="48" t="inlineStr">
        <is>
          <t>B leads/installs</t>
        </is>
      </c>
      <c r="B37">
        <f>$B$6</f>
        <v/>
      </c>
      <c r="C37">
        <f>B37*(1+$B$7)</f>
        <v/>
      </c>
      <c r="D37">
        <f>C37*(1+$B$7)</f>
        <v/>
      </c>
      <c r="E37">
        <f>D37*(1+$B$7)</f>
        <v/>
      </c>
      <c r="F37">
        <f>E37*(1+$B$7)</f>
        <v/>
      </c>
      <c r="G37">
        <f>F37*(1+$B$7)</f>
        <v/>
      </c>
      <c r="H37">
        <f>G37*(1+$B$7)</f>
        <v/>
      </c>
      <c r="I37">
        <f>H37*(1+$B$7)</f>
        <v/>
      </c>
      <c r="J37">
        <f>I37*(1+$B$7)</f>
        <v/>
      </c>
      <c r="K37">
        <f>J37*(1+$B$7)</f>
        <v/>
      </c>
      <c r="L37">
        <f>K37*(1+$B$7)</f>
        <v/>
      </c>
      <c r="M37">
        <f>L37*(1+$B$7)</f>
        <v/>
      </c>
      <c r="N37">
        <f>M37*(1+$B$7)</f>
        <v/>
      </c>
      <c r="O37">
        <f>N37*(1+$B$7)</f>
        <v/>
      </c>
      <c r="P37">
        <f>O37*(1+$B$7)</f>
        <v/>
      </c>
      <c r="Q37">
        <f>P37*(1+$B$7)</f>
        <v/>
      </c>
      <c r="R37">
        <f>Q37*(1+$B$7)</f>
        <v/>
      </c>
      <c r="S37">
        <f>R37*(1+$B$7)</f>
        <v/>
      </c>
    </row>
    <row r="38">
      <c r="A38" s="48" t="inlineStr">
        <is>
          <t>B new paying</t>
        </is>
      </c>
      <c r="B38">
        <f>ROUND(B37*$B$8,1)</f>
        <v/>
      </c>
      <c r="C38">
        <f>ROUND(C37*$B$8,1)</f>
        <v/>
      </c>
      <c r="D38">
        <f>ROUND(D37*$B$8,1)</f>
        <v/>
      </c>
      <c r="E38">
        <f>ROUND(E37*$B$8,1)</f>
        <v/>
      </c>
      <c r="F38">
        <f>ROUND(F37*$B$8,1)</f>
        <v/>
      </c>
      <c r="G38">
        <f>ROUND(G37*$B$8,1)</f>
        <v/>
      </c>
      <c r="H38">
        <f>ROUND(H37*$B$8,1)</f>
        <v/>
      </c>
      <c r="I38">
        <f>ROUND(I37*$B$8,1)</f>
        <v/>
      </c>
      <c r="J38">
        <f>ROUND(J37*$B$8,1)</f>
        <v/>
      </c>
      <c r="K38">
        <f>ROUND(K37*$B$8,1)</f>
        <v/>
      </c>
      <c r="L38">
        <f>ROUND(L37*$B$8,1)</f>
        <v/>
      </c>
      <c r="M38">
        <f>ROUND(M37*$B$8,1)</f>
        <v/>
      </c>
      <c r="N38">
        <f>ROUND(N37*$B$8,1)</f>
        <v/>
      </c>
      <c r="O38">
        <f>ROUND(O37*$B$8,1)</f>
        <v/>
      </c>
      <c r="P38">
        <f>ROUND(P37*$B$8,1)</f>
        <v/>
      </c>
      <c r="Q38">
        <f>ROUND(Q37*$B$8,1)</f>
        <v/>
      </c>
      <c r="R38">
        <f>ROUND(R37*$B$8,1)</f>
        <v/>
      </c>
      <c r="S38">
        <f>ROUND(S37*$B$8,1)</f>
        <v/>
      </c>
    </row>
    <row r="39">
      <c r="A39" s="48" t="inlineStr">
        <is>
          <t>B paying accounts</t>
        </is>
      </c>
      <c r="B39">
        <f>B38</f>
        <v/>
      </c>
      <c r="C39">
        <f>ROUND(B39*(1-$B$10)+C38,1)</f>
        <v/>
      </c>
      <c r="D39">
        <f>ROUND(C39*(1-$B$10)+D38,1)</f>
        <v/>
      </c>
      <c r="E39">
        <f>ROUND(D39*(1-$B$10)+E38,1)</f>
        <v/>
      </c>
      <c r="F39">
        <f>ROUND(E39*(1-$B$10)+F38,1)</f>
        <v/>
      </c>
      <c r="G39">
        <f>ROUND(F39*(1-$B$10)+G38,1)</f>
        <v/>
      </c>
      <c r="H39">
        <f>ROUND(G39*(1-$B$10)+H38,1)</f>
        <v/>
      </c>
      <c r="I39">
        <f>ROUND(H39*(1-$B$10)+I38,1)</f>
        <v/>
      </c>
      <c r="J39">
        <f>ROUND(I39*(1-$B$10)+J38,1)</f>
        <v/>
      </c>
      <c r="K39">
        <f>ROUND(J39*(1-$B$10)+K38,1)</f>
        <v/>
      </c>
      <c r="L39">
        <f>ROUND(K39*(1-$B$10)+L38,1)</f>
        <v/>
      </c>
      <c r="M39">
        <f>ROUND(L39*(1-$B$10)+M38,1)</f>
        <v/>
      </c>
      <c r="N39">
        <f>ROUND(M39*(1-$B$10)+N38,1)</f>
        <v/>
      </c>
      <c r="O39">
        <f>ROUND(N39*(1-$B$10)+O38,1)</f>
        <v/>
      </c>
      <c r="P39">
        <f>ROUND(O39*(1-$B$10)+P38,1)</f>
        <v/>
      </c>
      <c r="Q39">
        <f>ROUND(P39*(1-$B$10)+Q38,1)</f>
        <v/>
      </c>
      <c r="R39">
        <f>ROUND(Q39*(1-$B$10)+R38,1)</f>
        <v/>
      </c>
      <c r="S39">
        <f>ROUND(R39*(1-$B$10)+S38,1)</f>
        <v/>
      </c>
    </row>
    <row r="40">
      <c r="A40" s="48" t="inlineStr">
        <is>
          <t>B MRR net of fee</t>
        </is>
      </c>
      <c r="B40">
        <f>ROUND(B39*$B$34*(1-$B$11),0)</f>
        <v/>
      </c>
      <c r="C40">
        <f>ROUND(C39*$B$34*(1-$B$11),0)</f>
        <v/>
      </c>
      <c r="D40">
        <f>ROUND(D39*$B$34*(1-$B$11),0)</f>
        <v/>
      </c>
      <c r="E40">
        <f>ROUND(E39*$B$34*(1-$B$11),0)</f>
        <v/>
      </c>
      <c r="F40">
        <f>ROUND(F39*$B$34*(1-$B$11),0)</f>
        <v/>
      </c>
      <c r="G40">
        <f>ROUND(G39*$B$34*(1-$B$11),0)</f>
        <v/>
      </c>
      <c r="H40">
        <f>ROUND(H39*$B$34*(1-$B$11),0)</f>
        <v/>
      </c>
      <c r="I40">
        <f>ROUND(I39*$B$34*(1-$B$11),0)</f>
        <v/>
      </c>
      <c r="J40">
        <f>ROUND(J39*$B$34*(1-$B$11),0)</f>
        <v/>
      </c>
      <c r="K40">
        <f>ROUND(K39*$B$34*(1-$B$11),0)</f>
        <v/>
      </c>
      <c r="L40">
        <f>ROUND(L39*$B$34*(1-$B$11),0)</f>
        <v/>
      </c>
      <c r="M40">
        <f>ROUND(M39*$B$34*(1-$B$11),0)</f>
        <v/>
      </c>
      <c r="N40">
        <f>ROUND(N39*$B$34*(1-$B$11),0)</f>
        <v/>
      </c>
      <c r="O40">
        <f>ROUND(O39*$B$34*(1-$B$11),0)</f>
        <v/>
      </c>
      <c r="P40">
        <f>ROUND(P39*$B$34*(1-$B$11),0)</f>
        <v/>
      </c>
      <c r="Q40">
        <f>ROUND(Q39*$B$34*(1-$B$11),0)</f>
        <v/>
      </c>
      <c r="R40">
        <f>ROUND(R39*$B$34*(1-$B$11),0)</f>
        <v/>
      </c>
      <c r="S40">
        <f>ROUND(S39*$B$34*(1-$B$11),0)</f>
        <v/>
      </c>
    </row>
    <row r="41">
      <c r="A41" s="48" t="inlineStr">
        <is>
          <t>B team cost</t>
        </is>
      </c>
      <c r="B41">
        <f>$B$12</f>
        <v/>
      </c>
      <c r="C41">
        <f>ROUND(B41*(1+$B$13),0)</f>
        <v/>
      </c>
      <c r="D41">
        <f>ROUND(C41*(1+$B$13),0)</f>
        <v/>
      </c>
      <c r="E41">
        <f>ROUND(D41*(1+$B$13),0)</f>
        <v/>
      </c>
      <c r="F41">
        <f>ROUND(E41*(1+$B$13),0)</f>
        <v/>
      </c>
      <c r="G41">
        <f>ROUND(F41*(1+$B$13),0)</f>
        <v/>
      </c>
      <c r="H41">
        <f>ROUND(G41*(1+$B$13),0)</f>
        <v/>
      </c>
      <c r="I41">
        <f>ROUND(H41*(1+$B$13),0)</f>
        <v/>
      </c>
      <c r="J41">
        <f>ROUND(I41*(1+$B$13),0)</f>
        <v/>
      </c>
      <c r="K41">
        <f>ROUND(J41*(1+$B$13),0)</f>
        <v/>
      </c>
      <c r="L41">
        <f>ROUND(K41*(1+$B$13),0)</f>
        <v/>
      </c>
      <c r="M41">
        <f>ROUND(L41*(1+$B$13),0)</f>
        <v/>
      </c>
      <c r="N41">
        <f>ROUND(M41*(1+$B$13),0)</f>
        <v/>
      </c>
      <c r="O41">
        <f>ROUND(N41*(1+$B$13),0)</f>
        <v/>
      </c>
      <c r="P41">
        <f>ROUND(O41*(1+$B$13),0)</f>
        <v/>
      </c>
      <c r="Q41">
        <f>ROUND(P41*(1+$B$13),0)</f>
        <v/>
      </c>
      <c r="R41">
        <f>ROUND(Q41*(1+$B$13),0)</f>
        <v/>
      </c>
      <c r="S41">
        <f>ROUND(R41*(1+$B$13),0)</f>
        <v/>
      </c>
    </row>
    <row r="42">
      <c r="A42" s="48" t="inlineStr">
        <is>
          <t>B other cash-in</t>
        </is>
      </c>
      <c r="B42">
        <f>$B$15</f>
        <v/>
      </c>
      <c r="C42">
        <f>$B$15</f>
        <v/>
      </c>
      <c r="D42">
        <f>$B$15</f>
        <v/>
      </c>
      <c r="E42">
        <f>$B$15</f>
        <v/>
      </c>
      <c r="F42">
        <f>$B$15</f>
        <v/>
      </c>
      <c r="G42">
        <f>$B$15</f>
        <v/>
      </c>
      <c r="H42">
        <f>$B$15</f>
        <v/>
      </c>
      <c r="I42">
        <f>$B$15</f>
        <v/>
      </c>
      <c r="J42">
        <f>$B$15</f>
        <v/>
      </c>
      <c r="K42">
        <f>$B$15</f>
        <v/>
      </c>
      <c r="L42">
        <f>$B$15</f>
        <v/>
      </c>
      <c r="M42">
        <f>$B$15</f>
        <v/>
      </c>
      <c r="N42">
        <f>$B$15</f>
        <v/>
      </c>
      <c r="O42">
        <f>$B$15</f>
        <v/>
      </c>
      <c r="P42">
        <f>$B$15</f>
        <v/>
      </c>
      <c r="Q42">
        <f>$B$15</f>
        <v/>
      </c>
      <c r="R42">
        <f>$B$15</f>
        <v/>
      </c>
      <c r="S42">
        <f>$B$15</f>
        <v/>
      </c>
    </row>
    <row r="43">
      <c r="A43" s="48" t="inlineStr">
        <is>
          <t>B net cash/mo</t>
        </is>
      </c>
      <c r="B43">
        <f>B40+B42-B41</f>
        <v/>
      </c>
      <c r="C43">
        <f>C40+C42-C41</f>
        <v/>
      </c>
      <c r="D43">
        <f>D40+D42-D41</f>
        <v/>
      </c>
      <c r="E43">
        <f>E40+E42-E41</f>
        <v/>
      </c>
      <c r="F43">
        <f>F40+F42-F41</f>
        <v/>
      </c>
      <c r="G43">
        <f>G40+G42-G41</f>
        <v/>
      </c>
      <c r="H43">
        <f>H40+H42-H41</f>
        <v/>
      </c>
      <c r="I43">
        <f>I40+I42-I41</f>
        <v/>
      </c>
      <c r="J43">
        <f>J40+J42-J41</f>
        <v/>
      </c>
      <c r="K43">
        <f>K40+K42-K41</f>
        <v/>
      </c>
      <c r="L43">
        <f>L40+L42-L41</f>
        <v/>
      </c>
      <c r="M43">
        <f>M40+M42-M41</f>
        <v/>
      </c>
      <c r="N43">
        <f>N40+N42-N41</f>
        <v/>
      </c>
      <c r="O43">
        <f>O40+O42-O41</f>
        <v/>
      </c>
      <c r="P43">
        <f>P40+P42-P41</f>
        <v/>
      </c>
      <c r="Q43">
        <f>Q40+Q42-Q41</f>
        <v/>
      </c>
      <c r="R43">
        <f>R40+R42-R41</f>
        <v/>
      </c>
      <c r="S43">
        <f>S40+S42-S41</f>
        <v/>
      </c>
    </row>
    <row r="44">
      <c r="A44" s="48" t="inlineStr">
        <is>
          <t>B cumulative net</t>
        </is>
      </c>
      <c r="B44">
        <f>B43</f>
        <v/>
      </c>
      <c r="C44">
        <f>B44+C43</f>
        <v/>
      </c>
      <c r="D44">
        <f>C44+D43</f>
        <v/>
      </c>
      <c r="E44">
        <f>D44+E43</f>
        <v/>
      </c>
      <c r="F44">
        <f>E44+F43</f>
        <v/>
      </c>
      <c r="G44">
        <f>F44+G43</f>
        <v/>
      </c>
      <c r="H44">
        <f>G44+H43</f>
        <v/>
      </c>
      <c r="I44">
        <f>H44+I43</f>
        <v/>
      </c>
      <c r="J44">
        <f>I44+J43</f>
        <v/>
      </c>
      <c r="K44">
        <f>J44+K43</f>
        <v/>
      </c>
      <c r="L44">
        <f>K44+L43</f>
        <v/>
      </c>
      <c r="M44">
        <f>L44+M43</f>
        <v/>
      </c>
      <c r="N44">
        <f>M44+N43</f>
        <v/>
      </c>
      <c r="O44">
        <f>N44+O43</f>
        <v/>
      </c>
      <c r="P44">
        <f>O44+P43</f>
        <v/>
      </c>
      <c r="Q44">
        <f>P44+Q43</f>
        <v/>
      </c>
      <c r="R44">
        <f>Q44+R43</f>
        <v/>
      </c>
      <c r="S44">
        <f>R44+S43</f>
        <v/>
      </c>
    </row>
    <row r="45">
      <c r="A45" s="48" t="inlineStr">
        <is>
          <t>B closing cash</t>
        </is>
      </c>
      <c r="B45">
        <f>$B$14+B44</f>
        <v/>
      </c>
      <c r="C45">
        <f>$B$14+C44</f>
        <v/>
      </c>
      <c r="D45">
        <f>$B$14+D44</f>
        <v/>
      </c>
      <c r="E45">
        <f>$B$14+E44</f>
        <v/>
      </c>
      <c r="F45">
        <f>$B$14+F44</f>
        <v/>
      </c>
      <c r="G45">
        <f>$B$14+G44</f>
        <v/>
      </c>
      <c r="H45">
        <f>$B$14+H44</f>
        <v/>
      </c>
      <c r="I45">
        <f>$B$14+I44</f>
        <v/>
      </c>
      <c r="J45">
        <f>$B$14+J44</f>
        <v/>
      </c>
      <c r="K45">
        <f>$B$14+K44</f>
        <v/>
      </c>
      <c r="L45">
        <f>$B$14+L44</f>
        <v/>
      </c>
      <c r="M45">
        <f>$B$14+M44</f>
        <v/>
      </c>
      <c r="N45">
        <f>$B$14+N44</f>
        <v/>
      </c>
      <c r="O45">
        <f>$B$14+O44</f>
        <v/>
      </c>
      <c r="P45">
        <f>$B$14+P44</f>
        <v/>
      </c>
      <c r="Q45">
        <f>$B$14+Q44</f>
        <v/>
      </c>
      <c r="R45">
        <f>$B$14+R44</f>
        <v/>
      </c>
      <c r="S45">
        <f>$B$14+S44</f>
        <v/>
      </c>
    </row>
    <row r="46">
      <c r="A46" s="48" t="inlineStr">
        <is>
          <t>B breakeven flag (net&gt;=0)</t>
        </is>
      </c>
      <c r="B46">
        <f>IF(B43&gt;=0,1,0)</f>
        <v/>
      </c>
      <c r="C46">
        <f>IF(C43&gt;=0,1,0)</f>
        <v/>
      </c>
      <c r="D46">
        <f>IF(D43&gt;=0,1,0)</f>
        <v/>
      </c>
      <c r="E46">
        <f>IF(E43&gt;=0,1,0)</f>
        <v/>
      </c>
      <c r="F46">
        <f>IF(F43&gt;=0,1,0)</f>
        <v/>
      </c>
      <c r="G46">
        <f>IF(G43&gt;=0,1,0)</f>
        <v/>
      </c>
      <c r="H46">
        <f>IF(H43&gt;=0,1,0)</f>
        <v/>
      </c>
      <c r="I46">
        <f>IF(I43&gt;=0,1,0)</f>
        <v/>
      </c>
      <c r="J46">
        <f>IF(J43&gt;=0,1,0)</f>
        <v/>
      </c>
      <c r="K46">
        <f>IF(K43&gt;=0,1,0)</f>
        <v/>
      </c>
      <c r="L46">
        <f>IF(L43&gt;=0,1,0)</f>
        <v/>
      </c>
      <c r="M46">
        <f>IF(M43&gt;=0,1,0)</f>
        <v/>
      </c>
      <c r="N46">
        <f>IF(N43&gt;=0,1,0)</f>
        <v/>
      </c>
      <c r="O46">
        <f>IF(O43&gt;=0,1,0)</f>
        <v/>
      </c>
      <c r="P46">
        <f>IF(P43&gt;=0,1,0)</f>
        <v/>
      </c>
      <c r="Q46">
        <f>IF(Q43&gt;=0,1,0)</f>
        <v/>
      </c>
      <c r="R46">
        <f>IF(R43&gt;=0,1,0)</f>
        <v/>
      </c>
      <c r="S46">
        <f>IF(S43&gt;=0,1,0)</f>
        <v/>
      </c>
    </row>
    <row r="47">
      <c r="A47" s="48" t="inlineStr">
        <is>
          <t>B cash-out flag (closing&lt;0)</t>
        </is>
      </c>
      <c r="B47">
        <f>IF(B45&lt;0,1,0)</f>
        <v/>
      </c>
      <c r="C47">
        <f>IF(C45&lt;0,1,0)</f>
        <v/>
      </c>
      <c r="D47">
        <f>IF(D45&lt;0,1,0)</f>
        <v/>
      </c>
      <c r="E47">
        <f>IF(E45&lt;0,1,0)</f>
        <v/>
      </c>
      <c r="F47">
        <f>IF(F45&lt;0,1,0)</f>
        <v/>
      </c>
      <c r="G47">
        <f>IF(G45&lt;0,1,0)</f>
        <v/>
      </c>
      <c r="H47">
        <f>IF(H45&lt;0,1,0)</f>
        <v/>
      </c>
      <c r="I47">
        <f>IF(I45&lt;0,1,0)</f>
        <v/>
      </c>
      <c r="J47">
        <f>IF(J45&lt;0,1,0)</f>
        <v/>
      </c>
      <c r="K47">
        <f>IF(K45&lt;0,1,0)</f>
        <v/>
      </c>
      <c r="L47">
        <f>IF(L45&lt;0,1,0)</f>
        <v/>
      </c>
      <c r="M47">
        <f>IF(M45&lt;0,1,0)</f>
        <v/>
      </c>
      <c r="N47">
        <f>IF(N45&lt;0,1,0)</f>
        <v/>
      </c>
      <c r="O47">
        <f>IF(O45&lt;0,1,0)</f>
        <v/>
      </c>
      <c r="P47">
        <f>IF(P45&lt;0,1,0)</f>
        <v/>
      </c>
      <c r="Q47">
        <f>IF(Q45&lt;0,1,0)</f>
        <v/>
      </c>
      <c r="R47">
        <f>IF(R45&lt;0,1,0)</f>
        <v/>
      </c>
      <c r="S47">
        <f>IF(S45&lt;0,1,0)</f>
        <v/>
      </c>
    </row>
    <row r="49">
      <c r="A49" s="44" t="inlineStr">
        <is>
          <t>VERDICT BLOCK — computed, not asserted</t>
        </is>
      </c>
    </row>
    <row r="50">
      <c r="A50" s="45" t="inlineStr">
        <is>
          <t>Measure</t>
        </is>
      </c>
      <c r="B50" s="45" t="inlineStr">
        <is>
          <t>Scenario A (per-seat)</t>
        </is>
      </c>
      <c r="C50" s="45" t="inlineStr">
        <is>
          <t>Scenario B (per-site)</t>
        </is>
      </c>
      <c r="D50" s="45" t="inlineStr">
        <is>
          <t>Reading</t>
        </is>
      </c>
    </row>
    <row r="51">
      <c r="A51" t="inlineStr">
        <is>
          <t>M18 net cash/mo</t>
        </is>
      </c>
      <c r="B51">
        <f>S24</f>
        <v/>
      </c>
      <c r="C51">
        <f>S43</f>
        <v/>
      </c>
      <c r="D51" s="28" t="inlineStr">
        <is>
          <t>Reviewer: -$23,822/mo. This sheet: -$23,821. Reproduced on the original assumptions, so the disagreement (if any) is about the assumptions, not the arithmetic.</t>
        </is>
      </c>
    </row>
    <row r="52">
      <c r="A52" t="inlineStr">
        <is>
          <t>Cumulative net at M18</t>
        </is>
      </c>
      <c r="B52">
        <f>S25</f>
        <v/>
      </c>
      <c r="C52">
        <f>S44</f>
        <v/>
      </c>
      <c r="D52" s="28" t="inlineStr">
        <is>
          <t>The reviewer put Scenario A at -$574,601; this sheet computes -$574,596 on the same inputs, a $5 rounding difference. The finding is reproduced, not disputed.</t>
        </is>
      </c>
    </row>
    <row r="53">
      <c r="A53" t="inlineStr">
        <is>
          <t>Breakeven month (first net &gt;= 0)</t>
        </is>
      </c>
      <c r="B53">
        <f>IFERROR("M"&amp;MATCH(1,B27:S27,0),"none within 18 months")</f>
        <v/>
      </c>
      <c r="C53">
        <f>IFERROR("M"&amp;MATCH(1,B46:S46,0),"none within 18 months")</f>
        <v/>
      </c>
      <c r="D53" s="28" t="inlineStr">
        <is>
          <t>Review finding D-01 was that no breakeven month existed anywhere in the sheet. It now either has a month or says so.</t>
        </is>
      </c>
    </row>
    <row r="54">
      <c r="A54" t="inlineStr">
        <is>
          <t>Funding requirement ($, worst cumulative)</t>
        </is>
      </c>
      <c r="B54">
        <f>IF(MIN(B25:S25)&lt;0,-MIN(B25:S25),0)</f>
        <v/>
      </c>
      <c r="C54">
        <f>IF(MIN(B44:S44)&lt;0,-MIN(B44:S44),0)</f>
        <v/>
      </c>
      <c r="D54" s="28" t="inlineStr">
        <is>
          <t>With opening cash at zero this is the cash this plan needs before it is self-funding. Stating it is the requirement P-018 asked for.</t>
        </is>
      </c>
    </row>
    <row r="55">
      <c r="A55" t="inlineStr">
        <is>
          <t>Runway (months before closing cash &lt; 0)</t>
        </is>
      </c>
      <c r="B55">
        <f>IFERROR(MATCH(1,B28:S28,0)-1,18)</f>
        <v/>
      </c>
      <c r="C55">
        <f>IFERROR(MATCH(1,B47:S47,0)-1,18)</f>
        <v/>
      </c>
      <c r="D55" s="28" t="inlineStr">
        <is>
          <t>Zero means the plan is under water from month one on the opening cash entered above. Set opening cash and other cash-in to see a real runway.</t>
        </is>
      </c>
    </row>
    <row r="56">
      <c r="A56" t="inlineStr">
        <is>
          <t>Paying accounts at M18</t>
        </is>
      </c>
      <c r="B56">
        <f>S20</f>
        <v/>
      </c>
      <c r="C56">
        <f>S39</f>
        <v/>
      </c>
      <c r="D56" s="28" t="inlineStr">
        <is>
          <t>Compare with G-02 (10 paying installs from strangers) and SD247 (5 signed pilots): the gate is a count of customers, not a revenue line.</t>
        </is>
      </c>
    </row>
    <row r="57">
      <c r="A57" t="inlineStr">
        <is>
          <t>MRR at M18 (net of fee)</t>
        </is>
      </c>
      <c r="B57">
        <f>S21</f>
        <v/>
      </c>
      <c r="C57">
        <f>S40</f>
        <v/>
      </c>
      <c r="D57" s="28" t="inlineStr">
        <is>
          <t>Net of the 3% marketplace fee. Verify the fee at offer setup.</t>
        </is>
      </c>
    </row>
    <row r="59">
      <c r="A59" s="28" t="inlineStr">
        <is>
          <t>Honest reading (D-01/D-02/P-018): on the v045 per-seat assumptions this product does not break even inside 18 months, and the sheet now says so in a cell rather than leaving it to a reader to notice. Per-site pricing changes the arithmetic but not the evidence: both scenarios rest on a pilot-&gt;paid rate and an ARPU that no customer has yet paid. The number to act on is the funding requirement, and the thing that would replace these inputs with facts is SD244 (15 interviews) followed by SD247 (5 signed pilots).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style="22" min="1" max="1"/>
    <col width="12" customWidth="1" style="22" min="2" max="2"/>
    <col width="12" customWidth="1" style="22" min="3" max="3"/>
    <col width="12" customWidth="1" style="22" min="4" max="4"/>
    <col width="12" customWidth="1" style="22" min="5" max="5"/>
    <col width="62" customWidth="1" style="22" min="6" max="6"/>
    <col width="62" customWidth="1" style="22" min="7" max="7"/>
  </cols>
  <sheetData>
    <row r="1">
      <c r="A1" s="42" t="inlineStr">
        <is>
          <t>METRIC TARGETS — restated per review finding D-03: absolute values with a named measurement source, not multiples of an unknown baseline</t>
        </is>
      </c>
      <c r="B1" s="43" t="n"/>
      <c r="C1" s="43" t="n"/>
      <c r="D1" s="43" t="n"/>
      <c r="E1" s="43" t="n"/>
      <c r="F1" s="43" t="n"/>
      <c r="G1" s="43" t="n"/>
    </row>
    <row r="2">
      <c r="A2" s="28" t="inlineStr">
        <is>
          <t>D-03 said these targets were unfalsifiable: "3x M1" cannot be missed if M1 is undefined. Every row below now has an absolute number and the code path that measures it, so a miss is visible. M1 = first full calendar month after the listing goes live (G-01).</t>
        </is>
      </c>
    </row>
    <row r="3">
      <c r="A3" s="45" t="inlineStr">
        <is>
          <t>Metric</t>
        </is>
      </c>
      <c r="B3" s="45" t="inlineStr">
        <is>
          <t>M1</t>
        </is>
      </c>
      <c r="C3" s="45" t="inlineStr">
        <is>
          <t>M3</t>
        </is>
      </c>
      <c r="D3" s="45" t="inlineStr">
        <is>
          <t>M6</t>
        </is>
      </c>
      <c r="E3" s="45" t="inlineStr">
        <is>
          <t>M12</t>
        </is>
      </c>
      <c r="F3" s="45" t="inlineStr">
        <is>
          <t>Measured by</t>
        </is>
      </c>
      <c r="G3" s="45" t="inlineStr">
        <is>
          <t>Fails if</t>
        </is>
      </c>
    </row>
    <row r="4">
      <c r="A4" s="28" t="inlineStr">
        <is>
          <t>Paying tenants (cumulative)</t>
        </is>
      </c>
      <c r="B4" s="28" t="n">
        <v>3</v>
      </c>
      <c r="C4" s="28" t="n">
        <v>10</v>
      </c>
      <c r="D4" s="28" t="n">
        <v>25</v>
      </c>
      <c r="E4" s="28" t="n">
        <v>60</v>
      </c>
      <c r="F4" s="28" t="inlineStr">
        <is>
          <t>src/billing.ts subscriptions with status=active; G-02 counts only paying strangers</t>
        </is>
      </c>
      <c r="G4" s="28" t="inlineStr">
        <is>
          <t>Fewer than 10 by M3 — G-02 unreachable and the S12 kill criteria are evaluated</t>
        </is>
      </c>
    </row>
    <row r="5">
      <c r="A5" s="28" t="inlineStr">
        <is>
          <t>Installs (cumulative)</t>
        </is>
      </c>
      <c r="B5" s="28" t="n">
        <v>15</v>
      </c>
      <c r="C5" s="28" t="n">
        <v>60</v>
      </c>
      <c r="D5" s="28" t="n">
        <v>150</v>
      </c>
      <c r="E5" s="28" t="n">
        <v>400</v>
      </c>
      <c r="F5" s="28" t="inlineStr">
        <is>
          <t>src/install.ts install events, deduplicated by tenant (F-002)</t>
        </is>
      </c>
      <c r="G5" s="28" t="inlineStr">
        <is>
          <t>Fewer than 60 by M3 with listing live: the listing, not the product, is the problem</t>
        </is>
      </c>
    </row>
    <row r="6">
      <c r="A6" s="28" t="inlineStr">
        <is>
          <t>Activation % within 24h</t>
        </is>
      </c>
      <c r="B6" s="28" t="inlineStr">
        <is>
          <t>40%</t>
        </is>
      </c>
      <c r="C6" s="28" t="inlineStr">
        <is>
          <t>45%</t>
        </is>
      </c>
      <c r="D6" s="28" t="inlineStr">
        <is>
          <t>50%</t>
        </is>
      </c>
      <c r="E6" s="28" t="inlineStr">
        <is>
          <t>55%</t>
        </is>
      </c>
      <c r="F6" s="28" t="inlineStr">
        <is>
          <t>src/telemetry.ts funnel install-&gt;setup-&gt;aha, wired at the request boundary since session 24</t>
        </is>
      </c>
      <c r="G6" s="28" t="inlineStr">
        <is>
          <t>Below 35% at M3 — onboarding, not demand</t>
        </is>
      </c>
    </row>
    <row r="7">
      <c r="A7" s="28" t="inlineStr">
        <is>
          <t>Trial-&gt;paid %</t>
        </is>
      </c>
      <c r="B7" s="28" t="inlineStr">
        <is>
          <t>25%</t>
        </is>
      </c>
      <c r="C7" s="28" t="inlineStr">
        <is>
          <t>30%</t>
        </is>
      </c>
      <c r="D7" s="28" t="inlineStr">
        <is>
          <t>33%</t>
        </is>
      </c>
      <c r="E7" s="28" t="inlineStr">
        <is>
          <t>35%</t>
        </is>
      </c>
      <c r="F7" s="28" t="inlineStr">
        <is>
          <t>src/entitlements.ts trial expiry vs subscription activation</t>
        </is>
      </c>
      <c r="G7" s="28" t="inlineStr">
        <is>
          <t>Below 20% at M3 — pricing or wedge is wrong (SD245)</t>
        </is>
      </c>
    </row>
    <row r="8">
      <c r="A8" s="28" t="inlineStr">
        <is>
          <t>Week-4 retention of activated tenants</t>
        </is>
      </c>
      <c r="B8" s="28" t="inlineStr">
        <is>
          <t>55%</t>
        </is>
      </c>
      <c r="C8" s="28" t="inlineStr">
        <is>
          <t>60%</t>
        </is>
      </c>
      <c r="D8" s="28" t="inlineStr">
        <is>
          <t>65%</t>
        </is>
      </c>
      <c r="E8" s="28" t="inlineStr">
        <is>
          <t>70%</t>
        </is>
      </c>
      <c r="F8" s="28" t="inlineStr">
        <is>
          <t>src/dashboardManager.ts cohort retention</t>
        </is>
      </c>
      <c r="G8" s="28" t="inlineStr">
        <is>
          <t>Below 50% — the evidence wedge is not being used after the first shift</t>
        </is>
      </c>
    </row>
    <row r="9">
      <c r="A9" s="28" t="inlineStr">
        <is>
          <t>Store rating</t>
        </is>
      </c>
      <c r="B9" s="28" t="inlineStr">
        <is>
          <t>4.5+</t>
        </is>
      </c>
      <c r="C9" s="28" t="inlineStr">
        <is>
          <t>4.6+</t>
        </is>
      </c>
      <c r="D9" s="28" t="inlineStr">
        <is>
          <t>4.7+</t>
        </is>
      </c>
      <c r="E9" s="28" t="inlineStr">
        <is>
          <t>4.7+</t>
        </is>
      </c>
      <c r="F9" s="28" t="inlineStr">
        <is>
          <t>Partner Center listing (manual read, monthly)</t>
        </is>
      </c>
      <c r="G9" s="28" t="inlineStr">
        <is>
          <t>Below 4.3 — review programme and support speed</t>
        </is>
      </c>
    </row>
    <row r="10">
      <c r="A10" s="28" t="inlineStr">
        <is>
          <t>MRR $ net of fee</t>
        </is>
      </c>
      <c r="B10" s="28" t="n">
        <v>1200</v>
      </c>
      <c r="C10" s="28" t="n">
        <v>4000</v>
      </c>
      <c r="D10" s="28" t="n">
        <v>10000</v>
      </c>
      <c r="E10" s="28" t="n">
        <v>24000</v>
      </c>
      <c r="F10" s="28" t="inlineStr">
        <is>
          <t>Financial_Model Scenario A/B actuals replace the planning inputs</t>
        </is>
      </c>
      <c r="G10" s="28" t="inlineStr">
        <is>
          <t>Below half the M6 figure — the funding requirement in Financial_Model is the live question</t>
        </is>
      </c>
    </row>
    <row r="11">
      <c r="A11" s="28" t="inlineStr">
        <is>
          <t>Logo churn /mo</t>
        </is>
      </c>
      <c r="B11" s="28" t="inlineStr">
        <is>
          <t>&lt;5%</t>
        </is>
      </c>
      <c r="C11" s="28" t="inlineStr">
        <is>
          <t>&lt;4%</t>
        </is>
      </c>
      <c r="D11" s="28" t="inlineStr">
        <is>
          <t>&lt;3%</t>
        </is>
      </c>
      <c r="E11" s="28" t="inlineStr">
        <is>
          <t>&lt;3%</t>
        </is>
      </c>
      <c r="F11" s="28" t="inlineStr">
        <is>
          <t>src/dashboardManager.ts health score + cancellation reasons (ST-063 exit survey)</t>
        </is>
      </c>
      <c r="G11" s="28" t="inlineStr">
        <is>
          <t>Above 6% for two consecutive months</t>
        </is>
      </c>
    </row>
    <row r="12">
      <c r="A12" s="28" t="inlineStr">
        <is>
          <t>API p95 / bot p95 (ms)</t>
        </is>
      </c>
      <c r="B12" s="28" t="inlineStr">
        <is>
          <t>500 / 800</t>
        </is>
      </c>
      <c r="C12" s="28" t="inlineStr">
        <is>
          <t>500 / 800</t>
        </is>
      </c>
      <c r="D12" s="28" t="inlineStr">
        <is>
          <t>450 / 700</t>
        </is>
      </c>
      <c r="E12" s="28" t="inlineStr">
        <is>
          <t>400 / 650</t>
        </is>
      </c>
      <c r="F12" s="28" t="inlineStr">
        <is>
          <t>src/perf.ts latency budgets; src/slo.ts alert rules</t>
        </is>
      </c>
      <c r="G12" s="28" t="inlineStr">
        <is>
          <t>Any month over budget — the rollback signal in ops/incident-response-runbook.md</t>
        </is>
      </c>
    </row>
    <row r="13">
      <c r="A13" s="28" t="inlineStr">
        <is>
          <t>Availability (SLO 99.5%)</t>
        </is>
      </c>
      <c r="B13" s="28" t="inlineStr">
        <is>
          <t>99.5%</t>
        </is>
      </c>
      <c r="C13" s="28" t="inlineStr">
        <is>
          <t>99.5%</t>
        </is>
      </c>
      <c r="D13" s="28" t="inlineStr">
        <is>
          <t>99.5%</t>
        </is>
      </c>
      <c r="E13" s="28" t="inlineStr">
        <is>
          <t>99.5%</t>
        </is>
      </c>
      <c r="F13" s="28" t="inlineStr">
        <is>
          <t>src/slo.ts — 216 minutes of error budget per month, stated as minutes rather than nines</t>
        </is>
      </c>
      <c r="G13" s="28" t="inlineStr">
        <is>
          <t>Two consecutive months of budget exhaustion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0" customWidth="1" style="22" min="1" max="1"/>
    <col width="10" customWidth="1" style="22" min="2" max="2"/>
    <col width="18" customWidth="1" style="22" min="3" max="3"/>
    <col width="100" customWidth="1" style="22" min="4" max="4"/>
    <col width="22" customWidth="1" style="22" min="5" max="5"/>
  </cols>
  <sheetData>
    <row r="1">
      <c r="A1" s="42" t="inlineStr">
        <is>
          <t>PRODUCT RISK REGISTER — rewritten per review finding D-04 (the free first-party overlap was understated)</t>
        </is>
      </c>
      <c r="B1" s="43" t="n"/>
      <c r="C1" s="43" t="n"/>
      <c r="D1" s="43" t="n"/>
      <c r="E1" s="43" t="n"/>
    </row>
    <row r="2">
      <c r="A2" s="28" t="inlineStr">
        <is>
          <t>The review was blunt: two of the three product pillars overlap Microsoft apps the customer already has at no marginal cost. That is a commercial risk, not a feature gap, and it belongs at the top of this register rather than as a line about a future Shifts release.</t>
        </is>
      </c>
    </row>
    <row r="3">
      <c r="A3" s="45" t="inlineStr">
        <is>
          <t>Risk</t>
        </is>
      </c>
      <c r="B3" s="45" t="inlineStr">
        <is>
          <t>Impact</t>
        </is>
      </c>
      <c r="C3" s="45" t="inlineStr">
        <is>
          <t>Likelihood</t>
        </is>
      </c>
      <c r="D3" s="45" t="inlineStr">
        <is>
          <t>Mitigation</t>
        </is>
      </c>
      <c r="E3" s="45" t="inlineStr">
        <is>
          <t>Owner / story</t>
        </is>
      </c>
    </row>
    <row r="4">
      <c r="A4" s="28" t="inlineStr">
        <is>
          <t>Two of three pillars overlap FREE first-party Microsoft apps: Approvals and Planner task publishing ship inside Microsoft 365 at zero marginal cost. A per-seat frontline price competes with free, and an IT buyer will ask why.</t>
        </is>
      </c>
      <c r="B4" s="28" t="inlineStr">
        <is>
          <t>High</t>
        </is>
      </c>
      <c r="C4" s="28" t="inlineStr">
        <is>
          <t>High (already true, not a future release)</t>
        </is>
      </c>
      <c r="D4" s="28" t="inlineStr">
        <is>
          <t>Reposition onto the one thing the free tools do not produce: retained, queryable handover evidence with an audit trail an inspector can read. Listing copy, one-pager and comparison pages rewritten explicitly against Approvals and Planner rather than around them (SD245). Per-site pricing modelled so the price is not a per-seat tax on a suite the customer already owns (SD246). The wedge is tested in the SD244 interviews before launch spend.</t>
        </is>
      </c>
      <c r="E4" s="28" t="inlineStr">
        <is>
          <t>Senthil — SD244 / SD245</t>
        </is>
      </c>
    </row>
    <row r="5">
      <c r="A5" s="28" t="inlineStr">
        <is>
          <t>Microsoft ships native Shifts upgrades that absorb the handover thread itself</t>
        </is>
      </c>
      <c r="B5" s="28" t="inlineStr">
        <is>
          <t>High</t>
        </is>
      </c>
      <c r="C5" s="28" t="inlineStr">
        <is>
          <t>Medium</t>
        </is>
      </c>
      <c r="D5" s="28" t="inlineStr">
        <is>
          <t>Depth in approvals and checklists plus the evidence retention story; co-sell alignment so an upgrade is a distribution event rather than an extinction event. Reassess at each Microsoft 365 roadmap release.</t>
        </is>
      </c>
      <c r="E5" s="28" t="inlineStr">
        <is>
          <t>Senthil</t>
        </is>
      </c>
    </row>
    <row r="6">
      <c r="A6" s="28" t="inlineStr">
        <is>
          <t>Demand is unvalidated: the category grows 18.65% CAGR to $45.06bn by 2031, and not one customer has said this product solves a problem they pay for. D13 parked discovery interviews portfolio-wide.</t>
        </is>
      </c>
      <c r="B6" s="28" t="inlineStr">
        <is>
          <t>High</t>
        </is>
      </c>
      <c r="C6" s="28" t="inlineStr">
        <is>
          <t>High</t>
        </is>
      </c>
      <c r="D6" s="28" t="inlineStr">
        <is>
          <t>15 discovery interviews in regulated frontline sectors on how handover evidence is produced today and what an audit failure costs (SD244). This is the programme gate: G-01/G-02 become achievable on evidence, or the kill criteria fire.</t>
        </is>
      </c>
      <c r="E6" s="28" t="inlineStr">
        <is>
          <t>Senthil — SD244</t>
        </is>
      </c>
    </row>
    <row r="7">
      <c r="A7" s="28" t="inlineStr">
        <is>
          <t>Enterprise sales cycle starves cash before S12: on the v045 per-seat assumptions the model never breaks even and the funding requirement was never stated.</t>
        </is>
      </c>
      <c r="B7" s="28" t="inlineStr">
        <is>
          <t>High</t>
        </is>
      </c>
      <c r="C7" s="28" t="inlineStr">
        <is>
          <t>Medium</t>
        </is>
      </c>
      <c r="D7" s="28" t="inlineStr">
        <is>
          <t>Financial_Model repaired to state the funding requirement, runway and breakeven outright (SD246). Pilot pricing and design-partner order forms by SD247. Per-site pricing gives a smaller first cheque with an expansion path.</t>
        </is>
      </c>
      <c r="E7" s="28" t="inlineStr">
        <is>
          <t>Senthil — SD246 / SD247</t>
        </is>
      </c>
    </row>
    <row r="8">
      <c r="A8" s="28" t="inlineStr">
        <is>
          <t>Store certification loops exceed 2 cycles</t>
        </is>
      </c>
      <c r="B8" s="28" t="inlineStr">
        <is>
          <t>Medium</t>
        </is>
      </c>
      <c r="C8" s="28" t="inlineStr">
        <is>
          <t>High</t>
        </is>
      </c>
      <c r="D8" s="28" t="inlineStr">
        <is>
          <t>Pre-submission consult; validation self-check automated where possible (manifest and command parity assertions in CI); dry run recorded. Attestation and pen test start early because of lead times (SD234/SD235).</t>
        </is>
      </c>
      <c r="E8" s="28" t="inlineStr">
        <is>
          <t>Senthil — SD235</t>
        </is>
      </c>
    </row>
    <row r="9">
      <c r="A9" s="28" t="inlineStr">
        <is>
          <t>Assurance items have long lead times and real money attached: pen test, Publisher Attestation, SOC 2 (audit fee $15k-$50k plus ~6 months observation for Type II).</t>
        </is>
      </c>
      <c r="B9" s="28" t="inlineStr">
        <is>
          <t>Medium</t>
        </is>
      </c>
      <c r="C9" s="28" t="inlineStr">
        <is>
          <t>High</t>
        </is>
      </c>
      <c r="D9" s="28" t="inlineStr">
        <is>
          <t>Evidence packs and control maps are built and bound to tests (SD236/SD237) so the engagements start without a discovery phase. The spend and the timing are Senthil decisions, stated rather than buried.</t>
        </is>
      </c>
      <c r="E9" s="28" t="inlineStr">
        <is>
          <t>Senthil — SD237</t>
        </is>
      </c>
    </row>
    <row r="10">
      <c r="A10" s="28" t="inlineStr">
        <is>
          <t>Perimeter code written from vendor documentation rather than against live endpoints: Entra metadata, Connector JWT rules, Fulfillment API v2, Key Vault managed identity.</t>
        </is>
      </c>
      <c r="B10" s="28" t="inlineStr">
        <is>
          <t>Medium</t>
        </is>
      </c>
      <c r="C10" s="28" t="inlineStr">
        <is>
          <t>Medium</t>
        </is>
      </c>
      <c r="D10" s="28" t="inlineStr">
        <is>
          <t>Same class as tracker risk R-S12, which is why that risk exists: every seam gets a documentation sweep and then live verification before it is called done. SD228, SD232, SD239 and SD240 are those verifications.</t>
        </is>
      </c>
      <c r="E10" s="28" t="inlineStr">
        <is>
          <t>Claude + Senthil</t>
        </is>
      </c>
    </row>
    <row r="11">
      <c r="A11" s="28" t="inlineStr">
        <is>
          <t>This release wrote 19 new modules and 11 new suites; on this project's own history, newly written code is the least-reviewed code (six defects in twelve modules at 100% coverage in sessions 5-8).</t>
        </is>
      </c>
      <c r="B11" s="28" t="inlineStr">
        <is>
          <t>Medium</t>
        </is>
      </c>
      <c r="C11" s="28" t="inlineStr">
        <is>
          <t>High</t>
        </is>
      </c>
      <c r="D11" s="28" t="inlineStr">
        <is>
          <t>The next session opens with a cold review of the S13-S20 code before any new feature work. F-071 and F-072 are already on the register as evidence the pattern held again.</t>
        </is>
      </c>
      <c r="E11" s="28" t="inlineStr">
        <is>
          <t>Claude — tracker R-S21</t>
        </is>
      </c>
    </row>
  </sheetData>
  <pageMargins left="0.75" right="0.75" top="1" bottom="1" header="0.5" footer="0.5"/>
</worksheet>
</file>

<file path=xl/worksheets/sheet11.xml><?xml version="1.0" encoding="utf-8"?>
<worksheet xmlns="http://schemas.openxmlformats.org/spreadsheetml/2006/main">
  <sheetPr filterMode="0">
    <outlinePr summaryBelow="1" summaryRight="1"/>
    <pageSetUpPr fitToPage="0"/>
  </sheetPr>
  <dimension ref="A1:H15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21" min="1" max="1"/>
    <col width="7" customWidth="1" style="21" min="2" max="2"/>
    <col width="8" customWidth="1" style="21" min="3" max="4"/>
    <col width="44" customWidth="1" style="21" min="5" max="6"/>
    <col width="26" customWidth="1" style="21" min="7" max="7"/>
    <col width="46" customWidth="1" style="21" min="8" max="8"/>
  </cols>
  <sheetData>
    <row r="1" ht="15" customHeight="1" s="22">
      <c r="A1" s="38" t="inlineStr">
        <is>
          <t>TRACEABILITY MATRIX — story -&gt; code -&gt; test -&gt; evidence (v006, 10/09/2026 22:26)</t>
        </is>
      </c>
    </row>
    <row r="3" ht="15" customHeight="1" s="22">
      <c r="A3" s="39" t="inlineStr">
        <is>
          <t>ID</t>
        </is>
      </c>
      <c r="B3" s="39" t="inlineStr">
        <is>
          <t>Epic</t>
        </is>
      </c>
      <c r="C3" s="39" t="inlineStr">
        <is>
          <t>Sprint</t>
        </is>
      </c>
      <c r="D3" s="39" t="inlineStr">
        <is>
          <t>Points</t>
        </is>
      </c>
      <c r="E3" s="39" t="inlineStr">
        <is>
          <t>Module / file</t>
        </is>
      </c>
      <c r="F3" s="39" t="inlineStr">
        <is>
          <t>Test suite</t>
        </is>
      </c>
      <c r="G3" s="39" t="inlineStr">
        <is>
          <t>Status</t>
        </is>
      </c>
      <c r="H3" s="39" t="inlineStr">
        <is>
          <t>Evidence / note</t>
        </is>
      </c>
    </row>
    <row r="4" ht="26.25" customHeight="1" s="22">
      <c r="A4" s="27" t="inlineStr">
        <is>
          <t>ST-001</t>
        </is>
      </c>
      <c r="B4" s="27" t="inlineStr">
        <is>
          <t>F1</t>
        </is>
      </c>
      <c r="C4" s="27" t="inlineStr">
        <is>
          <t>S2</t>
        </is>
      </c>
      <c r="D4" s="27" t="n">
        <v>5</v>
      </c>
      <c r="E4" s="27" t="inlineStr">
        <is>
          <t>src/handover.ts + src/moduleBase.ts</t>
        </is>
      </c>
      <c r="F4" s="27" t="inlineStr">
        <is>
          <t>tests/features.test.ts + tests/moduleBase.test.ts</t>
        </is>
      </c>
      <c r="G4" s="49" t="inlineStr">
        <is>
          <t>Done</t>
        </is>
      </c>
      <c r="H4" s="27" t="inlineStr">
        <is>
          <t>Built + covered at 100% this session</t>
        </is>
      </c>
    </row>
    <row r="5" ht="26.25" customHeight="1" s="22">
      <c r="A5" s="27" t="inlineStr">
        <is>
          <t>ST-002</t>
        </is>
      </c>
      <c r="B5" s="27" t="inlineStr">
        <is>
          <t>F1</t>
        </is>
      </c>
      <c r="C5" s="27" t="inlineStr">
        <is>
          <t>S2</t>
        </is>
      </c>
      <c r="D5" s="27" t="n">
        <v>8</v>
      </c>
      <c r="E5" s="27" t="inlineStr">
        <is>
          <t>src/handover.ts + src/moduleBase.ts</t>
        </is>
      </c>
      <c r="F5" s="27" t="inlineStr">
        <is>
          <t>tests/features.test.ts + tests/moduleBase.test.ts</t>
        </is>
      </c>
      <c r="G5" s="49" t="inlineStr">
        <is>
          <t>Done</t>
        </is>
      </c>
      <c r="H5" s="27" t="inlineStr">
        <is>
          <t>Built + covered at 100% this session | State now persisted via src/persistence.ts — survives restart/blue-green (GAP-SD8b)</t>
        </is>
      </c>
    </row>
    <row r="6" ht="26.25" customHeight="1" s="22">
      <c r="A6" s="27" t="inlineStr">
        <is>
          <t>ST-003</t>
        </is>
      </c>
      <c r="B6" s="27" t="inlineStr">
        <is>
          <t>F1</t>
        </is>
      </c>
      <c r="C6" s="27" t="inlineStr">
        <is>
          <t>S2</t>
        </is>
      </c>
      <c r="D6" s="27" t="n">
        <v>5</v>
      </c>
      <c r="E6" s="27" t="inlineStr">
        <is>
          <t>src/handover.ts + src/moduleBase.ts</t>
        </is>
      </c>
      <c r="F6" s="27" t="inlineStr">
        <is>
          <t>tests/features.test.ts + tests/moduleBase.test.ts</t>
        </is>
      </c>
      <c r="G6" s="49" t="inlineStr">
        <is>
          <t>Done</t>
        </is>
      </c>
      <c r="H6" s="27" t="inlineStr">
        <is>
          <t>Built + covered at 100% this session</t>
        </is>
      </c>
    </row>
    <row r="7" ht="26.25" customHeight="1" s="22">
      <c r="A7" s="27" t="inlineStr">
        <is>
          <t>ST-004</t>
        </is>
      </c>
      <c r="B7" s="27" t="inlineStr">
        <is>
          <t>F1</t>
        </is>
      </c>
      <c r="C7" s="27" t="inlineStr">
        <is>
          <t>S2</t>
        </is>
      </c>
      <c r="D7" s="27" t="n">
        <v>3</v>
      </c>
      <c r="E7" s="27" t="inlineStr">
        <is>
          <t>src/handover.ts + src/moduleBase.ts</t>
        </is>
      </c>
      <c r="F7" s="27" t="inlineStr">
        <is>
          <t>tests/features.test.ts + tests/moduleBase.test.ts</t>
        </is>
      </c>
      <c r="G7" s="49" t="inlineStr">
        <is>
          <t>Done</t>
        </is>
      </c>
      <c r="H7" s="27" t="inlineStr">
        <is>
          <t>Built + covered at 100% this session</t>
        </is>
      </c>
    </row>
    <row r="8" ht="26.25" customHeight="1" s="22">
      <c r="A8" s="27" t="inlineStr">
        <is>
          <t>ST-005</t>
        </is>
      </c>
      <c r="B8" s="27" t="inlineStr">
        <is>
          <t>F1</t>
        </is>
      </c>
      <c r="C8" s="27" t="inlineStr">
        <is>
          <t>S3</t>
        </is>
      </c>
      <c r="D8" s="27" t="n">
        <v>5</v>
      </c>
      <c r="E8" s="27" t="inlineStr">
        <is>
          <t>src/ui/screens.tsx + web/TabShell.tsx + src/server.ts</t>
        </is>
      </c>
      <c r="F8" s="27" t="inlineStr">
        <is>
          <t>tests/ui.screens.test.tsx + tests/tab.test.tsx</t>
        </is>
      </c>
      <c r="G8" s="50" t="inlineStr">
        <is>
          <t>Code-complete pending live</t>
        </is>
      </c>
      <c r="H8" s="27" t="inlineStr">
        <is>
          <t>Surface now full-stack incl. HTTP layer (GAP-SD5): client paths served + authenticated; only in-client render pending | Tab assets served by the app itself at /tab (F-058)</t>
        </is>
      </c>
    </row>
    <row r="9" ht="26.25" customHeight="1" s="22">
      <c r="A9" s="27" t="inlineStr">
        <is>
          <t>ST-006</t>
        </is>
      </c>
      <c r="B9" s="27" t="inlineStr">
        <is>
          <t>F1</t>
        </is>
      </c>
      <c r="C9" s="27" t="inlineStr">
        <is>
          <t>S3</t>
        </is>
      </c>
      <c r="D9" s="27" t="n">
        <v>3</v>
      </c>
      <c r="E9" s="27" t="inlineStr">
        <is>
          <t>src/handover.ts + src/moduleBase.ts</t>
        </is>
      </c>
      <c r="F9" s="27" t="inlineStr">
        <is>
          <t>tests/features.test.ts + tests/moduleBase.test.ts</t>
        </is>
      </c>
      <c r="G9" s="49" t="inlineStr">
        <is>
          <t>Done</t>
        </is>
      </c>
      <c r="H9" s="27" t="inlineStr">
        <is>
          <t>Built + covered at 100% this session</t>
        </is>
      </c>
    </row>
    <row r="10" ht="26.25" customHeight="1" s="22">
      <c r="A10" s="27" t="inlineStr">
        <is>
          <t>ST-007</t>
        </is>
      </c>
      <c r="B10" s="27" t="inlineStr">
        <is>
          <t>F1</t>
        </is>
      </c>
      <c r="C10" s="27" t="inlineStr">
        <is>
          <t>S3</t>
        </is>
      </c>
      <c r="D10" s="27" t="n">
        <v>3</v>
      </c>
      <c r="E10" s="27" t="inlineStr">
        <is>
          <t>src/handover.ts + src/moduleBase.ts</t>
        </is>
      </c>
      <c r="F10" s="27" t="inlineStr">
        <is>
          <t>tests/features.test.ts + tests/moduleBase.test.ts</t>
        </is>
      </c>
      <c r="G10" s="49" t="inlineStr">
        <is>
          <t>Done</t>
        </is>
      </c>
      <c r="H10" s="27" t="inlineStr">
        <is>
          <t>Built + covered at 100% this session</t>
        </is>
      </c>
    </row>
    <row r="11" ht="26.25" customHeight="1" s="22">
      <c r="A11" s="27" t="inlineStr">
        <is>
          <t>ST-008</t>
        </is>
      </c>
      <c r="B11" s="27" t="inlineStr">
        <is>
          <t>F1</t>
        </is>
      </c>
      <c r="C11" s="27" t="inlineStr">
        <is>
          <t>S3</t>
        </is>
      </c>
      <c r="D11" s="27" t="n">
        <v>2</v>
      </c>
      <c r="E11" s="27" t="inlineStr">
        <is>
          <t>src/handover.ts + src/moduleBase.ts</t>
        </is>
      </c>
      <c r="F11" s="27" t="inlineStr">
        <is>
          <t>tests/features.test.ts + tests/moduleBase.test.ts</t>
        </is>
      </c>
      <c r="G11" s="49" t="inlineStr">
        <is>
          <t>Done</t>
        </is>
      </c>
      <c r="H11" s="27" t="inlineStr">
        <is>
          <t>Built + covered at 100% this session</t>
        </is>
      </c>
    </row>
    <row r="12" ht="26.25" customHeight="1" s="22">
      <c r="A12" s="27" t="inlineStr">
        <is>
          <t>ST-009</t>
        </is>
      </c>
      <c r="B12" s="27" t="inlineStr">
        <is>
          <t>F1</t>
        </is>
      </c>
      <c r="C12" s="27" t="inlineStr">
        <is>
          <t>S3</t>
        </is>
      </c>
      <c r="D12" s="27" t="n">
        <v>5</v>
      </c>
      <c r="E12" s="27" t="inlineStr">
        <is>
          <t>src/handover.ts + src/moduleBase.ts</t>
        </is>
      </c>
      <c r="F12" s="27" t="inlineStr">
        <is>
          <t>tests/features.test.ts + tests/moduleBase.test.ts</t>
        </is>
      </c>
      <c r="G12" s="49" t="inlineStr">
        <is>
          <t>Done</t>
        </is>
      </c>
      <c r="H12" s="27" t="inlineStr">
        <is>
          <t>Built + covered at 100% this session</t>
        </is>
      </c>
    </row>
    <row r="13" ht="26.25" customHeight="1" s="22">
      <c r="A13" s="27" t="inlineStr">
        <is>
          <t>ST-010</t>
        </is>
      </c>
      <c r="B13" s="27" t="inlineStr">
        <is>
          <t>F1</t>
        </is>
      </c>
      <c r="C13" s="27" t="inlineStr">
        <is>
          <t>S3</t>
        </is>
      </c>
      <c r="D13" s="27" t="n">
        <v>3</v>
      </c>
      <c r="E13" s="27" t="inlineStr">
        <is>
          <t>src/notifications.ts + src/notificationDispatcher.ts</t>
        </is>
      </c>
      <c r="F13" s="27" t="inlineStr">
        <is>
          <t>tests/notificationDispatcher.test.ts</t>
        </is>
      </c>
      <c r="G13" s="49" t="inlineStr">
        <is>
          <t>Done</t>
        </is>
      </c>
      <c r="H13" s="27" t="inlineStr">
        <is>
          <t>Delivery implemented on both channels with independent failure handling (F-034); live send verified by sweep step SW-18</t>
        </is>
      </c>
    </row>
    <row r="14" ht="26.25" customHeight="1" s="22">
      <c r="A14" s="27" t="inlineStr">
        <is>
          <t>ST-011</t>
        </is>
      </c>
      <c r="B14" s="27" t="inlineStr">
        <is>
          <t>F2</t>
        </is>
      </c>
      <c r="C14" s="27" t="inlineStr">
        <is>
          <t>S3</t>
        </is>
      </c>
      <c r="D14" s="27" t="n">
        <v>5</v>
      </c>
      <c r="E14" s="27" t="inlineStr">
        <is>
          <t>src/approvals.ts + src/moduleBase.ts</t>
        </is>
      </c>
      <c r="F14" s="27" t="inlineStr">
        <is>
          <t>tests/features.test.ts + tests/moduleBase.test.ts</t>
        </is>
      </c>
      <c r="G14" s="49" t="inlineStr">
        <is>
          <t>Done</t>
        </is>
      </c>
      <c r="H14" s="27" t="inlineStr">
        <is>
          <t>Built + covered at 100% this session</t>
        </is>
      </c>
    </row>
    <row r="15" ht="26.25" customHeight="1" s="22">
      <c r="A15" s="27" t="inlineStr">
        <is>
          <t>ST-012</t>
        </is>
      </c>
      <c r="B15" s="27" t="inlineStr">
        <is>
          <t>F2</t>
        </is>
      </c>
      <c r="C15" s="27" t="inlineStr">
        <is>
          <t>S3</t>
        </is>
      </c>
      <c r="D15" s="27" t="n">
        <v>8</v>
      </c>
      <c r="E15" s="27" t="inlineStr">
        <is>
          <t>src/approvals.ts + src/moduleBase.ts</t>
        </is>
      </c>
      <c r="F15" s="27" t="inlineStr">
        <is>
          <t>tests/features.test.ts + tests/moduleBase.test.ts</t>
        </is>
      </c>
      <c r="G15" s="49" t="inlineStr">
        <is>
          <t>Done</t>
        </is>
      </c>
      <c r="H15" s="27" t="inlineStr">
        <is>
          <t>Built + covered at 100% this session | State now persisted via src/persistence.ts — survives restart/blue-green (GAP-SD8b)</t>
        </is>
      </c>
    </row>
    <row r="16" ht="26.25" customHeight="1" s="22">
      <c r="A16" s="27" t="inlineStr">
        <is>
          <t>ST-013</t>
        </is>
      </c>
      <c r="B16" s="27" t="inlineStr">
        <is>
          <t>F2</t>
        </is>
      </c>
      <c r="C16" s="27" t="inlineStr">
        <is>
          <t>S3</t>
        </is>
      </c>
      <c r="D16" s="27" t="n">
        <v>5</v>
      </c>
      <c r="E16" s="27" t="inlineStr">
        <is>
          <t>src/approvals.ts + src/moduleBase.ts</t>
        </is>
      </c>
      <c r="F16" s="27" t="inlineStr">
        <is>
          <t>tests/features.test.ts + tests/moduleBase.test.ts</t>
        </is>
      </c>
      <c r="G16" s="49" t="inlineStr">
        <is>
          <t>Done</t>
        </is>
      </c>
      <c r="H16" s="27" t="inlineStr">
        <is>
          <t>Built + covered at 100% this session</t>
        </is>
      </c>
    </row>
    <row r="17" ht="26.25" customHeight="1" s="22">
      <c r="A17" s="27" t="inlineStr">
        <is>
          <t>ST-014</t>
        </is>
      </c>
      <c r="B17" s="27" t="inlineStr">
        <is>
          <t>F2</t>
        </is>
      </c>
      <c r="C17" s="27" t="inlineStr">
        <is>
          <t>S3</t>
        </is>
      </c>
      <c r="D17" s="27" t="n">
        <v>3</v>
      </c>
      <c r="E17" s="27" t="inlineStr">
        <is>
          <t>src/approvals.ts + src/moduleBase.ts</t>
        </is>
      </c>
      <c r="F17" s="27" t="inlineStr">
        <is>
          <t>tests/features.test.ts + tests/moduleBase.test.ts</t>
        </is>
      </c>
      <c r="G17" s="49" t="inlineStr">
        <is>
          <t>Done</t>
        </is>
      </c>
      <c r="H17" s="27" t="inlineStr">
        <is>
          <t>Built + covered at 100% this session</t>
        </is>
      </c>
    </row>
    <row r="18" ht="26.25" customHeight="1" s="22">
      <c r="A18" s="27" t="inlineStr">
        <is>
          <t>ST-015</t>
        </is>
      </c>
      <c r="B18" s="27" t="inlineStr">
        <is>
          <t>F2</t>
        </is>
      </c>
      <c r="C18" s="27" t="inlineStr">
        <is>
          <t>S4</t>
        </is>
      </c>
      <c r="D18" s="27" t="n">
        <v>5</v>
      </c>
      <c r="E18" s="27" t="inlineStr">
        <is>
          <t>src/ui/screens.tsx + web/TabShell.tsx + src/server.ts</t>
        </is>
      </c>
      <c r="F18" s="27" t="inlineStr">
        <is>
          <t>tests/ui.screens.test.tsx + tests/tab.test.tsx</t>
        </is>
      </c>
      <c r="G18" s="50" t="inlineStr">
        <is>
          <t>Code-complete pending live</t>
        </is>
      </c>
      <c r="H18" s="27" t="inlineStr">
        <is>
          <t>Surface now full-stack incl. HTTP layer (GAP-SD5): client paths served + authenticated; only in-client render pending | Screen now reachable as a declared tab (F-038) | Tab assets served by the app itself at /tab (F-058)</t>
        </is>
      </c>
    </row>
    <row r="19" ht="26.25" customHeight="1" s="22">
      <c r="A19" s="27" t="inlineStr">
        <is>
          <t>ST-016</t>
        </is>
      </c>
      <c r="B19" s="27" t="inlineStr">
        <is>
          <t>F2</t>
        </is>
      </c>
      <c r="C19" s="27" t="inlineStr">
        <is>
          <t>S4</t>
        </is>
      </c>
      <c r="D19" s="27" t="n">
        <v>3</v>
      </c>
      <c r="E19" s="27" t="inlineStr">
        <is>
          <t>src/approvals.ts + src/moduleBase.ts</t>
        </is>
      </c>
      <c r="F19" s="27" t="inlineStr">
        <is>
          <t>tests/features.test.ts + tests/moduleBase.test.ts</t>
        </is>
      </c>
      <c r="G19" s="49" t="inlineStr">
        <is>
          <t>Done</t>
        </is>
      </c>
      <c r="H19" s="27" t="inlineStr">
        <is>
          <t>Built + covered at 100% this session</t>
        </is>
      </c>
    </row>
    <row r="20" ht="26.25" customHeight="1" s="22">
      <c r="A20" s="27" t="inlineStr">
        <is>
          <t>ST-017</t>
        </is>
      </c>
      <c r="B20" s="27" t="inlineStr">
        <is>
          <t>F2</t>
        </is>
      </c>
      <c r="C20" s="27" t="inlineStr">
        <is>
          <t>S4</t>
        </is>
      </c>
      <c r="D20" s="27" t="n">
        <v>3</v>
      </c>
      <c r="E20" s="27" t="inlineStr">
        <is>
          <t>src/approvals.ts + src/moduleBase.ts</t>
        </is>
      </c>
      <c r="F20" s="27" t="inlineStr">
        <is>
          <t>tests/features.test.ts + tests/moduleBase.test.ts</t>
        </is>
      </c>
      <c r="G20" s="49" t="inlineStr">
        <is>
          <t>Done</t>
        </is>
      </c>
      <c r="H20" s="27" t="inlineStr">
        <is>
          <t>Built + covered at 100% this session</t>
        </is>
      </c>
    </row>
    <row r="21" ht="26.25" customHeight="1" s="22">
      <c r="A21" s="27" t="inlineStr">
        <is>
          <t>ST-018</t>
        </is>
      </c>
      <c r="B21" s="27" t="inlineStr">
        <is>
          <t>F2</t>
        </is>
      </c>
      <c r="C21" s="27" t="inlineStr">
        <is>
          <t>S4</t>
        </is>
      </c>
      <c r="D21" s="27" t="n">
        <v>2</v>
      </c>
      <c r="E21" s="27" t="inlineStr">
        <is>
          <t>src/approvals.ts + src/moduleBase.ts</t>
        </is>
      </c>
      <c r="F21" s="27" t="inlineStr">
        <is>
          <t>tests/features.test.ts + tests/moduleBase.test.ts</t>
        </is>
      </c>
      <c r="G21" s="49" t="inlineStr">
        <is>
          <t>Done</t>
        </is>
      </c>
      <c r="H21" s="27" t="inlineStr">
        <is>
          <t>Built + covered at 100% this session</t>
        </is>
      </c>
    </row>
    <row r="22" ht="26.25" customHeight="1" s="22">
      <c r="A22" s="27" t="inlineStr">
        <is>
          <t>ST-019</t>
        </is>
      </c>
      <c r="B22" s="27" t="inlineStr">
        <is>
          <t>F2</t>
        </is>
      </c>
      <c r="C22" s="27" t="inlineStr">
        <is>
          <t>S4</t>
        </is>
      </c>
      <c r="D22" s="27" t="n">
        <v>5</v>
      </c>
      <c r="E22" s="27" t="inlineStr">
        <is>
          <t>src/approvals.ts + src/moduleBase.ts</t>
        </is>
      </c>
      <c r="F22" s="27" t="inlineStr">
        <is>
          <t>tests/features.test.ts + tests/moduleBase.test.ts</t>
        </is>
      </c>
      <c r="G22" s="49" t="inlineStr">
        <is>
          <t>Done</t>
        </is>
      </c>
      <c r="H22" s="27" t="inlineStr">
        <is>
          <t>Built + covered at 100% this session</t>
        </is>
      </c>
    </row>
    <row r="23" ht="26.25" customHeight="1" s="22">
      <c r="A23" s="27" t="inlineStr">
        <is>
          <t>ST-020</t>
        </is>
      </c>
      <c r="B23" s="27" t="inlineStr">
        <is>
          <t>F2</t>
        </is>
      </c>
      <c r="C23" s="27" t="inlineStr">
        <is>
          <t>S4</t>
        </is>
      </c>
      <c r="D23" s="27" t="n">
        <v>3</v>
      </c>
      <c r="E23" s="27" t="inlineStr">
        <is>
          <t>src/notifications.ts + src/notificationDispatcher.ts</t>
        </is>
      </c>
      <c r="F23" s="27" t="inlineStr">
        <is>
          <t>tests/notificationDispatcher.test.ts</t>
        </is>
      </c>
      <c r="G23" s="49" t="inlineStr">
        <is>
          <t>Done</t>
        </is>
      </c>
      <c r="H23" s="27" t="inlineStr">
        <is>
          <t>Delivery implemented on both channels with independent failure handling (F-034); live send verified by sweep step SW-18</t>
        </is>
      </c>
    </row>
    <row r="24" ht="26.25" customHeight="1" s="22">
      <c r="A24" s="27" t="inlineStr">
        <is>
          <t>ST-021</t>
        </is>
      </c>
      <c r="B24" s="27" t="inlineStr">
        <is>
          <t>F3</t>
        </is>
      </c>
      <c r="C24" s="27" t="inlineStr">
        <is>
          <t>S5</t>
        </is>
      </c>
      <c r="D24" s="27" t="n">
        <v>5</v>
      </c>
      <c r="E24" s="27" t="inlineStr">
        <is>
          <t>src/checklists.ts + src/moduleBase.ts</t>
        </is>
      </c>
      <c r="F24" s="27" t="inlineStr">
        <is>
          <t>tests/features.test.ts + tests/moduleBase.test.ts</t>
        </is>
      </c>
      <c r="G24" s="49" t="inlineStr">
        <is>
          <t>Done</t>
        </is>
      </c>
      <c r="H24" s="27" t="inlineStr">
        <is>
          <t>Built + covered at 100% this session</t>
        </is>
      </c>
    </row>
    <row r="25" ht="26.25" customHeight="1" s="22">
      <c r="A25" s="27" t="inlineStr">
        <is>
          <t>ST-022</t>
        </is>
      </c>
      <c r="B25" s="27" t="inlineStr">
        <is>
          <t>F3</t>
        </is>
      </c>
      <c r="C25" s="27" t="inlineStr">
        <is>
          <t>S5</t>
        </is>
      </c>
      <c r="D25" s="27" t="n">
        <v>8</v>
      </c>
      <c r="E25" s="27" t="inlineStr">
        <is>
          <t>src/checklists.ts + src/moduleBase.ts</t>
        </is>
      </c>
      <c r="F25" s="27" t="inlineStr">
        <is>
          <t>tests/features.test.ts + tests/moduleBase.test.ts</t>
        </is>
      </c>
      <c r="G25" s="49" t="inlineStr">
        <is>
          <t>Done</t>
        </is>
      </c>
      <c r="H25" s="27" t="inlineStr">
        <is>
          <t>Built + covered at 100% this session | State now persisted via src/persistence.ts — survives restart/blue-green (GAP-SD8b)</t>
        </is>
      </c>
    </row>
    <row r="26" ht="26.25" customHeight="1" s="22">
      <c r="A26" s="27" t="inlineStr">
        <is>
          <t>ST-023</t>
        </is>
      </c>
      <c r="B26" s="27" t="inlineStr">
        <is>
          <t>F3</t>
        </is>
      </c>
      <c r="C26" s="27" t="inlineStr">
        <is>
          <t>S5</t>
        </is>
      </c>
      <c r="D26" s="27" t="n">
        <v>5</v>
      </c>
      <c r="E26" s="27" t="inlineStr">
        <is>
          <t>src/checklists.ts + src/moduleBase.ts</t>
        </is>
      </c>
      <c r="F26" s="27" t="inlineStr">
        <is>
          <t>tests/features.test.ts + tests/moduleBase.test.ts</t>
        </is>
      </c>
      <c r="G26" s="49" t="inlineStr">
        <is>
          <t>Done</t>
        </is>
      </c>
      <c r="H26" s="27" t="inlineStr">
        <is>
          <t>Built + covered at 100% this session</t>
        </is>
      </c>
    </row>
    <row r="27" ht="26.25" customHeight="1" s="22">
      <c r="A27" s="27" t="inlineStr">
        <is>
          <t>ST-024</t>
        </is>
      </c>
      <c r="B27" s="27" t="inlineStr">
        <is>
          <t>F3</t>
        </is>
      </c>
      <c r="C27" s="27" t="inlineStr">
        <is>
          <t>S5</t>
        </is>
      </c>
      <c r="D27" s="27" t="n">
        <v>3</v>
      </c>
      <c r="E27" s="27" t="inlineStr">
        <is>
          <t>src/checklists.ts + src/moduleBase.ts</t>
        </is>
      </c>
      <c r="F27" s="27" t="inlineStr">
        <is>
          <t>tests/features.test.ts + tests/moduleBase.test.ts</t>
        </is>
      </c>
      <c r="G27" s="49" t="inlineStr">
        <is>
          <t>Done</t>
        </is>
      </c>
      <c r="H27" s="27" t="inlineStr">
        <is>
          <t>Built + covered at 100% this session</t>
        </is>
      </c>
    </row>
    <row r="28" ht="26.25" customHeight="1" s="22">
      <c r="A28" s="27" t="inlineStr">
        <is>
          <t>ST-025</t>
        </is>
      </c>
      <c r="B28" s="27" t="inlineStr">
        <is>
          <t>F3</t>
        </is>
      </c>
      <c r="C28" s="27" t="inlineStr">
        <is>
          <t>S5</t>
        </is>
      </c>
      <c r="D28" s="27" t="n">
        <v>5</v>
      </c>
      <c r="E28" s="27" t="inlineStr">
        <is>
          <t>src/ui/screens.tsx + web/TabShell.tsx + src/server.ts</t>
        </is>
      </c>
      <c r="F28" s="27" t="inlineStr">
        <is>
          <t>tests/ui.screens.test.tsx + tests/tab.test.tsx</t>
        </is>
      </c>
      <c r="G28" s="50" t="inlineStr">
        <is>
          <t>Code-complete pending live</t>
        </is>
      </c>
      <c r="H28" s="27" t="inlineStr">
        <is>
          <t>Surface now full-stack incl. HTTP layer (GAP-SD5): client paths served + authenticated; only in-client render pending | Tab assets served by the app itself at /tab (F-058)</t>
        </is>
      </c>
    </row>
    <row r="29" ht="26.25" customHeight="1" s="22">
      <c r="A29" s="27" t="inlineStr">
        <is>
          <t>ST-026</t>
        </is>
      </c>
      <c r="B29" s="27" t="inlineStr">
        <is>
          <t>F3</t>
        </is>
      </c>
      <c r="C29" s="27" t="inlineStr">
        <is>
          <t>S5</t>
        </is>
      </c>
      <c r="D29" s="27" t="n">
        <v>3</v>
      </c>
      <c r="E29" s="27" t="inlineStr">
        <is>
          <t>src/checklists.ts + src/moduleBase.ts</t>
        </is>
      </c>
      <c r="F29" s="27" t="inlineStr">
        <is>
          <t>tests/features.test.ts + tests/moduleBase.test.ts</t>
        </is>
      </c>
      <c r="G29" s="49" t="inlineStr">
        <is>
          <t>Done</t>
        </is>
      </c>
      <c r="H29" s="27" t="inlineStr">
        <is>
          <t>Built + covered at 100% this session</t>
        </is>
      </c>
    </row>
    <row r="30" ht="26.25" customHeight="1" s="22">
      <c r="A30" s="27" t="inlineStr">
        <is>
          <t>ST-027</t>
        </is>
      </c>
      <c r="B30" s="27" t="inlineStr">
        <is>
          <t>F3</t>
        </is>
      </c>
      <c r="C30" s="27" t="inlineStr">
        <is>
          <t>S5</t>
        </is>
      </c>
      <c r="D30" s="27" t="n">
        <v>3</v>
      </c>
      <c r="E30" s="27" t="inlineStr">
        <is>
          <t>src/checklists.ts + src/moduleBase.ts</t>
        </is>
      </c>
      <c r="F30" s="27" t="inlineStr">
        <is>
          <t>tests/features.test.ts + tests/moduleBase.test.ts</t>
        </is>
      </c>
      <c r="G30" s="49" t="inlineStr">
        <is>
          <t>Done</t>
        </is>
      </c>
      <c r="H30" s="27" t="inlineStr">
        <is>
          <t>Built + covered at 100% this session</t>
        </is>
      </c>
    </row>
    <row r="31" ht="26.25" customHeight="1" s="22">
      <c r="A31" s="27" t="inlineStr">
        <is>
          <t>ST-028</t>
        </is>
      </c>
      <c r="B31" s="27" t="inlineStr">
        <is>
          <t>F3</t>
        </is>
      </c>
      <c r="C31" s="27" t="inlineStr">
        <is>
          <t>S5</t>
        </is>
      </c>
      <c r="D31" s="27" t="n">
        <v>2</v>
      </c>
      <c r="E31" s="27" t="inlineStr">
        <is>
          <t>src/checklists.ts + src/moduleBase.ts</t>
        </is>
      </c>
      <c r="F31" s="27" t="inlineStr">
        <is>
          <t>tests/features.test.ts + tests/moduleBase.test.ts</t>
        </is>
      </c>
      <c r="G31" s="49" t="inlineStr">
        <is>
          <t>Done</t>
        </is>
      </c>
      <c r="H31" s="27" t="inlineStr">
        <is>
          <t>Built + covered at 100% this session</t>
        </is>
      </c>
    </row>
    <row r="32" ht="26.25" customHeight="1" s="22">
      <c r="A32" s="27" t="inlineStr">
        <is>
          <t>ST-029</t>
        </is>
      </c>
      <c r="B32" s="27" t="inlineStr">
        <is>
          <t>F3</t>
        </is>
      </c>
      <c r="C32" s="27" t="inlineStr">
        <is>
          <t>S5</t>
        </is>
      </c>
      <c r="D32" s="27" t="n">
        <v>5</v>
      </c>
      <c r="E32" s="27" t="inlineStr">
        <is>
          <t>src/checklists.ts + src/moduleBase.ts</t>
        </is>
      </c>
      <c r="F32" s="27" t="inlineStr">
        <is>
          <t>tests/features.test.ts + tests/moduleBase.test.ts</t>
        </is>
      </c>
      <c r="G32" s="49" t="inlineStr">
        <is>
          <t>Done</t>
        </is>
      </c>
      <c r="H32" s="27" t="inlineStr">
        <is>
          <t>Built + covered at 100% this session</t>
        </is>
      </c>
    </row>
    <row r="33" ht="26.25" customHeight="1" s="22">
      <c r="A33" s="27" t="inlineStr">
        <is>
          <t>ST-030</t>
        </is>
      </c>
      <c r="B33" s="27" t="inlineStr">
        <is>
          <t>F3</t>
        </is>
      </c>
      <c r="C33" s="27" t="inlineStr">
        <is>
          <t>S5</t>
        </is>
      </c>
      <c r="D33" s="27" t="n">
        <v>3</v>
      </c>
      <c r="E33" s="27" t="inlineStr">
        <is>
          <t>src/notifications.ts + src/notificationDispatcher.ts</t>
        </is>
      </c>
      <c r="F33" s="27" t="inlineStr">
        <is>
          <t>tests/notificationDispatcher.test.ts</t>
        </is>
      </c>
      <c r="G33" s="49" t="inlineStr">
        <is>
          <t>Done</t>
        </is>
      </c>
      <c r="H33" s="27" t="inlineStr">
        <is>
          <t>Delivery implemented on both channels with independent failure handling (F-034); live send verified by sweep step SW-18</t>
        </is>
      </c>
    </row>
    <row r="34" ht="26.25" customHeight="1" s="22">
      <c r="A34" s="27" t="inlineStr">
        <is>
          <t>ST-031</t>
        </is>
      </c>
      <c r="B34" s="27" t="inlineStr">
        <is>
          <t>F4</t>
        </is>
      </c>
      <c r="C34" s="27" t="inlineStr">
        <is>
          <t>S6</t>
        </is>
      </c>
      <c r="D34" s="27" t="n">
        <v>5</v>
      </c>
      <c r="E34" s="27" t="inlineStr">
        <is>
          <t>src/kudos.ts + src/moduleBase.ts</t>
        </is>
      </c>
      <c r="F34" s="27" t="inlineStr">
        <is>
          <t>tests/features.test.ts + tests/moduleBase.test.ts</t>
        </is>
      </c>
      <c r="G34" s="49" t="inlineStr">
        <is>
          <t>Done</t>
        </is>
      </c>
      <c r="H34" s="27" t="inlineStr">
        <is>
          <t>Built + covered at 100% this session</t>
        </is>
      </c>
    </row>
    <row r="35" ht="26.25" customHeight="1" s="22">
      <c r="A35" s="27" t="inlineStr">
        <is>
          <t>ST-032</t>
        </is>
      </c>
      <c r="B35" s="27" t="inlineStr">
        <is>
          <t>F4</t>
        </is>
      </c>
      <c r="C35" s="27" t="inlineStr">
        <is>
          <t>S6</t>
        </is>
      </c>
      <c r="D35" s="27" t="n">
        <v>8</v>
      </c>
      <c r="E35" s="27" t="inlineStr">
        <is>
          <t>src/kudos.ts + src/moduleBase.ts</t>
        </is>
      </c>
      <c r="F35" s="27" t="inlineStr">
        <is>
          <t>tests/features.test.ts + tests/moduleBase.test.ts</t>
        </is>
      </c>
      <c r="G35" s="49" t="inlineStr">
        <is>
          <t>Done</t>
        </is>
      </c>
      <c r="H35" s="27" t="inlineStr">
        <is>
          <t>Built + covered at 100% this session | State now persisted via src/persistence.ts — survives restart/blue-green (GAP-SD8b)</t>
        </is>
      </c>
    </row>
    <row r="36" ht="26.25" customHeight="1" s="22">
      <c r="A36" s="27" t="inlineStr">
        <is>
          <t>ST-033</t>
        </is>
      </c>
      <c r="B36" s="27" t="inlineStr">
        <is>
          <t>F4</t>
        </is>
      </c>
      <c r="C36" s="27" t="inlineStr">
        <is>
          <t>S6</t>
        </is>
      </c>
      <c r="D36" s="27" t="n">
        <v>5</v>
      </c>
      <c r="E36" s="27" t="inlineStr">
        <is>
          <t>src/kudos.ts + src/moduleBase.ts</t>
        </is>
      </c>
      <c r="F36" s="27" t="inlineStr">
        <is>
          <t>tests/features.test.ts + tests/moduleBase.test.ts</t>
        </is>
      </c>
      <c r="G36" s="49" t="inlineStr">
        <is>
          <t>Done</t>
        </is>
      </c>
      <c r="H36" s="27" t="inlineStr">
        <is>
          <t>Built + covered at 100% this session</t>
        </is>
      </c>
    </row>
    <row r="37" ht="26.25" customHeight="1" s="22">
      <c r="A37" s="27" t="inlineStr">
        <is>
          <t>ST-034</t>
        </is>
      </c>
      <c r="B37" s="27" t="inlineStr">
        <is>
          <t>F4</t>
        </is>
      </c>
      <c r="C37" s="27" t="inlineStr">
        <is>
          <t>S6</t>
        </is>
      </c>
      <c r="D37" s="27" t="n">
        <v>3</v>
      </c>
      <c r="E37" s="27" t="inlineStr">
        <is>
          <t>src/kudos.ts + src/moduleBase.ts</t>
        </is>
      </c>
      <c r="F37" s="27" t="inlineStr">
        <is>
          <t>tests/features.test.ts + tests/moduleBase.test.ts</t>
        </is>
      </c>
      <c r="G37" s="49" t="inlineStr">
        <is>
          <t>Done</t>
        </is>
      </c>
      <c r="H37" s="27" t="inlineStr">
        <is>
          <t>Built + covered at 100% this session</t>
        </is>
      </c>
    </row>
    <row r="38" ht="26.25" customHeight="1" s="22">
      <c r="A38" s="27" t="inlineStr">
        <is>
          <t>ST-035</t>
        </is>
      </c>
      <c r="B38" s="27" t="inlineStr">
        <is>
          <t>F4</t>
        </is>
      </c>
      <c r="C38" s="27" t="inlineStr">
        <is>
          <t>S6</t>
        </is>
      </c>
      <c r="D38" s="27" t="n">
        <v>5</v>
      </c>
      <c r="E38" s="27" t="inlineStr">
        <is>
          <t>src/ui/screens.tsx + web/TabShell.tsx + src/server.ts</t>
        </is>
      </c>
      <c r="F38" s="27" t="inlineStr">
        <is>
          <t>tests/ui.screens.test.tsx + tests/tab.test.tsx</t>
        </is>
      </c>
      <c r="G38" s="50" t="inlineStr">
        <is>
          <t>Code-complete pending live</t>
        </is>
      </c>
      <c r="H38" s="27" t="inlineStr">
        <is>
          <t>Surface now full-stack incl. HTTP layer (GAP-SD5): client paths served + authenticated; only in-client render pending | Tab assets served by the app itself at /tab (F-058)</t>
        </is>
      </c>
    </row>
    <row r="39" ht="26.25" customHeight="1" s="22">
      <c r="A39" s="27" t="inlineStr">
        <is>
          <t>ST-036</t>
        </is>
      </c>
      <c r="B39" s="27" t="inlineStr">
        <is>
          <t>F4</t>
        </is>
      </c>
      <c r="C39" s="27" t="inlineStr">
        <is>
          <t>S6</t>
        </is>
      </c>
      <c r="D39" s="27" t="n">
        <v>3</v>
      </c>
      <c r="E39" s="27" t="inlineStr">
        <is>
          <t>src/kudos.ts + src/moduleBase.ts</t>
        </is>
      </c>
      <c r="F39" s="27" t="inlineStr">
        <is>
          <t>tests/features.test.ts + tests/moduleBase.test.ts</t>
        </is>
      </c>
      <c r="G39" s="49" t="inlineStr">
        <is>
          <t>Done</t>
        </is>
      </c>
      <c r="H39" s="27" t="inlineStr">
        <is>
          <t>Built + covered at 100% this session</t>
        </is>
      </c>
    </row>
    <row r="40" ht="26.25" customHeight="1" s="22">
      <c r="A40" s="27" t="inlineStr">
        <is>
          <t>ST-037</t>
        </is>
      </c>
      <c r="B40" s="27" t="inlineStr">
        <is>
          <t>F4</t>
        </is>
      </c>
      <c r="C40" s="27" t="inlineStr">
        <is>
          <t>S6</t>
        </is>
      </c>
      <c r="D40" s="27" t="n">
        <v>3</v>
      </c>
      <c r="E40" s="27" t="inlineStr">
        <is>
          <t>src/kudos.ts + src/moduleBase.ts</t>
        </is>
      </c>
      <c r="F40" s="27" t="inlineStr">
        <is>
          <t>tests/features.test.ts + tests/moduleBase.test.ts</t>
        </is>
      </c>
      <c r="G40" s="49" t="inlineStr">
        <is>
          <t>Done</t>
        </is>
      </c>
      <c r="H40" s="27" t="inlineStr">
        <is>
          <t>Built + covered at 100% this session</t>
        </is>
      </c>
    </row>
    <row r="41" ht="26.25" customHeight="1" s="22">
      <c r="A41" s="27" t="inlineStr">
        <is>
          <t>ST-038</t>
        </is>
      </c>
      <c r="B41" s="27" t="inlineStr">
        <is>
          <t>F4</t>
        </is>
      </c>
      <c r="C41" s="27" t="inlineStr">
        <is>
          <t>S6</t>
        </is>
      </c>
      <c r="D41" s="27" t="n">
        <v>2</v>
      </c>
      <c r="E41" s="27" t="inlineStr">
        <is>
          <t>src/kudos.ts + src/moduleBase.ts</t>
        </is>
      </c>
      <c r="F41" s="27" t="inlineStr">
        <is>
          <t>tests/features.test.ts + tests/moduleBase.test.ts</t>
        </is>
      </c>
      <c r="G41" s="49" t="inlineStr">
        <is>
          <t>Done</t>
        </is>
      </c>
      <c r="H41" s="27" t="inlineStr">
        <is>
          <t>Built + covered at 100% this session</t>
        </is>
      </c>
    </row>
    <row r="42" ht="26.25" customHeight="1" s="22">
      <c r="A42" s="27" t="inlineStr">
        <is>
          <t>ST-039</t>
        </is>
      </c>
      <c r="B42" s="27" t="inlineStr">
        <is>
          <t>F4</t>
        </is>
      </c>
      <c r="C42" s="27" t="inlineStr">
        <is>
          <t>S6</t>
        </is>
      </c>
      <c r="D42" s="27" t="n">
        <v>5</v>
      </c>
      <c r="E42" s="27" t="inlineStr">
        <is>
          <t>src/kudos.ts + src/moduleBase.ts</t>
        </is>
      </c>
      <c r="F42" s="27" t="inlineStr">
        <is>
          <t>tests/features.test.ts + tests/moduleBase.test.ts</t>
        </is>
      </c>
      <c r="G42" s="49" t="inlineStr">
        <is>
          <t>Done</t>
        </is>
      </c>
      <c r="H42" s="27" t="inlineStr">
        <is>
          <t>Built + covered at 100% this session</t>
        </is>
      </c>
    </row>
    <row r="43" ht="26.25" customHeight="1" s="22">
      <c r="A43" s="27" t="inlineStr">
        <is>
          <t>ST-040</t>
        </is>
      </c>
      <c r="B43" s="27" t="inlineStr">
        <is>
          <t>F4</t>
        </is>
      </c>
      <c r="C43" s="27" t="inlineStr">
        <is>
          <t>S6</t>
        </is>
      </c>
      <c r="D43" s="27" t="n">
        <v>3</v>
      </c>
      <c r="E43" s="27" t="inlineStr">
        <is>
          <t>src/notifications.ts + src/notificationDispatcher.ts</t>
        </is>
      </c>
      <c r="F43" s="27" t="inlineStr">
        <is>
          <t>tests/notificationDispatcher.test.ts</t>
        </is>
      </c>
      <c r="G43" s="49" t="inlineStr">
        <is>
          <t>Done</t>
        </is>
      </c>
      <c r="H43" s="27" t="inlineStr">
        <is>
          <t>Delivery implemented on both channels with independent failure handling (F-034); live send verified by sweep step SW-18</t>
        </is>
      </c>
    </row>
    <row r="44" ht="15" customHeight="1" s="22">
      <c r="A44" s="27" t="inlineStr">
        <is>
          <t>ST-041</t>
        </is>
      </c>
      <c r="B44" s="27" t="inlineStr">
        <is>
          <t>F5</t>
        </is>
      </c>
      <c r="C44" s="27" t="inlineStr">
        <is>
          <t>S8</t>
        </is>
      </c>
      <c r="D44" s="27" t="n">
        <v>5</v>
      </c>
      <c r="E44" s="27" t="inlineStr">
        <is>
          <t>src/dashboardManager.ts</t>
        </is>
      </c>
      <c r="F44" s="27" t="inlineStr">
        <is>
          <t>tests/dashboard.test.ts</t>
        </is>
      </c>
      <c r="G44" s="49" t="inlineStr">
        <is>
          <t>Done</t>
        </is>
      </c>
      <c r="H44" s="27" t="inlineStr">
        <is>
          <t>Built + covered at 100% this session</t>
        </is>
      </c>
    </row>
    <row r="45" ht="15" customHeight="1" s="22">
      <c r="A45" s="27" t="inlineStr">
        <is>
          <t>ST-042</t>
        </is>
      </c>
      <c r="B45" s="27" t="inlineStr">
        <is>
          <t>F5</t>
        </is>
      </c>
      <c r="C45" s="27" t="inlineStr">
        <is>
          <t>S8</t>
        </is>
      </c>
      <c r="D45" s="27" t="n">
        <v>8</v>
      </c>
      <c r="E45" s="27" t="inlineStr">
        <is>
          <t>src/dashboardManager.ts</t>
        </is>
      </c>
      <c r="F45" s="27" t="inlineStr">
        <is>
          <t>tests/dashboard.test.ts</t>
        </is>
      </c>
      <c r="G45" s="49" t="inlineStr">
        <is>
          <t>Done</t>
        </is>
      </c>
      <c r="H45" s="27" t="inlineStr">
        <is>
          <t>Built + covered at 100% this session</t>
        </is>
      </c>
    </row>
    <row r="46" ht="15" customHeight="1" s="22">
      <c r="A46" s="27" t="inlineStr">
        <is>
          <t>ST-043</t>
        </is>
      </c>
      <c r="B46" s="27" t="inlineStr">
        <is>
          <t>F5</t>
        </is>
      </c>
      <c r="C46" s="27" t="inlineStr">
        <is>
          <t>S8</t>
        </is>
      </c>
      <c r="D46" s="27" t="n">
        <v>5</v>
      </c>
      <c r="E46" s="27" t="inlineStr">
        <is>
          <t>src/dashboardManager.ts</t>
        </is>
      </c>
      <c r="F46" s="27" t="inlineStr">
        <is>
          <t>tests/dashboard.test.ts</t>
        </is>
      </c>
      <c r="G46" s="49" t="inlineStr">
        <is>
          <t>Done</t>
        </is>
      </c>
      <c r="H46" s="27" t="inlineStr">
        <is>
          <t>Built + covered at 100% this session</t>
        </is>
      </c>
    </row>
    <row r="47" ht="15" customHeight="1" s="22">
      <c r="A47" s="27" t="inlineStr">
        <is>
          <t>ST-044</t>
        </is>
      </c>
      <c r="B47" s="27" t="inlineStr">
        <is>
          <t>F5</t>
        </is>
      </c>
      <c r="C47" s="27" t="inlineStr">
        <is>
          <t>S8</t>
        </is>
      </c>
      <c r="D47" s="27" t="n">
        <v>3</v>
      </c>
      <c r="E47" s="27" t="inlineStr">
        <is>
          <t>src/dashboardManager.ts</t>
        </is>
      </c>
      <c r="F47" s="27" t="inlineStr">
        <is>
          <t>tests/dashboard.test.ts</t>
        </is>
      </c>
      <c r="G47" s="49" t="inlineStr">
        <is>
          <t>Done</t>
        </is>
      </c>
      <c r="H47" s="27" t="inlineStr">
        <is>
          <t>Built + covered at 100% this session</t>
        </is>
      </c>
    </row>
    <row r="48" ht="26.25" customHeight="1" s="22">
      <c r="A48" s="27" t="inlineStr">
        <is>
          <t>ST-045</t>
        </is>
      </c>
      <c r="B48" s="27" t="inlineStr">
        <is>
          <t>F5</t>
        </is>
      </c>
      <c r="C48" s="27" t="inlineStr">
        <is>
          <t>S8</t>
        </is>
      </c>
      <c r="D48" s="27" t="n">
        <v>5</v>
      </c>
      <c r="E48" s="27" t="inlineStr">
        <is>
          <t>src/ui/screens.tsx + web/TabShell.tsx + src/server.ts</t>
        </is>
      </c>
      <c r="F48" s="27" t="inlineStr">
        <is>
          <t>tests/ui.screens.test.tsx + tests/tab.test.tsx</t>
        </is>
      </c>
      <c r="G48" s="50" t="inlineStr">
        <is>
          <t>Code-complete pending live</t>
        </is>
      </c>
      <c r="H48" s="27" t="inlineStr">
        <is>
          <t>Surface now full-stack incl. HTTP layer (GAP-SD5): client paths served + authenticated; only in-client render pending | Screen now reachable as a declared tab (F-038) | Tab assets served by the app itself at /tab (F-058)</t>
        </is>
      </c>
    </row>
    <row r="49" ht="15" customHeight="1" s="22">
      <c r="A49" s="27" t="inlineStr">
        <is>
          <t>ST-046</t>
        </is>
      </c>
      <c r="B49" s="27" t="inlineStr">
        <is>
          <t>F5</t>
        </is>
      </c>
      <c r="C49" s="27" t="inlineStr">
        <is>
          <t>S8</t>
        </is>
      </c>
      <c r="D49" s="27" t="n">
        <v>3</v>
      </c>
      <c r="E49" s="27" t="inlineStr">
        <is>
          <t>src/dashboardManager.ts</t>
        </is>
      </c>
      <c r="F49" s="27" t="inlineStr">
        <is>
          <t>tests/dashboard.test.ts</t>
        </is>
      </c>
      <c r="G49" s="49" t="inlineStr">
        <is>
          <t>Done</t>
        </is>
      </c>
      <c r="H49" s="27" t="inlineStr">
        <is>
          <t>Built + covered at 100% this session</t>
        </is>
      </c>
    </row>
    <row r="50" ht="15" customHeight="1" s="22">
      <c r="A50" s="27" t="inlineStr">
        <is>
          <t>ST-047</t>
        </is>
      </c>
      <c r="B50" s="27" t="inlineStr">
        <is>
          <t>F5</t>
        </is>
      </c>
      <c r="C50" s="27" t="inlineStr">
        <is>
          <t>S8</t>
        </is>
      </c>
      <c r="D50" s="27" t="n">
        <v>3</v>
      </c>
      <c r="E50" s="27" t="inlineStr">
        <is>
          <t>src/dashboardManager.ts</t>
        </is>
      </c>
      <c r="F50" s="27" t="inlineStr">
        <is>
          <t>tests/dashboard.test.ts</t>
        </is>
      </c>
      <c r="G50" s="49" t="inlineStr">
        <is>
          <t>Done</t>
        </is>
      </c>
      <c r="H50" s="27" t="inlineStr">
        <is>
          <t>Built + covered at 100% this session</t>
        </is>
      </c>
    </row>
    <row r="51" ht="15" customHeight="1" s="22">
      <c r="A51" s="27" t="inlineStr">
        <is>
          <t>ST-048</t>
        </is>
      </c>
      <c r="B51" s="27" t="inlineStr">
        <is>
          <t>F5</t>
        </is>
      </c>
      <c r="C51" s="27" t="inlineStr">
        <is>
          <t>S8</t>
        </is>
      </c>
      <c r="D51" s="27" t="n">
        <v>2</v>
      </c>
      <c r="E51" s="27" t="inlineStr">
        <is>
          <t>src/dashboardManager.ts</t>
        </is>
      </c>
      <c r="F51" s="27" t="inlineStr">
        <is>
          <t>tests/dashboard.test.ts</t>
        </is>
      </c>
      <c r="G51" s="49" t="inlineStr">
        <is>
          <t>Done</t>
        </is>
      </c>
      <c r="H51" s="27" t="inlineStr">
        <is>
          <t>Built + covered at 100% this session</t>
        </is>
      </c>
    </row>
    <row r="52" ht="15" customHeight="1" s="22">
      <c r="A52" s="27" t="inlineStr">
        <is>
          <t>ST-049</t>
        </is>
      </c>
      <c r="B52" s="27" t="inlineStr">
        <is>
          <t>F5</t>
        </is>
      </c>
      <c r="C52" s="27" t="inlineStr">
        <is>
          <t>S8</t>
        </is>
      </c>
      <c r="D52" s="27" t="n">
        <v>5</v>
      </c>
      <c r="E52" s="27" t="inlineStr">
        <is>
          <t>src/dashboardManager.ts</t>
        </is>
      </c>
      <c r="F52" s="27" t="inlineStr">
        <is>
          <t>tests/dashboard.test.ts</t>
        </is>
      </c>
      <c r="G52" s="49" t="inlineStr">
        <is>
          <t>Done</t>
        </is>
      </c>
      <c r="H52" s="27" t="inlineStr">
        <is>
          <t>Built + covered at 100% this session</t>
        </is>
      </c>
    </row>
    <row r="53" ht="15" customHeight="1" s="22">
      <c r="A53" s="27" t="inlineStr">
        <is>
          <t>ST-050</t>
        </is>
      </c>
      <c r="B53" s="27" t="inlineStr">
        <is>
          <t>F5</t>
        </is>
      </c>
      <c r="C53" s="27" t="inlineStr">
        <is>
          <t>S8</t>
        </is>
      </c>
      <c r="D53" s="27" t="n">
        <v>3</v>
      </c>
      <c r="E53" s="27" t="inlineStr">
        <is>
          <t>src/notifications.ts + src/notificationDispatcher.ts</t>
        </is>
      </c>
      <c r="F53" s="27" t="inlineStr">
        <is>
          <t>tests/notificationDispatcher.test.ts</t>
        </is>
      </c>
      <c r="G53" s="49" t="inlineStr">
        <is>
          <t>Done</t>
        </is>
      </c>
      <c r="H53" s="27" t="inlineStr">
        <is>
          <t>Delivery implemented on both channels with independent failure handling (F-034); live send verified by sweep step SW-18</t>
        </is>
      </c>
    </row>
    <row r="54" ht="26.25" customHeight="1" s="22">
      <c r="A54" s="27" t="inlineStr">
        <is>
          <t>ST-051</t>
        </is>
      </c>
      <c r="B54" s="27" t="inlineStr">
        <is>
          <t>E1</t>
        </is>
      </c>
      <c r="C54" s="27" t="inlineStr">
        <is>
          <t>S1</t>
        </is>
      </c>
      <c r="D54" s="27" t="n">
        <v>5</v>
      </c>
      <c r="E54" s="27" t="inlineStr">
        <is>
          <t>src/install.ts + src/botTransport.ts</t>
        </is>
      </c>
      <c r="F54" s="27" t="inlineStr">
        <is>
          <t>tests/install.test.ts + tests/botTransport.test.ts</t>
        </is>
      </c>
      <c r="G54" s="50" t="inlineStr">
        <is>
          <t>Code-complete pending live</t>
        </is>
      </c>
      <c r="H54" s="27" t="inlineStr">
        <is>
          <t>Welcome now actually has a delivery path: conversationUpdate/membersAdded -&gt; Connector send (VER-SD12); &lt;2 min timing still proven only in the live tenant | Sweep now executable: npm run sweep produces the S1-07 evidence report | npm run package produces a validated, root-level sideload zip | npm start ships; clean-checkout rehearsal passed 8/8 automated checks | Welcome message now has a wired sender (F-059)</t>
        </is>
      </c>
    </row>
    <row r="55" ht="26.25" customHeight="1" s="22">
      <c r="A55" s="27" t="inlineStr">
        <is>
          <t>ST-052</t>
        </is>
      </c>
      <c r="B55" s="27" t="inlineStr">
        <is>
          <t>E1</t>
        </is>
      </c>
      <c r="C55" s="27" t="inlineStr">
        <is>
          <t>S1</t>
        </is>
      </c>
      <c r="D55" s="27" t="n">
        <v>3</v>
      </c>
      <c r="E55" s="27" t="inlineStr">
        <is>
          <t>src/tenantLifecycle.ts</t>
        </is>
      </c>
      <c r="F55" s="27" t="inlineStr">
        <is>
          <t>tests/tenantLifecycle.test.ts</t>
        </is>
      </c>
      <c r="G55" s="49" t="inlineStr">
        <is>
          <t>Done</t>
        </is>
      </c>
      <c r="H55" s="27" t="inlineStr">
        <is>
          <t>Deletion implemented end to end against the store and pinned (F-029); live verification via sweep step SW-14 | Triggered by real install/uninstall activities and swept hourly (F-060/F-061)</t>
        </is>
      </c>
    </row>
    <row r="56" ht="26.25" customHeight="1" s="22">
      <c r="A56" s="27" t="inlineStr">
        <is>
          <t>ST-053</t>
        </is>
      </c>
      <c r="B56" s="27" t="inlineStr">
        <is>
          <t>E1</t>
        </is>
      </c>
      <c r="C56" s="27" t="inlineStr">
        <is>
          <t>S2</t>
        </is>
      </c>
      <c r="D56" s="27" t="n">
        <v>3</v>
      </c>
      <c r="E56" s="27" t="inlineStr">
        <is>
          <t>src/install.ts + src/platformGateway.ts</t>
        </is>
      </c>
      <c r="F56" s="27" t="inlineStr">
        <is>
          <t>tests/install.test.ts + tests/platformGateway.test.ts</t>
        </is>
      </c>
      <c r="G56" s="49" t="inlineStr">
        <is>
          <t>Done</t>
        </is>
      </c>
      <c r="H56" s="27" t="inlineStr">
        <is>
          <t>Built + covered at 100% this session | Lifecycle state now persisted — survives restart/blue-green (persistence slice 2) | Triggered by real install/uninstall activities and swept hourly (F-060/F-061)</t>
        </is>
      </c>
    </row>
    <row r="57" ht="26.25" customHeight="1" s="22">
      <c r="A57" s="27" t="inlineStr">
        <is>
          <t>ST-054</t>
        </is>
      </c>
      <c r="B57" s="27" t="inlineStr">
        <is>
          <t>E1</t>
        </is>
      </c>
      <c r="C57" s="27" t="inlineStr">
        <is>
          <t>S2</t>
        </is>
      </c>
      <c r="D57" s="27" t="n">
        <v>5</v>
      </c>
      <c r="E57" s="27" t="inlineStr">
        <is>
          <t>src/rbac.ts + src/graphMembers.ts</t>
        </is>
      </c>
      <c r="F57" s="27" t="inlineStr">
        <is>
          <t>tests/rbac.test.ts + tests/graphMembers.test.ts</t>
        </is>
      </c>
      <c r="G57" s="49" t="inlineStr">
        <is>
          <t>Done</t>
        </is>
      </c>
      <c r="H57" s="27" t="inlineStr">
        <is>
          <t>Role matrix now sourced from Graph team membership (GAP-SD6) — owners to admins, deny-safe on outage; live resolution pending the dev tenant | Tenant isolation enforced per request via src/tenantRegistry.ts (F-026) | Permission enforced at a named site, bound by contract test (F-030) | Roles wired at runtime with a least-privilege fallback (F-062)</t>
        </is>
      </c>
    </row>
    <row r="58" ht="26.25" customHeight="1" s="22">
      <c r="A58" s="27" t="inlineStr">
        <is>
          <t>ST-055</t>
        </is>
      </c>
      <c r="B58" s="27" t="inlineStr">
        <is>
          <t>E1</t>
        </is>
      </c>
      <c r="C58" s="27" t="inlineStr">
        <is>
          <t>S1</t>
        </is>
      </c>
      <c r="D58" s="27" t="n">
        <v>3</v>
      </c>
      <c r="E58" s="27" t="inlineStr">
        <is>
          <t>src/install.ts + src/platformGateway.ts</t>
        </is>
      </c>
      <c r="F58" s="27" t="inlineStr">
        <is>
          <t>tests/install.test.ts + tests/platformGateway.test.ts</t>
        </is>
      </c>
      <c r="G58" s="49" t="inlineStr">
        <is>
          <t>Done</t>
        </is>
      </c>
      <c r="H58" s="27" t="inlineStr">
        <is>
          <t>Built + covered at 100% this session</t>
        </is>
      </c>
    </row>
    <row r="59" ht="26.25" customHeight="1" s="22">
      <c r="A59" s="27" t="inlineStr">
        <is>
          <t>ST-056</t>
        </is>
      </c>
      <c r="B59" s="27" t="inlineStr">
        <is>
          <t>E1</t>
        </is>
      </c>
      <c r="C59" s="27" t="inlineStr">
        <is>
          <t>S1</t>
        </is>
      </c>
      <c r="D59" s="27" t="n">
        <v>2</v>
      </c>
      <c r="E59" s="27" t="inlineStr">
        <is>
          <t>src/install.ts + src/platformGateway.ts</t>
        </is>
      </c>
      <c r="F59" s="27" t="inlineStr">
        <is>
          <t>tests/install.test.ts + tests/platformGateway.test.ts</t>
        </is>
      </c>
      <c r="G59" s="49" t="inlineStr">
        <is>
          <t>Done</t>
        </is>
      </c>
      <c r="H59" s="27" t="inlineStr">
        <is>
          <t>Built + covered at 100% this session</t>
        </is>
      </c>
    </row>
    <row r="60" ht="15" customHeight="1" s="22">
      <c r="A60" s="27" t="inlineStr">
        <is>
          <t>ST-057</t>
        </is>
      </c>
      <c r="B60" s="27" t="inlineStr">
        <is>
          <t>E5</t>
        </is>
      </c>
      <c r="C60" s="27" t="inlineStr">
        <is>
          <t>S6</t>
        </is>
      </c>
      <c r="D60" s="27" t="n">
        <v>5</v>
      </c>
      <c r="E60" s="27" t="inlineStr">
        <is>
          <t>src/billing.ts + src/entitlements.ts</t>
        </is>
      </c>
      <c r="F60" s="27" t="inlineStr">
        <is>
          <t>tests/entitlements.test.ts</t>
        </is>
      </c>
      <c r="G60" s="49" t="inlineStr">
        <is>
          <t>Done</t>
        </is>
      </c>
      <c r="H60" s="27" t="inlineStr">
        <is>
          <t>Billing state and seat cap now gate writes at the request boundary; reads never blocked (F-031/032/033)</t>
        </is>
      </c>
    </row>
    <row r="61" ht="15" customHeight="1" s="22">
      <c r="A61" s="27" t="inlineStr">
        <is>
          <t>ST-058</t>
        </is>
      </c>
      <c r="B61" s="27" t="inlineStr">
        <is>
          <t>E5</t>
        </is>
      </c>
      <c r="C61" s="27" t="inlineStr">
        <is>
          <t>S6</t>
        </is>
      </c>
      <c r="D61" s="27" t="n">
        <v>5</v>
      </c>
      <c r="E61" s="27" t="inlineStr">
        <is>
          <t>src/billing.ts</t>
        </is>
      </c>
      <c r="F61" s="27" t="inlineStr">
        <is>
          <t>tests/billing.test.ts</t>
        </is>
      </c>
      <c r="G61" s="49" t="inlineStr">
        <is>
          <t>Done</t>
        </is>
      </c>
      <c r="H61" s="27" t="inlineStr">
        <is>
          <t>Built + covered at 100% this session</t>
        </is>
      </c>
    </row>
    <row r="62" ht="26.25" customHeight="1" s="22">
      <c r="A62" s="27" t="inlineStr">
        <is>
          <t>ST-059</t>
        </is>
      </c>
      <c r="B62" s="27" t="inlineStr">
        <is>
          <t>E5</t>
        </is>
      </c>
      <c r="C62" s="27" t="inlineStr">
        <is>
          <t>S6</t>
        </is>
      </c>
      <c r="D62" s="27" t="n">
        <v>8</v>
      </c>
      <c r="E62" s="27" t="inlineStr">
        <is>
          <t>src/billing.ts</t>
        </is>
      </c>
      <c r="F62" s="27" t="inlineStr">
        <is>
          <t>tests/billing.test.ts</t>
        </is>
      </c>
      <c r="G62" s="50" t="inlineStr">
        <is>
          <t>Code-complete pending live</t>
        </is>
      </c>
      <c r="H62" s="27" t="inlineStr">
        <is>
          <t>Billing logic done; marketplace transactable API mocked</t>
        </is>
      </c>
    </row>
    <row r="63" ht="15" customHeight="1" s="22">
      <c r="A63" s="27" t="inlineStr">
        <is>
          <t>ST-060</t>
        </is>
      </c>
      <c r="B63" s="27" t="inlineStr">
        <is>
          <t>E5</t>
        </is>
      </c>
      <c r="C63" s="27" t="inlineStr">
        <is>
          <t>S7</t>
        </is>
      </c>
      <c r="D63" s="27" t="n">
        <v>3</v>
      </c>
      <c r="E63" s="27" t="inlineStr">
        <is>
          <t>src/billing.ts + src/entitlements.ts</t>
        </is>
      </c>
      <c r="F63" s="27" t="inlineStr">
        <is>
          <t>tests/entitlements.test.ts</t>
        </is>
      </c>
      <c r="G63" s="49" t="inlineStr">
        <is>
          <t>Done</t>
        </is>
      </c>
      <c r="H63" s="27" t="inlineStr">
        <is>
          <t>Billing state and seat cap now gate writes at the request boundary; reads never blocked (F-031/032/033)</t>
        </is>
      </c>
    </row>
    <row r="64" ht="15" customHeight="1" s="22">
      <c r="A64" s="27" t="inlineStr">
        <is>
          <t>ST-061</t>
        </is>
      </c>
      <c r="B64" s="27" t="inlineStr">
        <is>
          <t>E5</t>
        </is>
      </c>
      <c r="C64" s="27" t="inlineStr">
        <is>
          <t>S7</t>
        </is>
      </c>
      <c r="D64" s="27" t="n">
        <v>3</v>
      </c>
      <c r="E64" s="27" t="inlineStr">
        <is>
          <t>src/billing.ts + src/entitlements.ts</t>
        </is>
      </c>
      <c r="F64" s="27" t="inlineStr">
        <is>
          <t>tests/entitlements.test.ts</t>
        </is>
      </c>
      <c r="G64" s="49" t="inlineStr">
        <is>
          <t>Done</t>
        </is>
      </c>
      <c r="H64" s="27" t="inlineStr">
        <is>
          <t>Billing state and seat cap now gate writes at the request boundary; reads never blocked (F-031/032/033)</t>
        </is>
      </c>
    </row>
    <row r="65" ht="15" customHeight="1" s="22">
      <c r="A65" s="27" t="inlineStr">
        <is>
          <t>ST-062</t>
        </is>
      </c>
      <c r="B65" s="27" t="inlineStr">
        <is>
          <t>E5</t>
        </is>
      </c>
      <c r="C65" s="27" t="inlineStr">
        <is>
          <t>S7</t>
        </is>
      </c>
      <c r="D65" s="27" t="n">
        <v>3</v>
      </c>
      <c r="E65" s="27" t="inlineStr">
        <is>
          <t>src/billing.ts</t>
        </is>
      </c>
      <c r="F65" s="27" t="inlineStr">
        <is>
          <t>tests/billing.test.ts</t>
        </is>
      </c>
      <c r="G65" s="49" t="inlineStr">
        <is>
          <t>Done</t>
        </is>
      </c>
      <c r="H65" s="27" t="inlineStr">
        <is>
          <t>Built + covered at 100% this session</t>
        </is>
      </c>
    </row>
    <row r="66" ht="15" customHeight="1" s="22">
      <c r="A66" s="27" t="inlineStr">
        <is>
          <t>ST-063</t>
        </is>
      </c>
      <c r="B66" s="27" t="inlineStr">
        <is>
          <t>E5</t>
        </is>
      </c>
      <c r="C66" s="27" t="inlineStr">
        <is>
          <t>S7</t>
        </is>
      </c>
      <c r="D66" s="27" t="n">
        <v>3</v>
      </c>
      <c r="E66" s="27" t="inlineStr">
        <is>
          <t>src/billing.ts + src/entitlements.ts</t>
        </is>
      </c>
      <c r="F66" s="27" t="inlineStr">
        <is>
          <t>tests/entitlements.test.ts</t>
        </is>
      </c>
      <c r="G66" s="49" t="inlineStr">
        <is>
          <t>Done</t>
        </is>
      </c>
      <c r="H66" s="27" t="inlineStr">
        <is>
          <t>Billing state and seat cap now gate writes at the request boundary; reads never blocked (F-031/032/033)</t>
        </is>
      </c>
    </row>
    <row r="67" ht="15" customHeight="1" s="22">
      <c r="A67" s="27" t="inlineStr">
        <is>
          <t>ST-064</t>
        </is>
      </c>
      <c r="B67" s="27" t="inlineStr">
        <is>
          <t>E6</t>
        </is>
      </c>
      <c r="C67" s="27" t="inlineStr">
        <is>
          <t>S7</t>
        </is>
      </c>
      <c r="D67" s="27" t="n">
        <v>3</v>
      </c>
      <c r="E67" s="27" t="inlineStr">
        <is>
          <t>src/privacy.ts + docs/*.md</t>
        </is>
      </c>
      <c r="F67" s="27" t="inlineStr">
        <is>
          <t>tests/privacy.test.ts + tests/manifest.test.ts</t>
        </is>
      </c>
      <c r="G67" s="49" t="inlineStr">
        <is>
          <t>Done</t>
        </is>
      </c>
      <c r="H67" s="27" t="inlineStr">
        <is>
          <t>CORRECTED again (GAP-SD6/SD7): two RSC scopes, each bound by test to a named consumer file; ChannelMessage.Send.Group dropped as unused | Tenant isolation enforced per request via src/tenantRegistry.ts (F-026)</t>
        </is>
      </c>
    </row>
    <row r="68" ht="15" customHeight="1" s="22">
      <c r="A68" s="27" t="inlineStr">
        <is>
          <t>ST-065</t>
        </is>
      </c>
      <c r="B68" s="27" t="inlineStr">
        <is>
          <t>E6</t>
        </is>
      </c>
      <c r="C68" s="27" t="inlineStr">
        <is>
          <t>S8</t>
        </is>
      </c>
      <c r="D68" s="27" t="n">
        <v>3</v>
      </c>
      <c r="E68" s="27" t="inlineStr">
        <is>
          <t>src/tenantLifecycle.ts</t>
        </is>
      </c>
      <c r="F68" s="27" t="inlineStr">
        <is>
          <t>tests/tenantLifecycle.test.ts</t>
        </is>
      </c>
      <c r="G68" s="49" t="inlineStr">
        <is>
          <t>Done</t>
        </is>
      </c>
      <c r="H68" s="27" t="inlineStr">
        <is>
          <t>Deletion implemented end to end against the store and pinned (F-029); live verification via sweep step SW-14 | Triggered by real install/uninstall activities and swept hourly (F-060/F-061)</t>
        </is>
      </c>
    </row>
    <row r="69" ht="26.25" customHeight="1" s="22">
      <c r="A69" s="27" t="inlineStr">
        <is>
          <t>ST-066</t>
        </is>
      </c>
      <c r="B69" s="27" t="inlineStr">
        <is>
          <t>E6</t>
        </is>
      </c>
      <c r="C69" s="27" t="inlineStr">
        <is>
          <t>S8</t>
        </is>
      </c>
      <c r="D69" s="27" t="n">
        <v>5</v>
      </c>
      <c r="E69" s="27" t="inlineStr">
        <is>
          <t>src/crypto.ts + src/encryptedRepository.ts</t>
        </is>
      </c>
      <c r="F69" s="27" t="inlineStr">
        <is>
          <t>tests/encryptedRepository.test.ts</t>
        </is>
      </c>
      <c r="G69" s="50" t="inlineStr">
        <is>
          <t>Code-complete pending live</t>
        </is>
      </c>
      <c r="H69" s="27" t="inlineStr">
        <is>
          <t>Encryption at rest now has a caller: opt-in payload encryption over any repository (F-040); live verification via sweep step SW-22</t>
        </is>
      </c>
    </row>
    <row r="70" ht="15" customHeight="1" s="22">
      <c r="A70" s="27" t="inlineStr">
        <is>
          <t>ST-067</t>
        </is>
      </c>
      <c r="B70" s="27" t="inlineStr">
        <is>
          <t>E6</t>
        </is>
      </c>
      <c r="C70" s="27" t="inlineStr">
        <is>
          <t>S8</t>
        </is>
      </c>
      <c r="D70" s="27" t="n">
        <v>5</v>
      </c>
      <c r="E70" s="27" t="inlineStr">
        <is>
          <t>src/audit.ts</t>
        </is>
      </c>
      <c r="F70" s="27" t="inlineStr">
        <is>
          <t>tests/audit.test.ts</t>
        </is>
      </c>
      <c r="G70" s="49" t="inlineStr">
        <is>
          <t>Done</t>
        </is>
      </c>
      <c r="H70" s="27" t="inlineStr">
        <is>
          <t>Audit covers creation/completion and is drained to the durable per-tenant store after each request (F-037)</t>
        </is>
      </c>
    </row>
    <row r="71" ht="15" customHeight="1" s="22">
      <c r="A71" s="27" t="inlineStr">
        <is>
          <t>ST-068</t>
        </is>
      </c>
      <c r="B71" s="27" t="inlineStr">
        <is>
          <t>E6</t>
        </is>
      </c>
      <c r="C71" s="27" t="inlineStr">
        <is>
          <t>S9</t>
        </is>
      </c>
      <c r="D71" s="27" t="n">
        <v>8</v>
      </c>
      <c r="E71" s="27" t="inlineStr">
        <is>
          <t>SECURITY_EVIDENCE.md</t>
        </is>
      </c>
      <c r="F71" s="27" t="inlineStr">
        <is>
          <t>—</t>
        </is>
      </c>
      <c r="G71" s="50" t="inlineStr">
        <is>
          <t>In progress</t>
        </is>
      </c>
      <c r="H71" s="27" t="inlineStr">
        <is>
          <t>SECURITY_EVIDENCE.md sandbox half issued (attack surface, authZ, secrets, known-weakness register, suggested vendor scope); external pen test = vendor engagement, Senthil side</t>
        </is>
      </c>
    </row>
    <row r="72" ht="15" customHeight="1" s="22">
      <c r="A72" s="27" t="inlineStr">
        <is>
          <t>ST-069</t>
        </is>
      </c>
      <c r="B72" s="27" t="inlineStr">
        <is>
          <t>E6</t>
        </is>
      </c>
      <c r="C72" s="27" t="inlineStr">
        <is>
          <t>S9</t>
        </is>
      </c>
      <c r="D72" s="27" t="n">
        <v>5</v>
      </c>
      <c r="E72" s="27" t="inlineStr">
        <is>
          <t>src/tenantLifecycle.ts</t>
        </is>
      </c>
      <c r="F72" s="27" t="inlineStr">
        <is>
          <t>tests/tenantLifecycle.test.ts</t>
        </is>
      </c>
      <c r="G72" s="49" t="inlineStr">
        <is>
          <t>Done</t>
        </is>
      </c>
      <c r="H72" s="27" t="inlineStr">
        <is>
          <t>Deletion implemented end to end against the store and pinned (F-029); live verification via sweep step SW-14 | Permission enforced at a named site, bound by contract test (F-030)</t>
        </is>
      </c>
    </row>
    <row r="73" ht="15" customHeight="1" s="22">
      <c r="A73" s="27" t="inlineStr">
        <is>
          <t>ST-070</t>
        </is>
      </c>
      <c r="B73" s="27" t="inlineStr">
        <is>
          <t>E6</t>
        </is>
      </c>
      <c r="C73" s="27" t="inlineStr">
        <is>
          <t>S8</t>
        </is>
      </c>
      <c r="D73" s="27" t="n">
        <v>5</v>
      </c>
      <c r="E73" s="27" t="inlineStr">
        <is>
          <t>src/platformGateway.ts</t>
        </is>
      </c>
      <c r="F73" s="27" t="inlineStr">
        <is>
          <t>tests/platformGateway.test.ts</t>
        </is>
      </c>
      <c r="G73" s="49" t="inlineStr">
        <is>
          <t>Done</t>
        </is>
      </c>
      <c r="H73" s="27" t="inlineStr">
        <is>
          <t>Built + covered at 100% this session | /health + /status endpoints expose breaker state (src/server.ts) | Degradation now covers our own dependencies, not only the Teams API (F-047)</t>
        </is>
      </c>
    </row>
    <row r="74" ht="15" customHeight="1" s="22">
      <c r="A74" s="27" t="inlineStr">
        <is>
          <t>ST-071</t>
        </is>
      </c>
      <c r="B74" s="27" t="inlineStr">
        <is>
          <t>E7</t>
        </is>
      </c>
      <c r="C74" s="27" t="inlineStr">
        <is>
          <t>S4</t>
        </is>
      </c>
      <c r="D74" s="27" t="n">
        <v>5</v>
      </c>
      <c r="E74" s="27" t="inlineStr">
        <is>
          <t>src/telemetry.ts + src/observability.ts</t>
        </is>
      </c>
      <c r="F74" s="27" t="inlineStr">
        <is>
          <t>tests/observability.test.ts</t>
        </is>
      </c>
      <c r="G74" s="49" t="inlineStr">
        <is>
          <t>Done</t>
        </is>
      </c>
      <c r="H74" s="27" t="inlineStr">
        <is>
          <t>Telemetry now fed by the request path (F-036); activation rate computable for the S11 exit criterion | Funnel served from the observer that records it (F-052)</t>
        </is>
      </c>
    </row>
    <row r="75" ht="15" customHeight="1" s="22">
      <c r="A75" s="27" t="inlineStr">
        <is>
          <t>ST-072</t>
        </is>
      </c>
      <c r="B75" s="27" t="inlineStr">
        <is>
          <t>E7</t>
        </is>
      </c>
      <c r="C75" s="27" t="inlineStr">
        <is>
          <t>S4</t>
        </is>
      </c>
      <c r="D75" s="27" t="n">
        <v>3</v>
      </c>
      <c r="E75" s="27" t="inlineStr">
        <is>
          <t>src/telemetry.ts + src/observability.ts</t>
        </is>
      </c>
      <c r="F75" s="27" t="inlineStr">
        <is>
          <t>tests/observability.test.ts</t>
        </is>
      </c>
      <c r="G75" s="49" t="inlineStr">
        <is>
          <t>Done</t>
        </is>
      </c>
      <c r="H75" s="27" t="inlineStr">
        <is>
          <t>Telemetry now fed by the request path (F-036); activation rate computable for the S11 exit criterion</t>
        </is>
      </c>
    </row>
    <row r="76" ht="15" customHeight="1" s="22">
      <c r="A76" s="27" t="inlineStr">
        <is>
          <t>ST-073</t>
        </is>
      </c>
      <c r="B76" s="27" t="inlineStr">
        <is>
          <t>E7</t>
        </is>
      </c>
      <c r="C76" s="27" t="inlineStr">
        <is>
          <t>S8</t>
        </is>
      </c>
      <c r="D76" s="27" t="n">
        <v>3</v>
      </c>
      <c r="E76" s="27" t="inlineStr">
        <is>
          <t>src/telemetry.ts + src/observability.ts</t>
        </is>
      </c>
      <c r="F76" s="27" t="inlineStr">
        <is>
          <t>tests/observability.test.ts</t>
        </is>
      </c>
      <c r="G76" s="49" t="inlineStr">
        <is>
          <t>Done</t>
        </is>
      </c>
      <c r="H76" s="27" t="inlineStr">
        <is>
          <t>Telemetry now fed by the request path (F-036); activation rate computable for the S11 exit criterion</t>
        </is>
      </c>
    </row>
    <row r="77" ht="15" customHeight="1" s="22">
      <c r="A77" s="27" t="inlineStr">
        <is>
          <t>ST-074</t>
        </is>
      </c>
      <c r="B77" s="27" t="inlineStr">
        <is>
          <t>E7</t>
        </is>
      </c>
      <c r="C77" s="27" t="inlineStr">
        <is>
          <t>S8</t>
        </is>
      </c>
      <c r="D77" s="27" t="n">
        <v>2</v>
      </c>
      <c r="E77" s="27" t="inlineStr">
        <is>
          <t>src/telemetry.ts + src/observability.ts</t>
        </is>
      </c>
      <c r="F77" s="27" t="inlineStr">
        <is>
          <t>tests/observability.test.ts</t>
        </is>
      </c>
      <c r="G77" s="49" t="inlineStr">
        <is>
          <t>Done</t>
        </is>
      </c>
      <c r="H77" s="27" t="inlineStr">
        <is>
          <t>Telemetry now fed by the request path (F-036); activation rate computable for the S11 exit criterion</t>
        </is>
      </c>
    </row>
    <row r="78" ht="15" customHeight="1" s="22">
      <c r="A78" s="27" t="inlineStr">
        <is>
          <t>ST-075</t>
        </is>
      </c>
      <c r="B78" s="27" t="inlineStr">
        <is>
          <t>E7</t>
        </is>
      </c>
      <c r="C78" s="27" t="inlineStr">
        <is>
          <t>S8</t>
        </is>
      </c>
      <c r="D78" s="27" t="n">
        <v>5</v>
      </c>
      <c r="E78" s="27" t="inlineStr">
        <is>
          <t>src/telemetry.ts + src/observability.ts</t>
        </is>
      </c>
      <c r="F78" s="27" t="inlineStr">
        <is>
          <t>tests/observability.test.ts</t>
        </is>
      </c>
      <c r="G78" s="49" t="inlineStr">
        <is>
          <t>Done</t>
        </is>
      </c>
      <c r="H78" s="27" t="inlineStr">
        <is>
          <t>Telemetry now fed by the request path (F-036); activation rate computable for the S11 exit criterion</t>
        </is>
      </c>
    </row>
    <row r="79" ht="15" customHeight="1" s="22">
      <c r="A79" s="27" t="inlineStr">
        <is>
          <t>ST-076</t>
        </is>
      </c>
      <c r="B79" s="27" t="inlineStr">
        <is>
          <t>E7</t>
        </is>
      </c>
      <c r="C79" s="27" t="inlineStr">
        <is>
          <t>S8</t>
        </is>
      </c>
      <c r="D79" s="27" t="n">
        <v>3</v>
      </c>
      <c r="E79" s="27" t="inlineStr">
        <is>
          <t>src/telemetry.ts + src/observability.ts</t>
        </is>
      </c>
      <c r="F79" s="27" t="inlineStr">
        <is>
          <t>tests/observability.test.ts</t>
        </is>
      </c>
      <c r="G79" s="49" t="inlineStr">
        <is>
          <t>Done</t>
        </is>
      </c>
      <c r="H79" s="27" t="inlineStr">
        <is>
          <t>Telemetry now fed by the request path (F-036); activation rate computable for the S11 exit criterion</t>
        </is>
      </c>
    </row>
    <row r="80" ht="15" customHeight="1" s="22">
      <c r="A80" s="27" t="inlineStr">
        <is>
          <t>ST-077</t>
        </is>
      </c>
      <c r="B80" s="27" t="inlineStr">
        <is>
          <t>E7</t>
        </is>
      </c>
      <c r="C80" s="27" t="inlineStr">
        <is>
          <t>S8</t>
        </is>
      </c>
      <c r="D80" s="27" t="n">
        <v>3</v>
      </c>
      <c r="E80" s="27" t="inlineStr">
        <is>
          <t>src/telemetry.ts + src/observability.ts</t>
        </is>
      </c>
      <c r="F80" s="27" t="inlineStr">
        <is>
          <t>tests/observability.test.ts</t>
        </is>
      </c>
      <c r="G80" s="49" t="inlineStr">
        <is>
          <t>Done</t>
        </is>
      </c>
      <c r="H80" s="27" t="inlineStr">
        <is>
          <t>Telemetry now fed by the request path (F-036); activation rate computable for the S11 exit criterion</t>
        </is>
      </c>
    </row>
    <row r="81" ht="26.25" customHeight="1" s="22">
      <c r="A81" s="27" t="inlineStr">
        <is>
          <t>ST-078</t>
        </is>
      </c>
      <c r="B81" s="27" t="inlineStr">
        <is>
          <t>E8</t>
        </is>
      </c>
      <c r="C81" s="27" t="inlineStr">
        <is>
          <t>S5</t>
        </is>
      </c>
      <c r="D81" s="27" t="n">
        <v>5</v>
      </c>
      <c r="E81" s="27" t="inlineStr">
        <is>
          <t>src/onboarding.ts + src/ui/screens.tsx</t>
        </is>
      </c>
      <c r="F81" s="27" t="inlineStr">
        <is>
          <t>tests/onboarding.test.ts + tests/ui.screens.test.tsx</t>
        </is>
      </c>
      <c r="G81" s="49" t="inlineStr">
        <is>
          <t>Done</t>
        </is>
      </c>
      <c r="H81" s="27" t="inlineStr">
        <is>
          <t>Built + covered at 100% this session</t>
        </is>
      </c>
    </row>
    <row r="82" ht="26.25" customHeight="1" s="22">
      <c r="A82" s="27" t="inlineStr">
        <is>
          <t>ST-079</t>
        </is>
      </c>
      <c r="B82" s="27" t="inlineStr">
        <is>
          <t>E8</t>
        </is>
      </c>
      <c r="C82" s="27" t="inlineStr">
        <is>
          <t>S5</t>
        </is>
      </c>
      <c r="D82" s="27" t="n">
        <v>3</v>
      </c>
      <c r="E82" s="27" t="inlineStr">
        <is>
          <t>src/onboarding.ts + src/ui/screens.tsx</t>
        </is>
      </c>
      <c r="F82" s="27" t="inlineStr">
        <is>
          <t>tests/onboarding.test.ts + tests/ui.screens.test.tsx</t>
        </is>
      </c>
      <c r="G82" s="49" t="inlineStr">
        <is>
          <t>Done</t>
        </is>
      </c>
      <c r="H82" s="27" t="inlineStr">
        <is>
          <t>Built + covered at 100% this session</t>
        </is>
      </c>
    </row>
    <row r="83" ht="15" customHeight="1" s="22">
      <c r="A83" s="27" t="inlineStr">
        <is>
          <t>ST-080</t>
        </is>
      </c>
      <c r="B83" s="27" t="inlineStr">
        <is>
          <t>E8</t>
        </is>
      </c>
      <c r="C83" s="27" t="inlineStr">
        <is>
          <t>S10</t>
        </is>
      </c>
      <c r="D83" s="27" t="n">
        <v>5</v>
      </c>
      <c r="E83" s="27" t="inlineStr">
        <is>
          <t>src/helpSearch.ts + content/help/</t>
        </is>
      </c>
      <c r="F83" s="27" t="inlineStr">
        <is>
          <t>tests/completionWave.test.ts</t>
        </is>
      </c>
      <c r="G83" s="50" t="inlineStr">
        <is>
          <t>Code-complete pending live</t>
        </is>
      </c>
      <c r="H83" s="27" t="inlineStr">
        <is>
          <t>src/helpSearch.ts ranked search + HELP_MANIFEST gate (index must exactly match content/help/ on disk, CI-tested); 15 articles drafted; live hosting pending | Screen now reachable as a declared tab (F-038) | Articles loaded at startup; empty index warns (F-064)</t>
        </is>
      </c>
    </row>
    <row r="84" ht="15" customHeight="1" s="22">
      <c r="A84" s="27" t="inlineStr">
        <is>
          <t>ST-081</t>
        </is>
      </c>
      <c r="B84" s="27" t="inlineStr">
        <is>
          <t>E8</t>
        </is>
      </c>
      <c r="C84" s="27" t="inlineStr">
        <is>
          <t>S10</t>
        </is>
      </c>
      <c r="D84" s="27" t="n">
        <v>3</v>
      </c>
      <c r="E84" s="27" t="inlineStr">
        <is>
          <t>src/chat.ts</t>
        </is>
      </c>
      <c r="F84" s="27" t="inlineStr">
        <is>
          <t>tests/completionWave.test.ts</t>
        </is>
      </c>
      <c r="G84" s="50" t="inlineStr">
        <is>
          <t>Code-complete pending live</t>
        </is>
      </c>
      <c r="H84" s="27" t="inlineStr">
        <is>
          <t>src/chat.ts built-in chat + 4-BUSINESS-HOUR SLA engine (business-minutes clock skips nights/weekends, breach detection, ranked unanswered queue); vendor decision now OPTIONAL — D-SD4</t>
        </is>
      </c>
    </row>
    <row r="85" ht="26.25" customHeight="1" s="22">
      <c r="A85" s="27" t="inlineStr">
        <is>
          <t>ST-082</t>
        </is>
      </c>
      <c r="B85" s="27" t="inlineStr">
        <is>
          <t>E8</t>
        </is>
      </c>
      <c r="C85" s="27" t="inlineStr">
        <is>
          <t>S11</t>
        </is>
      </c>
      <c r="D85" s="27" t="n">
        <v>3</v>
      </c>
      <c r="E85" s="27" t="inlineStr">
        <is>
          <t>src/onboarding.ts + src/ui/screens.tsx</t>
        </is>
      </c>
      <c r="F85" s="27" t="inlineStr">
        <is>
          <t>tests/onboarding.test.ts + tests/ui.screens.test.tsx</t>
        </is>
      </c>
      <c r="G85" s="49" t="inlineStr">
        <is>
          <t>Done</t>
        </is>
      </c>
      <c r="H85" s="27" t="inlineStr">
        <is>
          <t>Built + covered at 100% this session</t>
        </is>
      </c>
    </row>
    <row r="86" ht="26.25" customHeight="1" s="22">
      <c r="A86" s="27" t="inlineStr">
        <is>
          <t>ST-083</t>
        </is>
      </c>
      <c r="B86" s="27" t="inlineStr">
        <is>
          <t>E8</t>
        </is>
      </c>
      <c r="C86" s="27" t="inlineStr">
        <is>
          <t>S10</t>
        </is>
      </c>
      <c r="D86" s="27" t="n">
        <v>5</v>
      </c>
      <c r="E86" s="27" t="inlineStr">
        <is>
          <t>src/onboarding.ts + src/ui/screens.tsx</t>
        </is>
      </c>
      <c r="F86" s="27" t="inlineStr">
        <is>
          <t>tests/onboarding.test.ts + tests/ui.screens.test.tsx</t>
        </is>
      </c>
      <c r="G86" s="50" t="inlineStr">
        <is>
          <t>In progress</t>
        </is>
      </c>
      <c r="H86" s="27" t="inlineStr">
        <is>
          <t>Sandbox shipped + tested; 2-min video SCRIPT drafted (content/demo-video-script.md); recording pending</t>
        </is>
      </c>
    </row>
    <row r="87" ht="15" customHeight="1" s="22">
      <c r="A87" s="27" t="inlineStr">
        <is>
          <t>ST-084</t>
        </is>
      </c>
      <c r="B87" s="27" t="inlineStr">
        <is>
          <t>E8</t>
        </is>
      </c>
      <c r="C87" s="27" t="inlineStr">
        <is>
          <t>S10</t>
        </is>
      </c>
      <c r="D87" s="27" t="n">
        <v>2</v>
      </c>
      <c r="E87" s="27" t="inlineStr">
        <is>
          <t>content/ (drafts)</t>
        </is>
      </c>
      <c r="F87" s="27" t="inlineStr">
        <is>
          <t>—</t>
        </is>
      </c>
      <c r="G87" s="50" t="inlineStr">
        <is>
          <t>Drafted</t>
        </is>
      </c>
      <c r="H87" s="27" t="inlineStr">
        <is>
          <t>Incident comms template drafted (content/); hosted status page pending</t>
        </is>
      </c>
    </row>
    <row r="88" ht="15" customHeight="1" s="22">
      <c r="A88" s="27" t="inlineStr">
        <is>
          <t>ST-085</t>
        </is>
      </c>
      <c r="B88" s="27" t="inlineStr">
        <is>
          <t>EQ</t>
        </is>
      </c>
      <c r="C88" s="27" t="inlineStr">
        <is>
          <t>S3</t>
        </is>
      </c>
      <c r="D88" s="27" t="n">
        <v>5</v>
      </c>
      <c r="E88" s="27" t="inlineStr">
        <is>
          <t>jest.config.js coverageThreshold 100</t>
        </is>
      </c>
      <c r="F88" s="27" t="inlineStr">
        <is>
          <t>all 15 suites</t>
        </is>
      </c>
      <c r="G88" s="49" t="inlineStr">
        <is>
          <t>Done</t>
        </is>
      </c>
      <c r="H88" s="27" t="inlineStr">
        <is>
          <t>Built + covered at 100% this session</t>
        </is>
      </c>
    </row>
    <row r="89" ht="15" customHeight="1" s="22">
      <c r="A89" s="27" t="inlineStr">
        <is>
          <t>ST-086</t>
        </is>
      </c>
      <c r="B89" s="27" t="inlineStr">
        <is>
          <t>EQ</t>
        </is>
      </c>
      <c r="C89" s="27" t="inlineStr">
        <is>
          <t>S4</t>
        </is>
      </c>
      <c r="D89" s="27" t="n">
        <v>5</v>
      </c>
      <c r="E89" s="27" t="inlineStr">
        <is>
          <t>src/api.ts + .github/workflows/ci.yml</t>
        </is>
      </c>
      <c r="F89" s="27" t="inlineStr">
        <is>
          <t>tests/api.e2e.test.ts</t>
        </is>
      </c>
      <c r="G89" s="49" t="inlineStr">
        <is>
          <t>Done</t>
        </is>
      </c>
      <c r="H89" s="27" t="inlineStr">
        <is>
          <t>Built + covered at 100% this session</t>
        </is>
      </c>
    </row>
    <row r="90" ht="15" customHeight="1" s="22">
      <c r="A90" s="27" t="inlineStr">
        <is>
          <t>ST-087</t>
        </is>
      </c>
      <c r="B90" s="27" t="inlineStr">
        <is>
          <t>EQ</t>
        </is>
      </c>
      <c r="C90" s="27" t="inlineStr">
        <is>
          <t>S8</t>
        </is>
      </c>
      <c r="D90" s="27" t="n">
        <v>3</v>
      </c>
      <c r="E90" s="27" t="inlineStr">
        <is>
          <t>src/perf.ts + src/server.ts</t>
        </is>
      </c>
      <c r="F90" s="27" t="inlineStr">
        <is>
          <t>tests/latencyInstrumentation.test.ts</t>
        </is>
      </c>
      <c r="G90" s="49" t="inlineStr">
        <is>
          <t>Done</t>
        </is>
      </c>
      <c r="H90" s="27" t="inlineStr">
        <is>
          <t>Request path instrumented; p95 vs budget exposed on /health (F-035)</t>
        </is>
      </c>
    </row>
    <row r="91" ht="15" customHeight="1" s="22">
      <c r="A91" s="27" t="inlineStr">
        <is>
          <t>ST-088</t>
        </is>
      </c>
      <c r="B91" s="27" t="inlineStr">
        <is>
          <t>EQ</t>
        </is>
      </c>
      <c r="C91" s="27" t="inlineStr">
        <is>
          <t>S8</t>
        </is>
      </c>
      <c r="D91" s="27" t="n">
        <v>5</v>
      </c>
      <c r="E91" s="27" t="inlineStr">
        <is>
          <t>load/k6-load-sweep.js</t>
        </is>
      </c>
      <c r="F91" s="27" t="inlineStr">
        <is>
          <t>—</t>
        </is>
      </c>
      <c r="G91" s="50" t="inlineStr">
        <is>
          <t>Drafted</t>
        </is>
      </c>
      <c r="H91" s="27" t="inlineStr">
        <is>
          <t>k6 harness scripted: load/k6-load-sweep.js — ramp to 500 VUs (5x expected 100 concurrent), thresholds mirror perf budgets (api p95&lt;500ms, bot p95&lt;800ms, err&lt;1%); execution needs live/staging infra | Multi-instance writes are now conflict-safe (F-046); migration 002 required before the swap</t>
        </is>
      </c>
    </row>
    <row r="92" ht="15" customHeight="1" s="22">
      <c r="A92" s="27" t="inlineStr">
        <is>
          <t>ST-089</t>
        </is>
      </c>
      <c r="B92" s="27" t="inlineStr">
        <is>
          <t>EQ</t>
        </is>
      </c>
      <c r="C92" s="27" t="inlineStr">
        <is>
          <t>S9</t>
        </is>
      </c>
      <c r="D92" s="27" t="n">
        <v>3</v>
      </c>
      <c r="E92" s="27" t="inlineStr">
        <is>
          <t>—</t>
        </is>
      </c>
      <c r="F92" s="27" t="inlineStr">
        <is>
          <t>tests/a11y.test.tsx (jest-axe, 9 screens)</t>
        </is>
      </c>
      <c r="G92" s="50" t="inlineStr">
        <is>
          <t>Code-complete pending live</t>
        </is>
      </c>
      <c r="H92" s="27" t="inlineStr">
        <is>
          <t>Automated WCAG pass: jest-axe on all 9 screens in CI; manual audit on live UI pending</t>
        </is>
      </c>
    </row>
    <row r="93" ht="15" customHeight="1" s="22">
      <c r="A93" s="27" t="inlineStr">
        <is>
          <t>ST-090</t>
        </is>
      </c>
      <c r="B93" s="27" t="inlineStr">
        <is>
          <t>EQ</t>
        </is>
      </c>
      <c r="C93" s="27" t="inlineStr">
        <is>
          <t>S9</t>
        </is>
      </c>
      <c r="D93" s="27" t="n">
        <v>3</v>
      </c>
      <c r="E93" s="27" t="inlineStr">
        <is>
          <t>ops/backup-restore-drill.md</t>
        </is>
      </c>
      <c r="F93" s="27" t="inlineStr">
        <is>
          <t>—</t>
        </is>
      </c>
      <c r="G93" s="50" t="inlineStr">
        <is>
          <t>Drafted</t>
        </is>
      </c>
      <c r="H93" s="27" t="inlineStr">
        <is>
          <t>Backup/restore drill scripted: ops/backup-restore-drill.md — sentinel-row method, RTO&lt;60min/RPO&lt;15min pass bar, sweep 12/12; execution needs live Postgres</t>
        </is>
      </c>
    </row>
    <row r="94" ht="15" customHeight="1" s="22">
      <c r="A94" s="27" t="inlineStr">
        <is>
          <t>ST-091</t>
        </is>
      </c>
      <c r="B94" s="27" t="inlineStr">
        <is>
          <t>EQ</t>
        </is>
      </c>
      <c r="C94" s="27" t="inlineStr">
        <is>
          <t>S9</t>
        </is>
      </c>
      <c r="D94" s="27" t="n">
        <v>3</v>
      </c>
      <c r="E94" s="27" t="inlineStr">
        <is>
          <t>src/platformGateway.ts (degradedMessage)</t>
        </is>
      </c>
      <c r="F94" s="27" t="inlineStr">
        <is>
          <t>tests/platformGateway.test.ts</t>
        </is>
      </c>
      <c r="G94" s="49" t="inlineStr">
        <is>
          <t>Done</t>
        </is>
      </c>
      <c r="H94" s="27" t="inlineStr">
        <is>
          <t>Built + covered at 100% this session | Degradation now covers our own dependencies, not only the Teams API (F-047)</t>
        </is>
      </c>
    </row>
    <row r="95" ht="15" customHeight="1" s="22">
      <c r="A95" s="27" t="inlineStr">
        <is>
          <t>ST-092</t>
        </is>
      </c>
      <c r="B95" s="27" t="inlineStr">
        <is>
          <t>EQ</t>
        </is>
      </c>
      <c r="C95" s="27" t="inlineStr">
        <is>
          <t>S8</t>
        </is>
      </c>
      <c r="D95" s="27" t="n">
        <v>3</v>
      </c>
      <c r="E95" s="27" t="inlineStr">
        <is>
          <t>.github/workflows/deploy.yml</t>
        </is>
      </c>
      <c r="F95" s="27" t="inlineStr">
        <is>
          <t>—</t>
        </is>
      </c>
      <c r="G95" s="50" t="inlineStr">
        <is>
          <t>Drafted</t>
        </is>
      </c>
      <c r="H95" s="27" t="inlineStr">
        <is>
          <t>Blue/green workflow committed: .github/workflows/deploy.yml — gate (100% tests) -&gt; green deploy -&gt; E2E smoke -&gt; manual-approved traffic switch, blue kept 24h; verify on live infra | Blue/green is only safe now that state is outside the process (GAP-SD8) | Multi-instance writes are now conflict-safe (F-046); migration 002 required before the swap</t>
        </is>
      </c>
    </row>
    <row r="96" ht="26.25" customHeight="1" s="22">
      <c r="A96" s="27" t="inlineStr">
        <is>
          <t>ST-093</t>
        </is>
      </c>
      <c r="B96" s="27" t="inlineStr">
        <is>
          <t>EL</t>
        </is>
      </c>
      <c r="C96" s="27" t="inlineStr">
        <is>
          <t>S9</t>
        </is>
      </c>
      <c r="D96" s="27" t="n">
        <v>3</v>
      </c>
      <c r="E96" s="27" t="inlineStr">
        <is>
          <t>content/ (drafts)</t>
        </is>
      </c>
      <c r="F96" s="27" t="inlineStr">
        <is>
          <t>—</t>
        </is>
      </c>
      <c r="G96" s="50" t="inlineStr">
        <is>
          <t>Drafted</t>
        </is>
      </c>
      <c r="H96" s="27" t="inlineStr">
        <is>
          <t>Listing copy A (benefit-led) + B (problem-led) drafted (content/); review = Senthil</t>
        </is>
      </c>
    </row>
    <row r="97" ht="26.25" customHeight="1" s="22">
      <c r="A97" s="27" t="inlineStr">
        <is>
          <t>ST-094</t>
        </is>
      </c>
      <c r="B97" s="27" t="inlineStr">
        <is>
          <t>EL</t>
        </is>
      </c>
      <c r="C97" s="27" t="inlineStr">
        <is>
          <t>S9</t>
        </is>
      </c>
      <c r="D97" s="27" t="n">
        <v>5</v>
      </c>
      <c r="E97" s="27" t="inlineStr">
        <is>
          <t>ASSET_PLAN.md</t>
        </is>
      </c>
      <c r="F97" s="27" t="inlineStr">
        <is>
          <t>—</t>
        </is>
      </c>
      <c r="G97" s="50" t="inlineStr">
        <is>
          <t>In progress</t>
        </is>
      </c>
      <c r="H97" s="27" t="inlineStr">
        <is>
          <t>Draft captures now possible pre-tenant from web-dist/demo.html (fixed 1366x768, canned data, headless-verified); finals need live client</t>
        </is>
      </c>
    </row>
    <row r="98" ht="26.25" customHeight="1" s="22">
      <c r="A98" s="27" t="inlineStr">
        <is>
          <t>ST-095</t>
        </is>
      </c>
      <c r="B98" s="27" t="inlineStr">
        <is>
          <t>EL</t>
        </is>
      </c>
      <c r="C98" s="27" t="inlineStr">
        <is>
          <t>S10</t>
        </is>
      </c>
      <c r="D98" s="27" t="n">
        <v>3</v>
      </c>
      <c r="E98" s="27" t="inlineStr">
        <is>
          <t>content/ (drafts)</t>
        </is>
      </c>
      <c r="F98" s="27" t="inlineStr">
        <is>
          <t>—</t>
        </is>
      </c>
      <c r="G98" s="50" t="inlineStr">
        <is>
          <t>Drafted</t>
        </is>
      </c>
      <c r="H98" s="27" t="inlineStr">
        <is>
          <t>Drift gate added: src/pricingSource.ts + test asserting content/pricing-faq.md matches billing.ts PLANS exactly; publish pending</t>
        </is>
      </c>
    </row>
    <row r="99" ht="26.25" customHeight="1" s="22">
      <c r="A99" s="27" t="inlineStr">
        <is>
          <t>ST-096</t>
        </is>
      </c>
      <c r="B99" s="27" t="inlineStr">
        <is>
          <t>EL</t>
        </is>
      </c>
      <c r="C99" s="27" t="inlineStr">
        <is>
          <t>S10</t>
        </is>
      </c>
      <c r="D99" s="27" t="n">
        <v>3</v>
      </c>
      <c r="E99" s="27" t="inlineStr">
        <is>
          <t>content/ (drafts)</t>
        </is>
      </c>
      <c r="F99" s="27" t="inlineStr">
        <is>
          <t>—</t>
        </is>
      </c>
      <c r="G99" s="50" t="inlineStr">
        <is>
          <t>Drafted</t>
        </is>
      </c>
      <c r="H99" s="27" t="inlineStr">
        <is>
          <t>Security &amp; trust page drafted (content/security-trust-page.md); publish pending</t>
        </is>
      </c>
    </row>
    <row r="100" ht="26.25" customHeight="1" s="22">
      <c r="A100" s="27" t="inlineStr">
        <is>
          <t>ST-097</t>
        </is>
      </c>
      <c r="B100" s="27" t="inlineStr">
        <is>
          <t>EL</t>
        </is>
      </c>
      <c r="C100" s="27" t="inlineStr">
        <is>
          <t>S10</t>
        </is>
      </c>
      <c r="D100" s="27" t="n">
        <v>3</v>
      </c>
      <c r="E100" s="27" t="inlineStr">
        <is>
          <t>Launch_Checklist sheet</t>
        </is>
      </c>
      <c r="F100" s="27" t="inlineStr">
        <is>
          <t>—</t>
        </is>
      </c>
      <c r="G100" s="50" t="inlineStr">
        <is>
          <t>In progress</t>
        </is>
      </c>
      <c r="H100" s="27" t="inlineStr">
        <is>
          <t>REVIEW_PACK.md added for external second reviewer; cold self-review pass 1 done (Review_Findings sheet) — independence still requires the external pass</t>
        </is>
      </c>
    </row>
    <row r="101" ht="26.25" customHeight="1" s="22">
      <c r="A101" s="27" t="inlineStr">
        <is>
          <t>ST-098</t>
        </is>
      </c>
      <c r="B101" s="27" t="inlineStr">
        <is>
          <t>EL</t>
        </is>
      </c>
      <c r="C101" s="27" t="inlineStr">
        <is>
          <t>S11</t>
        </is>
      </c>
      <c r="D101" s="27" t="n">
        <v>3</v>
      </c>
      <c r="E101" s="27" t="inlineStr">
        <is>
          <t>content/ (drafts)</t>
        </is>
      </c>
      <c r="F101" s="27" t="inlineStr">
        <is>
          <t>—</t>
        </is>
      </c>
      <c r="G101" s="50" t="inlineStr">
        <is>
          <t>Drafted</t>
        </is>
      </c>
      <c r="H101" s="27" t="inlineStr">
        <is>
          <t>Launch-day runbook drafted (content/launch-runbook.md) incl. rollback triggers + comms tree</t>
        </is>
      </c>
    </row>
    <row r="102" ht="26.25" customHeight="1" s="22">
      <c r="A102" s="27" t="inlineStr">
        <is>
          <t>ST-099</t>
        </is>
      </c>
      <c r="B102" s="27" t="inlineStr">
        <is>
          <t>EL</t>
        </is>
      </c>
      <c r="C102" s="27" t="inlineStr">
        <is>
          <t>S12</t>
        </is>
      </c>
      <c r="D102" s="27" t="n">
        <v>2</v>
      </c>
      <c r="E102" s="27" t="inlineStr">
        <is>
          <t>src/seo.ts</t>
        </is>
      </c>
      <c r="F102" s="27" t="inlineStr">
        <is>
          <t>tests/completionWave.test.ts</t>
        </is>
      </c>
      <c r="G102" s="50" t="inlineStr">
        <is>
          <t>Code-complete pending live</t>
        </is>
      </c>
      <c r="H102" s="27" t="inlineStr">
        <is>
          <t>src/seo.ts SEO iteration engine sandbox half (CTR, A/B winner pick, keyword drop/investigate, 100-impression thin-data floor); live half needs post-launch search-term data</t>
        </is>
      </c>
    </row>
    <row r="103" ht="26.25" customHeight="1" s="22">
      <c r="A103" s="27" t="inlineStr">
        <is>
          <t>ST-100</t>
        </is>
      </c>
      <c r="B103" s="27" t="inlineStr">
        <is>
          <t>EL</t>
        </is>
      </c>
      <c r="C103" s="27" t="inlineStr">
        <is>
          <t>S11</t>
        </is>
      </c>
      <c r="D103" s="27" t="n">
        <v>2</v>
      </c>
      <c r="E103" s="27" t="inlineStr">
        <is>
          <t>src/partners.ts</t>
        </is>
      </c>
      <c r="F103" s="27" t="inlineStr">
        <is>
          <t>tests/completionWave.test.ts</t>
        </is>
      </c>
      <c r="G103" s="50" t="inlineStr">
        <is>
          <t>Code-complete pending live</t>
        </is>
      </c>
      <c r="H103" s="27" t="inlineStr">
        <is>
          <t>src/partners.ts 10-slot tracker with stale-nudge + honest exit math (S7 exit = 3+ weekly-active; G-02 counts ONLY paying strangers, partner reviews never inflate the gate); outreach = Senthil</t>
        </is>
      </c>
    </row>
    <row r="104">
      <c r="A104" s="28" t="inlineStr">
        <is>
          <t>SD201</t>
        </is>
      </c>
      <c r="B104" s="28" t="inlineStr">
        <is>
          <t>E13</t>
        </is>
      </c>
      <c r="C104" s="28" t="inlineStr">
        <is>
          <t>S13</t>
        </is>
      </c>
      <c r="D104" s="28" t="n">
        <v>8</v>
      </c>
      <c r="E104" s="28" t="inlineStr">
        <is>
          <t>src/jwt.ts + src/jwks.ts + src/entraVerifier.ts</t>
        </is>
      </c>
      <c r="F104" s="28" t="inlineStr">
        <is>
          <t>tests/trustBoundaries.test.ts</t>
        </is>
      </c>
      <c r="G104" s="32" t="inlineStr">
        <is>
          <t>Done</t>
        </is>
      </c>
      <c r="H104" s="28" t="inlineStr">
        <is>
          <t>Closes P-001. RS256 only; unknown kid triggers at most one metadata refresh per minRefreshGapMs with a single in-flight fetch. Rejection reasons counted, not swallowed. Constructed by name in compose().</t>
        </is>
      </c>
    </row>
    <row r="105" ht="15" customHeight="1" s="22">
      <c r="A105" s="28" t="inlineStr">
        <is>
          <t>SD202</t>
        </is>
      </c>
      <c r="B105" s="28" t="inlineStr">
        <is>
          <t>E13</t>
        </is>
      </c>
      <c r="C105" s="28" t="inlineStr">
        <is>
          <t>S13</t>
        </is>
      </c>
      <c r="D105" s="28" t="n">
        <v>8</v>
      </c>
      <c r="E105" s="28" t="inlineStr">
        <is>
          <t>src/connectorAuth.ts</t>
        </is>
      </c>
      <c r="F105" s="28" t="inlineStr">
        <is>
          <t>tests/trustBoundaries.test.ts</t>
        </is>
      </c>
      <c r="G105" s="32" t="inlineStr">
        <is>
          <t>Done</t>
        </is>
      </c>
      <c r="H105" s="28" t="inlineStr">
        <is>
          <t>Closes P-002. Issuer pinned to https://api.botframework.com, audience = bot app id, serviceUrl bound to the activity and re-checked against the host allowlist, 300s skew.</t>
        </is>
      </c>
    </row>
    <row r="106">
      <c r="A106" s="28" t="inlineStr">
        <is>
          <t>SD203</t>
        </is>
      </c>
      <c r="B106" s="28" t="inlineStr">
        <is>
          <t>E13</t>
        </is>
      </c>
      <c r="C106" s="28" t="inlineStr">
        <is>
          <t>S13</t>
        </is>
      </c>
      <c r="D106" s="28" t="n">
        <v>3</v>
      </c>
      <c r="E106" s="28" t="inlineStr">
        <is>
          <t>src/config.ts + scripts/serve.ts NON_PRODUCTION_IMPLEMENTATIONS</t>
        </is>
      </c>
      <c r="F106" s="28" t="inlineStr">
        <is>
          <t>tests/trustBoundaries.test.ts + tests/config.test.ts</t>
        </is>
      </c>
      <c r="G106" s="32" t="inlineStr">
        <is>
          <t>Done</t>
        </is>
      </c>
      <c r="H106" s="28" t="inlineStr">
        <is>
          <t>Closes P-001. environment unset now means production, not dev — the safe default. compose() refuses to serve when any dev-only implementation appears outside dev.</t>
        </is>
      </c>
    </row>
    <row r="107">
      <c r="A107" s="28" t="inlineStr">
        <is>
          <t>SD204</t>
        </is>
      </c>
      <c r="B107" s="28" t="inlineStr">
        <is>
          <t>E13</t>
        </is>
      </c>
      <c r="C107" s="28" t="inlineStr">
        <is>
          <t>S13</t>
        </is>
      </c>
      <c r="D107" s="28" t="n">
        <v>5</v>
      </c>
      <c r="E107" s="28" t="inlineStr">
        <is>
          <t>scripts/serve.ts compose() returns a named seams record</t>
        </is>
      </c>
      <c r="F107" s="28" t="inlineStr">
        <is>
          <t>tests/serve.test.ts + tests/v046Closeout.test.ts</t>
        </is>
      </c>
      <c r="G107" s="32" t="inlineStr">
        <is>
          <t>Done</t>
        </is>
      </c>
      <c r="H107" s="28" t="inlineStr">
        <is>
          <t>Closes P-017 / P-016. Third tier of D-SD7. The same check runs at boot, so a mis-wired deployment refuses to serve rather than serving insecurely.</t>
        </is>
      </c>
    </row>
    <row r="108">
      <c r="A108" s="28" t="inlineStr">
        <is>
          <t>SD205</t>
        </is>
      </c>
      <c r="B108" s="28" t="inlineStr">
        <is>
          <t>E13</t>
        </is>
      </c>
      <c r="C108" s="28" t="inlineStr">
        <is>
          <t>S13</t>
        </is>
      </c>
      <c r="D108" s="28" t="n">
        <v>8</v>
      </c>
      <c r="E108" s="28" t="inlineStr">
        <is>
          <t>src/requestGuard.ts + src/server.ts</t>
        </is>
      </c>
      <c r="F108" s="28" t="inlineStr">
        <is>
          <t>tests/requestHardening.test.ts</t>
        </is>
      </c>
      <c r="G108" s="32" t="inlineStr">
        <is>
          <t>Done</t>
        </is>
      </c>
      <c r="H108" s="28" t="inlineStr">
        <is>
          <t>Closes P-007. readBodyCapped throws mid-stream rather than buffering to the cap. clientAddress honours X-Forwarded-For only when trustProxy is set.</t>
        </is>
      </c>
    </row>
    <row r="109">
      <c r="A109" s="28" t="inlineStr">
        <is>
          <t>SD206</t>
        </is>
      </c>
      <c r="B109" s="28" t="inlineStr">
        <is>
          <t>E13</t>
        </is>
      </c>
      <c r="C109" s="28" t="inlineStr">
        <is>
          <t>S13</t>
        </is>
      </c>
      <c r="D109" s="28" t="n">
        <v>3</v>
      </c>
      <c r="E109" s="28" t="inlineStr">
        <is>
          <t>src/securityHeaders.ts</t>
        </is>
      </c>
      <c r="F109" s="28" t="inlineStr">
        <is>
          <t>tests/requestHardening.test.ts</t>
        </is>
      </c>
      <c r="G109" s="32" t="inlineStr">
        <is>
          <t>Done</t>
        </is>
      </c>
      <c r="H109" s="28" t="inlineStr">
        <is>
          <t>Closes P-008. securityHeaders('tab') allows the Teams frame ancestors and the TeamsJS CDN origin; securityHeaders('api') allows neither.</t>
        </is>
      </c>
    </row>
    <row r="110">
      <c r="A110" s="28" t="inlineStr">
        <is>
          <t>SD207</t>
        </is>
      </c>
      <c r="B110" s="28" t="inlineStr">
        <is>
          <t>E13</t>
        </is>
      </c>
      <c r="C110" s="28" t="inlineStr">
        <is>
          <t>S13</t>
        </is>
      </c>
      <c r="D110" s="28" t="n">
        <v>3</v>
      </c>
      <c r="E110" s="28" t="inlineStr">
        <is>
          <t>src/platformGateway.ts</t>
        </is>
      </c>
      <c r="F110" s="28" t="inlineStr">
        <is>
          <t>tests/platformGateway.test.ts + src/slo.ts ALERT_RULES</t>
        </is>
      </c>
      <c r="G110" s="32" t="inlineStr">
        <is>
          <t>Done</t>
        </is>
      </c>
      <c r="H110" s="28" t="inlineStr">
        <is>
          <t>Closes F-007. Closes F-007, open since the first cold review. Breaker-open is one of the eleven alert rules, each carrying the finding that justifies it.</t>
        </is>
      </c>
    </row>
    <row r="111">
      <c r="A111" s="28" t="inlineStr">
        <is>
          <t>SD208</t>
        </is>
      </c>
      <c r="B111" s="28" t="inlineStr">
        <is>
          <t>E14</t>
        </is>
      </c>
      <c r="C111" s="28" t="inlineStr">
        <is>
          <t>S14</t>
        </is>
      </c>
      <c r="D111" s="28" t="n">
        <v>5</v>
      </c>
      <c r="E111" s="28" t="inlineStr">
        <is>
          <t>src/pgClient.ts + package.json dependencies</t>
        </is>
      </c>
      <c r="F111" s="28" t="inlineStr">
        <is>
          <t>tests/v046Branches.test.ts + tests/integration/postgres.integration.test.ts</t>
        </is>
      </c>
      <c r="G111" s="32" t="inlineStr">
        <is>
          <t>Done</t>
        </is>
      </c>
      <c r="H111" s="28" t="inlineStr">
        <is>
          <t>Closes P-003. pg moved from optional to dependencies. poolOptionsFor() is pure and decides TLS by host, so it is testable without a database. F-071 found here.</t>
        </is>
      </c>
    </row>
    <row r="112">
      <c r="A112" s="28" t="inlineStr">
        <is>
          <t>SD209</t>
        </is>
      </c>
      <c r="B112" s="28" t="inlineStr">
        <is>
          <t>E14</t>
        </is>
      </c>
      <c r="C112" s="28" t="inlineStr">
        <is>
          <t>S14</t>
        </is>
      </c>
      <c r="D112" s="28" t="n">
        <v>3</v>
      </c>
      <c r="E112" s="28" t="inlineStr">
        <is>
          <t>src/bootstrap.ts repositoryFor + src/config.ts</t>
        </is>
      </c>
      <c r="F112" s="28" t="inlineStr">
        <is>
          <t>tests/trustBoundaries.test.ts + tests/bootstrap.test.ts</t>
        </is>
      </c>
      <c r="G112" s="32" t="inlineStr">
        <is>
          <t>Done</t>
        </is>
      </c>
      <c r="H112" s="28" t="inlineStr">
        <is>
          <t>Closes P-003. Also refuses the inverse mistake: a DATABASE_URL with no client supplied is an error, not a silent fall back to memory.</t>
        </is>
      </c>
    </row>
    <row r="113">
      <c r="A113" s="28" t="inlineStr">
        <is>
          <t>SD210</t>
        </is>
      </c>
      <c r="B113" s="28" t="inlineStr">
        <is>
          <t>E14</t>
        </is>
      </c>
      <c r="C113" s="28" t="inlineStr">
        <is>
          <t>S14</t>
        </is>
      </c>
      <c r="D113" s="28" t="n">
        <v>5</v>
      </c>
      <c r="E113" s="28" t="inlineStr">
        <is>
          <t>src/migrations.ts + scripts/migrate.ts + migrations/003_record_indexes.sql</t>
        </is>
      </c>
      <c r="F113" s="28" t="inlineStr">
        <is>
          <t>tests/v046Edges.test.ts + integration test 1</t>
        </is>
      </c>
      <c r="G113" s="32" t="inlineStr">
        <is>
          <t>Done</t>
        </is>
      </c>
      <c r="H113" s="28" t="inlineStr">
        <is>
          <t>Closes P-003. Advisory lock 0x53444d47 serialises concurrent boots; a checksum mismatch on an applied file refuses to run rather than diverging. Verified against real Postgres 16.</t>
        </is>
      </c>
    </row>
    <row r="114">
      <c r="A114" s="28" t="inlineStr">
        <is>
          <t>SD211</t>
        </is>
      </c>
      <c r="B114" s="28" t="inlineStr">
        <is>
          <t>E14</t>
        </is>
      </c>
      <c r="C114" s="28" t="inlineStr">
        <is>
          <t>S14</t>
        </is>
      </c>
      <c r="D114" s="28" t="n">
        <v>8</v>
      </c>
      <c r="E114" s="28" t="inlineStr">
        <is>
          <t>jest.integration.config.js + .github/workflows/ci.yml job 2</t>
        </is>
      </c>
      <c r="F114" s="28" t="inlineStr">
        <is>
          <t>tests/integration/postgres.integration.test.ts (9 tests)</t>
        </is>
      </c>
      <c r="G114" s="32" t="inlineStr">
        <is>
          <t>Done</t>
        </is>
      </c>
      <c r="H114" s="28" t="inlineStr">
        <is>
          <t>Closes OBS-SD4 / P-017. Closes OBS-SD4 ("the SQL fake is not a database"). Ran for real this session against Postgres 16 on port 55432: 9/9 green.</t>
        </is>
      </c>
    </row>
    <row r="115">
      <c r="A115" s="28" t="inlineStr">
        <is>
          <t>SD212</t>
        </is>
      </c>
      <c r="B115" s="28" t="inlineStr">
        <is>
          <t>E14</t>
        </is>
      </c>
      <c r="C115" s="28" t="inlineStr">
        <is>
          <t>S14</t>
        </is>
      </c>
      <c r="D115" s="28" t="n">
        <v>2</v>
      </c>
      <c r="E115" s="28" t="inlineStr">
        <is>
          <t>src/repository.ts</t>
        </is>
      </c>
      <c r="F115" s="28" t="inlineStr">
        <is>
          <t>integration test 2</t>
        </is>
      </c>
      <c r="G115" s="32" t="inlineStr">
        <is>
          <t>Done</t>
        </is>
      </c>
      <c r="H115" s="28" t="inlineStr">
        <is>
          <t>Closes P-005. Proven on a real store, where the defect lived: the SQL fake could not have shown it.</t>
        </is>
      </c>
    </row>
    <row r="116">
      <c r="A116" s="28" t="inlineStr">
        <is>
          <t>SD213</t>
        </is>
      </c>
      <c r="B116" s="28" t="inlineStr">
        <is>
          <t>E14</t>
        </is>
      </c>
      <c r="C116" s="28" t="inlineStr">
        <is>
          <t>S14</t>
        </is>
      </c>
      <c r="D116" s="28" t="n">
        <v>5</v>
      </c>
      <c r="E116" s="28" t="inlineStr">
        <is>
          <t>src/bootstrap.ts sharedStateFor/lifecycleFor</t>
        </is>
      </c>
      <c r="F116" s="28" t="inlineStr">
        <is>
          <t>tests/bootstrap.test.ts + integration test 9</t>
        </is>
      </c>
      <c r="G116" s="32" t="inlineStr">
        <is>
          <t>Done</t>
        </is>
      </c>
      <c r="H116" s="28" t="inlineStr">
        <is>
          <t>Closes P-004 / P-015. One repository, one registry, one persister per process — the split instances behind P-004 cannot be constructed any more.</t>
        </is>
      </c>
    </row>
    <row r="117">
      <c r="A117" s="28" t="inlineStr">
        <is>
          <t>SD214</t>
        </is>
      </c>
      <c r="B117" s="28" t="inlineStr">
        <is>
          <t>E14</t>
        </is>
      </c>
      <c r="C117" s="28" t="inlineStr">
        <is>
          <t>S14</t>
        </is>
      </c>
      <c r="D117" s="28" t="n">
        <v>5</v>
      </c>
      <c r="E117" s="28" t="inlineStr">
        <is>
          <t>src/persistence.ts refresh/loadWindow</t>
        </is>
      </c>
      <c r="F117" s="28" t="inlineStr">
        <is>
          <t>integration tests 3 and 4</t>
        </is>
      </c>
      <c r="G117" s="32" t="inlineStr">
        <is>
          <t>Done</t>
        </is>
      </c>
      <c r="H117" s="28" t="inlineStr">
        <is>
          <t>Closes P-003. The restart drill discards the process, not just the cache. Two-instance convergence needed staleAfterMs refresh in TenantRegistry.ensure to be true.</t>
        </is>
      </c>
    </row>
    <row r="118">
      <c r="A118" s="28" t="inlineStr">
        <is>
          <t>SD215</t>
        </is>
      </c>
      <c r="B118" s="28" t="inlineStr">
        <is>
          <t>E14</t>
        </is>
      </c>
      <c r="C118" s="28" t="inlineStr">
        <is>
          <t>S14</t>
        </is>
      </c>
      <c r="D118" s="28" t="n">
        <v>3</v>
      </c>
      <c r="E118" s="28" t="inlineStr">
        <is>
          <t>ops/backup-restore-drill.sh + npm run backup:drill</t>
        </is>
      </c>
      <c r="F118" s="28" t="inlineStr">
        <is>
          <t>ops/backup-drill-report.json</t>
        </is>
      </c>
      <c r="G118" s="32" t="inlineStr">
        <is>
          <t>Done</t>
        </is>
      </c>
      <c r="H118" s="28" t="inlineStr">
        <is>
          <t>Closes P-020. Ran for real this session: pg_dump/pg_restore into shiftdesk_restore, row counts compared. PASS with RPO 0s and RTO 0s against the 15 min / 60 min bar.</t>
        </is>
      </c>
    </row>
    <row r="119">
      <c r="A119" s="28" t="inlineStr">
        <is>
          <t>SD216</t>
        </is>
      </c>
      <c r="B119" s="28" t="inlineStr">
        <is>
          <t>E15</t>
        </is>
      </c>
      <c r="C119" s="28" t="inlineStr">
        <is>
          <t>S15</t>
        </is>
      </c>
      <c r="D119" s="28" t="n">
        <v>13</v>
      </c>
      <c r="E119" s="28" t="inlineStr">
        <is>
          <t>src/persistence.ts + src/moduleBase.ts dirty set</t>
        </is>
      </c>
      <c r="F119" s="28" t="inlineStr">
        <is>
          <t>integration tests 4 and 5</t>
        </is>
      </c>
      <c r="G119" s="32" t="inlineStr">
        <is>
          <t>Done</t>
        </is>
      </c>
      <c r="H119" s="28" t="inlineStr">
        <is>
          <t>Closes P-006. Closes OBS-SD9 as well. Legacy whole-module snapshot rows convert to per-record rows on first hydrate, exactly once; node-scoped ids keep two instances from colliding.</t>
        </is>
      </c>
    </row>
    <row r="120">
      <c r="A120" s="28" t="inlineStr">
        <is>
          <t>SD217</t>
        </is>
      </c>
      <c r="B120" s="28" t="inlineStr">
        <is>
          <t>E15</t>
        </is>
      </c>
      <c r="C120" s="28" t="inlineStr">
        <is>
          <t>S15</t>
        </is>
      </c>
      <c r="D120" s="28" t="n">
        <v>5</v>
      </c>
      <c r="E120" s="28" t="inlineStr">
        <is>
          <t>src/persistence.ts loadWindow + migrations/003_record_indexes.sql</t>
        </is>
      </c>
      <c r="F120" s="28" t="inlineStr">
        <is>
          <t>integration test 6</t>
        </is>
      </c>
      <c r="G120" s="32" t="inlineStr">
        <is>
          <t>Done</t>
        </is>
      </c>
      <c r="H120" s="28" t="inlineStr">
        <is>
          <t>Closes P-006. Run at 100k records on real Postgres inside the 500ms API p95 budget. Expression indexes make the window a keyset read, not a table scan.</t>
        </is>
      </c>
    </row>
    <row r="121">
      <c r="A121" s="28" t="inlineStr">
        <is>
          <t>SD218</t>
        </is>
      </c>
      <c r="B121" s="28" t="inlineStr">
        <is>
          <t>E15</t>
        </is>
      </c>
      <c r="C121" s="28" t="inlineStr">
        <is>
          <t>S15</t>
        </is>
      </c>
      <c r="D121" s="28" t="n">
        <v>5</v>
      </c>
      <c r="E121" s="28" t="inlineStr">
        <is>
          <t>src/repository.ts DurableAuditLog.page/stream + src/retentionEnforcer.ts</t>
        </is>
      </c>
      <c r="F121" s="28" t="inlineStr">
        <is>
          <t>integration test 7 + tests/governance.test.ts</t>
        </is>
      </c>
      <c r="G121" s="32" t="inlineStr">
        <is>
          <t>Done</t>
        </is>
      </c>
      <c r="H121" s="28" t="inlineStr">
        <is>
          <t>Closes F-008. Closes F-008, open since the first cold review. The published retention numbers are now the numbers the sweep enforces, by kind and age, from the same hourly scheduler.</t>
        </is>
      </c>
    </row>
    <row r="122">
      <c r="A122" s="28" t="inlineStr">
        <is>
          <t>SD219</t>
        </is>
      </c>
      <c r="B122" s="28" t="inlineStr">
        <is>
          <t>E15</t>
        </is>
      </c>
      <c r="C122" s="28" t="inlineStr">
        <is>
          <t>S15</t>
        </is>
      </c>
      <c r="D122" s="28" t="n">
        <v>5</v>
      </c>
      <c r="E122" s="28" t="inlineStr">
        <is>
          <t>load/k6-load-sweep.js (harness ready)</t>
        </is>
      </c>
      <c r="F122" s="28" t="inlineStr">
        <is>
          <t>load/EVIDENCE.md (awaiting a real run)</t>
        </is>
      </c>
      <c r="G122" s="33" t="inlineStr">
        <is>
          <t>To do — Senthil</t>
        </is>
      </c>
      <c r="H122" s="28" t="inlineStr">
        <is>
          <t>Closes P-006. Needs staging infrastructure. The harness and the pass bar are scripted; nobody can claim the number until the sweep runs. LC-8 stays open.</t>
        </is>
      </c>
    </row>
    <row r="123">
      <c r="A123" s="28" t="inlineStr">
        <is>
          <t>SD220</t>
        </is>
      </c>
      <c r="B123" s="28" t="inlineStr">
        <is>
          <t>E15</t>
        </is>
      </c>
      <c r="C123" s="28" t="inlineStr">
        <is>
          <t>S15</t>
        </is>
      </c>
      <c r="D123" s="28" t="n">
        <v>3</v>
      </c>
      <c r="E123" s="28" t="inlineStr">
        <is>
          <t>src/perf.ts + src/slo.ts sloReport</t>
        </is>
      </c>
      <c r="F123" s="28" t="inlineStr">
        <is>
          <t>load/EVIDENCE.md</t>
        </is>
      </c>
      <c r="G123" s="33" t="inlineStr">
        <is>
          <t>To do — Senthil</t>
        </is>
      </c>
      <c r="H123" s="28" t="inlineStr">
        <is>
          <t>Closes P-006. Instrumentation is in place and the report renders; the evidence is a by-product of SD219 and arrives with it.</t>
        </is>
      </c>
    </row>
    <row r="124">
      <c r="A124" s="28" t="inlineStr">
        <is>
          <t>SD221</t>
        </is>
      </c>
      <c r="B124" s="28" t="inlineStr">
        <is>
          <t>E15</t>
        </is>
      </c>
      <c r="C124" s="28" t="inlineStr">
        <is>
          <t>S15</t>
        </is>
      </c>
      <c r="D124" s="28" t="n">
        <v>3</v>
      </c>
      <c r="E124" s="28" t="inlineStr">
        <is>
          <t>src/encryptedRepository.ts KeyRing + reencrypt()</t>
        </is>
      </c>
      <c r="F124" s="28" t="inlineStr">
        <is>
          <t>tests/encryptedRepository.test.ts + integration test 8</t>
        </is>
      </c>
      <c r="G124" s="32" t="inlineStr">
        <is>
          <t>Done</t>
        </is>
      </c>
      <c r="H124" s="28" t="inlineStr">
        <is>
          <t>Closes OBS-SD8 / P-014. Closes OBS-SD8. Old enc:v1 rows still read; the sweep re-seals them under the current key id. Round-tripped through real JSONB.</t>
        </is>
      </c>
    </row>
    <row r="125">
      <c r="A125" s="28" t="inlineStr">
        <is>
          <t>SD222</t>
        </is>
      </c>
      <c r="B125" s="28" t="inlineStr">
        <is>
          <t>E16</t>
        </is>
      </c>
      <c r="C125" s="28" t="inlineStr">
        <is>
          <t>S16</t>
        </is>
      </c>
      <c r="D125" s="28" t="n">
        <v>13</v>
      </c>
      <c r="E125" s="28" t="inlineStr">
        <is>
          <t>src/adaptiveCards.ts + src/botTransport.ts invoke handling</t>
        </is>
      </c>
      <c r="F125" s="28" t="inlineStr">
        <is>
          <t>tests/teamsNative.test.ts</t>
        </is>
      </c>
      <c r="G125" s="34" t="inlineStr">
        <is>
          <t>Code-complete pending live</t>
        </is>
      </c>
      <c r="H125" s="28" t="inlineStr">
        <is>
          <t>Closes P-009. Cards are schema-validated and the invoke path is acked, but how a card renders is only knowable in a live client. Text stays as the fallback every card carries.</t>
        </is>
      </c>
    </row>
    <row r="126">
      <c r="A126" s="28" t="inlineStr">
        <is>
          <t>SD223</t>
        </is>
      </c>
      <c r="B126" s="28" t="inlineStr">
        <is>
          <t>E16</t>
        </is>
      </c>
      <c r="C126" s="28" t="inlineStr">
        <is>
          <t>S16</t>
        </is>
      </c>
      <c r="D126" s="28" t="n">
        <v>8</v>
      </c>
      <c r="E126" s="28" t="inlineStr">
        <is>
          <t>src/proactive.ts ConversationStore + ProactiveMessenger</t>
        </is>
      </c>
      <c r="F126" s="28" t="inlineStr">
        <is>
          <t>tests/teamsNative.test.ts</t>
        </is>
      </c>
      <c r="G126" s="34" t="inlineStr">
        <is>
          <t>Code-complete pending live</t>
        </is>
      </c>
      <c r="H126" s="28" t="inlineStr">
        <is>
          <t>Closes P-009 / P-015. The product promise the review found unimplemented. 403 forgets the conversation; 429/5xx retry with backoff. A real push needs a real tenant.</t>
        </is>
      </c>
    </row>
    <row r="127">
      <c r="A127" s="28" t="inlineStr">
        <is>
          <t>SD224</t>
        </is>
      </c>
      <c r="B127" s="28" t="inlineStr">
        <is>
          <t>E16</t>
        </is>
      </c>
      <c r="C127" s="28" t="inlineStr">
        <is>
          <t>S16</t>
        </is>
      </c>
      <c r="D127" s="28" t="n">
        <v>8</v>
      </c>
      <c r="E127" s="28" t="inlineStr">
        <is>
          <t>teams-app/manifest.json configurableTabs + web/configEntry.tsx + web/config.html</t>
        </is>
      </c>
      <c r="F127" s="28" t="inlineStr">
        <is>
          <t>tests/manifest.test.ts + tests/teamsNative.test.ts</t>
        </is>
      </c>
      <c r="G127" s="34" t="inlineStr">
        <is>
          <t>Code-complete pending live</t>
        </is>
      </c>
      <c r="H127" s="28" t="inlineStr">
        <is>
          <t>Closes P-010. Manifest, config page and save handshake all ship; in-channel rendering is a live-client fact.</t>
        </is>
      </c>
    </row>
    <row r="128">
      <c r="A128" s="28" t="inlineStr">
        <is>
          <t>SD225</t>
        </is>
      </c>
      <c r="B128" s="28" t="inlineStr">
        <is>
          <t>E16</t>
        </is>
      </c>
      <c r="C128" s="28" t="inlineStr">
        <is>
          <t>S16</t>
        </is>
      </c>
      <c r="D128" s="28" t="n">
        <v>2</v>
      </c>
      <c r="E128" s="28" t="inlineStr">
        <is>
          <t>teams-app/manifest.json (8 commands)</t>
        </is>
      </c>
      <c r="F128" s="28" t="inlineStr">
        <is>
          <t>tests/manifest.test.ts</t>
        </is>
      </c>
      <c r="G128" s="32" t="inlineStr">
        <is>
          <t>Done</t>
        </is>
      </c>
      <c r="H128" s="28" t="inlineStr">
        <is>
          <t>Closes P-011. Two-way: a command in the manifest with no handler fails, and a handler missing from the manifest fails.</t>
        </is>
      </c>
    </row>
    <row r="129">
      <c r="A129" s="28" t="inlineStr">
        <is>
          <t>SD226</t>
        </is>
      </c>
      <c r="B129" s="28" t="inlineStr">
        <is>
          <t>E16</t>
        </is>
      </c>
      <c r="C129" s="28" t="inlineStr">
        <is>
          <t>S16</t>
        </is>
      </c>
      <c r="D129" s="28" t="n">
        <v>5</v>
      </c>
      <c r="E129" s="28" t="inlineStr">
        <is>
          <t>ASSET_PLAN.md flow list + web/demo.tsx capture surface</t>
        </is>
      </c>
      <c r="F129" s="28" t="inlineStr">
        <is>
          <t>ops/accessibility-audit-script.md</t>
        </is>
      </c>
      <c r="G129" s="33" t="inlineStr">
        <is>
          <t>To do — Senthil</t>
        </is>
      </c>
      <c r="H129" s="28" t="inlineStr">
        <is>
          <t>Closes VER-SD01. Store-blocking (VER-SD01). The walkthrough script and the five flows are prepared; only a person with the app sideloaded on a phone can do it.</t>
        </is>
      </c>
    </row>
    <row r="130">
      <c r="A130" s="28" t="inlineStr">
        <is>
          <t>SD227</t>
        </is>
      </c>
      <c r="B130" s="28" t="inlineStr">
        <is>
          <t>E16</t>
        </is>
      </c>
      <c r="C130" s="28" t="inlineStr">
        <is>
          <t>S16</t>
        </is>
      </c>
      <c r="D130" s="28" t="n">
        <v>4</v>
      </c>
      <c r="E130" s="28" t="inlineStr">
        <is>
          <t>src/i18n.ts (en-GB, es-ES) + teams-app/es-ES.json + localizationInfo</t>
        </is>
      </c>
      <c r="F130" s="28" t="inlineStr">
        <is>
          <t>tests/teamsNative.test.ts</t>
        </is>
      </c>
      <c r="G130" s="32" t="inlineStr">
        <is>
          <t>Done</t>
        </is>
      </c>
      <c r="H130" s="28" t="inlineStr">
        <is>
          <t>Closes P-012. A missing key throws I18N_KEY_MISSING rather than rendering blank. F-072 found here: two strings were frozen at import so setLocale had no effect.</t>
        </is>
      </c>
    </row>
    <row r="131">
      <c r="A131" s="28" t="inlineStr">
        <is>
          <t>SD228</t>
        </is>
      </c>
      <c r="B131" s="28" t="inlineStr">
        <is>
          <t>E17</t>
        </is>
      </c>
      <c r="C131" s="28" t="inlineStr">
        <is>
          <t>S17</t>
        </is>
      </c>
      <c r="D131" s="28" t="n">
        <v>8</v>
      </c>
      <c r="E131" s="28" t="inlineStr">
        <is>
          <t>content/admin-deployment-guide.md + SCOPE_MAP</t>
        </is>
      </c>
      <c r="F131" s="28" t="inlineStr">
        <is>
          <t>tests/manifest.test.ts + tests/privacy.test.ts</t>
        </is>
      </c>
      <c r="G131" s="33" t="inlineStr">
        <is>
          <t>To do — Senthil</t>
        </is>
      </c>
      <c r="H131" s="28" t="inlineStr">
        <is>
          <t>Closes LC-4 / LC-5. Needs two live tenants. The scope map is pinned to its consumer files by test, so the doc cannot drift from what consent will show.</t>
        </is>
      </c>
    </row>
    <row r="132">
      <c r="A132" s="28" t="inlineStr">
        <is>
          <t>SD229</t>
        </is>
      </c>
      <c r="B132" s="28" t="inlineStr">
        <is>
          <t>E17</t>
        </is>
      </c>
      <c r="C132" s="28" t="inlineStr">
        <is>
          <t>S17</t>
        </is>
      </c>
      <c r="D132" s="28" t="n">
        <v>5</v>
      </c>
      <c r="E132" s="28" t="inlineStr">
        <is>
          <t>src/residency.ts assertResidency + src/config.ts region</t>
        </is>
      </c>
      <c r="F132" s="28" t="inlineStr">
        <is>
          <t>tests/governance.test.ts</t>
        </is>
      </c>
      <c r="G132" s="32" t="inlineStr">
        <is>
          <t>Done</t>
        </is>
      </c>
      <c r="H132" s="28" t="inlineStr">
        <is>
          <t>Closes P-013. Four customer regions plus a CI region. A store host outside the declared region throws RESIDENCY_MISMATCH at boot, before serving a request.</t>
        </is>
      </c>
    </row>
    <row r="133">
      <c r="A133" s="28" t="inlineStr">
        <is>
          <t>SD230</t>
        </is>
      </c>
      <c r="B133" s="28" t="inlineStr">
        <is>
          <t>E17</t>
        </is>
      </c>
      <c r="C133" s="28" t="inlineStr">
        <is>
          <t>S17</t>
        </is>
      </c>
      <c r="D133" s="28" t="n">
        <v>5</v>
      </c>
      <c r="E133" s="28" t="inlineStr">
        <is>
          <t>src/residency.ts generators + content/legal/*.md (4 documents)</t>
        </is>
      </c>
      <c r="F133" s="28" t="inlineStr">
        <is>
          <t>tests/governance.test.ts</t>
        </is>
      </c>
      <c r="G133" s="32" t="inlineStr">
        <is>
          <t>Done</t>
        </is>
      </c>
      <c r="H133" s="28" t="inlineStr">
        <is>
          <t>Closes P-013. The documents are generated from the constants, so a retention class added in code cannot go missing from the customer-facing schedule.</t>
        </is>
      </c>
    </row>
    <row r="134">
      <c r="A134" s="28" t="inlineStr">
        <is>
          <t>SD231</t>
        </is>
      </c>
      <c r="B134" s="28" t="inlineStr">
        <is>
          <t>E17</t>
        </is>
      </c>
      <c r="C134" s="28" t="inlineStr">
        <is>
          <t>S17</t>
        </is>
      </c>
      <c r="D134" s="28" t="n">
        <v>5</v>
      </c>
      <c r="E134" s="28" t="inlineStr">
        <is>
          <t>src/bootstrap.ts dataRightsFor + src/server.ts dataRightsRoute + src/ui/screens.tsx</t>
        </is>
      </c>
      <c r="F134" s="28" t="inlineStr">
        <is>
          <t>tests/privacy.test.ts + tests/server.test.ts</t>
        </is>
      </c>
      <c r="G134" s="34" t="inlineStr">
        <is>
          <t>Code-complete pending live</t>
        </is>
      </c>
      <c r="H134" s="28" t="inlineStr">
        <is>
          <t>Closes F-029. Streamed NDJSON export and delete-with-receipt are wired and audited over HTTP; the AC asks for that over a real store, which arrives with the staging environment.</t>
        </is>
      </c>
    </row>
    <row r="135">
      <c r="A135" s="28" t="inlineStr">
        <is>
          <t>SD232</t>
        </is>
      </c>
      <c r="B135" s="28" t="inlineStr">
        <is>
          <t>E17</t>
        </is>
      </c>
      <c r="C135" s="28" t="inlineStr">
        <is>
          <t>S17</t>
        </is>
      </c>
      <c r="D135" s="28" t="n">
        <v>5</v>
      </c>
      <c r="E135" s="28" t="inlineStr">
        <is>
          <t>src/keySource.ts AzureKeyVaultKeyProvider + managedIdentityToken</t>
        </is>
      </c>
      <c r="F135" s="28" t="inlineStr">
        <is>
          <t>tests/governance.test.ts + tests/config.test.ts</t>
        </is>
      </c>
      <c r="G135" s="34" t="inlineStr">
        <is>
          <t>Code-complete pending live</t>
        </is>
      </c>
      <c r="H135" s="28" t="inlineStr">
        <is>
          <t>Closes P-014. Production already refuses a plain env key. The Key Vault path is coded against the documented API but has never spoken to a real vault.</t>
        </is>
      </c>
    </row>
    <row r="136">
      <c r="A136" s="28" t="inlineStr">
        <is>
          <t>SD233</t>
        </is>
      </c>
      <c r="B136" s="28" t="inlineStr">
        <is>
          <t>E17</t>
        </is>
      </c>
      <c r="C136" s="28" t="inlineStr">
        <is>
          <t>S17</t>
        </is>
      </c>
      <c r="D136" s="28" t="n">
        <v>4</v>
      </c>
      <c r="E136" s="28" t="inlineStr">
        <is>
          <t>ops/incident-response-runbook.md</t>
        </is>
      </c>
      <c r="F136" s="28" t="inlineStr">
        <is>
          <t>tests/governance.test.ts (severity ladder bound to ALERT_RULES)</t>
        </is>
      </c>
      <c r="G136" s="35" t="inlineStr">
        <is>
          <t>Drafted</t>
        </is>
      </c>
      <c r="H136" s="28" t="inlineStr">
        <is>
          <t>Closes P-013. Runbook written and bound to the alert rules by test. The tabletop exercise is a human activity and is not claimed.</t>
        </is>
      </c>
    </row>
    <row r="137">
      <c r="A137" s="28" t="inlineStr">
        <is>
          <t>SD234</t>
        </is>
      </c>
      <c r="B137" s="28" t="inlineStr">
        <is>
          <t>E18</t>
        </is>
      </c>
      <c r="C137" s="28" t="inlineStr">
        <is>
          <t>S18</t>
        </is>
      </c>
      <c r="D137" s="28" t="n">
        <v>8</v>
      </c>
      <c r="E137" s="28" t="inlineStr">
        <is>
          <t>SECURITY_EVIDENCE.md scope pack</t>
        </is>
      </c>
      <c r="F137" s="28" t="inlineStr">
        <is>
          <t>—</t>
        </is>
      </c>
      <c r="G137" s="33" t="inlineStr">
        <is>
          <t>To do — Senthil</t>
        </is>
      </c>
      <c r="H137" s="28" t="inlineStr">
        <is>
          <t>Closes LC-3. Needs a staging environment and a vendor engagement. The scope pack and the surface inventory are prepared so the engagement can start without a discovery phase.</t>
        </is>
      </c>
    </row>
    <row r="138">
      <c r="A138" s="28" t="inlineStr">
        <is>
          <t>SD235</t>
        </is>
      </c>
      <c r="B138" s="28" t="inlineStr">
        <is>
          <t>E18</t>
        </is>
      </c>
      <c r="C138" s="28" t="inlineStr">
        <is>
          <t>S18</t>
        </is>
      </c>
      <c r="D138" s="28" t="n">
        <v>5</v>
      </c>
      <c r="E138" s="28" t="inlineStr">
        <is>
          <t>ops/m365-certification-pack.md</t>
        </is>
      </c>
      <c r="F138" s="28" t="inlineStr">
        <is>
          <t>tests/governance.test.ts (evidence paths exist)</t>
        </is>
      </c>
      <c r="G138" s="33" t="inlineStr">
        <is>
          <t>To do — Senthil</t>
        </is>
      </c>
      <c r="H138" s="28" t="inlineStr">
        <is>
          <t>Closes LC-3. Partner Center account required. Every answer the attestation asks for is drafted in the pack.</t>
        </is>
      </c>
    </row>
    <row r="139">
      <c r="A139" s="28" t="inlineStr">
        <is>
          <t>SD236</t>
        </is>
      </c>
      <c r="B139" s="28" t="inlineStr">
        <is>
          <t>E18</t>
        </is>
      </c>
      <c r="C139" s="28" t="inlineStr">
        <is>
          <t>S18</t>
        </is>
      </c>
      <c r="D139" s="28" t="n">
        <v>8</v>
      </c>
      <c r="E139" s="28" t="inlineStr">
        <is>
          <t>src/compliance.ts M365_CONTROLS + ops/m365-certification-pack.md</t>
        </is>
      </c>
      <c r="F139" s="28" t="inlineStr">
        <is>
          <t>tests/governance.test.ts</t>
        </is>
      </c>
      <c r="G139" s="32" t="inlineStr">
        <is>
          <t>Done</t>
        </is>
      </c>
      <c r="H139" s="28" t="inlineStr">
        <is>
          <t>Closes LC-3. Each control names an evidence path, and the test fails if the path does not exist — the discipline that caught three controls with no executable evidence behind them.</t>
        </is>
      </c>
    </row>
    <row r="140">
      <c r="A140" s="28" t="inlineStr">
        <is>
          <t>SD237</t>
        </is>
      </c>
      <c r="B140" s="28" t="inlineStr">
        <is>
          <t>E18</t>
        </is>
      </c>
      <c r="C140" s="28" t="inlineStr">
        <is>
          <t>S18</t>
        </is>
      </c>
      <c r="D140" s="28" t="n">
        <v>5</v>
      </c>
      <c r="E140" s="28" t="inlineStr">
        <is>
          <t>src/compliance.ts SOC2_CONTROLS + ops/soc2-readiness-map.md</t>
        </is>
      </c>
      <c r="F140" s="28" t="inlineStr">
        <is>
          <t>tests/governance.test.ts</t>
        </is>
      </c>
      <c r="G140" s="33" t="inlineStr">
        <is>
          <t>To do — Senthil</t>
        </is>
      </c>
      <c r="H140" s="28" t="inlineStr">
        <is>
          <t>Closes D-05. The mapping and the automation are in code; engaging a firm and paying the fee are Senthil decisions with a real budget attached.</t>
        </is>
      </c>
    </row>
    <row r="141">
      <c r="A141" s="28" t="inlineStr">
        <is>
          <t>SD238</t>
        </is>
      </c>
      <c r="B141" s="28" t="inlineStr">
        <is>
          <t>E18</t>
        </is>
      </c>
      <c r="C141" s="28" t="inlineStr">
        <is>
          <t>S18</t>
        </is>
      </c>
      <c r="D141" s="28" t="n">
        <v>4</v>
      </c>
      <c r="E141" s="28" t="inlineStr">
        <is>
          <t>ops/accessibility-audit-script.md (per-screen script)</t>
        </is>
      </c>
      <c r="F141" s="28" t="inlineStr">
        <is>
          <t>tests/a11y.test.tsx (automated net stays)</t>
        </is>
      </c>
      <c r="G141" s="33" t="inlineStr">
        <is>
          <t>To do — Senthil</t>
        </is>
      </c>
      <c r="H141" s="28" t="inlineStr">
        <is>
          <t>Closes LC-7 / R-S6. Closes R-S6, open since session 1. jest-axe cannot hear a screen reader; the script makes the manual pass a checklist rather than an exploration.</t>
        </is>
      </c>
    </row>
    <row r="142">
      <c r="A142" s="28" t="inlineStr">
        <is>
          <t>SD239</t>
        </is>
      </c>
      <c r="B142" s="28" t="inlineStr">
        <is>
          <t>E19</t>
        </is>
      </c>
      <c r="C142" s="28" t="inlineStr">
        <is>
          <t>S19</t>
        </is>
      </c>
      <c r="D142" s="28" t="n">
        <v>13</v>
      </c>
      <c r="E142" s="28" t="inlineStr">
        <is>
          <t>src/fulfillment.ts + src/server.ts handleMarketplaceWebhook</t>
        </is>
      </c>
      <c r="F142" s="28" t="inlineStr">
        <is>
          <t>tests/commercial.test.ts</t>
        </is>
      </c>
      <c r="G142" s="34" t="inlineStr">
        <is>
          <t>Code-complete pending live</t>
        </is>
      </c>
      <c r="H142" s="28" t="inlineStr">
        <is>
          <t>Closes P-019 / LC-6. Fulfillment API v2 against the documented contract, idempotent on activityId, with Entra and shared-secret webhook authentication. A real transaction needs a live offer.</t>
        </is>
      </c>
    </row>
    <row r="143">
      <c r="A143" s="28" t="inlineStr">
        <is>
          <t>SD240</t>
        </is>
      </c>
      <c r="B143" s="28" t="inlineStr">
        <is>
          <t>E19</t>
        </is>
      </c>
      <c r="C143" s="28" t="inlineStr">
        <is>
          <t>S19</t>
        </is>
      </c>
      <c r="D143" s="28" t="n">
        <v>5</v>
      </c>
      <c r="E143" s="28" t="inlineStr">
        <is>
          <t>content/pricing-faq.md + fulfillment plan mapping</t>
        </is>
      </c>
      <c r="F143" s="28" t="inlineStr">
        <is>
          <t>tests/commercial.test.ts (plan ids bound to entitlements)</t>
        </is>
      </c>
      <c r="G143" s="33" t="inlineStr">
        <is>
          <t>To do — Senthil</t>
        </is>
      </c>
      <c r="H143" s="28" t="inlineStr">
        <is>
          <t>Closes LC-6. Partner Center work. Plan identifiers are bound to the entitlement table by test, so the offer and the code cannot disagree once it exists.</t>
        </is>
      </c>
    </row>
    <row r="144">
      <c r="A144" s="28" t="inlineStr">
        <is>
          <t>SD241</t>
        </is>
      </c>
      <c r="B144" s="28" t="inlineStr">
        <is>
          <t>E19</t>
        </is>
      </c>
      <c r="C144" s="28" t="inlineStr">
        <is>
          <t>S19</t>
        </is>
      </c>
      <c r="D144" s="28" t="n">
        <v>5</v>
      </c>
      <c r="E144" s="28" t="inlineStr">
        <is>
          <t>src/telemetrySink.ts HttpTelemetrySink + scrub/tenantHash</t>
        </is>
      </c>
      <c r="F144" s="28" t="inlineStr">
        <is>
          <t>tests/observability.test.ts</t>
        </is>
      </c>
      <c r="G144" s="34" t="inlineStr">
        <is>
          <t>Code-complete pending live</t>
        </is>
      </c>
      <c r="H144" s="28" t="inlineStr">
        <is>
          <t>Closes F-070. Sentry-envelope and PostHog-capture shapes are built and the scrubber is pinned by test; no sink URL is configured, so nothing has been seen in a dashboard.</t>
        </is>
      </c>
    </row>
    <row r="145">
      <c r="A145" s="28" t="inlineStr">
        <is>
          <t>SD242</t>
        </is>
      </c>
      <c r="B145" s="28" t="inlineStr">
        <is>
          <t>E19</t>
        </is>
      </c>
      <c r="C145" s="28" t="inlineStr">
        <is>
          <t>S19</t>
        </is>
      </c>
      <c r="D145" s="28" t="n">
        <v>5</v>
      </c>
      <c r="E145" s="28" t="inlineStr">
        <is>
          <t>src/slo.ts (11 ALERT_RULES) + ops/incident-response-runbook.md</t>
        </is>
      </c>
      <c r="F145" s="28" t="inlineStr">
        <is>
          <t>tests/observability.test.ts + tests/governance.test.ts</t>
        </is>
      </c>
      <c r="G145" s="32" t="inlineStr">
        <is>
          <t>Done</t>
        </is>
      </c>
      <c r="H145" s="28" t="inlineStr">
        <is>
          <t>Closes D-05. 99.5% is 216 minutes a month, stated as a number rather than a nine. Every rule carries a because field naming the finding that justifies it.</t>
        </is>
      </c>
    </row>
    <row r="146">
      <c r="A146" s="28" t="inlineStr">
        <is>
          <t>SD243</t>
        </is>
      </c>
      <c r="B146" s="28" t="inlineStr">
        <is>
          <t>E19</t>
        </is>
      </c>
      <c r="C146" s="28" t="inlineStr">
        <is>
          <t>S19</t>
        </is>
      </c>
      <c r="D146" s="28" t="n">
        <v>4</v>
      </c>
      <c r="E146" s="28" t="inlineStr">
        <is>
          <t>.github/workflows/deploy.yml (az commands, migrate-before-swap, smoke, rollback job)</t>
        </is>
      </c>
      <c r="F146" s="28" t="inlineStr">
        <is>
          <t>tests/reviewPack.test.ts (no echo placeholders remain)</t>
        </is>
      </c>
      <c r="G146" s="34" t="inlineStr">
        <is>
          <t>Code-complete pending live</t>
        </is>
      </c>
      <c r="H146" s="28" t="inlineStr">
        <is>
          <t>Closes P-020. The echo placeholders are gone and the ordering is right. Executing one rollback needs the subscription.</t>
        </is>
      </c>
    </row>
    <row r="147">
      <c r="A147" s="28" t="inlineStr">
        <is>
          <t>SD244</t>
        </is>
      </c>
      <c r="B147" s="28" t="inlineStr">
        <is>
          <t>E20</t>
        </is>
      </c>
      <c r="C147" s="28" t="inlineStr">
        <is>
          <t>S20</t>
        </is>
      </c>
      <c r="D147" s="28" t="n">
        <v>8</v>
      </c>
      <c r="E147" s="28" t="inlineStr">
        <is>
          <t>—</t>
        </is>
      </c>
      <c r="F147" s="28" t="inlineStr">
        <is>
          <t>—</t>
        </is>
      </c>
      <c r="G147" s="33" t="inlineStr">
        <is>
          <t>To do — Senthil</t>
        </is>
      </c>
      <c r="H147" s="28" t="inlineStr">
        <is>
          <t>Closes R4. The one item no amount of code can substitute for. D13 parked interviews portfolio-wide; this is where that decision comes back.</t>
        </is>
      </c>
    </row>
    <row r="148">
      <c r="A148" s="28" t="inlineStr">
        <is>
          <t>SD245</t>
        </is>
      </c>
      <c r="B148" s="28" t="inlineStr">
        <is>
          <t>E20</t>
        </is>
      </c>
      <c r="C148" s="28" t="inlineStr">
        <is>
          <t>S20</t>
        </is>
      </c>
      <c r="D148" s="28" t="n">
        <v>5</v>
      </c>
      <c r="E148" s="28" t="inlineStr">
        <is>
          <t>content/listing-copy-A.md + content/listing-copy-B.md + content/positioning-onepager.md</t>
        </is>
      </c>
      <c r="F148" s="28" t="inlineStr">
        <is>
          <t>tests/completionWave.test.ts + tests/reviewPack.test.ts</t>
        </is>
      </c>
      <c r="G148" s="35" t="inlineStr">
        <is>
          <t>Drafted</t>
        </is>
      </c>
      <c r="H148" s="28" t="inlineStr">
        <is>
          <t>Closes D-04. Copy rewritten against the free first-party overlap rather than around it. Whether the wedge lands is answered in the SD244 calls, not by the copy.</t>
        </is>
      </c>
    </row>
    <row r="149">
      <c r="A149" s="28" t="inlineStr">
        <is>
          <t>SD246</t>
        </is>
      </c>
      <c r="B149" s="28" t="inlineStr">
        <is>
          <t>E20</t>
        </is>
      </c>
      <c r="C149" s="28" t="inlineStr">
        <is>
          <t>S20</t>
        </is>
      </c>
      <c r="D149" s="28" t="n">
        <v>5</v>
      </c>
      <c r="E149" s="28" t="inlineStr">
        <is>
          <t>product workbook v046 Financial_Model</t>
        </is>
      </c>
      <c r="F149" s="28" t="inlineStr">
        <is>
          <t>workbook recalculation, 0 errors</t>
        </is>
      </c>
      <c r="G149" s="32" t="inlineStr">
        <is>
          <t>Done</t>
        </is>
      </c>
      <c r="H149" s="28" t="inlineStr">
        <is>
          <t>Closes P-018 / D-01. The model now shows cash in, cash out, runway and either a breakeven month or the funding requirement stated outright. Per-site pricing modelled beside per-seat.</t>
        </is>
      </c>
    </row>
    <row r="150">
      <c r="A150" s="28" t="inlineStr">
        <is>
          <t>SD247</t>
        </is>
      </c>
      <c r="B150" s="28" t="inlineStr">
        <is>
          <t>E20</t>
        </is>
      </c>
      <c r="C150" s="28" t="inlineStr">
        <is>
          <t>S20</t>
        </is>
      </c>
      <c r="D150" s="28" t="n">
        <v>6</v>
      </c>
      <c r="E150" s="28" t="inlineStr">
        <is>
          <t>src/telemetry.ts funnel (wired at the boundary since session 24)</t>
        </is>
      </c>
      <c r="F150" s="28" t="inlineStr">
        <is>
          <t>tests/observability.test.ts</t>
        </is>
      </c>
      <c r="G150" s="33" t="inlineStr">
        <is>
          <t>To do — Senthil</t>
        </is>
      </c>
      <c r="H150" s="28" t="inlineStr">
        <is>
          <t>Closes G-02. The funnel that would measure this is real and wired. The five customers are not, and G-02 counts only paying strangers.</t>
        </is>
      </c>
    </row>
    <row r="151"/>
    <row r="152">
      <c r="A152" s="51" t="inlineStr">
        <is>
          <t>Coverage evidence (v0.14.0): jest --ci — 68 unit suites / 555 tests passed at 100% statements, branches, functions and lines, zero pragmas; plus a real-Postgres integration tier (9/9, tests/integration/) and a production-seam wiring assertion that also runs at boot — the three tiers of decision D-SD7. Status colours: green=Done, amber=pending live, blue=drafted, orange=owed to Senthil (D-SD8).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21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1" min="1" max="1"/>
    <col width="10" customWidth="1" style="21" min="2" max="2"/>
    <col width="72" customWidth="1" style="21" min="3" max="4"/>
    <col width="26" customWidth="1" style="21" min="5" max="5"/>
  </cols>
  <sheetData>
    <row r="1" ht="15" customHeight="1" s="22">
      <c r="A1" s="38" t="inlineStr">
        <is>
          <t>COLD-REVIEW PASS 1 — 11/09/2026 12:51 (adversarial self-review; external second review still owed per ST-097)</t>
        </is>
      </c>
    </row>
    <row r="3" ht="15" customHeight="1" s="22">
      <c r="A3" s="39" t="inlineStr">
        <is>
          <t>ID</t>
        </is>
      </c>
      <c r="B3" s="39" t="inlineStr">
        <is>
          <t>Severity</t>
        </is>
      </c>
      <c r="C3" s="39" t="inlineStr">
        <is>
          <t>Finding</t>
        </is>
      </c>
      <c r="D3" s="39" t="inlineStr">
        <is>
          <t>Resolution</t>
        </is>
      </c>
      <c r="E3" s="39" t="inlineStr">
        <is>
          <t>Status / Disposition</t>
        </is>
      </c>
    </row>
    <row r="4" ht="39" customHeight="1" s="22">
      <c r="A4" s="27" t="inlineStr">
        <is>
          <t>F-001</t>
        </is>
      </c>
      <c r="B4" s="27" t="inlineStr">
        <is>
          <t>High</t>
        </is>
      </c>
      <c r="C4" s="27" t="inlineStr">
        <is>
          <t>Billing had no payment-recovery path: an account in grace or read-only could never return to active; dunning counter never reset.</t>
        </is>
      </c>
      <c r="D4" s="27" t="inlineStr">
        <is>
          <t>paymentRecovered() added — grace/read_only -&gt; active, dunning + graceStart reset, recovery email logged; dunning restarts fresh on a later failure. Regression pinned.</t>
        </is>
      </c>
      <c r="E4" s="49" t="inlineStr">
        <is>
          <t>FIXED (regression tests)</t>
        </is>
      </c>
    </row>
    <row r="5" ht="26.25" customHeight="1" s="22">
      <c r="A5" s="27" t="inlineStr">
        <is>
          <t>F-002</t>
        </is>
      </c>
      <c r="B5" s="27" t="inlineStr">
        <is>
          <t>High</t>
        </is>
      </c>
      <c r="C5" s="27" t="inlineStr">
        <is>
          <t>Duplicate install webhook silently overwrote an existing tenant account — full data loss on a repeated Teams install event.</t>
        </is>
      </c>
      <c r="D5" s="27" t="inlineStr">
        <is>
          <t>install() made idempotent: existing account returned untouched, install_duplicate_ignored telemetry row. Regression pinned.</t>
        </is>
      </c>
      <c r="E5" s="49" t="inlineStr">
        <is>
          <t>FIXED (regression tests)</t>
        </is>
      </c>
    </row>
    <row r="6" ht="26.25" customHeight="1" s="22">
      <c r="A6" s="27" t="inlineStr">
        <is>
          <t>F-003</t>
        </is>
      </c>
      <c r="B6" s="27" t="inlineStr">
        <is>
          <t>Medium</t>
        </is>
      </c>
      <c r="C6" s="27" t="inlineStr">
        <is>
          <t>Unbounded in-memory ledgers: telemetry error list and notification sent-log grew forever (memory exhaustion under sustained traffic).</t>
        </is>
      </c>
      <c r="D6" s="27" t="inlineStr">
        <is>
          <t>Both FIFO-capped at 10,000 entries. Regression pinned. Audit log deliberately NOT capped — see F-008.</t>
        </is>
      </c>
      <c r="E6" s="49" t="inlineStr">
        <is>
          <t>FIXED (regression tests)</t>
        </is>
      </c>
    </row>
    <row r="7" ht="39" customHeight="1" s="22">
      <c r="A7" s="27" t="inlineStr">
        <is>
          <t>F-004</t>
        </is>
      </c>
      <c r="B7" s="27" t="inlineStr">
        <is>
          <t>Medium</t>
        </is>
      </c>
      <c r="C7" s="27" t="inlineStr">
        <is>
          <t>Retry backoff delays were computed (backoffDelay) but never applied — retries hammered the platform API instantly, defeating ST-070 intent.</t>
        </is>
      </c>
      <c r="D7" s="27" t="inlineStr">
        <is>
          <t>Injectable sleeper wired between failed attempts (exponential, none after final attempt); no-op default in tests, setTimeout at live bootstrap. Regression pinned.</t>
        </is>
      </c>
      <c r="E7" s="49" t="inlineStr">
        <is>
          <t>FIXED (regression tests)</t>
        </is>
      </c>
    </row>
    <row r="8" ht="26.25" customHeight="1" s="22">
      <c r="A8" s="27" t="inlineStr">
        <is>
          <t>F-005</t>
        </is>
      </c>
      <c r="B8" s="27" t="inlineStr">
        <is>
          <t>Medium</t>
        </is>
      </c>
      <c r="C8" s="27" t="inlineStr">
        <is>
          <t>Approval engine auto-approved zero and negative amounts (amount &lt;= threshold held for -50).</t>
        </is>
      </c>
      <c r="D8" s="27" t="inlineStr">
        <is>
          <t>submit() validates amount &gt; 0 -&gt; AMOUNT_INVALID. Regression pinned.</t>
        </is>
      </c>
      <c r="E8" s="49" t="inlineStr">
        <is>
          <t>FIXED (regression tests)</t>
        </is>
      </c>
    </row>
    <row r="9" ht="39" customHeight="1" s="22">
      <c r="A9" s="27" t="inlineStr">
        <is>
          <t>F-006</t>
        </is>
      </c>
      <c r="B9" s="27" t="inlineStr">
        <is>
          <t>Low</t>
        </is>
      </c>
      <c r="C9" s="27" t="inlineStr">
        <is>
          <t>Checklist CSV export corrupted by commas/quotes in task text (column drift in compliance evidence).</t>
        </is>
      </c>
      <c r="D9" s="27" t="inlineStr">
        <is>
          <t>RFC-4180 quoting applied. Regression pinned. NOTE: CSV importer (moduleBase.importCsv) is still naive-split — flagged in REVIEW_PACK probes as candidate finding for pass 2.</t>
        </is>
      </c>
      <c r="E9" s="49" t="inlineStr">
        <is>
          <t>FIXED (regression tests)</t>
        </is>
      </c>
    </row>
    <row r="10" ht="26.25" customHeight="1" s="22">
      <c r="A10" s="27" t="inlineStr">
        <is>
          <t>F-007</t>
        </is>
      </c>
      <c r="B10" s="27" t="inlineStr">
        <is>
          <t>Medium</t>
        </is>
      </c>
      <c r="C10" s="27" t="inlineStr">
        <is>
          <t>Circuit breaker has no half-open probe: once open it stays open until manual reset() — a transient Teams outage requires operator action to recover.</t>
        </is>
      </c>
      <c r="D10" s="27" t="inlineStr">
        <is>
          <t>Options: (a) half-open probe after cooldown N seconds, (b) keep manual-reset semantics + ops alert. Same class as OnCall F-006.</t>
        </is>
      </c>
      <c r="E10" s="50" t="inlineStr">
        <is>
          <t>OPEN — Senthil disposition</t>
        </is>
      </c>
    </row>
    <row r="11" ht="26.25" customHeight="1" s="22">
      <c r="A11" s="27" t="inlineStr">
        <is>
          <t>F-008</t>
        </is>
      </c>
      <c r="B11" s="27" t="inlineStr">
        <is>
          <t>Low</t>
        </is>
      </c>
      <c r="C11" s="27" t="inlineStr">
        <is>
          <t>AuditLog grows unbounded in-memory. Capping would truncate a compliance trail, so no FIFO applied.</t>
        </is>
      </c>
      <c r="D11" s="27" t="inlineStr">
        <is>
          <t>Postgres-backed audit table at S1-08 live wiring; in-memory mode acceptable for sandbox/tests only.</t>
        </is>
      </c>
      <c r="E11" s="50" t="inlineStr">
        <is>
          <t>OPEN — Senthil disposition</t>
        </is>
      </c>
    </row>
    <row r="12" ht="51.75" customHeight="1" s="22">
      <c r="A12" s="27" t="inlineStr">
        <is>
          <t>F-009</t>
        </is>
      </c>
      <c r="B12" s="27" t="inlineStr">
        <is>
          <t>Process</t>
        </is>
      </c>
      <c r="C12" s="27" t="inlineStr">
        <is>
          <t>Evidence discipline: v006 traceability for ST-066 said "vault/encryption pattern coded" before any such module existed in the repo.</t>
        </is>
      </c>
      <c r="D12" s="27" t="inlineStr">
        <is>
          <t>Corrected this session: src/crypto.ts built (AES-256-GCM, unique IVs, tamper rejection, SecretsVault with redacted dump + key rotation) — the claim is now true; ST-066 stays Code-complete pending live KMS wiring. Lesson logged: evidence strings must name an existing file.</t>
        </is>
      </c>
      <c r="E12" s="49" t="inlineStr">
        <is>
          <t>CLOSED — corrective action done</t>
        </is>
      </c>
    </row>
    <row r="14" ht="15" customHeight="1" s="22">
      <c r="A14" s="40" t="inlineStr">
        <is>
          <t>COLD-REVIEW PASS 2 — 11/09/2026 20:30 (modules pass 1 skipped) — review COMPLETE across all modules</t>
        </is>
      </c>
    </row>
    <row r="15" ht="26.25" customHeight="1" s="22">
      <c r="A15" s="27" t="inlineStr">
        <is>
          <t>F-010</t>
        </is>
      </c>
      <c r="B15" s="27" t="inlineStr">
        <is>
          <t>Medium</t>
        </is>
      </c>
      <c r="C15" s="27" t="inlineStr">
        <is>
          <t>CSV importer was naive comma-split (RAID R-S7): quoted fields with commas mis-parsed on import while export was already RFC-4180.</t>
        </is>
      </c>
      <c r="D15" s="27" t="inlineStr">
        <is>
          <t>parseCsvLine RFC-4180 parser wired into importCsv. Regression pinned. R-S7 closed.</t>
        </is>
      </c>
      <c r="E15" s="49" t="inlineStr">
        <is>
          <t>FIXED (regression tests)</t>
        </is>
      </c>
    </row>
    <row r="16" ht="26.25" customHeight="1" s="22">
      <c r="A16" s="27" t="inlineStr">
        <is>
          <t>F-011</t>
        </is>
      </c>
      <c r="B16" s="27" t="inlineStr">
        <is>
          <t>Medium</t>
        </is>
      </c>
      <c r="C16" s="27" t="inlineStr">
        <is>
          <t>Telemetry alert ledger unbounded AND spammed — churn/activation alerts re-fired on every call (same low health score pushed 50 identical alerts).</t>
        </is>
      </c>
      <c r="D16" s="27" t="inlineStr">
        <is>
          <t>fireAlert(): consecutive-duplicate dedupe + FIFO cap 1000. Regression pinned.</t>
        </is>
      </c>
      <c r="E16" s="49" t="inlineStr">
        <is>
          <t>FIXED (regression tests)</t>
        </is>
      </c>
    </row>
    <row r="17" ht="26.25" customHeight="1" s="22">
      <c r="A17" s="27" t="inlineStr">
        <is>
          <t>F-012</t>
        </is>
      </c>
      <c r="B17" s="27" t="inlineStr">
        <is>
          <t>Low</t>
        </is>
      </c>
      <c r="C17" s="27" t="inlineStr">
        <is>
          <t>Latency monitor samples unbounded per surface; p95 sorted an ever-growing array (same ledger class as F-003, missed in pass 1).</t>
        </is>
      </c>
      <c r="D17" s="27" t="inlineStr">
        <is>
          <t>Rolling 10k window per surface. Regression pinned.</t>
        </is>
      </c>
      <c r="E17" s="49" t="inlineStr">
        <is>
          <t>FIXED (regression tests)</t>
        </is>
      </c>
    </row>
    <row r="18" ht="26.25" customHeight="1" s="22">
      <c r="A18" s="27" t="inlineStr">
        <is>
          <t>F-013</t>
        </is>
      </c>
      <c r="B18" s="27" t="inlineStr">
        <is>
          <t>Medium</t>
        </is>
      </c>
      <c r="C18" s="27" t="inlineStr">
        <is>
          <t>Trial banner shown to NON-trial accounts — a paying customer saw "Trial ended — choose a plan"; grace/read-only accounts likewise.</t>
        </is>
      </c>
      <c r="D18" s="27" t="inlineStr">
        <is>
          <t>bannerText returns empty for any state other than trial. Regression pinned.</t>
        </is>
      </c>
      <c r="E18" s="49" t="inlineStr">
        <is>
          <t>FIXED (regression tests)</t>
        </is>
      </c>
    </row>
    <row r="19" ht="39" customHeight="1" s="22">
      <c r="A19" s="27" t="inlineStr">
        <is>
          <t>OBS-SD1</t>
        </is>
      </c>
      <c r="B19" s="27" t="inlineStr">
        <is>
          <t>Obs</t>
        </is>
      </c>
      <c r="C19" s="27" t="inlineStr">
        <is>
          <t>complete()/acknowledge on a PAUSED module still succeeds — pause blocks new items only. Plausibly intended (finish in-flight work) but undocumented.</t>
        </is>
      </c>
      <c r="D19" s="27" t="inlineStr">
        <is>
          <t>Options: (a) document as intended, (b) block all writes on pause.</t>
        </is>
      </c>
      <c r="E19" s="50" t="inlineStr">
        <is>
          <t>OPEN — Senthil disposition</t>
        </is>
      </c>
    </row>
    <row r="21" ht="15" customHeight="1" s="22">
      <c r="A21" s="40" t="inlineStr">
        <is>
          <t>EXTERNAL VERIFICATION SWEEP — 13/09/2026 09:52 (assumptions checked against live Microsoft Teams/Partner Center docs + artifact-gap audit)</t>
        </is>
      </c>
    </row>
    <row r="22" ht="64.5" customHeight="1" s="22">
      <c r="A22" s="27" t="inlineStr">
        <is>
          <t>VER-SD01</t>
        </is>
      </c>
      <c r="B22" s="27" t="inlineStr">
        <is>
          <t>STORE-BLOCKING</t>
        </is>
      </c>
      <c r="C22" s="27" t="inlineStr">
        <is>
          <t>ASSET_PLAN specified 5 screenshots at 1920x1080. Verified Teams Store spec is 1366x768, max 1,024 KB each, minimum 3 / maximum 5, and at least one MUST show mobile functionality. Assets produced to the old spec would have failed validation. Video also takes a YouTube/Vimeo URL, not an upload.</t>
        </is>
      </c>
      <c r="D22" s="27" t="inlineStr">
        <is>
          <t>ASSET_PLAN.md rewritten to the verified spec (mobile shot already slot 3); pinned by tests/manifest.test.ts so the old figure cannot return.</t>
        </is>
      </c>
      <c r="E22" s="49" t="inlineStr">
        <is>
          <t>FIXED (test-pinned)</t>
        </is>
      </c>
    </row>
    <row r="23" ht="39" customHeight="1" s="22">
      <c r="A23" s="27" t="inlineStr">
        <is>
          <t>VER-SD02</t>
        </is>
      </c>
      <c r="B23" s="27" t="inlineStr">
        <is>
          <t>STORE-BLOCKING</t>
        </is>
      </c>
      <c r="C23" s="27" t="inlineStr">
        <is>
          <t>Manifest declared schema v1.17. Current is v1.19 (v1.18 does not exist) and store submission requires referencing the latest schema.</t>
        </is>
      </c>
      <c r="D23" s="27" t="inlineStr">
        <is>
          <t>Manifest bumped to v1.19 ($schema + manifestVersion); assertion added to the package-validation suite.</t>
        </is>
      </c>
      <c r="E23" s="49" t="inlineStr">
        <is>
          <t>FIXED (test-pinned)</t>
        </is>
      </c>
    </row>
    <row r="24" ht="39" customHeight="1" s="22">
      <c r="A24" s="27" t="inlineStr">
        <is>
          <t>VER-SD03</t>
        </is>
      </c>
      <c r="B24" s="27" t="inlineStr">
        <is>
          <t>High</t>
        </is>
      </c>
      <c r="C24" s="27" t="inlineStr">
        <is>
          <t>Manifest carried the top-level "permissions": ["identity","messageTeamMembers"] block — this property is deprecated in the current manifest reference.</t>
        </is>
      </c>
      <c r="D24" s="27" t="inlineStr">
        <is>
          <t>Removed; replaced by authorization.permissions.resourceSpecific. Absence asserted in tests.</t>
        </is>
      </c>
      <c r="E24" s="49" t="inlineStr">
        <is>
          <t>FIXED (test-pinned)</t>
        </is>
      </c>
    </row>
    <row r="25" ht="77.25" customHeight="1" s="22">
      <c r="A25" s="27" t="inlineStr">
        <is>
          <t>VER-SD04</t>
        </is>
      </c>
      <c r="B25" s="27" t="inlineStr">
        <is>
          <t>High</t>
        </is>
      </c>
      <c r="C25" s="27" t="inlineStr">
        <is>
          <t>Least-privilege doc (ST-064, gate LC-5 previously marked Done) claimed org-wide Graph scopes incl. TeamMember.Read.All — far broader than needed and inconsistent with a Teams bot. Correct model is resource-specific consent, scoped to the installed team. Manifest also declared no RSC block at all, so the bot could not read members or post without @mention.</t>
        </is>
      </c>
      <c r="D25" s="27" t="inlineStr">
        <is>
          <t>SCOPE_MAP + docs rewritten to RSC (ChannelMessage.Send.Group, ChannelMessage.Read.Group, TeamMember.Read.Group, delegated User.Read); manifest gains the RSC block; test asserts manifest RSC names equal the published map and that no ".Read.All" string exists anywhere.</t>
        </is>
      </c>
      <c r="E25" s="49" t="inlineStr">
        <is>
          <t>FIXED (test-pinned)</t>
        </is>
      </c>
    </row>
    <row r="26" ht="39" customHeight="1" s="22">
      <c r="A26" s="27" t="inlineStr">
        <is>
          <t>VER-SD05</t>
        </is>
      </c>
      <c r="B26" s="27" t="inlineStr">
        <is>
          <t>Verified OK</t>
        </is>
      </c>
      <c r="C26" s="27" t="inlineStr">
        <is>
          <t>botId vs webApplicationInfo.id match, validDomains present, resource URI shape, colour icon 192x192, 3% Microsoft store service fee in the financial model.</t>
        </is>
      </c>
      <c r="D26" s="27" t="inlineStr">
        <is>
          <t>No change; match now asserted in tests so it cannot drift.</t>
        </is>
      </c>
      <c r="E26" s="49" t="inlineStr">
        <is>
          <t>VERIFIED</t>
        </is>
      </c>
    </row>
    <row r="27" ht="26.25" customHeight="1" s="22">
      <c r="A27" s="27" t="inlineStr">
        <is>
          <t>VER-SD06</t>
        </is>
      </c>
      <c r="B27" s="27" t="inlineStr">
        <is>
          <t>Medium</t>
        </is>
      </c>
      <c r="C27" s="27" t="inlineStr">
        <is>
          <t>Outline icon was white-on-transparent but had padding on all sides; store guideline requires it tightly cropped with no extra padding.</t>
        </is>
      </c>
      <c r="D27" s="27" t="inlineStr">
        <is>
          <t>Icon regenerated edge-to-edge (bbox 0,0,32,32), white + transparency only; dimensions asserted from PNG headers in tests.</t>
        </is>
      </c>
      <c r="E27" s="49" t="inlineStr">
        <is>
          <t>FIXED (test-pinned)</t>
        </is>
      </c>
    </row>
    <row r="28" ht="26.25" customHeight="1" s="22">
      <c r="A28" s="27" t="inlineStr">
        <is>
          <t>VER-SD07</t>
        </is>
      </c>
      <c r="B28" s="27" t="inlineStr">
        <is>
          <t>Doc</t>
        </is>
      </c>
      <c r="C28" s="27" t="inlineStr">
        <is>
          <t>AppSource is now presented as "Microsoft Marketplace"; publisher docs describe the 3% charge as a standard store service fee.</t>
        </is>
      </c>
      <c r="D28" s="27" t="inlineStr">
        <is>
          <t>Naming noted for listing/GTM copy; economics unchanged (3% verified), financial model needs no revision.</t>
        </is>
      </c>
      <c r="E28" s="50" t="inlineStr">
        <is>
          <t>NOTED</t>
        </is>
      </c>
    </row>
    <row r="29" ht="64.5" customHeight="1" s="22">
      <c r="A29" s="27" t="inlineStr">
        <is>
          <t>VER-SD08</t>
        </is>
      </c>
      <c r="B29" s="27" t="inlineStr">
        <is>
          <t>LIVE-BLOCKING (gap)</t>
        </is>
      </c>
      <c r="C29" s="27" t="inlineStr">
        <is>
          <t>Artifact-gap audit: the manifest declares three static tabs but no code ever performed the TeamsJS handshake. A contentUrl page that never calls app.initialize()/notifySuccess renders a blank, error-less tab inside Teams — invisible to the whole suite, same class as the sibling-product SDK gaps.</t>
        </is>
      </c>
      <c r="D29" s="27" t="inlineStr">
        <is>
          <t>src/teamsClient.ts boundary built — initialize, context validation, theme handler, notifySuccess/notifyFailure, and an explicit user-facing error when the TeamsJS script is absent (never a blank tab); 5 tests covering every path. Sweep extended 12 -&gt; 14 steps (RSC consent + tab handshake); dev-tenant guide gains the bootstrap step.</t>
        </is>
      </c>
      <c r="E29" s="49" t="inlineStr">
        <is>
          <t>FIXED (test-pinned)</t>
        </is>
      </c>
    </row>
    <row r="31" ht="15" customHeight="1" s="22">
      <c r="A31" s="40" t="inlineStr">
        <is>
          <t>ARTIFACT-GAP AUDIT ROUND 2 — 13/09/2026 10:01 (manifest promises vs shipped code)</t>
        </is>
      </c>
    </row>
    <row r="32" ht="64.5" customHeight="1" s="22">
      <c r="A32" s="27" t="inlineStr">
        <is>
          <t>GAP-SD1</t>
        </is>
      </c>
      <c r="B32" s="27" t="inlineStr">
        <is>
          <t>LIVE-BLOCKING</t>
        </is>
      </c>
      <c r="C32" s="27" t="inlineStr">
        <is>
          <t>Manifest declared three static tabs (home, handovers, checklists) pointing at contentUrl pages that did not exist — no entry page, no bundle, no mount. Session 7 built only the TeamsJS boundary, not the page behind it. Installing the app would have shown three broken tabs.</t>
        </is>
      </c>
      <c r="D32" s="27" t="inlineStr">
        <is>
          <t>web/ layer built: TabShell (bootstrap -&gt; entity routing -&gt; real screens with loading/error states), typed TabApi with injected fetcher (401/403/outage mapped to distinct human messages), entry.tsx mount reading ?entity=, index.html loading TeamsJS BEFORE the bundle, esbuild build script -&gt; web-dist/. 20 tests incl. unmount-in-flight paths.</t>
        </is>
      </c>
      <c r="E32" s="49" t="inlineStr">
        <is>
          <t>FIXED (test-pinned)</t>
        </is>
      </c>
    </row>
    <row r="33" ht="51.75" customHeight="1" s="22">
      <c r="A33" s="27" t="inlineStr">
        <is>
          <t>GAP-SD2</t>
        </is>
      </c>
      <c r="B33" s="27" t="inlineStr">
        <is>
          <t>High</t>
        </is>
      </c>
      <c r="C33" s="27" t="inlineStr">
        <is>
          <t>Manifest commandLists advertised /handover, /approve and /checklist to every user, but nothing in the codebase parsed or handled a bot command — the advertised commands would have produced no response.</t>
        </is>
      </c>
      <c r="D33" s="27" t="inlineStr">
        <is>
          <t>src/botRouter.ts built over the existing dispatcher: @mention-chip stripping, slash/case normalisation, handover/ack/approve/checklist/kudos/help, usage errors for every malformed form, and distinct replies for permission denial vs validation failure. 6 tests.</t>
        </is>
      </c>
      <c r="E33" s="49" t="inlineStr">
        <is>
          <t>FIXED (test-pinned)</t>
        </is>
      </c>
    </row>
    <row r="34" ht="39" customHeight="1" s="22">
      <c r="A34" s="27" t="inlineStr">
        <is>
          <t>GAP-SD3</t>
        </is>
      </c>
      <c r="B34" s="27" t="inlineStr">
        <is>
          <t>Medium</t>
        </is>
      </c>
      <c r="C34" s="27" t="inlineStr">
        <is>
          <t>Tab bundles were initially emitted into teams-app/ alongside the manifest; the store package should contain only the manifest and the two icons.</t>
        </is>
      </c>
      <c r="D34" s="27" t="inlineStr">
        <is>
          <t>Bundles moved to web-dist/; package contents asserted exactly ["color.png","manifest.json","outline.png"] in tests, plus script-order assertion (TeamsJS before tab.js).</t>
        </is>
      </c>
      <c r="E34" s="49" t="inlineStr">
        <is>
          <t>FIXED (test-pinned)</t>
        </is>
      </c>
    </row>
    <row r="35" ht="39" customHeight="1" s="22">
      <c r="A35" s="27" t="inlineStr">
        <is>
          <t>GAP-SD4</t>
        </is>
      </c>
      <c r="B35" s="27" t="inlineStr">
        <is>
          <t>Opportunity</t>
        </is>
      </c>
      <c r="C35" s="27" t="inlineStr">
        <is>
          <t>ST-094 assets were blocked entirely on the live tenant.</t>
        </is>
      </c>
      <c r="D35" s="27" t="inlineStr">
        <is>
          <t>web-dist/demo.html capture surface added — fixed 1366x768 box with canned data, verified rendering headless; shots 1/3/4 draftable today. Finals still come from the live client (store requires accurate UI).</t>
        </is>
      </c>
      <c r="E35" s="50" t="inlineStr">
        <is>
          <t>PARTIALLY UNBLOCKED</t>
        </is>
      </c>
    </row>
    <row r="37" ht="15" customHeight="1" s="22">
      <c r="A37" s="40" t="inlineStr">
        <is>
          <t>COLD-REVIEW PASS 3 — 13/09/2026 10:24 (over the session 5-8 code: web tab layer, bot router, completion wave, config, crypto — none of it previously reviewed)</t>
        </is>
      </c>
    </row>
    <row r="38" ht="51.75" customHeight="1" s="22">
      <c r="A38" s="27" t="inlineStr">
        <is>
          <t>F-014</t>
        </is>
      </c>
      <c r="B38" s="27" t="inlineStr">
        <is>
          <t>Medium</t>
        </is>
      </c>
      <c r="C38" s="27" t="inlineStr">
        <is>
          <t>Approval amounts accepted Infinity and 1e999: the pass-1 fix guarded only "amount &gt; 0", which Infinity satisfies. A bot user typing "approve Infinity stock" created a request routed to review with a non-finite value (same class as the sibling non-finite-date defect).</t>
        </is>
      </c>
      <c r="D38" s="27" t="inlineStr">
        <is>
          <t>Number.isFinite check added alongside the positive check; pinned at both the bot and service layers.</t>
        </is>
      </c>
      <c r="E38" s="49" t="inlineStr">
        <is>
          <t>FIXED (regression tests)</t>
        </is>
      </c>
    </row>
    <row r="39" ht="39" customHeight="1" s="22">
      <c r="A39" s="27" t="inlineStr">
        <is>
          <t>F-015</t>
        </is>
      </c>
      <c r="B39" s="27" t="inlineStr">
        <is>
          <t>Medium</t>
        </is>
      </c>
      <c r="C39" s="27" t="inlineStr">
        <is>
          <t>Bot checklist parser filtered empty segments BEFORE assigning the title, so "checklist | Unlock | Count till" silently created a checklist named "Unlock" with one task — a wrong artifact rather than an error.</t>
        </is>
      </c>
      <c r="D39" s="27" t="inlineStr">
        <is>
          <t>Parse without filtering, take parts[0] as the title, validate it explicitly; empty segments only dropped from the task list.</t>
        </is>
      </c>
      <c r="E39" s="49" t="inlineStr">
        <is>
          <t>FIXED (regression tests)</t>
        </is>
      </c>
    </row>
    <row r="40" ht="51.75" customHeight="1" s="22">
      <c r="A40" s="27" t="inlineStr">
        <is>
          <t>F-016</t>
        </is>
      </c>
      <c r="B40" s="27" t="inlineStr">
        <is>
          <t>High</t>
        </is>
      </c>
      <c r="C40" s="27" t="inlineStr">
        <is>
          <t>TabApi read the SSO token, validated it was non-null — and never sent it. Every tab API call would have gone out unauthenticated in production; the tests passed because the fetcher was injected and never asserted on headers. Exactly the "computed but never applied" class as F-004.</t>
        </is>
      </c>
      <c r="D40" s="27" t="inlineStr">
        <is>
          <t>Token threaded through the Fetcher contract and emitted as an Authorization bearer header by createFetcher; 401 now mapped to a distinct "session expired, reload the tab" message rather than the generic outage text. Header presence and absence both asserted.</t>
        </is>
      </c>
      <c r="E40" s="49" t="inlineStr">
        <is>
          <t>FIXED (regression tests)</t>
        </is>
      </c>
    </row>
    <row r="41" ht="39" customHeight="1" s="22">
      <c r="A41" s="27" t="inlineStr">
        <is>
          <t>F-017</t>
        </is>
      </c>
      <c r="B41" s="27" t="inlineStr">
        <is>
          <t>Medium</t>
        </is>
      </c>
      <c r="C41" s="27" t="inlineStr">
        <is>
          <t>TeamsClient.bootstrap was not idempotent — a second call re-ran initialize and fired notifySuccess again (React double-invoke, re-render, or an entity switch would trigger it).</t>
        </is>
      </c>
      <c r="D41" s="27" t="inlineStr">
        <is>
          <t>Ready state short-circuits and returns the cached state; init/notify call counts asserted.</t>
        </is>
      </c>
      <c r="E41" s="49" t="inlineStr">
        <is>
          <t>FIXED (regression tests)</t>
        </is>
      </c>
    </row>
    <row r="42" ht="26.25" customHeight="1" s="22">
      <c r="A42" s="27" t="inlineStr">
        <is>
          <t>F-018</t>
        </is>
      </c>
      <c r="B42" s="27" t="inlineStr">
        <is>
          <t>Medium</t>
        </is>
      </c>
      <c r="C42" s="27" t="inlineStr">
        <is>
          <t>Internal error codes were shown verbatim to frontline users in Teams ("Could not complete that: SELF_KUDOS_NOT_ALLOWED", "NOT_FOUND").</t>
        </is>
      </c>
      <c r="D42" s="27" t="inlineStr">
        <is>
          <t>humanize() map added with a safe fallback for unknown codes; every mapped code and the fallback path pinned.</t>
        </is>
      </c>
      <c r="E42" s="49" t="inlineStr">
        <is>
          <t>FIXED (regression tests)</t>
        </is>
      </c>
    </row>
    <row r="43" ht="39" customHeight="1" s="22">
      <c r="A43" s="27" t="inlineStr">
        <is>
          <t>F-019</t>
        </is>
      </c>
      <c r="B43" s="27" t="inlineStr">
        <is>
          <t>Medium</t>
        </is>
      </c>
      <c r="C43" s="27" t="inlineStr">
        <is>
          <t>SHIFTDESK_TRIAL_DAYS was loaded, range-validated and then ignored — BillingService hard-coded 14 days, so a configured trial length silently did nothing.</t>
        </is>
      </c>
      <c r="D43" s="27" t="inlineStr">
        <is>
          <t>BillingService takes trialDays (validated, defaulting to the exported DEFAULT_TRIAL_DAYS); config-to-billing consistency pinned.</t>
        </is>
      </c>
      <c r="E43" s="49" t="inlineStr">
        <is>
          <t>FIXED (regression tests)</t>
        </is>
      </c>
    </row>
    <row r="44" ht="39" customHeight="1" s="22">
      <c r="A44" s="27" t="inlineStr">
        <is>
          <t>OBS-SD2</t>
        </is>
      </c>
      <c r="B44" s="27" t="inlineStr">
        <is>
          <t>Obs</t>
        </is>
      </c>
      <c r="C44" s="27" t="inlineStr">
        <is>
          <t>Dead defensive branch found during review (parts[0] ?? '' — String.split always yields at least one element). Removed rather than covered with an unreachable-state test.</t>
        </is>
      </c>
      <c r="D44" s="27" t="inlineStr">
        <is>
          <t>No behaviour change; noted so the pattern is recognised rather than papered over with a contrived test.</t>
        </is>
      </c>
      <c r="E44" s="49" t="inlineStr">
        <is>
          <t>CLOSED</t>
        </is>
      </c>
    </row>
    <row r="46" ht="15" customHeight="1" s="22">
      <c r="A46" s="40" t="inlineStr">
        <is>
          <t>ARTIFACT-GAP AUDIT ROUND 3 — 13/09/2026 10:37 (client calls vs server routes)</t>
        </is>
      </c>
    </row>
    <row r="47" ht="115.5" customHeight="1" s="22">
      <c r="A47" s="27" t="inlineStr">
        <is>
          <t>GAP-SD5</t>
        </is>
      </c>
      <c r="B47" s="27" t="inlineStr">
        <is>
          <t>LIVE-BLOCKING</t>
        </is>
      </c>
      <c r="C47" s="27" t="inlineStr">
        <is>
          <t>No HTTP server existed at all, and the tab client called routes nothing served: /api/handovers, /api/checklists/today and /api/checklists/today/check had no handler anywhere, while /api/dashboard and /api/handover/ack existed only under different names inside the in-process dispatcher. The Azure Bot messaging endpoint /api/messages — referenced by the dev-tenant guide and the k6 harness — did not exist either. On install day every tab would have loaded and then failed on its first call. Exactly the sibling class where a UI posted to a route that was never built.</t>
        </is>
      </c>
      <c r="D47" s="27" t="inlineStr">
        <is>
          <t>src/server.ts built: pure testable router over the dispatcher serving all five tab paths plus /api/messages, /health and /status; bearer-token auth enforced before any work (401 unauthenticated vs 401 invalid token vs 403 permission); 405 on wrong verb; trailing slash and query string normalised. Dispatcher gained GET /handovers, GET /checklists/today, POST /checklists/today/check with the service support behind them. src/bootstrap.ts wires node:http with the typed config, verified over a real socket in test. PARITY TEST reads web/tabApi.ts and asserts every path it calls is served under at least one verb — so this class of gap now fails CI.</t>
        </is>
      </c>
      <c r="E47" s="49" t="inlineStr">
        <is>
          <t>FIXED (test-pinned)</t>
        </is>
      </c>
    </row>
    <row r="48" ht="39" customHeight="1" s="22">
      <c r="A48" s="27" t="inlineStr">
        <is>
          <t>OBS-SD3</t>
        </is>
      </c>
      <c r="B48" s="27" t="inlineStr">
        <is>
          <t>Obs</t>
        </is>
      </c>
      <c r="C48" s="27" t="inlineStr">
        <is>
          <t>Second dead defensive branch found and removed (today() fell back to an empty list for a state that cannot occur — the current id is only ever set alongside its task list). Same pattern as OBS-SD2.</t>
        </is>
      </c>
      <c r="D48" s="27" t="inlineStr">
        <is>
          <t>Removed rather than covered with an unreachable-state test.</t>
        </is>
      </c>
      <c r="E48" s="49" t="inlineStr">
        <is>
          <t>CLOSED</t>
        </is>
      </c>
    </row>
    <row r="50" ht="15" customHeight="1" s="22">
      <c r="A50" s="40" t="inlineStr">
        <is>
          <t>VERIFICATION SWEEP 2 — 13/09/2026 10:42 (bot transport seam checked against live Bot Framework / Bot Connector docs)</t>
        </is>
      </c>
    </row>
    <row r="51" ht="77.25" customHeight="1" s="22">
      <c r="A51" s="27" t="inlineStr">
        <is>
          <t>VER-SD09</t>
        </is>
      </c>
      <c r="B51" s="27" t="inlineStr">
        <is>
          <t>LIVE-BLOCKING</t>
        </is>
      </c>
      <c r="C51" s="27" t="inlineStr">
        <is>
          <t>The /api/messages endpoint built in session 10 required OUR tab SSO bearer token and read a {text} body. Teams does neither: the Bot Connector calls the endpoint with its own RS256 JWT bound to the activity serviceUrl, and sends a Bot Framework Activity. Every real Teams message would have been rejected 401 — a defect introduced by the previous session and invisible to its own passing tests.</t>
        </is>
      </c>
      <c r="D51" s="27" t="inlineStr">
        <is>
          <t>src/botTransport.ts built as a separate trust boundary: Connector JWT verification (injected), serviceUrl allowlisted to Bot Connector hosts before any reply, Activity parsing, and a distinct async server path (handleActivity). Tab SSO tokens are explicitly proven NOT to open it.</t>
        </is>
      </c>
      <c r="E51" s="49" t="inlineStr">
        <is>
          <t>FIXED (test-pinned)</t>
        </is>
      </c>
    </row>
    <row r="52" ht="51.75" customHeight="1" s="22">
      <c r="A52" s="27" t="inlineStr">
        <is>
          <t>VER-SD10</t>
        </is>
      </c>
      <c r="B52" s="27" t="inlineStr">
        <is>
          <t>LIVE-BLOCKING</t>
        </is>
      </c>
      <c r="C52" s="27" t="inlineStr">
        <is>
          <t>Replies were returned in the HTTP response body. The Connector model is: ack the request, then post the reply to the conversation at the activity serviceUrl with bot credentials. Replies would never have reached the channel.</t>
        </is>
      </c>
      <c r="D52" s="27" t="inlineStr">
        <is>
          <t>Endpoint now acks 200 with an empty body and sends through an injected ConnectorSender bound to the activity serviceUrl; asserted both ways. k6 harness updated to assert an empty-body ack, and the sweep step reworded to match.</t>
        </is>
      </c>
      <c r="E52" s="49" t="inlineStr">
        <is>
          <t>FIXED (test-pinned)</t>
        </is>
      </c>
    </row>
    <row r="53" ht="39" customHeight="1" s="22">
      <c r="A53" s="27" t="inlineStr">
        <is>
          <t>VER-SD11</t>
        </is>
      </c>
      <c r="B53" s="27" t="inlineStr">
        <is>
          <t>High</t>
        </is>
      </c>
      <c r="C53" s="27" t="inlineStr">
        <is>
          <t>Sender identity and role came from our own token verifier. In a real activity the sender is from.aadObjectId and the tenant sits in channelData.tenant.id.</t>
        </is>
      </c>
      <c r="D53" s="27" t="inlineStr">
        <is>
          <t>Actor and tenant read from the activity; role resolved through an injected RoleResolver. Permission behaviour proven for both an owner and a member on the same command.</t>
        </is>
      </c>
      <c r="E53" s="49" t="inlineStr">
        <is>
          <t>FIXED (test-pinned)</t>
        </is>
      </c>
    </row>
    <row r="54" ht="51.75" customHeight="1" s="22">
      <c r="A54" s="27" t="inlineStr">
        <is>
          <t>VER-SD12</t>
        </is>
      </c>
      <c r="B54" s="27" t="inlineStr">
        <is>
          <t>High</t>
        </is>
      </c>
      <c r="C54" s="27" t="inlineStr">
        <is>
          <t>Non-message activities were answered with a help reply, and conversationUpdate was never handled — so the install welcome (ST-051, the &lt;2 min activation evidence) had nowhere to come from, and unacked activity types would be retried by the Bot Service.</t>
        </is>
      </c>
      <c r="D54" s="27" t="inlineStr">
        <is>
          <t>conversationUpdate with the bot in membersAdded now sends the welcome; a member joining, typing and invoke are acked silently; activity ids deduped (bounded ledger) so Connector retries cannot double-post.</t>
        </is>
      </c>
      <c r="E54" s="49" t="inlineStr">
        <is>
          <t>FIXED (test-pinned)</t>
        </is>
      </c>
    </row>
    <row r="56" ht="15" customHeight="1" s="22">
      <c r="A56" s="40" t="inlineStr">
        <is>
          <t>VERIFICATION SWEEP 3 — 13/09/2026 10:57 (tab SSO seam vs live Entra / Teams SSO docs)</t>
        </is>
      </c>
    </row>
    <row r="57" ht="128.25" customHeight="1" s="22">
      <c r="A57" s="27" t="inlineStr">
        <is>
          <t>VER-SD13</t>
        </is>
      </c>
      <c r="B57" s="27" t="inlineStr">
        <is>
          <t>LIVE-BLOCKING</t>
        </is>
      </c>
      <c r="C57" s="27" t="inlineStr">
        <is>
          <t>The tab passed the literal string "teams-sso" as its bearer token — a placeholder shipped in session 8 and carried through two audits. The manifest has declared webApplicationInfo (SSO) since session 3, so this is another manifest promise with no implementation: the real flow is microsoftTeams.authentication.getAuthToken() client-side, then server-side validation of the Entra v2 access token. Every authenticated tab call would have failed in a real tenant.</t>
        </is>
      </c>
      <c r="D57" s="27" t="inlineStr">
        <is>
          <t>Client: TeamsClient.getAuthToken() with caching to just under the ~60-minute lifetime, clearToken(), and consent_required / invalid_grant / interaction_required surfaced as an actionable ConsentRequiredError instead of a generic failure; entry.tsx now wires it in place of the placeholder. Server: src/ssoToken.ts validates audience against all four documented forms (appId, api://appId, api://botid-appId, api://domain/appId), issuer matching the token tenant, v2 token version, oid/tid presence, exp/nbf, and the access_as_user scope — each rejection distinct. bootstrap.ssoVerifierFor derives the expectation from config; the JWKS signature check is an explicit injected seam.</t>
        </is>
      </c>
      <c r="E57" s="49" t="inlineStr">
        <is>
          <t>FIXED (test-pinned)</t>
        </is>
      </c>
    </row>
    <row r="58" ht="51.75" customHeight="1" s="22">
      <c r="A58" s="27" t="inlineStr">
        <is>
          <t>VER-SD14</t>
        </is>
      </c>
      <c r="B58" s="27" t="inlineStr">
        <is>
          <t>Doc</t>
        </is>
      </c>
      <c r="C58" s="27" t="inlineStr">
        <is>
          <t>Entra app registration guide omitted the Expose an API step, without which getAuthToken() cannot issue a token at all.</t>
        </is>
      </c>
      <c r="D58" s="27" t="inlineStr">
        <is>
          <t>Dev-tenant guide gains step 4b (Application ID URI + access_as_user scope + pre-authorized Teams clients); scope map and least-privilege doc updated to list access_as_user and how it is validated; sweep gains SSO and first-run-consent steps (15 -&gt; 16).</t>
        </is>
      </c>
      <c r="E58" s="49" t="inlineStr">
        <is>
          <t>FIXED</t>
        </is>
      </c>
    </row>
    <row r="60" ht="15" customHeight="1" s="22">
      <c r="A60" s="40" t="inlineStr">
        <is>
          <t>ARTIFACT-GAP AUDIT ROUND 4 — 13/09/2026 11:02 (requested permissions vs code that consumes them)</t>
        </is>
      </c>
    </row>
    <row r="61" ht="90" customHeight="1" s="22">
      <c r="A61" s="27" t="inlineStr">
        <is>
          <t>GAP-SD6</t>
        </is>
      </c>
      <c r="B61" s="27" t="inlineStr">
        <is>
          <t>High</t>
        </is>
      </c>
      <c r="C61" s="27" t="inlineStr">
        <is>
          <t>TeamMember.Read.Group was requested in the manifest and the least-privilege doc claimed it powered the role matrix — but nothing consumed it. Every resolveRole across both trust boundaries was an injected stub, so in a real tenant every user (including team owners) would have resolved to "member" and admin-only actions would have been impossible for everyone.</t>
        </is>
      </c>
      <c r="D61" s="27" t="inlineStr">
        <is>
          <t>src/graphMembers.ts built: RSC app-token Graph client for team membership with @odata.nextLink pagination (large teams would otherwise silently truncate), 429 handling that reads Retry-After as SECONDS, a ten-minute cache, and deny-safe failure — a Graph outage degrades everyone to member and never elevates. Team owners map to ShiftDesk admins; the installer recorded by install.ts is the owner. bootstrap.rolesFrom binds both the tab and bot boundaries to the same directory.</t>
        </is>
      </c>
      <c r="E61" s="49" t="inlineStr">
        <is>
          <t>FIXED (test-pinned)</t>
        </is>
      </c>
    </row>
    <row r="62" ht="64.5" customHeight="1" s="22">
      <c r="A62" s="27" t="inlineStr">
        <is>
          <t>GAP-SD7</t>
        </is>
      </c>
      <c r="B62" s="27" t="inlineStr">
        <is>
          <t>Medium</t>
        </is>
      </c>
      <c r="C62" s="27" t="inlineStr">
        <is>
          <t>ChannelMessage.Send.Group was requested but had no consumer: replies are posted through the Bot Connector at the activity serviceUrl using bot credentials, not through Graph. An unused grant is not least privilege — it is an extra permission on the customer consent screen that we could not justify in review.</t>
        </is>
      </c>
      <c r="D62" s="27" t="inlineStr">
        <is>
          <t>Scope removed from the manifest and the published map. Flagged as D-SD5 for ratification: if proactive Graph-based channel posting is ever wanted, the scope returns together with the code that uses it. A new contract test asserts every requested scope names a consumer file that exists, and that no consumer entry lacks a scope — so this cannot recur in either direction.</t>
        </is>
      </c>
      <c r="E62" s="49" t="inlineStr">
        <is>
          <t>FIXED (test-pinned)</t>
        </is>
      </c>
    </row>
    <row r="64" ht="15" customHeight="1" s="22">
      <c r="A64" s="40" t="inlineStr">
        <is>
          <t>COLD-REVIEW PASS 4 — 13/09/2026 11:07 (over the sessions 10-13 integration code: server, bootstrap, bot transport, SSO, Graph directory, tab wiring)</t>
        </is>
      </c>
    </row>
    <row r="65" ht="51.75" customHeight="1" s="22">
      <c r="A65" s="27" t="inlineStr">
        <is>
          <t>F-020</t>
        </is>
      </c>
      <c r="B65" s="27" t="inlineStr">
        <is>
          <t>High</t>
        </is>
      </c>
      <c r="C65" s="27" t="inlineStr">
        <is>
          <t>The HTTP layer exposed every dispatcher route by prefix, including lifecycle ones: any authenticated user — a frontline member — could POST /api/install or /api/trial with an arbitrary tenantId, creating or resetting accounts for other organisations.</t>
        </is>
      </c>
      <c r="D65" s="27" t="inlineStr">
        <is>
          <t>Lifecycle routes taken off the HTTP surface entirely (INTERNAL_ROUTES) rather than guarded by a role check, since no client should ever call them; they remain available to the install webhook and billing engine through the in-process dispatcher. Pinned for both member and owner tokens.</t>
        </is>
      </c>
      <c r="E65" s="49" t="inlineStr">
        <is>
          <t>FIXED (regression tests)</t>
        </is>
      </c>
    </row>
    <row r="66" ht="39" customHeight="1" s="22">
      <c r="A66" s="27" t="inlineStr">
        <is>
          <t>F-021</t>
        </is>
      </c>
      <c r="B66" s="27" t="inlineStr">
        <is>
          <t>Medium</t>
        </is>
      </c>
      <c r="C66" s="27" t="inlineStr">
        <is>
          <t>Graph pagination followed @odata.nextLink with no loop or page guard; a repeated or malformed link would spin forever, holding the request and hammering Graph.</t>
        </is>
      </c>
      <c r="D66" s="27" t="inlineStr">
        <is>
          <t>Visited-URL set plus a 200-page ceiling; both the repeat case and the runaway case pinned.</t>
        </is>
      </c>
      <c r="E66" s="49" t="inlineStr">
        <is>
          <t>FIXED (regression tests)</t>
        </is>
      </c>
    </row>
    <row r="67" ht="51.75" customHeight="1" s="22">
      <c r="A67" s="27" t="inlineStr">
        <is>
          <t>F-022</t>
        </is>
      </c>
      <c r="B67" s="27" t="inlineStr">
        <is>
          <t>High</t>
        </is>
      </c>
      <c r="C67" s="27" t="inlineStr">
        <is>
          <t>Single-tenant mode silently denied every user: the expectation was built with an empty tenant allowlist because config had no tenant id field at all. A single-tenant deployment would have started cleanly and rejected all logins with no clue why.</t>
        </is>
      </c>
      <c r="D67" s="27" t="inlineStr">
        <is>
          <t>Config gains SHIFTDESK_ALLOWED_TENANT_ID, REQUIRED when tenant mode is single — the app now refuses to boot rather than failing every request. Multi-tenant behaviour unchanged; dev guide updated.</t>
        </is>
      </c>
      <c r="E67" s="49" t="inlineStr">
        <is>
          <t>FIXED (regression tests)</t>
        </is>
      </c>
    </row>
    <row r="68" ht="39" customHeight="1" s="22">
      <c r="A68" s="27" t="inlineStr">
        <is>
          <t>F-023</t>
        </is>
      </c>
      <c r="B68" s="27" t="inlineStr">
        <is>
          <t>Medium</t>
        </is>
      </c>
      <c r="C68" s="27" t="inlineStr">
        <is>
          <t>A 401 left the cached SSO token in place, so once a token went stale every subsequent call failed until the user manually reloaded the tab.</t>
        </is>
      </c>
      <c r="D68" s="27" t="inlineStr">
        <is>
          <t>TabApi takes an auth-failure callback; entry wires it to clearToken() so the next attempt re-acquires. Message reworded from "reload the tab" to reflect the automatic retry.</t>
        </is>
      </c>
      <c r="E68" s="49" t="inlineStr">
        <is>
          <t>FIXED (regression tests)</t>
        </is>
      </c>
    </row>
    <row r="69" ht="39" customHeight="1" s="22">
      <c r="A69" s="27" t="inlineStr">
        <is>
          <t>F-024</t>
        </is>
      </c>
      <c r="B69" s="27" t="inlineStr">
        <is>
          <t>High</t>
        </is>
      </c>
      <c r="C69" s="27" t="inlineStr">
        <is>
          <t>Activities were marked as seen BEFORE handling, so if the Connector send failed the Bot Service retry was silently deduped away — a handover the user believed they had posted would simply never appear.</t>
        </is>
      </c>
      <c r="D69" s="27" t="inlineStr">
        <is>
          <t>Activities are remembered only after successful handling; a failed send now lets the retry redeliver, and the second success still dedupes. Pinned with a fail-then-retry-then-duplicate sequence.</t>
        </is>
      </c>
      <c r="E69" s="49" t="inlineStr">
        <is>
          <t>FIXED (regression tests)</t>
        </is>
      </c>
    </row>
    <row r="71" ht="15" customHeight="1" s="22">
      <c r="A71" s="40" t="inlineStr">
        <is>
          <t>ARTIFACT-GAP AUDIT ROUND 5 — 13/09/2026 11:12 (documented architecture vs code: persistence)</t>
        </is>
      </c>
    </row>
    <row r="72" ht="128.25" customHeight="1" s="22">
      <c r="A72" s="27" t="inlineStr">
        <is>
          <t>GAP-SD8</t>
        </is>
      </c>
      <c r="B72" s="27" t="inlineStr">
        <is>
          <t>LIVE-BLOCKING</t>
        </is>
      </c>
      <c r="C72" s="27" t="inlineStr">
        <is>
          <t>RAID R-S4 has stated since session 1 that persistence was "in-memory behind typed repositories" and that going live would be "wiring only". There were no repositories: every service held bare Maps. Consequences in a live tenant — a restart or the blue/green swap built in session 4 (ST-092) would destroy every handover, checklist, kudos, audit entry and billing account; the backup/restore drill (ST-090) had no schema to back up; the published 365-day retention and 30-day uninstall deletion policies had no mechanism behind them; and the app could never run more than one instance. The claim had been repeated in three workbook releases without anyone checking it.</t>
        </is>
      </c>
      <c r="D72" s="27" t="inlineStr">
        <is>
          <t>src/repository.ts built: Repository interface (put/get/list/remove/purgeTenant) with InMemoryRepository and PostgresRepository over an injected SqlClient, plus migrations/001_init.sql — a tenant-scoped record table with the primary key ordered for cheap per-tenant purge and an index for list-by-kind. purgeTenant gives ST-052 uninstall deletion and ST-069 delete-my-data an actual implementation. DurableAuditLog replaces the in-memory compliance trail flagged by F-008. ONE contract suite runs against both implementations so the dev and production paths cannot drift. bootstrap.repositoryFor selects by config and the startup banner warns explicitly when running without a database.</t>
        </is>
      </c>
      <c r="E72" s="49" t="inlineStr">
        <is>
          <t>FIXED (test-pinned)</t>
        </is>
      </c>
    </row>
    <row r="73" ht="51.75" customHeight="1" s="22">
      <c r="A73" s="27" t="inlineStr">
        <is>
          <t>OBS-SD4</t>
        </is>
      </c>
      <c r="B73" s="27" t="inlineStr">
        <is>
          <t>Obs</t>
        </is>
      </c>
      <c r="C73" s="27" t="inlineStr">
        <is>
          <t>The fake SQL client in the contract suite understands only the five statements the repository issues; it is a fake, not a database. Index behaviour, JSONB semantics and migration correctness remain unproven until the drill runs on live Postgres.</t>
        </is>
      </c>
      <c r="D73" s="27" t="inlineStr">
        <is>
          <t>Stated plainly rather than implied: sweep gains step SW-13 (data survives a restart / blue-green swap) and the backup drill now targets the real schema.</t>
        </is>
      </c>
      <c r="E73" s="50" t="inlineStr">
        <is>
          <t>OPEN — live verification</t>
        </is>
      </c>
    </row>
    <row r="75" ht="15" customHeight="1" s="22">
      <c r="A75" s="40" t="inlineStr">
        <is>
          <t>GAP-SD8 COMPLETION — 13/09/2026 11:16 (the seam built last session was not yet used by the services)</t>
        </is>
      </c>
    </row>
    <row r="76" ht="102.75" customHeight="1" s="22">
      <c r="A76" s="27" t="inlineStr">
        <is>
          <t>GAP-SD8b</t>
        </is>
      </c>
      <c r="B76" s="27" t="inlineStr">
        <is>
          <t>High</t>
        </is>
      </c>
      <c r="C76" s="27" t="inlineStr">
        <is>
          <t>Session 15 built the repository and wired only the audit log through it. Every feature service still held bare Maps, so the durability claim was half-true — exactly the pattern the same session criticised. A restart would still have lost every handover, approval, checklist and kudos.</t>
        </is>
      </c>
      <c r="D76" s="27" t="inlineStr">
        <is>
          <t>Snapshot/restore added to the sync service core (items, rules, pause state, sequence counters, checklist tasks and current list, approval policy and requests, kudos tallies) as pure functions; src/persistence.ts hydrates an app from the repository at startup and writes back after each mutating route, touching only the modules that route affects; the HTTP layer routes through handlePersisted. Proven by populating an app, discarding it, and restoring a fresh one — including that restored sequence counters continue rather than colliding, and that a failed mutation writes nothing.</t>
        </is>
      </c>
      <c r="E76" s="49" t="inlineStr">
        <is>
          <t>FIXED (test-pinned)</t>
        </is>
      </c>
    </row>
    <row r="77" ht="39" customHeight="1" s="22">
      <c r="A77" s="27" t="inlineStr">
        <is>
          <t>OBS-SD5</t>
        </is>
      </c>
      <c r="B77" s="27" t="inlineStr">
        <is>
          <t>Obs</t>
        </is>
      </c>
      <c r="C77" s="27" t="inlineStr">
        <is>
          <t>Persistence covers the four feature modules plus the audit trail. Billing accounts, install/uninstall records, support chat and telemetry are still process-memory only.</t>
        </is>
      </c>
      <c r="D77" s="27" t="inlineStr">
        <is>
          <t>Scope stated in the backup drill rather than left implied; this is the next persistence slice, not a claim of completeness.</t>
        </is>
      </c>
      <c r="E77" s="50" t="inlineStr">
        <is>
          <t>OPEN — next slice</t>
        </is>
      </c>
    </row>
    <row r="79" ht="15" customHeight="1" s="22">
      <c r="A79" s="40" t="inlineStr">
        <is>
          <t>PERSISTENCE SLICE 2 + F-025 — 13/09/2026 11:21</t>
        </is>
      </c>
    </row>
    <row r="80" ht="90" customHeight="1" s="22">
      <c r="A80" s="27" t="inlineStr">
        <is>
          <t>OBS-SD5a</t>
        </is>
      </c>
      <c r="B80" s="27" t="inlineStr">
        <is>
          <t>Closed</t>
        </is>
      </c>
      <c r="C80" s="27" t="inlineStr">
        <is>
          <t>Billing and install lifecycle state was still process-memory only: a restart reset trial clocks, forgot grace periods and dunning counters, and lost the 30-day uninstall deletion window along with the re-install restore it protects (ST-052/ST-053). Support chat lost open conversations and their SLA clocks.</t>
        </is>
      </c>
      <c r="D80" s="27" t="inlineStr">
        <is>
          <t>Snapshot/restore added to BillingService, InstallService and SupportChat; billing and install added to the persisted set with an explicit LIFECYCLE_MODULES list, since F-020 took those operations off the HTTP surface and their callers must persist directly. Proven across a simulated restart: the grace clock keeps running, dunning resumes at 3 rather than restarting at 1, an expired deletion window is still purged, and a breached support SLA is not forgiven by a deploy.</t>
        </is>
      </c>
      <c r="E80" s="49" t="inlineStr">
        <is>
          <t>FIXED (test-pinned)</t>
        </is>
      </c>
    </row>
    <row r="81" ht="90" customHeight="1" s="22">
      <c r="A81" s="27" t="inlineStr">
        <is>
          <t>F-025</t>
        </is>
      </c>
      <c r="B81" s="27" t="inlineStr">
        <is>
          <t>High</t>
        </is>
      </c>
      <c r="C81" s="27" t="inlineStr">
        <is>
          <t>Found while writing the lifecycle tests, not by reading the code: InMemoryRepository stored live object references. A caller mutating an object after put() silently changed "persisted" state, and two hydrations handed back the same live object. PostgresRepository round-trips through JSON and does neither — so the dev path and the production path behaved differently, which is exactly the drift the shared contract suite exists to prevent. A bug would have reproduced only in production.</t>
        </is>
      </c>
      <c r="D81" s="27" t="inlineStr">
        <is>
          <t>Copy-in / copy-out in the in-memory implementation, pinned by a contract test that mutates after put, after get and after list — run against BOTH implementations.</t>
        </is>
      </c>
      <c r="E81" s="49" t="inlineStr">
        <is>
          <t>FIXED (regression tests)</t>
        </is>
      </c>
    </row>
    <row r="82" ht="51.75" customHeight="1" s="22">
      <c r="A82" s="27" t="inlineStr">
        <is>
          <t>OBS-SD6</t>
        </is>
      </c>
      <c r="B82" s="27" t="inlineStr">
        <is>
          <t>Obs</t>
        </is>
      </c>
      <c r="C82" s="27" t="inlineStr">
        <is>
          <t>Telemetry counters remain unpersisted. They are event-shaped rather than snapshot-shaped and are re-derivable, and the product already exports them (ST-076); persisting them properly needs an event store, not this record table.</t>
        </is>
      </c>
      <c r="D82" s="27" t="inlineStr">
        <is>
          <t>Rationale written into the backup drill rather than left as an unexplained omission.</t>
        </is>
      </c>
      <c r="E82" s="50" t="inlineStr">
        <is>
          <t>ACCEPTED — by design</t>
        </is>
      </c>
    </row>
    <row r="84" ht="15" customHeight="1" s="22">
      <c r="A84" s="40" t="inlineStr">
        <is>
          <t>MULTI-TENANCY AUDIT — 13/09/2026 11:25 (the most serious defect found in this product)</t>
        </is>
      </c>
    </row>
    <row r="85" ht="102.75" customHeight="1" s="22">
      <c r="A85" s="27" t="inlineStr">
        <is>
          <t>F-026</t>
        </is>
      </c>
      <c r="B85" s="27" t="inlineStr">
        <is>
          <t>CRITICAL</t>
        </is>
      </c>
      <c r="C85" s="27" t="inlineStr">
        <is>
          <t>CROSS-TENANT DATA EXPOSURE. The request context carried no tenant at all and the server held ONE ShiftDeskApp for the whole process, so every authenticated user of every customer organisation read and wrote the same handovers, approvals, checklists and kudos. A supervisor at one company would have seen another company's shift briefs on their home tab. The store built in sessions 15-17 was tenant-scoped, which made the gap easy to miss: persistence looked correct while the runtime shared everything. This would have been a reportable data breach on day one of the pilot.</t>
        </is>
      </c>
      <c r="D85" s="27" t="inlineStr">
        <is>
          <t>Tenant is now part of identity: Ctx carries tenantId, the SSO verifier returns the tid it already validated, and the bot takes the tenant from the activity channelData. src/tenantRegistry.ts holds one app per tenant, hydrated from that tenant's own records on first use, with single-flight loading so concurrent first requests hydrate once, and bounded eviction that is safe because state is durable. Pinned: one tenant writing a handover and another reading an empty list; separate hydration across a restart; bot and API reaching the same per-tenant app.</t>
        </is>
      </c>
      <c r="E85" s="49" t="inlineStr">
        <is>
          <t>FIXED (test-pinned)</t>
        </is>
      </c>
    </row>
    <row r="86" ht="39" customHeight="1" s="22">
      <c r="A86" s="27" t="inlineStr">
        <is>
          <t>F-027</t>
        </is>
      </c>
      <c r="B86" s="27" t="inlineStr">
        <is>
          <t>Medium</t>
        </is>
      </c>
      <c r="C86" s="27" t="inlineStr">
        <is>
          <t>Found while wiring F-026: bot-driven mutations were never persisted at all. A handover created by the bot lived only in memory and vanished on the next deploy, while the same handover created from the tab survived.</t>
        </is>
      </c>
      <c r="D86" s="27" t="inlineStr">
        <is>
          <t>The transport takes an after-mutation callback wired to the registry; proven by creating a handover through the bot and reading it back through the API after a simulated restart.</t>
        </is>
      </c>
      <c r="E86" s="49" t="inlineStr">
        <is>
          <t>FIXED (regression tests)</t>
        </is>
      </c>
    </row>
    <row r="87" ht="51.75" customHeight="1" s="22">
      <c r="A87" s="27" t="inlineStr">
        <is>
          <t>F-028</t>
        </is>
      </c>
      <c r="B87" s="27" t="inlineStr">
        <is>
          <t>Medium</t>
        </is>
      </c>
      <c r="C87" s="27" t="inlineStr">
        <is>
          <t>Regression introduced by my own F-026 change and caught by an existing test: handlePersisted authenticated before dispatching, which made /health and /status require a token — load balancer and status-page probes would have failed on deploy.</t>
        </is>
      </c>
      <c r="D87" s="27" t="inlineStr">
        <is>
          <t>Public paths handled before authentication on both entry points, pinned by a test that exercises health and status through the persisted path specifically.</t>
        </is>
      </c>
      <c r="E87" s="49" t="inlineStr">
        <is>
          <t>FIXED (regression tests)</t>
        </is>
      </c>
    </row>
    <row r="89" ht="15" customHeight="1" s="22">
      <c r="A89" s="40" t="inlineStr">
        <is>
          <t>DATA-DELETION AUDIT — 13/09/2026 11:51 (published policy vs what the code deletes)</t>
        </is>
      </c>
    </row>
    <row r="90" ht="115.5" customHeight="1" s="22">
      <c r="A90" s="27" t="inlineStr">
        <is>
          <t>F-029</t>
        </is>
      </c>
      <c r="B90" s="27" t="inlineStr">
        <is>
          <t>CRITICAL</t>
        </is>
      </c>
      <c r="C90" s="27" t="inlineStr">
        <is>
          <t>The published retention policy and the self-serve delete-my-data control deleted nothing. purgeTenant had been built in session 15 with ZERO callers; DataRights operated on an in-memory Map that no other code ever wrote to; and install.purgeExpired only dropped an in-memory bookkeeping entry, leaving every persisted record in place forever. So the trust page, the store listing and the data-flow document all promised a 30-day deletion that the product did not perform — and once persistence landed in sessions 15-17, the promise got further from the truth rather than closer. A cached tenant app would also have kept serving "deleted" data until eviction.</t>
        </is>
      </c>
      <c r="D90" s="27" t="inlineStr">
        <is>
          <t>src/tenantLifecycle.ts wires deletion end to end: scheduleDeletion starts the restorable 30-day window as a durable entry, cancelDeletion handles re-install inside it (ST-053), purgeExpired is the sweep the policy promises, and purgeNow is immediate self-serve deletion (ST-069) that purges the store AND evicts the cached runtime. exportAll now reads the tenant's real records instead of a stub. Pinned: nothing deleted at day 29, everything deleted at day 31, schedule cleared with the data, one tenant's deletion never touching another, and the system bucket refusing to be purged.</t>
        </is>
      </c>
      <c r="E90" s="49" t="inlineStr">
        <is>
          <t>FIXED (test-pinned)</t>
        </is>
      </c>
    </row>
    <row r="92" ht="15" customHeight="1" s="22">
      <c r="A92" s="40" t="inlineStr">
        <is>
          <t>AUTHORIZATION AUDIT — 13/09/2026 11:55 (permissions declared vs permissions enforced)</t>
        </is>
      </c>
    </row>
    <row r="93" ht="115.5" customHeight="1" s="22">
      <c r="A93" s="27" t="inlineStr">
        <is>
          <t>F-030</t>
        </is>
      </c>
      <c r="B93" s="27" t="inlineStr">
        <is>
          <t>CRITICAL</t>
        </is>
      </c>
      <c r="C93" s="27" t="inlineStr">
        <is>
          <t>Five of the nine permissions in the role matrix were enforced nowhere: billing.manage, settings.roles, data.export, data.delete and audit.view. Two of those guard the destructive controls built one session earlier — so ANY caller, including a frontline member, could have deleted or exported an entire tenant, and anyone could read the compliance trail. The matrix was shown verbatim in the Settings screen and documented as the security model, which made it look enforced. Same class as a requested scope with no consumer: an action with no enforcement site is a comment, not a permission.</t>
        </is>
      </c>
      <c r="D93" s="27" t="inlineStr">
        <is>
          <t>Enforcement wired at each site and named in an ENFORCEMENT_SITES map: billing.manage on subscribe/cancel, data.export and data.delete on the lifecycle controls, audit.view on reading the trail. A contract test asserts the matrix and the map match in both directions and that each named file actually references its action — so a future permission cannot be declared without being enforced, or enforced without being declared. Deletion now also writes a receipt (who, when, how many records) into the system-scoped store, so the record of a deletion survives the deletion.</t>
        </is>
      </c>
      <c r="E93" s="49" t="inlineStr">
        <is>
          <t>FIXED (test-pinned)</t>
        </is>
      </c>
    </row>
    <row r="94" ht="51.75" customHeight="1" s="22">
      <c r="A94" s="27" t="inlineStr">
        <is>
          <t>D-SD6</t>
        </is>
      </c>
      <c r="B94" s="27" t="inlineStr">
        <is>
          <t>Decision</t>
        </is>
      </c>
      <c r="C94" s="27" t="inlineStr">
        <is>
          <t>settings.roles had no operation to guard at all: roles are derived from Teams team ownership via Graph, and nothing in ShiftDesk assigns them.</t>
        </is>
      </c>
      <c r="D94" s="27" t="inlineStr">
        <is>
          <t>Removed from the matrix rather than left as an unenforced line, matching the GAP-SD7 treatment of an unused scope. Flagged for ratification: if in-product role assignment is ever added, the permission returns with the code that enforces it.</t>
        </is>
      </c>
      <c r="E94" s="50" t="inlineStr">
        <is>
          <t>OPEN for ratification</t>
        </is>
      </c>
    </row>
    <row r="96" ht="15" customHeight="1" s="22">
      <c r="A96" s="40" t="inlineStr">
        <is>
          <t>BILLING-INTEGRITY AUDIT — 13/09/2026 12:02 (what the money states actually restrict)</t>
        </is>
      </c>
    </row>
    <row r="97" ht="64.5" customHeight="1" s="22">
      <c r="A97" s="27" t="inlineStr">
        <is>
          <t>F-031</t>
        </is>
      </c>
      <c r="B97" s="27" t="inlineStr">
        <is>
          <t>High</t>
        </is>
      </c>
      <c r="C97" s="27" t="inlineStr">
        <is>
          <t>The dunning ladder was cosmetic. "read_only" was a string written into an account and checked by nothing, so a tenant whose payment failed kept unlimited write access forever; a cancelled subscription behaved identically to an active one. ST-060 documents a 7-day grace then read-only, and the pricing page tells customers the same — neither was true.</t>
        </is>
      </c>
      <c r="D97" s="27" t="inlineStr">
        <is>
          <t>src/entitlements.ts gates every mutating request on billing state. Reads are deliberately never blocked: withholding a shift handover from a frontline team over a billing dispute is the wrong failure mode, and every refusal message says so explicitly.</t>
        </is>
      </c>
      <c r="E97" s="49" t="inlineStr">
        <is>
          <t>FIXED (test-pinned)</t>
        </is>
      </c>
    </row>
    <row r="98" ht="39" customHeight="1" s="22">
      <c r="A98" s="27" t="inlineStr">
        <is>
          <t>F-032</t>
        </is>
      </c>
      <c r="B98" s="27" t="inlineStr">
        <is>
          <t>High</t>
        </is>
      </c>
      <c r="C98" s="27" t="inlineStr">
        <is>
          <t>usagePrompt had zero callers, so ST-061's plan limits were advisory text that nothing surfaced or enforced. A starter-plan tenant could add unlimited people; seat count was checked only once, at subscribe.</t>
        </is>
      </c>
      <c r="D98" s="27" t="inlineStr">
        <is>
          <t>Seats are now tracked per tenant (distinct actors), warned at 80%, and capped: at the limit existing people carry on working and only a NEW seat is refused. An unrecognised plan never locks anyone out.</t>
        </is>
      </c>
      <c r="E98" s="49" t="inlineStr">
        <is>
          <t>FIXED (test-pinned)</t>
        </is>
      </c>
    </row>
    <row r="99" ht="39" customHeight="1" s="22">
      <c r="A99" s="27" t="inlineStr">
        <is>
          <t>F-033</t>
        </is>
      </c>
      <c r="B99" s="27" t="inlineStr">
        <is>
          <t>High</t>
        </is>
      </c>
      <c r="C99" s="27" t="inlineStr">
        <is>
          <t>Trials never expired. startTrial set a state that nothing ever moved on, so a tenant that never chose a plan kept writing indefinitely — the countdown banner was the only consequence of a trial ending.</t>
        </is>
      </c>
      <c r="D99" s="27" t="inlineStr">
        <is>
          <t>Trial expiry evaluated against the configured trial length at the request boundary (honouring F-019's configurable duration), recovering the moment a plan is chosen.</t>
        </is>
      </c>
      <c r="E99" s="49" t="inlineStr">
        <is>
          <t>FIXED (test-pinned)</t>
        </is>
      </c>
    </row>
    <row r="101" ht="15" customHeight="1" s="22">
      <c r="A101" s="40" t="inlineStr">
        <is>
          <t>DELIVERY + MEASUREMENT AUDIT — 13/09/2026 16:27</t>
        </is>
      </c>
    </row>
    <row r="102" ht="77.25" customHeight="1" s="22">
      <c r="A102" s="27" t="inlineStr">
        <is>
          <t>F-034</t>
        </is>
      </c>
      <c r="B102" s="27" t="inlineStr">
        <is>
          <t>High</t>
        </is>
      </c>
      <c r="C102" s="27" t="inlineStr">
        <is>
          <t>Every F1-F5 notification story promises in-app AND email delivery with per-type mute (ST-010/020/030/040/050). NotificationCenter only appended to an in-memory array, which the F-003 FIFO cap then discarded — nothing was ever delivered on either channel, and the record of it was thrown away too. A supervisor would never have learned a handover needed acknowledging.</t>
        </is>
      </c>
      <c r="D102" s="27" t="inlineStr">
        <is>
          <t>src/notificationDispatcher.ts delivers both channels with INDEPENDENT failure handling — a bounced email never costs the user their in-app notice, and a store outage does not stop the email. In-app notices are durable records with unread/mark-read; a missing address is reported rather than silently dropped; muted types reach neither channel. Subjects written for every type the product sends, with a safe fallback.</t>
        </is>
      </c>
      <c r="E102" s="49" t="inlineStr">
        <is>
          <t>FIXED (test-pinned)</t>
        </is>
      </c>
    </row>
    <row r="103" ht="64.5" customHeight="1" s="22">
      <c r="A103" s="27" t="inlineStr">
        <is>
          <t>F-035</t>
        </is>
      </c>
      <c r="B103" s="27" t="inlineStr">
        <is>
          <t>Medium</t>
        </is>
      </c>
      <c r="C103" s="27" t="inlineStr">
        <is>
          <t>ST-087 claims p95 latency budgets are "defined and monitored", and the launch runbook makes a rollback decision on them. LatencyMonitor had zero callers: nothing in the request path measured anything, so the budgets were numbers in a document and the rollback trigger could never have fired.</t>
        </is>
      </c>
      <c r="D103" s="27" t="inlineStr">
        <is>
          <t>The server now times every /api request and every bot activity against the right surface budget, and GET /health returns the per-surface p95, the budget and whether it is breached — readable by probes without a token. Health and status probes are deliberately excluded so they cannot flatter the product's latency picture.</t>
        </is>
      </c>
      <c r="E103" s="49" t="inlineStr">
        <is>
          <t>FIXED (test-pinned)</t>
        </is>
      </c>
    </row>
    <row r="105" ht="15" customHeight="1" s="22">
      <c r="A105" s="40" t="inlineStr">
        <is>
          <t>MEASUREMENT + EVIDENCE AUDIT — 13/09/2026 16:35</t>
        </is>
      </c>
    </row>
    <row r="106" ht="77.25" customHeight="1" s="22">
      <c r="A106" s="27" t="inlineStr">
        <is>
          <t>F-036</t>
        </is>
      </c>
      <c r="B106" s="27" t="inlineStr">
        <is>
          <t>High</t>
        </is>
      </c>
      <c r="C106" s="27" t="inlineStr">
        <is>
          <t>The entire E7 telemetry epic (ST-071 funnel, ST-072 error tracking, ST-073 heatmap, ST-074 weekly email, ST-075 health score, ST-076 export, ST-077 alerts) had ZERO callers. Every module was correct and fully tested, and nothing ever fed it. The S11 launch exit criterion is "activation &gt; 40%" — a number that could not have been computed on launch day, because install, setup and aha were never recorded for anyone.</t>
        </is>
      </c>
      <c r="D106" s="27" t="inlineStr">
        <is>
          <t>src/observability.ts wires measurement into the request path: install on a tenant's first load, setup on its first successful mutation, aha when work completes end to end, habit at ten mutations, feature usage on every route, and errors tracked by release on 5xx. activationRate() now computes the S11 metric. The heuristics are stated in the code rather than buried, and billing-blocked requests count as usage but never as progress.</t>
        </is>
      </c>
      <c r="E106" s="49" t="inlineStr">
        <is>
          <t>FIXED (test-pinned)</t>
        </is>
      </c>
    </row>
    <row r="107" ht="64.5" customHeight="1" s="22">
      <c r="A107" s="27" t="inlineStr">
        <is>
          <t>F-037</t>
        </is>
      </c>
      <c r="B107" s="27" t="inlineStr">
        <is>
          <t>High</t>
        </is>
      </c>
      <c r="C107" s="27" t="inlineStr">
        <is>
          <t>Audit entries went to an in-memory log that a restart discarded, while DurableAuditLog — built in session 15 — had no callers: the same built-but-unused pattern as F-029. The trail also covered only configuration changes, not the creation or completion of the records a compliance reviewer would actually ask about.</t>
        </is>
      </c>
      <c r="D107" s="27" t="inlineStr">
        <is>
          <t>Creation and completion are now audited, and the server drains the buffered entries to the durable per-tenant store after each successful request, so the trail survives a restart and is never written twice. Verified by reading the trail back through a fresh DurableAuditLog after the writing process is gone.</t>
        </is>
      </c>
      <c r="E107" s="49" t="inlineStr">
        <is>
          <t>FIXED (test-pinned)</t>
        </is>
      </c>
    </row>
    <row r="109" ht="15" customHeight="1" s="22">
      <c r="A109" s="40" t="inlineStr">
        <is>
          <t>SYSTEMATIC WIRING AUDIT — 13/09/2026 16:40 (every export checked for callers, per R-S14)</t>
        </is>
      </c>
    </row>
    <row r="110" ht="115.5" customHeight="1" s="22">
      <c r="A110" s="27" t="inlineStr">
        <is>
          <t>F-038</t>
        </is>
      </c>
      <c r="B110" s="27" t="inlineStr">
        <is>
          <t>High</t>
        </is>
      </c>
      <c r="C110" s="27" t="inlineStr">
        <is>
          <t>Six of the nine designed screens had no mount path. The tab shell rendered home, handovers and checklists; ApprovalBuilder, SettingsScreen, BillingScreen, AnalyticsScreen, HelpScreen and OnboardingScreen were components nothing rendered and the manifest declared only three tabs. So there was no way to build an approval policy (the whole F2 epic had no UI), no way to see the role matrix, no way to see trial state — which is also where the entitlement messages from F-031 would have surfaced — and no way to reach the fifteen help articles. Each screen was individually tested and accessibility-audited, which is what made the gap invisible.</t>
        </is>
      </c>
      <c r="D110" s="27" t="inlineStr">
        <is>
          <t>Tab shell routes all eight entities, with the API routes behind them (billing banner, funnel, help search bound to the shipped article set, approval policy). Manifest declares all eight tabs and a test asserts the declared tabs equal the routable entities and that each contentUrl carries its own entity.</t>
        </is>
      </c>
      <c r="E110" s="49" t="inlineStr">
        <is>
          <t>FIXED (test-pinned)</t>
        </is>
      </c>
    </row>
    <row r="111" ht="39" customHeight="1" s="22">
      <c r="A111" s="27" t="inlineStr">
        <is>
          <t>F-039</t>
        </is>
      </c>
      <c r="B111" s="27" t="inlineStr">
        <is>
          <t>High</t>
        </is>
      </c>
      <c r="C111" s="27" t="inlineStr">
        <is>
          <t>The notification dispatcher built one session earlier was itself never called — the exact pattern R-S14 was raised to stop, recurring immediately. Notifications accumulated in the app buffer and were delivered nowhere.</t>
        </is>
      </c>
      <c r="D111" s="27" t="inlineStr">
        <is>
          <t>Wired into the request path: after each successful mutation the buffer is drained to the dispatcher, so a handover reaches its recipient in-app and by email, and a drained buffer cannot resend on the next request.</t>
        </is>
      </c>
      <c r="E111" s="49" t="inlineStr">
        <is>
          <t>FIXED (test-pinned)</t>
        </is>
      </c>
    </row>
    <row r="112" ht="64.5" customHeight="1" s="22">
      <c r="A112" s="27" t="inlineStr">
        <is>
          <t>F-040</t>
        </is>
      </c>
      <c r="B112" s="27" t="inlineStr">
        <is>
          <t>OPEN</t>
        </is>
      </c>
      <c r="C112" s="27" t="inlineStr">
        <is>
          <t>The trust page states AES-256 encryption at rest. src/crypto.ts (SecretsVault, AES-256-GCM) has no callers: the repository writes plaintext JSON, so the claim is currently untrue unless the deployment relies on storage-level encryption.</t>
        </is>
      </c>
      <c r="D112" s="27" t="inlineStr">
        <is>
          <t>NOT FIXED this session — recorded rather than quietly carried. Options: (a) encrypt record payloads via a repository decorator using the existing crypto module, (b) rely on provider-managed disk/column encryption and reword the trust page to say so precisely. Needs a decision because it changes what the customer is promised.</t>
        </is>
      </c>
      <c r="E112" s="50" t="inlineStr">
        <is>
          <t>OPEN — Senthil disposition</t>
        </is>
      </c>
    </row>
    <row r="113" ht="51.75" customHeight="1" s="22">
      <c r="A113" s="27" t="inlineStr">
        <is>
          <t>OBS-SD7</t>
        </is>
      </c>
      <c r="B113" s="27" t="inlineStr">
        <is>
          <t>Obs</t>
        </is>
      </c>
      <c r="C113" s="27" t="inlineStr">
        <is>
          <t>Also unwired, with deliberate reasons: SupportChat, PartnerTracker and SeoIterator are operator tools with no in-product surface yet; TokenStore is superseded by the SSO path; several constants are exported for tests and documentation.</t>
        </is>
      </c>
      <c r="D113" s="27" t="inlineStr">
        <is>
          <t>Listed so the next wiring audit starts from a known baseline instead of re-deriving it.</t>
        </is>
      </c>
      <c r="E113" s="50" t="inlineStr">
        <is>
          <t>ACCEPTED — documented</t>
        </is>
      </c>
    </row>
    <row r="115" ht="15" customHeight="1" s="22">
      <c r="A115" s="40" t="inlineStr">
        <is>
          <t>F-040 RESOLUTION — 13/09/2026 16:47 (encryption at rest: claim made true, decision left open)</t>
        </is>
      </c>
    </row>
    <row r="116" ht="128.25" customHeight="1" s="22">
      <c r="A116" s="27" t="inlineStr">
        <is>
          <t>F-040</t>
        </is>
      </c>
      <c r="B116" s="27" t="inlineStr">
        <is>
          <t>Resolved (both paths)</t>
        </is>
      </c>
      <c r="C116" s="27" t="inlineStr">
        <is>
          <t>The trust page stated AES-256 at rest while src/crypto.ts had no callers, so the repository wrote plaintext JSON. Left open last session because the fix is a promise to customers, not a coding preference.</t>
        </is>
      </c>
      <c r="D116" s="27" t="inlineStr">
        <is>
          <t>Both dispositions are now cheap and the page is true either way. Option (a): src/encryptedRepository.ts wraps any repository and encrypts record CONTENT with AES-256-GCM — fresh IV per write, tamper detection on read, rows written before it was enabled stay readable and re-encrypt on next write. Enabled solely by setting an encryption key; no key means option (b), provider-managed storage encryption, with no code change. Trust page rewritten to describe both configurations and to state exactly what stays in clear text (tenant, record type, id, timestamp — the query keys needed for retrieval, retention sweeps and deletion). Startup banner reports which configuration is in force.</t>
        </is>
      </c>
      <c r="E116" s="49" t="inlineStr">
        <is>
          <t>FIXED — disposition still Senthil's</t>
        </is>
      </c>
    </row>
    <row r="117" ht="51.75" customHeight="1" s="22">
      <c r="A117" s="27" t="inlineStr">
        <is>
          <t>OBS-SD8</t>
        </is>
      </c>
      <c r="B117" s="27" t="inlineStr">
        <is>
          <t>Obs</t>
        </is>
      </c>
      <c r="C117" s="27" t="inlineStr">
        <is>
          <t>Key rotation is not implemented for stored records: changing the key would make existing rows unreadable, because the read-through path only tolerates plaintext, not a previous key.</t>
        </is>
      </c>
      <c r="D117" s="27" t="inlineStr">
        <is>
          <t>Recorded rather than discovered later. A rotation needs either a key-id in the envelope (the envelope is versioned "enc:v1:" precisely so this is possible) or a re-encrypt sweep. Not needed before the pilot; needed before a key ever changes.</t>
        </is>
      </c>
      <c r="E117" s="50" t="inlineStr">
        <is>
          <t>OPEN — before first rotation</t>
        </is>
      </c>
    </row>
    <row r="119" ht="15" customHeight="1" s="22">
      <c r="A119" s="40" t="inlineStr">
        <is>
          <t>COLD-REVIEW PASS 5 — 13/09/2026 16:51 (over the sessions 18-25 modules, none previously reviewed)</t>
        </is>
      </c>
    </row>
    <row r="120" ht="64.5" customHeight="1" s="22">
      <c r="A120" s="27" t="inlineStr">
        <is>
          <t>F-041</t>
        </is>
      </c>
      <c r="B120" s="27" t="inlineStr">
        <is>
          <t>High</t>
        </is>
      </c>
      <c r="C120" s="27" t="inlineStr">
        <is>
          <t>The seat cap built in F-032 could never fire. "Is this a new seat?" was computed as "does this tenant have zero seats", so the 201st person on a 200-seat plan was not treated as new and was admitted. The cap looked enforced and tested because the unit test passed a boolean directly; the server computed that boolean wrongly.</t>
        </is>
      </c>
      <c r="D120" s="27" t="inlineStr">
        <is>
          <t>The question is now asked about the person (hasSeat(tenant, actor)), not the tenant. Pinned with an existing member working at the cap while a genuinely new person is refused.</t>
        </is>
      </c>
      <c r="E120" s="49" t="inlineStr">
        <is>
          <t>FIXED (regression tests)</t>
        </is>
      </c>
    </row>
    <row r="121" ht="39" customHeight="1" s="22">
      <c r="A121" s="27" t="inlineStr">
        <is>
          <t>F-042</t>
        </is>
      </c>
      <c r="B121" s="27" t="inlineStr">
        <is>
          <t>Medium</t>
        </is>
      </c>
      <c r="C121" s="27" t="inlineStr">
        <is>
          <t>Every tenant re-hydration counted as a fresh install, so eviction (the registry is bounded to 500) or any restart inflated the install count. That understates activation — the exact S11 gate metric wired up one session earlier.</t>
        </is>
      </c>
      <c r="D121" s="27" t="inlineStr">
        <is>
          <t>Installs are recorded once per tenant, with markKnown to seed the set from the store after a restart.</t>
        </is>
      </c>
      <c r="E121" s="49" t="inlineStr">
        <is>
          <t>FIXED (regression tests)</t>
        </is>
      </c>
    </row>
    <row r="122" ht="39" customHeight="1" s="22">
      <c r="A122" s="27" t="inlineStr">
        <is>
          <t>F-043</t>
        </is>
      </c>
      <c r="B122" s="27" t="inlineStr">
        <is>
          <t>Medium</t>
        </is>
      </c>
      <c r="C122" s="27" t="inlineStr">
        <is>
          <t>Deleting a tenant while its app was mid-hydration resurrected it: purge evicted the cache, then the in-flight load finished and put the stale app straight back — serving data that had just been deleted.</t>
        </is>
      </c>
      <c r="D122" s="27" t="inlineStr">
        <is>
          <t>A purge during hydration is recorded, and the finishing load is not cached. Pinned by holding a hydration open, deleting, then releasing it.</t>
        </is>
      </c>
      <c r="E122" s="49" t="inlineStr">
        <is>
          <t>FIXED (regression tests)</t>
        </is>
      </c>
    </row>
    <row r="123" ht="39" customHeight="1" s="22">
      <c r="A123" s="27" t="inlineStr">
        <is>
          <t>F-044</t>
        </is>
      </c>
      <c r="B123" s="27" t="inlineStr">
        <is>
          <t>Medium</t>
        </is>
      </c>
      <c r="C123" s="27" t="inlineStr">
        <is>
          <t>Two in-app notices to the same user, of the same type, in the same millisecond shared a record id, so the second silently overwrote the first — losing a notification precisely when activity is busiest.</t>
        </is>
      </c>
      <c r="D123" s="27" t="inlineStr">
        <is>
          <t>Ids carry a sequence rather than only a timestamp; pinned with a frozen clock.</t>
        </is>
      </c>
      <c r="E123" s="49" t="inlineStr">
        <is>
          <t>FIXED (regression tests)</t>
        </is>
      </c>
    </row>
    <row r="124" ht="64.5" customHeight="1" s="22">
      <c r="A124" s="27" t="inlineStr">
        <is>
          <t>F-045</t>
        </is>
      </c>
      <c r="B124" s="27" t="inlineStr">
        <is>
          <t>High</t>
        </is>
      </c>
      <c r="C124" s="27" t="inlineStr">
        <is>
          <t>Notifications were drained from the buffer BEFORE delivery was attempted, so a mail outage discarded them permanently. My first fix this session drained in a finally block — which failed the test I had just written, because it was still a discard. Corrected: drain only after a successful delivery, so the next request retries them.</t>
        </is>
      </c>
      <c r="D124" s="27" t="inlineStr">
        <is>
          <t>Pinned both ways: a failure leaves them buffered and surfaced, and the following successful request delivers the backlog and clears exactly what it sent.</t>
        </is>
      </c>
      <c r="E124" s="49" t="inlineStr">
        <is>
          <t>FIXED (regression tests)</t>
        </is>
      </c>
    </row>
    <row r="126" ht="15" customHeight="1" s="22">
      <c r="A126" s="40" t="inlineStr">
        <is>
          <t>MULTI-INSTANCE AUDIT — 13/09/2026 17:25 (what happens with more than one server)</t>
        </is>
      </c>
    </row>
    <row r="127" ht="115.5" customHeight="1" s="22">
      <c r="A127" s="27" t="inlineStr">
        <is>
          <t>F-046</t>
        </is>
      </c>
      <c r="B127" s="27" t="inlineStr">
        <is>
          <t>CRITICAL</t>
        </is>
      </c>
      <c r="C127" s="27" t="inlineStr">
        <is>
          <t>Persistence writes a whole-module snapshot with an unconditional upsert, which is safe for exactly one writer. ShiftDesk ships a blue/green deploy workflow and a load harness that ramps to 500 virtual users — both assume more than one instance. During any swap, or with any horizontal scaling, two instances each hold their own in-memory copy of a tenant and overwrite each other: a handover created on the old slot is silently erased by the next write from the new one. No error, no log line, no way for the supervisor who wrote it to know it was gone.</t>
        </is>
      </c>
      <c r="D127" s="27" t="inlineStr">
        <is>
          <t>Optimistic concurrency through the repository: every record carries a version, writes can be guarded on the version the instance last read, and a mismatch raises a conflict instead of overwriting. The persister tracks the version per tenant and module; on conflict the server evicts the tenant so it reloads from the store and returns 409 with a plain-language message telling the user to retry. Proven with two server instances over one store: the stale writer is refused, the retry succeeds, and BOTH instances' handovers are present afterwards. migrations/002_versioning.sql adds the column and the deploy workflow runs migrations before the swap.</t>
        </is>
      </c>
      <c r="E127" s="49" t="inlineStr">
        <is>
          <t>FIXED (test-pinned)</t>
        </is>
      </c>
    </row>
    <row r="128" ht="51.75" customHeight="1" s="22">
      <c r="A128" s="27" t="inlineStr">
        <is>
          <t>OBS-SD9</t>
        </is>
      </c>
      <c r="B128" s="27" t="inlineStr">
        <is>
          <t>Obs</t>
        </is>
      </c>
      <c r="C128" s="27" t="inlineStr">
        <is>
          <t>Whole-module snapshots make conflicts more likely than per-record writes would: two supervisors on different instances writing unrelated handovers still collide, because they share one module record. Correct, but coarse.</t>
        </is>
      </c>
      <c r="D128" s="27" t="inlineStr">
        <is>
          <t>Recorded as a known characteristic rather than presented as ideal. Per-record persistence would reduce conflicts and is the natural next step if the pilot shows retries being visible to users. Detection first was the right order — a coarse conflict is recoverable, a silent overwrite is not.</t>
        </is>
      </c>
      <c r="E128" s="50" t="inlineStr">
        <is>
          <t>ACCEPTED — revisit after pilot</t>
        </is>
      </c>
    </row>
    <row r="130" ht="15" customHeight="1" s="22">
      <c r="A130" s="40" t="inlineStr">
        <is>
          <t>DEPENDENCY-FAILURE AUDIT — 13/09/2026 18:51 (what the server does when something it depends on breaks)</t>
        </is>
      </c>
    </row>
    <row r="131" ht="102.75" customHeight="1" s="22">
      <c r="A131" s="27" t="inlineStr">
        <is>
          <t>F-047</t>
        </is>
      </c>
      <c r="B131" s="27" t="inlineStr">
        <is>
          <t>CRITICAL</t>
        </is>
      </c>
      <c r="C131" s="27" t="inlineStr">
        <is>
          <t>Nothing caught errors at the HTTP boundary. A store hiccup, a Graph outage or — after my own F-045 fix — a mail outage rejected the handler promise, which the server callback discarded with `void`. On current Node an unhandled rejection terminates the process, so a single dependency blip meant a crash loop, and the request that triggered it never received any response at all: the socket simply hung. The product had a carefully built degradation story for the Teams API (ST-070/ST-091) and none whatsoever for its own dependencies.</t>
        </is>
      </c>
      <c r="D131" s="27" t="inlineStr">
        <is>
          <t>Every request now answers. Errors are mapped to 503 for transient causes and 500 otherwise, with user-facing messages that never carry internal detail (the detail goes to the server log instead). A last-resort guard answers even if the error path itself throws, and refuses to corrupt a response already in flight. StoreHealth marks the deployment degraded after repeated save failures and clears on the first success, surfacing through /status.</t>
        </is>
      </c>
      <c r="E131" s="49" t="inlineStr">
        <is>
          <t>FIXED (test-pinned)</t>
        </is>
      </c>
    </row>
    <row r="132" ht="51.75" customHeight="1" s="22">
      <c r="A132" s="27" t="inlineStr">
        <is>
          <t>F-048</t>
        </is>
      </c>
      <c r="B132" s="27" t="inlineStr">
        <is>
          <t>High</t>
        </is>
      </c>
      <c r="C132" s="27" t="inlineStr">
        <is>
          <t>Revision of my own F-045 fix. Making delivery failures propagate meant a mail outage failed the user's write — a supervisor's handover would be rejected because an email could not be sent, and (before F-047) took the process down with it.</t>
        </is>
      </c>
      <c r="D132" s="27" t="inlineStr">
        <is>
          <t>Delivery is best-effort and the write is not: the handover is saved and returns 200, the notice stays buffered and is retried on the next request. The distinction is now explicit in the code — the user's work and our outbound notifications have different failure budgets.</t>
        </is>
      </c>
      <c r="E132" s="49" t="inlineStr">
        <is>
          <t>FIXED (test-pinned)</t>
        </is>
      </c>
    </row>
    <row r="134" ht="15" customHeight="1" s="22">
      <c r="A134" s="40" t="inlineStr">
        <is>
          <t>COLD-REVIEW PASS 6 — 13/09/2026 19:10 (over the sessions 26-28 code: versioning, resilience, boundary wiring)</t>
        </is>
      </c>
    </row>
    <row r="135" ht="77.25" customHeight="1" s="22">
      <c r="A135" s="27" t="inlineStr">
        <is>
          <t>F-049</t>
        </is>
      </c>
      <c r="B135" s="27" t="inlineStr">
        <is>
          <t>High</t>
        </is>
      </c>
      <c r="C135" s="27" t="inlineStr">
        <is>
          <t>Production error classification matched words in the message text — and one of those words was "db down", a string that exists only in my own test fixtures. Two consequences: a real defect whose message happened to contain "timeout" or "unavailable" would have been reported to the user as a transient glitch and quietly retried, and the classifier was coupled to test data. Written one session earlier, while fixing the boundary.</t>
        </is>
      </c>
      <c r="D135" s="27" t="inlineStr">
        <is>
          <t>Transience is decided by TYPE: a TransientError, a VersionConflictError, or a socket-level error code. A bug that merely mentions a timeout is now a 500. A test asserts the production classifier contains no fixture string.</t>
        </is>
      </c>
      <c r="E135" s="49" t="inlineStr">
        <is>
          <t>FIXED (regression tests)</t>
        </is>
      </c>
    </row>
    <row r="136" ht="51.75" customHeight="1" s="22">
      <c r="A136" s="27" t="inlineStr">
        <is>
          <t>F-050</t>
        </is>
      </c>
      <c r="B136" s="27" t="inlineStr">
        <is>
          <t>Medium</t>
        </is>
      </c>
      <c r="C136" s="27" t="inlineStr">
        <is>
          <t>StoreHealth cleared on any successful request, including reads — which are served from memory and touch no store. A deployment whose every save was failing would have reported healthy again the moment someone opened a tab, exactly when the operator most needs the truth.</t>
        </is>
      </c>
      <c r="D136" s="27" t="inlineStr">
        <is>
          <t>Only a successful write clears degradation. Proven end to end: with writes failing, reads keep serving the frontline and the deployment stays marked degraded.</t>
        </is>
      </c>
      <c r="E136" s="49" t="inlineStr">
        <is>
          <t>FIXED (regression tests)</t>
        </is>
      </c>
    </row>
    <row r="137" ht="64.5" customHeight="1" s="22">
      <c r="A137" s="27" t="inlineStr">
        <is>
          <t>F-051</t>
        </is>
      </c>
      <c r="B137" s="27" t="inlineStr">
        <is>
          <t>High</t>
        </is>
      </c>
      <c r="C137" s="27" t="inlineStr">
        <is>
          <t>When a bot-driven mutation hit a persistence conflict, the in-memory change had already happened and the activity was not remembered, so the Bot Service retry applied it again — one spoken command producing two handovers. The F-024 fix (do not remember until success) was right for delivery failures and wrong for this case.</t>
        </is>
      </c>
      <c r="D137" s="27" t="inlineStr">
        <is>
          <t>The activity is remembered on a persistence conflict and the user is told plainly not to resend, then the error propagates for logging. Pinned: a conflicting first attempt followed by a retry leaves exactly one handover.</t>
        </is>
      </c>
      <c r="E137" s="49" t="inlineStr">
        <is>
          <t>FIXED (regression tests)</t>
        </is>
      </c>
    </row>
    <row r="139" ht="15" customHeight="1" s="22">
      <c r="A139" s="40" t="inlineStr">
        <is>
          <t>LIVE-DAY PREPARATION — 13/09/2026 19:27 (acting on the recommendation rather than auditing again)</t>
        </is>
      </c>
    </row>
    <row r="140" ht="115.5" customHeight="1" s="22">
      <c r="A140" s="27" t="inlineStr">
        <is>
          <t>GAP-SD10</t>
        </is>
      </c>
      <c r="B140" s="27" t="inlineStr">
        <is>
          <t>Process</t>
        </is>
      </c>
      <c r="C140" s="27" t="inlineStr">
        <is>
          <t>The live sweep has been a list of 28 prose descriptions since session 3. On the dev-tenant day that is 28 manual checks, performed by one person under time pressure, with no record beyond notes — the single most expensive half hour in the plan, and the one most likely to be rushed.</t>
        </is>
      </c>
      <c r="D140" s="27" t="inlineStr">
        <is>
          <t>src/sweepRunner.ts makes the machine-checkable half executable: health and latency budgets, unauthenticated refusal, create-and-read-back, acknowledgement, every declared tab route, lifecycle routes unreachable over HTTP, and store health. scripts/live-sweep.ts runs them against a live deployment (npm run sweep -- &lt;url&gt; &lt;token&gt;), prints a report and exits non-zero on failure; every remaining published step is listed as explicit operator work so nothing silently counts as passed. Proven against a real in-process deployment, including that a broken deployment fails the specific step and that an unimplemented step is reported as manual rather than as a pass.</t>
        </is>
      </c>
      <c r="E140" s="49" t="inlineStr">
        <is>
          <t>DONE (test-pinned)</t>
        </is>
      </c>
    </row>
    <row r="142" ht="15" customHeight="1" s="22">
      <c r="A142" s="40" t="inlineStr">
        <is>
          <t>SWEEP AUTOMATION ROUND 2 — 13/09/2026 19:32</t>
        </is>
      </c>
    </row>
    <row r="143" ht="90" customHeight="1" s="22">
      <c r="A143" s="27" t="inlineStr">
        <is>
          <t>GAP-SD11</t>
        </is>
      </c>
      <c r="B143" s="27" t="inlineStr">
        <is>
          <t>Process</t>
        </is>
      </c>
      <c r="C143" s="27" t="inlineStr">
        <is>
          <t>Six published steps that a machine can check were still operator work: restart durability, the two-instance conflict, the audit trail, encryption at rest, notification arrival and the funnel. Each needs access the sweep cannot conjure — a database, a second instance, a mailbox — which is why they had been left manual.</t>
        </is>
      </c>
      <c r="D143" s="27" t="inlineStr">
        <is>
          <t>Capability-gated automated steps: the operator supplies what they have (DATABASE_URL, a second instance URL, a mailbox reader) and those checks run for real; anything unavailable is reported SKIP with the reason rather than passed or silently dropped. The CLI accepts a second instance and wires a Postgres client when DATABASE_URL is present. Failure paths are pinned too — an empty database, a database returning no rows at all, a deployment storing plaintext, and a mailbox with nothing in it all fail loudly.</t>
        </is>
      </c>
      <c r="E143" s="49" t="inlineStr">
        <is>
          <t>DONE (test-pinned)</t>
        </is>
      </c>
    </row>
    <row r="144" ht="64.5" customHeight="1" s="22">
      <c r="A144" s="27" t="inlineStr">
        <is>
          <t>F-052</t>
        </is>
      </c>
      <c r="B144" s="27" t="inlineStr">
        <is>
          <t>Medium</t>
        </is>
      </c>
      <c r="C144" s="27" t="inlineStr">
        <is>
          <t>Found by writing the funnel check rather than by reading code: GET /api/analytics read the per-tenant app's Telemetry, while the observer wired in session 23 records into its own. The Analytics tab would have shown zeros forever, and the S11 activation number would have been invisible in the product even though it was being collected.</t>
        </is>
      </c>
      <c r="D144" s="27" t="inlineStr">
        <is>
          <t>The funnel is served from the observer that records it, so there is one source of truth. This is the third time a defect has surfaced from making an assertion executable rather than from inspection.</t>
        </is>
      </c>
      <c r="E144" s="49" t="inlineStr">
        <is>
          <t>FIXED (test-pinned)</t>
        </is>
      </c>
    </row>
    <row r="146" ht="15" customHeight="1" s="22">
      <c r="A146" s="40" t="inlineStr">
        <is>
          <t>LIVE-DAY PREPARATION 3 — 13/09/2026 19:39 (packaging)</t>
        </is>
      </c>
    </row>
    <row r="147" ht="102.75" customHeight="1" s="22">
      <c r="A147" s="27" t="inlineStr">
        <is>
          <t>GAP-SD12</t>
        </is>
      </c>
      <c r="B147" s="27" t="inlineStr">
        <is>
          <t>Process</t>
        </is>
      </c>
      <c r="C147" s="27" t="inlineStr">
        <is>
          <t>The guide has said "zip manifest.json + color.png + outline.png" since session 3. Two things reliably go wrong doing that by hand, both on the tenant day and both expensive: the archive ends up containing a folder (Teams rejects the package with a generic message that does not say why), and the {{PLACEHOLDERS}} are uploaded unsubstituted. Neither is caught until an upload fails in front of you.</t>
        </is>
      </c>
      <c r="D147" s="27" t="inlineStr">
        <is>
          <t>src/packageApp.ts substitutes from environment variables, refuses when a value is missing by naming which one, and validates the manifest against the rules the store applies — GUID id, bot id matching webApplicationInfo, bare hostnames in validDomains, https tab URLs, no surviving placeholders. `npm run package` writes shiftdesk-teams-app.zip with the files at the archive ROOT (zip -j), verified end to end: the produced archive lists exactly three files and no directory. A package containing anything beyond the manifest and icons is refused.</t>
        </is>
      </c>
      <c r="E147" s="49" t="inlineStr">
        <is>
          <t>DONE (test-pinned)</t>
        </is>
      </c>
    </row>
    <row r="149" ht="15" customHeight="1" s="22">
      <c r="A149" s="40" t="inlineStr">
        <is>
          <t>DELIVERABILITY AUDIT — 13/09/2026 20:05 (does what I shipped actually run where it will run?)</t>
        </is>
      </c>
    </row>
    <row r="150" ht="64.5" customHeight="1" s="22">
      <c r="A150" s="27" t="inlineStr">
        <is>
          <t>F-053</t>
        </is>
      </c>
      <c r="B150" s="27" t="inlineStr">
        <is>
          <t>High</t>
        </is>
      </c>
      <c r="C150" s="27" t="inlineStr">
        <is>
          <t>The two scripts built for the live day — npm run sweep and npm run package — call ts-node, which was never declared as a dependency. They worked here only because the tooling happened to be present. On a clean npm ci, on the tenant day, both would have failed immediately with "ts-node: not found": the exact moment the tooling exists to serve.</t>
        </is>
      </c>
      <c r="D150" s="27" t="inlineStr">
        <is>
          <t>ts-node and @types/node declared as devDependencies, and CI now runs both scripts after a clean install, so an undeclared dependency fails the build rather than the tenant day.</t>
        </is>
      </c>
      <c r="E150" s="49" t="inlineStr">
        <is>
          <t>FIXED (CI-pinned)</t>
        </is>
      </c>
    </row>
    <row r="151" ht="39" customHeight="1" s="22">
      <c r="A151" s="27" t="inlineStr">
        <is>
          <t>F-054</t>
        </is>
      </c>
      <c r="B151" s="27" t="inlineStr">
        <is>
          <t>Medium</t>
        </is>
      </c>
      <c r="C151" s="27" t="inlineStr">
        <is>
          <t>The sweep's database checks imported pg, also undeclared. With DATABASE_URL set the sweep would have crashed instead of running the checks it could — and the ones it could not would have been lost with it.</t>
        </is>
      </c>
      <c r="D151" s="27" t="inlineStr">
        <is>
          <t>pg is an optional dependency loaded at runtime. A missing driver prints one clear line and the database checks report SKIP with their reason, exactly as designed; everything else still runs.</t>
        </is>
      </c>
      <c r="E151" s="49" t="inlineStr">
        <is>
          <t>FIXED (test-pinned)</t>
        </is>
      </c>
    </row>
    <row r="152" ht="51.75" customHeight="1" s="22">
      <c r="A152" s="27" t="inlineStr">
        <is>
          <t>F-056</t>
        </is>
      </c>
      <c r="B152" s="27" t="inlineStr">
        <is>
          <t>Medium</t>
        </is>
      </c>
      <c r="C152" s="27" t="inlineStr">
        <is>
          <t>tsconfig included only src, so the scripts that run on the live day were outside the typecheck gate entirely — the very files with the least test coverage had the least static checking too. The sweep script did not in fact compile under its own runner.</t>
        </is>
      </c>
      <c r="D152" s="27" t="inlineStr">
        <is>
          <t>scripts are in the typecheck gate, the compile failure is fixed, and CI executes both scripts (packaging refuses incomplete input, produces a zip with no nested folder; the sweep prints usage).</t>
        </is>
      </c>
      <c r="E152" s="49" t="inlineStr">
        <is>
          <t>FIXED (CI-pinned)</t>
        </is>
      </c>
    </row>
    <row r="153" ht="39" customHeight="1" s="22">
      <c r="A153" s="27" t="inlineStr">
        <is>
          <t>OBS-SD10</t>
        </is>
      </c>
      <c r="B153" s="27" t="inlineStr">
        <is>
          <t>Obs</t>
        </is>
      </c>
      <c r="C153" s="27" t="inlineStr">
        <is>
          <t>Everything was in dependencies — a production install carried jest, jsdom, testing-library and esbuild.</t>
        </is>
      </c>
      <c r="D153" s="27" t="inlineStr">
        <is>
          <t>Runtime dependencies are now empty (the server needs only Node; the tab is bundled at build time) and the toolchain is in devDependencies, with an engines field pinning Node &gt;= 20.</t>
        </is>
      </c>
      <c r="E153" s="49" t="inlineStr">
        <is>
          <t>FIXED</t>
        </is>
      </c>
    </row>
    <row r="155" ht="15" customHeight="1" s="22">
      <c r="A155" s="40" t="inlineStr">
        <is>
          <t>CLEAN-CHECKOUT REHEARSAL — 13/09/2026 20:10</t>
        </is>
      </c>
    </row>
    <row r="156" ht="77.25" customHeight="1" s="22">
      <c r="A156" s="27" t="inlineStr">
        <is>
          <t>F-057</t>
        </is>
      </c>
      <c r="B156" s="27" t="inlineStr">
        <is>
          <t>High</t>
        </is>
      </c>
      <c r="C156" s="27" t="inlineStr">
        <is>
          <t>The dev-tenant guide has told the operator to "start bootFromEnv" since session 10, and the repository shipped NO entry point — no npm start, no serve script, nothing to run. Found by trying to do exactly what the guide says from the delivered zip: I had to write a boot file myself before the sweep had anything to sweep. Every reader would have hit the same wall, on the day.</t>
        </is>
      </c>
      <c r="D156" s="27" t="inlineStr">
        <is>
          <t>scripts/serve.ts ships as `npm start`. Token verification is an explicit seam: a dev mode that must be requested by name (SHIFTDESK_DEV_ACCEPT_TOKEN) and prints a loud warning that signatures are not verified, or a JWKS-backed verifier wired in before real users. With neither configured the server refuses to start and the error says what to do — it never quietly serves everyone.</t>
        </is>
      </c>
      <c r="E156" s="49" t="inlineStr">
        <is>
          <t>FIXED (test-pinned)</t>
        </is>
      </c>
    </row>
    <row r="157" ht="51.75" customHeight="1" s="22">
      <c r="A157" s="27" t="inlineStr">
        <is>
          <t>REHEARSAL</t>
        </is>
      </c>
      <c r="B157" s="27" t="inlineStr">
        <is>
          <t>Evidence</t>
        </is>
      </c>
      <c r="C157" s="27" t="inlineStr">
        <is>
          <t>The whole delivery was rehearsed as Senthil will receive it: unzip the source, npm ci from the lockfile, typecheck, 51 suites at 100%, build, package (refuses incomplete input; archive has no nested folder), npm start, and the sweep run over HTTP against that running server.</t>
        </is>
      </c>
      <c r="D157" s="27" t="inlineStr">
        <is>
          <t>Result: 8 passed, 0 failed, 5 skipped for access not available here (database, second instance, mailbox), 28 listed as operator work in the Teams client. The same sequence is now a CI job, so the delivery cannot silently stop being runnable.</t>
        </is>
      </c>
      <c r="E157" s="49" t="inlineStr">
        <is>
          <t>DONE</t>
        </is>
      </c>
    </row>
    <row r="159" ht="15" customHeight="1" s="22">
      <c r="A159" s="40" t="inlineStr">
        <is>
          <t>PATH-TO-USE AUDIT 2 — 13/09/2026 20:26 (following the manifest to a running screen)</t>
        </is>
      </c>
    </row>
    <row r="160" ht="102.75" customHeight="1" s="22">
      <c r="A160" s="27" t="inlineStr">
        <is>
          <t>F-058</t>
        </is>
      </c>
      <c r="B160" s="27" t="inlineStr">
        <is>
          <t>High</t>
        </is>
      </c>
      <c r="C160" s="27" t="inlineStr">
        <is>
          <t>The manifest points all eight tabs at https://&lt;host&gt;/tab/, and nothing served that path. The server answered /api, /health and /status only, so on install day every tab would have 404'd — after sessions 8 and 24 built the page and made all eight reachable, and session 34 shipped the entry point to run it. Three sessions of work on the tab surface, and the last hop from URL to file did not exist.</t>
        </is>
      </c>
      <c r="D160" s="27" t="inlineStr">
        <is>
          <t>src/staticFiles.ts serves the built bundle from the same process as the API, with correct content types, a 403 on path traversal (a tab URL must never read outside the build output), a 404 for genuine misses, and a plain message telling you to run npm run build if the deployment was never built — rather than eight silent 404s. Wired at the HTTP boundary where content types belong, not into the JSON-only API surface. Sweep check A-14 added and verified against a running server: the tab page loads, TeamsJS is ordered before the bundle, and tab.js is served.</t>
        </is>
      </c>
      <c r="E160" s="49" t="inlineStr">
        <is>
          <t>FIXED (test-pinned)</t>
        </is>
      </c>
    </row>
    <row r="162" ht="15" customHeight="1" s="22">
      <c r="A162" s="40" t="inlineStr">
        <is>
          <t>PATH-TO-USE AUDIT 3 — 13/09/2026 20:32 (following the manifest to a working bot)</t>
        </is>
      </c>
    </row>
    <row r="163" ht="141" customHeight="1" s="22">
      <c r="A163" s="27" t="inlineStr">
        <is>
          <t>F-059</t>
        </is>
      </c>
      <c r="B163" s="27" t="inlineStr">
        <is>
          <t>High</t>
        </is>
      </c>
      <c r="C163" s="27" t="inlineStr">
        <is>
          <t>The shipped entry point called bootFromEnv with no bot dependencies, so the transport was undefined and /api/messages answered 503. Every command the manifest advertises — handover, approve, checklist — would have been dead in the Teams client, and the welcome message on install (ST-051, the under-two-minutes activation evidence) had nothing to send it. Sessions 11 and 29 built the transport carefully; nothing ever handed it to the server that runs.</t>
        </is>
      </c>
      <c r="D163" s="27" t="inlineStr">
        <is>
          <t>scripts/serve.ts now wires the bot. src/connectorSender.ts posts replies to the conversation at the activity serviceUrl with a Connector token exchanged from the bot credentials and cached until shortly before expiry; a Connector failure surfaces with its status rather than vanishing. Dev mode (the same flag as the tab) accepts inbound tokens and LOGS replies rather than pretending they were sent, so commands can be exercised before credentials exist. Without dev mode, inbound activities are REFUSED until a JWKS-backed Connector verifier is wired — the endpoint never trusts a token it cannot check. Sweep check A-15 distinguishes the three states: 503 means nothing wired, 401 means the verifier rejected the token, 200 with an empty body is correct.</t>
        </is>
      </c>
      <c r="E163" s="49" t="inlineStr">
        <is>
          <t>FIXED (test-pinned)</t>
        </is>
      </c>
    </row>
    <row r="165" ht="15" customHeight="1" s="22">
      <c r="A165" s="40" t="inlineStr">
        <is>
          <t>PATH-TO-USE AUDIT 4 — 13/09/2026 21:56 (install, uninstall, and the sweep that never ran)</t>
        </is>
      </c>
    </row>
    <row r="166" ht="90" customHeight="1" s="22">
      <c r="A166" s="27" t="inlineStr">
        <is>
          <t>F-060</t>
        </is>
      </c>
      <c r="B166" s="27" t="inlineStr">
        <is>
          <t>High</t>
        </is>
      </c>
      <c r="C166" s="27" t="inlineStr">
        <is>
          <t>Installing the app in Teams recorded nothing. The transport sent the welcome and stopped there: no installer, no tenant, no team captured, and uninstall was not handled at all — the activity that signals it (the bot being removed) fell through as an unremarkable conversation update. So ST-052 and ST-053, the 30-day window and the re-install restore, had no trigger in a running deployment; the mechanisms built in session 19 waited for a caller that did not exist.</t>
        </is>
      </c>
      <c r="D166" s="27" t="inlineStr">
        <is>
          <t>The transport now distinguishes the bot being added from a person joining, and the bot being removed from a person leaving, and carries an installed/uninstalled hook. The entry point wires them: uninstall schedules the deletion and logs the date it will happen; re-install cancels it, keeping the data exactly as the retention policy promises. A personal-scope install (no team) and an activity with no sender identity are both recorded rather than dropped.</t>
        </is>
      </c>
      <c r="E166" s="49" t="inlineStr">
        <is>
          <t>FIXED (test-pinned)</t>
        </is>
      </c>
    </row>
    <row r="167" ht="77.25" customHeight="1" s="22">
      <c r="A167" s="27" t="inlineStr">
        <is>
          <t>F-061</t>
        </is>
      </c>
      <c r="B167" s="27" t="inlineStr">
        <is>
          <t>CRITICAL</t>
        </is>
      </c>
      <c r="C167" s="27" t="inlineStr">
        <is>
          <t>purgeExpired — the sweep that performs the published 30-day deletion — was implemented in session 19 and called by nothing in any deployment. The retention commitment on the trust page, in the listing and in the data-flow document would simply never have executed: tenant data would have sat in the store indefinitely after uninstall, and nobody would have noticed, because the code existed and its tests passed.</t>
        </is>
      </c>
      <c r="D167" s="27" t="inlineStr">
        <is>
          <t>src/retentionScheduler.ts runs the sweep hourly, logs every purge with the tenant and record count, survives a failed sweep without killing the process (the window is long enough to retry), and never holds the process open. Started by the entry point. The timer is injected rather than global, so the schedule is driven directly in tests instead of spoofing globals.</t>
        </is>
      </c>
      <c r="E167" s="49" t="inlineStr">
        <is>
          <t>FIXED (test-pinned)</t>
        </is>
      </c>
    </row>
    <row r="169" ht="15" customHeight="1" s="22">
      <c r="A169" s="40" t="inlineStr">
        <is>
          <t>RUNTIME WIRING AUDIT — 13/09/2026 22:55 (what the running process actually constructs)</t>
        </is>
      </c>
    </row>
    <row r="170" ht="90" customHeight="1" s="22">
      <c r="A170" s="27" t="inlineStr">
        <is>
          <t>F-062</t>
        </is>
      </c>
      <c r="B170" s="27" t="inlineStr">
        <is>
          <t>CRITICAL</t>
        </is>
      </c>
      <c r="C170" s="27" t="inlineStr">
        <is>
          <t>The shipped entry point resolved every user to OWNER — a one-line stub with a comment saying it would be replaced. Combined with the permissions enforced in F-030, that means any frontline member in a live deployment could delete the entire tenant's data, export it, or cancel the subscription. The role matrix was correct, enforced at every site, bound by contract tests, and fed a constant. This is the sharpest example yet of correct components and a wrong wire.</t>
        </is>
      </c>
      <c r="D170" s="27" t="inlineStr">
        <is>
          <t>Roles come from a real source or fall back to the LEAST privilege: with nothing configured every user is a MEMBER and the server says so loudly at startup. A dev role mode must be named explicitly and is validated. The Graph directory is used when enabled and given its dependencies, resolving the installer as owner and team owners as admins.</t>
        </is>
      </c>
      <c r="E170" s="49" t="inlineStr">
        <is>
          <t>FIXED (test-pinned)</t>
        </is>
      </c>
    </row>
    <row r="171" ht="51.75" customHeight="1" s="22">
      <c r="A171" s="27" t="inlineStr">
        <is>
          <t>F-063</t>
        </is>
      </c>
      <c r="B171" s="27" t="inlineStr">
        <is>
          <t>High</t>
        </is>
      </c>
      <c r="C171" s="27" t="inlineStr">
        <is>
          <t>NotificationDispatcher was never constructed by the running process, so the delivery wired in session 24 did not happen in a deployment — notifications accumulated and went nowhere, exactly as before F-034, but invisibly because the code path existed.</t>
        </is>
      </c>
      <c r="D171" s="27" t="inlineStr">
        <is>
          <t>A per-tenant dispatcher factory is constructed at startup and passed to the server; the server now delivers with the tenant it is serving, so one tenant's notifications can never reach another's. Dev deployments log what would have been emailed rather than pretending it was sent.</t>
        </is>
      </c>
      <c r="E171" s="49" t="inlineStr">
        <is>
          <t>FIXED (test-pinned)</t>
        </is>
      </c>
    </row>
    <row r="172" ht="51.75" customHeight="1" s="22">
      <c r="A172" s="27" t="inlineStr">
        <is>
          <t>F-064</t>
        </is>
      </c>
      <c r="B172" s="27" t="inlineStr">
        <is>
          <t>Medium</t>
        </is>
      </c>
      <c r="C172" s="27" t="inlineStr">
        <is>
          <t>HelpIndex was never constructed either, so /api/help returned an empty list and the Help tab — reachable since session 24, with fifteen articles written in session 2 — was empty in any real deployment.</t>
        </is>
      </c>
      <c r="D172" s="27" t="inlineStr">
        <is>
          <t>The article set is loaded at startup from content/help; a partial set warns with the count missing, an absent set warns that the tab will be empty rather than silently serving nothing. Sweep check A-16 fails a deployment whose help search returns nothing.</t>
        </is>
      </c>
      <c r="E172" s="49" t="inlineStr">
        <is>
          <t>FIXED (test-pinned)</t>
        </is>
      </c>
    </row>
    <row r="174" ht="15" customHeight="1" s="22">
      <c r="A174" s="40" t="inlineStr">
        <is>
          <t>RUNTIME WIRING AUDIT 2 — 13/09/2026 23:05 (the remaining stubs and constants)</t>
        </is>
      </c>
    </row>
    <row r="175" ht="77.25" customHeight="1" s="22">
      <c r="A175" s="27" t="inlineStr">
        <is>
          <t>F-065</t>
        </is>
      </c>
      <c r="B175" s="27" t="inlineStr">
        <is>
          <t>High</t>
        </is>
      </c>
      <c r="C175" s="27" t="inlineStr">
        <is>
          <t>Notification addresses were synthesised as &lt;objectId&gt;@&lt;our own base domain&gt;. Every email would have gone to an invented address at OUR domain rather than to the person it names — either bouncing, or worse, landing somewhere real that has nothing to do with the recipient. The SSO token carries preferred_username and the validator was checking it and throwing it away.</t>
        </is>
      </c>
      <c r="D175" s="27" t="inlineStr">
        <is>
          <t>The verifier returns the username the token vouches for; the server records it per tenant in an address book as a side effect of authentication, and notifications look up the real address. An unknown recipient is reported as "no address" rather than emailed at a guess. Addresses are tenant-scoped, so one tenant can never resolve another's people.</t>
        </is>
      </c>
      <c r="E175" s="49" t="inlineStr">
        <is>
          <t>FIXED (test-pinned)</t>
        </is>
      </c>
    </row>
    <row r="176" ht="64.5" customHeight="1" s="22">
      <c r="A176" s="27" t="inlineStr">
        <is>
          <t>F-066</t>
        </is>
      </c>
      <c r="B176" s="27" t="inlineStr">
        <is>
          <t>High</t>
        </is>
      </c>
      <c r="C176" s="27" t="inlineStr">
        <is>
          <t>The Graph directory could never be enabled: graphDirectoryFrom was always called without a fetcher or token, so it returned null whatever the configuration said. After F-062 made the fallback least-privilege, that meant NO deployment could ever have an admin — correct-by-default and unusable in practice.</t>
        </is>
      </c>
      <c r="D176" s="27" t="inlineStr">
        <is>
          <t>graphRuntime supplies both halves: an app-only token for the tenant, cached until shortly before expiry, and a fetch that carries it. Token failures are explicit (GRAPH_TOKEN_401, GRAPH_TOKEN_MALFORMED) rather than silently leaving everyone a member.</t>
        </is>
      </c>
      <c r="E176" s="49" t="inlineStr">
        <is>
          <t>FIXED (test-pinned)</t>
        </is>
      </c>
    </row>
    <row r="177" ht="39" customHeight="1" s="22">
      <c r="A177" s="27" t="inlineStr">
        <is>
          <t>F-067</t>
        </is>
      </c>
      <c r="B177" s="27" t="inlineStr">
        <is>
          <t>Medium</t>
        </is>
      </c>
      <c r="C177" s="27" t="inlineStr">
        <is>
          <t>markKnown was added in session 26 so a restart would not recount returning tenants as new installs, and nothing ever called it — the S11 activation denominator would have inflated on every deploy.</t>
        </is>
      </c>
      <c r="D177" s="27" t="inlineStr">
        <is>
          <t>The store is read at boot to seed the known-tenant set; listAll added to both repository implementations to support it. Proven: two tenants already in the store are not counted, a genuinely new one is.</t>
        </is>
      </c>
      <c r="E177" s="49" t="inlineStr">
        <is>
          <t>FIXED (test-pinned)</t>
        </is>
      </c>
    </row>
    <row r="179" ht="15" customHeight="1" s="22">
      <c r="A179" s="40" t="inlineStr">
        <is>
          <t>RUNTIME WIRING AUDIT 3 — 13/09/2026 23:14 (starting with my own last-session fix)</t>
        </is>
      </c>
    </row>
    <row r="180" ht="64.90000000000001" customHeight="1" s="22">
      <c r="A180" s="27" t="inlineStr">
        <is>
          <t>F-068</t>
        </is>
      </c>
      <c r="B180" s="27" t="inlineStr">
        <is>
          <t>High</t>
        </is>
      </c>
      <c r="C180" s="27" t="inlineStr">
        <is>
          <t>The install-count seeding wired LAST SESSION computed the set of existing tenants, logged the number, and never told the observer — the observer is constructed inside makeServer and was never reachable from the entry point. F-067 was reported fixed and was not: exactly the pattern I had spent that session documenting, committed while documenting it.</t>
        </is>
      </c>
      <c r="D180" s="27" t="inlineStr">
        <is>
          <t>makeServer returns a seed function that calls the observer it owns; the entry point awaits it and logs the real count. Proven by seeding two stored tenants and confirming neither is counted as a new install.</t>
        </is>
      </c>
      <c r="E180" s="49" t="inlineStr">
        <is>
          <t>FIXED (test-pinned)</t>
        </is>
      </c>
    </row>
    <row r="181" ht="52.2" customHeight="1" s="22">
      <c r="A181" s="27" t="inlineStr">
        <is>
          <t>F-069</t>
        </is>
      </c>
      <c r="B181" s="27" t="inlineStr">
        <is>
          <t>High</t>
        </is>
      </c>
      <c r="C181" s="27" t="inlineStr">
        <is>
          <t>Nothing ever populated the role directory. Even with the Graph runtime supplied by F-066, no code called setInstaller or warm, so the installer was never owner and team owners were never admins — the directory could be built, and stayed empty.</t>
        </is>
      </c>
      <c r="D181" s="27" t="inlineStr">
        <is>
          <t>The install hook now registers the installer and the team and warms the membership cache, logging whether it loaded. A personal-scope install (no team) is handled, and a Graph outage is reported rather than leaving a silently empty directory.</t>
        </is>
      </c>
      <c r="E181" s="49" t="inlineStr">
        <is>
          <t>FIXED (test-pinned)</t>
        </is>
      </c>
    </row>
    <row r="182" ht="39.55" customHeight="1" s="22">
      <c r="A182" s="27" t="inlineStr">
        <is>
          <t>F-070</t>
        </is>
      </c>
      <c r="B182" s="27" t="inlineStr">
        <is>
          <t>Medium</t>
        </is>
      </c>
      <c r="C182" s="27" t="inlineStr">
        <is>
          <t>Every error was tagged with the release "dev", hardcoded as a default parameter. ST-072 error tracking by release, and the runbook rollback signal that depends on it, could not have distinguished one build from another.</t>
        </is>
      </c>
      <c r="D182" s="27" t="inlineStr">
        <is>
          <t>The release comes from configuration (SHIFTDESK_RELEASE, defaulting to "unversioned"), is reported in the startup banner, and is named in the runbook and setup guide as a step before a launch.</t>
        </is>
      </c>
      <c r="E182" s="49" t="inlineStr">
        <is>
          <t>FIXED (test-pinned)</t>
        </is>
      </c>
    </row>
    <row r="183" ht="39.55" customHeight="1" s="22">
      <c r="A183" s="27" t="inlineStr">
        <is>
          <t>OBS-SD11</t>
        </is>
      </c>
      <c r="B183" s="27" t="inlineStr">
        <is>
          <t>Obs</t>
        </is>
      </c>
      <c r="C183" s="27" t="inlineStr">
        <is>
          <t>Found while fixing the above: the encrypted repository did not forward listAll, so an encrypted deployment would have silently lost boot-time seeding — the same class again, one decorator down.</t>
        </is>
      </c>
      <c r="D183" s="27" t="inlineStr">
        <is>
          <t>listAll is now part of the repository contract rather than optional, so a decorator cannot omit it, and the encrypted store decrypts on the way out.</t>
        </is>
      </c>
      <c r="E183" s="49" t="inlineStr">
        <is>
          <t>FIXED</t>
        </is>
      </c>
    </row>
    <row r="184">
      <c r="A184" s="45" t="inlineStr">
        <is>
          <t>INDEPENDENT REVIEW V001 — 16/09/2026, actioned in full 20/09/2026 (session 41, codebase v0.14.0). Verdicts as received: market demand "Partly real", enterprise grade "No — not yet", build verification PASS, 3 CRITICAL / 6 HIGH new defects, ~266 pts to enterprise grade, financial model "Does not break even". Severity below is the reviewer's, not ours. "Closed in code" means implemented AND pinned by a named test; "live-gated" means the code half is done and the rest needs a tenant, staging or a vendor; "Senthil" means procurement or a human decision that no code closes.</t>
        </is>
      </c>
    </row>
    <row r="185">
      <c r="A185" s="28" t="inlineStr">
        <is>
          <t>P-001</t>
        </is>
      </c>
      <c r="B185" s="28" t="inlineStr">
        <is>
          <t>CRITICAL</t>
        </is>
      </c>
      <c r="C185" s="28" t="inlineStr">
        <is>
          <t>No production token verifier for tab SSO; only a dev bypass</t>
        </is>
      </c>
      <c r="D185" s="28" t="inlineStr">
        <is>
          <t>Closed in code (SD201/SD203) — JWKS-backed RS256 against Entra OpenID metadata, kid selection, rotation, alg=none/HS256/tampered/expired all rejected; dev bypass refuses to start outside SHIFTDESK_ENV=dev | Evidence: src/entraVerifier.ts, src/jwks.ts, src/jwt.ts, tests/trustBoundaries.test.ts, tests/serve.test.ts</t>
        </is>
      </c>
      <c r="E185" s="28" t="inlineStr">
        <is>
          <t>CLOSED IN CODE (test-pinned)</t>
        </is>
      </c>
    </row>
    <row r="186">
      <c r="A186" s="28" t="inlineStr">
        <is>
          <t>P-002</t>
        </is>
      </c>
      <c r="B186" s="28" t="inlineStr">
        <is>
          <t>CRITICAL</t>
        </is>
      </c>
      <c r="C186" s="28" t="inlineStr">
        <is>
          <t>Inbound bot auth is verify: () =&gt; false in production — the bot is inert</t>
        </is>
      </c>
      <c r="D186" s="28" t="inlineStr">
        <is>
          <t>Closed in code (SD202) — Connector JWT verified: issuer, audience = bot app id, serviceUrl binding, RS256 signature, clock skew; host allowlist retained as defence in depth | Evidence: src/connectorAuth.ts, tests/trustBoundaries.test.ts</t>
        </is>
      </c>
      <c r="E186" s="28" t="inlineStr">
        <is>
          <t>CLOSED IN CODE (test-pinned)</t>
        </is>
      </c>
    </row>
    <row r="187">
      <c r="A187" s="28" t="inlineStr">
        <is>
          <t>P-003</t>
        </is>
      </c>
      <c r="B187" s="28" t="inlineStr">
        <is>
          <t>CRITICAL</t>
        </is>
      </c>
      <c r="C187" s="28" t="inlineStr">
        <is>
          <t>DATABASE_URL honoured nowhere; the shipped server is always in-memory</t>
        </is>
      </c>
      <c r="D187" s="28" t="inlineStr">
        <is>
          <t>Closed in code (SD208/SD209/SD210) — pg moved to dependencies, pool constructed in the entry point, migrations run on boot under an advisory lock, banner reports durable:true, and repositoryFor throws if a URL is set with no client | Evidence: src/pgClient.ts, src/migrations.ts, src/bootstrap.ts, integration tier</t>
        </is>
      </c>
      <c r="E187" s="28" t="inlineStr">
        <is>
          <t>CLOSED IN CODE (test-pinned)</t>
        </is>
      </c>
    </row>
    <row r="188">
      <c r="A188" s="28" t="inlineStr">
        <is>
          <t>P-004</t>
        </is>
      </c>
      <c r="B188" s="28" t="inlineStr">
        <is>
          <t>High</t>
        </is>
      </c>
      <c r="C188" s="28" t="inlineStr">
        <is>
          <t>Retention/deletion operate on a different store and registry than the server</t>
        </is>
      </c>
      <c r="D188" s="28" t="inlineStr">
        <is>
          <t>Closed in code (SD213) — one repository, one registry, one persister (sharedStateFor); lifecycleFor(shared) is the only signature, so a fresh pair cannot be constructed by accident | Evidence: src/bootstrap.ts, tests/governance.test.ts, integration tier</t>
        </is>
      </c>
      <c r="E188" s="28" t="inlineStr">
        <is>
          <t>CLOSED IN CODE (test-pinned)</t>
        </is>
      </c>
    </row>
    <row r="189">
      <c r="A189" s="28" t="inlineStr">
        <is>
          <t>P-005</t>
        </is>
      </c>
      <c r="B189" s="28" t="inlineStr">
        <is>
          <t>High</t>
        </is>
      </c>
      <c r="C189" s="28" t="inlineStr">
        <is>
          <t>PostgresRepository.list() returns NaN versions</t>
        </is>
      </c>
      <c r="D189" s="28" t="inlineStr">
        <is>
          <t>Closed in code (SD212) — version selected in every read path, decoded in one place; a guarded write from a listed row is proven against real Postgres | Evidence: src/repository.ts, integration tier</t>
        </is>
      </c>
      <c r="E189" s="28" t="inlineStr">
        <is>
          <t>CLOSED IN CODE (test-pinned)</t>
        </is>
      </c>
    </row>
    <row r="190">
      <c r="A190" s="28" t="inlineStr">
        <is>
          <t>P-006</t>
        </is>
      </c>
      <c r="B190" s="28" t="inlineStr">
        <is>
          <t>High</t>
        </is>
      </c>
      <c r="C190" s="28" t="inlineStr">
        <is>
          <t>Whole-module snapshots: one writer per tenant per module, O(n) write amplification</t>
        </is>
      </c>
      <c r="D190" s="28" t="inlineStr">
        <is>
          <t>Closed in code (SD216/SD217, closes OBS-SD9) — per-record persistence, config separated from records, windowed hydration, node-scoped ids, incremental cross-instance refresh; two instances creating different handovers both succeed on a real store | Evidence: src/persistence.ts, src/moduleBase.ts, integration tier</t>
        </is>
      </c>
      <c r="E190" s="28" t="inlineStr">
        <is>
          <t>CLOSED IN CODE (test-pinned)</t>
        </is>
      </c>
    </row>
    <row r="191">
      <c r="A191" s="28" t="inlineStr">
        <is>
          <t>P-007</t>
        </is>
      </c>
      <c r="B191" s="28" t="inlineStr">
        <is>
          <t>High</t>
        </is>
      </c>
      <c r="C191" s="28" t="inlineStr">
        <is>
          <t>No request-size cap, no rate limiting, no per-tenant quotas</t>
        </is>
      </c>
      <c r="D191" s="28" t="inlineStr">
        <is>
          <t>Closed in code (SD205) — 256 KB body cap returning 413 (the stream stops early, it does not buffer), per-IP token bucket before parsing, per-tenant bucket after identity, both with Retry-After | Evidence: src/requestGuard.ts, tests/requestHardening.test.ts</t>
        </is>
      </c>
      <c r="E191" s="28" t="inlineStr">
        <is>
          <t>CLOSED IN CODE (test-pinned)</t>
        </is>
      </c>
    </row>
    <row r="192">
      <c r="A192" s="28" t="inlineStr">
        <is>
          <t>P-008</t>
        </is>
      </c>
      <c r="B192" s="28" t="inlineStr">
        <is>
          <t>Medium</t>
        </is>
      </c>
      <c r="C192" s="28" t="inlineStr">
        <is>
          <t>No security headers; no CSP frame-ancestors for Teams</t>
        </is>
      </c>
      <c r="D192" s="28" t="inlineStr">
        <is>
          <t>Closed in code (SD206) — tab CSP with Teams frame-ancestors and the TeamsJS origin, API CSP frame-ancestors 'none' + X-Frame-Options, HSTS, nosniff, Referrer-Policy, Permissions-Policy on every surface including the last-resort 500 | Evidence: src/securityHeaders.ts, tests/requestHardening.test.ts</t>
        </is>
      </c>
      <c r="E192" s="28" t="inlineStr">
        <is>
          <t>CLOSED IN CODE (test-pinned)</t>
        </is>
      </c>
    </row>
    <row r="193">
      <c r="A193" s="28" t="inlineStr">
        <is>
          <t>P-009</t>
        </is>
      </c>
      <c r="B193" s="28" t="inlineStr">
        <is>
          <t>High</t>
        </is>
      </c>
      <c r="C193" s="28" t="inlineStr">
        <is>
          <t>Text-only bot; no Adaptive Cards, no proactive messaging</t>
        </is>
      </c>
      <c r="D193" s="28" t="inlineStr">
        <is>
          <t>Closed in code (SD222/SD223) — cards for handover/acknowledge/approval/checklist with Action.Execute, invoke handling with an invoke response, conversation references stored per tenant, proactive channel + personal nudges with 403-uninstalled handling and retry | Evidence: src/adaptiveCards.ts, src/proactive.ts, tests/teamsNative.test.ts</t>
        </is>
      </c>
      <c r="E193" s="28" t="inlineStr">
        <is>
          <t>CLOSED IN CODE (test-pinned)</t>
        </is>
      </c>
    </row>
    <row r="194">
      <c r="A194" s="28" t="inlineStr">
        <is>
          <t>P-010</t>
        </is>
      </c>
      <c r="B194" s="28" t="inlineStr">
        <is>
          <t>Medium</t>
        </is>
      </c>
      <c r="C194" s="28" t="inlineStr">
        <is>
          <t>All tabs personal-scope; no shared channel surface</t>
        </is>
      </c>
      <c r="D194" s="28" t="inlineStr">
        <is>
          <t>Closed in code (SD224) — configurable team/groupChat tab with a real configuration page bound to the team id; manifest and build assert the page exists | Evidence: teams-app/manifest.json, web/config.tsx, src/teamsClient.ts, tests/teamsNative.test.ts</t>
        </is>
      </c>
      <c r="E194" s="28" t="inlineStr">
        <is>
          <t>CLOSED IN CODE (test-pinned)</t>
        </is>
      </c>
    </row>
    <row r="195">
      <c r="A195" s="28" t="inlineStr">
        <is>
          <t>P-011</t>
        </is>
      </c>
      <c r="B195" s="28" t="inlineStr">
        <is>
          <t>Medium</t>
        </is>
      </c>
      <c r="C195" s="28" t="inlineStr">
        <is>
          <t>commandLists advertises 3 commands; the router implements 6</t>
        </is>
      </c>
      <c r="D195" s="28" t="inlineStr">
        <is>
          <t>Closed in code (SD225) — one BOT_COMMANDS list; a parity test asserts manifest == router in both directions and that every advertised command actually answers | Evidence: src/botRouter.ts, tests/manifest.test.ts</t>
        </is>
      </c>
      <c r="E195" s="28" t="inlineStr">
        <is>
          <t>CLOSED IN CODE (test-pinned)</t>
        </is>
      </c>
    </row>
    <row r="196">
      <c r="A196" s="28" t="inlineStr">
        <is>
          <t>P-012</t>
        </is>
      </c>
      <c r="B196" s="28" t="inlineStr">
        <is>
          <t>Medium</t>
        </is>
      </c>
      <c r="C196" s="28" t="inlineStr">
        <is>
          <t>No internationalisation of any kind</t>
        </is>
      </c>
      <c r="D196" s="28" t="inlineStr">
        <is>
          <t>Closed in code (SD227) — message catalogue with en-GB + es-ES, locale from the Teams context, manifest localizationInfo + the localisation file in the package, a test bans hard-coded sentences, and a missing key is a build error | Evidence: src/i18n.ts, teams-app/es-ES.json (localisation), tests/teamsNative.test.ts</t>
        </is>
      </c>
      <c r="E196" s="28" t="inlineStr">
        <is>
          <t>CLOSED IN CODE (test-pinned)</t>
        </is>
      </c>
    </row>
    <row r="197">
      <c r="A197" s="28" t="inlineStr">
        <is>
          <t>P-013</t>
        </is>
      </c>
      <c r="B197" s="28" t="inlineStr">
        <is>
          <t>Medium</t>
        </is>
      </c>
      <c r="C197" s="28" t="inlineStr">
        <is>
          <t>No data-residency story, no subprocessor list, no DPA</t>
        </is>
      </c>
      <c r="D197" s="28" t="inlineStr">
        <is>
          <t>Closed in code + published (SD229/SD230) — region declared at boot and the store host asserted against it; subprocessor register, retention schedule and residency table generated from code; DPA template drafted (legal review outstanding, stated as such) | Evidence: src/residency.ts, content/legal/*, tests/governance.test.ts</t>
        </is>
      </c>
      <c r="E197" s="28" t="inlineStr">
        <is>
          <t>CLOSED IN CODE (test-pinned)</t>
        </is>
      </c>
    </row>
    <row r="198">
      <c r="A198" s="28" t="inlineStr">
        <is>
          <t>P-014</t>
        </is>
      </c>
      <c r="B198" s="28" t="inlineStr">
        <is>
          <t>Medium</t>
        </is>
      </c>
      <c r="C198" s="28" t="inlineStr">
        <is>
          <t>Encryption key is a plain env var; rotation would brick rows</t>
        </is>
      </c>
      <c r="D198" s="28" t="inlineStr">
        <is>
          <t>Closed in code (SD221/SD232) — enc:v2:&lt;keyId&gt;: envelope with a key ring, read-through for previous keys, re-encrypt sweep, KMS-backed custody, and production refuses a plain-env key | Evidence: src/encryptedRepository.ts, src/keySource.ts, tests/governance.test.ts, integration tier</t>
        </is>
      </c>
      <c r="E198" s="28" t="inlineStr">
        <is>
          <t>CLOSED IN CODE (test-pinned)</t>
        </is>
      </c>
    </row>
    <row r="199">
      <c r="A199" s="28" t="inlineStr">
        <is>
          <t>P-015</t>
        </is>
      </c>
      <c r="B199" s="28" t="inlineStr">
        <is>
          <t>Medium</t>
        </is>
      </c>
      <c r="C199" s="28" t="inlineStr">
        <is>
          <t>Email addresses held in an in-process book that empties on restart</t>
        </is>
      </c>
      <c r="D199" s="28" t="inlineStr">
        <is>
          <t>Closed in code (SD223) — durable address book, written through on change only, warmed at boot; a store outage never breaks authentication; UPN shape validated before use | Evidence: src/addressBook.ts, src/emailSender.ts, tests/teamsNative.test.ts</t>
        </is>
      </c>
      <c r="E199" s="28" t="inlineStr">
        <is>
          <t>CLOSED IN CODE (test-pinned)</t>
        </is>
      </c>
    </row>
    <row r="200">
      <c r="A200" s="28" t="inlineStr">
        <is>
          <t>P-016</t>
        </is>
      </c>
      <c r="B200" s="28" t="inlineStr">
        <is>
          <t>Low</t>
        </is>
      </c>
      <c r="C200" s="28" t="inlineStr">
        <is>
          <t>Version/evidence drift: README v006, package 0.13.0, manifest 0.8.0, workbook v045</t>
        </is>
      </c>
      <c r="D200" s="28" t="inlineStr">
        <is>
          <t>Closed — one version across package.json, the manifest and the README; README regenerated against the real module and test counts; a test asserts they agree | Evidence: package.json, teams-app/manifest.json, README.md, tests/reviewPack.test.ts</t>
        </is>
      </c>
      <c r="E200" s="28" t="inlineStr">
        <is>
          <t>CLOSED</t>
        </is>
      </c>
    </row>
    <row r="201">
      <c r="A201" s="28" t="inlineStr">
        <is>
          <t>P-017</t>
        </is>
      </c>
      <c r="B201" s="28" t="inlineStr">
        <is>
          <t>Process</t>
        </is>
      </c>
      <c r="C201" s="28" t="inlineStr">
        <is>
          <t>The single 100%-coverage gate produces risk, not safety</t>
        </is>
      </c>
      <c r="D201" s="28" t="inlineStr">
        <is>
          <t>Ratified as D-SD7 and implemented — three tiers: unit 100% on domain, a real-dependency integration tier, and a production-seam wiring assertion that also runs at boot (REFUSING_TO_SERVE on a non-dev seam outside dev). Mutation testing on money/auth modules remains the open half of this recommendation | Evidence: jest.config.js, jest.integration.config.js, .github/workflows/ci.yml, scripts/serve.ts, tests/serve.test.ts</t>
        </is>
      </c>
      <c r="E201" s="28" t="inlineStr">
        <is>
          <t>RATIFIED AS D-SD7 — IMPLEMENTED</t>
        </is>
      </c>
    </row>
    <row r="202">
      <c r="A202" s="28" t="inlineStr">
        <is>
          <t>P-018</t>
        </is>
      </c>
      <c r="B202" s="28" t="inlineStr">
        <is>
          <t>Commercial</t>
        </is>
      </c>
      <c r="C202" s="28" t="inlineStr">
        <is>
          <t>Model never breaks even; ARPU contradicts the pilot motion</t>
        </is>
      </c>
      <c r="D202" s="28" t="inlineStr">
        <is>
          <t>Addressed in the workbook (SD246) — Financial_Model gains cash-in, runway and a stated funding requirement, plus a per-site pricing scenario; the reviewer's ~$575k figure is reproduced rather than argued with | Evidence: product workbook v046 Financial_Model</t>
        </is>
      </c>
      <c r="E202" s="28" t="inlineStr">
        <is>
          <t>CLOSED IN WORKBOOK</t>
        </is>
      </c>
    </row>
    <row r="203">
      <c r="A203" s="28" t="inlineStr">
        <is>
          <t>P-019</t>
        </is>
      </c>
      <c r="B203" s="28" t="inlineStr">
        <is>
          <t>High</t>
        </is>
      </c>
      <c r="C203" s="28" t="inlineStr">
        <is>
          <t>No Marketplace SaaS Fulfillment implementation</t>
        </is>
      </c>
      <c r="D203" s="28" t="inlineStr">
        <is>
          <t>Closed in code (SD239) — landing-page token resolution bound to the signed-in tenant, activate, idempotent webhooks for all six actions with operation acknowledgement, seat reconciliation raising drift; offer configuration in Partner Center remains Senthil's | Evidence: src/fulfillment.ts, tests/commercial.test.ts</t>
        </is>
      </c>
      <c r="E203" s="28" t="inlineStr">
        <is>
          <t>CLOSED IN CODE (test-pinned)</t>
        </is>
      </c>
    </row>
    <row r="204">
      <c r="A204" s="28" t="inlineStr">
        <is>
          <t>P-020</t>
        </is>
      </c>
      <c r="B204" s="28" t="inlineStr">
        <is>
          <t>Medium</t>
        </is>
      </c>
      <c r="C204" s="28" t="inlineStr">
        <is>
          <t>Backup/restore is prose; deploy steps are echo placeholders</t>
        </is>
      </c>
      <c r="D204" s="28" t="inlineStr">
        <is>
          <t>Closed in code (SD215/SD243) — executable drill asserting RPO ≤ 15 min and RTO ≤ 60 min, run in CI with its report uploaded; .github/workflows/deploy.yml replaced with real provider commands, migrations before the swap, automated green smoke, and rollback as its own job | Evidence: ops/backup-restore-drill.sh, .github/workflows/*, ops/backup-drill-report.json</t>
        </is>
      </c>
      <c r="E204" s="28" t="inlineStr">
        <is>
          <t>CLOSED IN CODE (test-pinned)</t>
        </is>
      </c>
    </row>
    <row r="205">
      <c r="A205" s="28" t="inlineStr">
        <is>
          <t>D-01</t>
        </is>
      </c>
      <c r="B205" s="28" t="inlineStr">
        <is>
          <t>High</t>
        </is>
      </c>
      <c r="C205" s="28" t="inlineStr">
        <is>
          <t>Financial model never produces a breakeven month</t>
        </is>
      </c>
      <c r="D205" s="28" t="inlineStr">
        <is>
          <t>Addressed in the workbook (SD246) — see P-018 | Evidence: product workbook v046</t>
        </is>
      </c>
      <c r="E205" s="28" t="inlineStr">
        <is>
          <t>CLOSED IN WORKBOOK</t>
        </is>
      </c>
    </row>
    <row r="206">
      <c r="A206" s="28" t="inlineStr">
        <is>
          <t>D-02</t>
        </is>
      </c>
      <c r="B206" s="28" t="inlineStr">
        <is>
          <t>High</t>
        </is>
      </c>
      <c r="C206" s="28" t="inlineStr">
        <is>
          <t>ARPU $400 implies ~200 seats per "pilot"</t>
        </is>
      </c>
      <c r="D206" s="28" t="inlineStr">
        <is>
          <t>Addressed in the workbook (SD246) — per-site pricing modelled beside per-seat | Evidence: product workbook v046</t>
        </is>
      </c>
      <c r="E206" s="28" t="inlineStr">
        <is>
          <t>CLOSED IN WORKBOOK</t>
        </is>
      </c>
    </row>
    <row r="207">
      <c r="A207" s="28" t="inlineStr">
        <is>
          <t>D-03</t>
        </is>
      </c>
      <c r="B207" s="28" t="inlineStr">
        <is>
          <t>Medium</t>
        </is>
      </c>
      <c r="C207" s="28" t="inlineStr">
        <is>
          <t>Metrics targets are unfalsifiable multiples of an unknown baseline</t>
        </is>
      </c>
      <c r="D207" s="28" t="inlineStr">
        <is>
          <t>Addressed in the workbook — Metrics_Targets restated with absolute values and a named measurement source per row | Evidence: product workbook v046</t>
        </is>
      </c>
      <c r="E207" s="28" t="inlineStr">
        <is>
          <t>CLOSED IN WORKBOOK</t>
        </is>
      </c>
    </row>
    <row r="208">
      <c r="A208" s="28" t="inlineStr">
        <is>
          <t>D-04</t>
        </is>
      </c>
      <c r="B208" s="28" t="inlineStr">
        <is>
          <t>High</t>
        </is>
      </c>
      <c r="C208" s="28" t="inlineStr">
        <is>
          <t>Risk register understates the free first-party overlap</t>
        </is>
      </c>
      <c r="D208" s="28" t="inlineStr">
        <is>
          <t>Addressed in the workbook — R-S2 rewritten to name Approvals and Planner task publishing explicitly, with the wedge as the mitigation | Evidence: product workbook v046 Risk_Register, RAID</t>
        </is>
      </c>
      <c r="E208" s="28" t="inlineStr">
        <is>
          <t>CLOSED IN WORKBOOK</t>
        </is>
      </c>
    </row>
    <row r="209">
      <c r="A209" s="28" t="inlineStr">
        <is>
          <t>D-05</t>
        </is>
      </c>
      <c r="B209" s="28" t="inlineStr">
        <is>
          <t>Medium</t>
        </is>
      </c>
      <c r="C209" s="28" t="inlineStr">
        <is>
          <t>Non-functional requirements have no owner, cost or date</t>
        </is>
      </c>
      <c r="D209" s="28" t="inlineStr">
        <is>
          <t>Closed in code + workbook (SD242) — 99.5% becomes a 216-minute monthly error budget with eleven alert rules, each naming the finding it exists for; SOC 2 cost and window stated honestly | Evidence: src/slo.ts, ops/soc2-readiness-map.md</t>
        </is>
      </c>
      <c r="E209" s="28" t="inlineStr">
        <is>
          <t>CLOSED IN CODE (test-pinned)</t>
        </is>
      </c>
    </row>
    <row r="210">
      <c r="A210" s="28" t="inlineStr">
        <is>
          <t>D-06</t>
        </is>
      </c>
      <c r="B210" s="28" t="inlineStr">
        <is>
          <t>Low</t>
        </is>
      </c>
      <c r="C210" s="28" t="inlineStr">
        <is>
          <t>README stale by ~40 modules and 300 tests</t>
        </is>
      </c>
      <c r="D210" s="28" t="inlineStr">
        <is>
          <t>Closed — see P-016 | Evidence: README.md</t>
        </is>
      </c>
      <c r="E210" s="28" t="inlineStr">
        <is>
          <t>CLOSED</t>
        </is>
      </c>
    </row>
    <row r="211">
      <c r="A211" s="28" t="inlineStr">
        <is>
          <t>D-07</t>
        </is>
      </c>
      <c r="B211" s="28" t="inlineStr">
        <is>
          <t>Critical</t>
        </is>
      </c>
      <c r="C211" s="28" t="inlineStr">
        <is>
          <t>Trust page claims depend on P-003; publishing it would misrepresent</t>
        </is>
      </c>
      <c r="D211" s="28" t="inlineStr">
        <is>
          <t>Closed (R1 honoured) — the page is not published; it now states the durability and key-custody configuration precisely and carries a publication gate note. The claims it makes are the ones the code makes | Evidence: content/security-trust-page.md, tests/reviewPack.test.ts</t>
        </is>
      </c>
      <c r="E211" s="28" t="inlineStr">
        <is>
          <t>CLOSED</t>
        </is>
      </c>
    </row>
    <row r="212">
      <c r="A212" s="28" t="inlineStr">
        <is>
          <t>D-08</t>
        </is>
      </c>
      <c r="B212" s="28" t="inlineStr">
        <is>
          <t>High</t>
        </is>
      </c>
      <c r="C212" s="28" t="inlineStr">
        <is>
          <t>Launch checklist has no line for SaaS Fulfillment</t>
        </is>
      </c>
      <c r="D212" s="28" t="inlineStr">
        <is>
          <t>Closed — Launch_Checklist #11 added for the transactable offer and fulfillment webhook, gated on SD239/SD240 | Evidence: product workbook v046</t>
        </is>
      </c>
      <c r="E212" s="28" t="inlineStr">
        <is>
          <t>CLOSED</t>
        </is>
      </c>
    </row>
    <row r="213">
      <c r="A213" s="45" t="inlineStr">
        <is>
          <t>OWN GOALS FROM THIS SESSION — defects Claude introduced or exposed while remediating the review, recorded rather than quietly fixed (the discipline R-S10/R-S21 exists for).</t>
        </is>
      </c>
    </row>
    <row r="214">
      <c r="A214" s="28" t="inlineStr">
        <is>
          <t>F-071</t>
        </is>
      </c>
      <c r="B214" s="28" t="inlineStr">
        <is>
          <t>High</t>
        </is>
      </c>
      <c r="C214" s="28" t="inlineStr">
        <is>
          <t>The pg driver parses JSONB columns (oid 3802) into JavaScript objects, while PostgresRepository has parsed the column as text since session 15. Every read from a real database would have thrown or silently produced wrong data — invisible for five sessions because the only store under test was a fake SQL client that returned strings (OBS-SD4).</t>
        </is>
      </c>
      <c r="D214" s="28" t="inlineStr">
        <is>
          <t>defaultPoolFactory sets a type parser returning the raw text for oid 3802, so one code path serves both implementations. Found within the hour of the real-Postgres tier existing, which is the argument for D-SD7 tier 2 in a single sentence.</t>
        </is>
      </c>
      <c r="E214" s="28" t="inlineStr">
        <is>
          <t>FIXED (integration-pinned)</t>
        </is>
      </c>
    </row>
    <row r="215">
      <c r="A215" s="28" t="inlineStr">
        <is>
          <t>F-072</t>
        </is>
      </c>
      <c r="B215" s="28" t="inlineStr">
        <is>
          <t>Medium</t>
        </is>
      </c>
      <c r="C215" s="28" t="inlineStr">
        <is>
          <t>Two user-facing strings (the bot help text and the welcome message) were computed as constants at module import, so setLocale() could never change them: the i18n work of SD227 was inert for exactly the two strings a new user sees first.</t>
        </is>
      </c>
      <c r="D215" s="28" t="inlineStr">
        <is>
          <t>Both became functions evaluated at call time; the botTransport suite asserts the welcome message follows the locale. Found by writing the locale test rather than by reading the code.</t>
        </is>
      </c>
      <c r="E215" s="28" t="inlineStr">
        <is>
          <t>FIXED (test-pinned)</t>
        </is>
      </c>
    </row>
    <row r="216">
      <c r="A216" s="28" t="inlineStr">
        <is>
          <t>F-073</t>
        </is>
      </c>
      <c r="B216" s="28" t="inlineStr">
        <is>
          <t>High</t>
        </is>
      </c>
      <c r="C216" s="28" t="inlineStr">
        <is>
          <t>npm run build copied only web/config.html into the build directory and never the tab page or the demo page. The page the manifest tab URLs point at therefore existed only on a machine where someone had copied it by hand once: a clean checkout builds the bundles and serves 404 at /tab/. Five suites assert against the built tree and passed regardless, because the CI unit job ran jest without ever running build — the F-058 class again, one layer down, hidden by a gate that was testing a tree no deployment would have.</t>
        </is>
      </c>
      <c r="D216" s="28" t="inlineStr">
        <is>
          <t>The build script copies all three pages; both workflows build before testing; tests/reviewPack.test.ts asserts the build script names every page it must emit and that every jest job builds first.</t>
        </is>
      </c>
      <c r="E216" s="28" t="inlineStr">
        <is>
          <t>FIXED (test-pinned)</t>
        </is>
      </c>
    </row>
    <row r="217">
      <c r="A217" s="28" t="inlineStr">
        <is>
          <t>F-074</t>
        </is>
      </c>
      <c r="B217" s="28" t="inlineStr">
        <is>
          <t>Medium</t>
        </is>
      </c>
      <c r="C217" s="28" t="inlineStr">
        <is>
          <t>The tier-3 production-seam job in the CI workflow, and the same step in the deploy workflow, named a test file that has never existed under that name. jest exited with "no tests found", so the wiring gate that decision D-SD7 rests on was decorative — it had never run.</t>
        </is>
      </c>
      <c r="D217" s="28" t="inlineStr">
        <is>
          <t>Both workflows now name the four suites that exist, and a new assertion fails if any test path referenced in any workflow is missing. Found by rerunning the full suite on a cleaned tree at release time rather than by reading the workflow.</t>
        </is>
      </c>
      <c r="E217" s="28" t="inlineStr">
        <is>
          <t>FIXED (test-pinned)</t>
        </is>
      </c>
    </row>
    <row r="218">
      <c r="A218" s="45" t="inlineStr">
        <is>
          <t>OPEN AFTER THIS SESSION — stated plainly rather than closed by assertion. Mutation testing on the money and auth modules is the open half of P-017/D-SD7. The eleven D-SD8 stories (SD219, SD220, SD226, SD228, SD234, SD235, SD237, SD238, SD240, SD244, SD247) are live- or human-gated and keep their points in the rollup. The DPA template has not had legal review. No claim in content/security-trust-page.md is published: the page stays gated per review finding D-07.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21" min="1" max="1"/>
    <col width="72" customWidth="1" style="21" min="2" max="2"/>
    <col width="16" customWidth="1" style="21" min="3" max="3"/>
    <col width="12" customWidth="1" style="21" min="4" max="4"/>
  </cols>
  <sheetData>
    <row r="1" ht="17.25" customHeight="1" s="22">
      <c r="A1" s="23" t="inlineStr">
        <is>
          <t>GTM EXECUTION TASKS</t>
        </is>
      </c>
    </row>
    <row r="3" ht="15" customHeight="1" s="22">
      <c r="A3" s="24" t="inlineStr">
        <is>
          <t>Phase</t>
        </is>
      </c>
      <c r="B3" s="24" t="inlineStr">
        <is>
          <t>Task</t>
        </is>
      </c>
      <c r="C3" s="24" t="inlineStr">
        <is>
          <t>Owner (role)</t>
        </is>
      </c>
      <c r="D3" s="24" t="inlineStr">
        <is>
          <t>Target sprint</t>
        </is>
      </c>
    </row>
    <row r="4" ht="25.5" customHeight="1" s="22">
      <c r="A4" s="25" t="inlineStr">
        <is>
          <t>Pre-launch</t>
        </is>
      </c>
      <c r="B4" s="25" t="inlineStr">
        <is>
          <t>Positioning doc + message house (problem/promise/proof)</t>
        </is>
      </c>
      <c r="C4" s="25" t="inlineStr">
        <is>
          <t>Founder</t>
        </is>
      </c>
      <c r="D4" s="25" t="inlineStr">
        <is>
          <t>S7</t>
        </is>
      </c>
    </row>
    <row r="5" ht="25.5" customHeight="1" s="22">
      <c r="A5" s="25" t="inlineStr">
        <is>
          <t>Pre-launch</t>
        </is>
      </c>
      <c r="B5" s="25" t="inlineStr">
        <is>
          <t>Listing SEO: keyword study in marketplace search + title/intro drafts</t>
        </is>
      </c>
      <c r="C5" s="25" t="inlineStr">
        <is>
          <t>Growth</t>
        </is>
      </c>
      <c r="D5" s="25" t="inlineStr">
        <is>
          <t>S8</t>
        </is>
      </c>
    </row>
    <row r="6" ht="25.5" customHeight="1" s="22">
      <c r="A6" s="25" t="inlineStr">
        <is>
          <t>Pre-launch</t>
        </is>
      </c>
      <c r="B6" s="25" t="inlineStr">
        <is>
          <t>10 design-partner mini case snippets with metric proof</t>
        </is>
      </c>
      <c r="C6" s="25" t="inlineStr">
        <is>
          <t>Founder</t>
        </is>
      </c>
      <c r="D6" s="25" t="inlineStr">
        <is>
          <t>S8</t>
        </is>
      </c>
    </row>
    <row r="7" ht="25.5" customHeight="1" s="22">
      <c r="A7" s="25" t="inlineStr">
        <is>
          <t>Pre-launch</t>
        </is>
      </c>
      <c r="B7" s="25" t="inlineStr">
        <is>
          <t>5 comparison/alternative pages drafted</t>
        </is>
      </c>
      <c r="C7" s="25" t="inlineStr">
        <is>
          <t>Growth</t>
        </is>
      </c>
      <c r="D7" s="25" t="inlineStr">
        <is>
          <t>S9</t>
        </is>
      </c>
    </row>
    <row r="8" ht="25.5" customHeight="1" s="22">
      <c r="A8" s="25" t="inlineStr">
        <is>
          <t>Pre-launch</t>
        </is>
      </c>
      <c r="B8" s="25" t="inlineStr">
        <is>
          <t>Screenshots (5) + 2-min demo video produced</t>
        </is>
      </c>
      <c r="C8" s="25" t="inlineStr">
        <is>
          <t>Design</t>
        </is>
      </c>
      <c r="D8" s="25" t="inlineStr">
        <is>
          <t>S9</t>
        </is>
      </c>
    </row>
    <row r="9" ht="25.5" customHeight="1" s="22">
      <c r="A9" s="25" t="inlineStr">
        <is>
          <t>Launch</t>
        </is>
      </c>
      <c r="B9" s="25" t="inlineStr">
        <is>
          <t>Listing live + launch post + video published</t>
        </is>
      </c>
      <c r="C9" s="25" t="inlineStr">
        <is>
          <t>Growth</t>
        </is>
      </c>
      <c r="D9" s="25" t="inlineStr">
        <is>
          <t>S11</t>
        </is>
      </c>
    </row>
    <row r="10" ht="25.5" customHeight="1" s="22">
      <c r="A10" s="25" t="inlineStr">
        <is>
          <t>Launch</t>
        </is>
      </c>
      <c r="B10" s="25" t="inlineStr">
        <is>
          <t>Founder outreach: 100 named ICP accounts, 3-touch sequence</t>
        </is>
      </c>
      <c r="C10" s="25" t="inlineStr">
        <is>
          <t>Founder</t>
        </is>
      </c>
      <c r="D10" s="25" t="inlineStr">
        <is>
          <t>S11</t>
        </is>
      </c>
    </row>
    <row r="11" ht="25.5" customHeight="1" s="22">
      <c r="A11" s="25" t="inlineStr">
        <is>
          <t>Launch</t>
        </is>
      </c>
      <c r="B11" s="25" t="inlineStr">
        <is>
          <t>Community value-posts (3 relevant communities)</t>
        </is>
      </c>
      <c r="C11" s="25" t="inlineStr">
        <is>
          <t>Founder</t>
        </is>
      </c>
      <c r="D11" s="25" t="inlineStr">
        <is>
          <t>S11</t>
        </is>
      </c>
    </row>
    <row r="12" ht="25.5" customHeight="1" s="22">
      <c r="A12" s="25" t="inlineStr">
        <is>
          <t>Launch</t>
        </is>
      </c>
      <c r="B12" s="25" t="inlineStr">
        <is>
          <t>Review-generation program on (in-app ask post-aha)</t>
        </is>
      </c>
      <c r="C12" s="25" t="inlineStr">
        <is>
          <t>Eng</t>
        </is>
      </c>
      <c r="D12" s="25" t="inlineStr">
        <is>
          <t>S11</t>
        </is>
      </c>
    </row>
    <row r="13" ht="25.5" customHeight="1" s="22">
      <c r="A13" s="25" t="inlineStr">
        <is>
          <t>Post-launch</t>
        </is>
      </c>
      <c r="B13" s="25" t="inlineStr">
        <is>
          <t>Weekly SEO/how-to content cadence starts</t>
        </is>
      </c>
      <c r="C13" s="25" t="inlineStr">
        <is>
          <t>Growth</t>
        </is>
      </c>
      <c r="D13" s="25" t="inlineStr">
        <is>
          <t>S12</t>
        </is>
      </c>
    </row>
    <row r="14" ht="25.5" customHeight="1" s="22">
      <c r="A14" s="25" t="inlineStr">
        <is>
          <t>Post-launch</t>
        </is>
      </c>
      <c r="B14" s="25" t="inlineStr">
        <is>
          <t>Marketplace paid placement pilot (where offered)</t>
        </is>
      </c>
      <c r="C14" s="25" t="inlineStr">
        <is>
          <t>Growth</t>
        </is>
      </c>
      <c r="D14" s="25" t="inlineStr">
        <is>
          <t>S12</t>
        </is>
      </c>
    </row>
    <row r="15" ht="25.5" customHeight="1" s="22">
      <c r="A15" s="25" t="inlineStr">
        <is>
          <t>Post-launch</t>
        </is>
      </c>
      <c r="B15" s="25" t="inlineStr">
        <is>
          <t>2 integration co-marketing swaps</t>
        </is>
      </c>
      <c r="C15" s="25" t="inlineStr">
        <is>
          <t>Founder</t>
        </is>
      </c>
      <c r="D15" s="25" t="inlineStr">
        <is>
          <t>S12+</t>
        </is>
      </c>
    </row>
    <row r="16" ht="25.5" customHeight="1" s="22">
      <c r="A16" s="25" t="inlineStr">
        <is>
          <t>Post-launch</t>
        </is>
      </c>
      <c r="B16" s="25" t="inlineStr">
        <is>
          <t>G2/Capterra profiles + first 10 reviews</t>
        </is>
      </c>
      <c r="C16" s="25" t="inlineStr">
        <is>
          <t>Growth</t>
        </is>
      </c>
      <c r="D16" s="25" t="inlineStr">
        <is>
          <t>S12+</t>
        </is>
      </c>
    </row>
    <row r="17">
      <c r="A17" s="28" t="inlineStr">
        <is>
          <t>Pre-launch</t>
        </is>
      </c>
      <c r="B17" s="28" t="inlineStr">
        <is>
          <t>Rewrite listing copy, one-pager and comparison pages explicitly against free Approvals and Planner, on the auditable-evidence wedge (review D-04)</t>
        </is>
      </c>
      <c r="C17" s="28" t="inlineStr">
        <is>
          <t>Founder</t>
        </is>
      </c>
      <c r="D17" s="28" t="inlineStr">
        <is>
          <t>S20 / SD245</t>
        </is>
      </c>
    </row>
    <row r="18">
      <c r="A18" s="28" t="inlineStr">
        <is>
          <t>Pre-launch</t>
        </is>
      </c>
      <c r="B18" s="28" t="inlineStr">
        <is>
          <t>15 discovery interviews in regulated frontline sectors; synthesis on how handover evidence is produced today and what audit failure costs</t>
        </is>
      </c>
      <c r="C18" s="28" t="inlineStr">
        <is>
          <t>Founder</t>
        </is>
      </c>
      <c r="D18" s="28" t="inlineStr">
        <is>
          <t>S20 / SD244</t>
        </is>
      </c>
    </row>
    <row r="19">
      <c r="A19" s="28" t="inlineStr">
        <is>
          <t>Pre-launch</t>
        </is>
      </c>
      <c r="B19" s="28" t="inlineStr">
        <is>
          <t>Per-site pricing page and order-form template for pilots</t>
        </is>
      </c>
      <c r="C19" s="28" t="inlineStr">
        <is>
          <t>Founder</t>
        </is>
      </c>
      <c r="D19" s="28" t="inlineStr">
        <is>
          <t>S20 / SD246</t>
        </is>
      </c>
    </row>
    <row r="20">
      <c r="A20" s="28" t="inlineStr">
        <is>
          <t>Launch</t>
        </is>
      </c>
      <c r="B20" s="28" t="inlineStr">
        <is>
          <t>Transactable offer live with private-offer path tested on a pilot customer</t>
        </is>
      </c>
      <c r="C20" s="28" t="inlineStr">
        <is>
          <t>Founder</t>
        </is>
      </c>
      <c r="D20" s="28" t="inlineStr">
        <is>
          <t>S19 / SD240</t>
        </is>
      </c>
    </row>
    <row r="21">
      <c r="A21" s="28" t="inlineStr">
        <is>
          <t>Post-launch</t>
        </is>
      </c>
      <c r="B21" s="28" t="inlineStr">
        <is>
          <t>Evidence-led case snippet per pilot: the audit question the customer can now answer</t>
        </is>
      </c>
      <c r="C21" s="28" t="inlineStr">
        <is>
          <t>Founder</t>
        </is>
      </c>
      <c r="D21" s="28" t="inlineStr">
        <is>
          <t>S20+ / SD247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21" min="1" max="1"/>
    <col width="96" customWidth="1" style="21" min="2" max="2"/>
    <col width="52" customWidth="1" style="21" min="3" max="3"/>
  </cols>
  <sheetData>
    <row r="1" ht="17.25" customHeight="1" s="22">
      <c r="A1" s="23" t="inlineStr">
        <is>
          <t>PLATFORM LAUNCH CHECKLIST — Microsoft Teams App Store / AppSource</t>
        </is>
      </c>
    </row>
    <row r="3" ht="15" customHeight="1" s="22">
      <c r="A3" s="24" t="inlineStr">
        <is>
          <t>#</t>
        </is>
      </c>
      <c r="B3" s="24" t="inlineStr">
        <is>
          <t>Item</t>
        </is>
      </c>
      <c r="C3" s="24" t="inlineStr">
        <is>
          <t>Status</t>
        </is>
      </c>
    </row>
    <row r="4" ht="25.5" customHeight="1" s="22">
      <c r="A4" s="25" t="n">
        <v>1</v>
      </c>
      <c r="B4" s="25" t="inlineStr">
        <is>
          <t>Partner Center enrollment + publisher verification complete</t>
        </is>
      </c>
      <c r="C4" s="52" t="inlineStr">
        <is>
          <t>Open — Senthil (Partner Center account)</t>
        </is>
      </c>
    </row>
    <row r="5" ht="25.5" customHeight="1" s="22">
      <c r="A5" s="25" t="n">
        <v>2</v>
      </c>
      <c r="B5" s="25" t="inlineStr">
        <is>
          <t>Teams store validation guidelines self-check (manifest, SSO, bot responsiveness)</t>
        </is>
      </c>
      <c r="C5" s="53" t="inlineStr">
        <is>
          <t>Manifest v1.19 sideload-ready with a configurable channel tab, 8 commands and localizationInfo; manifest-vs-code and command parity asserted in CI. Live tenant validation pending (SD226).</t>
        </is>
      </c>
    </row>
    <row r="6" ht="25.5" customHeight="1" s="22">
      <c r="A6" s="25" t="n">
        <v>3</v>
      </c>
      <c r="B6" s="25" t="inlineStr">
        <is>
          <t>Microsoft 365 App Compliance: Publisher Attestation submitted (Certification roadmap noted)</t>
        </is>
      </c>
      <c r="C6" s="54" t="inlineStr">
        <is>
          <t>Evidence pack assembled and each control bound to an existing evidence path by test (SD236); SOC 2 readiness mapped (SD237). Submission itself open — Senthil (SD235).</t>
        </is>
      </c>
    </row>
    <row r="7" ht="25.5" customHeight="1" s="22">
      <c r="A7" s="25" t="n">
        <v>4</v>
      </c>
      <c r="B7" s="25" t="inlineStr">
        <is>
          <t>Entra ID SSO + admin consent flow tested in 2 tenants</t>
        </is>
      </c>
      <c r="C7" s="54" t="inlineStr">
        <is>
          <t>Blocked — needs 2 live tenants (SD228). Scope map pinned to its consumer files by test, so the consent screen cannot exceed the documented ask.</t>
        </is>
      </c>
    </row>
    <row r="8" ht="25.5" customHeight="1" s="22">
      <c r="A8" s="25" t="n">
        <v>5</v>
      </c>
      <c r="B8" s="25" t="inlineStr">
        <is>
          <t>Graph API permissions minimal + documented</t>
        </is>
      </c>
      <c r="C8" s="55" t="inlineStr">
        <is>
          <t>REOPENED then corrected (VER-SD04): doc claimed org-wide Graph scopes; now RSC-scoped and test-pinned — live consent screen still to be verified at install</t>
        </is>
      </c>
    </row>
    <row r="9" ht="25.5" customHeight="1" s="22">
      <c r="A9" s="25" t="n">
        <v>6</v>
      </c>
      <c r="B9" s="25" t="inlineStr">
        <is>
          <t>AppSource transactable offer configured (3% fee, private offers enabled)</t>
        </is>
      </c>
      <c r="C9" s="52" t="inlineStr">
        <is>
          <t>Open — Senthil (transactable offer in Partner Center)</t>
        </is>
      </c>
    </row>
    <row r="10" ht="25.5" customHeight="1" s="22">
      <c r="A10" s="25" t="n">
        <v>7</v>
      </c>
      <c r="B10" s="25" t="inlineStr">
        <is>
          <t>Accessibility (WCAG AA) pass on tab surfaces</t>
        </is>
      </c>
      <c r="C10" s="53" t="inlineStr">
        <is>
          <t>Automated pass (jest-axe, 9 screens) plus a per-screen manual script (ops/accessibility-audit-script.md). Keyboard-only and screen-reader pass open — Senthil (SD238).</t>
        </is>
      </c>
    </row>
    <row r="11" ht="25.5" customHeight="1" s="22">
      <c r="A11" s="25" t="n">
        <v>8</v>
      </c>
      <c r="B11" s="25" t="inlineStr">
        <is>
          <t>Load test: bot p95 response &lt;2s at 100 concurrent</t>
        </is>
      </c>
      <c r="C11" s="53" t="inlineStr">
        <is>
          <t>Harness scripted with the pass bar (k6 5x, p95 thresholds) and p95 instrumentation now real; per-record persistence removed the blocker that made the gate unpassable (SD216). Run needs staging — SD219/SD220.</t>
        </is>
      </c>
    </row>
    <row r="12" ht="25.5" customHeight="1" s="22">
      <c r="A12" s="25" t="n">
        <v>9</v>
      </c>
      <c r="B12" s="25" t="inlineStr">
        <is>
          <t>Admin deployment guide + tenant-wide rollout doc</t>
        </is>
      </c>
      <c r="C12" s="55" t="inlineStr">
        <is>
          <t>Drafted — content/admin-deployment-guide.md</t>
        </is>
      </c>
    </row>
    <row r="13" ht="25.5" customHeight="1" s="22">
      <c r="A13" s="25" t="n">
        <v>10</v>
      </c>
      <c r="B13" s="25" t="inlineStr">
        <is>
          <t>Co-sell ready checklist (solution one-pager, bill of materials)</t>
        </is>
      </c>
      <c r="C13" s="55" t="inlineStr">
        <is>
          <t>Drafted — content/positioning-onepager.md</t>
        </is>
      </c>
    </row>
    <row r="14">
      <c r="A14" t="n">
        <v>11</v>
      </c>
      <c r="B14" s="28" t="inlineStr">
        <is>
          <t>Marketplace SaaS Fulfillment API v2 implemented and enforced end to end: landing-page token resolution, activate, idempotent webhooks for all subscription actions, seat reconciliation with drift alert</t>
        </is>
      </c>
      <c r="C14" s="28" t="inlineStr">
        <is>
          <t>Code-complete pending live (SD239) — built against the documented contract with idempotency on activityId and both Entra and shared-secret webhook authentication. A real transaction needs the transactable offer at #6. Added per review finding D-08, which noted the checklist had no line for this at all.</t>
        </is>
      </c>
    </row>
    <row r="15">
      <c r="A15" t="n">
        <v>12</v>
      </c>
      <c r="B15" s="28" t="inlineStr">
        <is>
          <t>Data residency, DPA, subprocessor register and retention schedule published and bound to code</t>
        </is>
      </c>
      <c r="C15" s="28" t="inlineStr">
        <is>
          <t>Done (SD229/SD230) — region asserted against the store host at boot; the four documents in content/legal/ are generated from src/residency.ts and a test fails if a published document and the enforced policy disagree. DPA template has not had legal review — stated, not implied.</t>
        </is>
      </c>
    </row>
    <row r="16">
      <c r="A16" t="n">
        <v>13</v>
      </c>
      <c r="B16" s="28" t="inlineStr">
        <is>
          <t>Durability proven: restart, two-instance and backup/restore drills green against real Postgres</t>
        </is>
      </c>
      <c r="C16" s="28" t="inlineStr">
        <is>
          <t>Done (SD211/SD214/SD215) — 9/9 integration tests against Postgres 16 and a drill report at RPO 0s / RTO 0s against a 15 min / 60 min bar. Repeat on staging once it exists.</t>
        </is>
      </c>
    </row>
    <row r="17">
      <c r="A17" t="n">
        <v>14</v>
      </c>
      <c r="B17" s="28" t="inlineStr">
        <is>
          <t>Security trust page published</t>
        </is>
      </c>
      <c r="C17" s="28" t="inlineStr">
        <is>
          <t>DELIBERATELY NOT DONE (review finding D-07) — content/security-trust-page.md is gated and marked NOT PUBLISHED. Its claims now match what the code does, and it goes live only when a deployment actually runs durably with KMS custody.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2026-09-05T18:37:46Z</dcterms:created>
  <dcterms:modified xmlns:dcterms="http://purl.org/dc/terms/" xmlns:xsi="http://www.w3.org/2001/XMLSchema-instance" xsi:type="dcterms:W3CDTF">2026-09-20T16:00:40Z</dcterms:modified>
  <cp:revision>0</cp:revision>
</cp:coreProperties>
</file>