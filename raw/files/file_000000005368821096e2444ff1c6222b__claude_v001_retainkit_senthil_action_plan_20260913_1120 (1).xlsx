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_Sheet" sheetId="1" state="visible" r:id="rId3"/>
    <sheet name="Executive_Summary" sheetId="2" state="visible" r:id="rId4"/>
    <sheet name="Version_Control" sheetId="3" state="visible" r:id="rId5"/>
    <sheet name="How_To_Use" sheetId="4" state="visible" r:id="rId6"/>
    <sheet name="Action_Plan_Master" sheetId="5" state="visible" r:id="rId7"/>
    <sheet name="Step_By_Step_Live_Path" sheetId="6" state="visible" r:id="rId8"/>
    <sheet name="Decisions_Required" sheetId="7" state="visible" r:id="rId9"/>
    <sheet name="Findings_Disposition" sheetId="8" state="visible" r:id="rId10"/>
    <sheet name="Portfolio_Actions" sheetId="9" state="visible" r:id="rId11"/>
    <sheet name="RACI" sheetId="10" state="visible" r:id="rId12"/>
    <sheet name="Risk_Register" sheetId="11" state="visible" r:id="rId13"/>
    <sheet name="What_Claude_Does_Next" sheetId="12" state="visible" r:id="rId14"/>
    <sheet name="Glossary"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<sst xmlns="http://schemas.openxmlformats.org/spreadsheetml/2006/main" count="881" uniqueCount="689">
  <si>
    <t xml:space="preserve">RETAINKIT — SENTHIL ACTION PLAN</t>
  </si>
  <si>
    <t xml:space="preserve">Everything that needs a person, in the order it should be done</t>
  </si>
  <si>
    <t xml:space="preserve">Document title</t>
  </si>
  <si>
    <t xml:space="preserve">RetainKit (Shopify App Store, P01) — Senthil Action Plan and Live-Path Runbook</t>
  </si>
  <si>
    <t xml:space="preserve">Document reference</t>
  </si>
  <si>
    <t xml:space="preserve">claude_v001_retainkit_senthil_action_plan_20260913_1120.xlsx</t>
  </si>
  <si>
    <t xml:space="preserve">Version</t>
  </si>
  <si>
    <t xml:space="preserve">v001</t>
  </si>
  <si>
    <t xml:space="preserve">Status</t>
  </si>
  <si>
    <t xml:space="preserve">Released for action</t>
  </si>
  <si>
    <t xml:space="preserve">Date issued</t>
  </si>
  <si>
    <t xml:space="preserve">13 September 2026, 11:20</t>
  </si>
  <si>
    <t xml:space="preserve">Prepared by</t>
  </si>
  <si>
    <t xml:space="preserve">Claude, for Senthil (KP)</t>
  </si>
  <si>
    <t xml:space="preserve">Owner / accountable</t>
  </si>
  <si>
    <t xml:space="preserve">Senthil (KP)</t>
  </si>
  <si>
    <t xml:space="preserve">Product</t>
  </si>
  <si>
    <t xml:space="preserve">RetainKit — Shopify App Store retention suite (reviews, points, win-back)</t>
  </si>
  <si>
    <t xml:space="preserve">Build state at issue</t>
  </si>
  <si>
    <t xml:space="preserve">Code phase complete. 94/100 stories done-in-code (372/399 pts). 19 test suites, 469 tests, 100% statements/branches/functions/lines, zero coverage pragmas.</t>
  </si>
  <si>
    <t xml:space="preserve">Purpose</t>
  </si>
  <si>
    <t xml:space="preserve">Every remaining item on RetainKit is blocked on a person, not on code. This document sets out each of those items in execution order, with the exact steps, the evidence to keep, and what happens next once it is done.</t>
  </si>
  <si>
    <t xml:space="preserve">Scope</t>
  </si>
  <si>
    <t xml:space="preserve">RetainKit live path and dispositions, plus the portfolio-level decisions raised by the defect pattern register of the same date.</t>
  </si>
  <si>
    <t xml:space="preserve">Out of scope</t>
  </si>
  <si>
    <t xml:space="preserve">Further RetainKit feature development. The sandbox-buildable backlog is empty.</t>
  </si>
  <si>
    <t xml:space="preserve">Related documents</t>
  </si>
  <si>
    <t xml:space="preserve">claude_v019_retainkit_shopify_product_workbook_20260913_1109.xlsx; claude_v010_retainkit_sprint_tracker_traceability_20260913_1109.xlsx; claude_v001_portfolio_defect_pattern_register_20260913_1114.xlsx; retainkit_code_tests_s1_to_s12_v019.zip (SETUP.md, REVIEW_PACK.md inside)</t>
  </si>
  <si>
    <t xml:space="preserve">Distribution</t>
  </si>
  <si>
    <t xml:space="preserve">Senthil (KP). Not for external circulation — contains unreleased product detail.</t>
  </si>
  <si>
    <t xml:space="preserve">Confidentiality</t>
  </si>
  <si>
    <t xml:space="preserve">Internal</t>
  </si>
  <si>
    <t xml:space="preserve">Review cycle</t>
  </si>
  <si>
    <t xml:space="preserve">Reissued whenever a material action completes or a decision is taken.</t>
  </si>
  <si>
    <t xml:space="preserve">EXECUTIVE SUMMARY</t>
  </si>
  <si>
    <t xml:space="preserve">RetainKit is code complete. 94 of 100 stories are done-in-code (372 of 399 points) across 19 test suites and 469 tests at 100% statements, branches, functions and lines, with zero coverage pragmas. Every one of the six remaining stories, and every remaining gate item, is blocked on a person rather than on code. The counts below are live formulas over Action_Plan_Master.</t>
  </si>
  <si>
    <t xml:space="preserve">PROGRESS</t>
  </si>
  <si>
    <t xml:space="preserve">WHERE THE TIME GOES</t>
  </si>
  <si>
    <t xml:space="preserve">Total actions</t>
  </si>
  <si>
    <t xml:space="preserve">Your hands-on effort, total</t>
  </si>
  <si>
    <t xml:space="preserve">roughly 9 to 11 hours, spread over several sessions</t>
  </si>
  <si>
    <t xml:space="preserve">Not started</t>
  </si>
  <si>
    <t xml:space="preserve">Longest single wait</t>
  </si>
  <si>
    <t xml:space="preserve">protected customer data approval (ACT-01) — unknown, assume weeks</t>
  </si>
  <si>
    <t xml:space="preserve">In progress</t>
  </si>
  <si>
    <t xml:space="preserve">Second longest</t>
  </si>
  <si>
    <t xml:space="preserve">penetration test (ACT-14) — 2 to 6 weeks</t>
  </si>
  <si>
    <t xml:space="preserve">Blocked</t>
  </si>
  <si>
    <t xml:space="preserve">Hard physical wait</t>
  </si>
  <si>
    <t xml:space="preserve">shop/redact fires 48 hours after a real uninstall. Nothing shortens it.</t>
  </si>
  <si>
    <t xml:space="preserve">Done</t>
  </si>
  <si>
    <t xml:space="preserve">Shortest path to first proof</t>
  </si>
  <si>
    <t xml:space="preserve">ACT-02 to ACT-09 in one sitting — about 2 hours to a green sweep</t>
  </si>
  <si>
    <t xml:space="preserve">% complete</t>
  </si>
  <si>
    <t xml:space="preserve">What is NOT on the list</t>
  </si>
  <si>
    <t xml:space="preserve">Any further RetainKit coding. The sandbox-buildable backlog is empty.</t>
  </si>
  <si>
    <t xml:space="preserve">Critical-path actions</t>
  </si>
  <si>
    <t xml:space="preserve">Critical-path done</t>
  </si>
  <si>
    <t xml:space="preserve">THE THREE THINGS THAT MATTER MOST</t>
  </si>
  <si>
    <t xml:space="preserve">1</t>
  </si>
  <si>
    <t xml:space="preserve">Submit the protected customer data request today (ACT-01).</t>
  </si>
  <si>
    <t xml:space="preserve">It is a 30-minute form with an unknown approval queue, and until it is approved the app cannot read customer email or name on any store that is not a development store. Everything else can be done while it waits. Doing it last would make it the thing that delays launch.</t>
  </si>
  <si>
    <t xml:space="preserve">2</t>
  </si>
  <si>
    <t xml:space="preserve">Get to a green sweep in one sitting (ACT-02 to ACT-09).</t>
  </si>
  <si>
    <t xml:space="preserve">About two hours end to end. It converts eight stories from code-complete to proven and produces the first real evidence artefact. Until an install has actually happened, every claim about this product is a claim about a test suite.</t>
  </si>
  <si>
    <t xml:space="preserve">3</t>
  </si>
  <si>
    <t xml:space="preserve">Send REVIEW_PACK.md to someone who did not build this (ACT-13).</t>
  </si>
  <si>
    <t xml:space="preserve">The only review of this codebase so far was performed by the thing that wrote it. That found roughly 30 defects, which should raise rather than lower your confidence that an independent pair of eyes will find more.</t>
  </si>
  <si>
    <t xml:space="preserve">VERSION CONTROL</t>
  </si>
  <si>
    <t xml:space="preserve">File naming convention: claude_v&lt;NNN&gt;_&lt;name&gt;_YYYYMMDD_HHMI.xlsx. Timestamps are supplied by Senthil. A new version is issued at every material change; superseded versions are retained, not overwritten.</t>
  </si>
  <si>
    <t xml:space="preserve">Date / time</t>
  </si>
  <si>
    <t xml:space="preserve">Author</t>
  </si>
  <si>
    <t xml:space="preserve">Change description</t>
  </si>
  <si>
    <t xml:space="preserve">2026-09-13 11:20</t>
  </si>
  <si>
    <t xml:space="preserve">Claude for Senthil/KP</t>
  </si>
  <si>
    <t xml:space="preserve">Initial issue. Complete action plan covering the RetainKit live path, decisions required, finding dispositions, and the portfolio actions raised by the defect pattern register issued at 11:14.</t>
  </si>
  <si>
    <t xml:space="preserve">Released</t>
  </si>
  <si>
    <t xml:space="preserve">v002</t>
  </si>
  <si>
    <t xml:space="preserve">PLANNED — reissued once the first actions complete or decisions are taken.</t>
  </si>
  <si>
    <t xml:space="preserve">Planned</t>
  </si>
  <si>
    <t xml:space="preserve">HOW TO USE THIS WORKBOOK</t>
  </si>
  <si>
    <t xml:space="preserve">The short version</t>
  </si>
  <si>
    <t xml:space="preserve">Work down Action_Plan_Master in Seq order. It is sorted so that the longest-lead-time items start first, not so that the easiest ones do.</t>
  </si>
  <si>
    <t xml:space="preserve">Cells you edit</t>
  </si>
  <si>
    <t xml:space="preserve">Every YELLOW cell is yours to fill in: Status, Completed date, and Notes / evidence location. Nothing else in this workbook needs editing. White cells are content; editing them will break the summary counts on Executive_Summary.</t>
  </si>
  <si>
    <t xml:space="preserve">Status values</t>
  </si>
  <si>
    <t xml:space="preserve">Use the dropdown: Not started / In progress / Blocked / Done / N/A. Executive_Summary counts these live, so the dashboard is correct as soon as you save.</t>
  </si>
  <si>
    <t xml:space="preserve">Evidence</t>
  </si>
  <si>
    <t xml:space="preserve">Every action names the evidence it should produce. Put the file somewhere durable and record the location in the Notes column. Evidence is what makes a gate defensible later; a remembered success is not evidence.</t>
  </si>
  <si>
    <t xml:space="preserve">Sheet guide</t>
  </si>
  <si>
    <t xml:space="preserve">  Executive_Summary</t>
  </si>
  <si>
    <t xml:space="preserve">Live dashboard: what is blocked, what the critical path is, and where the time goes.</t>
  </si>
  <si>
    <t xml:space="preserve">  Action_Plan_Master</t>
  </si>
  <si>
    <t xml:space="preserve">The full list. One row per action, with why it matters, prerequisites, effort, and definition of done.</t>
  </si>
  <si>
    <t xml:space="preserve">  Step_By_Step_Live_Path</t>
  </si>
  <si>
    <t xml:space="preserve">Command-by-command runbook for the dev-store session. Follow it literally; it is the same sequence the scripted sweep expects.</t>
  </si>
  <si>
    <t xml:space="preserve">  Decisions_Required</t>
  </si>
  <si>
    <t xml:space="preserve">Decisions only you can take. Each has the options, my recommendation, and what it unblocks.</t>
  </si>
  <si>
    <t xml:space="preserve">  Findings_Disposition</t>
  </si>
  <si>
    <t xml:space="preserve">Open review findings needing accept / fix / defer.</t>
  </si>
  <si>
    <t xml:space="preserve">  Portfolio_Actions</t>
  </si>
  <si>
    <t xml:space="preserve">Items that span products, raised by the defect pattern register.</t>
  </si>
  <si>
    <t xml:space="preserve">  RACI</t>
  </si>
  <si>
    <t xml:space="preserve">Who is responsible, accountable, consulted and informed for each work stream.</t>
  </si>
  <si>
    <t xml:space="preserve">  Risk_Register</t>
  </si>
  <si>
    <t xml:space="preserve">What could go wrong on the live path and what to do about it.</t>
  </si>
  <si>
    <t xml:space="preserve">  What_Claude_Does_Next</t>
  </si>
  <si>
    <t xml:space="preserve">What I produce when each of your actions lands. This answers the question directly: nothing on this list needs me to wait idle.</t>
  </si>
  <si>
    <t xml:space="preserve">  Glossary</t>
  </si>
  <si>
    <t xml:space="preserve">Terms and IDs used across the RetainKit artefacts.</t>
  </si>
  <si>
    <t xml:space="preserve">Effort and lead time</t>
  </si>
  <si>
    <t xml:space="preserve">Effort is hands-on time. Lead time is elapsed waiting — an approval queue, a vendor, a review. They are different numbers and the plan is sequenced on lead time, which is why a 30-minute form is action number one.</t>
  </si>
  <si>
    <t xml:space="preserve">Estimates</t>
  </si>
  <si>
    <t xml:space="preserve">All effort and lead-time figures are my estimates based on the platform documentation, not quoted times. Treat them as planning figures and correct them as you go.</t>
  </si>
  <si>
    <t xml:space="preserve">LEGEND</t>
  </si>
  <si>
    <t xml:space="preserve">Yellow cell</t>
  </si>
  <si>
    <t xml:space="preserve">You fill this in.</t>
  </si>
  <si>
    <t xml:space="preserve">Red cell</t>
  </si>
  <si>
    <t xml:space="preserve">Critical path or blocking item.</t>
  </si>
  <si>
    <t xml:space="preserve">Green cell</t>
  </si>
  <si>
    <t xml:space="preserve">Already complete on my side — nothing for you to do.</t>
  </si>
  <si>
    <t xml:space="preserve">ACTION PLAN — every remaining RetainKit item, in execution order</t>
  </si>
  <si>
    <t xml:space="preserve">Sorted by lead time, not by ease. ACT-01 is first because it waits on someone else. Yellow columns are yours to fill in. An example row is shown at the bottom in grey — delete it or leave it, it is excluded from the counts.</t>
  </si>
  <si>
    <t xml:space="preserve">Seq</t>
  </si>
  <si>
    <t xml:space="preserve">ID</t>
  </si>
  <si>
    <t xml:space="preserve">Stream</t>
  </si>
  <si>
    <t xml:space="preserve">Action</t>
  </si>
  <si>
    <t xml:space="preserve">Why it matters / what it unblocks</t>
  </si>
  <si>
    <t xml:space="preserve">Detailed steps</t>
  </si>
  <si>
    <t xml:space="preserve">Prerequisite</t>
  </si>
  <si>
    <t xml:space="preserve">Owner</t>
  </si>
  <si>
    <t xml:space="preserve">Effort (est.)</t>
  </si>
  <si>
    <t xml:space="preserve">Lead time (est.)</t>
  </si>
  <si>
    <t xml:space="preserve">Definition of done</t>
  </si>
  <si>
    <t xml:space="preserve">Evidence to keep</t>
  </si>
  <si>
    <t xml:space="preserve">Priority</t>
  </si>
  <si>
    <t xml:space="preserve">STATUS</t>
  </si>
  <si>
    <t xml:space="preserve">Completed date</t>
  </si>
  <si>
    <t xml:space="preserve">Notes / evidence location</t>
  </si>
  <si>
    <t xml:space="preserve">ACT-01</t>
  </si>
  <si>
    <t xml:space="preserve">Platform</t>
  </si>
  <si>
    <t xml:space="preserve">Request protected customer data access (Level 1 + Level 2)</t>
  </si>
  <si>
    <t xml:space="preserve">RetainKit reads customer email and name for review requests and win-backs. Until Shopify approves this, those fields come back NULL on any non-development store and the app sends nothing — silently. It also gates the listing. It has its own questionnaire and review queue, so it is first not because it is urgent but because it is the longest wait.</t>
  </si>
  <si>
    <t xml:space="preserve">1. Partner Dashboard &gt; Apps &gt; (your app) &gt; API access requests.
2. Find "Protected customer data access" and click Request access.
3. Select Protected customer data. Reason: the app sends transactional and marketing messages to customers on the merchant's behalf and must identify the recipient.
4. Select the protected FIELDS: email and name ONLY. Do not request phone or address — nothing in RetainKit uses them and asking widens the review.
5. Complete the Data protection details section. Source the answers from SECURITY_EVIDENCE.md and the trust page (encryption at rest, HTTPS only, hash-chained audit log, 30-day deletion, compliance webhooks).
6. Save and note the submission date.</t>
  </si>
  <si>
    <t xml:space="preserve">ACT-02 (app must exist first)</t>
  </si>
  <si>
    <t xml:space="preserve">Senthil</t>
  </si>
  <si>
    <t xml:space="preserve">30 min</t>
  </si>
  <si>
    <t xml:space="preserve">Days to weeks — unknown, assume the longest item on this plan</t>
  </si>
  <si>
    <t xml:space="preserve">Request submitted and acknowledged in the Partner Dashboard.</t>
  </si>
  <si>
    <t xml:space="preserve">Screenshot of the submitted request with its date.</t>
  </si>
  <si>
    <t xml:space="preserve">CRITICAL</t>
  </si>
  <si>
    <t xml:space="preserve">ACT-02</t>
  </si>
  <si>
    <t xml:space="preserve">Create the Shopify Partners account and the app</t>
  </si>
  <si>
    <t xml:space="preserve">Everything else needs the client ID and secret. Nothing on the live path can start without this.</t>
  </si>
  <si>
    <t xml:space="preserve">1. Create a Partners account at partners.shopify.com if you do not have one.
2. Apps &gt; Create app &gt; Create app manually. Name it RetainKit.
3. Copy the Client ID and Client secret somewhere secure — the secret is shown once.
4. Leave the URLs as placeholders for now; ACT-06 sets them properly.</t>
  </si>
  <si>
    <t xml:space="preserve">None — this is the true starting point</t>
  </si>
  <si>
    <t xml:space="preserve">15 min</t>
  </si>
  <si>
    <t xml:space="preserve">None</t>
  </si>
  <si>
    <t xml:space="preserve">App exists; client ID and secret held securely.</t>
  </si>
  <si>
    <t xml:space="preserve">Note where the credentials are stored. Do not put them in this workbook.</t>
  </si>
  <si>
    <t xml:space="preserve">ACT-03</t>
  </si>
  <si>
    <t xml:space="preserve">Create a development store</t>
  </si>
  <si>
    <t xml:space="preserve">The install, the webhook triggers, the billing test and the screenshots all need a store. Development stores are free and are the only place you can read customer data before ACT-01 is approved.</t>
  </si>
  <si>
    <t xml:space="preserve">1. Partner Dashboard &gt; Stores &gt; Add store &gt; Create development store.
2. Choose "Create a store to test and build".
3. Add a handful of realistic products and place two or three test orders, then mark one delivered — the review engine keys on delivery, not checkout.</t>
  </si>
  <si>
    <t xml:space="preserve">20 min</t>
  </si>
  <si>
    <t xml:space="preserve">Store exists with at least one DELIVERED order.</t>
  </si>
  <si>
    <t xml:space="preserve">Store URL recorded in Notes.</t>
  </si>
  <si>
    <t xml:space="preserve">ACT-04</t>
  </si>
  <si>
    <t xml:space="preserve">Infrastructure</t>
  </si>
  <si>
    <t xml:space="preserve">Provision Postgres and a public HTTPS tunnel</t>
  </si>
  <si>
    <t xml:space="preserve">Shopify will only call an HTTPS URL it can reach. Postgres is optional for the first run but required before the app holds anything you care about.</t>
  </si>
  <si>
    <t xml:space="preserve">1. Tunnel: cloudflared tunnel --url http://localhost:8080, or ngrok http 8080, or the Shopify CLI's built-in tunnel. Note the HTTPS hostname.
2. Postgres: any managed instance or a local container. Note the connection string.
3. Keep the tunnel hostname stable for the session — changing it means redeploying the app config.</t>
  </si>
  <si>
    <t xml:space="preserve">A reachable HTTPS hostname and, if used, a DATABASE_URL.</t>
  </si>
  <si>
    <t xml:space="preserve">Hostname and whether Postgres was used.</t>
  </si>
  <si>
    <t xml:space="preserve">HIGH</t>
  </si>
  <si>
    <t xml:space="preserve">ACT-05</t>
  </si>
  <si>
    <t xml:space="preserve">Build</t>
  </si>
  <si>
    <t xml:space="preserve">Build and migrate</t>
  </si>
  <si>
    <t xml:space="preserve">Proves the code compiles and the schema applies before anything talks to Shopify. Cheaper to fail here than mid-install.</t>
  </si>
  <si>
    <t xml:space="preserve">1. Unzip retainkit_code_tests_s1_to_s12_v019.zip.
2. npm ci
3. npm run build          (must exit 0)
4. npm test               (19 suites, 469 tests, 100% — must exit 0)
5. npm run migrate:dry    (lists 5 migrations in order)
6. If using Postgres: npm install pg &amp;&amp; DATABASE_URL=... npm run migrate</t>
  </si>
  <si>
    <t xml:space="preserve">Build, tests and migrations all exit 0.</t>
  </si>
  <si>
    <t xml:space="preserve">Terminal output saved to a file.</t>
  </si>
  <si>
    <t xml:space="preserve">ACT-06</t>
  </si>
  <si>
    <t xml:space="preserve">Point the app config at your tunnel and deploy it</t>
  </si>
  <si>
    <t xml:space="preserve">The manifest declares the OAuth redirect, both webhook endpoints and the app proxy. Shopify uses what is deployed, not what is in the file on your disk.</t>
  </si>
  <si>
    <t xml:space="preserve">1. Edit shopify.app.toml: set application_url and the redirect_urls entry to https://&lt;your-tunnel&gt;/auth/callback.
2. Leave [webhooks] api_version and the compliance_topics block exactly as they are.
3. shopify app deploy
4. Confirm in the Partner Dashboard that the app version shows the three compliance topics.</t>
  </si>
  <si>
    <t xml:space="preserve">ACT-02, ACT-04</t>
  </si>
  <si>
    <t xml:space="preserve">Deployed app version lists customers/data_request, customers/redact and shop/redact.</t>
  </si>
  <si>
    <t xml:space="preserve">Screenshot of the deployed config showing the compliance topics.</t>
  </si>
  <si>
    <t xml:space="preserve">ACT-07</t>
  </si>
  <si>
    <t xml:space="preserve">Start the app</t>
  </si>
  <si>
    <t xml:space="preserve">Nothing downstream works until the process is up and reachable through the tunnel.</t>
  </si>
  <si>
    <t xml:space="preserve">1. export SHOPIFY_API_KEY=... SHOPIFY_API_SECRET=... APP_URL=https://&lt;tunnel&gt; PORT=8080
2. If using Postgres also export DATABASE_URL. NOTE: with DATABASE_URL set the app deliberately refuses to start unless a SQL client is wired — that guard exists so it cannot quietly write to memory against a configured database.
3. npm start
4. curl -s $APP_URL/health   (expect ok:true and apiVersion 2026-07)</t>
  </si>
  <si>
    <t xml:space="preserve">ACT-05, ACT-06</t>
  </si>
  <si>
    <t xml:space="preserve">10 min</t>
  </si>
  <si>
    <t xml:space="preserve">/health returns 200 with apiVersion 2026-07.</t>
  </si>
  <si>
    <t xml:space="preserve">curl output.</t>
  </si>
  <si>
    <t xml:space="preserve">ACT-08</t>
  </si>
  <si>
    <t xml:space="preserve">Install the app on the development store</t>
  </si>
  <si>
    <t xml:space="preserve">This is the first end-to-end proof: OAuth, HMAC verification, token storage and the welcome landing.</t>
  </si>
  <si>
    <t xml:space="preserve">1. Open https://&lt;tunnel&gt;/auth?shop=&lt;your-store&gt;.myshopify.com in a browser.
2. Approve the four permissions.
3. You should land back on the welcome state.
4. If you see invalid_state, the callback did not come from a flow this app started — that is the CSRF guard working, not a bug. Start again from /auth.</t>
  </si>
  <si>
    <t xml:space="preserve">Install completes and lands on the welcome state.</t>
  </si>
  <si>
    <t xml:space="preserve">Screenshot of the welcome state.</t>
  </si>
  <si>
    <t xml:space="preserve">ACT-09</t>
  </si>
  <si>
    <t xml:space="preserve">Verification</t>
  </si>
  <si>
    <t xml:space="preserve">Run the scripted verification sweep</t>
  </si>
  <si>
    <t xml:space="preserve">Replaces eight manual checks with one command, and catches the failure that is hardest to spot by eye: an old slot still serving traffic.</t>
  </si>
  <si>
    <t xml:space="preserve">1. APP_URL=https://&lt;tunnel&gt; SHOPIFY_API_SECRET=... SHOP=&lt;store&gt;.myshopify.com npm run sweep
2. It exits 0 on READY and non-zero on any failure.
3. Save the full output — this is the evidence artefact for gate LC-8.
4. Anything marked YOU is an operator step and is covered by ACT-10 to ACT-12.</t>
  </si>
  <si>
    <t xml:space="preserve">Sweep exits 0 with verdict READY.</t>
  </si>
  <si>
    <t xml:space="preserve">The sweep output, saved to a dated file.</t>
  </si>
  <si>
    <t xml:space="preserve">ACT-10</t>
  </si>
  <si>
    <t xml:space="preserve">Compliance</t>
  </si>
  <si>
    <t xml:space="preserve">Trigger the compliance webhooks and confirm delivery</t>
  </si>
  <si>
    <t xml:space="preserve">These three webhooks are mandatory for every public app. A missing or failing handler is an automatic review rejection. Two of them can be tested today; the third cannot.</t>
  </si>
  <si>
    <t xml:space="preserve">1. shopify app webhook trigger --topic=customers/data_request
2. shopify app webhook trigger --topic=customers/redact
3. Check your app log: expect 200 on both.
4. IMPORTANT: a CLI trigger proves your HANDLER works. It does not prove your live subscription is wired. Check Partner Dashboard &gt; your app &gt; Webhook delivery for a real delivery record.
5. shop/redact CANNOT be triggered. It fires 48 hours after a genuine uninstall. To test it: uninstall from the dev store, then check again in two days.</t>
  </si>
  <si>
    <t xml:space="preserve">20 min now + 48h wait for shop/redact</t>
  </si>
  <si>
    <t xml:space="preserve">48 hours for the third topic</t>
  </si>
  <si>
    <t xml:space="preserve">200 logged for both triggerable topics; delivery visible in the dashboard; shop/redact verified after a real uninstall.</t>
  </si>
  <si>
    <t xml:space="preserve">App log extract plus the dashboard delivery record.</t>
  </si>
  <si>
    <t xml:space="preserve">ACT-11</t>
  </si>
  <si>
    <t xml:space="preserve">Verify the storefront points proxy</t>
  </si>
  <si>
    <t xml:space="preserve">The app proxy uses a different signature scheme from the OAuth HMAC. It is the one piece of live behaviour a signed test cannot fully stand in for.</t>
  </si>
  <si>
    <t xml:space="preserve">1. In the dev store theme, add a block or page that calls /apps/retainkit/points.
2. Load it as a logged-in customer: expect a balance.
3. Load it logged out: expect loggedIn:false with a null balance, not an error.
4. Call the endpoint directly without a signature: expect 401.</t>
  </si>
  <si>
    <t xml:space="preserve">Signed request returns a balance; unsigned returns 401.</t>
  </si>
  <si>
    <t xml:space="preserve">Screenshots or curl output for all three cases.</t>
  </si>
  <si>
    <t xml:space="preserve">MEDIUM</t>
  </si>
  <si>
    <t xml:space="preserve">ACT-12</t>
  </si>
  <si>
    <t xml:space="preserve">Billing</t>
  </si>
  <si>
    <t xml:space="preserve">Run a test charge end to end</t>
  </si>
  <si>
    <t xml:space="preserve">Closes the S6 gate item that has been open since 10 September. Billing is the one area where a defect costs money and trust simultaneously.</t>
  </si>
  <si>
    <t xml:space="preserve">1. In the app, start the 14-day trial — confirm no card is requested.
2. Choose a plan. Shopify Billing returns a confirmation URL; approve it as the merchant.
3. Confirm the subscription becomes active.
4. Let the trial lapse OR force the expired state and confirm the app goes READ-ONLY: reads still work, sends stop, and the billing screen is still reachable.
5. Test an upgrade mid-cycle and check the proration figure against the pricing page.</t>
  </si>
  <si>
    <t xml:space="preserve">45 min</t>
  </si>
  <si>
    <t xml:space="preserve">A test charge completes and the read-only state is observed.</t>
  </si>
  <si>
    <t xml:space="preserve">Screenshots of the charge, the active subscription and the read-only banner.</t>
  </si>
  <si>
    <t xml:space="preserve">ACT-13</t>
  </si>
  <si>
    <t xml:space="preserve">Review</t>
  </si>
  <si>
    <t xml:space="preserve">Send REVIEW_PACK.md to an external second reviewer</t>
  </si>
  <si>
    <t xml:space="preserve">ST-097 cannot close while the only review of this codebase was done by the thing that wrote it. That is not independence, and a submission dry-run that says READY does not change it.</t>
  </si>
  <si>
    <t xml:space="preserve">1. REVIEW_PACK.md is in the repo root of the v019 zip.
2. Send it with the code to someone who did not build it.
3. It already tells them where to look first and lists every known open item, so they do not spend time rediscovering them.
4. Ask specifically for the defect class every review of this codebase has actually found: a published promise with nothing enforcing it.</t>
  </si>
  <si>
    <t xml:space="preserve">None — can start today</t>
  </si>
  <si>
    <t xml:space="preserve">20 min to send</t>
  </si>
  <si>
    <t xml:space="preserve">1 to 2 weeks for the review</t>
  </si>
  <si>
    <t xml:space="preserve">Reviewer engaged and findings received.</t>
  </si>
  <si>
    <t xml:space="preserve">The reviewer's written findings.</t>
  </si>
  <si>
    <t xml:space="preserve">ACT-14</t>
  </si>
  <si>
    <t xml:space="preserve">Security</t>
  </si>
  <si>
    <t xml:space="preserve">Engage a penetration test vendor</t>
  </si>
  <si>
    <t xml:space="preserve">ST-068 is 8 points and the largest single open story. The sandbox half (SECURITY_EVIDENCE.md) is done; the vendor half is not, and it has real lead time.</t>
  </si>
  <si>
    <t xml:space="preserve">1. Scope: a public Shopify app with OAuth, webhooks, an app proxy and a merchant admin surface.
2. Give the vendor SECURITY_EVIDENCE.md and DATA_FLOWS.md up front — it shortens scoping.
3. Ask for a report you can archive; the archived report is the evidence, not the conversation.</t>
  </si>
  <si>
    <t xml:space="preserve">ACT-07 (they need something running)</t>
  </si>
  <si>
    <t xml:space="preserve">1 hour to scope and engage</t>
  </si>
  <si>
    <t xml:space="preserve">2 to 6 weeks</t>
  </si>
  <si>
    <t xml:space="preserve">Test complete and report archived.</t>
  </si>
  <si>
    <t xml:space="preserve">The vendor report.</t>
  </si>
  <si>
    <t xml:space="preserve">ACT-15</t>
  </si>
  <si>
    <t xml:space="preserve">Accessibility</t>
  </si>
  <si>
    <t xml:space="preserve">Screen-reader and contrast pass on the live surface</t>
  </si>
  <si>
    <t xml:space="preserve">The automated structural audit passes on all six screens in both populated and empty states. It cannot judge contrast against a live admin theme, screen-reader announcement order, or whether the copy makes sense read aloud.</t>
  </si>
  <si>
    <t xml:space="preserve">1. Run the app in the Shopify admin.
2. VoiceOver (macOS) or NVDA (Windows) through each of the six primary screens.
3. Keyboard-only traversal: every control reachable, focus visible, no traps.
4. Zoom to 200% and confirm nothing is lost or cut off.
5. Check colour contrast against the real admin theme, not a mockup.</t>
  </si>
  <si>
    <t xml:space="preserve">Senthil or a vendor</t>
  </si>
  <si>
    <t xml:space="preserve">2 to 4 hours</t>
  </si>
  <si>
    <t xml:space="preserve">None if self-run</t>
  </si>
  <si>
    <t xml:space="preserve">All four manual checks passed or defects logged.</t>
  </si>
  <si>
    <t xml:space="preserve">Notes per screen, with any defects raised.</t>
  </si>
  <si>
    <t xml:space="preserve">ACT-16</t>
  </si>
  <si>
    <t xml:space="preserve">Listing</t>
  </si>
  <si>
    <t xml:space="preserve">Choose listing copy A or B</t>
  </si>
  <si>
    <t xml:space="preserve">Both variants are written and submission-shaped. Nothing is published from my side; this is a judgement call about your market.</t>
  </si>
  <si>
    <t xml:space="preserve">1. Read LISTING_COPY.md.
2. Variant A is outcome-led; variant B is problem-led.
3. My recommendation: A for the App Store listing, because browse intent rewards outcome-led copy; B for outbound and the pricing page, where the visitor already knows they have a retention problem.
4. Record the choice here.</t>
  </si>
  <si>
    <t xml:space="preserve">Variant chosen and recorded.</t>
  </si>
  <si>
    <t xml:space="preserve">The decision, in the Notes column.</t>
  </si>
  <si>
    <t xml:space="preserve">ACT-17</t>
  </si>
  <si>
    <t xml:space="preserve">Capture 5 screenshots and the 2-minute video</t>
  </si>
  <si>
    <t xml:space="preserve">The last piece of listing collateral. Demo mode exists specifically so you never have to photograph a real merchant's store.</t>
  </si>
  <si>
    <t xml:space="preserve">1. Seed demo mode into a demo- namespaced store (it refuses any other shop by design).
2. Follow the shot list and the video beat sheet in ASSET_PLAN.md.
3. CONFIRM CURRENT ASSET DIMENSIONS in the Partner Dashboard at capture time. I deliberately did not state them: they were not verified this session, and a sibling product shipped a spec from memory that was wrong by a whole format.</t>
  </si>
  <si>
    <t xml:space="preserve">ACT-08, ACT-16</t>
  </si>
  <si>
    <t xml:space="preserve">3 to 4 hours</t>
  </si>
  <si>
    <t xml:space="preserve">Five screenshots and one video meeting the current spec.</t>
  </si>
  <si>
    <t xml:space="preserve">The asset files.</t>
  </si>
  <si>
    <t xml:space="preserve">ACT-18</t>
  </si>
  <si>
    <t xml:space="preserve">Growth</t>
  </si>
  <si>
    <t xml:space="preserve">Start design-partner outreach</t>
  </si>
  <si>
    <t xml:space="preserve">Gate G-02 needs 10 PAYING installs from strangers. Reviews are a different number for a different gate, and friends do not count toward either.</t>
  </si>
  <si>
    <t xml:space="preserve">1. Ten slots are tracked in code with a stale-nudge after seven days.
2. Only paying strangers count toward G-02; the tracker reports this honestly and will not let filled slots stand in for the gate.
3. Start before the listing is live — the lead time here is relationships, not software.</t>
  </si>
  <si>
    <t xml:space="preserve">ACT-17 helps but is not required</t>
  </si>
  <si>
    <t xml:space="preserve">Ongoing</t>
  </si>
  <si>
    <t xml:space="preserve">Weeks</t>
  </si>
  <si>
    <t xml:space="preserve">10 paying installs from strangers.</t>
  </si>
  <si>
    <t xml:space="preserve">The partner tracker state.</t>
  </si>
  <si>
    <t xml:space="preserve">ACT-19</t>
  </si>
  <si>
    <t xml:space="preserve">Submission</t>
  </si>
  <si>
    <t xml:space="preserve">Submit for App Store review</t>
  </si>
  <si>
    <t xml:space="preserve">The end of the RetainKit build track. Everything above is a prerequisite.</t>
  </si>
  <si>
    <t xml:space="preserve">1. Re-run the submission dry run and confirm READY.
2. Re-run npm run sweep against the deployed app.
3. Confirm protected customer data access is APPROVED, not pending.
4. Submit.</t>
  </si>
  <si>
    <t xml:space="preserve">ACT-01 approved, ACT-09 to ACT-12, ACT-16, ACT-17</t>
  </si>
  <si>
    <t xml:space="preserve">1 hour</t>
  </si>
  <si>
    <t xml:space="preserve">1 to 4 weeks for review</t>
  </si>
  <si>
    <t xml:space="preserve">Submission accepted into the review queue.</t>
  </si>
  <si>
    <t xml:space="preserve">Submission confirmation.</t>
  </si>
  <si>
    <t xml:space="preserve">EXAMPLE</t>
  </si>
  <si>
    <t xml:space="preserve">—</t>
  </si>
  <si>
    <t xml:space="preserve">This row shows the expected format</t>
  </si>
  <si>
    <t xml:space="preserve">2026-09-14</t>
  </si>
  <si>
    <t xml:space="preserve">Sweep output saved to D:/AT/evidence/retainkit/sweep_20260914.txt</t>
  </si>
  <si>
    <t xml:space="preserve">STEP-BY-STEP — the dev-store session, in order</t>
  </si>
  <si>
    <t xml:space="preserve">Follow literally. Steps 1 to 11 are roughly two hours and end in a green sweep. Steps 12 to 16 are verification. Step 14 has a hard 48-hour wait built into the platform.</t>
  </si>
  <si>
    <t xml:space="preserve">#</t>
  </si>
  <si>
    <t xml:space="preserve">What you are doing</t>
  </si>
  <si>
    <t xml:space="preserve">Command / action</t>
  </si>
  <si>
    <t xml:space="preserve">Expected result</t>
  </si>
  <si>
    <t xml:space="preserve">Notes and gotchas</t>
  </si>
  <si>
    <t xml:space="preserve">Unpack and verify the code</t>
  </si>
  <si>
    <t xml:space="preserve">unzip retainkit_code_tests_s1_to_s12_v019.zip
cd code
npm ci</t>
  </si>
  <si>
    <t xml:space="preserve">npm ci completes with no errors</t>
  </si>
  <si>
    <t xml:space="preserve">If npm ci fails on lockfile mismatch, delete package-lock.json and run npm install.</t>
  </si>
  <si>
    <t xml:space="preserve">Prove it compiles</t>
  </si>
  <si>
    <t xml:space="preserve">npm run build</t>
  </si>
  <si>
    <t xml:space="preserve">Exits 0. dist/ appears.</t>
  </si>
  <si>
    <t xml:space="preserve">A type error here means the zip is not the v019 build.</t>
  </si>
  <si>
    <t xml:space="preserve">Prove the suite is green</t>
  </si>
  <si>
    <t xml:space="preserve">npm test</t>
  </si>
  <si>
    <t xml:space="preserve">19 suites, 469 tests, 100% on all four metrics, exit 0</t>
  </si>
  <si>
    <t xml:space="preserve">The coverage gate is set to 100%; anything less fails the command rather than warning.</t>
  </si>
  <si>
    <t xml:space="preserve">4</t>
  </si>
  <si>
    <t xml:space="preserve">Check the migration set</t>
  </si>
  <si>
    <t xml:space="preserve">npm run migrate:dry</t>
  </si>
  <si>
    <t xml:space="preserve">Lists 001 through 005 in order</t>
  </si>
  <si>
    <t xml:space="preserve">No database needed for this step.</t>
  </si>
  <si>
    <t xml:space="preserve">5</t>
  </si>
  <si>
    <t xml:space="preserve">Apply the schema (optional first time)</t>
  </si>
  <si>
    <t xml:space="preserve">npm install pg
DATABASE_URL=postgres://... npm run migrate</t>
  </si>
  <si>
    <t xml:space="preserve">Each migration prints "applied"</t>
  </si>
  <si>
    <t xml:space="preserve">Re-running is safe: applied migrations are skipped.</t>
  </si>
  <si>
    <t xml:space="preserve">6</t>
  </si>
  <si>
    <t xml:space="preserve">Open a tunnel</t>
  </si>
  <si>
    <t xml:space="preserve">cloudflared tunnel --url http://localhost:8080</t>
  </si>
  <si>
    <t xml:space="preserve">An https:// hostname is printed</t>
  </si>
  <si>
    <t xml:space="preserve">Keep this terminal open. A new hostname means redoing step 8.</t>
  </si>
  <si>
    <t xml:space="preserve">7</t>
  </si>
  <si>
    <t xml:space="preserve">Set the environment</t>
  </si>
  <si>
    <t xml:space="preserve">export SHOPIFY_API_KEY=...
export SHOPIFY_API_SECRET=...
export APP_URL=https://&lt;tunnel-host&gt;
export PORT=8080</t>
  </si>
  <si>
    <t xml:space="preserve">No output</t>
  </si>
  <si>
    <t xml:space="preserve">With DATABASE_URL set and no SQL client wired the app REFUSES to start. That guard is deliberate — it stops the app looking healthy while writing to memory.</t>
  </si>
  <si>
    <t xml:space="preserve">8</t>
  </si>
  <si>
    <t xml:space="preserve">Deploy the app config</t>
  </si>
  <si>
    <t xml:space="preserve">Edit shopify.app.toml: application_url and redirect_urls -&gt; $APP_URL/auth/callback
shopify app deploy</t>
  </si>
  <si>
    <t xml:space="preserve">A new app version is created</t>
  </si>
  <si>
    <t xml:space="preserve">Do not touch the [webhooks] block. The compliance_topics there are what make the app submittable.</t>
  </si>
  <si>
    <t xml:space="preserve">9</t>
  </si>
  <si>
    <t xml:space="preserve">npm start
curl -s $APP_URL/health</t>
  </si>
  <si>
    <t xml:space="preserve">{"ok":true,"apiVersion":"2026-07",...}</t>
  </si>
  <si>
    <t xml:space="preserve">If apiVersion is not 2026-07 you are hitting something other than this build.</t>
  </si>
  <si>
    <t xml:space="preserve">10</t>
  </si>
  <si>
    <t xml:space="preserve">Install on the dev store</t>
  </si>
  <si>
    <t xml:space="preserve">Open https://&lt;tunnel&gt;/auth?shop=&lt;store&gt;.myshopify.com</t>
  </si>
  <si>
    <t xml:space="preserve">Approve screen, then the welcome state</t>
  </si>
  <si>
    <t xml:space="preserve">invalid_state means the callback did not come from a flow this app started. Start again at /auth.</t>
  </si>
  <si>
    <t xml:space="preserve">11</t>
  </si>
  <si>
    <t xml:space="preserve">Run the sweep</t>
  </si>
  <si>
    <t xml:space="preserve">APP_URL=$APP_URL SHOPIFY_API_SECRET=$SHOPIFY_API_SECRET SHOP=&lt;store&gt;.myshopify.com npm run sweep</t>
  </si>
  <si>
    <t xml:space="preserve">VERIFICATION SWEEP — READY, exit 0</t>
  </si>
  <si>
    <t xml:space="preserve">Save the output. This is the evidence for gate LC-8. Steps marked YOU are 12 to 15 below.</t>
  </si>
  <si>
    <t xml:space="preserve">12</t>
  </si>
  <si>
    <t xml:space="preserve">Trigger the compliance webhooks</t>
  </si>
  <si>
    <t xml:space="preserve">shopify app webhook trigger --topic=customers/data_request
shopify app webhook trigger --topic=customers/redact</t>
  </si>
  <si>
    <t xml:space="preserve">200 in the app log for both</t>
  </si>
  <si>
    <t xml:space="preserve">A CLI trigger tests your handler, NOT your live subscription. Step 13 tests that.</t>
  </si>
  <si>
    <t xml:space="preserve">13</t>
  </si>
  <si>
    <t xml:space="preserve">Confirm real delivery</t>
  </si>
  <si>
    <t xml:space="preserve">Partner Dashboard &gt; your app &gt; Webhook delivery</t>
  </si>
  <si>
    <t xml:space="preserve">A delivery record with a 2xx response</t>
  </si>
  <si>
    <t xml:space="preserve">This is the step that proves Shopify can actually reach you.</t>
  </si>
  <si>
    <t xml:space="preserve">14</t>
  </si>
  <si>
    <t xml:space="preserve">Verify shop/redact</t>
  </si>
  <si>
    <t xml:space="preserve">Uninstall the app from the dev store. Wait 48 hours. Check the log.</t>
  </si>
  <si>
    <t xml:space="preserve">A shop/redact delivery, and the shop data gone</t>
  </si>
  <si>
    <t xml:space="preserve">There is no way to shorten this. Start the clock early if you want it inside the same week.</t>
  </si>
  <si>
    <t xml:space="preserve">15</t>
  </si>
  <si>
    <t xml:space="preserve">Verify the storefront proxy</t>
  </si>
  <si>
    <t xml:space="preserve">Load the theme page that calls /apps/retainkit/points, logged in and logged out. Then call the endpoint with no signature.</t>
  </si>
  <si>
    <t xml:space="preserve">Balance / null balance / 401</t>
  </si>
  <si>
    <t xml:space="preserve">The proxy signature scheme is not the OAuth HMAC scheme. If it 401s when it should not, that is where to look.</t>
  </si>
  <si>
    <t xml:space="preserve">16</t>
  </si>
  <si>
    <t xml:space="preserve">Test the billing path</t>
  </si>
  <si>
    <t xml:space="preserve">Start trial &gt; pick plan &gt; approve charge &gt; force trial expiry</t>
  </si>
  <si>
    <t xml:space="preserve">Charge completes; app goes read-only; billing screen still reachable</t>
  </si>
  <si>
    <t xml:space="preserve">Read-only must still allow reads and still allow you to fix payment. If either is blocked, that is a defect — raise it.</t>
  </si>
  <si>
    <t xml:space="preserve">DECISIONS ONLY YOU CAN TAKE</t>
  </si>
  <si>
    <t xml:space="preserve">Each row is a real fork. Four of them (DEC-04, DEC-06, DEC-07, DEC-10) currently exist as several separate open items across products — deciding once closes all of them. Record your decision and the date in the yellow columns.</t>
  </si>
  <si>
    <t xml:space="preserve">Decision</t>
  </si>
  <si>
    <t xml:space="preserve">Type</t>
  </si>
  <si>
    <t xml:space="preserve">What is at stake</t>
  </si>
  <si>
    <t xml:space="preserve">My recommendation and reasoning</t>
  </si>
  <si>
    <t xml:space="preserve">What it unblocks</t>
  </si>
  <si>
    <t xml:space="preserve">YOUR DECISION</t>
  </si>
  <si>
    <t xml:space="preserve">DEC-01</t>
  </si>
  <si>
    <t xml:space="preserve">DR-3 — Consent is never inferred on import</t>
  </si>
  <si>
    <t xml:space="preserve">Ratify / amend</t>
  </si>
  <si>
    <t xml:space="preserve">An import must carry an opted_out column, or the merchant must give a recorded attestation that every row opted in.</t>
  </si>
  <si>
    <t xml:space="preserve">RATIFY. There is no safe default: assuming opted-in mails unsubscribers, assuming opted-out silently discards a merchant's list. It also satisfies Shopify's requirement to apply opt-out decisions. Consider applying it to EngageOS and MeetSync, which both import contact data.</t>
  </si>
  <si>
    <t xml:space="preserve">Closes the largest defect found in RetainKit (F-RK01).</t>
  </si>
  <si>
    <t xml:space="preserve">Not decided</t>
  </si>
  <si>
    <t xml:space="preserve">DEC-02</t>
  </si>
  <si>
    <t xml:space="preserve">DR-4 — One entitlement gate decides writes</t>
  </si>
  <si>
    <t xml:space="preserve">Reads are never blocked; manage_billing stays reachable in every read-only state.</t>
  </si>
  <si>
    <t xml:space="preserve">RATIFY. Blocking billing would lock a merchant out of the only action that clears the block, and blocking reads would contradict the cancellation copy.</t>
  </si>
  <si>
    <t xml:space="preserve">Closes F-RK02 and F-RK03.</t>
  </si>
  <si>
    <t xml:space="preserve">DEC-03</t>
  </si>
  <si>
    <t xml:space="preserve">DR-5 — Pin the Shopify API version explicitly</t>
  </si>
  <si>
    <t xml:space="preserve">Ratify</t>
  </si>
  <si>
    <t xml:space="preserve">2026-07 pinned, with a drift check against the 12-month support window. 2026-10 lands 1 October 2026.</t>
  </si>
  <si>
    <t xml:space="preserve">RATIFY, and diarise the quarterly bump. Shopify silently falls a retired version forward to the oldest supported one, which changes behaviour with no error.</t>
  </si>
  <si>
    <t xml:space="preserve">Closes VER-RK01.</t>
  </si>
  <si>
    <t xml:space="preserve">DEC-04</t>
  </si>
  <si>
    <t xml:space="preserve">DR-7 — Built-in chat makes a vendor optional</t>
  </si>
  <si>
    <t xml:space="preserve">Ratify / choose a vendor</t>
  </si>
  <si>
    <t xml:space="preserve">A chat engine with a business-hours SLA and breach reporting ships in the product.</t>
  </si>
  <si>
    <t xml:space="preserve">RATIFY ONCE, ACROSS THE PORTFOLIO. Five products now have the same in-house engine and the same open vendor question — FlowCast D-F6, ShiftDesk D-SD4, EngageOS D-E4, VoiceBridge D-V1, RetainKit DR-7. One answer closes five items.</t>
  </si>
  <si>
    <t xml:space="preserve">Removes a launch dependency from five products.</t>
  </si>
  <si>
    <t xml:space="preserve">DEC-05</t>
  </si>
  <si>
    <t xml:space="preserve">OBS-RK3 — How a data_request bundle reaches the store owner</t>
  </si>
  <si>
    <t xml:space="preserve">Choose a channel</t>
  </si>
  <si>
    <t xml:space="preserve">Shopify requires the data to reach the store owner; it does not mandate a mechanism.</t>
  </si>
  <si>
    <t xml:space="preserve">Email to the shop owner address is simplest and needs no UI. An in-app download is more auditable but adds a screen and an access-control question. My recommendation is email, with the request logged either way.</t>
  </si>
  <si>
    <t xml:space="preserve">Currently the only compliance path that cannot complete end to end.</t>
  </si>
  <si>
    <t xml:space="preserve">DEC-06</t>
  </si>
  <si>
    <t xml:space="preserve">OBS-RK1 — Circuit breaker half-open policy</t>
  </si>
  <si>
    <t xml:space="preserve">Decide once for the portfolio</t>
  </si>
  <si>
    <t xml:space="preserve">After cooldown, admit one trial call or admit everyone.</t>
  </si>
  <si>
    <t xml:space="preserve">ONE trial call. Admitting everyone recreates the burst that opened the breaker. This is open as a separate observation in FlowCast, VoiceBridge, MeetSync, TestPulse and RetainKit — five dispositions for one question.</t>
  </si>
  <si>
    <t xml:space="preserve">Closes five open observations.</t>
  </si>
  <si>
    <t xml:space="preserve">DEC-07</t>
  </si>
  <si>
    <t xml:space="preserve">R-K10 / OBS-RK2 — Persistence policy</t>
  </si>
  <si>
    <t xml:space="preserve">Set the bar</t>
  </si>
  <si>
    <t xml:space="preserve">In-memory is fine for one process; Postgres adapters exist but are unwired by default and have never run against a live server.</t>
  </si>
  <si>
    <t xml:space="preserve">Set a portfolio rule: single-process pilot acceptable up to first paying installs; anything beyond needs verified adapters. RetainKit's adapters plus its schema drift gate can be the pattern for the others.</t>
  </si>
  <si>
    <t xml:space="preserve">Decides how far each product can go before real persistence is mandatory.</t>
  </si>
  <si>
    <t xml:space="preserve">DEC-08</t>
  </si>
  <si>
    <t xml:space="preserve">D15 — Sequencing</t>
  </si>
  <si>
    <t xml:space="preserve">Ratify the mode</t>
  </si>
  <si>
    <t xml:space="preserve">Open since 10 September. Ten products are now at or near code-phase complete, all waiting on the same person.</t>
  </si>
  <si>
    <t xml:space="preserve">The evidence has changed the question. Parallel building worked; it produced a queue only you can clear. The constraint is no longer build capacity, it is your time on live access and dispositions. Sequencing the BUILDS matters less now than sequencing YOUR queue.</t>
  </si>
  <si>
    <t xml:space="preserve">Affects every product in the portfolio.</t>
  </si>
  <si>
    <t xml:space="preserve">DEC-09</t>
  </si>
  <si>
    <t xml:space="preserve">Listing copy A or B</t>
  </si>
  <si>
    <t xml:space="preserve">Choose</t>
  </si>
  <si>
    <t xml:space="preserve">Both variants are written and submission-shaped.</t>
  </si>
  <si>
    <t xml:space="preserve">A for the App Store listing; B for outbound and the pricing page. See ACT-16.</t>
  </si>
  <si>
    <t xml:space="preserve">Unblocks ST-093 and the asset capture.</t>
  </si>
  <si>
    <t xml:space="preserve">DEC-10</t>
  </si>
  <si>
    <t xml:space="preserve">Shared modules vs per-product copies</t>
  </si>
  <si>
    <t xml:space="preserve">Decide</t>
  </si>
  <si>
    <t xml:space="preserve">csv.ts, ledger.ts, backoff and breaker have been written separately in five to seven products, each with its own defects.</t>
  </si>
  <si>
    <t xml:space="preserve">Either build one shared internal package, or keep copies and rely on the Pre_Completion_Audit to catch the defects. The current position is the worst of both: duplicated code and duplicated defects.</t>
  </si>
  <si>
    <t xml:space="preserve">Affects the cost of every future product.</t>
  </si>
  <si>
    <t xml:space="preserve">OPEN FINDINGS NEEDING YOUR DISPOSITION</t>
  </si>
  <si>
    <t xml:space="preserve">Only the first four rows need a decision. The rest are listed so you can see what was found and closed without having to open the product workbook.</t>
  </si>
  <si>
    <t xml:space="preserve">Finding</t>
  </si>
  <si>
    <t xml:space="preserve">Context</t>
  </si>
  <si>
    <t xml:space="preserve">Disposition options</t>
  </si>
  <si>
    <t xml:space="preserve">YOUR DISPOSITION</t>
  </si>
  <si>
    <t xml:space="preserve">OBS-RK1</t>
  </si>
  <si>
    <t xml:space="preserve">Observation</t>
  </si>
  <si>
    <t xml:space="preserve">Circuit breaker allows unlimited half-open probes</t>
  </si>
  <si>
    <t xml:space="preserve">Portfolio-wide — see DEC-06</t>
  </si>
  <si>
    <t xml:space="preserve">Accept / Fix / Defer</t>
  </si>
  <si>
    <t xml:space="preserve">OBS-RK2</t>
  </si>
  <si>
    <t xml:space="preserve">Default wiring is in-memory; Postgres adapters exist but are unwired</t>
  </si>
  <si>
    <t xml:space="preserve">See DEC-07</t>
  </si>
  <si>
    <t xml:space="preserve">OBS-RK3</t>
  </si>
  <si>
    <t xml:space="preserve">No delivery channel for a customers/data_request bundle</t>
  </si>
  <si>
    <t xml:space="preserve">See DEC-05 — blocks one compliance path</t>
  </si>
  <si>
    <t xml:space="preserve">R-K11</t>
  </si>
  <si>
    <t xml:space="preserve">Risk</t>
  </si>
  <si>
    <t xml:space="preserve">Postgres adapters are schema-checked, not server-tested</t>
  </si>
  <si>
    <t xml:space="preserve">ON CONFLICT targets, the interval cast and BYTEA round-trip are unverified. The first live run is the real test.</t>
  </si>
  <si>
    <t xml:space="preserve">Accept with mitigation / Test now</t>
  </si>
  <si>
    <t xml:space="preserve">R-K7</t>
  </si>
  <si>
    <t xml:space="preserve">Protected customer data approval gates the listing</t>
  </si>
  <si>
    <t xml:space="preserve">See ACT-01</t>
  </si>
  <si>
    <t xml:space="preserve">Action, not disposition</t>
  </si>
  <si>
    <t xml:space="preserve">R-K9</t>
  </si>
  <si>
    <t xml:space="preserve">Four tests asserted buggy behaviour and had to change during review</t>
  </si>
  <si>
    <t xml:space="preserve">Logged as a pattern (P15). No action needed beyond awareness.</t>
  </si>
  <si>
    <t xml:space="preserve">Note</t>
  </si>
  <si>
    <t xml:space="preserve">F-RK01..10</t>
  </si>
  <si>
    <t xml:space="preserve">Defects</t>
  </si>
  <si>
    <t xml:space="preserve">Ten defects found and fixed with pinned regressions</t>
  </si>
  <si>
    <t xml:space="preserve">All fixed. Listed in Review_Findings in the product workbook for your visibility, not your action.</t>
  </si>
  <si>
    <t xml:space="preserve">No action — awareness only</t>
  </si>
  <si>
    <t xml:space="preserve">VER-RK01..07</t>
  </si>
  <si>
    <t xml:space="preserve">Seven findings, four live-blocking</t>
  </si>
  <si>
    <t xml:space="preserve">All fixed. VER-RK04 (missing compliance webhooks) would have been an automatic review rejection.</t>
  </si>
  <si>
    <t xml:space="preserve">PORTFOLIO ACTIONS — beyond RetainKit</t>
  </si>
  <si>
    <t xml:space="preserve">Raised by the defect pattern register issued at 11:14 the same day. PORT-01 is where I would put the next build session: it is the highest-probability location of the next live-blocking defect in the portfolio.</t>
  </si>
  <si>
    <t xml:space="preserve">Why</t>
  </si>
  <si>
    <t xml:space="preserve">What it involves</t>
  </si>
  <si>
    <t xml:space="preserve">PORT-01</t>
  </si>
  <si>
    <t xml:space="preserve">Authorise a full audit of DocMerge Pro</t>
  </si>
  <si>
    <t xml:space="preserve">HIGHEST PRIORITY in the portfolio. Ten sprints of code, mid-S7, and no adversarial review of any kind — no cold review, no verification sweep, no artifact-gap audit. Every other product that reached that state had between four and twenty-one defects, and two had no HTTP application behind their manifests.</t>
  </si>
  <si>
    <t xml:space="preserve">A session to run cold review passes 1 and 2, an external verification sweep against live Google Workspace docs, and an artifact-gap audit.</t>
  </si>
  <si>
    <t xml:space="preserve">Senthil to authorise</t>
  </si>
  <si>
    <t xml:space="preserve">PORT-02</t>
  </si>
  <si>
    <t xml:space="preserve">Verification sweeps for TeleField, ShiftDesk and MeetSync</t>
  </si>
  <si>
    <t xml:space="preserve">These three have had cold reviews but no recorded sweep against live platform docs. On the record so far, that sweep found live-blocking defects in every product where it ran, including two that had already passed clean cold reviews.</t>
  </si>
  <si>
    <t xml:space="preserve">One session per product.</t>
  </si>
  <si>
    <t xml:space="preserve">PORT-03</t>
  </si>
  <si>
    <t xml:space="preserve">Adopt the Pre-Completion Audit as a standing gate</t>
  </si>
  <si>
    <t xml:space="preserve">Seventeen checks derived from sixteen recurring patterns. On the record, it would have caught the large majority of findings before an adversarial review rather than after.</t>
  </si>
  <si>
    <t xml:space="preserve">Apply before any future product is declared code-phase complete.</t>
  </si>
  <si>
    <t xml:space="preserve">Senthil to ratify</t>
  </si>
  <si>
    <t xml:space="preserve">PORT-04</t>
  </si>
  <si>
    <t xml:space="preserve">Close the five duplicated decisions</t>
  </si>
  <si>
    <t xml:space="preserve">DEC-04 chat vendor, DEC-06 breaker, DEC-07 persistence, DEC-10 shared modules, plus the consent rule in DEC-01 which applies beyond RetainKit.</t>
  </si>
  <si>
    <t xml:space="preserve">One sitting. Currently roughly twenty separate open items across products.</t>
  </si>
  <si>
    <t xml:space="preserve">Senthil to decide</t>
  </si>
  <si>
    <t xml:space="preserve">PORT-05</t>
  </si>
  <si>
    <t xml:space="preserve">Re-read D15 against the current evidence</t>
  </si>
  <si>
    <t xml:space="preserve">Ten products at or near code-phase complete, all blocked on you. The bottleneck moved from build capacity to your queue.</t>
  </si>
  <si>
    <t xml:space="preserve">See DEC-08.</t>
  </si>
  <si>
    <t xml:space="preserve">RACI</t>
  </si>
  <si>
    <t xml:space="preserve">R = does the work. A = accountable for the outcome. C = consulted. I = informed. Claude is consulted, never accountable: every gate decision on this product is yours.</t>
  </si>
  <si>
    <t xml:space="preserve">Work stream</t>
  </si>
  <si>
    <t xml:space="preserve">Responsible</t>
  </si>
  <si>
    <t xml:space="preserve">Accountable</t>
  </si>
  <si>
    <t xml:space="preserve">Consulted</t>
  </si>
  <si>
    <t xml:space="preserve">Informed</t>
  </si>
  <si>
    <t xml:space="preserve">Shopify platform setup (ACT-01 to ACT-04, ACT-06)</t>
  </si>
  <si>
    <t xml:space="preserve">Claude</t>
  </si>
  <si>
    <t xml:space="preserve">Build, migrate, run (ACT-05, ACT-07)</t>
  </si>
  <si>
    <t xml:space="preserve">Install and verification (ACT-08 to ACT-12)</t>
  </si>
  <si>
    <t xml:space="preserve">External review (ACT-13)</t>
  </si>
  <si>
    <t xml:space="preserve">External reviewer</t>
  </si>
  <si>
    <t xml:space="preserve">Penetration test (ACT-14)</t>
  </si>
  <si>
    <t xml:space="preserve">Vendor</t>
  </si>
  <si>
    <t xml:space="preserve">Accessibility manual pass (ACT-15)</t>
  </si>
  <si>
    <t xml:space="preserve">Senthil or vendor</t>
  </si>
  <si>
    <t xml:space="preserve">Listing collateral (ACT-16, ACT-17)</t>
  </si>
  <si>
    <t xml:space="preserve">Design partner outreach (ACT-18)</t>
  </si>
  <si>
    <t xml:space="preserve">Submission (ACT-19)</t>
  </si>
  <si>
    <t xml:space="preserve">Code, tests, artefacts, trackers</t>
  </si>
  <si>
    <t xml:space="preserve">Decisions and dispositions</t>
  </si>
  <si>
    <t xml:space="preserve">RISK REGISTER</t>
  </si>
  <si>
    <t xml:space="preserve">Live-path risks only. Product risks are in the product workbook Risk_Register sheet.</t>
  </si>
  <si>
    <t xml:space="preserve">Likelihood</t>
  </si>
  <si>
    <t xml:space="preserve">Impact</t>
  </si>
  <si>
    <t xml:space="preserve">Consequence if it happens</t>
  </si>
  <si>
    <t xml:space="preserve">Mitigation</t>
  </si>
  <si>
    <t xml:space="preserve">RSK-01</t>
  </si>
  <si>
    <t xml:space="preserve">Protected customer data approval is refused or narrowed</t>
  </si>
  <si>
    <t xml:space="preserve">Medium</t>
  </si>
  <si>
    <t xml:space="preserve">High</t>
  </si>
  <si>
    <t xml:space="preserve">The app cannot read customer email on live stores; review requests and win-backs send nothing. Code already tolerates the null state, so it degrades rather than crashes — but the product does not function.</t>
  </si>
  <si>
    <t xml:space="preserve">Request only email and name, with reasons drawn from the security pack. Submit early so a refusal leaves time to appeal.</t>
  </si>
  <si>
    <t xml:space="preserve">Open</t>
  </si>
  <si>
    <t xml:space="preserve">RSK-02</t>
  </si>
  <si>
    <t xml:space="preserve">Postgres adapters fail on first contact with a real server</t>
  </si>
  <si>
    <t xml:space="preserve">ON CONFLICT targets, the interval cast in the state store and the BYTEA round-trip are all unverified.</t>
  </si>
  <si>
    <t xml:space="preserve">Run against a throwaway database before pointing anything real at it. The migration set is idempotent, so a failed attempt costs nothing.</t>
  </si>
  <si>
    <t xml:space="preserve">RSK-03</t>
  </si>
  <si>
    <t xml:space="preserve">shop/redact never arrives</t>
  </si>
  <si>
    <t xml:space="preserve">Low</t>
  </si>
  <si>
    <t xml:space="preserve">48-hour delay after a real uninstall. If the subscription is not wired correctly you will not find out for two days.</t>
  </si>
  <si>
    <t xml:space="preserve">Uninstall early in the session so the clock starts. Confirm the subscription in the Partner Dashboard rather than assuming the CLI trigger proved it.</t>
  </si>
  <si>
    <t xml:space="preserve">RSK-04</t>
  </si>
  <si>
    <t xml:space="preserve">Asset dimensions have changed</t>
  </si>
  <si>
    <t xml:space="preserve">Rejected or re-cut listing assets.</t>
  </si>
  <si>
    <t xml:space="preserve">Confirm in the Partner Dashboard at capture time. A sibling product shipped a spec from memory that was wrong by a whole format.</t>
  </si>
  <si>
    <t xml:space="preserve">RSK-05</t>
  </si>
  <si>
    <t xml:space="preserve">The external reviewer finds serious defects late</t>
  </si>
  <si>
    <t xml:space="preserve">Rework after you believed the product was ready.</t>
  </si>
  <si>
    <t xml:space="preserve">Send REVIEW_PACK.md now, in parallel with the live path, rather than after it.</t>
  </si>
  <si>
    <t xml:space="preserve">RSK-06</t>
  </si>
  <si>
    <t xml:space="preserve">Ten products, one person</t>
  </si>
  <si>
    <t xml:space="preserve">The portfolio bottleneck is your time on live access and dispositions. Build capacity is no longer the constraint.</t>
  </si>
  <si>
    <t xml:space="preserve">See DEC-08. Consider clearing the duplicated decisions first, since one sitting closes roughly twenty open items.</t>
  </si>
  <si>
    <t xml:space="preserve">WHAT I DO WHEN EACH OF YOUR ACTIONS LANDS</t>
  </si>
  <si>
    <t xml:space="preserve">You asked what happens once you have done your part. This is the answer, item by item. In every case where evidence arrives, the output is a new sprint tracker version and, where stories move, a new product workbook version — same naming convention, timestamps supplied by you.</t>
  </si>
  <si>
    <t xml:space="preserve">Trigger</t>
  </si>
  <si>
    <t xml:space="preserve">What lands</t>
  </si>
  <si>
    <t xml:space="preserve">What I do with it</t>
  </si>
  <si>
    <t xml:space="preserve">What I produce</t>
  </si>
  <si>
    <t xml:space="preserve">What it closes</t>
  </si>
  <si>
    <t xml:space="preserve">ACT-01 approved</t>
  </si>
  <si>
    <t xml:space="preserve">Protected customer data granted</t>
  </si>
  <si>
    <t xml:space="preserve">I re-run the scope narrative and the trust page against what was actually approved, and remove the null-tolerance caveats from the docs where they no longer apply. If fields were refused, I adapt the send paths to work without them rather than leaving a silent failure.</t>
  </si>
  <si>
    <t xml:space="preserve">Product workbook v020 + tracker v011</t>
  </si>
  <si>
    <t xml:space="preserve">ST-096 refresh; VER-RK03 closed</t>
  </si>
  <si>
    <t xml:space="preserve">ACT-05 to ACT-09 complete</t>
  </si>
  <si>
    <t xml:space="preserve">A green sweep against a live dev store</t>
  </si>
  <si>
    <t xml:space="preserve">This is the big one. Eight stories flip from code-complete to Done on real evidence. I update the traceability matrix with the sweep output as evidence, close gate LC-8, and re-baseline the rollup.</t>
  </si>
  <si>
    <t xml:space="preserve">Tracker v011 + product workbook v020</t>
  </si>
  <si>
    <t xml:space="preserve">ST-051, ST-052, ST-055, ST-056, ST-005, ST-015, ST-035, ST-045 — roughly 25 points</t>
  </si>
  <si>
    <t xml:space="preserve">ACT-09 fails</t>
  </si>
  <si>
    <t xml:space="preserve">Sweep returns NOT_READY</t>
  </si>
  <si>
    <t xml:space="preserve">I take the sweep output and work the failures. A sweep failure is a real defect against a real platform, which is more valuable than anything I can find in the sandbox.</t>
  </si>
  <si>
    <t xml:space="preserve">Fix release + tracker version</t>
  </si>
  <si>
    <t xml:space="preserve">Whatever the sweep found</t>
  </si>
  <si>
    <t xml:space="preserve">ACT-10 complete</t>
  </si>
  <si>
    <t xml:space="preserve">Compliance webhooks verified live</t>
  </si>
  <si>
    <t xml:space="preserve">LC-4 closes fully — it is currently done-in-code with the live half open. This is the single item most likely to stop a submission, so it is the one I most want evidence for.</t>
  </si>
  <si>
    <t xml:space="preserve">Tracker v011</t>
  </si>
  <si>
    <t xml:space="preserve">LC-4 gate closed</t>
  </si>
  <si>
    <t xml:space="preserve">ACT-12 complete</t>
  </si>
  <si>
    <t xml:space="preserve">Test charge succeeded</t>
  </si>
  <si>
    <t xml:space="preserve">ST-057 to ST-059 move to Done on evidence, and the S6 exit criterion that has been open since 10 September can finally be assessed.</t>
  </si>
  <si>
    <t xml:space="preserve">S6 exit</t>
  </si>
  <si>
    <t xml:space="preserve">ACT-13 findings arrive</t>
  </si>
  <si>
    <t xml:space="preserve">External reviewer reports</t>
  </si>
  <si>
    <t xml:space="preserve">I triage every finding into fix / accept / dispute with reasoning, fix what should be fixed with pinned regressions, and log the rest for your disposition. ST-097 closes only when the reviewer has actually reported.</t>
  </si>
  <si>
    <t xml:space="preserve">Review response release + Review_Findings update</t>
  </si>
  <si>
    <t xml:space="preserve">ST-097</t>
  </si>
  <si>
    <t xml:space="preserve">ACT-14 complete</t>
  </si>
  <si>
    <t xml:space="preserve">Pen test report archived</t>
  </si>
  <si>
    <t xml:space="preserve">ST-068 closes — 8 points, the largest single open story. I fold the findings into SECURITY_EVIDENCE.md and fix anything code-side.</t>
  </si>
  <si>
    <t xml:space="preserve">Security release + tracker version</t>
  </si>
  <si>
    <t xml:space="preserve">ST-068</t>
  </si>
  <si>
    <t xml:space="preserve">ACT-15 complete</t>
  </si>
  <si>
    <t xml:space="preserve">Accessibility manual pass done</t>
  </si>
  <si>
    <t xml:space="preserve">ST-089 closes. Any defects found become a fix release; the structural auditor gains a rule for anything it missed.</t>
  </si>
  <si>
    <t xml:space="preserve">Accessibility release</t>
  </si>
  <si>
    <t xml:space="preserve">ST-089</t>
  </si>
  <si>
    <t xml:space="preserve">ACT-16 + ACT-17 complete</t>
  </si>
  <si>
    <t xml:space="preserve">Copy chosen, assets captured</t>
  </si>
  <si>
    <t xml:space="preserve">ST-093 and ST-094 close. I wire the chosen copy into the listing artefacts and the SEO engine baseline.</t>
  </si>
  <si>
    <t xml:space="preserve">Listing release</t>
  </si>
  <si>
    <t xml:space="preserve">ST-093, ST-094</t>
  </si>
  <si>
    <t xml:space="preserve">DEC-05 taken</t>
  </si>
  <si>
    <t xml:space="preserve">Delivery channel chosen</t>
  </si>
  <si>
    <t xml:space="preserve">I build the adapter. It is the last incomplete compliance path and it is a small piece of work once the channel is decided.</t>
  </si>
  <si>
    <t xml:space="preserve">Code release</t>
  </si>
  <si>
    <t xml:space="preserve">DEC-06 taken</t>
  </si>
  <si>
    <t xml:space="preserve">Breaker policy decided</t>
  </si>
  <si>
    <t xml:space="preserve">I apply it to RetainKit and write the change up so the same edit can be made in the other four products in one pass.</t>
  </si>
  <si>
    <t xml:space="preserve">Code release + portfolio note</t>
  </si>
  <si>
    <t xml:space="preserve">OBS-RK1 and four sibling observations</t>
  </si>
  <si>
    <t xml:space="preserve">DEC-07 taken</t>
  </si>
  <si>
    <t xml:space="preserve">Persistence bar set</t>
  </si>
  <si>
    <t xml:space="preserve">If the bar requires it, I wire the Postgres adapters into the default path and build whatever integration testing the bar demands.</t>
  </si>
  <si>
    <t xml:space="preserve">R-K10, R-K11, OBS-RK2</t>
  </si>
  <si>
    <t xml:space="preserve">PORT-01 authorised</t>
  </si>
  <si>
    <t xml:space="preserve">DocMerge Pro audit</t>
  </si>
  <si>
    <t xml:space="preserve">A full session: cold review passes 1 and 2, verification sweep against live Google Workspace docs, artifact-gap audit. On the record this is where the next live-blocking defect in the portfolio most likely sits.</t>
  </si>
  <si>
    <t xml:space="preserve">DocMerge workbook + tracker versions</t>
  </si>
  <si>
    <t xml:space="preserve">Unknown until run — which is the point</t>
  </si>
  <si>
    <t xml:space="preserve">PORT-02 authorised</t>
  </si>
  <si>
    <t xml:space="preserve">Verification sweeps for three products</t>
  </si>
  <si>
    <t xml:space="preserve">One session each for TeleField, ShiftDesk and MeetSync.</t>
  </si>
  <si>
    <t xml:space="preserve">Per-product releases</t>
  </si>
  <si>
    <t xml:space="preserve">Unknown until run</t>
  </si>
  <si>
    <t xml:space="preserve">Nothing happens</t>
  </si>
  <si>
    <t xml:space="preserve">No action taken</t>
  </si>
  <si>
    <t xml:space="preserve">Nothing further on RetainKit. There is no sandbox work left on it that would not be invented. I would rather say that plainly than produce motion.</t>
  </si>
  <si>
    <t xml:space="preserve">GLOSSARY</t>
  </si>
  <si>
    <t xml:space="preserve">Terms and identifier conventions used across the RetainKit artefacts.</t>
  </si>
  <si>
    <t xml:space="preserve">Term</t>
  </si>
  <si>
    <t xml:space="preserve">Meaning</t>
  </si>
  <si>
    <t xml:space="preserve">ST-0NN</t>
  </si>
  <si>
    <t xml:space="preserve">A story in the 100-story RetainKit backlog. Numbering is stable across every artefact.</t>
  </si>
  <si>
    <t xml:space="preserve">Done-in-code</t>
  </si>
  <si>
    <t xml:space="preserve">Built and tested at 100% coverage in the sandbox. Explicitly NOT the same as done: nothing counts at a gate until it works live.</t>
  </si>
  <si>
    <t xml:space="preserve">Code-complete pending live</t>
  </si>
  <si>
    <t xml:space="preserve">The code half is finished; the remaining half needs a platform, a person or a vendor.</t>
  </si>
  <si>
    <t xml:space="preserve">F-RK NN</t>
  </si>
  <si>
    <t xml:space="preserve">A defect found by cold review of RetainKit and fixed with a pinned regression test.</t>
  </si>
  <si>
    <t xml:space="preserve">VER-RK NN</t>
  </si>
  <si>
    <t xml:space="preserve">A finding from the external verification sweep against live Shopify documentation.</t>
  </si>
  <si>
    <t xml:space="preserve">GAP-RK NN</t>
  </si>
  <si>
    <t xml:space="preserve">A finding from the artifact-gap audit: config or documentation claiming something the code does not provide.</t>
  </si>
  <si>
    <t xml:space="preserve">OBS-RK NN</t>
  </si>
  <si>
    <t xml:space="preserve">An observation logged without a fix, awaiting your disposition.</t>
  </si>
  <si>
    <t xml:space="preserve">LC-N</t>
  </si>
  <si>
    <t xml:space="preserve">A launch-checklist gate item.</t>
  </si>
  <si>
    <t xml:space="preserve">G-01 to G-05</t>
  </si>
  <si>
    <t xml:space="preserve">Portfolio completion gates. G-01 listed on the App Store; G-02 ten paying installs from strangers.</t>
  </si>
  <si>
    <t xml:space="preserve">D15</t>
  </si>
  <si>
    <t xml:space="preserve">The open portfolio sequencing decision: parallel builds versus strict rank order.</t>
  </si>
  <si>
    <t xml:space="preserve">DR-N</t>
  </si>
  <si>
    <t xml:space="preserve">A RetainKit decision I took and flagged for your ratification.</t>
  </si>
  <si>
    <t xml:space="preserve">Cold review</t>
  </si>
  <si>
    <t xml:space="preserve">An adversarial read of every module looking for defects, run separately from writing the code.</t>
  </si>
  <si>
    <t xml:space="preserve">Verification sweep</t>
  </si>
  <si>
    <t xml:space="preserve">Checking the code and documentation against live platform documentation. Distinct from code review, and historically the higher-yield of the two.</t>
  </si>
  <si>
    <t xml:space="preserve">Artifact-gap audit</t>
  </si>
  <si>
    <t xml:space="preserve">Checking that every route, resource, table and file referenced by config, docs or CI actually exists.</t>
  </si>
  <si>
    <t xml:space="preserve">Pre-Completion Audit</t>
  </si>
  <si>
    <t xml:space="preserve">The seventeen-check list in the portfolio defect pattern register, to be run before declaring any product code-phase complete.</t>
  </si>
  <si>
    <t xml:space="preserve">Pinned regression</t>
  </si>
  <si>
    <t xml:space="preserve">A test written specifically so a fixed defect cannot silently return.</t>
  </si>
</sst>
</file>

<file path=xl/styles.xml><?xml version="1.0" encoding="utf-8"?>
<styleSheet xmlns="http://schemas.openxmlformats.org/spreadsheetml/2006/main">
  <numFmts count="3">
    <numFmt numFmtId="164" formatCode="General"/>
    <numFmt numFmtId="165" formatCode="General"/>
    <numFmt numFmtId="166" formatCode="0%"/>
  </numFmts>
  <fonts count="13">
    <font>
      <sz val="11"/>
      <color theme="1"/>
      <name val="Calibri"/>
      <family val="2"/>
      <charset val="1"/>
    </font>
    <font>
      <sz val="10"/>
      <name val="Arial"/>
      <family val="0"/>
    </font>
    <font>
      <sz val="10"/>
      <name val="Arial"/>
      <family val="0"/>
    </font>
    <font>
      <sz val="10"/>
      <name val="Arial"/>
      <family val="0"/>
    </font>
    <font>
      <b val="true"/>
      <sz val="18"/>
      <name val="Arial"/>
      <family val="0"/>
      <charset val="1"/>
    </font>
    <font>
      <i val="true"/>
      <sz val="12"/>
      <name val="Arial"/>
      <family val="0"/>
      <charset val="1"/>
    </font>
    <font>
      <b val="true"/>
      <sz val="10"/>
      <name val="Arial"/>
      <family val="0"/>
      <charset val="1"/>
    </font>
    <font>
      <sz val="10"/>
      <name val="Arial"/>
      <family val="0"/>
      <charset val="1"/>
    </font>
    <font>
      <b val="true"/>
      <sz val="14"/>
      <name val="Arial"/>
      <family val="0"/>
      <charset val="1"/>
    </font>
    <font>
      <b val="true"/>
      <sz val="12"/>
      <name val="Arial"/>
      <family val="0"/>
      <charset val="1"/>
    </font>
    <font>
      <b val="true"/>
      <sz val="10"/>
      <color rgb="FFFFFFFF"/>
      <name val="Arial"/>
      <family val="0"/>
      <charset val="1"/>
    </font>
    <font>
      <i val="true"/>
      <sz val="9"/>
      <color rgb="FF808080"/>
      <name val="Arial"/>
      <family val="0"/>
      <charset val="1"/>
    </font>
    <font>
      <sz val="9"/>
      <name val="Courier New"/>
      <family val="0"/>
      <charset val="1"/>
    </font>
  </fonts>
  <fills count="7">
    <fill>
      <patternFill patternType="none"/>
    </fill>
    <fill>
      <patternFill patternType="gray125"/>
    </fill>
    <fill>
      <patternFill patternType="solid">
        <fgColor rgb="FFF2F2F2"/>
        <bgColor rgb="FFE2EFDA"/>
      </patternFill>
    </fill>
    <fill>
      <patternFill patternType="solid">
        <fgColor rgb="FF1F4E79"/>
        <bgColor rgb="FF003366"/>
      </patternFill>
    </fill>
    <fill>
      <patternFill patternType="solid">
        <fgColor rgb="FFFFF2CC"/>
        <bgColor rgb="FFFCE4E4"/>
      </patternFill>
    </fill>
    <fill>
      <patternFill patternType="solid">
        <fgColor rgb="FFFCE4E4"/>
        <bgColor rgb="FFF2F2F2"/>
      </patternFill>
    </fill>
    <fill>
      <patternFill patternType="solid">
        <fgColor rgb="FFE2EFDA"/>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11" fillId="2"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8"/>
  </cols>
  <sheetData>
    <row r="1" customFormat="false" ht="22.0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s">
        <v>3</v>
      </c>
    </row>
    <row r="5" customFormat="false" ht="15" hidden="false" customHeight="false" outlineLevel="0" collapsed="false">
      <c r="A5" s="3" t="s">
        <v>4</v>
      </c>
      <c r="B5" s="4" t="s">
        <v>5</v>
      </c>
    </row>
    <row r="6" customFormat="false" ht="15" hidden="false" customHeight="false" outlineLevel="0" collapsed="false">
      <c r="A6" s="3" t="s">
        <v>6</v>
      </c>
      <c r="B6" s="4" t="s">
        <v>7</v>
      </c>
    </row>
    <row r="7" customFormat="false" ht="15" hidden="false" customHeight="false" outlineLevel="0" collapsed="false">
      <c r="A7" s="3" t="s">
        <v>8</v>
      </c>
      <c r="B7" s="4" t="s">
        <v>9</v>
      </c>
    </row>
    <row r="8" customFormat="false" ht="15" hidden="false" customHeight="false" outlineLevel="0" collapsed="false">
      <c r="A8" s="3" t="s">
        <v>10</v>
      </c>
      <c r="B8" s="4" t="s">
        <v>11</v>
      </c>
    </row>
    <row r="9" customFormat="false" ht="15" hidden="false" customHeight="false" outlineLevel="0" collapsed="false">
      <c r="A9" s="3" t="s">
        <v>12</v>
      </c>
      <c r="B9" s="4" t="s">
        <v>13</v>
      </c>
    </row>
    <row r="10" customFormat="false" ht="15" hidden="false" customHeight="false" outlineLevel="0" collapsed="false">
      <c r="A10" s="3" t="s">
        <v>14</v>
      </c>
      <c r="B10" s="4" t="s">
        <v>15</v>
      </c>
    </row>
    <row r="11" customFormat="false" ht="15" hidden="false" customHeight="false" outlineLevel="0" collapsed="false">
      <c r="A11" s="3" t="s">
        <v>16</v>
      </c>
      <c r="B11" s="4" t="s">
        <v>17</v>
      </c>
    </row>
    <row r="12" customFormat="false" ht="23.85" hidden="false" customHeight="false" outlineLevel="0" collapsed="false">
      <c r="A12" s="3" t="s">
        <v>18</v>
      </c>
      <c r="B12" s="4" t="s">
        <v>19</v>
      </c>
    </row>
    <row r="13" customFormat="false" ht="23.85" hidden="false" customHeight="false" outlineLevel="0" collapsed="false">
      <c r="A13" s="3" t="s">
        <v>20</v>
      </c>
      <c r="B13" s="4" t="s">
        <v>21</v>
      </c>
    </row>
    <row r="14" customFormat="false" ht="15" hidden="false" customHeight="false" outlineLevel="0" collapsed="false">
      <c r="A14" s="3" t="s">
        <v>22</v>
      </c>
      <c r="B14" s="4" t="s">
        <v>23</v>
      </c>
    </row>
    <row r="15" customFormat="false" ht="15" hidden="false" customHeight="false" outlineLevel="0" collapsed="false">
      <c r="A15" s="3" t="s">
        <v>24</v>
      </c>
      <c r="B15" s="4" t="s">
        <v>25</v>
      </c>
    </row>
    <row r="16" customFormat="false" ht="35.05" hidden="false" customHeight="false" outlineLevel="0" collapsed="false">
      <c r="A16" s="3" t="s">
        <v>26</v>
      </c>
      <c r="B16" s="4" t="s">
        <v>27</v>
      </c>
    </row>
    <row r="17" customFormat="false" ht="15" hidden="false" customHeight="false" outlineLevel="0" collapsed="false">
      <c r="A17" s="3" t="s">
        <v>28</v>
      </c>
      <c r="B17" s="4" t="s">
        <v>29</v>
      </c>
    </row>
    <row r="18" customFormat="false" ht="15" hidden="false" customHeight="false" outlineLevel="0" collapsed="false">
      <c r="A18" s="3" t="s">
        <v>30</v>
      </c>
      <c r="B18" s="4" t="s">
        <v>31</v>
      </c>
    </row>
    <row r="19" customFormat="false" ht="15" hidden="false" customHeight="false" outlineLevel="0" collapsed="false">
      <c r="A19" s="3" t="s">
        <v>32</v>
      </c>
      <c r="B19" s="4"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4"/>
    <col collapsed="false" customWidth="true" hidden="false" outlineLevel="0" max="3" min="3" style="0" width="40"/>
    <col collapsed="false" customWidth="true" hidden="false" outlineLevel="0" max="4" min="4" style="0" width="34"/>
    <col collapsed="false" customWidth="true" hidden="false" outlineLevel="0" max="5" min="5" style="0" width="54"/>
    <col collapsed="false" customWidth="true" hidden="false" outlineLevel="0" max="6" min="6" style="0" width="30"/>
  </cols>
  <sheetData>
    <row r="1" customFormat="false" ht="17.35" hidden="false" customHeight="false" outlineLevel="0" collapsed="false">
      <c r="A1" s="5" t="s">
        <v>34</v>
      </c>
    </row>
    <row r="2" customFormat="false" ht="48" hidden="false" customHeight="true" outlineLevel="0" collapsed="false">
      <c r="A2" s="6" t="s">
        <v>35</v>
      </c>
      <c r="B2" s="6"/>
      <c r="C2" s="6"/>
      <c r="D2" s="6"/>
      <c r="E2" s="6"/>
      <c r="F2" s="6"/>
    </row>
    <row r="4" customFormat="false" ht="15" hidden="false" customHeight="false" outlineLevel="0" collapsed="false">
      <c r="A4" s="7" t="s">
        <v>36</v>
      </c>
      <c r="D4" s="7" t="s">
        <v>37</v>
      </c>
    </row>
    <row r="5" customFormat="false" ht="15" hidden="false" customHeight="false" outlineLevel="0" collapsed="false">
      <c r="A5" s="8" t="s">
        <v>38</v>
      </c>
      <c r="B5" s="9" t="n">
        <f aca="false">COUNTA(Action_Plan_Master!$B$5:$B$23)</f>
        <v>19</v>
      </c>
      <c r="D5" s="3" t="s">
        <v>39</v>
      </c>
      <c r="E5" s="4" t="s">
        <v>40</v>
      </c>
    </row>
    <row r="6" customFormat="false" ht="23.85" hidden="false" customHeight="false" outlineLevel="0" collapsed="false">
      <c r="A6" s="8" t="s">
        <v>41</v>
      </c>
      <c r="B6" s="9" t="n">
        <f aca="false">COUNTIF(Action_Plan_Master!$N$5:$N$23,"Not started")</f>
        <v>19</v>
      </c>
      <c r="D6" s="3" t="s">
        <v>42</v>
      </c>
      <c r="E6" s="4" t="s">
        <v>43</v>
      </c>
    </row>
    <row r="7" customFormat="false" ht="15" hidden="false" customHeight="false" outlineLevel="0" collapsed="false">
      <c r="A7" s="8" t="s">
        <v>44</v>
      </c>
      <c r="B7" s="9" t="n">
        <f aca="false">COUNTIF(Action_Plan_Master!$N$5:$N$23,"In progress")</f>
        <v>0</v>
      </c>
      <c r="D7" s="3" t="s">
        <v>45</v>
      </c>
      <c r="E7" s="4" t="s">
        <v>46</v>
      </c>
    </row>
    <row r="8" customFormat="false" ht="23.85" hidden="false" customHeight="false" outlineLevel="0" collapsed="false">
      <c r="A8" s="8" t="s">
        <v>47</v>
      </c>
      <c r="B8" s="9" t="n">
        <f aca="false">COUNTIF(Action_Plan_Master!$N$5:$N$23,"Blocked")</f>
        <v>0</v>
      </c>
      <c r="D8" s="3" t="s">
        <v>48</v>
      </c>
      <c r="E8" s="4" t="s">
        <v>49</v>
      </c>
    </row>
    <row r="9" customFormat="false" ht="23.85" hidden="false" customHeight="false" outlineLevel="0" collapsed="false">
      <c r="A9" s="8" t="s">
        <v>50</v>
      </c>
      <c r="B9" s="9" t="n">
        <f aca="false">COUNTIF(Action_Plan_Master!$N$5:$N$23,"Done")</f>
        <v>0</v>
      </c>
      <c r="D9" s="3" t="s">
        <v>51</v>
      </c>
      <c r="E9" s="4" t="s">
        <v>52</v>
      </c>
    </row>
    <row r="10" customFormat="false" ht="23.85" hidden="false" customHeight="false" outlineLevel="0" collapsed="false">
      <c r="A10" s="8" t="s">
        <v>53</v>
      </c>
      <c r="B10" s="10" t="n">
        <f aca="false">IFERROR(COUNTIF(Action_Plan_Master!$N$5:$N$23,"Done")/COUNTA(Action_Plan_Master!$B$5:$B$23),0)</f>
        <v>0</v>
      </c>
      <c r="D10" s="3" t="s">
        <v>54</v>
      </c>
      <c r="E10" s="4" t="s">
        <v>55</v>
      </c>
    </row>
    <row r="11" customFormat="false" ht="15" hidden="false" customHeight="false" outlineLevel="0" collapsed="false">
      <c r="A11" s="8" t="s">
        <v>56</v>
      </c>
      <c r="B11" s="9" t="n">
        <f aca="false">COUNTIF(Action_Plan_Master!$M$5:$M$23,"CRITICAL")</f>
        <v>9</v>
      </c>
    </row>
    <row r="12" customFormat="false" ht="15" hidden="false" customHeight="false" outlineLevel="0" collapsed="false">
      <c r="A12" s="8" t="s">
        <v>57</v>
      </c>
      <c r="B12" s="9" t="n">
        <f aca="false">COUNTIFS(Action_Plan_Master!$M$5:$M$23,"CRITICAL",Action_Plan_Master!$N$5:$N$23,"Done")</f>
        <v>0</v>
      </c>
    </row>
    <row r="15" customFormat="false" ht="15" hidden="false" customHeight="false" outlineLevel="0" collapsed="false">
      <c r="A15" s="7" t="s">
        <v>58</v>
      </c>
    </row>
    <row r="16" customFormat="false" ht="60" hidden="false" customHeight="true" outlineLevel="0" collapsed="false">
      <c r="A16" s="11" t="s">
        <v>59</v>
      </c>
      <c r="B16" s="12" t="s">
        <v>60</v>
      </c>
      <c r="C16" s="6" t="s">
        <v>61</v>
      </c>
      <c r="D16" s="6"/>
      <c r="E16" s="6"/>
      <c r="F16" s="6"/>
    </row>
    <row r="17" customFormat="false" ht="60" hidden="false" customHeight="true" outlineLevel="0" collapsed="false">
      <c r="A17" s="11" t="s">
        <v>62</v>
      </c>
      <c r="B17" s="12" t="s">
        <v>63</v>
      </c>
      <c r="C17" s="6" t="s">
        <v>64</v>
      </c>
      <c r="D17" s="6"/>
      <c r="E17" s="6"/>
      <c r="F17" s="6"/>
    </row>
    <row r="18" customFormat="false" ht="60" hidden="false" customHeight="true" outlineLevel="0" collapsed="false">
      <c r="A18" s="11" t="s">
        <v>65</v>
      </c>
      <c r="B18" s="12" t="s">
        <v>66</v>
      </c>
      <c r="C18" s="6" t="s">
        <v>67</v>
      </c>
      <c r="D18" s="6"/>
      <c r="E18" s="6"/>
      <c r="F18" s="6"/>
    </row>
  </sheetData>
  <mergeCells count="4">
    <mergeCell ref="A2:F2"/>
    <mergeCell ref="C16:F16"/>
    <mergeCell ref="C17:F17"/>
    <mergeCell ref="C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26"/>
    <col collapsed="false" customWidth="true" hidden="false" outlineLevel="0" max="4" min="4" style="0" width="90"/>
    <col collapsed="false" customWidth="true" hidden="false" outlineLevel="0" max="5" min="5" style="0" width="14"/>
  </cols>
  <sheetData>
    <row r="1" customFormat="false" ht="17.35" hidden="false" customHeight="false" outlineLevel="0" collapsed="false">
      <c r="A1" s="5" t="s">
        <v>68</v>
      </c>
    </row>
    <row r="2" customFormat="false" ht="30" hidden="false" customHeight="true" outlineLevel="0" collapsed="false">
      <c r="A2" s="13" t="s">
        <v>69</v>
      </c>
    </row>
    <row r="4" customFormat="false" ht="15" hidden="false" customHeight="false" outlineLevel="0" collapsed="false">
      <c r="A4" s="14" t="s">
        <v>6</v>
      </c>
      <c r="B4" s="14" t="s">
        <v>70</v>
      </c>
      <c r="C4" s="14" t="s">
        <v>71</v>
      </c>
      <c r="D4" s="14" t="s">
        <v>72</v>
      </c>
      <c r="E4" s="14" t="s">
        <v>8</v>
      </c>
    </row>
    <row r="5" customFormat="false" ht="23.85" hidden="false" customHeight="false" outlineLevel="0" collapsed="false">
      <c r="A5" s="4" t="s">
        <v>7</v>
      </c>
      <c r="B5" s="15" t="s">
        <v>73</v>
      </c>
      <c r="C5" s="15" t="s">
        <v>74</v>
      </c>
      <c r="D5" s="15" t="s">
        <v>75</v>
      </c>
      <c r="E5" s="4" t="s">
        <v>76</v>
      </c>
    </row>
    <row r="6" customFormat="false" ht="15" hidden="false" customHeight="false" outlineLevel="0" collapsed="false">
      <c r="A6" s="4" t="s">
        <v>77</v>
      </c>
      <c r="B6" s="15"/>
      <c r="C6" s="15"/>
      <c r="D6" s="15" t="s">
        <v>78</v>
      </c>
      <c r="E6" s="4" t="s">
        <v>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18"/>
  </cols>
  <sheetData>
    <row r="1" customFormat="false" ht="17.35" hidden="false" customHeight="false" outlineLevel="0" collapsed="false">
      <c r="A1" s="5" t="s">
        <v>80</v>
      </c>
    </row>
    <row r="3" customFormat="false" ht="15" hidden="false" customHeight="false" outlineLevel="0" collapsed="false">
      <c r="A3" s="13"/>
      <c r="B3" s="13"/>
    </row>
    <row r="4" customFormat="false" ht="15" hidden="false" customHeight="false" outlineLevel="0" collapsed="false">
      <c r="A4" s="12" t="s">
        <v>81</v>
      </c>
      <c r="B4" s="13" t="s">
        <v>82</v>
      </c>
    </row>
    <row r="5" customFormat="false" ht="15" hidden="false" customHeight="false" outlineLevel="0" collapsed="false">
      <c r="A5" s="13"/>
      <c r="B5" s="13"/>
    </row>
    <row r="6" customFormat="false" ht="23.85" hidden="false" customHeight="false" outlineLevel="0" collapsed="false">
      <c r="A6" s="12" t="s">
        <v>83</v>
      </c>
      <c r="B6" s="13" t="s">
        <v>84</v>
      </c>
    </row>
    <row r="7" customFormat="false" ht="23.85" hidden="false" customHeight="false" outlineLevel="0" collapsed="false">
      <c r="A7" s="12" t="s">
        <v>85</v>
      </c>
      <c r="B7" s="13" t="s">
        <v>86</v>
      </c>
    </row>
    <row r="8" customFormat="false" ht="23.85" hidden="false" customHeight="false" outlineLevel="0" collapsed="false">
      <c r="A8" s="12" t="s">
        <v>87</v>
      </c>
      <c r="B8" s="13" t="s">
        <v>88</v>
      </c>
    </row>
    <row r="9" customFormat="false" ht="15" hidden="false" customHeight="false" outlineLevel="0" collapsed="false">
      <c r="A9" s="13"/>
      <c r="B9" s="13"/>
    </row>
    <row r="10" customFormat="false" ht="15" hidden="false" customHeight="false" outlineLevel="0" collapsed="false">
      <c r="A10" s="12" t="s">
        <v>89</v>
      </c>
      <c r="B10" s="13"/>
    </row>
    <row r="11" customFormat="false" ht="15" hidden="false" customHeight="false" outlineLevel="0" collapsed="false">
      <c r="A11" s="13" t="s">
        <v>90</v>
      </c>
      <c r="B11" s="13" t="s">
        <v>91</v>
      </c>
    </row>
    <row r="12" customFormat="false" ht="15" hidden="false" customHeight="false" outlineLevel="0" collapsed="false">
      <c r="A12" s="13" t="s">
        <v>92</v>
      </c>
      <c r="B12" s="13" t="s">
        <v>93</v>
      </c>
    </row>
    <row r="13" customFormat="false" ht="15" hidden="false" customHeight="false" outlineLevel="0" collapsed="false">
      <c r="A13" s="13" t="s">
        <v>94</v>
      </c>
      <c r="B13" s="13" t="s">
        <v>95</v>
      </c>
    </row>
    <row r="14" customFormat="false" ht="15" hidden="false" customHeight="false" outlineLevel="0" collapsed="false">
      <c r="A14" s="13" t="s">
        <v>96</v>
      </c>
      <c r="B14" s="13" t="s">
        <v>97</v>
      </c>
    </row>
    <row r="15" customFormat="false" ht="15" hidden="false" customHeight="false" outlineLevel="0" collapsed="false">
      <c r="A15" s="13" t="s">
        <v>98</v>
      </c>
      <c r="B15" s="13" t="s">
        <v>99</v>
      </c>
    </row>
    <row r="16" customFormat="false" ht="15" hidden="false" customHeight="false" outlineLevel="0" collapsed="false">
      <c r="A16" s="13" t="s">
        <v>100</v>
      </c>
      <c r="B16" s="13" t="s">
        <v>101</v>
      </c>
    </row>
    <row r="17" customFormat="false" ht="15" hidden="false" customHeight="false" outlineLevel="0" collapsed="false">
      <c r="A17" s="13" t="s">
        <v>102</v>
      </c>
      <c r="B17" s="13" t="s">
        <v>103</v>
      </c>
    </row>
    <row r="18" customFormat="false" ht="15" hidden="false" customHeight="false" outlineLevel="0" collapsed="false">
      <c r="A18" s="13" t="s">
        <v>104</v>
      </c>
      <c r="B18" s="13" t="s">
        <v>105</v>
      </c>
    </row>
    <row r="19" customFormat="false" ht="15" hidden="false" customHeight="false" outlineLevel="0" collapsed="false">
      <c r="A19" s="13" t="s">
        <v>106</v>
      </c>
      <c r="B19" s="13" t="s">
        <v>107</v>
      </c>
    </row>
    <row r="20" customFormat="false" ht="15" hidden="false" customHeight="false" outlineLevel="0" collapsed="false">
      <c r="A20" s="13" t="s">
        <v>108</v>
      </c>
      <c r="B20" s="13" t="s">
        <v>109</v>
      </c>
    </row>
    <row r="21" customFormat="false" ht="15" hidden="false" customHeight="false" outlineLevel="0" collapsed="false">
      <c r="A21" s="13"/>
      <c r="B21" s="13"/>
    </row>
    <row r="22" customFormat="false" ht="23.85" hidden="false" customHeight="false" outlineLevel="0" collapsed="false">
      <c r="A22" s="12" t="s">
        <v>110</v>
      </c>
      <c r="B22" s="13" t="s">
        <v>111</v>
      </c>
    </row>
    <row r="23" customFormat="false" ht="23.85" hidden="false" customHeight="false" outlineLevel="0" collapsed="false">
      <c r="A23" s="12" t="s">
        <v>112</v>
      </c>
      <c r="B23" s="13" t="s">
        <v>113</v>
      </c>
    </row>
    <row r="25" customFormat="false" ht="15" hidden="false" customHeight="false" outlineLevel="0" collapsed="false">
      <c r="A25" s="7" t="s">
        <v>114</v>
      </c>
    </row>
    <row r="26" customFormat="false" ht="15" hidden="false" customHeight="false" outlineLevel="0" collapsed="false">
      <c r="A26" s="16" t="s">
        <v>115</v>
      </c>
      <c r="B26" s="17" t="s">
        <v>116</v>
      </c>
    </row>
    <row r="27" customFormat="false" ht="15" hidden="false" customHeight="false" outlineLevel="0" collapsed="false">
      <c r="A27" s="18" t="s">
        <v>117</v>
      </c>
      <c r="B27" s="17" t="s">
        <v>118</v>
      </c>
    </row>
    <row r="28" customFormat="false" ht="15" hidden="false" customHeight="false" outlineLevel="0" collapsed="false">
      <c r="A28" s="19" t="s">
        <v>119</v>
      </c>
      <c r="B28" s="17" t="s">
        <v>120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13"/>
    <col collapsed="false" customWidth="true" hidden="false" outlineLevel="0" max="4" min="4" style="0" width="34"/>
    <col collapsed="false" customWidth="true" hidden="false" outlineLevel="0" max="5" min="5" style="0" width="58"/>
    <col collapsed="false" customWidth="true" hidden="false" outlineLevel="0" max="6" min="6" style="0" width="72"/>
    <col collapsed="false" customWidth="true" hidden="false" outlineLevel="0" max="7" min="7" style="0" width="16"/>
    <col collapsed="false" customWidth="true" hidden="false" outlineLevel="0" max="8" min="8" style="0" width="14"/>
    <col collapsed="false" customWidth="true" hidden="false" outlineLevel="0" max="9" min="9" style="0" width="13"/>
    <col collapsed="false" customWidth="true" hidden="false" outlineLevel="0" max="10" min="10" style="0" width="20"/>
    <col collapsed="false" customWidth="true" hidden="false" outlineLevel="0" max="11" min="11" style="0" width="38"/>
    <col collapsed="false" customWidth="true" hidden="false" outlineLevel="0" max="12" min="12" style="0" width="34"/>
    <col collapsed="false" customWidth="true" hidden="false" outlineLevel="0" max="13" min="13" style="0" width="10"/>
    <col collapsed="false" customWidth="true" hidden="false" outlineLevel="0" max="15" min="14" style="0" width="14"/>
    <col collapsed="false" customWidth="true" hidden="false" outlineLevel="0" max="16" min="16" style="0" width="34"/>
  </cols>
  <sheetData>
    <row r="1" customFormat="false" ht="17.35" hidden="false" customHeight="false" outlineLevel="0" collapsed="false">
      <c r="A1" s="5" t="s">
        <v>121</v>
      </c>
    </row>
    <row r="2" customFormat="false" ht="30" hidden="false" customHeight="true" outlineLevel="0" collapsed="false">
      <c r="A2" s="13" t="s">
        <v>122</v>
      </c>
    </row>
    <row r="4" customFormat="false" ht="23.85" hidden="false" customHeight="false" outlineLevel="0" collapsed="false">
      <c r="A4" s="14" t="s">
        <v>123</v>
      </c>
      <c r="B4" s="14" t="s">
        <v>124</v>
      </c>
      <c r="C4" s="14" t="s">
        <v>125</v>
      </c>
      <c r="D4" s="14" t="s">
        <v>126</v>
      </c>
      <c r="E4" s="14" t="s">
        <v>127</v>
      </c>
      <c r="F4" s="14" t="s">
        <v>128</v>
      </c>
      <c r="G4" s="14" t="s">
        <v>129</v>
      </c>
      <c r="H4" s="14" t="s">
        <v>130</v>
      </c>
      <c r="I4" s="14" t="s">
        <v>131</v>
      </c>
      <c r="J4" s="14" t="s">
        <v>132</v>
      </c>
      <c r="K4" s="14" t="s">
        <v>133</v>
      </c>
      <c r="L4" s="14" t="s">
        <v>134</v>
      </c>
      <c r="M4" s="14" t="s">
        <v>135</v>
      </c>
      <c r="N4" s="14" t="s">
        <v>136</v>
      </c>
      <c r="O4" s="14" t="s">
        <v>137</v>
      </c>
      <c r="P4" s="14" t="s">
        <v>138</v>
      </c>
    </row>
    <row r="5" customFormat="false" ht="117.75" hidden="false" customHeight="true" outlineLevel="0" collapsed="false">
      <c r="A5" s="4" t="n">
        <v>1</v>
      </c>
      <c r="B5" s="4" t="s">
        <v>139</v>
      </c>
      <c r="C5" s="4" t="s">
        <v>140</v>
      </c>
      <c r="D5" s="4" t="s">
        <v>141</v>
      </c>
      <c r="E5" s="4" t="s">
        <v>142</v>
      </c>
      <c r="F5" s="4" t="s">
        <v>143</v>
      </c>
      <c r="G5" s="4" t="s">
        <v>144</v>
      </c>
      <c r="H5" s="4" t="s">
        <v>145</v>
      </c>
      <c r="I5" s="4" t="s">
        <v>146</v>
      </c>
      <c r="J5" s="4" t="s">
        <v>147</v>
      </c>
      <c r="K5" s="4" t="s">
        <v>148</v>
      </c>
      <c r="L5" s="4" t="s">
        <v>149</v>
      </c>
      <c r="M5" s="20" t="s">
        <v>150</v>
      </c>
      <c r="N5" s="15" t="s">
        <v>41</v>
      </c>
      <c r="O5" s="15"/>
      <c r="P5" s="15"/>
    </row>
    <row r="6" customFormat="false" ht="117.75" hidden="false" customHeight="true" outlineLevel="0" collapsed="false">
      <c r="A6" s="4" t="n">
        <v>2</v>
      </c>
      <c r="B6" s="4" t="s">
        <v>151</v>
      </c>
      <c r="C6" s="4" t="s">
        <v>140</v>
      </c>
      <c r="D6" s="4" t="s">
        <v>152</v>
      </c>
      <c r="E6" s="4" t="s">
        <v>153</v>
      </c>
      <c r="F6" s="4" t="s">
        <v>154</v>
      </c>
      <c r="G6" s="4" t="s">
        <v>155</v>
      </c>
      <c r="H6" s="4" t="s">
        <v>145</v>
      </c>
      <c r="I6" s="4" t="s">
        <v>156</v>
      </c>
      <c r="J6" s="4" t="s">
        <v>157</v>
      </c>
      <c r="K6" s="4" t="s">
        <v>158</v>
      </c>
      <c r="L6" s="4" t="s">
        <v>159</v>
      </c>
      <c r="M6" s="20" t="s">
        <v>150</v>
      </c>
      <c r="N6" s="15" t="s">
        <v>41</v>
      </c>
      <c r="O6" s="15"/>
      <c r="P6" s="15"/>
    </row>
    <row r="7" customFormat="false" ht="117.75" hidden="false" customHeight="true" outlineLevel="0" collapsed="false">
      <c r="A7" s="4" t="n">
        <v>3</v>
      </c>
      <c r="B7" s="4" t="s">
        <v>160</v>
      </c>
      <c r="C7" s="4" t="s">
        <v>140</v>
      </c>
      <c r="D7" s="4" t="s">
        <v>161</v>
      </c>
      <c r="E7" s="4" t="s">
        <v>162</v>
      </c>
      <c r="F7" s="4" t="s">
        <v>163</v>
      </c>
      <c r="G7" s="4" t="s">
        <v>151</v>
      </c>
      <c r="H7" s="4" t="s">
        <v>145</v>
      </c>
      <c r="I7" s="4" t="s">
        <v>164</v>
      </c>
      <c r="J7" s="4" t="s">
        <v>157</v>
      </c>
      <c r="K7" s="4" t="s">
        <v>165</v>
      </c>
      <c r="L7" s="4" t="s">
        <v>166</v>
      </c>
      <c r="M7" s="20" t="s">
        <v>150</v>
      </c>
      <c r="N7" s="15" t="s">
        <v>41</v>
      </c>
      <c r="O7" s="15"/>
      <c r="P7" s="15"/>
    </row>
    <row r="8" customFormat="false" ht="117.75" hidden="false" customHeight="true" outlineLevel="0" collapsed="false">
      <c r="A8" s="4" t="n">
        <v>4</v>
      </c>
      <c r="B8" s="4" t="s">
        <v>167</v>
      </c>
      <c r="C8" s="4" t="s">
        <v>168</v>
      </c>
      <c r="D8" s="4" t="s">
        <v>169</v>
      </c>
      <c r="E8" s="4" t="s">
        <v>170</v>
      </c>
      <c r="F8" s="4" t="s">
        <v>171</v>
      </c>
      <c r="G8" s="4" t="s">
        <v>157</v>
      </c>
      <c r="H8" s="4" t="s">
        <v>145</v>
      </c>
      <c r="I8" s="4" t="s">
        <v>146</v>
      </c>
      <c r="J8" s="4" t="s">
        <v>157</v>
      </c>
      <c r="K8" s="4" t="s">
        <v>172</v>
      </c>
      <c r="L8" s="4" t="s">
        <v>173</v>
      </c>
      <c r="M8" s="4" t="s">
        <v>174</v>
      </c>
      <c r="N8" s="15" t="s">
        <v>41</v>
      </c>
      <c r="O8" s="15"/>
      <c r="P8" s="15"/>
    </row>
    <row r="9" customFormat="false" ht="117.75" hidden="false" customHeight="true" outlineLevel="0" collapsed="false">
      <c r="A9" s="4" t="n">
        <v>5</v>
      </c>
      <c r="B9" s="4" t="s">
        <v>175</v>
      </c>
      <c r="C9" s="4" t="s">
        <v>176</v>
      </c>
      <c r="D9" s="4" t="s">
        <v>177</v>
      </c>
      <c r="E9" s="4" t="s">
        <v>178</v>
      </c>
      <c r="F9" s="4" t="s">
        <v>179</v>
      </c>
      <c r="G9" s="4" t="s">
        <v>167</v>
      </c>
      <c r="H9" s="4" t="s">
        <v>145</v>
      </c>
      <c r="I9" s="4" t="s">
        <v>164</v>
      </c>
      <c r="J9" s="4" t="s">
        <v>157</v>
      </c>
      <c r="K9" s="4" t="s">
        <v>180</v>
      </c>
      <c r="L9" s="4" t="s">
        <v>181</v>
      </c>
      <c r="M9" s="4" t="s">
        <v>174</v>
      </c>
      <c r="N9" s="15" t="s">
        <v>41</v>
      </c>
      <c r="O9" s="15"/>
      <c r="P9" s="15"/>
    </row>
    <row r="10" customFormat="false" ht="117.75" hidden="false" customHeight="true" outlineLevel="0" collapsed="false">
      <c r="A10" s="4" t="n">
        <v>6</v>
      </c>
      <c r="B10" s="4" t="s">
        <v>182</v>
      </c>
      <c r="C10" s="4" t="s">
        <v>140</v>
      </c>
      <c r="D10" s="4" t="s">
        <v>183</v>
      </c>
      <c r="E10" s="4" t="s">
        <v>184</v>
      </c>
      <c r="F10" s="4" t="s">
        <v>185</v>
      </c>
      <c r="G10" s="4" t="s">
        <v>186</v>
      </c>
      <c r="H10" s="4" t="s">
        <v>145</v>
      </c>
      <c r="I10" s="4" t="s">
        <v>164</v>
      </c>
      <c r="J10" s="4" t="s">
        <v>157</v>
      </c>
      <c r="K10" s="4" t="s">
        <v>187</v>
      </c>
      <c r="L10" s="4" t="s">
        <v>188</v>
      </c>
      <c r="M10" s="20" t="s">
        <v>150</v>
      </c>
      <c r="N10" s="15" t="s">
        <v>41</v>
      </c>
      <c r="O10" s="15"/>
      <c r="P10" s="15"/>
    </row>
    <row r="11" customFormat="false" ht="117.75" hidden="false" customHeight="true" outlineLevel="0" collapsed="false">
      <c r="A11" s="4" t="n">
        <v>7</v>
      </c>
      <c r="B11" s="4" t="s">
        <v>189</v>
      </c>
      <c r="C11" s="4" t="s">
        <v>176</v>
      </c>
      <c r="D11" s="4" t="s">
        <v>190</v>
      </c>
      <c r="E11" s="4" t="s">
        <v>191</v>
      </c>
      <c r="F11" s="4" t="s">
        <v>192</v>
      </c>
      <c r="G11" s="4" t="s">
        <v>193</v>
      </c>
      <c r="H11" s="4" t="s">
        <v>145</v>
      </c>
      <c r="I11" s="4" t="s">
        <v>194</v>
      </c>
      <c r="J11" s="4" t="s">
        <v>157</v>
      </c>
      <c r="K11" s="4" t="s">
        <v>195</v>
      </c>
      <c r="L11" s="4" t="s">
        <v>196</v>
      </c>
      <c r="M11" s="20" t="s">
        <v>150</v>
      </c>
      <c r="N11" s="15" t="s">
        <v>41</v>
      </c>
      <c r="O11" s="15"/>
      <c r="P11" s="15"/>
    </row>
    <row r="12" customFormat="false" ht="117.75" hidden="false" customHeight="true" outlineLevel="0" collapsed="false">
      <c r="A12" s="4" t="n">
        <v>8</v>
      </c>
      <c r="B12" s="4" t="s">
        <v>197</v>
      </c>
      <c r="C12" s="4" t="s">
        <v>140</v>
      </c>
      <c r="D12" s="4" t="s">
        <v>198</v>
      </c>
      <c r="E12" s="4" t="s">
        <v>199</v>
      </c>
      <c r="F12" s="4" t="s">
        <v>200</v>
      </c>
      <c r="G12" s="4" t="s">
        <v>189</v>
      </c>
      <c r="H12" s="4" t="s">
        <v>145</v>
      </c>
      <c r="I12" s="4" t="s">
        <v>194</v>
      </c>
      <c r="J12" s="4" t="s">
        <v>157</v>
      </c>
      <c r="K12" s="4" t="s">
        <v>201</v>
      </c>
      <c r="L12" s="4" t="s">
        <v>202</v>
      </c>
      <c r="M12" s="20" t="s">
        <v>150</v>
      </c>
      <c r="N12" s="15" t="s">
        <v>41</v>
      </c>
      <c r="O12" s="15"/>
      <c r="P12" s="15"/>
    </row>
    <row r="13" customFormat="false" ht="117.75" hidden="false" customHeight="true" outlineLevel="0" collapsed="false">
      <c r="A13" s="4" t="n">
        <v>9</v>
      </c>
      <c r="B13" s="4" t="s">
        <v>203</v>
      </c>
      <c r="C13" s="4" t="s">
        <v>204</v>
      </c>
      <c r="D13" s="4" t="s">
        <v>205</v>
      </c>
      <c r="E13" s="4" t="s">
        <v>206</v>
      </c>
      <c r="F13" s="4" t="s">
        <v>207</v>
      </c>
      <c r="G13" s="4" t="s">
        <v>197</v>
      </c>
      <c r="H13" s="4" t="s">
        <v>145</v>
      </c>
      <c r="I13" s="4" t="s">
        <v>194</v>
      </c>
      <c r="J13" s="4" t="s">
        <v>157</v>
      </c>
      <c r="K13" s="4" t="s">
        <v>208</v>
      </c>
      <c r="L13" s="4" t="s">
        <v>209</v>
      </c>
      <c r="M13" s="20" t="s">
        <v>150</v>
      </c>
      <c r="N13" s="15" t="s">
        <v>41</v>
      </c>
      <c r="O13" s="15"/>
      <c r="P13" s="15"/>
    </row>
    <row r="14" customFormat="false" ht="117.75" hidden="false" customHeight="true" outlineLevel="0" collapsed="false">
      <c r="A14" s="4" t="n">
        <v>10</v>
      </c>
      <c r="B14" s="4" t="s">
        <v>210</v>
      </c>
      <c r="C14" s="4" t="s">
        <v>211</v>
      </c>
      <c r="D14" s="4" t="s">
        <v>212</v>
      </c>
      <c r="E14" s="4" t="s">
        <v>213</v>
      </c>
      <c r="F14" s="4" t="s">
        <v>214</v>
      </c>
      <c r="G14" s="4" t="s">
        <v>197</v>
      </c>
      <c r="H14" s="4" t="s">
        <v>145</v>
      </c>
      <c r="I14" s="4" t="s">
        <v>215</v>
      </c>
      <c r="J14" s="4" t="s">
        <v>216</v>
      </c>
      <c r="K14" s="4" t="s">
        <v>217</v>
      </c>
      <c r="L14" s="4" t="s">
        <v>218</v>
      </c>
      <c r="M14" s="20" t="s">
        <v>150</v>
      </c>
      <c r="N14" s="15" t="s">
        <v>41</v>
      </c>
      <c r="O14" s="15"/>
      <c r="P14" s="15"/>
    </row>
    <row r="15" customFormat="false" ht="117.75" hidden="false" customHeight="true" outlineLevel="0" collapsed="false">
      <c r="A15" s="4" t="n">
        <v>11</v>
      </c>
      <c r="B15" s="4" t="s">
        <v>219</v>
      </c>
      <c r="C15" s="4" t="s">
        <v>204</v>
      </c>
      <c r="D15" s="4" t="s">
        <v>220</v>
      </c>
      <c r="E15" s="4" t="s">
        <v>221</v>
      </c>
      <c r="F15" s="4" t="s">
        <v>222</v>
      </c>
      <c r="G15" s="4" t="s">
        <v>197</v>
      </c>
      <c r="H15" s="4" t="s">
        <v>145</v>
      </c>
      <c r="I15" s="4" t="s">
        <v>164</v>
      </c>
      <c r="J15" s="4" t="s">
        <v>157</v>
      </c>
      <c r="K15" s="4" t="s">
        <v>223</v>
      </c>
      <c r="L15" s="4" t="s">
        <v>224</v>
      </c>
      <c r="M15" s="4" t="s">
        <v>225</v>
      </c>
      <c r="N15" s="15" t="s">
        <v>41</v>
      </c>
      <c r="O15" s="15"/>
      <c r="P15" s="15"/>
    </row>
    <row r="16" customFormat="false" ht="117.75" hidden="false" customHeight="true" outlineLevel="0" collapsed="false">
      <c r="A16" s="4" t="n">
        <v>12</v>
      </c>
      <c r="B16" s="4" t="s">
        <v>226</v>
      </c>
      <c r="C16" s="4" t="s">
        <v>227</v>
      </c>
      <c r="D16" s="4" t="s">
        <v>228</v>
      </c>
      <c r="E16" s="4" t="s">
        <v>229</v>
      </c>
      <c r="F16" s="4" t="s">
        <v>230</v>
      </c>
      <c r="G16" s="4" t="s">
        <v>197</v>
      </c>
      <c r="H16" s="4" t="s">
        <v>145</v>
      </c>
      <c r="I16" s="4" t="s">
        <v>231</v>
      </c>
      <c r="J16" s="4" t="s">
        <v>157</v>
      </c>
      <c r="K16" s="4" t="s">
        <v>232</v>
      </c>
      <c r="L16" s="4" t="s">
        <v>233</v>
      </c>
      <c r="M16" s="4" t="s">
        <v>174</v>
      </c>
      <c r="N16" s="15" t="s">
        <v>41</v>
      </c>
      <c r="O16" s="15"/>
      <c r="P16" s="15"/>
    </row>
    <row r="17" customFormat="false" ht="117.75" hidden="false" customHeight="true" outlineLevel="0" collapsed="false">
      <c r="A17" s="4" t="n">
        <v>13</v>
      </c>
      <c r="B17" s="4" t="s">
        <v>234</v>
      </c>
      <c r="C17" s="4" t="s">
        <v>235</v>
      </c>
      <c r="D17" s="4" t="s">
        <v>236</v>
      </c>
      <c r="E17" s="4" t="s">
        <v>237</v>
      </c>
      <c r="F17" s="4" t="s">
        <v>238</v>
      </c>
      <c r="G17" s="4" t="s">
        <v>239</v>
      </c>
      <c r="H17" s="4" t="s">
        <v>145</v>
      </c>
      <c r="I17" s="4" t="s">
        <v>240</v>
      </c>
      <c r="J17" s="4" t="s">
        <v>241</v>
      </c>
      <c r="K17" s="4" t="s">
        <v>242</v>
      </c>
      <c r="L17" s="4" t="s">
        <v>243</v>
      </c>
      <c r="M17" s="4" t="s">
        <v>174</v>
      </c>
      <c r="N17" s="15" t="s">
        <v>41</v>
      </c>
      <c r="O17" s="15"/>
      <c r="P17" s="15"/>
    </row>
    <row r="18" customFormat="false" ht="117.75" hidden="false" customHeight="true" outlineLevel="0" collapsed="false">
      <c r="A18" s="4" t="n">
        <v>14</v>
      </c>
      <c r="B18" s="4" t="s">
        <v>244</v>
      </c>
      <c r="C18" s="4" t="s">
        <v>245</v>
      </c>
      <c r="D18" s="4" t="s">
        <v>246</v>
      </c>
      <c r="E18" s="4" t="s">
        <v>247</v>
      </c>
      <c r="F18" s="4" t="s">
        <v>248</v>
      </c>
      <c r="G18" s="4" t="s">
        <v>249</v>
      </c>
      <c r="H18" s="4" t="s">
        <v>145</v>
      </c>
      <c r="I18" s="4" t="s">
        <v>250</v>
      </c>
      <c r="J18" s="4" t="s">
        <v>251</v>
      </c>
      <c r="K18" s="4" t="s">
        <v>252</v>
      </c>
      <c r="L18" s="4" t="s">
        <v>253</v>
      </c>
      <c r="M18" s="4" t="s">
        <v>174</v>
      </c>
      <c r="N18" s="15" t="s">
        <v>41</v>
      </c>
      <c r="O18" s="15"/>
      <c r="P18" s="15"/>
    </row>
    <row r="19" customFormat="false" ht="117.75" hidden="false" customHeight="true" outlineLevel="0" collapsed="false">
      <c r="A19" s="4" t="n">
        <v>15</v>
      </c>
      <c r="B19" s="4" t="s">
        <v>254</v>
      </c>
      <c r="C19" s="4" t="s">
        <v>255</v>
      </c>
      <c r="D19" s="4" t="s">
        <v>256</v>
      </c>
      <c r="E19" s="4" t="s">
        <v>257</v>
      </c>
      <c r="F19" s="4" t="s">
        <v>258</v>
      </c>
      <c r="G19" s="4" t="s">
        <v>197</v>
      </c>
      <c r="H19" s="4" t="s">
        <v>259</v>
      </c>
      <c r="I19" s="4" t="s">
        <v>260</v>
      </c>
      <c r="J19" s="4" t="s">
        <v>261</v>
      </c>
      <c r="K19" s="4" t="s">
        <v>262</v>
      </c>
      <c r="L19" s="4" t="s">
        <v>263</v>
      </c>
      <c r="M19" s="4" t="s">
        <v>225</v>
      </c>
      <c r="N19" s="15" t="s">
        <v>41</v>
      </c>
      <c r="O19" s="15"/>
      <c r="P19" s="15"/>
    </row>
    <row r="20" customFormat="false" ht="117.75" hidden="false" customHeight="true" outlineLevel="0" collapsed="false">
      <c r="A20" s="4" t="n">
        <v>16</v>
      </c>
      <c r="B20" s="4" t="s">
        <v>264</v>
      </c>
      <c r="C20" s="4" t="s">
        <v>265</v>
      </c>
      <c r="D20" s="4" t="s">
        <v>266</v>
      </c>
      <c r="E20" s="4" t="s">
        <v>267</v>
      </c>
      <c r="F20" s="4" t="s">
        <v>268</v>
      </c>
      <c r="G20" s="4" t="s">
        <v>157</v>
      </c>
      <c r="H20" s="4" t="s">
        <v>145</v>
      </c>
      <c r="I20" s="4" t="s">
        <v>164</v>
      </c>
      <c r="J20" s="4" t="s">
        <v>157</v>
      </c>
      <c r="K20" s="4" t="s">
        <v>269</v>
      </c>
      <c r="L20" s="4" t="s">
        <v>270</v>
      </c>
      <c r="M20" s="4" t="s">
        <v>225</v>
      </c>
      <c r="N20" s="15" t="s">
        <v>41</v>
      </c>
      <c r="O20" s="15"/>
      <c r="P20" s="15"/>
    </row>
    <row r="21" customFormat="false" ht="117.75" hidden="false" customHeight="true" outlineLevel="0" collapsed="false">
      <c r="A21" s="4" t="n">
        <v>17</v>
      </c>
      <c r="B21" s="4" t="s">
        <v>271</v>
      </c>
      <c r="C21" s="4" t="s">
        <v>265</v>
      </c>
      <c r="D21" s="4" t="s">
        <v>272</v>
      </c>
      <c r="E21" s="4" t="s">
        <v>273</v>
      </c>
      <c r="F21" s="4" t="s">
        <v>274</v>
      </c>
      <c r="G21" s="4" t="s">
        <v>275</v>
      </c>
      <c r="H21" s="4" t="s">
        <v>145</v>
      </c>
      <c r="I21" s="4" t="s">
        <v>276</v>
      </c>
      <c r="J21" s="4" t="s">
        <v>157</v>
      </c>
      <c r="K21" s="4" t="s">
        <v>277</v>
      </c>
      <c r="L21" s="4" t="s">
        <v>278</v>
      </c>
      <c r="M21" s="4" t="s">
        <v>225</v>
      </c>
      <c r="N21" s="15" t="s">
        <v>41</v>
      </c>
      <c r="O21" s="15"/>
      <c r="P21" s="15"/>
    </row>
    <row r="22" customFormat="false" ht="117.75" hidden="false" customHeight="true" outlineLevel="0" collapsed="false">
      <c r="A22" s="4" t="n">
        <v>18</v>
      </c>
      <c r="B22" s="4" t="s">
        <v>279</v>
      </c>
      <c r="C22" s="4" t="s">
        <v>280</v>
      </c>
      <c r="D22" s="4" t="s">
        <v>281</v>
      </c>
      <c r="E22" s="4" t="s">
        <v>282</v>
      </c>
      <c r="F22" s="4" t="s">
        <v>283</v>
      </c>
      <c r="G22" s="4" t="s">
        <v>284</v>
      </c>
      <c r="H22" s="4" t="s">
        <v>145</v>
      </c>
      <c r="I22" s="4" t="s">
        <v>285</v>
      </c>
      <c r="J22" s="4" t="s">
        <v>286</v>
      </c>
      <c r="K22" s="4" t="s">
        <v>287</v>
      </c>
      <c r="L22" s="4" t="s">
        <v>288</v>
      </c>
      <c r="M22" s="4" t="s">
        <v>174</v>
      </c>
      <c r="N22" s="15" t="s">
        <v>41</v>
      </c>
      <c r="O22" s="15"/>
      <c r="P22" s="15"/>
    </row>
    <row r="23" customFormat="false" ht="117.75" hidden="false" customHeight="true" outlineLevel="0" collapsed="false">
      <c r="A23" s="4" t="n">
        <v>19</v>
      </c>
      <c r="B23" s="4" t="s">
        <v>289</v>
      </c>
      <c r="C23" s="4" t="s">
        <v>290</v>
      </c>
      <c r="D23" s="4" t="s">
        <v>291</v>
      </c>
      <c r="E23" s="4" t="s">
        <v>292</v>
      </c>
      <c r="F23" s="4" t="s">
        <v>293</v>
      </c>
      <c r="G23" s="4" t="s">
        <v>294</v>
      </c>
      <c r="H23" s="4" t="s">
        <v>145</v>
      </c>
      <c r="I23" s="4" t="s">
        <v>295</v>
      </c>
      <c r="J23" s="4" t="s">
        <v>296</v>
      </c>
      <c r="K23" s="4" t="s">
        <v>297</v>
      </c>
      <c r="L23" s="4" t="s">
        <v>298</v>
      </c>
      <c r="M23" s="20" t="s">
        <v>150</v>
      </c>
      <c r="N23" s="15" t="s">
        <v>41</v>
      </c>
      <c r="O23" s="15"/>
      <c r="P23" s="15"/>
    </row>
    <row r="24" customFormat="false" ht="32.8" hidden="false" customHeight="false" outlineLevel="0" collapsed="false">
      <c r="A24" s="21"/>
      <c r="B24" s="21" t="s">
        <v>299</v>
      </c>
      <c r="C24" s="21" t="s">
        <v>300</v>
      </c>
      <c r="D24" s="21" t="s">
        <v>301</v>
      </c>
      <c r="E24" s="21" t="s">
        <v>300</v>
      </c>
      <c r="F24" s="21" t="s">
        <v>300</v>
      </c>
      <c r="G24" s="21" t="s">
        <v>300</v>
      </c>
      <c r="H24" s="21" t="s">
        <v>300</v>
      </c>
      <c r="I24" s="21" t="s">
        <v>300</v>
      </c>
      <c r="J24" s="21" t="s">
        <v>300</v>
      </c>
      <c r="K24" s="21" t="s">
        <v>300</v>
      </c>
      <c r="L24" s="21" t="s">
        <v>300</v>
      </c>
      <c r="M24" s="21" t="s">
        <v>300</v>
      </c>
      <c r="N24" s="21" t="s">
        <v>50</v>
      </c>
      <c r="O24" s="21" t="s">
        <v>302</v>
      </c>
      <c r="P24" s="21" t="s">
        <v>303</v>
      </c>
    </row>
  </sheetData>
  <dataValidations count="1">
    <dataValidation allowBlank="true" errorStyle="stop" operator="between" showDropDown="false" showErrorMessage="false" showInputMessage="false" sqref="N5:N24" type="list">
      <formula1>"Not started,In progress,Blocked,Done,N/A"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62"/>
    <col collapsed="false" customWidth="true" hidden="false" outlineLevel="0" max="4" min="4" style="0" width="44"/>
    <col collapsed="false" customWidth="true" hidden="false" outlineLevel="0" max="5" min="5" style="0" width="66"/>
  </cols>
  <sheetData>
    <row r="1" customFormat="false" ht="17.35" hidden="false" customHeight="false" outlineLevel="0" collapsed="false">
      <c r="A1" s="5" t="s">
        <v>304</v>
      </c>
    </row>
    <row r="2" customFormat="false" ht="30" hidden="false" customHeight="true" outlineLevel="0" collapsed="false">
      <c r="A2" s="13" t="s">
        <v>305</v>
      </c>
    </row>
    <row r="4" customFormat="false" ht="15" hidden="false" customHeight="false" outlineLevel="0" collapsed="false">
      <c r="A4" s="14" t="s">
        <v>306</v>
      </c>
      <c r="B4" s="14" t="s">
        <v>307</v>
      </c>
      <c r="C4" s="14" t="s">
        <v>308</v>
      </c>
      <c r="D4" s="14" t="s">
        <v>309</v>
      </c>
      <c r="E4" s="14" t="s">
        <v>310</v>
      </c>
    </row>
    <row r="5" customFormat="false" ht="60" hidden="false" customHeight="true" outlineLevel="0" collapsed="false">
      <c r="A5" s="4" t="s">
        <v>59</v>
      </c>
      <c r="B5" s="4" t="s">
        <v>311</v>
      </c>
      <c r="C5" s="22" t="s">
        <v>312</v>
      </c>
      <c r="D5" s="4" t="s">
        <v>313</v>
      </c>
      <c r="E5" s="4" t="s">
        <v>314</v>
      </c>
    </row>
    <row r="6" customFormat="false" ht="60" hidden="false" customHeight="true" outlineLevel="0" collapsed="false">
      <c r="A6" s="4" t="s">
        <v>62</v>
      </c>
      <c r="B6" s="4" t="s">
        <v>315</v>
      </c>
      <c r="C6" s="22" t="s">
        <v>316</v>
      </c>
      <c r="D6" s="4" t="s">
        <v>317</v>
      </c>
      <c r="E6" s="4" t="s">
        <v>318</v>
      </c>
    </row>
    <row r="7" customFormat="false" ht="60" hidden="false" customHeight="true" outlineLevel="0" collapsed="false">
      <c r="A7" s="4" t="s">
        <v>65</v>
      </c>
      <c r="B7" s="4" t="s">
        <v>319</v>
      </c>
      <c r="C7" s="22" t="s">
        <v>320</v>
      </c>
      <c r="D7" s="4" t="s">
        <v>321</v>
      </c>
      <c r="E7" s="4" t="s">
        <v>322</v>
      </c>
    </row>
    <row r="8" customFormat="false" ht="60" hidden="false" customHeight="true" outlineLevel="0" collapsed="false">
      <c r="A8" s="4" t="s">
        <v>323</v>
      </c>
      <c r="B8" s="4" t="s">
        <v>324</v>
      </c>
      <c r="C8" s="22" t="s">
        <v>325</v>
      </c>
      <c r="D8" s="4" t="s">
        <v>326</v>
      </c>
      <c r="E8" s="4" t="s">
        <v>327</v>
      </c>
    </row>
    <row r="9" customFormat="false" ht="60" hidden="false" customHeight="true" outlineLevel="0" collapsed="false">
      <c r="A9" s="4" t="s">
        <v>328</v>
      </c>
      <c r="B9" s="4" t="s">
        <v>329</v>
      </c>
      <c r="C9" s="22" t="s">
        <v>330</v>
      </c>
      <c r="D9" s="4" t="s">
        <v>331</v>
      </c>
      <c r="E9" s="4" t="s">
        <v>332</v>
      </c>
    </row>
    <row r="10" customFormat="false" ht="60" hidden="false" customHeight="true" outlineLevel="0" collapsed="false">
      <c r="A10" s="4" t="s">
        <v>333</v>
      </c>
      <c r="B10" s="4" t="s">
        <v>334</v>
      </c>
      <c r="C10" s="22" t="s">
        <v>335</v>
      </c>
      <c r="D10" s="4" t="s">
        <v>336</v>
      </c>
      <c r="E10" s="4" t="s">
        <v>337</v>
      </c>
    </row>
    <row r="11" customFormat="false" ht="60" hidden="false" customHeight="true" outlineLevel="0" collapsed="false">
      <c r="A11" s="4" t="s">
        <v>338</v>
      </c>
      <c r="B11" s="4" t="s">
        <v>339</v>
      </c>
      <c r="C11" s="22" t="s">
        <v>340</v>
      </c>
      <c r="D11" s="4" t="s">
        <v>341</v>
      </c>
      <c r="E11" s="4" t="s">
        <v>342</v>
      </c>
    </row>
    <row r="12" customFormat="false" ht="60" hidden="false" customHeight="true" outlineLevel="0" collapsed="false">
      <c r="A12" s="4" t="s">
        <v>343</v>
      </c>
      <c r="B12" s="4" t="s">
        <v>344</v>
      </c>
      <c r="C12" s="22" t="s">
        <v>345</v>
      </c>
      <c r="D12" s="4" t="s">
        <v>346</v>
      </c>
      <c r="E12" s="4" t="s">
        <v>347</v>
      </c>
    </row>
    <row r="13" customFormat="false" ht="60" hidden="false" customHeight="true" outlineLevel="0" collapsed="false">
      <c r="A13" s="4" t="s">
        <v>348</v>
      </c>
      <c r="B13" s="4" t="s">
        <v>190</v>
      </c>
      <c r="C13" s="22" t="s">
        <v>349</v>
      </c>
      <c r="D13" s="4" t="s">
        <v>350</v>
      </c>
      <c r="E13" s="4" t="s">
        <v>351</v>
      </c>
    </row>
    <row r="14" customFormat="false" ht="60" hidden="false" customHeight="true" outlineLevel="0" collapsed="false">
      <c r="A14" s="4" t="s">
        <v>352</v>
      </c>
      <c r="B14" s="4" t="s">
        <v>353</v>
      </c>
      <c r="C14" s="22" t="s">
        <v>354</v>
      </c>
      <c r="D14" s="4" t="s">
        <v>355</v>
      </c>
      <c r="E14" s="4" t="s">
        <v>356</v>
      </c>
    </row>
    <row r="15" customFormat="false" ht="60" hidden="false" customHeight="true" outlineLevel="0" collapsed="false">
      <c r="A15" s="4" t="s">
        <v>357</v>
      </c>
      <c r="B15" s="4" t="s">
        <v>358</v>
      </c>
      <c r="C15" s="22" t="s">
        <v>359</v>
      </c>
      <c r="D15" s="4" t="s">
        <v>360</v>
      </c>
      <c r="E15" s="4" t="s">
        <v>361</v>
      </c>
    </row>
    <row r="16" customFormat="false" ht="60" hidden="false" customHeight="true" outlineLevel="0" collapsed="false">
      <c r="A16" s="4" t="s">
        <v>362</v>
      </c>
      <c r="B16" s="4" t="s">
        <v>363</v>
      </c>
      <c r="C16" s="22" t="s">
        <v>364</v>
      </c>
      <c r="D16" s="4" t="s">
        <v>365</v>
      </c>
      <c r="E16" s="4" t="s">
        <v>366</v>
      </c>
    </row>
    <row r="17" customFormat="false" ht="60" hidden="false" customHeight="true" outlineLevel="0" collapsed="false">
      <c r="A17" s="4" t="s">
        <v>367</v>
      </c>
      <c r="B17" s="4" t="s">
        <v>368</v>
      </c>
      <c r="C17" s="22" t="s">
        <v>369</v>
      </c>
      <c r="D17" s="4" t="s">
        <v>370</v>
      </c>
      <c r="E17" s="4" t="s">
        <v>371</v>
      </c>
    </row>
    <row r="18" customFormat="false" ht="60" hidden="false" customHeight="true" outlineLevel="0" collapsed="false">
      <c r="A18" s="4" t="s">
        <v>372</v>
      </c>
      <c r="B18" s="4" t="s">
        <v>373</v>
      </c>
      <c r="C18" s="22" t="s">
        <v>374</v>
      </c>
      <c r="D18" s="4" t="s">
        <v>375</v>
      </c>
      <c r="E18" s="4" t="s">
        <v>376</v>
      </c>
    </row>
    <row r="19" customFormat="false" ht="60" hidden="false" customHeight="true" outlineLevel="0" collapsed="false">
      <c r="A19" s="4" t="s">
        <v>377</v>
      </c>
      <c r="B19" s="4" t="s">
        <v>378</v>
      </c>
      <c r="C19" s="22" t="s">
        <v>379</v>
      </c>
      <c r="D19" s="4" t="s">
        <v>380</v>
      </c>
      <c r="E19" s="4" t="s">
        <v>381</v>
      </c>
    </row>
    <row r="20" customFormat="false" ht="60" hidden="false" customHeight="true" outlineLevel="0" collapsed="false">
      <c r="A20" s="4" t="s">
        <v>382</v>
      </c>
      <c r="B20" s="4" t="s">
        <v>383</v>
      </c>
      <c r="C20" s="22" t="s">
        <v>384</v>
      </c>
      <c r="D20" s="4" t="s">
        <v>385</v>
      </c>
      <c r="E20" s="4" t="s">
        <v>386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8"/>
    <col collapsed="false" customWidth="true" hidden="false" outlineLevel="0" max="3" min="3" style="0" width="22"/>
    <col collapsed="false" customWidth="true" hidden="false" outlineLevel="0" max="4" min="4" style="0" width="52"/>
    <col collapsed="false" customWidth="true" hidden="false" outlineLevel="0" max="5" min="5" style="0" width="74"/>
    <col collapsed="false" customWidth="true" hidden="false" outlineLevel="0" max="6" min="6" style="0" width="40"/>
    <col collapsed="false" customWidth="true" hidden="false" outlineLevel="0" max="7" min="7" style="0" width="26"/>
  </cols>
  <sheetData>
    <row r="1" customFormat="false" ht="17.35" hidden="false" customHeight="false" outlineLevel="0" collapsed="false">
      <c r="A1" s="5" t="s">
        <v>387</v>
      </c>
    </row>
    <row r="2" customFormat="false" ht="30" hidden="false" customHeight="true" outlineLevel="0" collapsed="false">
      <c r="A2" s="13" t="s">
        <v>388</v>
      </c>
    </row>
    <row r="4" customFormat="false" ht="15" hidden="false" customHeight="false" outlineLevel="0" collapsed="false">
      <c r="A4" s="14" t="s">
        <v>124</v>
      </c>
      <c r="B4" s="14" t="s">
        <v>389</v>
      </c>
      <c r="C4" s="14" t="s">
        <v>390</v>
      </c>
      <c r="D4" s="14" t="s">
        <v>391</v>
      </c>
      <c r="E4" s="14" t="s">
        <v>392</v>
      </c>
      <c r="F4" s="14" t="s">
        <v>393</v>
      </c>
      <c r="G4" s="14" t="s">
        <v>394</v>
      </c>
    </row>
    <row r="5" customFormat="false" ht="96" hidden="false" customHeight="true" outlineLevel="0" collapsed="false">
      <c r="A5" s="4" t="s">
        <v>395</v>
      </c>
      <c r="B5" s="4" t="s">
        <v>396</v>
      </c>
      <c r="C5" s="4" t="s">
        <v>397</v>
      </c>
      <c r="D5" s="4" t="s">
        <v>398</v>
      </c>
      <c r="E5" s="4" t="s">
        <v>399</v>
      </c>
      <c r="F5" s="4" t="s">
        <v>400</v>
      </c>
      <c r="G5" s="15" t="s">
        <v>401</v>
      </c>
    </row>
    <row r="6" customFormat="false" ht="96" hidden="false" customHeight="true" outlineLevel="0" collapsed="false">
      <c r="A6" s="4" t="s">
        <v>402</v>
      </c>
      <c r="B6" s="4" t="s">
        <v>403</v>
      </c>
      <c r="C6" s="4" t="s">
        <v>397</v>
      </c>
      <c r="D6" s="4" t="s">
        <v>404</v>
      </c>
      <c r="E6" s="4" t="s">
        <v>405</v>
      </c>
      <c r="F6" s="4" t="s">
        <v>406</v>
      </c>
      <c r="G6" s="15" t="s">
        <v>401</v>
      </c>
    </row>
    <row r="7" customFormat="false" ht="96" hidden="false" customHeight="true" outlineLevel="0" collapsed="false">
      <c r="A7" s="4" t="s">
        <v>407</v>
      </c>
      <c r="B7" s="4" t="s">
        <v>408</v>
      </c>
      <c r="C7" s="4" t="s">
        <v>409</v>
      </c>
      <c r="D7" s="4" t="s">
        <v>410</v>
      </c>
      <c r="E7" s="4" t="s">
        <v>411</v>
      </c>
      <c r="F7" s="4" t="s">
        <v>412</v>
      </c>
      <c r="G7" s="15" t="s">
        <v>401</v>
      </c>
    </row>
    <row r="8" customFormat="false" ht="96" hidden="false" customHeight="true" outlineLevel="0" collapsed="false">
      <c r="A8" s="4" t="s">
        <v>413</v>
      </c>
      <c r="B8" s="4" t="s">
        <v>414</v>
      </c>
      <c r="C8" s="4" t="s">
        <v>415</v>
      </c>
      <c r="D8" s="4" t="s">
        <v>416</v>
      </c>
      <c r="E8" s="4" t="s">
        <v>417</v>
      </c>
      <c r="F8" s="4" t="s">
        <v>418</v>
      </c>
      <c r="G8" s="15" t="s">
        <v>401</v>
      </c>
    </row>
    <row r="9" customFormat="false" ht="96" hidden="false" customHeight="true" outlineLevel="0" collapsed="false">
      <c r="A9" s="4" t="s">
        <v>419</v>
      </c>
      <c r="B9" s="4" t="s">
        <v>420</v>
      </c>
      <c r="C9" s="4" t="s">
        <v>421</v>
      </c>
      <c r="D9" s="4" t="s">
        <v>422</v>
      </c>
      <c r="E9" s="4" t="s">
        <v>423</v>
      </c>
      <c r="F9" s="4" t="s">
        <v>424</v>
      </c>
      <c r="G9" s="15" t="s">
        <v>401</v>
      </c>
    </row>
    <row r="10" customFormat="false" ht="96" hidden="false" customHeight="true" outlineLevel="0" collapsed="false">
      <c r="A10" s="4" t="s">
        <v>425</v>
      </c>
      <c r="B10" s="4" t="s">
        <v>426</v>
      </c>
      <c r="C10" s="4" t="s">
        <v>427</v>
      </c>
      <c r="D10" s="4" t="s">
        <v>428</v>
      </c>
      <c r="E10" s="4" t="s">
        <v>429</v>
      </c>
      <c r="F10" s="4" t="s">
        <v>430</v>
      </c>
      <c r="G10" s="15" t="s">
        <v>401</v>
      </c>
    </row>
    <row r="11" customFormat="false" ht="96" hidden="false" customHeight="true" outlineLevel="0" collapsed="false">
      <c r="A11" s="4" t="s">
        <v>431</v>
      </c>
      <c r="B11" s="4" t="s">
        <v>432</v>
      </c>
      <c r="C11" s="4" t="s">
        <v>433</v>
      </c>
      <c r="D11" s="4" t="s">
        <v>434</v>
      </c>
      <c r="E11" s="4" t="s">
        <v>435</v>
      </c>
      <c r="F11" s="4" t="s">
        <v>436</v>
      </c>
      <c r="G11" s="15" t="s">
        <v>401</v>
      </c>
    </row>
    <row r="12" customFormat="false" ht="96" hidden="false" customHeight="true" outlineLevel="0" collapsed="false">
      <c r="A12" s="4" t="s">
        <v>437</v>
      </c>
      <c r="B12" s="4" t="s">
        <v>438</v>
      </c>
      <c r="C12" s="4" t="s">
        <v>439</v>
      </c>
      <c r="D12" s="4" t="s">
        <v>440</v>
      </c>
      <c r="E12" s="4" t="s">
        <v>441</v>
      </c>
      <c r="F12" s="4" t="s">
        <v>442</v>
      </c>
      <c r="G12" s="15" t="s">
        <v>401</v>
      </c>
    </row>
    <row r="13" customFormat="false" ht="96" hidden="false" customHeight="true" outlineLevel="0" collapsed="false">
      <c r="A13" s="4" t="s">
        <v>443</v>
      </c>
      <c r="B13" s="4" t="s">
        <v>444</v>
      </c>
      <c r="C13" s="4" t="s">
        <v>445</v>
      </c>
      <c r="D13" s="4" t="s">
        <v>446</v>
      </c>
      <c r="E13" s="4" t="s">
        <v>447</v>
      </c>
      <c r="F13" s="4" t="s">
        <v>448</v>
      </c>
      <c r="G13" s="15" t="s">
        <v>401</v>
      </c>
    </row>
    <row r="14" customFormat="false" ht="96" hidden="false" customHeight="true" outlineLevel="0" collapsed="false">
      <c r="A14" s="4" t="s">
        <v>449</v>
      </c>
      <c r="B14" s="4" t="s">
        <v>450</v>
      </c>
      <c r="C14" s="4" t="s">
        <v>451</v>
      </c>
      <c r="D14" s="4" t="s">
        <v>452</v>
      </c>
      <c r="E14" s="4" t="s">
        <v>453</v>
      </c>
      <c r="F14" s="4" t="s">
        <v>454</v>
      </c>
      <c r="G14" s="15" t="s">
        <v>401</v>
      </c>
    </row>
  </sheetData>
  <dataValidations count="1">
    <dataValidation allowBlank="true" errorStyle="stop" operator="between" showDropDown="false" showErrorMessage="false" showInputMessage="false" sqref="G5:G14" type="list">
      <formula1>"Not decided,Ratified,Amended,Deferred,Rejected"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50"/>
    <col collapsed="false" customWidth="true" hidden="false" outlineLevel="0" max="4" min="4" style="0" width="66"/>
    <col collapsed="false" customWidth="true" hidden="false" outlineLevel="0" max="5" min="5" style="0" width="30"/>
    <col collapsed="false" customWidth="true" hidden="false" outlineLevel="0" max="6" min="6" style="0" width="26"/>
  </cols>
  <sheetData>
    <row r="1" customFormat="false" ht="17.35" hidden="false" customHeight="false" outlineLevel="0" collapsed="false">
      <c r="A1" s="5" t="s">
        <v>455</v>
      </c>
    </row>
    <row r="2" customFormat="false" ht="30" hidden="false" customHeight="true" outlineLevel="0" collapsed="false">
      <c r="A2" s="13" t="s">
        <v>456</v>
      </c>
    </row>
    <row r="4" customFormat="false" ht="15" hidden="false" customHeight="false" outlineLevel="0" collapsed="false">
      <c r="A4" s="14" t="s">
        <v>124</v>
      </c>
      <c r="B4" s="14" t="s">
        <v>390</v>
      </c>
      <c r="C4" s="14" t="s">
        <v>457</v>
      </c>
      <c r="D4" s="14" t="s">
        <v>458</v>
      </c>
      <c r="E4" s="14" t="s">
        <v>459</v>
      </c>
      <c r="F4" s="14" t="s">
        <v>460</v>
      </c>
    </row>
    <row r="5" customFormat="false" ht="15" hidden="false" customHeight="false" outlineLevel="0" collapsed="false">
      <c r="A5" s="4" t="s">
        <v>461</v>
      </c>
      <c r="B5" s="4" t="s">
        <v>462</v>
      </c>
      <c r="C5" s="4" t="s">
        <v>463</v>
      </c>
      <c r="D5" s="4" t="s">
        <v>464</v>
      </c>
      <c r="E5" s="4" t="s">
        <v>465</v>
      </c>
      <c r="F5" s="15"/>
    </row>
    <row r="6" customFormat="false" ht="23.85" hidden="false" customHeight="false" outlineLevel="0" collapsed="false">
      <c r="A6" s="4" t="s">
        <v>466</v>
      </c>
      <c r="B6" s="4" t="s">
        <v>462</v>
      </c>
      <c r="C6" s="4" t="s">
        <v>467</v>
      </c>
      <c r="D6" s="4" t="s">
        <v>468</v>
      </c>
      <c r="E6" s="4" t="s">
        <v>465</v>
      </c>
      <c r="F6" s="15"/>
    </row>
    <row r="7" customFormat="false" ht="15" hidden="false" customHeight="false" outlineLevel="0" collapsed="false">
      <c r="A7" s="4" t="s">
        <v>469</v>
      </c>
      <c r="B7" s="4" t="s">
        <v>462</v>
      </c>
      <c r="C7" s="4" t="s">
        <v>470</v>
      </c>
      <c r="D7" s="4" t="s">
        <v>471</v>
      </c>
      <c r="E7" s="4" t="s">
        <v>421</v>
      </c>
      <c r="F7" s="15"/>
    </row>
    <row r="8" customFormat="false" ht="23.85" hidden="false" customHeight="false" outlineLevel="0" collapsed="false">
      <c r="A8" s="4" t="s">
        <v>472</v>
      </c>
      <c r="B8" s="4" t="s">
        <v>473</v>
      </c>
      <c r="C8" s="4" t="s">
        <v>474</v>
      </c>
      <c r="D8" s="4" t="s">
        <v>475</v>
      </c>
      <c r="E8" s="4" t="s">
        <v>476</v>
      </c>
      <c r="F8" s="15"/>
    </row>
    <row r="9" customFormat="false" ht="15" hidden="false" customHeight="false" outlineLevel="0" collapsed="false">
      <c r="A9" s="4" t="s">
        <v>477</v>
      </c>
      <c r="B9" s="4" t="s">
        <v>473</v>
      </c>
      <c r="C9" s="4" t="s">
        <v>478</v>
      </c>
      <c r="D9" s="4" t="s">
        <v>479</v>
      </c>
      <c r="E9" s="4" t="s">
        <v>480</v>
      </c>
      <c r="F9" s="15"/>
    </row>
    <row r="10" customFormat="false" ht="23.85" hidden="false" customHeight="false" outlineLevel="0" collapsed="false">
      <c r="A10" s="4" t="s">
        <v>481</v>
      </c>
      <c r="B10" s="4" t="s">
        <v>473</v>
      </c>
      <c r="C10" s="4" t="s">
        <v>482</v>
      </c>
      <c r="D10" s="4" t="s">
        <v>483</v>
      </c>
      <c r="E10" s="4" t="s">
        <v>484</v>
      </c>
      <c r="F10" s="15"/>
    </row>
    <row r="11" customFormat="false" ht="23.85" hidden="false" customHeight="false" outlineLevel="0" collapsed="false">
      <c r="A11" s="4" t="s">
        <v>485</v>
      </c>
      <c r="B11" s="4" t="s">
        <v>486</v>
      </c>
      <c r="C11" s="4" t="s">
        <v>487</v>
      </c>
      <c r="D11" s="4" t="s">
        <v>488</v>
      </c>
      <c r="E11" s="4" t="s">
        <v>489</v>
      </c>
      <c r="F11" s="15"/>
    </row>
    <row r="12" customFormat="false" ht="23.85" hidden="false" customHeight="false" outlineLevel="0" collapsed="false">
      <c r="A12" s="4" t="s">
        <v>490</v>
      </c>
      <c r="B12" s="4" t="s">
        <v>204</v>
      </c>
      <c r="C12" s="4" t="s">
        <v>491</v>
      </c>
      <c r="D12" s="4" t="s">
        <v>492</v>
      </c>
      <c r="E12" s="4" t="s">
        <v>489</v>
      </c>
      <c r="F12" s="1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4"/>
    <col collapsed="false" customWidth="true" hidden="false" outlineLevel="0" max="3" min="3" style="0" width="88"/>
    <col collapsed="false" customWidth="true" hidden="false" outlineLevel="0" max="4" min="4" style="0" width="44"/>
    <col collapsed="false" customWidth="true" hidden="false" outlineLevel="0" max="5" min="5" style="0" width="18"/>
  </cols>
  <sheetData>
    <row r="1" customFormat="false" ht="17.35" hidden="false" customHeight="false" outlineLevel="0" collapsed="false">
      <c r="A1" s="5" t="s">
        <v>493</v>
      </c>
    </row>
    <row r="2" customFormat="false" ht="30" hidden="false" customHeight="true" outlineLevel="0" collapsed="false">
      <c r="A2" s="13" t="s">
        <v>494</v>
      </c>
    </row>
    <row r="4" customFormat="false" ht="15" hidden="false" customHeight="false" outlineLevel="0" collapsed="false">
      <c r="A4" s="14" t="s">
        <v>124</v>
      </c>
      <c r="B4" s="14" t="s">
        <v>126</v>
      </c>
      <c r="C4" s="14" t="s">
        <v>495</v>
      </c>
      <c r="D4" s="14" t="s">
        <v>496</v>
      </c>
      <c r="E4" s="14" t="s">
        <v>130</v>
      </c>
    </row>
    <row r="5" customFormat="false" ht="35.05" hidden="false" customHeight="false" outlineLevel="0" collapsed="false">
      <c r="A5" s="4" t="s">
        <v>497</v>
      </c>
      <c r="B5" s="4" t="s">
        <v>498</v>
      </c>
      <c r="C5" s="4" t="s">
        <v>499</v>
      </c>
      <c r="D5" s="4" t="s">
        <v>500</v>
      </c>
      <c r="E5" s="4" t="s">
        <v>501</v>
      </c>
    </row>
    <row r="6" customFormat="false" ht="35.05" hidden="false" customHeight="false" outlineLevel="0" collapsed="false">
      <c r="A6" s="4" t="s">
        <v>502</v>
      </c>
      <c r="B6" s="4" t="s">
        <v>503</v>
      </c>
      <c r="C6" s="4" t="s">
        <v>504</v>
      </c>
      <c r="D6" s="4" t="s">
        <v>505</v>
      </c>
      <c r="E6" s="4" t="s">
        <v>501</v>
      </c>
    </row>
    <row r="7" customFormat="false" ht="23.85" hidden="false" customHeight="false" outlineLevel="0" collapsed="false">
      <c r="A7" s="4" t="s">
        <v>506</v>
      </c>
      <c r="B7" s="4" t="s">
        <v>507</v>
      </c>
      <c r="C7" s="4" t="s">
        <v>508</v>
      </c>
      <c r="D7" s="4" t="s">
        <v>509</v>
      </c>
      <c r="E7" s="4" t="s">
        <v>510</v>
      </c>
    </row>
    <row r="8" customFormat="false" ht="23.85" hidden="false" customHeight="false" outlineLevel="0" collapsed="false">
      <c r="A8" s="4" t="s">
        <v>511</v>
      </c>
      <c r="B8" s="4" t="s">
        <v>512</v>
      </c>
      <c r="C8" s="4" t="s">
        <v>513</v>
      </c>
      <c r="D8" s="4" t="s">
        <v>514</v>
      </c>
      <c r="E8" s="4" t="s">
        <v>515</v>
      </c>
    </row>
    <row r="9" customFormat="false" ht="23.85" hidden="false" customHeight="false" outlineLevel="0" collapsed="false">
      <c r="A9" s="4" t="s">
        <v>516</v>
      </c>
      <c r="B9" s="4" t="s">
        <v>517</v>
      </c>
      <c r="C9" s="4" t="s">
        <v>518</v>
      </c>
      <c r="D9" s="4" t="s">
        <v>519</v>
      </c>
      <c r="E9" s="4" t="s">
        <v>515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4"/>
    <col collapsed="false" customWidth="true" hidden="false" outlineLevel="0" max="5" min="3" style="0" width="20"/>
  </cols>
  <sheetData>
    <row r="1" customFormat="false" ht="17.35" hidden="false" customHeight="false" outlineLevel="0" collapsed="false">
      <c r="A1" s="5" t="s">
        <v>520</v>
      </c>
    </row>
    <row r="2" customFormat="false" ht="30" hidden="false" customHeight="true" outlineLevel="0" collapsed="false">
      <c r="A2" s="13" t="s">
        <v>521</v>
      </c>
    </row>
    <row r="4" customFormat="false" ht="15" hidden="false" customHeight="false" outlineLevel="0" collapsed="false">
      <c r="A4" s="14" t="s">
        <v>522</v>
      </c>
      <c r="B4" s="14" t="s">
        <v>523</v>
      </c>
      <c r="C4" s="14" t="s">
        <v>524</v>
      </c>
      <c r="D4" s="14" t="s">
        <v>525</v>
      </c>
      <c r="E4" s="14" t="s">
        <v>526</v>
      </c>
    </row>
    <row r="5" customFormat="false" ht="15" hidden="false" customHeight="false" outlineLevel="0" collapsed="false">
      <c r="A5" s="4" t="s">
        <v>527</v>
      </c>
      <c r="B5" s="4" t="s">
        <v>145</v>
      </c>
      <c r="C5" s="4" t="s">
        <v>145</v>
      </c>
      <c r="D5" s="4" t="s">
        <v>528</v>
      </c>
      <c r="E5" s="4" t="s">
        <v>300</v>
      </c>
    </row>
    <row r="6" customFormat="false" ht="15" hidden="false" customHeight="false" outlineLevel="0" collapsed="false">
      <c r="A6" s="4" t="s">
        <v>529</v>
      </c>
      <c r="B6" s="4" t="s">
        <v>145</v>
      </c>
      <c r="C6" s="4" t="s">
        <v>145</v>
      </c>
      <c r="D6" s="4" t="s">
        <v>528</v>
      </c>
      <c r="E6" s="4" t="s">
        <v>300</v>
      </c>
    </row>
    <row r="7" customFormat="false" ht="15" hidden="false" customHeight="false" outlineLevel="0" collapsed="false">
      <c r="A7" s="4" t="s">
        <v>530</v>
      </c>
      <c r="B7" s="4" t="s">
        <v>145</v>
      </c>
      <c r="C7" s="4" t="s">
        <v>145</v>
      </c>
      <c r="D7" s="4" t="s">
        <v>528</v>
      </c>
      <c r="E7" s="4" t="s">
        <v>300</v>
      </c>
    </row>
    <row r="8" customFormat="false" ht="15" hidden="false" customHeight="false" outlineLevel="0" collapsed="false">
      <c r="A8" s="4" t="s">
        <v>531</v>
      </c>
      <c r="B8" s="4" t="s">
        <v>532</v>
      </c>
      <c r="C8" s="4" t="s">
        <v>145</v>
      </c>
      <c r="D8" s="4" t="s">
        <v>528</v>
      </c>
      <c r="E8" s="4" t="s">
        <v>145</v>
      </c>
    </row>
    <row r="9" customFormat="false" ht="15" hidden="false" customHeight="false" outlineLevel="0" collapsed="false">
      <c r="A9" s="4" t="s">
        <v>533</v>
      </c>
      <c r="B9" s="4" t="s">
        <v>534</v>
      </c>
      <c r="C9" s="4" t="s">
        <v>145</v>
      </c>
      <c r="D9" s="4" t="s">
        <v>528</v>
      </c>
      <c r="E9" s="4" t="s">
        <v>145</v>
      </c>
    </row>
    <row r="10" customFormat="false" ht="15" hidden="false" customHeight="false" outlineLevel="0" collapsed="false">
      <c r="A10" s="4" t="s">
        <v>535</v>
      </c>
      <c r="B10" s="4" t="s">
        <v>536</v>
      </c>
      <c r="C10" s="4" t="s">
        <v>145</v>
      </c>
      <c r="D10" s="4" t="s">
        <v>528</v>
      </c>
      <c r="E10" s="4" t="s">
        <v>300</v>
      </c>
    </row>
    <row r="11" customFormat="false" ht="15" hidden="false" customHeight="false" outlineLevel="0" collapsed="false">
      <c r="A11" s="4" t="s">
        <v>537</v>
      </c>
      <c r="B11" s="4" t="s">
        <v>145</v>
      </c>
      <c r="C11" s="4" t="s">
        <v>145</v>
      </c>
      <c r="D11" s="4" t="s">
        <v>528</v>
      </c>
      <c r="E11" s="4" t="s">
        <v>300</v>
      </c>
    </row>
    <row r="12" customFormat="false" ht="15" hidden="false" customHeight="false" outlineLevel="0" collapsed="false">
      <c r="A12" s="4" t="s">
        <v>538</v>
      </c>
      <c r="B12" s="4" t="s">
        <v>145</v>
      </c>
      <c r="C12" s="4" t="s">
        <v>145</v>
      </c>
      <c r="D12" s="4" t="s">
        <v>300</v>
      </c>
      <c r="E12" s="4" t="s">
        <v>528</v>
      </c>
    </row>
    <row r="13" customFormat="false" ht="15" hidden="false" customHeight="false" outlineLevel="0" collapsed="false">
      <c r="A13" s="4" t="s">
        <v>539</v>
      </c>
      <c r="B13" s="4" t="s">
        <v>145</v>
      </c>
      <c r="C13" s="4" t="s">
        <v>145</v>
      </c>
      <c r="D13" s="4" t="s">
        <v>528</v>
      </c>
      <c r="E13" s="4" t="s">
        <v>300</v>
      </c>
    </row>
    <row r="14" customFormat="false" ht="15" hidden="false" customHeight="false" outlineLevel="0" collapsed="false">
      <c r="A14" s="4" t="s">
        <v>540</v>
      </c>
      <c r="B14" s="4" t="s">
        <v>528</v>
      </c>
      <c r="C14" s="4" t="s">
        <v>145</v>
      </c>
      <c r="D14" s="4" t="s">
        <v>300</v>
      </c>
      <c r="E14" s="4" t="s">
        <v>145</v>
      </c>
    </row>
    <row r="15" customFormat="false" ht="15" hidden="false" customHeight="false" outlineLevel="0" collapsed="false">
      <c r="A15" s="4" t="s">
        <v>541</v>
      </c>
      <c r="B15" s="4" t="s">
        <v>145</v>
      </c>
      <c r="C15" s="4" t="s">
        <v>145</v>
      </c>
      <c r="D15" s="4" t="s">
        <v>528</v>
      </c>
      <c r="E15" s="4" t="s">
        <v>300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2"/>
    <col collapsed="false" customWidth="true" hidden="false" outlineLevel="0" max="3" min="3" style="0" width="13"/>
    <col collapsed="false" customWidth="true" hidden="false" outlineLevel="0" max="4" min="4" style="0" width="11"/>
    <col collapsed="false" customWidth="true" hidden="false" outlineLevel="0" max="5" min="5" style="0" width="62"/>
    <col collapsed="false" customWidth="true" hidden="false" outlineLevel="0" max="6" min="6" style="0" width="68"/>
    <col collapsed="false" customWidth="true" hidden="false" outlineLevel="0" max="7" min="7" style="0" width="12"/>
  </cols>
  <sheetData>
    <row r="1" customFormat="false" ht="17.35" hidden="false" customHeight="false" outlineLevel="0" collapsed="false">
      <c r="A1" s="5" t="s">
        <v>542</v>
      </c>
    </row>
    <row r="2" customFormat="false" ht="30" hidden="false" customHeight="true" outlineLevel="0" collapsed="false">
      <c r="A2" s="13" t="s">
        <v>543</v>
      </c>
    </row>
    <row r="4" customFormat="false" ht="15" hidden="false" customHeight="false" outlineLevel="0" collapsed="false">
      <c r="A4" s="14" t="s">
        <v>124</v>
      </c>
      <c r="B4" s="14" t="s">
        <v>473</v>
      </c>
      <c r="C4" s="14" t="s">
        <v>544</v>
      </c>
      <c r="D4" s="14" t="s">
        <v>545</v>
      </c>
      <c r="E4" s="14" t="s">
        <v>546</v>
      </c>
      <c r="F4" s="14" t="s">
        <v>547</v>
      </c>
      <c r="G4" s="14" t="s">
        <v>8</v>
      </c>
    </row>
    <row r="5" customFormat="false" ht="35.05" hidden="false" customHeight="false" outlineLevel="0" collapsed="false">
      <c r="A5" s="4" t="s">
        <v>548</v>
      </c>
      <c r="B5" s="4" t="s">
        <v>549</v>
      </c>
      <c r="C5" s="4" t="s">
        <v>550</v>
      </c>
      <c r="D5" s="4" t="s">
        <v>551</v>
      </c>
      <c r="E5" s="4" t="s">
        <v>552</v>
      </c>
      <c r="F5" s="4" t="s">
        <v>553</v>
      </c>
      <c r="G5" s="15" t="s">
        <v>554</v>
      </c>
    </row>
    <row r="6" customFormat="false" ht="23.85" hidden="false" customHeight="false" outlineLevel="0" collapsed="false">
      <c r="A6" s="4" t="s">
        <v>555</v>
      </c>
      <c r="B6" s="4" t="s">
        <v>556</v>
      </c>
      <c r="C6" s="4" t="s">
        <v>550</v>
      </c>
      <c r="D6" s="4" t="s">
        <v>550</v>
      </c>
      <c r="E6" s="4" t="s">
        <v>557</v>
      </c>
      <c r="F6" s="4" t="s">
        <v>558</v>
      </c>
      <c r="G6" s="15" t="s">
        <v>554</v>
      </c>
    </row>
    <row r="7" customFormat="false" ht="23.85" hidden="false" customHeight="false" outlineLevel="0" collapsed="false">
      <c r="A7" s="4" t="s">
        <v>559</v>
      </c>
      <c r="B7" s="4" t="s">
        <v>560</v>
      </c>
      <c r="C7" s="4" t="s">
        <v>561</v>
      </c>
      <c r="D7" s="4" t="s">
        <v>551</v>
      </c>
      <c r="E7" s="4" t="s">
        <v>562</v>
      </c>
      <c r="F7" s="4" t="s">
        <v>563</v>
      </c>
      <c r="G7" s="15" t="s">
        <v>554</v>
      </c>
    </row>
    <row r="8" customFormat="false" ht="23.85" hidden="false" customHeight="false" outlineLevel="0" collapsed="false">
      <c r="A8" s="4" t="s">
        <v>564</v>
      </c>
      <c r="B8" s="4" t="s">
        <v>565</v>
      </c>
      <c r="C8" s="4" t="s">
        <v>550</v>
      </c>
      <c r="D8" s="4" t="s">
        <v>561</v>
      </c>
      <c r="E8" s="4" t="s">
        <v>566</v>
      </c>
      <c r="F8" s="4" t="s">
        <v>567</v>
      </c>
      <c r="G8" s="15" t="s">
        <v>554</v>
      </c>
    </row>
    <row r="9" customFormat="false" ht="15" hidden="false" customHeight="false" outlineLevel="0" collapsed="false">
      <c r="A9" s="4" t="s">
        <v>568</v>
      </c>
      <c r="B9" s="4" t="s">
        <v>569</v>
      </c>
      <c r="C9" s="4" t="s">
        <v>550</v>
      </c>
      <c r="D9" s="4" t="s">
        <v>550</v>
      </c>
      <c r="E9" s="4" t="s">
        <v>570</v>
      </c>
      <c r="F9" s="4" t="s">
        <v>571</v>
      </c>
      <c r="G9" s="15" t="s">
        <v>554</v>
      </c>
    </row>
    <row r="10" customFormat="false" ht="23.85" hidden="false" customHeight="false" outlineLevel="0" collapsed="false">
      <c r="A10" s="4" t="s">
        <v>572</v>
      </c>
      <c r="B10" s="4" t="s">
        <v>573</v>
      </c>
      <c r="C10" s="4" t="s">
        <v>551</v>
      </c>
      <c r="D10" s="4" t="s">
        <v>551</v>
      </c>
      <c r="E10" s="4" t="s">
        <v>574</v>
      </c>
      <c r="F10" s="4" t="s">
        <v>575</v>
      </c>
      <c r="G10" s="15" t="s">
        <v>554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4"/>
    <col collapsed="false" customWidth="true" hidden="false" outlineLevel="0" max="3" min="3" style="0" width="84"/>
    <col collapsed="false" customWidth="true" hidden="false" outlineLevel="0" max="5" min="4" style="0" width="38"/>
  </cols>
  <sheetData>
    <row r="1" customFormat="false" ht="17.35" hidden="false" customHeight="false" outlineLevel="0" collapsed="false">
      <c r="A1" s="5" t="s">
        <v>576</v>
      </c>
    </row>
    <row r="2" customFormat="false" ht="30" hidden="false" customHeight="true" outlineLevel="0" collapsed="false">
      <c r="A2" s="13" t="s">
        <v>577</v>
      </c>
    </row>
    <row r="4" customFormat="false" ht="15" hidden="false" customHeight="false" outlineLevel="0" collapsed="false">
      <c r="A4" s="14" t="s">
        <v>578</v>
      </c>
      <c r="B4" s="14" t="s">
        <v>579</v>
      </c>
      <c r="C4" s="14" t="s">
        <v>580</v>
      </c>
      <c r="D4" s="14" t="s">
        <v>581</v>
      </c>
      <c r="E4" s="14" t="s">
        <v>582</v>
      </c>
    </row>
    <row r="5" customFormat="false" ht="63.75" hidden="false" customHeight="true" outlineLevel="0" collapsed="false">
      <c r="A5" s="4" t="s">
        <v>583</v>
      </c>
      <c r="B5" s="4" t="s">
        <v>584</v>
      </c>
      <c r="C5" s="4" t="s">
        <v>585</v>
      </c>
      <c r="D5" s="4" t="s">
        <v>586</v>
      </c>
      <c r="E5" s="4" t="s">
        <v>587</v>
      </c>
    </row>
    <row r="6" customFormat="false" ht="63.75" hidden="false" customHeight="true" outlineLevel="0" collapsed="false">
      <c r="A6" s="4" t="s">
        <v>588</v>
      </c>
      <c r="B6" s="4" t="s">
        <v>589</v>
      </c>
      <c r="C6" s="4" t="s">
        <v>590</v>
      </c>
      <c r="D6" s="4" t="s">
        <v>591</v>
      </c>
      <c r="E6" s="4" t="s">
        <v>592</v>
      </c>
    </row>
    <row r="7" customFormat="false" ht="63.75" hidden="false" customHeight="true" outlineLevel="0" collapsed="false">
      <c r="A7" s="4" t="s">
        <v>593</v>
      </c>
      <c r="B7" s="4" t="s">
        <v>594</v>
      </c>
      <c r="C7" s="4" t="s">
        <v>595</v>
      </c>
      <c r="D7" s="4" t="s">
        <v>596</v>
      </c>
      <c r="E7" s="4" t="s">
        <v>597</v>
      </c>
    </row>
    <row r="8" customFormat="false" ht="63.75" hidden="false" customHeight="true" outlineLevel="0" collapsed="false">
      <c r="A8" s="4" t="s">
        <v>598</v>
      </c>
      <c r="B8" s="4" t="s">
        <v>599</v>
      </c>
      <c r="C8" s="4" t="s">
        <v>600</v>
      </c>
      <c r="D8" s="4" t="s">
        <v>601</v>
      </c>
      <c r="E8" s="4" t="s">
        <v>602</v>
      </c>
    </row>
    <row r="9" customFormat="false" ht="63.75" hidden="false" customHeight="true" outlineLevel="0" collapsed="false">
      <c r="A9" s="4" t="s">
        <v>603</v>
      </c>
      <c r="B9" s="4" t="s">
        <v>604</v>
      </c>
      <c r="C9" s="4" t="s">
        <v>605</v>
      </c>
      <c r="D9" s="4" t="s">
        <v>601</v>
      </c>
      <c r="E9" s="4" t="s">
        <v>606</v>
      </c>
    </row>
    <row r="10" customFormat="false" ht="63.75" hidden="false" customHeight="true" outlineLevel="0" collapsed="false">
      <c r="A10" s="4" t="s">
        <v>607</v>
      </c>
      <c r="B10" s="4" t="s">
        <v>608</v>
      </c>
      <c r="C10" s="4" t="s">
        <v>609</v>
      </c>
      <c r="D10" s="4" t="s">
        <v>610</v>
      </c>
      <c r="E10" s="4" t="s">
        <v>611</v>
      </c>
    </row>
    <row r="11" customFormat="false" ht="63.75" hidden="false" customHeight="true" outlineLevel="0" collapsed="false">
      <c r="A11" s="4" t="s">
        <v>612</v>
      </c>
      <c r="B11" s="4" t="s">
        <v>613</v>
      </c>
      <c r="C11" s="4" t="s">
        <v>614</v>
      </c>
      <c r="D11" s="4" t="s">
        <v>615</v>
      </c>
      <c r="E11" s="4" t="s">
        <v>616</v>
      </c>
    </row>
    <row r="12" customFormat="false" ht="63.75" hidden="false" customHeight="true" outlineLevel="0" collapsed="false">
      <c r="A12" s="4" t="s">
        <v>617</v>
      </c>
      <c r="B12" s="4" t="s">
        <v>618</v>
      </c>
      <c r="C12" s="4" t="s">
        <v>619</v>
      </c>
      <c r="D12" s="4" t="s">
        <v>620</v>
      </c>
      <c r="E12" s="4" t="s">
        <v>621</v>
      </c>
    </row>
    <row r="13" customFormat="false" ht="63.75" hidden="false" customHeight="true" outlineLevel="0" collapsed="false">
      <c r="A13" s="4" t="s">
        <v>622</v>
      </c>
      <c r="B13" s="4" t="s">
        <v>623</v>
      </c>
      <c r="C13" s="4" t="s">
        <v>624</v>
      </c>
      <c r="D13" s="4" t="s">
        <v>625</v>
      </c>
      <c r="E13" s="4" t="s">
        <v>626</v>
      </c>
    </row>
    <row r="14" customFormat="false" ht="63.75" hidden="false" customHeight="true" outlineLevel="0" collapsed="false">
      <c r="A14" s="4" t="s">
        <v>627</v>
      </c>
      <c r="B14" s="4" t="s">
        <v>628</v>
      </c>
      <c r="C14" s="4" t="s">
        <v>629</v>
      </c>
      <c r="D14" s="4" t="s">
        <v>630</v>
      </c>
      <c r="E14" s="4" t="s">
        <v>469</v>
      </c>
    </row>
    <row r="15" customFormat="false" ht="63.75" hidden="false" customHeight="true" outlineLevel="0" collapsed="false">
      <c r="A15" s="4" t="s">
        <v>631</v>
      </c>
      <c r="B15" s="4" t="s">
        <v>632</v>
      </c>
      <c r="C15" s="4" t="s">
        <v>633</v>
      </c>
      <c r="D15" s="4" t="s">
        <v>634</v>
      </c>
      <c r="E15" s="4" t="s">
        <v>635</v>
      </c>
    </row>
    <row r="16" customFormat="false" ht="63.75" hidden="false" customHeight="true" outlineLevel="0" collapsed="false">
      <c r="A16" s="4" t="s">
        <v>636</v>
      </c>
      <c r="B16" s="4" t="s">
        <v>637</v>
      </c>
      <c r="C16" s="4" t="s">
        <v>638</v>
      </c>
      <c r="D16" s="4" t="s">
        <v>630</v>
      </c>
      <c r="E16" s="4" t="s">
        <v>639</v>
      </c>
    </row>
    <row r="17" customFormat="false" ht="63.75" hidden="false" customHeight="true" outlineLevel="0" collapsed="false">
      <c r="A17" s="4" t="s">
        <v>640</v>
      </c>
      <c r="B17" s="4" t="s">
        <v>641</v>
      </c>
      <c r="C17" s="4" t="s">
        <v>642</v>
      </c>
      <c r="D17" s="4" t="s">
        <v>643</v>
      </c>
      <c r="E17" s="4" t="s">
        <v>644</v>
      </c>
    </row>
    <row r="18" customFormat="false" ht="63.75" hidden="false" customHeight="true" outlineLevel="0" collapsed="false">
      <c r="A18" s="4" t="s">
        <v>645</v>
      </c>
      <c r="B18" s="4" t="s">
        <v>646</v>
      </c>
      <c r="C18" s="4" t="s">
        <v>647</v>
      </c>
      <c r="D18" s="4" t="s">
        <v>648</v>
      </c>
      <c r="E18" s="4" t="s">
        <v>649</v>
      </c>
    </row>
    <row r="19" customFormat="false" ht="63.75" hidden="false" customHeight="true" outlineLevel="0" collapsed="false">
      <c r="A19" s="4" t="s">
        <v>650</v>
      </c>
      <c r="B19" s="4" t="s">
        <v>651</v>
      </c>
      <c r="C19" s="4" t="s">
        <v>652</v>
      </c>
      <c r="D19" s="4" t="s">
        <v>300</v>
      </c>
      <c r="E19" s="4" t="s">
        <v>300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20"/>
  </cols>
  <sheetData>
    <row r="1" customFormat="false" ht="17.35" hidden="false" customHeight="false" outlineLevel="0" collapsed="false">
      <c r="A1" s="5" t="s">
        <v>653</v>
      </c>
    </row>
    <row r="2" customFormat="false" ht="30" hidden="false" customHeight="true" outlineLevel="0" collapsed="false">
      <c r="A2" s="13" t="s">
        <v>654</v>
      </c>
    </row>
    <row r="4" customFormat="false" ht="15" hidden="false" customHeight="false" outlineLevel="0" collapsed="false">
      <c r="A4" s="14" t="s">
        <v>655</v>
      </c>
      <c r="B4" s="14" t="s">
        <v>656</v>
      </c>
    </row>
    <row r="5" customFormat="false" ht="15" hidden="false" customHeight="false" outlineLevel="0" collapsed="false">
      <c r="A5" s="4" t="s">
        <v>657</v>
      </c>
      <c r="B5" s="4" t="s">
        <v>658</v>
      </c>
    </row>
    <row r="6" customFormat="false" ht="15" hidden="false" customHeight="false" outlineLevel="0" collapsed="false">
      <c r="A6" s="4" t="s">
        <v>659</v>
      </c>
      <c r="B6" s="4" t="s">
        <v>660</v>
      </c>
    </row>
    <row r="7" customFormat="false" ht="15" hidden="false" customHeight="false" outlineLevel="0" collapsed="false">
      <c r="A7" s="4" t="s">
        <v>661</v>
      </c>
      <c r="B7" s="4" t="s">
        <v>662</v>
      </c>
    </row>
    <row r="8" customFormat="false" ht="15" hidden="false" customHeight="false" outlineLevel="0" collapsed="false">
      <c r="A8" s="4" t="s">
        <v>663</v>
      </c>
      <c r="B8" s="4" t="s">
        <v>664</v>
      </c>
    </row>
    <row r="9" customFormat="false" ht="15" hidden="false" customHeight="false" outlineLevel="0" collapsed="false">
      <c r="A9" s="4" t="s">
        <v>665</v>
      </c>
      <c r="B9" s="4" t="s">
        <v>666</v>
      </c>
    </row>
    <row r="10" customFormat="false" ht="15" hidden="false" customHeight="false" outlineLevel="0" collapsed="false">
      <c r="A10" s="4" t="s">
        <v>667</v>
      </c>
      <c r="B10" s="4" t="s">
        <v>668</v>
      </c>
    </row>
    <row r="11" customFormat="false" ht="15" hidden="false" customHeight="false" outlineLevel="0" collapsed="false">
      <c r="A11" s="4" t="s">
        <v>669</v>
      </c>
      <c r="B11" s="4" t="s">
        <v>670</v>
      </c>
    </row>
    <row r="12" customFormat="false" ht="15" hidden="false" customHeight="false" outlineLevel="0" collapsed="false">
      <c r="A12" s="4" t="s">
        <v>671</v>
      </c>
      <c r="B12" s="4" t="s">
        <v>672</v>
      </c>
    </row>
    <row r="13" customFormat="false" ht="15" hidden="false" customHeight="false" outlineLevel="0" collapsed="false">
      <c r="A13" s="4" t="s">
        <v>673</v>
      </c>
      <c r="B13" s="4" t="s">
        <v>674</v>
      </c>
    </row>
    <row r="14" customFormat="false" ht="15" hidden="false" customHeight="false" outlineLevel="0" collapsed="false">
      <c r="A14" s="4" t="s">
        <v>675</v>
      </c>
      <c r="B14" s="4" t="s">
        <v>676</v>
      </c>
    </row>
    <row r="15" customFormat="false" ht="15" hidden="false" customHeight="false" outlineLevel="0" collapsed="false">
      <c r="A15" s="4" t="s">
        <v>677</v>
      </c>
      <c r="B15" s="4" t="s">
        <v>678</v>
      </c>
    </row>
    <row r="16" customFormat="false" ht="15" hidden="false" customHeight="false" outlineLevel="0" collapsed="false">
      <c r="A16" s="4" t="s">
        <v>679</v>
      </c>
      <c r="B16" s="4" t="s">
        <v>680</v>
      </c>
    </row>
    <row r="17" customFormat="false" ht="15" hidden="false" customHeight="false" outlineLevel="0" collapsed="false">
      <c r="A17" s="4" t="s">
        <v>681</v>
      </c>
      <c r="B17" s="4" t="s">
        <v>682</v>
      </c>
    </row>
    <row r="18" customFormat="false" ht="15" hidden="false" customHeight="false" outlineLevel="0" collapsed="false">
      <c r="A18" s="4" t="s">
        <v>683</v>
      </c>
      <c r="B18" s="4" t="s">
        <v>684</v>
      </c>
    </row>
    <row r="19" customFormat="false" ht="15" hidden="false" customHeight="false" outlineLevel="0" collapsed="false">
      <c r="A19" s="4" t="s">
        <v>685</v>
      </c>
      <c r="B19" s="4" t="s">
        <v>686</v>
      </c>
    </row>
    <row r="20" customFormat="false" ht="15" hidden="false" customHeight="false" outlineLevel="0" collapsed="false">
      <c r="A20" s="4" t="s">
        <v>687</v>
      </c>
      <c r="B20" s="4" t="s">
        <v>688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2026-09-13T10:25:26Z</dcterms:created>
  <dc:creator>openpyxl</dc:creator>
  <dc:description/>
  <dc:language>en-US</dc:language>
  <cp:lastModifiedBy/>
  <dcterms:modified xsi:type="dcterms:W3CDTF">2026-09-13T10:25:26Z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