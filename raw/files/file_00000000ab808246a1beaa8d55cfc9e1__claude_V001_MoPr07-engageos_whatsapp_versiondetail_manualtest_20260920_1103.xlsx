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Version_Control" sheetId="2" state="visible" r:id="rId4"/>
    <sheet name="Context" sheetId="3" state="visible" r:id="rId5"/>
    <sheet name="How_To_Use" sheetId="4" state="visible" r:id="rId6"/>
    <sheet name="Version_Detail" sheetId="5" state="visible" r:id="rId7"/>
    <sheet name="Pending_Versions" sheetId="6" state="visible" r:id="rId8"/>
    <sheet name="Manual_Test_Cases" sheetId="7" state="visible" r:id="rId9"/>
    <sheet name="Test_Summary" sheetId="8" state="visible" r:id="rId10"/>
    <sheet name="Test_Environment" sheetId="9" state="visible" r:id="rId11"/>
    <sheet name="Defect_Log" sheetId="10" state="visible" r:id="rId12"/>
    <sheet name="Glossary" sheetId="11" state="visible" r:id="rId13"/>
    <sheet name="Approvals" sheetId="12" state="visible" r:id="rId14"/>
  </sheets>
  <definedNames>
    <definedName function="false" hidden="true" localSheetId="6" name="_xlnm._FilterDatabase" vbProcedure="false">Manual_Test_Cases!$A$3:$L$132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<sst xmlns="http://schemas.openxmlformats.org/spreadsheetml/2006/main" count="1774" uniqueCount="1276">
  <si>
    <t xml:space="preserve">EngageOS (003-MoPr07) — Version Detail and Manual Test Cases</t>
  </si>
  <si>
    <t xml:space="preserve">Document title</t>
  </si>
  <si>
    <t xml:space="preserve">EngageOS WhatsApp — Version Detail and Manual Test Cases</t>
  </si>
  <si>
    <t xml:space="preserve">Document ID</t>
  </si>
  <si>
    <t xml:space="preserve">claude_V001_MoPr07-engageos_whatsapp_versiondetail_manualtest</t>
  </si>
  <si>
    <t xml:space="preserve">Document version</t>
  </si>
  <si>
    <t xml:space="preserve">V001</t>
  </si>
  <si>
    <t xml:space="preserve">Status</t>
  </si>
  <si>
    <t xml:space="preserve">Released</t>
  </si>
  <si>
    <t xml:space="preserve">Classification</t>
  </si>
  <si>
    <t xml:space="preserve">Internal — AT Team</t>
  </si>
  <si>
    <t xml:space="preserve">Product</t>
  </si>
  <si>
    <t xml:space="preserve">EngageOS — WhatsApp-first engagement suite for SMEs (product code 003-MoPr07)</t>
  </si>
  <si>
    <t xml:space="preserve">Code version described</t>
  </si>
  <si>
    <t xml:space="preserve">engageos v0.46.0 (engageos_v0.46.0_src.zip)</t>
  </si>
  <si>
    <t xml:space="preserve">Companion records</t>
  </si>
  <si>
    <t xml:space="preserve">Sprint tracker claude_v042 (16 Sep 2026 18:40); product workbook claude_v047 (16 Sep 2026 18:40); external reviews ChatGPT V001 (13 Sep) and Perplexity V001 (16 Sep)</t>
  </si>
  <si>
    <t xml:space="preserve">Prepared by</t>
  </si>
  <si>
    <t xml:space="preserve">Claude for Senthil / KP</t>
  </si>
  <si>
    <t xml:space="preserve">Prepared on</t>
  </si>
  <si>
    <t xml:space="preserve">2026-09-20 11:03 (Europe/London)</t>
  </si>
  <si>
    <t xml:space="preserve">Owner / approver</t>
  </si>
  <si>
    <t xml:space="preserve">Senthil (KP)</t>
  </si>
  <si>
    <t xml:space="preserve">Reviewed by</t>
  </si>
  <si>
    <t xml:space="preserve">— (see Approvals sheet)</t>
  </si>
  <si>
    <t xml:space="preserve">Purpose</t>
  </si>
  <si>
    <t xml:space="preserve">One place that says, for every release of EngageOS, what was done and why, what is still pending and why, and how a person — not a test suite — can verify each release by hand.</t>
  </si>
  <si>
    <t xml:space="preserve">How this file is versioned</t>
  </si>
  <si>
    <t xml:space="preserve">File name carries the document version (V001, V002 …) and the build timestamp. Higher document version wins. Every change is logged on Version_Control. The code, tracker and workbook keep their own independent version numbers.</t>
  </si>
  <si>
    <t xml:space="preserve">Colour key used throughout: green = done in code and tested; amber = done in code but proven only against a fake Meta or in memory; red = not built or blocked. Yellow cells are for the tester to fill in.</t>
  </si>
  <si>
    <t xml:space="preserve">VERSION CONTROL — this document</t>
  </si>
  <si>
    <t xml:space="preserve">Version</t>
  </si>
  <si>
    <t xml:space="preserve">Date / time</t>
  </si>
  <si>
    <t xml:space="preserve">Author</t>
  </si>
  <si>
    <t xml:space="preserve">Change description</t>
  </si>
  <si>
    <t xml:space="preserve">2026-09-20 11:03</t>
  </si>
  <si>
    <t xml:space="preserve">Claude for Senthil/KP</t>
  </si>
  <si>
    <t xml:space="preserve">First issue. Version_Detail covers the pre-tracker baseline plus tracker releases v001–v042 (code v0.1.0–v0.46.0). Pending_Versions lists v043 onward and every blocked sprint from both external reviews with the reason it is pending. Manual_Test_Cases holds 129 hand-runnable cases (70 positive, 59 negative) across all versions, verified against the v0.46.0 route table and error names. Built on Senthil's 20 Sep 10:50 request; document-control sheets added on the 10:53 instruction.</t>
  </si>
  <si>
    <t xml:space="preserve">V002</t>
  </si>
  <si>
    <t xml:space="preserve">PLANNED</t>
  </si>
  <si>
    <t xml:space="preserve">Opens when code v0.47.0 ships (Perplexity PX-S1 response) or when the tester returns results in Manual_Test_Cases and Defect_Log.</t>
  </si>
  <si>
    <t xml:space="preserve">Planned</t>
  </si>
  <si>
    <t xml:space="preserve">Rule: never edit a released row. Add a new row and bump the file name.</t>
  </si>
  <si>
    <t xml:space="preserve">CONTEXT — what this document describes</t>
  </si>
  <si>
    <t xml:space="preserve">What EngageOS is</t>
  </si>
  <si>
    <t xml:space="preserve">A WhatsApp-first customer-engagement suite for small and medium businesses: a shared team inbox, campaign broadcasts, no-code chatbot flows, a catalog with UPI payment links, and analytics with a quality-rating guard. Built in TypeScript/Node against the WhatsApp Cloud API, with Hindi and Tamil UI packs and four vertical template packs.</t>
  </si>
  <si>
    <t xml:space="preserve">Who it is for</t>
  </si>
  <si>
    <t xml:space="preserve">SMEs of roughly 2–50 staff (shops, clinics, coaching centres, local services, D2C support). The specific target customer (ICP) has not yet been chosen — both external reviews name this as the largest single open decision.</t>
  </si>
  <si>
    <t xml:space="preserve">Where the product stands</t>
  </si>
  <si>
    <t xml:space="preserve">80 of 100 stories (312 of 399 points) are Done-in-code; 13 stories are Pending-live (need a real Meta WhatsApp Business Account); 6 Drafted; 1 In progress. ZERO stories are Done, because Done means listed on the marketplace and paid for by a stranger. v0.46.0 was the first release to run against a real database (PostgreSQL 16.13); nothing has ever run against real Meta.</t>
  </si>
  <si>
    <t xml:space="preserve">Source artefacts</t>
  </si>
  <si>
    <t xml:space="preserve">Code: engageos_v0.46.0_src.zip (62 suites / 512 tests, 100% coverage). Tracker: claude_v042 (Review_Findings, CG_Sprint_Plan, Gate_Checklist, Senthil_Handover, 100 log events). Workbook: claude_v047 (Full_Backlog, CG_Hardening_Programme, Risk_Register). Reviews: ChatGPT V001 (F-CG-001..018), Perplexity V001 (F-PX-001..018, PX-S1..S12).</t>
  </si>
  <si>
    <t xml:space="preserve">How versions relate</t>
  </si>
  <si>
    <t xml:space="preserve">Three independent version streams: code (v0.x.y), tracker (v0NN) and workbook (v0NN). Version_Detail is keyed by tracker release because the tracker is the execution record; each row names the code version it shipped. Workbook versions run ahead of tracker versions because the workbook was started earlier.</t>
  </si>
  <si>
    <t xml:space="preserve">Scope of the manual tests</t>
  </si>
  <si>
    <t xml:space="preserve">Every case can be run today against v0.46.0 on a laptop with Node 22, Postgres 16 and no Meta credentials. Cases that need live Meta are written as their executable stand-in (a named jest test) and say so. When Meta access arrives, the 12-step sweep in docs/LIVE_VERIFICATION_SWEEP.md is the live half.</t>
  </si>
  <si>
    <t xml:space="preserve">Out of scope</t>
  </si>
  <si>
    <t xml:space="preserve">Performance/load certification (S16), penetration testing (S17), paid-customer validation (S18) — each needs infrastructure, a vendor or strangers.</t>
  </si>
  <si>
    <t xml:space="preserve">HOW TO USE — one row per sheet</t>
  </si>
  <si>
    <t xml:space="preserve">Sheet</t>
  </si>
  <si>
    <t xml:space="preserve">What it is for</t>
  </si>
  <si>
    <t xml:space="preserve">Who edits it</t>
  </si>
  <si>
    <t xml:space="preserve">Inputs (yellow) and locked cells</t>
  </si>
  <si>
    <t xml:space="preserve">Cover</t>
  </si>
  <si>
    <t xml:space="preserve">Identity of this document.</t>
  </si>
  <si>
    <t xml:space="preserve">Claude on each issue</t>
  </si>
  <si>
    <t xml:space="preserve">None. Locked.</t>
  </si>
  <si>
    <t xml:space="preserve">Version_Control</t>
  </si>
  <si>
    <t xml:space="preserve">History of this document.</t>
  </si>
  <si>
    <t xml:space="preserve">Add a row per issue; never edit a released row.</t>
  </si>
  <si>
    <t xml:space="preserve">Context</t>
  </si>
  <si>
    <t xml:space="preserve">What the product is and where it stands, so a reader new to it can use the rest.</t>
  </si>
  <si>
    <t xml:space="preserve">Claude</t>
  </si>
  <si>
    <t xml:space="preserve">None.</t>
  </si>
  <si>
    <t xml:space="preserve">How_To_Use</t>
  </si>
  <si>
    <t xml:space="preserve">This sheet.</t>
  </si>
  <si>
    <t xml:space="preserve">Version_Detail</t>
  </si>
  <si>
    <t xml:space="preserve">One row per release: what was done and why. Read top to bottom for the story of the product.</t>
  </si>
  <si>
    <t xml:space="preserve">Claude (from the tracker)</t>
  </si>
  <si>
    <t xml:space="preserve">None. Source of truth is the tracker; this is a readable digest.</t>
  </si>
  <si>
    <t xml:space="preserve">Pending_Versions</t>
  </si>
  <si>
    <t xml:space="preserve">Everything not yet built, with the reason it is pending and who unblocks it.</t>
  </si>
  <si>
    <t xml:space="preserve">Claude; Senthil marks decisions</t>
  </si>
  <si>
    <t xml:space="preserve">Column "Unblocked by" tells Senthil what to do.</t>
  </si>
  <si>
    <t xml:space="preserve">Manual_Test_Cases</t>
  </si>
  <si>
    <t xml:space="preserve">Hand-runnable tests, 2–6 per version, positive and negative. Follow the steps exactly; compare with Expected.</t>
  </si>
  <si>
    <t xml:space="preserve">Tester</t>
  </si>
  <si>
    <t xml:space="preserve">Yellow columns Actual result, Pass/Fail, Tester, Date. Pass/Fail is a drop-down.</t>
  </si>
  <si>
    <t xml:space="preserve">Test_Summary</t>
  </si>
  <si>
    <t xml:space="preserve">Live counts per version: cases, passed, failed, not run. Formulas — do not type over.</t>
  </si>
  <si>
    <t xml:space="preserve">Nobody (formulas)</t>
  </si>
  <si>
    <t xml:space="preserve">All locked.</t>
  </si>
  <si>
    <t xml:space="preserve">Test_Environment</t>
  </si>
  <si>
    <t xml:space="preserve">What to install and export before running any case; the shorthand ($H, $BASE, sign()) used in the steps.</t>
  </si>
  <si>
    <t xml:space="preserve">Tester fills in machine details</t>
  </si>
  <si>
    <t xml:space="preserve">Yellow: tester machine, Node and Postgres versions actually used.</t>
  </si>
  <si>
    <t xml:space="preserve">Defect_Log</t>
  </si>
  <si>
    <t xml:space="preserve">Anything a manual test finds. IDs F-MT-001 onward so they can be admitted to the tracker Review_Findings verbatim.</t>
  </si>
  <si>
    <t xml:space="preserve">All columns are inputs; Severity and Status are drop-downs.</t>
  </si>
  <si>
    <t xml:space="preserve">Glossary</t>
  </si>
  <si>
    <t xml:space="preserve">Terms and abbreviations.</t>
  </si>
  <si>
    <t xml:space="preserve">Approvals</t>
  </si>
  <si>
    <t xml:space="preserve">Sign-off record.</t>
  </si>
  <si>
    <t xml:space="preserve">Senthil / reviewer</t>
  </si>
  <si>
    <t xml:space="preserve">Yellow name and date cells.</t>
  </si>
  <si>
    <t xml:space="preserve">VERSION DETAIL — what was done in each release, and why</t>
  </si>
  <si>
    <t xml:space="preserve">Tracker version</t>
  </si>
  <si>
    <t xml:space="preserve">Code version</t>
  </si>
  <si>
    <t xml:space="preserve">Theme</t>
  </si>
  <si>
    <t xml:space="preserve">What was done</t>
  </si>
  <si>
    <t xml:space="preserve">Why it was done</t>
  </si>
  <si>
    <t xml:space="preserve">Evidence / artefact</t>
  </si>
  <si>
    <t xml:space="preserve">Effect on story status</t>
  </si>
  <si>
    <t xml:space="preserve">v000 (pre-tracker)</t>
  </si>
  <si>
    <t xml:space="preserve">2026-09-10 22:22 / 22:55</t>
  </si>
  <si>
    <t xml:space="preserve">v0.1.0 - v0.7.0</t>
  </si>
  <si>
    <t xml:space="preserve">S1-S10 build from the v005 backlog</t>
  </si>
  <si>
    <t xml:space="preserve">Fifteen product modules built for sprints S1-S8 (inbox, broadcast, chatbot, catalog, analytics guard, install, billing, compliance, roles, notify, resilience, telemetry, onboarding, latency, config) and four WhatsApp-compliance modules for S9-S10 (24h session window, webhook dedupe/burst, opt-in proof, demo mode). 20 suites / 78 tests at 100% coverage.</t>
  </si>
  <si>
    <t xml:space="preserve">Senthil's 10 Sep 22:22 directive: continue EngageOS from the v005 product workbook with 100% automation coverage (decision D13, discovery parked). The v007 run at 22:55 added the draftable S9-S10 scope.</t>
  </si>
  <si>
    <t xml:space="preserve">engageos_v0.6.0_src.zip, engageos_v0.7.0_src.zip; tracker events E001-E014</t>
  </si>
  <si>
    <t xml:space="preserve">75 stories Done-in-code + 8 Pending-live; 10 Drafted</t>
  </si>
  <si>
    <t xml:space="preserve">v001</t>
  </si>
  <si>
    <t xml:space="preserve">2026-09-10 23:06</t>
  </si>
  <si>
    <t xml:space="preserve">v0.7.0</t>
  </si>
  <si>
    <t xml:space="preserve">Tracker created</t>
  </si>
  <si>
    <t xml:space="preserve">This tracker file created, mirroring the TeleField v001 pattern: 100-story traceability matrix with version-stamped evidence per story, sprint log E001-E014, rollup formulas, decisions and RAID sheets.</t>
  </si>
  <si>
    <t xml:space="preserve">Senthil's 23:06 instruction to create a sprint tracker and traceability record for EngageOS so the two prior runs had a single audit trail.</t>
  </si>
  <si>
    <t xml:space="preserve">Tracker v001</t>
  </si>
  <si>
    <t xml:space="preserve">No code change; record established</t>
  </si>
  <si>
    <t xml:space="preserve">v002</t>
  </si>
  <si>
    <t xml:space="preserve">2026-09-10 23:10</t>
  </si>
  <si>
    <t xml:space="preserve">v0.8.0</t>
  </si>
  <si>
    <t xml:space="preserve">Live-sweep readiness</t>
  </si>
  <si>
    <t xml:space="preserve">CloudApiAdapter (real WhatsApp Cloud API HTTP client), typed environment config with hard validation, runLiveSweep 12-step scripted verification, 30-minute WABA setup guide.</t>
  </si>
  <si>
    <t xml:space="preserve">So that the day Meta credentials arrive, the live verification can run immediately instead of being written under pressure. Re-scoped from 'live wave' because no credentials existed.</t>
  </si>
  <si>
    <t xml:space="preserve">engageos_v0.8.0_src.zip; docs/LIVE_SETUP_GUIDE.md, docs/LIVE_VERIFICATION_SWEEP.md</t>
  </si>
  <si>
    <t xml:space="preserve">None (Pending-live flips need sweep evidence, rule R2)</t>
  </si>
  <si>
    <t xml:space="preserve">v003</t>
  </si>
  <si>
    <t xml:space="preserve">2026-09-11 08:17</t>
  </si>
  <si>
    <t xml:space="preserve">v0.9.0</t>
  </si>
  <si>
    <t xml:space="preserve">Cold-review pass 1</t>
  </si>
  <si>
    <t xml:space="preserve">Four defects fixed with regression tests: F-001 inbox crash before setup, F-002 chatbot TypeError on an options-less question node, F-003 unbounded webhook dedupe ledger (memory leak) now FIFO-capped, F-004 hardcoded template language 'en'. Four more logged for Senthil's disposition (F-005..F-008). Review_Findings sheet and docs/REVIEW_PACK.md added.</t>
  </si>
  <si>
    <t xml:space="preserve">An adversarial self-review before any external eye; a second reviewer needed a pack to work from (ST-097). Same-AI review does not satisfy independence, so ST-097 stayed In progress.</t>
  </si>
  <si>
    <t xml:space="preserve">engageos_v0.9.0_src.zip; tests inbox/chatbot/webhookGuard/cloudApiAdapter</t>
  </si>
  <si>
    <t xml:space="preserve">None</t>
  </si>
  <si>
    <t xml:space="preserve">v004</t>
  </si>
  <si>
    <t xml:space="preserve">2026-09-11 12:51</t>
  </si>
  <si>
    <t xml:space="preserve">v0.10.0</t>
  </si>
  <si>
    <t xml:space="preserve">Review-prep completion</t>
  </si>
  <si>
    <t xml:space="preserve">ST-089 WCAG accessibility shells with a jest-axe suite; ST-068 security evidence pack (sandbox half); ST-094 asset plan drafted.</t>
  </si>
  <si>
    <t xml:space="preserve">To reduce the backlog to only the stories that truly need an external party (Meta, a vendor, strangers).</t>
  </si>
  <si>
    <t xml:space="preserve">engageos_v0.10.0_src.zip; docs/SECURITY_EVIDENCE.md</t>
  </si>
  <si>
    <t xml:space="preserve">ST-089 Done-in-code; ST-068 In progress; ST-094 Drafted</t>
  </si>
  <si>
    <t xml:space="preserve">v005</t>
  </si>
  <si>
    <t xml:space="preserve">2026-09-13 09:55</t>
  </si>
  <si>
    <t xml:space="preserve">v0.11.0</t>
  </si>
  <si>
    <t xml:space="preserve">Cold-review pass 2 + backlog zero</t>
  </si>
  <si>
    <t xml:space="preserve">Eight defects fixed (F-009..F-016). Headline: the opt-in gate and the 24-hour session window had been built in v007 and were never called by any send path, so marketing could have reached non-consented contacts. Remaining codeable stories completed; backlog reached zero.</t>
  </si>
  <si>
    <t xml:space="preserve">Second adversarial pass found the 'built but never wired' class for the first time. Code phase declared complete: 79 Done-in-code / 10 Pending-live / 9 Drafted / 2 In progress.</t>
  </si>
  <si>
    <t xml:space="preserve">engageos_v0.11.0_src.zip; 27 suites / 118 tests</t>
  </si>
  <si>
    <t xml:space="preserve">Backlog 0; 309/399 points Done-in-code</t>
  </si>
  <si>
    <t xml:space="preserve">v006</t>
  </si>
  <si>
    <t xml:space="preserve">2026-09-13 10:23</t>
  </si>
  <si>
    <t xml:space="preserve">v0.12.0</t>
  </si>
  <si>
    <t xml:space="preserve">Artifact-gap audit (HTTP layer + schema)</t>
  </si>
  <si>
    <t xml:space="preserve">Six gaps, two critical: no HTTP application and no database schema existed although the setup guide, deploy workflow and k6 harness all referred to them. Built: framework-free router, webhook verify/receive with X-Hub-Signature-256, healthz, pricing, help search, status, npm start entry, four ordered migrations, k6 fixture generator, sweep CLI, docs drift gates.</t>
  </si>
  <si>
    <t xml:space="preserve">Documents promised an HTTP surface that did not exist; a product with no server cannot be installed by anyone. Missing plumbing, not new stories.</t>
  </si>
  <si>
    <t xml:space="preserve">engageos_v0.12.0_src.zip; src/http/*, db/migrations/001-004</t>
  </si>
  <si>
    <t xml:space="preserve">ST-088/090/092 Code-complete</t>
  </si>
  <si>
    <t xml:space="preserve">v007</t>
  </si>
  <si>
    <t xml:space="preserve">2026-09-13 10:35</t>
  </si>
  <si>
    <t xml:space="preserve">v0.13.0</t>
  </si>
  <si>
    <t xml:space="preserve">Cold-review pass 3 (HTTP layer)</t>
  </si>
  <si>
    <t xml:space="preserve">F-017 no multi-tenancy (one dedupe ledger and session window shared across every WABA), F-018 a valid signature treated as proof of installation, F-019 operational detail exposed publicly, F-020 no OAuth CSRF state. New tenancy.ts and oauth.ts; operator-token-gated admin routes; single-use 10-minute OAuth state.</t>
  </si>
  <si>
    <t xml:space="preserve">The new HTTP layer was reviewed adversarially before anything else was built on it; two findings were critical.</t>
  </si>
  <si>
    <t xml:space="preserve">engageos_v0.13.0_src.zip</t>
  </si>
  <si>
    <t xml:space="preserve">v008</t>
  </si>
  <si>
    <t xml:space="preserve">2026-09-13 10:38</t>
  </si>
  <si>
    <t xml:space="preserve">v0.14.0</t>
  </si>
  <si>
    <t xml:space="preserve">Verification sweep vs Meta docs, pass 1 (pricing + payloads)</t>
  </si>
  <si>
    <t xml:space="preserve">VER-E5 batched webhooks: only the first message of each envelope was processed (data loss). VER-E1 the commercial model used conversation-based pricing, retired by Meta on 1 Jul 2025 - replaced with per-message pricing (messageCost.ts). VER-E2 authentication category, VER-E3 72-hour free entry point, VER-E6 80 msg/s throughput limiter.</t>
  </si>
  <si>
    <t xml:space="preserve">Internal review cannot check the model of the world; the platform documentation was read directly and thirteen corrections followed across three passes.</t>
  </si>
  <si>
    <t xml:space="preserve">engageos_v0.14.0_src.zip; src/messageCost.ts, src/throughput.ts</t>
  </si>
  <si>
    <t xml:space="preserve">None (correctness release)</t>
  </si>
  <si>
    <t xml:space="preserve">v009</t>
  </si>
  <si>
    <t xml:space="preserve">2026-09-13 10:58</t>
  </si>
  <si>
    <t xml:space="preserve">v0.15.0</t>
  </si>
  <si>
    <t xml:space="preserve">Verification sweep pass 2 (limits + policy)</t>
  </si>
  <si>
    <t xml:space="preserve">VER-E7 messaging-tier awareness (250 unique recipients per rolling 24h for a new account, portfolio-wide), VER-E9 US marketing freeze guard, VER-E10 frequency-cap errors (131049) must not be retried. New messagingTier.ts and sendPolicy.ts wired into the send path.</t>
  </si>
  <si>
    <t xml:space="preserve">Without tier awareness a first campaign would have been silently throttled by Meta; new risk R-E8 recorded.</t>
  </si>
  <si>
    <t xml:space="preserve">engageos_v0.15.0_src.zip</t>
  </si>
  <si>
    <t xml:space="preserve">v010</t>
  </si>
  <si>
    <t xml:space="preserve">2026-09-13 11:04</t>
  </si>
  <si>
    <t xml:space="preserve">v0.16.0</t>
  </si>
  <si>
    <t xml:space="preserve">Verification sweep pass 3 (message handling)</t>
  </si>
  <si>
    <t xml:space="preserve">VER-E11 status webhooks were discarded so campaign metrics counted API acceptance as delivery; VER-E12 inbound media dropped (only a media_id arrives); VER-E13 interactive button/list replies unreadable by the chatbot. New deliveryStatus.ts, media.ts, interactive.ts.</t>
  </si>
  <si>
    <t xml:space="preserve">Completes the platform verification sweep across pricing, limits, policy and message handling.</t>
  </si>
  <si>
    <t xml:space="preserve">engageos_v0.16.0_src.zip</t>
  </si>
  <si>
    <t xml:space="preserve">v011</t>
  </si>
  <si>
    <t xml:space="preserve">2026-09-13 11:13</t>
  </si>
  <si>
    <t xml:space="preserve">v0.17.0</t>
  </si>
  <si>
    <t xml:space="preserve">State-architecture audit</t>
  </si>
  <si>
    <t xml:space="preserve">GAP-E8 (critical): every correctness guard was process-local while the blue/green deploy runs two instances. SharedStore boundary with in-memory and Postgres implementations (database-side atomicity), migrations 005/006, single-instance invariant documented and guarded.</t>
  </si>
  <si>
    <t xml:space="preserve">A second instance would have processed Meta retries twice and exceeded the recipient cap. Risk R-E9 recorded.</t>
  </si>
  <si>
    <t xml:space="preserve">engageos_v0.17.0_src.zip; src/store.ts, src/persistence/pgStore.ts</t>
  </si>
  <si>
    <t xml:space="preserve">v012</t>
  </si>
  <si>
    <t xml:space="preserve">2026-09-13 11:18</t>
  </si>
  <si>
    <t xml:space="preserve">v0.18.0</t>
  </si>
  <si>
    <t xml:space="preserve">Wiring release</t>
  </si>
  <si>
    <t xml:space="preserve">The SharedStore built in v017 was uncalled - the same built-but-unwired class as F-009/F-010. Tenant dedupe guard and broadcast tier counter now run through the store with cross-instance regression tests. Session windows logged as OPEN-E1.</t>
  </si>
  <si>
    <t xml:space="preserve">Caught by checking wiring before building anything new; the lesson from v005 applied.</t>
  </si>
  <si>
    <t xml:space="preserve">engageos_v0.18.0_src.zip</t>
  </si>
  <si>
    <t xml:space="preserve">v013</t>
  </si>
  <si>
    <t xml:space="preserve">2026-09-13 11:24</t>
  </si>
  <si>
    <t xml:space="preserve">v0.19.0</t>
  </si>
  <si>
    <t xml:space="preserve">Deferred halves closed</t>
  </si>
  <si>
    <t xml:space="preserve">OPEN-E1 session windows moved onto the shared store (async ripple through inbox, broadcast, tenancy, demo seed); VER-E12 second half: CloudApiAdapter.resolveMedia() implements the real two-step media fetch.</t>
  </si>
  <si>
    <t xml:space="preserve">No deferred code halves should remain before handover.</t>
  </si>
  <si>
    <t xml:space="preserve">engageos_v0.19.0_src.zip</t>
  </si>
  <si>
    <t xml:space="preserve">v014</t>
  </si>
  <si>
    <t xml:space="preserve">2026-09-13 11:31</t>
  </si>
  <si>
    <t xml:space="preserve">v0.19.0 (no code change)</t>
  </si>
  <si>
    <t xml:space="preserve">Handover consolidation + re-baseline</t>
  </si>
  <si>
    <t xml:space="preserve">Senthil_Handover sheet: every remaining item ordered by leverage with effort, external lead time, what it unblocks and the exact next action. Product workbook v020 re-baselined spec sheets that still assumed conversation pricing.</t>
  </si>
  <si>
    <t xml:space="preserve">Nothing codeable remained that did not depend on Senthil's inputs; the record needed to say so precisely.</t>
  </si>
  <si>
    <t xml:space="preserve">Tracker v014; workbook v020</t>
  </si>
  <si>
    <t xml:space="preserve">v015</t>
  </si>
  <si>
    <t xml:space="preserve">2026-09-13 11:33</t>
  </si>
  <si>
    <t xml:space="preserve">v0.20.0</t>
  </si>
  <si>
    <t xml:space="preserve">Integrity audit pass 1</t>
  </si>
  <si>
    <t xml:space="preserve">Eight claims verified mechanically against the shipped zip: three failed and were fixed - release notes claimed one coverage pragma (there were five; two dead), two Done-in-code rows named no real test suite, nine traceability rows had story text overwritten by earlier update scripts (restored). Integrity_Audit sheet added.</t>
  </si>
  <si>
    <t xml:space="preserve">The record itself had drifted from the product; auditing the record is as necessary as auditing the code.</t>
  </si>
  <si>
    <t xml:space="preserve">engageos_v0.20.0_src.zip; Integrity_Audit sheet</t>
  </si>
  <si>
    <t xml:space="preserve">v016</t>
  </si>
  <si>
    <t xml:space="preserve">2026-09-13 11:38</t>
  </si>
  <si>
    <t xml:space="preserve">v0.21.0</t>
  </si>
  <si>
    <t xml:space="preserve">Integrity audit pass 2 + findings regression suite</t>
  </si>
  <si>
    <t xml:space="preserve">All 37 closed findings probed against the shipped source, then converted into tests/findingsRegression.test.ts so a fix cannot silently disappear. Pragma guard test. Workbook structure reconciled; Launch_Checklist item 6 corrected (still on conversation pricing).</t>
  </si>
  <si>
    <t xml:space="preserve">A finding recorded as closed is a claim like any other and needs a permanent probe.</t>
  </si>
  <si>
    <t xml:space="preserve">engageos_v0.21.0_src.zip; 36 suites / 210 tests</t>
  </si>
  <si>
    <t xml:space="preserve">v017</t>
  </si>
  <si>
    <t xml:space="preserve">2026-09-13 11:45</t>
  </si>
  <si>
    <t xml:space="preserve">v0.22.0</t>
  </si>
  <si>
    <t xml:space="preserve">Operator-path rehearsal</t>
  </si>
  <si>
    <t xml:space="preserve">npm run rehearse boots the real server with placeholder secrets, exercises the handshake, signature verification, replay dedupe, auth boundaries and content routes, then runs the sweep in dry mode. Transcript committed; step added to CI.</t>
  </si>
  <si>
    <t xml:space="preserve">The risk on credential day is not Meta, it is npm start failing on a typo. Retired in advance.</t>
  </si>
  <si>
    <t xml:space="preserve">engageos_v0.22.0_src.zip; docs/REHEARSAL_TRANSCRIPT.md</t>
  </si>
  <si>
    <t xml:space="preserve">v018</t>
  </si>
  <si>
    <t xml:space="preserve">2026-09-13 11:54</t>
  </si>
  <si>
    <t xml:space="preserve">v0.23.0</t>
  </si>
  <si>
    <t xml:space="preserve">F-022 reachability (screens)</t>
  </si>
  <si>
    <t xml:space="preserve">views.ts and demoData.ts were imported only by tests while stories were recorded Done. Screens now served at /app/* behind ENGAGEOS_DEMO, axe-clean, exercised by the rehearsal.</t>
  </si>
  <si>
    <t xml:space="preserve">Third instance of built-but-unwired, and the first behind stories already recorded Done.</t>
  </si>
  <si>
    <t xml:space="preserve">engageos_v0.23.0_src.zip</t>
  </si>
  <si>
    <t xml:space="preserve">v019</t>
  </si>
  <si>
    <t xml:space="preserve">2026-09-13 11:58</t>
  </si>
  <si>
    <t xml:space="preserve">v0.24.0</t>
  </si>
  <si>
    <t xml:space="preserve">F-023 the product could not be used</t>
  </si>
  <si>
    <t xml:space="preserve">No action routes existed and inbound webhooks were deduped into a buffer nothing drained, so a customer message never became a conversation. Per-tenant WorkspaceRegistry, webhook-to-inbox delivery, operator-gated action API. The rehearsal proves inbound -&gt; conversation -&gt; reply end to end.</t>
  </si>
  <si>
    <t xml:space="preserve">Reachability asked one level up: not 'is the module wired' but 'can the product be used'. OPEN-E2 logged (single operator token).</t>
  </si>
  <si>
    <t xml:space="preserve">engageos_v0.24.0_src.zip</t>
  </si>
  <si>
    <t xml:space="preserve">v020</t>
  </si>
  <si>
    <t xml:space="preserve">2026-09-13 12:04</t>
  </si>
  <si>
    <t xml:space="preserve">v0.25.0</t>
  </si>
  <si>
    <t xml:space="preserve">F-024/025/026 completing F-023</t>
  </si>
  <si>
    <t xml:space="preserve">Nine modules imported by nothing (including compliance, whose export/delete the trust page promises) now wired: routes for flows, opt-in, analytics, billing, support and data rights; permission matrix and audit log bound at the HTTP boundary; throughput limiter and latency budgets measuring.</t>
  </si>
  <si>
    <t xml:space="preserve">Every published promise must have a reachable path in the running product.</t>
  </si>
  <si>
    <t xml:space="preserve">engageos_v0.25.0_src.zip</t>
  </si>
  <si>
    <t xml:space="preserve">v021</t>
  </si>
  <si>
    <t xml:space="preserve">2026-09-13 16:27</t>
  </si>
  <si>
    <t xml:space="preserve">v0.26.0</t>
  </si>
  <si>
    <t xml:space="preserve">OPEN-E2 signed sessions</t>
  </si>
  <si>
    <t xml:space="preserve">HMAC-signed agent sessions replace header-asserted identity; only the operator token mints a session; the signed role governs; 12-hour expiry; secret under 16 chars refused at boot. Rehearsal shows a member refused a send while a header claims owner.</t>
  </si>
  <si>
    <t xml:space="preserve">A browser talking to the API could otherwise claim any role.</t>
  </si>
  <si>
    <t xml:space="preserve">engageos_v0.26.0_src.zip; src/auth.ts</t>
  </si>
  <si>
    <t xml:space="preserve">v022</t>
  </si>
  <si>
    <t xml:space="preserve">2026-09-13 16:32</t>
  </si>
  <si>
    <t xml:space="preserve">v0.27.0</t>
  </si>
  <si>
    <t xml:space="preserve">F-027 functional agent workspace</t>
  </si>
  <si>
    <t xml:space="preserve">The screens were read-only mockups with inert buttons. A working workspace at /web: inbox list/open/reply with honest outcome reporting, broadcast test sends, catalog add with payment link, authenticated by the signed session. Client written as testable DOM functions and served by stringifying them.</t>
  </si>
  <si>
    <t xml:space="preserve">No agent could actually work in the product.</t>
  </si>
  <si>
    <t xml:space="preserve">engageos_v0.27.0_src.zip; src/web/*</t>
  </si>
  <si>
    <t xml:space="preserve">v023</t>
  </si>
  <si>
    <t xml:space="preserve">2026-09-13 16:38</t>
  </si>
  <si>
    <t xml:space="preserve">v0.28.0</t>
  </si>
  <si>
    <t xml:space="preserve">UI completion (F-028)</t>
  </si>
  <si>
    <t xml:space="preserve">Self-serve export and delete-my-data in the workspace with confirmation and the 30-day window stated; ST-057 trial banner; health panel with quality rating and 24h limit as actionable sentences; first-run checklist.</t>
  </si>
  <si>
    <t xml:space="preserve">ST-069 promised a customer-usable data-rights path; only an operator API existed.</t>
  </si>
  <si>
    <t xml:space="preserve">engageos_v0.28.0_src.zip</t>
  </si>
  <si>
    <t xml:space="preserve">v024</t>
  </si>
  <si>
    <t xml:space="preserve">2026-09-13 16:42</t>
  </si>
  <si>
    <t xml:space="preserve">v0.29.0</t>
  </si>
  <si>
    <t xml:space="preserve">Styling pass (F-029)</t>
  </si>
  <si>
    <t xml:space="preserve">Workspace styled for a mid-range Android in daylight: ledger-paper palette, one type family, colour reserved for conversation status. Contrast floor enforced by a test (failed at 4.19:1, corrected to 5.25:1). docs/DESIGN_NOTES.md.</t>
  </si>
  <si>
    <t xml:space="preserve">Styling had been returned to Senthil as 'a design job', which was avoidance rather than a boundary.</t>
  </si>
  <si>
    <t xml:space="preserve">engageos_v0.29.0_src.zip</t>
  </si>
  <si>
    <t xml:space="preserve">ST-094 reduced to capture session only</t>
  </si>
  <si>
    <t xml:space="preserve">v025</t>
  </si>
  <si>
    <t xml:space="preserve">2026-09-13 16:47</t>
  </si>
  <si>
    <t xml:space="preserve">v0.30.0</t>
  </si>
  <si>
    <t xml:space="preserve">F-030 vernacular UI</t>
  </si>
  <si>
    <t xml:space="preserve">Hindi and Tamil packs (47 strings each) now imported and switchable, English fallback, drift gates on pack completeness. Machine translations recorded as needing native review.</t>
  </si>
  <si>
    <t xml:space="preserve">The listing promised a vernacular UI; the packs were imported by nothing.</t>
  </si>
  <si>
    <t xml:space="preserve">engageos_v0.30.0_src.zip; i18n/</t>
  </si>
  <si>
    <t xml:space="preserve">v026</t>
  </si>
  <si>
    <t xml:space="preserve">2026-09-13 16:53</t>
  </si>
  <si>
    <t xml:space="preserve">v0.31.0</t>
  </si>
  <si>
    <t xml:space="preserve">Listing-claims audit</t>
  </si>
  <si>
    <t xml:space="preserve">Five marketing promises were untrue: flows never answered inbound, broadcasts never consulted the quality guard, circuit breaker unused, plan-limit prompts never surfaced, payment links went to the agent not the customer. All fixed and pinned by tests named after the claim.</t>
  </si>
  <si>
    <t xml:space="preserve">Every written artifact is a specification; the listing copy is the customer's view of it.</t>
  </si>
  <si>
    <t xml:space="preserve">engageos_v0.31.0_src.zip</t>
  </si>
  <si>
    <t xml:space="preserve">v027</t>
  </si>
  <si>
    <t xml:space="preserve">2026-09-13 17:24</t>
  </si>
  <si>
    <t xml:space="preserve">v0.32.0</t>
  </si>
  <si>
    <t xml:space="preserve">Help-centre audit</t>
  </si>
  <si>
    <t xml:space="preserve">Eight tasks the 15 help articles walk a customer through had no route or control - including CSV import, the day-one migration path. All eight built and pinned.</t>
  </si>
  <si>
    <t xml:space="preserve">Help articles are the most customer-shaped specification in the repo.</t>
  </si>
  <si>
    <t xml:space="preserve">engageos_v0.32.0_src.zip</t>
  </si>
  <si>
    <t xml:space="preserve">v028</t>
  </si>
  <si>
    <t xml:space="preserve">2026-09-13 17:28</t>
  </si>
  <si>
    <t xml:space="preserve">v0.33.0</t>
  </si>
  <si>
    <t xml:space="preserve">F-037 template wire format</t>
  </si>
  <si>
    <t xml:space="preserve">12 of 20 drafted templates carry variables while the adapter sent none (Meta rejects outright). Template registry, body components, pre-flight validation naming the missing variable, drift test against the library, template-send route for outside the 24h window.</t>
  </si>
  <si>
    <t xml:space="preserve">Live-blocking mismatch between the drafted library and the wire format.</t>
  </si>
  <si>
    <t xml:space="preserve">engageos_v0.33.0_src.zip; src/templates.ts</t>
  </si>
  <si>
    <t xml:space="preserve">v029</t>
  </si>
  <si>
    <t xml:space="preserve">2026-09-13 18:50</t>
  </si>
  <si>
    <t xml:space="preserve">v0.34.0</t>
  </si>
  <si>
    <t xml:space="preserve">F-038 runbook controls</t>
  </si>
  <si>
    <t xml:space="preserve">Per-capability kill switches with mandatory reason and attribution, an on-demand quality check that auto-disables broadcasts on a red rating, a status page that admits a degraded capability. Runbook rewritten around what exists.</t>
  </si>
  <si>
    <t xml:space="preserve">The launch runbook prescribed a flag rollback and a 2-hourly quality check that did not exist.</t>
  </si>
  <si>
    <t xml:space="preserve">engageos_v0.34.0_src.zip; src/killSwitch.ts, src/monitor.ts</t>
  </si>
  <si>
    <t xml:space="preserve">v030</t>
  </si>
  <si>
    <t xml:space="preserve">2026-09-13 18:59</t>
  </si>
  <si>
    <t xml:space="preserve">v0.35.0</t>
  </si>
  <si>
    <t xml:space="preserve">F-039 incidents</t>
  </si>
  <si>
    <t xml:space="preserve">Incidents open, update and resolve; the public status page carries the latest message and no internals; comms cadence enforced with an overdue list.</t>
  </si>
  <si>
    <t xml:space="preserve">Incident templates had nowhere to publish; a customer would have seen a boolean during an outage.</t>
  </si>
  <si>
    <t xml:space="preserve">engageos_v0.35.0_src.zip; src/incidents.ts</t>
  </si>
  <si>
    <t xml:space="preserve">v031</t>
  </si>
  <si>
    <t xml:space="preserve">2026-09-13 19:11</t>
  </si>
  <si>
    <t xml:space="preserve">v0.36.0</t>
  </si>
  <si>
    <t xml:space="preserve">F-040 screen inventory</t>
  </si>
  <si>
    <t xml:space="preserve">Four screens named in the workbook did not exist (home dashboard, flows view, settings and team, help and support). Built in three languages and axe-audited; ST-074 weekly metrics email wired.</t>
  </si>
  <si>
    <t xml:space="preserve">The product workbook is itself a specification and it described absent screens.</t>
  </si>
  <si>
    <t xml:space="preserve">engageos_v0.36.0_src.zip</t>
  </si>
  <si>
    <t xml:space="preserve">v032</t>
  </si>
  <si>
    <t xml:space="preserve">2026-09-13 19:31</t>
  </si>
  <si>
    <t xml:space="preserve">v0.37.0</t>
  </si>
  <si>
    <t xml:space="preserve">F-041 vertical packs</t>
  </si>
  <si>
    <t xml:space="preserve">Four vertical packs (clinics/home-care, education/coaching, local services, D2C support) shape templates, welcome wording and the first routing rule. ST-082 onboarding checklist made real (aha reachable, review ask can fire).</t>
  </si>
  <si>
    <t xml:space="preserve">The scope sheet named vertical templates as the differentiation and none existed.</t>
  </si>
  <si>
    <t xml:space="preserve">engageos_v0.37.0_src.zip; src/verticals.ts</t>
  </si>
  <si>
    <t xml:space="preserve">v033</t>
  </si>
  <si>
    <t xml:space="preserve">2026-09-13 19:36</t>
  </si>
  <si>
    <t xml:space="preserve">v0.37.1</t>
  </si>
  <si>
    <t xml:space="preserve">Close-out</t>
  </si>
  <si>
    <t xml:space="preserve">Clean-directory verification of the zip; nineteen lessons rewritten as Lessons_For_Portfolio grouped by the technique that found each defect; docs/STATE_OF_ENGAGEOS.md.</t>
  </si>
  <si>
    <t xml:space="preserve">Nothing remained movable without Senthil; the record needed a plain statement of what is proven and what is assumed.</t>
  </si>
  <si>
    <t xml:space="preserve">engageos_v0.37.1_src.zip</t>
  </si>
  <si>
    <t xml:space="preserve">v034</t>
  </si>
  <si>
    <t xml:space="preserve">2026-09-13 19:40</t>
  </si>
  <si>
    <t xml:space="preserve">v0.38.0</t>
  </si>
  <si>
    <t xml:space="preserve">Audit kit extracted</t>
  </si>
  <si>
    <t xml:space="preserve">Reachability, document-diff and platform-verification techniques made portable for the other eleven products. First run found F-042 (SHARED_STORE=pg documented, implemented nowhere) and the SEO tool unwired.</t>
  </si>
  <si>
    <t xml:space="preserve">The techniques that found what tests could not are the reusable asset.</t>
  </si>
  <si>
    <t xml:space="preserve">engageos_v0.38.0_src.zip; audit_kit v001</t>
  </si>
  <si>
    <t xml:space="preserve">v035</t>
  </si>
  <si>
    <t xml:space="preserve">2026-09-13 20:08</t>
  </si>
  <si>
    <t xml:space="preserve">v0.39.0</t>
  </si>
  <si>
    <t xml:space="preserve">Audits became gates</t>
  </si>
  <si>
    <t xml:space="preserve">audit/claims.json binds 43 documented promises to code markers; audit/findings.json generated from the regression suite; all three checks run in CI and via npm run audit.</t>
  </si>
  <si>
    <t xml:space="preserve">An audit run once is a diary; a gate runs every time.</t>
  </si>
  <si>
    <t xml:space="preserve">engageos_v0.39.0_src.zip; audit kit v002</t>
  </si>
  <si>
    <t xml:space="preserve">v036</t>
  </si>
  <si>
    <t xml:space="preserve">2026-09-13 20:12</t>
  </si>
  <si>
    <t xml:space="preserve">v0.40.0</t>
  </si>
  <si>
    <t xml:space="preserve">Claims extractor + F-043 outbound queue</t>
  </si>
  <si>
    <t xml:space="preserve">Kit gained a claims-drafting tool; on first run it surfaced an incident template promising queued delivery with no queue in existence. Durable retry queue built: held sends, on-demand drain, bounded capacity, dead letters.</t>
  </si>
  <si>
    <t xml:space="preserve">The extractor lowered the kit's adoption cost and immediately found a false promise.</t>
  </si>
  <si>
    <t xml:space="preserve">engageos_v0.40.0_src.zip; src/outboundQueue.ts</t>
  </si>
  <si>
    <t xml:space="preserve">v037</t>
  </si>
  <si>
    <t xml:space="preserve">2026-09-13 20:26</t>
  </si>
  <si>
    <t xml:space="preserve">v0.41.0</t>
  </si>
  <si>
    <t xml:space="preserve">F-044 security posture at boot</t>
  </si>
  <si>
    <t xml:space="preserve">Trust page published a security posture nothing verified; verifySecurityConfig() written in v006 and never called. App now refuses to boot when deployment contradicts published claims (warn-only for local). Three findings missing from the regression array added.</t>
  </si>
  <si>
    <t xml:space="preserve">Reconciling the claims manifest from disk found the gap.</t>
  </si>
  <si>
    <t xml:space="preserve">engageos_v0.41.0_src.zip; src/securityPosture.ts</t>
  </si>
  <si>
    <t xml:space="preserve">v038</t>
  </si>
  <si>
    <t xml:space="preserve">2026-09-13 20:33</t>
  </si>
  <si>
    <t xml:space="preserve">v0.42.0</t>
  </si>
  <si>
    <t xml:space="preserve">Audit kit v004 workbook converter</t>
  </si>
  <si>
    <t xml:space="preserve">Spreadsheet specifications can be fed to the claims extractor. Two kit defects found and fixed while building it.</t>
  </si>
  <si>
    <t xml:space="preserve">The screen inventory and differentiation lived in sheets, not markdown.</t>
  </si>
  <si>
    <t xml:space="preserve">engageos_v0.42.0_src.zip; audit kit v004</t>
  </si>
  <si>
    <t xml:space="preserve">v039</t>
  </si>
  <si>
    <t xml:space="preserve">2026-09-13 22:49</t>
  </si>
  <si>
    <t xml:space="preserve">v0.43.0</t>
  </si>
  <si>
    <t xml:space="preserve">Audit kit v1.0.0 with tests</t>
  </si>
  <si>
    <t xml:space="preserve">The kit had shipped three bugs and had no tests. Eleven tests added, one named per shipped bug.</t>
  </si>
  <si>
    <t xml:space="preserve">A tool that enforces quality while untested is not an argument anyone should accept.</t>
  </si>
  <si>
    <t xml:space="preserve">engageos_v0.43.0_src.zip; audit_kit_v100.zip</t>
  </si>
  <si>
    <t xml:space="preserve">v040</t>
  </si>
  <si>
    <t xml:space="preserve">2026-09-14 13:59</t>
  </si>
  <si>
    <t xml:space="preserve">v0.44.0</t>
  </si>
  <si>
    <t xml:space="preserve">External review V001 (ChatGPT) incorporated</t>
  </si>
  <si>
    <t xml:space="preserve">Eighteen findings F-CG-001..018 admitted verbatim. Five closed in code: release identity (one version in five places + manifest), Postgres runtime wiring, billing entitlement enforcement, RBAC on campaign dispatch, HTTP edge hardening. Two were re-openings of findings recorded closed (F-011, F-042). F-049: the CI rehearsal gate had not booted a server since v0.41.0. CG_Sprint_Plan S00-S19 and gates CG-G0..G11 added.</t>
  </si>
  <si>
    <t xml:space="preserve">First independent reading of the product; the reviewer found defects in the record that inside passes structurally could not.</t>
  </si>
  <si>
    <t xml:space="preserve">engageos_v0.44.0_src.zip; audit_kit_v110.zip</t>
  </si>
  <si>
    <t xml:space="preserve">ST-097 Done-in-code (312/399 points)</t>
  </si>
  <si>
    <t xml:space="preserve">v041</t>
  </si>
  <si>
    <t xml:space="preserve">2026-09-15 09:14</t>
  </si>
  <si>
    <t xml:space="preserve">v0.45.0</t>
  </si>
  <si>
    <t xml:space="preserve">Review response phase 2 (F-CG-002)</t>
  </si>
  <si>
    <t xml:space="preserve">Per-tenant Meta connections replace the single process-level token: sealed at rest (AES-256-GCM, ENGAGEOS_CRED_KEY required), rotation, revocation, adapter built per tenant, constant-time WABA match.</t>
  </si>
  <si>
    <t xml:space="preserve">The largest BLOCKER: every tenant sent as whichever WABA the process was configured with.</t>
  </si>
  <si>
    <t xml:space="preserve">engageos_v0.45.0_src.zip; src/tenantConnection.ts</t>
  </si>
  <si>
    <t xml:space="preserve">v042</t>
  </si>
  <si>
    <t xml:space="preserve">2026-09-16 18:40</t>
  </si>
  <si>
    <t xml:space="preserve">v0.46.0</t>
  </si>
  <si>
    <t xml:space="preserve">Review response phase 3 + first real Postgres</t>
  </si>
  <si>
    <t xml:space="preserve">F-CG-003 code half (Meta code exchange, debug_token, WABA/number discovery, forged-id refusal; no fabricated tokens); F-CG-004 first slice (tenant connections durable, restored at boot); F-CG-005 live half (server boots on real Postgres 16.13, survives restart, 503 during outage); F-CG-008 slice (logout, revoke-agent); S07 remainder (rate limits, body schemas, SSRF allowlist, CSRF by construction); SBOM + dependency policy. Five gate defects found by a clean-room CI replay (F-050..F-054) incl. the smoke gate could never pass.</t>
  </si>
  <si>
    <t xml:space="preserve">Senthil 16 Sep 16:21: go through the review, update code and trackers, create the next version; plan approved 18:03 ('do all').</t>
  </si>
  <si>
    <t xml:space="preserve">engageos_v0.46.0_src.zip; docs/PG_EVIDENCE_TRANSCRIPT.md; 62 suites / 512 tests</t>
  </si>
  <si>
    <t xml:space="preserve">None (312/399 points; zero Done)</t>
  </si>
  <si>
    <t xml:space="preserve">Story status effect is "None" for most rows by design (rule R2): code being complete does not move a story to Done. The only rows that moved stories were the build waves and the review that closed ST-097.</t>
  </si>
  <si>
    <t xml:space="preserve">PENDING VERSIONS AND SPRINTS — why each is not done yet</t>
  </si>
  <si>
    <t xml:space="preserve">Planned version / sprint</t>
  </si>
  <si>
    <t xml:space="preserve">Maps to</t>
  </si>
  <si>
    <t xml:space="preserve">Scope</t>
  </si>
  <si>
    <t xml:space="preserve">Source finding(s)</t>
  </si>
  <si>
    <t xml:space="preserve">Reason it is pending</t>
  </si>
  <si>
    <t xml:space="preserve">Unblocked by</t>
  </si>
  <si>
    <t xml:space="preserve">Owner</t>
  </si>
  <si>
    <t xml:space="preserve">v043 / v0.47.0</t>
  </si>
  <si>
    <t xml:space="preserve">PX-S1 + S00 remainder</t>
  </si>
  <si>
    <t xml:space="preserve">Pricing model for 1 Oct 2026 (service and utility-in-window billable, business_agent category, date-aware isBillable); gateMatrix test; engines/.nvmrc; PLATFORM_ASSUMPTIONS.md with 90-day staleness test; addToWindow transaction; idempotency keys; operator token scoped to tenants; key rotation.</t>
  </si>
  <si>
    <t xml:space="preserve">Perplexity review V001 (F-PX-001, 004, 007, 008, 011, 018)</t>
  </si>
  <si>
    <t xml:space="preserve">Plan presented 20 Sep 10:39; awaiting Senthil's 'go ahead'. F-PX-001 has a hard external deadline of 1 Oct 2026.</t>
  </si>
  <si>
    <t xml:space="preserve">Senthil approval</t>
  </si>
  <si>
    <t xml:space="preserve">v044 / v0.48.0</t>
  </si>
  <si>
    <t xml:space="preserve">PX-S2 / S02 durable data plane</t>
  </si>
  <si>
    <t xml:space="preserve">Conversations, contacts, opt-in proofs, campaigns, catalog, billing, audit and support moved from process memory into Postgres repositories; WorkspaceRegistry becomes a loader; down-migrations.</t>
  </si>
  <si>
    <t xml:space="preserve">F-CG-004, F-PX-003</t>
  </si>
  <si>
    <t xml:space="preserve">Sequenced after v0.47.0; needs no external input. Largest body of work in either review (~3 weeks).</t>
  </si>
  <si>
    <t xml:space="preserve">Time</t>
  </si>
  <si>
    <t xml:space="preserve">v045 / v0.49.0</t>
  </si>
  <si>
    <t xml:space="preserve">PX-S3 / S04+S09 real authentication</t>
  </si>
  <si>
    <t xml:space="preserve">Email OTP or magic-link sign-in, users and memberships tables, self-serve agent invites, operator token bound to tenants.</t>
  </si>
  <si>
    <t xml:space="preserve">F-CG-008, F-PX-002</t>
  </si>
  <si>
    <t xml:space="preserve">Sequenced after the data plane (users need a durable table). No external input needed.</t>
  </si>
  <si>
    <t xml:space="preserve">v046 / v0.50.0</t>
  </si>
  <si>
    <t xml:space="preserve">PX-S4 + PX-S5 / S03 + S07</t>
  </si>
  <si>
    <t xml:space="preserve">Concurrency proofs on real Postgres (claimOnce, addToWindow race), pool exhaustion and failover tests, abuse suite (slow-loris, header floods, 10k webhook posts), OWASP API checklist.</t>
  </si>
  <si>
    <t xml:space="preserve">F-PX-011, F-PX-008</t>
  </si>
  <si>
    <t xml:space="preserve">Sequenced; needs no external input.</t>
  </si>
  <si>
    <t xml:space="preserve">v047 / v0.51.0</t>
  </si>
  <si>
    <t xml:space="preserve">PX-S7 + PX-S8 / S10 + S08</t>
  </si>
  <si>
    <t xml:space="preserve">OpenTelemetry metrics, /metrics endpoint, structured JSON logs, SLOs and alert rules with an executed drill; export/delete across every durable table driven by a data-location registry; DPDP obligations matrix (deadline 13 May 2027).</t>
  </si>
  <si>
    <t xml:space="preserve">F-CG-012, F-CG-013, F-PX-009, F-PX-012</t>
  </si>
  <si>
    <t xml:space="preserve">Depends on the data plane (v0.48.0). Legal review of the DPDP matrix is Senthil's.</t>
  </si>
  <si>
    <t xml:space="preserve">v0.48.0; counsel</t>
  </si>
  <si>
    <t xml:space="preserve">Claude / Senthil</t>
  </si>
  <si>
    <t xml:space="preserve">Live wave (any version)</t>
  </si>
  <si>
    <t xml:space="preserve">S01 + S06 + CG-G1/G3</t>
  </si>
  <si>
    <t xml:space="preserve">Real Meta embedded signup with two test WABAs, the 12-step live verification sweep, template approval, 13 Pending-live stories flipped on evidence.</t>
  </si>
  <si>
    <t xml:space="preserve">F-CG-003 live half, F-CG-011</t>
  </si>
  <si>
    <t xml:space="preserve">BLOCKED: no Meta Business verification, no WABA, no META_APP_ID. Handover items 1, 3, 4, 11.</t>
  </si>
  <si>
    <t xml:space="preserve">Senthil: Meta forms (~30 min) + days of Meta queue</t>
  </si>
  <si>
    <t xml:space="preserve">Senthil</t>
  </si>
  <si>
    <t xml:space="preserve">PX-S6 / S05 payments</t>
  </si>
  <si>
    <t xml:space="preserve">Payment provider end to end</t>
  </si>
  <si>
    <t xml:space="preserve">Razorpay or Stripe behind a PaymentProvider interface, provider webhooks with signature and replay protection, provider-issued payment intents, usage metering reconciled to the Meta invoice, message-cost intelligence view.</t>
  </si>
  <si>
    <t xml:space="preserve">F-CG-006 remainder, F-PX-010</t>
  </si>
  <si>
    <t xml:space="preserve">BLOCKED on the payment-provider decision (handover 12), which depends on the ICP decision (handover 13).</t>
  </si>
  <si>
    <t xml:space="preserve">Senthil decisions 12 and 13</t>
  </si>
  <si>
    <t xml:space="preserve">Senthil then Claude</t>
  </si>
  <si>
    <t xml:space="preserve">PX-S9 / S13 one vertical</t>
  </si>
  <si>
    <t xml:space="preserve">Differentiation</t>
  </si>
  <si>
    <t xml:space="preserve">Delete three of the four vertical packs; build one end-to-end workflow (no-show recovery for clinics, or attendance-and-fee follow-up for coaching); re-price against the India/Europe ladder; grow the vernacular surface; native-speaker review.</t>
  </si>
  <si>
    <t xml:space="preserve">F-CG-014, F-PX-005/006/013/016</t>
  </si>
  <si>
    <t xml:space="preserve">BLOCKED on the ICP decision (handover 13). Both reviewers say this is the largest single unblock.</t>
  </si>
  <si>
    <t xml:space="preserve">Senthil decision 13</t>
  </si>
  <si>
    <t xml:space="preserve">PX-S10 / S12 procurement pack</t>
  </si>
  <si>
    <t xml:space="preserve">Documents</t>
  </si>
  <si>
    <t xml:space="preserve">LICENSE, DPA, subprocessor list, retention schedule, security-questionnaire answers with evidence links, status page.</t>
  </si>
  <si>
    <t xml:space="preserve">F-PX-014</t>
  </si>
  <si>
    <t xml:space="preserve">Cheap, but the DPA and licence are legal instruments Senthil must choose; sequenced after the ICP decision so the documents name the right market.</t>
  </si>
  <si>
    <t xml:space="preserve">Senthil (licence, DPA)</t>
  </si>
  <si>
    <t xml:space="preserve">Claude drafts / Senthil signs</t>
  </si>
  <si>
    <t xml:space="preserve">PX-S11 / S14 AI above the baseline</t>
  </si>
  <si>
    <t xml:space="preserve">AI-assisted replies</t>
  </si>
  <si>
    <t xml:space="preserve">Retrieval grounded in the tenant's own data, confidence threshold with mandatory human escalation, per-intent eval set, cost comparison against Meta Business Agent.</t>
  </si>
  <si>
    <t xml:space="preserve">F-PX-017</t>
  </si>
  <si>
    <t xml:space="preserve">BLOCKED on an entry criterion: a written reading of the current WhatsApp Business Solution Terms confirming the design is business-specific automation, not a general-purpose assistant.</t>
  </si>
  <si>
    <t xml:space="preserve">Senthil (terms reading)</t>
  </si>
  <si>
    <t xml:space="preserve">PX-S12 / S11 + S19 deploy, drill, gate</t>
  </si>
  <si>
    <t xml:space="preserve">Deployment and DR</t>
  </si>
  <si>
    <t xml:space="preserve">Infrastructure as code, automated deploy, rollback under 10 minutes, restore from backup with measured RPO/RTO, k6 capacity envelope, gate re-worded to 'production-ready for SMEs'.</t>
  </si>
  <si>
    <t xml:space="preserve">F-CG-010, F-PX-015</t>
  </si>
  <si>
    <t xml:space="preserve">BLOCKED on target infrastructure (a cloud account) and, for the gate wording, Senthil's acceptance of F-PX-015.</t>
  </si>
  <si>
    <t xml:space="preserve">Senthil: cloud account + F-PX-015 disposition</t>
  </si>
  <si>
    <t xml:space="preserve">S17 pen-test</t>
  </si>
  <si>
    <t xml:space="preserve">Independent security gate</t>
  </si>
  <si>
    <t xml:space="preserve">External penetration test with zero Critical/High open; signed remediation evidence.</t>
  </si>
  <si>
    <t xml:space="preserve">F-CG-016, ST-068</t>
  </si>
  <si>
    <t xml:space="preserve">BLOCKED on a vendor (handover 7). Brief exists in docs/SECURITY_EVIDENCE.md.</t>
  </si>
  <si>
    <t xml:space="preserve">Senthil: vendor procurement</t>
  </si>
  <si>
    <t xml:space="preserve">S18 paid validation</t>
  </si>
  <si>
    <t xml:space="preserve">Commercial</t>
  </si>
  <si>
    <t xml:space="preserve">Ten design partners, three unrelated paying pilots, activation and retention evidence, pricing based on observed value.</t>
  </si>
  <si>
    <t xml:space="preserve">F-CG-017/018, G-02, CG-G9</t>
  </si>
  <si>
    <t xml:space="preserve">BLOCKED on strangers: no one outside has used or paid. Only paying strangers count toward the 10-install gate.</t>
  </si>
  <si>
    <t xml:space="preserve">Senthil: outreach (handover 9)</t>
  </si>
  <si>
    <t xml:space="preserve">Senthil dispositions</t>
  </si>
  <si>
    <t xml:space="preserve">Record</t>
  </si>
  <si>
    <t xml:space="preserve">F-005..F-008, D-E1, D-E2, D-E4, D-E5, D-E6, F-CG-014..018, F-PX-005/006/013/015/017: accept / defer / reject per row.</t>
  </si>
  <si>
    <t xml:space="preserve">Review_Findings sheet</t>
  </si>
  <si>
    <t xml:space="preserve">Judgement calls Claude should not make; cheap (about an hour in total) and they unblock the record rather than code.</t>
  </si>
  <si>
    <t xml:space="preserve">Colour on "Reason": green = can start now with no input from Senthil; amber = waiting for approval; red = blocked on something outside the code (Meta, infrastructure, a vendor, a decision or strangers).</t>
  </si>
  <si>
    <t xml:space="preserve">MANUAL TEST CASES — one row per case; steps are literal</t>
  </si>
  <si>
    <t xml:space="preserve">Test ID</t>
  </si>
  <si>
    <t xml:space="preserve">Test case name</t>
  </si>
  <si>
    <t xml:space="preserve">Type</t>
  </si>
  <si>
    <t xml:space="preserve">Description</t>
  </si>
  <si>
    <t xml:space="preserve">Step-by-step</t>
  </si>
  <si>
    <t xml:space="preserve">Expected result</t>
  </si>
  <si>
    <t xml:space="preserve">Actual result</t>
  </si>
  <si>
    <t xml:space="preserve">Pass/Fail</t>
  </si>
  <si>
    <t xml:space="preserve">Date</t>
  </si>
  <si>
    <t xml:space="preserve">MT-001</t>
  </si>
  <si>
    <t xml:space="preserve">v0.1.0-v0.7.0</t>
  </si>
  <si>
    <t xml:space="preserve">Clean build and full suite</t>
  </si>
  <si>
    <t xml:space="preserve">Positive</t>
  </si>
  <si>
    <t xml:space="preserve">The shipped artifact builds and the 100% coverage gate holds.</t>
  </si>
  <si>
    <t xml:space="preserve">1. Unzip engageos_v0.46.0_src.zip into an empty folder.
2. cd engageos &amp;&amp; npm ci
3. npm run build
4. npm test</t>
  </si>
  <si>
    <t xml:space="preserve">npm ci, build and test all exit 0. Jest reports 62 suites / 512 tests passed and 'All files' 100 / 100 / 100 / 100. (Counts are for v0.46.0, the current artifact.)</t>
  </si>
  <si>
    <t xml:space="preserve">MT-002</t>
  </si>
  <si>
    <t xml:space="preserve">Coverage gate refuses a regression</t>
  </si>
  <si>
    <t xml:space="preserve">Negative</t>
  </si>
  <si>
    <t xml:space="preserve">Deleting a test must fail the build, proving the gate is enforced, not decorative.</t>
  </si>
  <si>
    <t xml:space="preserve">1. In the unzipped tree, delete tests/catalog.test.ts.
2. npm test
3. Restore the file (re-unzip).</t>
  </si>
  <si>
    <t xml:space="preserve">Jest exits non-zero with 'Coverage for statements ... does not meet global threshold (100%)'. After restoring, npm test passes again.</t>
  </si>
  <si>
    <t xml:space="preserve">MT-003</t>
  </si>
  <si>
    <t xml:space="preserve">Tracker traceability matches the backlog</t>
  </si>
  <si>
    <t xml:space="preserve">Every story in the product workbook appears in the tracker matrix with the same points.</t>
  </si>
  <si>
    <t xml:space="preserve">1. Open claude_v047 workbook, sheet Full_Backlog; note the 100 story IDs and points.
2. Open claude_v042 tracker, sheet Traceability_Matrix.
3. Filter column A for ST-; compare the count and spot-check ST-001, ST-050, ST-100 points.</t>
  </si>
  <si>
    <t xml:space="preserve">100 stories in both; points match; Sprint_Status_Rollup TOTAL row shows 100 stories / 399 points / 312 done points.</t>
  </si>
  <si>
    <t xml:space="preserve">MT-004</t>
  </si>
  <si>
    <t xml:space="preserve">Rollup formulas are live, not typed</t>
  </si>
  <si>
    <t xml:space="preserve">Changing a status must move the rollup.</t>
  </si>
  <si>
    <t xml:space="preserve">1. In a COPY of the tracker, change Traceability_Matrix status of ST-001 from Done-in-code to Backlog.
2. Recalculate (F9 / open in Excel).
3. Read Sprint_Status_Rollup TOTAL 'Done points'.</t>
  </si>
  <si>
    <t xml:space="preserve">Done points drops from 312 to 307 (ST-001 is 5 points). Discard the copy.</t>
  </si>
  <si>
    <t xml:space="preserve">MT-005</t>
  </si>
  <si>
    <t xml:space="preserve">Config refuses missing secrets by name</t>
  </si>
  <si>
    <t xml:space="preserve">Boot with a blank required variable.</t>
  </si>
  <si>
    <t xml:space="preserve">1. Export all variables from Test_Environment except WA_WABA_ID (unset it).
2. node dist/src/http/index.js</t>
  </si>
  <si>
    <t xml:space="preserve">Process exits immediately with 'MISSING_ENV:WA_WABA_ID'. No port is opened.</t>
  </si>
  <si>
    <t xml:space="preserve">MT-006</t>
  </si>
  <si>
    <t xml:space="preserve">Dry sweep runs without credentials</t>
  </si>
  <si>
    <t xml:space="preserve">The 12-step live sweep runs in dry mode against the fake platform.</t>
  </si>
  <si>
    <t xml:space="preserve">1. With Test_Environment variables set: npm run sweep:dry</t>
  </si>
  <si>
    <t xml:space="preserve">Prints 'MODE: dry run', six PASS lines (config, outbound send, quality rating, 24h window, dedupe, opt-in gate), '6 passed, 0 failed', exit 0.</t>
  </si>
  <si>
    <t xml:space="preserve">MT-007</t>
  </si>
  <si>
    <t xml:space="preserve">Real adapter fails honestly with placeholder token</t>
  </si>
  <si>
    <t xml:space="preserve">A reply through the real Cloud API adapter with a fake token must fail loudly, not pretend to succeed.</t>
  </si>
  <si>
    <t xml:space="preserve">1. Start the server (Test_Environment).
2. Post a signed webhook (see v006 case 'Signed webhook becomes a conversation').
3. CID=$(curl -s $H $BASE/api/inbox | sed 's/.*"id":"\([^"]*\)".*/\1/')
4. curl -s -w ' HTTP %{http_code}' -X POST $H -d '{"text":"hello"}' $BASE/api/inbox/$CID/reply</t>
  </si>
  <si>
    <t xml:space="preserve">HTTP 502 with body {"sent":false,"error":"WA_HTTP_401"} (or WA_HTTP_403). Never {"sent":true}.</t>
  </si>
  <si>
    <t xml:space="preserve">MT-008</t>
  </si>
  <si>
    <t xml:space="preserve">F-001 inbox before setup is refused cleanly</t>
  </si>
  <si>
    <t xml:space="preserve">A message arriving before agents are configured must not crash with NaN.</t>
  </si>
  <si>
    <t xml:space="preserve">1. Start the server WITHOUT ENGAGEOS_DEMO and with ENGAGEOS_AGENTS unset.
2. Post a signed webhook for $TENANT.
3. Read the server log and the webhook response.</t>
  </si>
  <si>
    <t xml:space="preserve">Webhook returns HTTP 200 with outcome 'queued' or a named error INBOX_NOT_CONFIGURED in the results; the process does not crash and /healthz still answers.</t>
  </si>
  <si>
    <t xml:space="preserve">MT-009</t>
  </si>
  <si>
    <t xml:space="preserve">F-002 question node without options is rejected</t>
  </si>
  <si>
    <t xml:space="preserve">Creating a chatbot question node with no options returns a named error, not a stack trace.</t>
  </si>
  <si>
    <t xml:space="preserve">1. FID=$(curl -s -X POST $H -d '{"name":"t"}' $BASE/api/flows | sed 's/.*"id":"\([^"]*\)".*/\1/')
2. curl -s -w ' HTTP %{http_code}' -X POST $H -d '{"node":{"id":"q1","type":"question","text":"Size?"}}' $BASE/api/flows/$FID/nodes</t>
  </si>
  <si>
    <t xml:space="preserve">HTTP 400 with {"error":"INVALID_NODE_NO_OPTIONS:q1"}.</t>
  </si>
  <si>
    <t xml:space="preserve">MT-010</t>
  </si>
  <si>
    <t xml:space="preserve">F-003 dedupe ledger is bounded</t>
  </si>
  <si>
    <t xml:space="preserve">The webhook dedupe ledger must not grow without limit.</t>
  </si>
  <si>
    <t xml:space="preserve">1. Send 500 signed webhooks with distinct wamids (loop in bash, changing the id each time).
2. curl -s -H "X-Operator-Token: $OP" $BASE/admin/health</t>
  </si>
  <si>
    <t xml:space="preserve">All 500 return HTTP 200; /admin/health answers; process memory (ps -o rss) stays flat after the cap (20x queue size) is reached. duplicatesSeen is 0.</t>
  </si>
  <si>
    <t xml:space="preserve">MT-011</t>
  </si>
  <si>
    <t xml:space="preserve">F-004 template language is per send</t>
  </si>
  <si>
    <t xml:space="preserve">A Hindi template is sent with language code hi.</t>
  </si>
  <si>
    <t xml:space="preserve">1. curl -s -X POST $H -d '{"name":"order_update","values":{"1":"A1"},"lang":"hi"}' $BASE/api/inbox/$CID/template  (CID from an earlier case)</t>
  </si>
  <si>
    <t xml:space="preserve">Response is a JSON outcome (502 with WA_HTTP_4xx under placeholder credentials is acceptable); server log / rehearsal shows the payload language.code = 'hi', not 'en'.</t>
  </si>
  <si>
    <t xml:space="preserve">MT-012</t>
  </si>
  <si>
    <t xml:space="preserve">Screens pass an accessibility audit</t>
  </si>
  <si>
    <t xml:space="preserve">Served screens are axe-clean.</t>
  </si>
  <si>
    <t xml:space="preserve">1. npx jest tests/views.a11y.test.ts --coverage=false</t>
  </si>
  <si>
    <t xml:space="preserve">All tests pass; no axe violations reported.</t>
  </si>
  <si>
    <t xml:space="preserve">MT-013</t>
  </si>
  <si>
    <t xml:space="preserve">Security evidence pack exists and names open items</t>
  </si>
  <si>
    <t xml:space="preserve">docs/SECURITY_EVIDENCE.md is present and honest.</t>
  </si>
  <si>
    <t xml:space="preserve">1. Open docs/SECURITY_EVIDENCE.md.
2. Find the section 'Known open items for the vendor'.</t>
  </si>
  <si>
    <t xml:space="preserve">The file exists, lists v0.46.0 controls, and the open-items paragraph names per-instance rate limits, key management and the Meta double as still open.</t>
  </si>
  <si>
    <t xml:space="preserve">MT-014</t>
  </si>
  <si>
    <t xml:space="preserve">F-009 marketing broadcast blocked without opt-in</t>
  </si>
  <si>
    <t xml:space="preserve">A marketing campaign to a contact with no opt-in proof must be skipped.</t>
  </si>
  <si>
    <t xml:space="preserve">1. curl -s -X POST $H -d '{"csv":"phone,region\n+919000000011,IN"}' $BASE/api/contacts/import
2. BID=$(curl -s -X POST $H -d '{"name":"promo","text":"Sale","category":"marketing"}' $BASE/api/broadcast | sed 's/.*"id":"\([^"]*\)".*/\1/')
3. curl -s -X POST $H -d '{"testMode":true}' $BASE/api/broadcast/$BID/send</t>
  </si>
  <si>
    <t xml:space="preserve">Response shows accepted 0 and skipped &gt;= 1 (NO_OPT_IN). No send attempt reaches the adapter.</t>
  </si>
  <si>
    <t xml:space="preserve">MT-015</t>
  </si>
  <si>
    <t xml:space="preserve">F-009 marketing broadcast allowed after opt-in</t>
  </si>
  <si>
    <t xml:space="preserve">The same contact after consent is accepted.</t>
  </si>
  <si>
    <t xml:space="preserve">1. curl -s -X POST $H -d '{"phone":"+919000000011","source":"web-form","checkboxText":"I agree to offers"}' $BASE/api/optin
2. Re-run the send from the previous case (new campaign).</t>
  </si>
  <si>
    <t xml:space="preserve">accepted 1, skipped 0 (test mode; adapter is fake in demo or fails 502 honestly with real adapter).</t>
  </si>
  <si>
    <t xml:space="preserve">MT-016</t>
  </si>
  <si>
    <t xml:space="preserve">F-010 free-form reply outside 24h window is refused</t>
  </si>
  <si>
    <t xml:space="preserve">A plain-text reply to a contact whose last inbound was more than 24h ago must be refused with a template suggestion.</t>
  </si>
  <si>
    <t xml:space="preserve">1. Post a signed webhook for +919000000022.
2. Stop the server; restart with the clock moved (or use the jest case tests/sessionWindow.test.ts as the executable form).
3. Reply with text.</t>
  </si>
  <si>
    <t xml:space="preserve">Reply refused with error TEMPLATE_REQUIRED_OUTSIDE_24H (or the sessionWindow suite passes showing the 24h boundary). Manual clock manipulation is optional; the suite is the evidence.</t>
  </si>
  <si>
    <t xml:space="preserve">MT-017</t>
  </si>
  <si>
    <t xml:space="preserve">Health probe</t>
  </si>
  <si>
    <t xml:space="preserve">The server answers liveness.</t>
  </si>
  <si>
    <t xml:space="preserve">1. curl -s -w ' HTTP %{http_code}' $BASE/healthz</t>
  </si>
  <si>
    <t xml:space="preserve">{"status":"ok"} HTTP 200</t>
  </si>
  <si>
    <t xml:space="preserve">MT-018</t>
  </si>
  <si>
    <t xml:space="preserve">Webhook verify handshake</t>
  </si>
  <si>
    <t xml:space="preserve">Meta's GET handshake echoes hub.challenge.</t>
  </si>
  <si>
    <t xml:space="preserve">1. curl -s "$BASE/webhook?hub.mode=subscribe&amp;hub.verify_token=$WA_WEBHOOK_VERIFY_TOKEN&amp;hub.challenge=OK42"</t>
  </si>
  <si>
    <t xml:space="preserve">Body is exactly OK42, HTTP 200.</t>
  </si>
  <si>
    <t xml:space="preserve">MT-019</t>
  </si>
  <si>
    <t xml:space="preserve">Webhook verify with wrong token</t>
  </si>
  <si>
    <t xml:space="preserve">A wrong verify token is refused.</t>
  </si>
  <si>
    <t xml:space="preserve">1. curl -s -w ' HTTP %{http_code}' "$BASE/webhook?hub.mode=subscribe&amp;hub.verify_token=wrong&amp;hub.challenge=OK42"</t>
  </si>
  <si>
    <t xml:space="preserve">{"error":"BAD_VERIFY_TOKEN"} HTTP 403</t>
  </si>
  <si>
    <t xml:space="preserve">MT-020</t>
  </si>
  <si>
    <t xml:space="preserve">Signed webhook becomes a conversation</t>
  </si>
  <si>
    <t xml:space="preserve">A correctly signed inbound message is accepted and appears in the inbox.</t>
  </si>
  <si>
    <t xml:space="preserve">1. BODY='{"entry":[{"changes":[{"value":{"metadata":{"phone_number_id":"'$TENANT'"},"messages":[{"id":"wamid.mt.1","from":"+919000000001","type":"text","text":{"body":"hello"}}]}}]}]}'
2. SIG=sign(BODY)
3. curl -s -X POST -H 'Content-Type: application/json' -H "X-Hub-Signature-256: $SIG" -d "$BODY" $BASE/webhook
4. curl -s $H $BASE/api/inbox</t>
  </si>
  <si>
    <t xml:space="preserve">Step 3: {"ok":true,"accepted":1,..."outcome":"queued"}. Step 4: conversations list contains contact +919000000001 with status open.</t>
  </si>
  <si>
    <t xml:space="preserve">MT-021</t>
  </si>
  <si>
    <t xml:space="preserve">Unsigned webhook is refused</t>
  </si>
  <si>
    <t xml:space="preserve">A webhook without a valid signature is rejected.</t>
  </si>
  <si>
    <t xml:space="preserve">1. Repeat the previous POST without the X-Hub-Signature-256 header.
2. Repeat with X-Hub-Signature-256: sha256=deadbeef</t>
  </si>
  <si>
    <t xml:space="preserve">Both return HTTP 401 {"error":"BAD_SIGNATURE"}; no conversation is created.</t>
  </si>
  <si>
    <t xml:space="preserve">MT-022</t>
  </si>
  <si>
    <t xml:space="preserve">Migrations apply to a real database</t>
  </si>
  <si>
    <t xml:space="preserve">All seven migrations apply in order.</t>
  </si>
  <si>
    <t xml:space="preserve">1. createdb engageos_mt
2. DATABASE_URL=postgres://.../engageos_mt npm run migrate
3. psql $DATABASE_URL -c 'select name from schema_migrations order by name'</t>
  </si>
  <si>
    <t xml:space="preserve">Seven rows 001_core.sql .. 007_tenant_connections.sql; 'migrations complete'.</t>
  </si>
  <si>
    <t xml:space="preserve">MT-023</t>
  </si>
  <si>
    <t xml:space="preserve">Migration script refuses a missing DATABASE_URL</t>
  </si>
  <si>
    <t xml:space="preserve">The script must not guess a database.</t>
  </si>
  <si>
    <t xml:space="preserve">1. unset DATABASE_URL; npm run migrate</t>
  </si>
  <si>
    <t xml:space="preserve">Exits non-zero with 'DATABASE_URL is required'.</t>
  </si>
  <si>
    <t xml:space="preserve">MT-024</t>
  </si>
  <si>
    <t xml:space="preserve">F-018 unregistered phone number is rejected</t>
  </si>
  <si>
    <t xml:space="preserve">A valid signature is not proof of installation.</t>
  </si>
  <si>
    <t xml:space="preserve">1. Post a correctly SIGNED webhook whose metadata.phone_number_id is pn_not_installed.</t>
  </si>
  <si>
    <t xml:space="preserve">HTTP 200 envelope with the item outcome 'TENANT_NOT_REGISTERED' (or HTTP 404) and no conversation created for any tenant.</t>
  </si>
  <si>
    <t xml:space="preserve">MT-025</t>
  </si>
  <si>
    <t xml:space="preserve">F-019 admin health needs the operator token</t>
  </si>
  <si>
    <t xml:space="preserve">Operational detail is not public.</t>
  </si>
  <si>
    <t xml:space="preserve">1. curl -s -w ' HTTP %{http_code}' $BASE/admin/health
2. curl -s -w ' HTTP %{http_code}' -H 'X-Operator-Token: wrong' $BASE/admin/health
3. curl -s -H "X-Operator-Token: $OP" $BASE/admin/health</t>
  </si>
  <si>
    <t xml:space="preserve">1 and 2: HTTP 401 {"error":"UNAUTHORIZED"}. 3: HTTP 200 with status, release, tenants, duplicatesSeen.</t>
  </si>
  <si>
    <t xml:space="preserve">MT-026</t>
  </si>
  <si>
    <t xml:space="preserve">F-020 OAuth state is single-use and expires</t>
  </si>
  <si>
    <t xml:space="preserve">A replayed or forged state is refused.</t>
  </si>
  <si>
    <t xml:space="preserve">1. curl -s $BASE/oauth/start -&gt; note state S.
2. curl -s -w ' HTTP %{http_code}' "$BASE/oauth/callback?state=forged&amp;code=c1"
3. curl -s -w ' HTTP %{http_code}' "$BASE/oauth/callback?state=$S&amp;code=c1"
4. Repeat step 3 with the same S.</t>
  </si>
  <si>
    <t xml:space="preserve">2: HTTP 403 BAD_OAUTH_STATE. 3: HTTP 503 SIGNUP_NOT_CONFIGURED (no META_APP_ID) - the state was consumed. 4: HTTP 403 BAD_OAUTH_STATE (replay).</t>
  </si>
  <si>
    <t xml:space="preserve">MT-027</t>
  </si>
  <si>
    <t xml:space="preserve">F-017 two tenants do not share dedupe</t>
  </si>
  <si>
    <t xml:space="preserve">The same wamid arriving for two registered tenants is accepted once each.</t>
  </si>
  <si>
    <t xml:space="preserve">1. Register a second tenant (requires META_APP_ID and a signup code; if unavailable run: npx jest tests/http.test.ts -t 'F-017' --coverage=false).</t>
  </si>
  <si>
    <t xml:space="preserve">Test 'F-017' passes: each tenant records its own first delivery as queued and its own replay as duplicate.</t>
  </si>
  <si>
    <t xml:space="preserve">MT-028</t>
  </si>
  <si>
    <t xml:space="preserve">VER-E5 batched webhook processes every message</t>
  </si>
  <si>
    <t xml:space="preserve">An envelope carrying three messages creates three inbound items.</t>
  </si>
  <si>
    <t xml:space="preserve">1. Build BODY with messages [wamid.b1, wamid.b2, wamid.b3] from three different numbers, sign it, POST to /webhook.
2. curl -s $H $BASE/api/inbox</t>
  </si>
  <si>
    <t xml:space="preserve">Response accepted 3 with three results; the inbox lists three conversations.</t>
  </si>
  <si>
    <t xml:space="preserve">MT-029</t>
  </si>
  <si>
    <t xml:space="preserve">VER-E1 pricing page is per-message</t>
  </si>
  <si>
    <t xml:space="preserve">The public pricing page bills template messages, not conversations.</t>
  </si>
  <si>
    <t xml:space="preserve">1. curl -s $BASE/pricing</t>
  </si>
  <si>
    <t xml:space="preserve">Table shows plans with allowances in template messages (e.g. starter $29 / 1,000); the word 'conversation' does not appear as a billing unit.</t>
  </si>
  <si>
    <t xml:space="preserve">MT-030</t>
  </si>
  <si>
    <t xml:space="preserve">VER-E6 throughput limiter caps at 80 msg/s</t>
  </si>
  <si>
    <t xml:space="preserve">A burst above 80/s is queued, not rejected.</t>
  </si>
  <si>
    <t xml:space="preserve">1. npx jest tests/broadcast.test.ts -t throughput --coverage=false (executable form; a live burst needs Meta).</t>
  </si>
  <si>
    <t xml:space="preserve">Tests pass showing sends paced at the configured rate.</t>
  </si>
  <si>
    <t xml:space="preserve">MT-031</t>
  </si>
  <si>
    <t xml:space="preserve">VER-E7 250-recipient tier cap enforced</t>
  </si>
  <si>
    <t xml:space="preserve">A campaign to more than 250 unique recipients in 24h is cut at the tier.</t>
  </si>
  <si>
    <t xml:space="preserve">1. Import 300 contacts with opt-in (script a CSV).
2. Create and send a marketing campaign in testMode.</t>
  </si>
  <si>
    <t xml:space="preserve">accepted &lt;= 250; the remainder reported as skipped (tier cap); /app/home health panel states the 24h limit.</t>
  </si>
  <si>
    <t xml:space="preserve">MT-032</t>
  </si>
  <si>
    <t xml:space="preserve">VER-E10 frequency-cap error is not retried</t>
  </si>
  <si>
    <t xml:space="preserve">Meta error 131049 must not be retried.</t>
  </si>
  <si>
    <t xml:space="preserve">1. npx jest tests/broadcast.test.ts tests/resilience.test.ts -t '131049' --coverage=false (the classification lives in src/sendPolicy.ts).</t>
  </si>
  <si>
    <t xml:space="preserve">Test passes: 131049 classified non-retryable; attempts = 1.</t>
  </si>
  <si>
    <t xml:space="preserve">MT-033</t>
  </si>
  <si>
    <t xml:space="preserve">VER-E11 status webhook updates delivery</t>
  </si>
  <si>
    <t xml:space="preserve">A 'delivered' status changes campaign metrics from accepted to delivered.</t>
  </si>
  <si>
    <t xml:space="preserve">1. Post a signed status webhook: value.statuses=[{id:'wamid_1',status:'delivered',timestamp:'1'}] for $TENANT.
2. curl -s $H $BASE/api/analytics</t>
  </si>
  <si>
    <t xml:space="preserve">Webhook response statuses:1; analytics distinguishes accepted from delivered counts.</t>
  </si>
  <si>
    <t xml:space="preserve">MT-034</t>
  </si>
  <si>
    <t xml:space="preserve">VER-E12 inbound image is represented</t>
  </si>
  <si>
    <t xml:space="preserve">A media message becomes a conversation with a placeholder, not a dropped message.</t>
  </si>
  <si>
    <t xml:space="preserve">1. Post a signed webhook with messages=[{id:'wamid.m1',from:'+919000000031',type:'image',image:{id:'media123',mime_type:'image/jpeg'}}].
2. Read the inbox.</t>
  </si>
  <si>
    <t xml:space="preserve">accepted 1; the conversation shows a media placeholder such as '[image media123]'.</t>
  </si>
  <si>
    <t xml:space="preserve">MT-035</t>
  </si>
  <si>
    <t xml:space="preserve">VER-E13 button reply is readable</t>
  </si>
  <si>
    <t xml:space="preserve">An interactive button reply carries its id/title to the flow engine.</t>
  </si>
  <si>
    <t xml:space="preserve">1. Post a signed webhook with type 'interactive', interactive.button_reply {id:'yes',title:'Yes'}.</t>
  </si>
  <si>
    <t xml:space="preserve">accepted 1; conversation text shows the reply title, and a running flow with a matching option advances (tests/interactive.test.ts passes).</t>
  </si>
  <si>
    <t xml:space="preserve">MT-036</t>
  </si>
  <si>
    <t xml:space="preserve">GAP-E8 shared store selectable</t>
  </si>
  <si>
    <t xml:space="preserve">SHARED_STORE=pg boots against a real database.</t>
  </si>
  <si>
    <t xml:space="preserve">1. Set SHARED_STORE=pg and DATABASE_URL (migrated).
2. node dist/src/http/index.js
3. curl -s $BASE/readyz</t>
  </si>
  <si>
    <t xml:space="preserve">Boot line reads 'store=pg, tenants restored=1'; /readyz {"ready":true,"checked":"store"} HTTP 200.</t>
  </si>
  <si>
    <t xml:space="preserve">MT-037</t>
  </si>
  <si>
    <t xml:space="preserve">Unknown store name is refused</t>
  </si>
  <si>
    <t xml:space="preserve">SHARED_STORE=redis must not silently fall back to memory.</t>
  </si>
  <si>
    <t xml:space="preserve">1. SHARED_STORE=redis node dist/src/http/index.js</t>
  </si>
  <si>
    <t xml:space="preserve">Process exits with UNKNOWN_SHARED_STORE:redis.</t>
  </si>
  <si>
    <t xml:space="preserve">MT-038</t>
  </si>
  <si>
    <t xml:space="preserve">Dedupe survives a restart on pg</t>
  </si>
  <si>
    <t xml:space="preserve">A replayed wamid after a restart is still a duplicate.</t>
  </si>
  <si>
    <t xml:space="preserve">1. With SHARED_STORE=pg, post signed webhook wamid.r1 -&gt; queued.
2. Stop the server, start it again.
3. Post the identical webhook.</t>
  </si>
  <si>
    <t xml:space="preserve">Step 3 outcome 'duplicate'. (This is step 6 of docs/PG_EVIDENCE_TRANSCRIPT.md; npm run evidence:pg reproduces it.)</t>
  </si>
  <si>
    <t xml:space="preserve">MT-039</t>
  </si>
  <si>
    <t xml:space="preserve">Two instances claim a wamid once</t>
  </si>
  <si>
    <t xml:space="preserve">Two pools inserting the same key: exactly one wins.</t>
  </si>
  <si>
    <t xml:space="preserve">1. ENGAGEOS_TEST_DATABASE_URL=$DATABASE_URL npx jest tests/pgIntegration.test.ts -t 'exactly one winner' --coverage=false</t>
  </si>
  <si>
    <t xml:space="preserve">Test passes: 20 concurrent claims, 1 true.</t>
  </si>
  <si>
    <t xml:space="preserve">MT-040</t>
  </si>
  <si>
    <t xml:space="preserve">Media resolution is two authenticated calls</t>
  </si>
  <si>
    <t xml:space="preserve">resolveMedia fetches the short-lived URL with the bearer token.</t>
  </si>
  <si>
    <t xml:space="preserve">1. npx jest tests/cloudApiAdapter.test.ts -t 'media id' --coverage=false</t>
  </si>
  <si>
    <t xml:space="preserve">Passes: GET /&lt;media_id&gt; then the returned URL; both carry Authorization; an inward URL is refused (UNSAFE_OUTBOUND_URL).</t>
  </si>
  <si>
    <t xml:space="preserve">MT-041</t>
  </si>
  <si>
    <t xml:space="preserve">Handover sheet is actionable</t>
  </si>
  <si>
    <t xml:space="preserve">Every handover row names an exact next action and what it unblocks.</t>
  </si>
  <si>
    <t xml:space="preserve">1. Open tracker sheet Senthil_Handover.
2. Check rows 1-14 columns 'Unblocks' and 'Exact next action'.</t>
  </si>
  <si>
    <t xml:space="preserve">No blank cells in those two columns; item 1 is Meta Business verification; item 13 is the ICP decision.</t>
  </si>
  <si>
    <t xml:space="preserve">MT-042</t>
  </si>
  <si>
    <t xml:space="preserve">No coverage pragmas in logic code</t>
  </si>
  <si>
    <t xml:space="preserve">istanbul-ignore appears only in documented bootstrap files.</t>
  </si>
  <si>
    <t xml:space="preserve">1. grep -rn 'istanbul ignore' src scripts</t>
  </si>
  <si>
    <t xml:space="preserve">Only src/http/index.ts, scripts/run-sweep.ts, scripts/make-fixtures.ts, scripts/release-manifest.ts, scripts/sbom.ts. Nothing under src/ except the bootstrap.</t>
  </si>
  <si>
    <t xml:space="preserve">MT-043</t>
  </si>
  <si>
    <t xml:space="preserve">Every Done-in-code row names a real test file</t>
  </si>
  <si>
    <t xml:space="preserve">Verification column resolves to a file on disk.</t>
  </si>
  <si>
    <t xml:space="preserve">1. In the tracker Traceability_Matrix, list distinct values in column I (Verification) for Done-in-code rows.
2. For each *.test.ts named, ls tests/&lt;name&gt;.</t>
  </si>
  <si>
    <t xml:space="preserve">Every named suite exists (note ST-055 now names tenantConnection.test.ts).</t>
  </si>
  <si>
    <t xml:space="preserve">MT-044</t>
  </si>
  <si>
    <t xml:space="preserve">Findings regression suite guards every closed fix</t>
  </si>
  <si>
    <t xml:space="preserve">Removing a fix marker fails the suite.</t>
  </si>
  <si>
    <t xml:space="preserve">1. In a scratch copy, edit src/webhookGuard.ts and rename 'seenOrder' to 'seenOrder2'.
2. npx jest tests/findingsRegression.test.ts --coverage=false
3. Revert.</t>
  </si>
  <si>
    <t xml:space="preserve">Test 'F-003 - webhook dedupe ledger is FIFO-capped' FAILS; after revert all 81 pass.</t>
  </si>
  <si>
    <t xml:space="preserve">MT-045</t>
  </si>
  <si>
    <t xml:space="preserve">Portable ledger agrees with the suite</t>
  </si>
  <si>
    <t xml:space="preserve">audit/findings.json and the regression array cover the same IDs.</t>
  </si>
  <si>
    <t xml:space="preserve">1. npm run audit:findings</t>
  </si>
  <si>
    <t xml:space="preserve">'checked 75 closed findings' and 'PASS - every closed finding is still fixed'.</t>
  </si>
  <si>
    <t xml:space="preserve">MT-046</t>
  </si>
  <si>
    <t xml:space="preserve">Rehearsal completes 24 steps</t>
  </si>
  <si>
    <t xml:space="preserve">The operator path runs end to end with placeholder secrets.</t>
  </si>
  <si>
    <t xml:space="preserve">1. npm run rehearse</t>
  </si>
  <si>
    <t xml:space="preserve">Steps 1-24 print; step 14 shows HTTP 502 (honest failure), step 19 FORBIDDEN:campaign.send, step 21 SIGNUP_NOT_CONFIGURED HTTP 503, step 24 HTTP 401; dry sweep 6 passed; exit 0.</t>
  </si>
  <si>
    <t xml:space="preserve">MT-047</t>
  </si>
  <si>
    <t xml:space="preserve">Rehearsal fails when the server cannot start</t>
  </si>
  <si>
    <t xml:space="preserve">A broken boot must abort the gate loudly (F-049).</t>
  </si>
  <si>
    <t xml:space="preserve">1. Edit a COPY of scripts/rehearse.sh and set ENGAGEOS_SESSION_SECRET=short.
2. bash the copy.</t>
  </si>
  <si>
    <t xml:space="preserve">Prints 'REHEARSAL ABORTED - the server did not start' and exits 1 within ~10 seconds. Original script unchanged.</t>
  </si>
  <si>
    <t xml:space="preserve">MT-048</t>
  </si>
  <si>
    <t xml:space="preserve">Demo screens served only when enabled</t>
  </si>
  <si>
    <t xml:space="preserve">ENGAGEOS_DEMO=1 serves populated screens.</t>
  </si>
  <si>
    <t xml:space="preserve">1. Start with ENGAGEOS_DEMO=1.
2. curl -s $BASE/app/inbox | grep -o '&lt;h2&gt;[^&lt;]*&lt;/h2&gt;' | head -1
3. curl -s $BASE/app/catalog | grep -c 'Masala Tea (demo)'</t>
  </si>
  <si>
    <t xml:space="preserve">An &lt;h2&gt; with a demo phone number; catalog count &gt;= 1; HTTP 200.</t>
  </si>
  <si>
    <t xml:space="preserve">MT-049</t>
  </si>
  <si>
    <t xml:space="preserve">Demo screens absent on a live tenant</t>
  </si>
  <si>
    <t xml:space="preserve">Without ENGAGEOS_DEMO the demo workspace must not appear.</t>
  </si>
  <si>
    <t xml:space="preserve">1. Start WITHOUT ENGAGEOS_DEMO.
2. curl -s -w ' HTTP %{http_code}' $BASE/app/catalog</t>
  </si>
  <si>
    <t xml:space="preserve">No 'Masala Tea (demo)' content; empty-state screen or 404 - never demo data.</t>
  </si>
  <si>
    <t xml:space="preserve">MT-050</t>
  </si>
  <si>
    <t xml:space="preserve">API requires authentication</t>
  </si>
  <si>
    <t xml:space="preserve">Feature routes refuse anonymous calls.</t>
  </si>
  <si>
    <t xml:space="preserve">1. curl -s -w ' HTTP %{http_code}' $BASE/api/inbox
2. curl -s -w ' HTTP %{http_code}' -H "X-Operator-Token: $OP" $BASE/api/inbox</t>
  </si>
  <si>
    <t xml:space="preserve">1: HTTP 401 UNAUTHORIZED. 2: HTTP 400 TENANT_REQUIRED (operator without a tenant).</t>
  </si>
  <si>
    <t xml:space="preserve">MT-051</t>
  </si>
  <si>
    <t xml:space="preserve">Assign a conversation</t>
  </si>
  <si>
    <t xml:space="preserve">An agent can be assigned through the API.</t>
  </si>
  <si>
    <t xml:space="preserve">1. curl -s -X POST $H -d '{"assignee":"owner"}' $BASE/api/inbox/$CID/assign</t>
  </si>
  <si>
    <t xml:space="preserve">HTTP 200 with conversation.assignee = owner.</t>
  </si>
  <si>
    <t xml:space="preserve">MT-052</t>
  </si>
  <si>
    <t xml:space="preserve">Assign to an unknown agent</t>
  </si>
  <si>
    <t xml:space="preserve">Domain errors are answers, not crashes.</t>
  </si>
  <si>
    <t xml:space="preserve">1. curl -s -w ' HTTP %{http_code}' -X POST $H -d '{"assignee":"nobody"}' $BASE/api/inbox/$CID/assign</t>
  </si>
  <si>
    <t xml:space="preserve">HTTP 400 {"error":"UNKNOWN_AGENT"} (or equivalent named error); server stays up.</t>
  </si>
  <si>
    <t xml:space="preserve">MT-053</t>
  </si>
  <si>
    <t xml:space="preserve">Member cannot delete data</t>
  </si>
  <si>
    <t xml:space="preserve">data.delete requires the owner role.</t>
  </si>
  <si>
    <t xml:space="preserve">1. TOKEN=$(curl -s -X POST -H "X-Operator-Token: $OP" -H 'Content-Type: application/json' -d '{"tenantId":"'$TENANT'","agentId":"asha","role":"member"}' $BASE/api/session | sed 's/.*"token":"\([^"]*\)".*/\1/')
2. curl -s -w ' HTTP %{http_code}' -X POST -H "X-Session-Token: $TOKEN" -H 'Content-Type: application/json' -d '{}' $BASE/api/data/delete</t>
  </si>
  <si>
    <t xml:space="preserve">HTTP 403 {"error":"FORBIDDEN:data.delete"}.</t>
  </si>
  <si>
    <t xml:space="preserve">MT-054</t>
  </si>
  <si>
    <t xml:space="preserve">Audit log records permissioned actions</t>
  </si>
  <si>
    <t xml:space="preserve">A guarded action is written to the audit log with the actor.</t>
  </si>
  <si>
    <t xml:space="preserve">1. Create a catalog item as owner: curl -s -X POST $H -d '{"sku":"T1","name":"Tea","priceInr":120}' $BASE/api/catalog
2. curl -s $H $BASE/api/audit</t>
  </si>
  <si>
    <t xml:space="preserve">Entries include action catalog.edit with actor 'operator' and role owner.</t>
  </si>
  <si>
    <t xml:space="preserve">MT-055</t>
  </si>
  <si>
    <t xml:space="preserve">Self-serve export returns the tenant's data</t>
  </si>
  <si>
    <t xml:space="preserve">GET /api/data/export returns conversations.</t>
  </si>
  <si>
    <t xml:space="preserve">1. curl -s $H "$BASE/api/data/export?account=default"</t>
  </si>
  <si>
    <t xml:space="preserve">HTTP 200 JSON with an 'export' object containing conversations.</t>
  </si>
  <si>
    <t xml:space="preserve">MT-056</t>
  </si>
  <si>
    <t xml:space="preserve">Session issued only by the operator</t>
  </si>
  <si>
    <t xml:space="preserve">Anonymous or wrong-token callers cannot mint a session.</t>
  </si>
  <si>
    <t xml:space="preserve">1. curl -s -w ' HTTP %{http_code}' -X POST -H 'Content-Type: application/json' -d '{"tenantId":"'$TENANT'","agentId":"a","role":"owner"}' $BASE/api/session</t>
  </si>
  <si>
    <t xml:space="preserve">HTTP 401 UNAUTHORIZED.</t>
  </si>
  <si>
    <t xml:space="preserve">MT-057</t>
  </si>
  <si>
    <t xml:space="preserve">Member session cannot escalate via header</t>
  </si>
  <si>
    <t xml:space="preserve">The signed role governs, not X-Agent-Role.</t>
  </si>
  <si>
    <t xml:space="preserve">1. Mint a member TOKEN (see v020).
2. curl -s -w ' HTTP %{http_code}' -X POST -H "X-Session-Token: $TOKEN" -H 'X-Agent-Role: owner' -H 'Content-Type: application/json' -d '{"name":"n","text":"t"}' $BASE/api/broadcast</t>
  </si>
  <si>
    <t xml:space="preserve">HTTP 403 {"error":"FORBIDDEN:campaign.send"}.</t>
  </si>
  <si>
    <t xml:space="preserve">MT-058</t>
  </si>
  <si>
    <t xml:space="preserve">Tampered session token is refused</t>
  </si>
  <si>
    <t xml:space="preserve">One changed character invalidates the HMAC.</t>
  </si>
  <si>
    <t xml:space="preserve">1. curl -s -w ' HTTP %{http_code}' -H "X-Session-Token: ${TOKEN}x" $BASE/api/inbox</t>
  </si>
  <si>
    <t xml:space="preserve">HTTP 401.</t>
  </si>
  <si>
    <t xml:space="preserve">MT-059</t>
  </si>
  <si>
    <t xml:space="preserve">Short session secret refused at boot</t>
  </si>
  <si>
    <t xml:space="preserve">ENGAGEOS_SESSION_SECRET under 16 characters must not boot.</t>
  </si>
  <si>
    <t xml:space="preserve">1. ENGAGEOS_SESSION_SECRET=short node dist/src/http/index.js</t>
  </si>
  <si>
    <t xml:space="preserve">Exits with SESSION_SECRET_TOO_SHORT.</t>
  </si>
  <si>
    <t xml:space="preserve">MT-060</t>
  </si>
  <si>
    <t xml:space="preserve">Agent workspace loads in a browser</t>
  </si>
  <si>
    <t xml:space="preserve">The /web shell, script and styles are served.</t>
  </si>
  <si>
    <t xml:space="preserve">1. Open $BASE/web in Chrome.
2. Open DevTools &gt; Network.</t>
  </si>
  <si>
    <t xml:space="preserve">Page renders the EngageOS shell; /web/app.js and /web/app.css return 200; no console errors.</t>
  </si>
  <si>
    <t xml:space="preserve">MT-061</t>
  </si>
  <si>
    <t xml:space="preserve">Reply from the workspace with a session</t>
  </si>
  <si>
    <t xml:space="preserve">Paste a session token, open a conversation, reply.</t>
  </si>
  <si>
    <t xml:space="preserve">1. Mint an owner TOKEN via /api/session.
2. In /web, enter the token where prompted; open the inbox; open the conversation from +919000000001; type 'Shipping today' and send.</t>
  </si>
  <si>
    <t xml:space="preserve">The UI reports the outcome honestly: with placeholder credentials it shows a failed send (502 / WA_HTTP_401), not a green tick.</t>
  </si>
  <si>
    <t xml:space="preserve">MT-062</t>
  </si>
  <si>
    <t xml:space="preserve">Workspace refuses without a token</t>
  </si>
  <si>
    <t xml:space="preserve">Data does not load anonymously.</t>
  </si>
  <si>
    <t xml:space="preserve">1. Open $BASE/web in an incognito window; do not enter a token; open the inbox tab.</t>
  </si>
  <si>
    <t xml:space="preserve">Inbox shows an unauthorised / sign-in state; Network shows /api/inbox 401. No conversations are displayed.</t>
  </si>
  <si>
    <t xml:space="preserve">MT-063</t>
  </si>
  <si>
    <t xml:space="preserve">Delete-my-data asks for confirmation and states 30 days</t>
  </si>
  <si>
    <t xml:space="preserve">The self-serve deletion is a two-step flow.</t>
  </si>
  <si>
    <t xml:space="preserve">1. In /web as owner, open Settings &gt; Data; click Delete my data.</t>
  </si>
  <si>
    <t xml:space="preserve">A confirmation appears stating the 30-day window; after confirming, /api/data/delete returns 202 and the UI shows 'scheduled'.</t>
  </si>
  <si>
    <t xml:space="preserve">MT-064</t>
  </si>
  <si>
    <t xml:space="preserve">Trial banner visible</t>
  </si>
  <si>
    <t xml:space="preserve">ST-057 banner shows trial status.</t>
  </si>
  <si>
    <t xml:space="preserve">1. curl -s -X POST $H -d '{"plan":"growth"}' $BASE/api/billing/trial
2. Reload /web.</t>
  </si>
  <si>
    <t xml:space="preserve">A banner names the trial and its remaining days.</t>
  </si>
  <si>
    <t xml:space="preserve">MT-065</t>
  </si>
  <si>
    <t xml:space="preserve">Contrast floor holds</t>
  </si>
  <si>
    <t xml:space="preserve">Styles meet the enforced contrast ratio.</t>
  </si>
  <si>
    <t xml:space="preserve">1. npx jest tests/webClient.test.ts -t 'contrast' --coverage=false</t>
  </si>
  <si>
    <t xml:space="preserve">Passes with every foreground/background pair &gt;= 4.5:1.</t>
  </si>
  <si>
    <t xml:space="preserve">MT-066</t>
  </si>
  <si>
    <t xml:space="preserve">Language switcher to Tamil</t>
  </si>
  <si>
    <t xml:space="preserve">UI strings switch and persist.</t>
  </si>
  <si>
    <t xml:space="preserve">1. In /web, choose Tamil in the language switcher; reload.</t>
  </si>
  <si>
    <t xml:space="preserve">Labels render in Tamil; the choice persists after reload (localStorage engageos-lang=ta).</t>
  </si>
  <si>
    <t xml:space="preserve">MT-067</t>
  </si>
  <si>
    <t xml:space="preserve">Missing translation falls back to English</t>
  </si>
  <si>
    <t xml:space="preserve">A key absent from a pack shows English, not a blank.</t>
  </si>
  <si>
    <t xml:space="preserve">1. npx jest tests/webClient.test.ts -t 'fall back to English' --coverage=false</t>
  </si>
  <si>
    <t xml:space="preserve">Passes: an unknown key returns the English string.</t>
  </si>
  <si>
    <t xml:space="preserve">MT-068</t>
  </si>
  <si>
    <t xml:space="preserve">Quality guard blocks broadcasts on red rating</t>
  </si>
  <si>
    <t xml:space="preserve">A red quality rating disables campaign sends.</t>
  </si>
  <si>
    <t xml:space="preserve">1. curl -s -X POST $H $BASE/admin/monitor/run (with the fake adapter quality set to RED via demo, or run tests/analyticsGuard.test.ts).
2. Attempt a broadcast send.</t>
  </si>
  <si>
    <t xml:space="preserve">Send refused with BROADCAST_DISABLED (or the guard test passes showing throttle-broadcasts on red).</t>
  </si>
  <si>
    <t xml:space="preserve">MT-069</t>
  </si>
  <si>
    <t xml:space="preserve">Payment link goes to the customer</t>
  </si>
  <si>
    <t xml:space="preserve">POST /api/inbox/:id/payment-link sends the link in the conversation.</t>
  </si>
  <si>
    <t xml:space="preserve">1. curl -s -X POST $H -d '{"sku":"T1"}' $BASE/api/inbox/$CID/payment-link</t>
  </si>
  <si>
    <t xml:space="preserve">Response shows the outbound message attempt to the customer's number containing a upi:// link (502 honest failure acceptable with placeholder creds).</t>
  </si>
  <si>
    <t xml:space="preserve">MT-070</t>
  </si>
  <si>
    <t xml:space="preserve">CSV contact import</t>
  </si>
  <si>
    <t xml:space="preserve">Day-one migration path works.</t>
  </si>
  <si>
    <t xml:space="preserve">1. curl -s -X POST $H -d '{"csv":"phone,region,tags\n+919000000041,IN,vip\n+919000000042,IN,"}' $BASE/api/contacts/import</t>
  </si>
  <si>
    <t xml:space="preserve">HTTP 200 with imported: 2 and an empty errors list.</t>
  </si>
  <si>
    <t xml:space="preserve">MT-071</t>
  </si>
  <si>
    <t xml:space="preserve">CSV import rejects a malformed row</t>
  </si>
  <si>
    <t xml:space="preserve">A bad phone is reported, not silently dropped.</t>
  </si>
  <si>
    <t xml:space="preserve">1. curl -s -X POST $H -d '{"csv":"phone,region\nnot-a-phone,IN"}' $BASE/api/contacts/import</t>
  </si>
  <si>
    <t xml:space="preserve">HTTP 200 with imported 0 and an errors entry naming the row and reason.</t>
  </si>
  <si>
    <t xml:space="preserve">MT-072</t>
  </si>
  <si>
    <t xml:space="preserve">Bulk close conversations</t>
  </si>
  <si>
    <t xml:space="preserve">inbox.bulk action closes several at once.</t>
  </si>
  <si>
    <t xml:space="preserve">1. curl -s -X POST $H -d '{"ids":["'$CID'"]}' $BASE/api/inbox/bulk-close</t>
  </si>
  <si>
    <t xml:space="preserve">HTTP 200; the conversation status becomes closed.</t>
  </si>
  <si>
    <t xml:space="preserve">MT-073</t>
  </si>
  <si>
    <t xml:space="preserve">Template with a missing variable is refused</t>
  </si>
  <si>
    <t xml:space="preserve">Pre-flight names the missing variable.</t>
  </si>
  <si>
    <t xml:space="preserve">1. curl -s -w ' HTTP %{http_code}' -X POST $H -d '{"name":"order_update","values":{}}' $BASE/api/inbox/$CID/template</t>
  </si>
  <si>
    <t xml:space="preserve">HTTP 400 naming the missing variable (TEMPLATE_PARAMS_MISSING:...).</t>
  </si>
  <si>
    <t xml:space="preserve">MT-074</t>
  </si>
  <si>
    <t xml:space="preserve">Template list matches the library</t>
  </si>
  <si>
    <t xml:space="preserve">GET /api/templates returns the 20 documented templates.</t>
  </si>
  <si>
    <t xml:space="preserve">1. curl -s $H $BASE/api/templates | grep -o '"name"' | wc -l</t>
  </si>
  <si>
    <t xml:space="preserve">20 (or the pack subset for the configured vertical); names match docs/templates/MESSAGE_TEMPLATES.md.</t>
  </si>
  <si>
    <t xml:space="preserve">MT-075</t>
  </si>
  <si>
    <t xml:space="preserve">Kill switch needs a reason</t>
  </si>
  <si>
    <t xml:space="preserve">Disabling a capability without a reason is refused.</t>
  </si>
  <si>
    <t xml:space="preserve">1. curl -s -w ' HTTP %{http_code}' -X POST $H -d '{"capability":"broadcast","enabled":false}' $BASE/admin/flags</t>
  </si>
  <si>
    <t xml:space="preserve">HTTP 400 REASON_REQUIRED.</t>
  </si>
  <si>
    <t xml:space="preserve">MT-076</t>
  </si>
  <si>
    <t xml:space="preserve">Kill switch disables broadcasts and shows on status</t>
  </si>
  <si>
    <t xml:space="preserve">A disabled capability is admitted publicly.</t>
  </si>
  <si>
    <t xml:space="preserve">1. curl -s -X POST $H -d '{"capability":"broadcast","enabled":false,"reason":"quality drop","by":"owner"}' $BASE/admin/flags
2. curl -s "$BASE/status?tenant=$TENANT"
3. Attempt a broadcast send.</t>
  </si>
  <si>
    <t xml:space="preserve">Status shows degraded true with disabled ['broadcast']; the send is refused with BROADCAST_DISABLED. Re-enable afterwards.</t>
  </si>
  <si>
    <t xml:space="preserve">MT-077</t>
  </si>
  <si>
    <t xml:space="preserve">Incident appears on the public status page</t>
  </si>
  <si>
    <t xml:space="preserve">Opening an incident publishes its latest message without internals.</t>
  </si>
  <si>
    <t xml:space="preserve">1. curl -s -X POST $H -d '{"severity":"major","title":"Delivery delays","message":"Investigating"}' $BASE/admin/incidents
2. curl -s $BASE/status</t>
  </si>
  <si>
    <t xml:space="preserve">Public status shows degraded true and the incident title/message; no error counts or internal ids beyond the incident id.</t>
  </si>
  <si>
    <t xml:space="preserve">MT-078</t>
  </si>
  <si>
    <t xml:space="preserve">Overdue incident update is flagged to the operator</t>
  </si>
  <si>
    <t xml:space="preserve">The comms cadence is enforced.</t>
  </si>
  <si>
    <t xml:space="preserve">1. Leave the incident from the previous case un-updated past its cadence (or run tests/incidents.test.ts -t overdue).
2. curl -s -H "X-Operator-Token: $OP" $BASE/status</t>
  </si>
  <si>
    <t xml:space="preserve">Operator view lists the incident under 'overdue' with minutes late.</t>
  </si>
  <si>
    <t xml:space="preserve">MT-079</t>
  </si>
  <si>
    <t xml:space="preserve">All nine screens exist</t>
  </si>
  <si>
    <t xml:space="preserve">Screen inventory matches served screens.</t>
  </si>
  <si>
    <t xml:space="preserve">1. For each of home, inbox, broadcast, flows, catalog, analytics, settings, help, onboarding: curl -s -o /dev/null -w '%{http_code}\n' $BASE/app/&lt;name&gt; (with ENGAGEOS_DEMO=1).</t>
  </si>
  <si>
    <t xml:space="preserve">All nine return 200.</t>
  </si>
  <si>
    <t xml:space="preserve">MT-080</t>
  </si>
  <si>
    <t xml:space="preserve">Weekly metrics email renders</t>
  </si>
  <si>
    <t xml:space="preserve">ST-074 is callable.</t>
  </si>
  <si>
    <t xml:space="preserve">1. curl -s $H $BASE/admin/metrics/weekly</t>
  </si>
  <si>
    <t xml:space="preserve">HTTP 200 text/plain email body with installs, activation and MRR lines.</t>
  </si>
  <si>
    <t xml:space="preserve">MT-081</t>
  </si>
  <si>
    <t xml:space="preserve">Vertical setup changes the template pack</t>
  </si>
  <si>
    <t xml:space="preserve">Choosing clinics changes templates and the welcome wording.</t>
  </si>
  <si>
    <t xml:space="preserve">1. curl -s -X POST $H -d '{"vertical":"clinics"}' $BASE/api/setup/vertical
2. curl -s $H $BASE/api/templates</t>
  </si>
  <si>
    <t xml:space="preserve">Templates now include appointment/no-show names; onboarding welcome text references the clinic.</t>
  </si>
  <si>
    <t xml:space="preserve">MT-082</t>
  </si>
  <si>
    <t xml:space="preserve">Unknown vertical is refused</t>
  </si>
  <si>
    <t xml:space="preserve">Only the four packs are accepted.</t>
  </si>
  <si>
    <t xml:space="preserve">1. curl -s -w ' HTTP %{http_code}' -X POST $H -d '{"vertical":"casino"}' $BASE/api/setup/vertical</t>
  </si>
  <si>
    <t xml:space="preserve">HTTP 400 UNKNOWN_VERTICAL.</t>
  </si>
  <si>
    <t xml:space="preserve">MT-083</t>
  </si>
  <si>
    <t xml:space="preserve">Onboarding aha is reachable</t>
  </si>
  <si>
    <t xml:space="preserve">Completing steps reaches 'aha' and the review ask can fire.</t>
  </si>
  <si>
    <t xml:space="preserve">1. curl -s -X POST $H $BASE/api/onboarding/connect
2. curl -s -X POST $H $BASE/api/onboarding/first-reply
3. curl -s $H $BASE/api/review-ask</t>
  </si>
  <si>
    <t xml:space="preserve">Onboarding shows both steps complete; review-ask returns ask true once the conditions are met.</t>
  </si>
  <si>
    <t xml:space="preserve">MT-084</t>
  </si>
  <si>
    <t xml:space="preserve">State document matches the artifact</t>
  </si>
  <si>
    <t xml:space="preserve">docs/STATE_OF_ENGAGEOS.md names the shipped zip version.</t>
  </si>
  <si>
    <t xml:space="preserve">1. grep -o 'engageos_v[0-9.]*_src.zip' docs/STATE_OF_ENGAGEOS.md | head -1
2. grep '"version"' package.json</t>
  </si>
  <si>
    <t xml:space="preserve">Both say 0.46.0.</t>
  </si>
  <si>
    <t xml:space="preserve">MT-085</t>
  </si>
  <si>
    <t xml:space="preserve">Reachability audit passes</t>
  </si>
  <si>
    <t xml:space="preserve">Every module is imported by another module.</t>
  </si>
  <si>
    <t xml:space="preserve">1. npm run audit:reachability</t>
  </si>
  <si>
    <t xml:space="preserve">'scanned 69 source files' and 'PASS - every module is imported by another module'.</t>
  </si>
  <si>
    <t xml:space="preserve">MT-086</t>
  </si>
  <si>
    <t xml:space="preserve">Reachability audit detects an orphan</t>
  </si>
  <si>
    <t xml:space="preserve">An unused module fails the gate.</t>
  </si>
  <si>
    <t xml:space="preserve">1. echo 'export const x = 1;' &gt; src/orphan.ts
2. npm run audit:reachability
3. rm src/orphan.ts</t>
  </si>
  <si>
    <t xml:space="preserve">FAIL naming src/orphan.ts; exit 1. After removal, PASS.</t>
  </si>
  <si>
    <t xml:space="preserve">MT-087</t>
  </si>
  <si>
    <t xml:space="preserve">Claims audit passes</t>
  </si>
  <si>
    <t xml:space="preserve">Every documented promise has a code marker.</t>
  </si>
  <si>
    <t xml:space="preserve">1. npm run audit:claims</t>
  </si>
  <si>
    <t xml:space="preserve">'checked 58 documented claims' and PASS.</t>
  </si>
  <si>
    <t xml:space="preserve">MT-088</t>
  </si>
  <si>
    <t xml:space="preserve">Claims audit detects a broken promise</t>
  </si>
  <si>
    <t xml:space="preserve">Removing a marker fails the gate.</t>
  </si>
  <si>
    <t xml:space="preserve">1. In a scratch copy, rename 'addRule' in src/inbox.ts to 'addRule2'.
2. npm run audit:claims
3. Revert.</t>
  </si>
  <si>
    <t xml:space="preserve">FAIL naming the claim 'Multi-agent inbox with rules + round-robin'.</t>
  </si>
  <si>
    <t xml:space="preserve">MT-089</t>
  </si>
  <si>
    <t xml:space="preserve">Outbound queue holds and drains</t>
  </si>
  <si>
    <t xml:space="preserve">A held send can be drained on demand.</t>
  </si>
  <si>
    <t xml:space="preserve">1. curl -s $H $BASE/admin/outbound
2. curl -s -X POST $H $BASE/admin/outbound/drain</t>
  </si>
  <si>
    <t xml:space="preserve">Queue depth and dead letters are reported; drain returns counts; no exception.</t>
  </si>
  <si>
    <t xml:space="preserve">MT-090</t>
  </si>
  <si>
    <t xml:space="preserve">Posture check refuses a contradicting deployment</t>
  </si>
  <si>
    <t xml:space="preserve">TLS_MIN=1.0 must not boot.</t>
  </si>
  <si>
    <t xml:space="preserve">1. TLS_MIN=1.0 node dist/src/http/index.js</t>
  </si>
  <si>
    <t xml:space="preserve">Exits with a POSTURE error naming TLS_MIN.</t>
  </si>
  <si>
    <t xml:space="preserve">MT-091</t>
  </si>
  <si>
    <t xml:space="preserve">Posture warn-only for local</t>
  </si>
  <si>
    <t xml:space="preserve">POSTURE_WARN_ONLY=1 boots with a warning.</t>
  </si>
  <si>
    <t xml:space="preserve">1. TLS_MIN=1.0 POSTURE_WARN_ONLY=1 node dist/src/http/index.js</t>
  </si>
  <si>
    <t xml:space="preserve">Boots; console shows a posture warning; /admin/security-posture (owner) lists the failing item.</t>
  </si>
  <si>
    <t xml:space="preserve">MT-092</t>
  </si>
  <si>
    <t xml:space="preserve">Audit kit workbook converter</t>
  </si>
  <si>
    <t xml:space="preserve">A spreadsheet spec can be fed to the claims extractor.</t>
  </si>
  <si>
    <t xml:space="preserve">1. cd tools-audit-kit &amp;&amp; npm test</t>
  </si>
  <si>
    <t xml:space="preserve">All kit tests pass (4 node suites; python tests if python present).</t>
  </si>
  <si>
    <t xml:space="preserve">MT-093</t>
  </si>
  <si>
    <t xml:space="preserve">Audit kit has its own tests</t>
  </si>
  <si>
    <t xml:space="preserve">The kit ships tested.</t>
  </si>
  <si>
    <t xml:space="preserve">1. ls tools-audit-kit/test; cd tools-audit-kit &amp;&amp; npm test</t>
  </si>
  <si>
    <t xml:space="preserve">kit.test.js present; 'OK'.</t>
  </si>
  <si>
    <t xml:space="preserve">MT-094</t>
  </si>
  <si>
    <t xml:space="preserve">One version everywhere</t>
  </si>
  <si>
    <t xml:space="preserve">package, lock, README, state doc and manifest agree.</t>
  </si>
  <si>
    <t xml:space="preserve">1. npm run audit:versions</t>
  </si>
  <si>
    <t xml:space="preserve">Lists five places all 0.46.0; PASS.</t>
  </si>
  <si>
    <t xml:space="preserve">MT-095</t>
  </si>
  <si>
    <t xml:space="preserve">Version drift is caught</t>
  </si>
  <si>
    <t xml:space="preserve">Changing one place fails the gate.</t>
  </si>
  <si>
    <t xml:space="preserve">1. In a scratch copy, edit README.md heading to v0.99.0.
2. npm run audit:versions; npx jest tests/releaseIntegrity.test.ts --coverage=false
3. Revert.</t>
  </si>
  <si>
    <t xml:space="preserve">Both FAIL naming README.md.</t>
  </si>
  <si>
    <t xml:space="preserve">MT-096</t>
  </si>
  <si>
    <t xml:space="preserve">F-CG-006 cancelled account cannot send</t>
  </si>
  <si>
    <t xml:space="preserve">Entitlement is enforced at the edge.</t>
  </si>
  <si>
    <t xml:space="preserve">1. curl -s -X POST $H -d '{"plan":"growth"}' $BASE/api/billing/trial
2. curl -s -X POST $H -d '{"reason":"test"}' $BASE/api/billing/cancel
3. curl -s -w ' HTTP %{http_code}' -X POST $H -d '{"name":"x","text":"y"}' $BASE/api/broadcast</t>
  </si>
  <si>
    <t xml:space="preserve">Step 3: HTTP 402 {"error":"ACCOUNT_READ_ONLY"}. Reads (GET /api/inbox) still 200.</t>
  </si>
  <si>
    <t xml:space="preserve">MT-097</t>
  </si>
  <si>
    <t xml:space="preserve">F-CG-006 cancelled account can still reach support</t>
  </si>
  <si>
    <t xml:space="preserve">Support and billing stay open.</t>
  </si>
  <si>
    <t xml:space="preserve">1. After the previous case: curl -s -w ' HTTP %{http_code}' -X POST $H -d '{"subject":"help"}' $BASE/api/support</t>
  </si>
  <si>
    <t xml:space="preserve">HTTP 201/200, ticket created.</t>
  </si>
  <si>
    <t xml:space="preserve">MT-098</t>
  </si>
  <si>
    <t xml:space="preserve">F-CG-007 member cannot dispatch a campaign</t>
  </si>
  <si>
    <t xml:space="preserve">The send route carries campaign.send.</t>
  </si>
  <si>
    <t xml:space="preserve">1. Create a campaign as owner; note BID.
2. With a member TOKEN: curl -s -w ' HTTP %{http_code}' -X POST -H "X-Session-Token: $TOKEN" -H 'Content-Type: application/json' -d '{}' $BASE/api/broadcast/$BID/send</t>
  </si>
  <si>
    <t xml:space="preserve">HTTP 403 FORBIDDEN:campaign.send.</t>
  </si>
  <si>
    <t xml:space="preserve">MT-099</t>
  </si>
  <si>
    <t xml:space="preserve">F-CG-009 oversized body is refused with 413</t>
  </si>
  <si>
    <t xml:space="preserve">A 2 MiB body is drained and answered.</t>
  </si>
  <si>
    <t xml:space="preserve">1. head -c 2100000 /dev/zero | tr '\0' 'a' &gt; big.txt
2. curl -s -o /dev/null -w '%{http_code}' -X POST $H --data-binary @big.txt $BASE/api/catalog</t>
  </si>
  <si>
    <t xml:space="preserve">413 (not a hang-up or reset).</t>
  </si>
  <si>
    <t xml:space="preserve">MT-100</t>
  </si>
  <si>
    <t xml:space="preserve">F-CG-009 internal errors do not leak</t>
  </si>
  <si>
    <t xml:space="preserve">A 500 carries a request id, not a message.</t>
  </si>
  <si>
    <t xml:space="preserve">1. npx jest tests/edgeHardening.test.ts -t 'correlation id' --coverage=false</t>
  </si>
  <si>
    <t xml:space="preserve">Passes: body is {"error":"INTERNAL","requestId":"req_..."}; the exception text goes to the operator sink only.</t>
  </si>
  <si>
    <t xml:space="preserve">MT-101</t>
  </si>
  <si>
    <t xml:space="preserve">Security headers on every response</t>
  </si>
  <si>
    <t xml:space="preserve">nosniff, DENY, HSTS present.</t>
  </si>
  <si>
    <t xml:space="preserve">1. curl -sI $BASE/healthz</t>
  </si>
  <si>
    <t xml:space="preserve">Headers include X-Content-Type-Options: nosniff, X-Frame-Options: DENY, Strict-Transport-Security.</t>
  </si>
  <si>
    <t xml:space="preserve">MT-102</t>
  </si>
  <si>
    <t xml:space="preserve">Boot refuses without a credential key</t>
  </si>
  <si>
    <t xml:space="preserve">ENGAGEOS_CRED_KEY is mandatory.</t>
  </si>
  <si>
    <t xml:space="preserve">1. unset ENGAGEOS_CRED_KEY; node dist/src/http/index.js</t>
  </si>
  <si>
    <t xml:space="preserve">Exits with MISSING_ENV:ENGAGEOS_CRED_KEY.</t>
  </si>
  <si>
    <t xml:space="preserve">MT-103</t>
  </si>
  <si>
    <t xml:space="preserve">Malformed credential key refused</t>
  </si>
  <si>
    <t xml:space="preserve">A 10-character key is not accepted.</t>
  </si>
  <si>
    <t xml:space="preserve">1. ENGAGEOS_CRED_KEY=abcdef1234 node dist/src/http/index.js</t>
  </si>
  <si>
    <t xml:space="preserve">Exits with BAD_CRED_KEY.</t>
  </si>
  <si>
    <t xml:space="preserve">MT-104</t>
  </si>
  <si>
    <t xml:space="preserve">Two tenants send with their own tokens</t>
  </si>
  <si>
    <t xml:space="preserve">Isolation proof.</t>
  </si>
  <si>
    <t xml:space="preserve">1. npx jest tests/tenantConnection.test.ts -t 'two different tokens' --coverage=false</t>
  </si>
  <si>
    <t xml:space="preserve">Passes: outbound calls carry Bearer token_A and Bearer token_B respectively.</t>
  </si>
  <si>
    <t xml:space="preserve">MT-105</t>
  </si>
  <si>
    <t xml:space="preserve">Composition root never shares one adapter</t>
  </si>
  <si>
    <t xml:space="preserve">sameApiForEveryTenant must not appear in the bootstrap.</t>
  </si>
  <si>
    <t xml:space="preserve">1. grep -c sameApiForEveryTenant src/http/index.ts</t>
  </si>
  <si>
    <t xml:space="preserve">0.</t>
  </si>
  <si>
    <t xml:space="preserve">MT-106</t>
  </si>
  <si>
    <t xml:space="preserve">Signup callback without a Meta app refuses</t>
  </si>
  <si>
    <t xml:space="preserve">No META_APP_ID: 503, never a fabricated install.</t>
  </si>
  <si>
    <t xml:space="preserve">1. S=$(curl -s $BASE/oauth/start | sed 's/.*"state":"\([^"]*\)".*/\1/')
2. curl -s -w ' HTTP %{http_code}' "$BASE/oauth/callback?state=$S&amp;code=abc&amp;phone_number_id=pn_x&amp;waba_id=w_x"
3. curl -s -H "X-Operator-Token: $OP" $BASE/admin/health</t>
  </si>
  <si>
    <t xml:space="preserve">Step 2: {"error":"SIGNUP_NOT_CONFIGURED"} HTTP 503. Step 3: tenants still 1.</t>
  </si>
  <si>
    <t xml:space="preserve">MT-107</t>
  </si>
  <si>
    <t xml:space="preserve">Forged account ids are refused (executable form)</t>
  </si>
  <si>
    <t xml:space="preserve">A real code with someone else's number on the URL is refused by name.</t>
  </si>
  <si>
    <t xml:space="preserve">1. npx jest tests/http.test.ts -t 'forged callback' --coverage=false</t>
  </si>
  <si>
    <t xml:space="preserve">Passes: FORGED_PHONE_NUMBER_ID and FORGED_WABA_ID both 403; nothing connected.</t>
  </si>
  <si>
    <t xml:space="preserve">MT-108</t>
  </si>
  <si>
    <t xml:space="preserve">Tenant connection is durable and sealed</t>
  </si>
  <si>
    <t xml:space="preserve">The operator's connection row survives a restart and holds no plaintext.</t>
  </si>
  <si>
    <t xml:space="preserve">1. SHARED_STORE=pg boot; psql $DATABASE_URL -c "select tenant_id, token_sealed like 'v1.%' as sealed, position('$WA_ACCESS_TOKEN' in token_sealed)&gt;0 as plaintext from tenant_connections"</t>
  </si>
  <si>
    <t xml:space="preserve">One row: sealed = t, plaintext = f.</t>
  </si>
  <si>
    <t xml:space="preserve">MT-109</t>
  </si>
  <si>
    <t xml:space="preserve">Database refuses a plaintext token</t>
  </si>
  <si>
    <t xml:space="preserve">The CHECK constraint holds even for a hand-written insert.</t>
  </si>
  <si>
    <t xml:space="preserve">1. psql $DATABASE_URL -c "insert into tenant_connections (tenant_id,waba_id,token_sealed,api_base,connected_at) values ('pn_mt','w','EAAG_plain','https://graph.facebook.com/v21.0',1)"</t>
  </si>
  <si>
    <t xml:space="preserve">ERROR: new row violates check constraint.</t>
  </si>
  <si>
    <t xml:space="preserve">MT-110</t>
  </si>
  <si>
    <t xml:space="preserve">Restart restores tenants and dedupe</t>
  </si>
  <si>
    <t xml:space="preserve">Full boot/restart/outage transcript.</t>
  </si>
  <si>
    <t xml:space="preserve">1. DATABASE_URL=... PG_STOP_CMD=... PG_START_CMD=... npm run evidence:pg</t>
  </si>
  <si>
    <t xml:space="preserve">Steps 1-9 print; 'tenants restored=2' after restart; replayed webhook 'duplicate'; /readyz 503 with db down and 200 when back; 'PG EVIDENCE COMPLETE'; exit 0.</t>
  </si>
  <si>
    <t xml:space="preserve">MT-111</t>
  </si>
  <si>
    <t xml:space="preserve">Readiness reports a database outage</t>
  </si>
  <si>
    <t xml:space="preserve">/readyz 503 while /healthz stays 200.</t>
  </si>
  <si>
    <t xml:space="preserve">1. With SHARED_STORE=pg running, stop Postgres.
2. curl -s -w ' HTTP %{http_code}' $BASE/readyz; curl -s -w ' HTTP %{http_code}' $BASE/healthz
3. Start Postgres; repeat /readyz.</t>
  </si>
  <si>
    <t xml:space="preserve">Step 2: readyz {"ready":false} HTTP 503, healthz HTTP 200, process still alive. Step 3: readyz HTTP 200.</t>
  </si>
  <si>
    <t xml:space="preserve">MT-112</t>
  </si>
  <si>
    <t xml:space="preserve">Logout revokes the session immediately</t>
  </si>
  <si>
    <t xml:space="preserve">A revoked session fails on the next request.</t>
  </si>
  <si>
    <t xml:space="preserve">1. Mint a member TOKEN.
2. curl -s -X POST -H "X-Session-Token: $TOKEN" $BASE/api/session/revoke
3. curl -s -o /dev/null -w '%{http_code}' -H "X-Session-Token: $TOKEN" $BASE/api/inbox</t>
  </si>
  <si>
    <t xml:space="preserve">Step 2: {"revoked":true}. Step 3: 401.</t>
  </si>
  <si>
    <t xml:space="preserve">MT-113</t>
  </si>
  <si>
    <t xml:space="preserve">Owner revokes a departed agent everywhere</t>
  </si>
  <si>
    <t xml:space="preserve">revoke-agent cuts every session of that agent.</t>
  </si>
  <si>
    <t xml:space="preserve">1. Mint two member tokens for agentId ravi and one owner token.
2. curl -s -X POST -H "X-Session-Token: $OWNER" -H 'Content-Type: application/json' -d '{"agentId":"ravi"}' $BASE/api/session/revoke-agent
3. Call /api/inbox with each ravi token.</t>
  </si>
  <si>
    <t xml:space="preserve">Step 2: {"revoked":true,"agentId":"ravi",...}. Step 3: both 401; the owner token still works; /api/audit shows session.revoke-agent:ravi.</t>
  </si>
  <si>
    <t xml:space="preserve">MT-114</t>
  </si>
  <si>
    <t xml:space="preserve">Member cannot revoke a colleague</t>
  </si>
  <si>
    <t xml:space="preserve">revoke-agent needs settings.manage.</t>
  </si>
  <si>
    <t xml:space="preserve">1. With a member TOKEN: curl -s -w ' HTTP %{http_code}' -X POST -H "X-Session-Token: $TOKEN" -H 'Content-Type: application/json' -d '{"agentId":"priya"}' $BASE/api/session/revoke-agent</t>
  </si>
  <si>
    <t xml:space="preserve">HTTP 403 FORBIDDEN:settings.manage.</t>
  </si>
  <si>
    <t xml:space="preserve">MT-115</t>
  </si>
  <si>
    <t xml:space="preserve">Wrong field type is refused by name</t>
  </si>
  <si>
    <t xml:space="preserve">Schema validation on every body.</t>
  </si>
  <si>
    <t xml:space="preserve">1. curl -s -w ' HTTP %{http_code}' -X POST $H -d '{"sku":"t1","name":"Tea","priceInr":"free"}' $BASE/api/catalog</t>
  </si>
  <si>
    <t xml:space="preserve">HTTP 400 {"error":"INVALID_FIELD:priceInr:number"}.</t>
  </si>
  <si>
    <t xml:space="preserve">MT-116</t>
  </si>
  <si>
    <t xml:space="preserve">Unknown field is refused</t>
  </si>
  <si>
    <t xml:space="preserve">Silently ignored fields are not allowed.</t>
  </si>
  <si>
    <t xml:space="preserve">1. curl -s -w ' HTTP %{http_code}' -X POST $H -d '{"paused":true,"pausedUntil":"forever"}' $BASE/api/inbox/pause</t>
  </si>
  <si>
    <t xml:space="preserve">HTTP 400 UNKNOWN_FIELD:pausedUntil.</t>
  </si>
  <si>
    <t xml:space="preserve">MT-117</t>
  </si>
  <si>
    <t xml:space="preserve">Malformed JSON gets a named error</t>
  </si>
  <si>
    <t xml:space="preserve">No parser text leaks.</t>
  </si>
  <si>
    <t xml:space="preserve">1. curl -s -w ' HTTP %{http_code}' -X POST $H -d '{"paused":' $BASE/api/inbox/pause</t>
  </si>
  <si>
    <t xml:space="preserve">HTTP 400 {"error":"MALFORMED_JSON"}.</t>
  </si>
  <si>
    <t xml:space="preserve">MT-118</t>
  </si>
  <si>
    <t xml:space="preserve">Rate limit per address</t>
  </si>
  <si>
    <t xml:space="preserve">Over the per-IP budget returns 429 with Retry-After.</t>
  </si>
  <si>
    <t xml:space="preserve">1. Start with RATE_LIMIT_IP_PER_MIN=5.
2. for i in 1 2 3 4 5 6 7; do curl -s -o /dev/null -w '%{http_code} ' $BASE/pricing; done
3. curl -sI $BASE/pricing | grep -i retry-after</t>
  </si>
  <si>
    <t xml:space="preserve">First five 200, then 429; Retry-After header present with a positive number of seconds.</t>
  </si>
  <si>
    <t xml:space="preserve">MT-119</t>
  </si>
  <si>
    <t xml:space="preserve">Webhook and probes are exempt from rate limits</t>
  </si>
  <si>
    <t xml:space="preserve">Meta bursts are never 429'd.</t>
  </si>
  <si>
    <t xml:space="preserve">1. With RATE_LIMIT_IP_PER_MIN=1: for i in $(seq 1 10); do curl -s -o /dev/null -w '%{http_code} ' $BASE/healthz; done
2. Post 5 unsigned webhooks.</t>
  </si>
  <si>
    <t xml:space="preserve">All /healthz 200; webhooks all 401 (signature), none 429.</t>
  </si>
  <si>
    <t xml:space="preserve">MT-120</t>
  </si>
  <si>
    <t xml:space="preserve">Rate limit per tenant across addresses</t>
  </si>
  <si>
    <t xml:space="preserve">One tenant spreading load still hits its tenant budget.</t>
  </si>
  <si>
    <t xml:space="preserve">1. npx jest tests/edgeS07.test.ts -t 'tenant limit' --coverage=false</t>
  </si>
  <si>
    <t xml:space="preserve">Passes: third request from a third address is 429; another tenant is 200.</t>
  </si>
  <si>
    <t xml:space="preserve">MT-121</t>
  </si>
  <si>
    <t xml:space="preserve">X-Forwarded-For ignored without TRUST_PROXY</t>
  </si>
  <si>
    <t xml:space="preserve">A spoofed forwarded header cannot pick a rate-limit identity.</t>
  </si>
  <si>
    <t xml:space="preserve">1. Start with RATE_LIMIT_IP_PER_MIN=2 and TRUST_PROXY unset.
2. Three requests to /pricing each with a different X-Forwarded-For value.</t>
  </si>
  <si>
    <t xml:space="preserve">Third request is 429 (all counted against the socket address). With TRUST_PROXY=1 restarted, the same three are all 200.</t>
  </si>
  <si>
    <t xml:space="preserve">MT-122</t>
  </si>
  <si>
    <t xml:space="preserve">Token never sent to an internal address</t>
  </si>
  <si>
    <t xml:space="preserve">SSRF policy on WA_API_BASE.</t>
  </si>
  <si>
    <t xml:space="preserve">1. WA_API_BASE=http://169.254.169.254/latest node dist/src/http/index.js
2. WA_API_BASE=https://api.bsp.example/v1 node dist/src/http/index.js</t>
  </si>
  <si>
    <t xml:space="preserve">1: exits UNSAFE_OUTBOUND_URL:not-https. 2: exits UNSAFE_OUTBOUND_URL:host-not-allowed:api.bsp.example (allowed only with OUTBOUND_ALLOW_HOSTS).</t>
  </si>
  <si>
    <t xml:space="preserve">MT-123</t>
  </si>
  <si>
    <t xml:space="preserve">No cookies anywhere (CSRF by construction)</t>
  </si>
  <si>
    <t xml:space="preserve">The API sets and reads no cookies.</t>
  </si>
  <si>
    <t xml:space="preserve">1. curl -sI $BASE/web | grep -i set-cookie; grep -rin 'cookie' src/http src/web</t>
  </si>
  <si>
    <t xml:space="preserve">No Set-Cookie header; no cookie reads in source; the client sends X-Session-Token.</t>
  </si>
  <si>
    <t xml:space="preserve">MT-124</t>
  </si>
  <si>
    <t xml:space="preserve">SBOM is current</t>
  </si>
  <si>
    <t xml:space="preserve">audit/SBOM.cdx.json matches the lockfile.</t>
  </si>
  <si>
    <t xml:space="preserve">1. npx jest tests/sbom.test.ts --coverage=false
2. npm run sbom; git diff --stat audit/SBOM.cdx.json (or cmp against a copy)</t>
  </si>
  <si>
    <t xml:space="preserve">Tests pass; regenerating produces an identical file.</t>
  </si>
  <si>
    <t xml:space="preserve">MT-125</t>
  </si>
  <si>
    <t xml:space="preserve">Dependency audit policy</t>
  </si>
  <si>
    <t xml:space="preserve">npm audit is clean at the policy thresholds.</t>
  </si>
  <si>
    <t xml:space="preserve">1. npm run audit:deps</t>
  </si>
  <si>
    <t xml:space="preserve">'found 0 vulnerabilities' twice and 'DEPENDENCY AUDIT PASSED' (or 'SKIPPED - NOT a pass' with exit 3 if offline).</t>
  </si>
  <si>
    <t xml:space="preserve">MT-126</t>
  </si>
  <si>
    <t xml:space="preserve">Migrations are re-runnable (F-050)</t>
  </si>
  <si>
    <t xml:space="preserve">Running migrate twice is a no-op the second time.</t>
  </si>
  <si>
    <t xml:space="preserve">1. npm run migrate; npm run migrate</t>
  </si>
  <si>
    <t xml:space="preserve">Second run prints 'skipping ... (already applied)' for all seven files; exit 0.</t>
  </si>
  <si>
    <t xml:space="preserve">MT-127</t>
  </si>
  <si>
    <t xml:space="preserve">Smoke gate passes (F-054)</t>
  </si>
  <si>
    <t xml:space="preserve">npm run smoke exits 0.</t>
  </si>
  <si>
    <t xml:space="preserve">1. npm run smoke; echo exit=$?</t>
  </si>
  <si>
    <t xml:space="preserve">1 suite / 1 test passed; exit=0.</t>
  </si>
  <si>
    <t xml:space="preserve">MT-128</t>
  </si>
  <si>
    <t xml:space="preserve">Clean-room CI replay</t>
  </si>
  <si>
    <t xml:space="preserve">Every CI step exits 0 from the zip with no global tools.</t>
  </si>
  <si>
    <t xml:space="preserve">1. Unzip to a new folder; ensure no global ts-node on PATH.
2. Run in order: npm ci, npm run build, npm run migrate (x2), npm test, npm run smoke, npm run rehearse, npm run evidence:pg, npm run audit:reachability, audit:claims, audit:findings, audit:versions, audit:deps, cd tools-audit-kit &amp;&amp; npm test.</t>
  </si>
  <si>
    <t xml:space="preserve">All 14 steps exit 0.</t>
  </si>
  <si>
    <t xml:space="preserve">MT-129</t>
  </si>
  <si>
    <t xml:space="preserve">Pre-v0.46.0 session tokens are refused</t>
  </si>
  <si>
    <t xml:space="preserve">A five-field token signed with the real secret is rejected.</t>
  </si>
  <si>
    <t xml:space="preserve">1. npx jest tests/auth.test.ts -t 'expiry' --coverage=false</t>
  </si>
  <si>
    <t xml:space="preserve">Passes: legacy token verify() returns null.</t>
  </si>
  <si>
    <t xml:space="preserve">TEST SUMMARY — live formulas over Manual_Test_Cases (do not edit)</t>
  </si>
  <si>
    <t xml:space="preserve">Cases</t>
  </si>
  <si>
    <t xml:space="preserve">Pass</t>
  </si>
  <si>
    <t xml:space="preserve">Fail</t>
  </si>
  <si>
    <t xml:space="preserve">Blocked</t>
  </si>
  <si>
    <t xml:space="preserve">Not run / blank</t>
  </si>
  <si>
    <t xml:space="preserve">TOTAL</t>
  </si>
  <si>
    <t xml:space="preserve">Pass rate of cases run</t>
  </si>
  <si>
    <t xml:space="preserve">TEST ENVIRONMENT — set this up once</t>
  </si>
  <si>
    <t xml:space="preserve">Machine</t>
  </si>
  <si>
    <t xml:space="preserve">Any laptop; Linux/macOS shell or Windows with Git Bash/WSL. Tester records the machine below.</t>
  </si>
  <si>
    <t xml:space="preserve">Node</t>
  </si>
  <si>
    <t xml:space="preserve">Node 22 (v22.x). Check: node -v</t>
  </si>
  <si>
    <t xml:space="preserve">PostgreSQL</t>
  </si>
  <si>
    <t xml:space="preserve">PostgreSQL 16 (only for the SHARED_STORE=pg cases). Check: psql --version. Create: createdb engageos_mt</t>
  </si>
  <si>
    <t xml:space="preserve">Tools</t>
  </si>
  <si>
    <t xml:space="preserve">curl, openssl (for webhook signatures), unzip. Optional: jq for readable JSON.</t>
  </si>
  <si>
    <t xml:space="preserve">Unpack and build</t>
  </si>
  <si>
    <t xml:space="preserve">unzip engageos_v0.46.0_src.zip &amp;&amp; cd engageos &amp;&amp; npm ci &amp;&amp; npm run build</t>
  </si>
  <si>
    <t xml:space="preserve">Environment variables (memory mode)</t>
  </si>
  <si>
    <t xml:space="preserve">export WA_ACCESS_TOKEN=placeholder_access_token_long WA_PHONE_NUMBER_ID=pn_mt WA_WABA_ID=waba_mt WA_WEBHOOK_VERIFY_TOKEN=verify_token_placeholder_long WA_APP_SECRET=app_secret_placeholder_long ENGAGEOS_OPERATOR_TOKEN=operator_token_placeholder_long ENGAGEOS_SESSION_SECRET=session-secret-placeholder-long ENGAGEOS_CRED_KEY=$(openssl rand -hex 32) DB_ENCRYPTION_AT_REST=true TLS_MIN=1.2 SECRETS_SOURCE=vault ENGAGEOS_AGENTS=owner,asha ENGAGEOS_DEMO=1 PORT=8080</t>
  </si>
  <si>
    <t xml:space="preserve">Environment variables (pg mode)</t>
  </si>
  <si>
    <t xml:space="preserve">Additionally: export SHARED_STORE=pg DATABASE_URL=postgres://&lt;user&gt;@127.0.0.1:5432/engageos_mt ENGAGEOS_TEST_DATABASE_URL=$DATABASE_URL ; then npm run migrate</t>
  </si>
  <si>
    <t xml:space="preserve">Start the server</t>
  </si>
  <si>
    <t xml:space="preserve">node dist/src/http/index.js   (prints "EngageOS listening on 8080 (store=memory|pg, tenants restored=1)")</t>
  </si>
  <si>
    <t xml:space="preserve">Shorthand used in steps</t>
  </si>
  <si>
    <t xml:space="preserve">$BASE = http://localhost:8080
$OP = $ENGAGEOS_OPERATOR_TOKEN
$TENANT = $WA_PHONE_NUMBER_ID
$H = -H "X-Operator-Token: $OP" -H "X-Tenant-Id: $TENANT" -H "Content-Type: application/json"
sign(BODY) = "sha256=$(printf '%s' "$BODY" | openssl dgst -sha256 -hmac "$WA_APP_SECRET" | sed 's/^.* //')"
$CID = id of the first conversation from GET /api/inbox ; $TOKEN = a session token from POST /api/session</t>
  </si>
  <si>
    <t xml:space="preserve">Placeholder credentials</t>
  </si>
  <si>
    <t xml:space="preserve">The WhatsApp adapter is real. With placeholder credentials every outbound send fails honestly with HTTP 502 / WA_HTTP_401 or 403. That failure is the expected result wherever a case says so; a green "sent" would be the defect.</t>
  </si>
  <si>
    <t xml:space="preserve">Reset between cases</t>
  </si>
  <si>
    <t xml:space="preserve">In memory mode, restart the server to clear state. In pg mode: psql $DATABASE_URL -c "delete from tenant_connections where tenant_id &lt;&gt; 'pn_mt'; delete from shared_claims; delete from shared_timestamps"</t>
  </si>
  <si>
    <t xml:space="preserve">Tester machine used (fill in)</t>
  </si>
  <si>
    <t xml:space="preserve">Node version used (fill in)</t>
  </si>
  <si>
    <t xml:space="preserve">Postgres version used (fill in)</t>
  </si>
  <si>
    <t xml:space="preserve">Date environment set up (fill in)</t>
  </si>
  <si>
    <t xml:space="preserve">DEFECT LOG — anything a manual test finds</t>
  </si>
  <si>
    <t xml:space="preserve">Defect ID</t>
  </si>
  <si>
    <t xml:space="preserve">Severity</t>
  </si>
  <si>
    <t xml:space="preserve">Observed (what happened)</t>
  </si>
  <si>
    <t xml:space="preserve">Evidence (command, output, screenshot name)</t>
  </si>
  <si>
    <t xml:space="preserve">Disposition / fix version</t>
  </si>
  <si>
    <t xml:space="preserve">Raised by</t>
  </si>
  <si>
    <t xml:space="preserve">F-MT-001</t>
  </si>
  <si>
    <t xml:space="preserve">MT-000</t>
  </si>
  <si>
    <t xml:space="preserve">Obs</t>
  </si>
  <si>
    <t xml:space="preserve">EXAMPLE ROW — delete before use. /pricing returned a table with a trailing blank line.</t>
  </si>
  <si>
    <t xml:space="preserve">curl -s $BASE/pricing | tail -2</t>
  </si>
  <si>
    <t xml:space="preserve">Open</t>
  </si>
  <si>
    <t xml:space="preserve">tester</t>
  </si>
  <si>
    <t xml:space="preserve">2026-09-20</t>
  </si>
  <si>
    <t xml:space="preserve">Severity scale matches the tracker: Blocker / Major / Minor / Obs. Copy rows into the tracker Review_Findings sheet with IDs unchanged.</t>
  </si>
  <si>
    <t xml:space="preserve">GLOSSARY</t>
  </si>
  <si>
    <t xml:space="preserve">Term</t>
  </si>
  <si>
    <t xml:space="preserve">Meaning</t>
  </si>
  <si>
    <t xml:space="preserve">WABA</t>
  </si>
  <si>
    <t xml:space="preserve">WhatsApp Business Account — the Meta account a business sends from. Two are needed to prove tenant isolation.</t>
  </si>
  <si>
    <t xml:space="preserve">Cloud API</t>
  </si>
  <si>
    <t xml:space="preserve">Meta's hosted WhatsApp Business Platform API. EngageOS talks to it through src/cloudApiAdapter.ts.</t>
  </si>
  <si>
    <t xml:space="preserve">Webhook</t>
  </si>
  <si>
    <t xml:space="preserve">The HTTPS callback Meta sends inbound messages and delivery statuses to (POST /webhook), signed with X-Hub-Signature-256.</t>
  </si>
  <si>
    <t xml:space="preserve">Tenant</t>
  </si>
  <si>
    <t xml:space="preserve">One business on EngageOS, identified by its WhatsApp phone number id (pn_...).</t>
  </si>
  <si>
    <t xml:space="preserve">Done-in-code</t>
  </si>
  <si>
    <t xml:space="preserve">The story's code and tests exist and are wired into the running product. NOT the same as Done.</t>
  </si>
  <si>
    <t xml:space="preserve">Done</t>
  </si>
  <si>
    <t xml:space="preserve">Listed on the marketplace and paid for by a stranger. Zero stories are Done.</t>
  </si>
  <si>
    <t xml:space="preserve">Pending-live</t>
  </si>
  <si>
    <t xml:space="preserve">Code complete; needs a real Meta account to verify.</t>
  </si>
  <si>
    <t xml:space="preserve">ICP</t>
  </si>
  <si>
    <t xml:space="preserve">Ideal customer profile — the one vertical EngageOS will be built for. Undecided (handover item 13).</t>
  </si>
  <si>
    <t xml:space="preserve">F-0NN / F-CG-0NN / F-PX-0NN</t>
  </si>
  <si>
    <t xml:space="preserve">Finding IDs: internal cold reviews / ChatGPT review V001 / Perplexity review V001. Reviewer IDs are preserved verbatim.</t>
  </si>
  <si>
    <t xml:space="preserve">S00–S19 / PX-S1–S12</t>
  </si>
  <si>
    <t xml:space="preserve">Hardening sprint programmes proposed by the ChatGPT and Perplexity reviews respectively.</t>
  </si>
  <si>
    <t xml:space="preserve">CG-G0..G11</t>
  </si>
  <si>
    <t xml:space="preserve">Completion gates from the ChatGPT review, in the tracker Gate_Checklist sheet.</t>
  </si>
  <si>
    <t xml:space="preserve">Operator token</t>
  </si>
  <si>
    <t xml:space="preserve">The single server-to-server secret (ENGAGEOS_OPERATOR_TOKEN) that gates admin routes and mints agent sessions.</t>
  </si>
  <si>
    <t xml:space="preserve">Session token</t>
  </si>
  <si>
    <t xml:space="preserve">An HMAC-signed token identifying one agent, tenant and role; revocable since v0.46.0.</t>
  </si>
  <si>
    <t xml:space="preserve">SharedStore</t>
  </si>
  <si>
    <t xml:space="preserve">The cross-instance state boundary (dedupe, tier windows, session windows, revocations); memory or Postgres.</t>
  </si>
  <si>
    <t xml:space="preserve">Sealed</t>
  </si>
  <si>
    <t xml:space="preserve">Encrypted at rest with AES-256-GCM under ENGAGEOS_CRED_KEY; the database refuses an unsealed token.</t>
  </si>
  <si>
    <t xml:space="preserve">Rehearsal</t>
  </si>
  <si>
    <t xml:space="preserve">npm run rehearse — boots the real server with placeholder secrets and walks 24 operator steps.</t>
  </si>
  <si>
    <t xml:space="preserve">SBOM</t>
  </si>
  <si>
    <t xml:space="preserve">Software bill of materials (CycloneDX) listing every dependency at its locked version.</t>
  </si>
  <si>
    <t xml:space="preserve">DPDP</t>
  </si>
  <si>
    <t xml:space="preserve">India's Digital Personal Data Protection Act and Rules 2025; main compliance deadline 13 May 2027.</t>
  </si>
  <si>
    <t xml:space="preserve">APPROVALS</t>
  </si>
  <si>
    <t xml:space="preserve">Role</t>
  </si>
  <si>
    <t xml:space="preserve">Name</t>
  </si>
  <si>
    <t xml:space="preserve">Signature / initials</t>
  </si>
  <si>
    <t xml:space="preserve">Comments</t>
  </si>
  <si>
    <t xml:space="preserve">Built from tracker v042, workbook v047 and code v0.46.0.</t>
  </si>
  <si>
    <t xml:space="preserve">Approved by</t>
  </si>
  <si>
    <t xml:space="preserve">Test lead</t>
  </si>
</sst>
</file>

<file path=xl/styles.xml><?xml version="1.0" encoding="utf-8"?>
<styleSheet xmlns="http://schemas.openxmlformats.org/spreadsheetml/2006/main">
  <numFmts count="3">
    <numFmt numFmtId="164" formatCode="General"/>
    <numFmt numFmtId="165" formatCode="General"/>
    <numFmt numFmtId="166" formatCode="0.0%"/>
  </numFmts>
  <fonts count="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name val="Arial"/>
      <family val="0"/>
      <charset val="1"/>
    </font>
    <font>
      <sz val="10"/>
      <name val="Arial"/>
      <family val="0"/>
      <charset val="1"/>
    </font>
    <font>
      <i val="true"/>
      <sz val="9"/>
      <color rgb="FF555555"/>
      <name val="Arial"/>
      <family val="0"/>
      <charset val="1"/>
    </font>
    <font>
      <b val="true"/>
      <sz val="10"/>
      <color rgb="FFFFFFFF"/>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D9E1F2"/>
        <bgColor rgb="FFC6EFCE"/>
      </patternFill>
    </fill>
    <fill>
      <patternFill patternType="solid">
        <fgColor rgb="FFFFEB9C"/>
        <bgColor rgb="FFFFFFCC"/>
      </patternFill>
    </fill>
    <fill>
      <patternFill patternType="solid">
        <fgColor rgb="FFC6EFCE"/>
        <bgColor rgb="FFD9E1F2"/>
      </patternFill>
    </fill>
    <fill>
      <patternFill patternType="solid">
        <fgColor rgb="FFFFC7CE"/>
        <bgColor rgb="FFD9E1F2"/>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FFFF00"/>
          <bgColor rgb="FF000000"/>
        </patternFill>
      </fill>
    </dxf>
    <dxf>
      <fill>
        <patternFill>
          <bgColor rgb="FFC6EFCE"/>
        </patternFill>
      </fill>
    </dxf>
    <dxf>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0"/>
  </cols>
  <sheetData>
    <row r="1" customFormat="false" ht="17.35" hidden="false" customHeight="false" outlineLevel="0" collapsed="false">
      <c r="A1" s="1" t="s">
        <v>0</v>
      </c>
      <c r="B1" s="1"/>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15" hidden="false" customHeight="false" outlineLevel="0" collapsed="false">
      <c r="A6" s="2" t="s">
        <v>7</v>
      </c>
      <c r="B6" s="3" t="s">
        <v>8</v>
      </c>
    </row>
    <row r="7" customFormat="false" ht="15" hidden="false" customHeight="false" outlineLevel="0" collapsed="false">
      <c r="A7" s="2" t="s">
        <v>9</v>
      </c>
      <c r="B7" s="3" t="s">
        <v>10</v>
      </c>
    </row>
    <row r="8" customFormat="false" ht="15" hidden="false" customHeight="false" outlineLevel="0" collapsed="false">
      <c r="A8" s="2" t="s">
        <v>11</v>
      </c>
      <c r="B8" s="3" t="s">
        <v>12</v>
      </c>
    </row>
    <row r="9" customFormat="false" ht="15" hidden="false" customHeight="false" outlineLevel="0" collapsed="false">
      <c r="A9" s="2" t="s">
        <v>13</v>
      </c>
      <c r="B9" s="3" t="s">
        <v>14</v>
      </c>
    </row>
    <row r="10" customFormat="false" ht="23.85" hidden="false" customHeight="false" outlineLevel="0" collapsed="false">
      <c r="A10" s="2" t="s">
        <v>15</v>
      </c>
      <c r="B10" s="3" t="s">
        <v>16</v>
      </c>
    </row>
    <row r="11" customFormat="false" ht="15" hidden="false" customHeight="false" outlineLevel="0" collapsed="false">
      <c r="A11" s="2" t="s">
        <v>17</v>
      </c>
      <c r="B11" s="3" t="s">
        <v>18</v>
      </c>
    </row>
    <row r="12" customFormat="false" ht="15" hidden="false" customHeight="false" outlineLevel="0" collapsed="false">
      <c r="A12" s="2" t="s">
        <v>19</v>
      </c>
      <c r="B12" s="3" t="s">
        <v>20</v>
      </c>
    </row>
    <row r="13" customFormat="false" ht="15" hidden="false" customHeight="false" outlineLevel="0" collapsed="false">
      <c r="A13" s="2" t="s">
        <v>21</v>
      </c>
      <c r="B13" s="3" t="s">
        <v>22</v>
      </c>
    </row>
    <row r="14" customFormat="false" ht="15" hidden="false" customHeight="false" outlineLevel="0" collapsed="false">
      <c r="A14" s="2" t="s">
        <v>23</v>
      </c>
      <c r="B14" s="3" t="s">
        <v>24</v>
      </c>
    </row>
    <row r="15" customFormat="false" ht="23.85" hidden="false" customHeight="false" outlineLevel="0" collapsed="false">
      <c r="A15" s="2" t="s">
        <v>25</v>
      </c>
      <c r="B15" s="3" t="s">
        <v>26</v>
      </c>
    </row>
    <row r="16" customFormat="false" ht="35.05" hidden="false" customHeight="false" outlineLevel="0" collapsed="false">
      <c r="A16" s="2" t="s">
        <v>27</v>
      </c>
      <c r="B16" s="3" t="s">
        <v>28</v>
      </c>
    </row>
    <row r="18" customFormat="false" ht="30" hidden="false" customHeight="true" outlineLevel="0" collapsed="false">
      <c r="A18" s="4" t="s">
        <v>29</v>
      </c>
      <c r="B18" s="4"/>
    </row>
  </sheetData>
  <mergeCells count="2">
    <mergeCell ref="A1:B1"/>
    <mergeCell ref="A18:B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24"/>
    <col collapsed="false" customWidth="true" hidden="false" outlineLevel="0" max="4" min="4" style="0" width="90"/>
    <col collapsed="false" customWidth="true" hidden="false" outlineLevel="0" max="5" min="5" style="0" width="12"/>
  </cols>
  <sheetData>
    <row r="1" customFormat="false" ht="17.35" hidden="false" customHeight="false" outlineLevel="0" collapsed="false">
      <c r="A1" s="1" t="s">
        <v>30</v>
      </c>
      <c r="B1" s="1"/>
      <c r="C1" s="1"/>
      <c r="D1" s="1"/>
      <c r="E1" s="1"/>
    </row>
    <row r="3" customFormat="false" ht="15" hidden="false" customHeight="false" outlineLevel="0" collapsed="false">
      <c r="A3" s="5" t="s">
        <v>31</v>
      </c>
      <c r="B3" s="5" t="s">
        <v>32</v>
      </c>
      <c r="C3" s="5" t="s">
        <v>33</v>
      </c>
      <c r="D3" s="5" t="s">
        <v>34</v>
      </c>
      <c r="E3" s="5" t="s">
        <v>7</v>
      </c>
    </row>
    <row r="4" customFormat="false" ht="57.45" hidden="false" customHeight="false" outlineLevel="0" collapsed="false">
      <c r="A4" s="3" t="s">
        <v>6</v>
      </c>
      <c r="B4" s="3" t="s">
        <v>35</v>
      </c>
      <c r="C4" s="3" t="s">
        <v>36</v>
      </c>
      <c r="D4" s="3" t="s">
        <v>37</v>
      </c>
      <c r="E4" s="3" t="s">
        <v>8</v>
      </c>
    </row>
    <row r="5" customFormat="false" ht="23.85" hidden="false" customHeight="false" outlineLevel="0" collapsed="false">
      <c r="A5" s="3" t="s">
        <v>38</v>
      </c>
      <c r="B5" s="3" t="s">
        <v>39</v>
      </c>
      <c r="C5" s="3"/>
      <c r="D5" s="3" t="s">
        <v>40</v>
      </c>
      <c r="E5" s="3" t="s">
        <v>41</v>
      </c>
    </row>
    <row r="7" customFormat="false" ht="30" hidden="false" customHeight="true" outlineLevel="0" collapsed="false">
      <c r="A7" s="4" t="s">
        <v>42</v>
      </c>
      <c r="B7" s="4"/>
      <c r="C7" s="4"/>
      <c r="D7" s="4"/>
      <c r="E7" s="4"/>
    </row>
  </sheetData>
  <mergeCells count="2">
    <mergeCell ref="A1:E1"/>
    <mergeCell ref="A7:E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7.35" hidden="false" customHeight="false" outlineLevel="0" collapsed="false">
      <c r="A1" s="1" t="s">
        <v>43</v>
      </c>
      <c r="B1" s="1"/>
    </row>
    <row r="3" customFormat="false" ht="35.05" hidden="false" customHeight="false" outlineLevel="0" collapsed="false">
      <c r="A3" s="6" t="s">
        <v>44</v>
      </c>
      <c r="B3" s="3" t="s">
        <v>45</v>
      </c>
    </row>
    <row r="4" customFormat="false" ht="23.85" hidden="false" customHeight="false" outlineLevel="0" collapsed="false">
      <c r="A4" s="6" t="s">
        <v>46</v>
      </c>
      <c r="B4" s="3" t="s">
        <v>47</v>
      </c>
    </row>
    <row r="5" customFormat="false" ht="46.25" hidden="false" customHeight="false" outlineLevel="0" collapsed="false">
      <c r="A5" s="6" t="s">
        <v>48</v>
      </c>
      <c r="B5" s="3" t="s">
        <v>49</v>
      </c>
    </row>
    <row r="6" customFormat="false" ht="46.25" hidden="false" customHeight="false" outlineLevel="0" collapsed="false">
      <c r="A6" s="6" t="s">
        <v>50</v>
      </c>
      <c r="B6" s="3" t="s">
        <v>51</v>
      </c>
    </row>
    <row r="7" customFormat="false" ht="35.05" hidden="false" customHeight="false" outlineLevel="0" collapsed="false">
      <c r="A7" s="6" t="s">
        <v>52</v>
      </c>
      <c r="B7" s="3" t="s">
        <v>53</v>
      </c>
    </row>
    <row r="8" customFormat="false" ht="35.05" hidden="false" customHeight="false" outlineLevel="0" collapsed="false">
      <c r="A8" s="6" t="s">
        <v>54</v>
      </c>
      <c r="B8" s="3" t="s">
        <v>55</v>
      </c>
    </row>
    <row r="9" customFormat="false" ht="23.85" hidden="false" customHeight="false" outlineLevel="0" collapsed="false">
      <c r="A9" s="6" t="s">
        <v>56</v>
      </c>
      <c r="B9" s="3" t="s">
        <v>57</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0"/>
    <col collapsed="false" customWidth="true" hidden="false" outlineLevel="0" max="3" min="3" style="0" width="24"/>
    <col collapsed="false" customWidth="true" hidden="false" outlineLevel="0" max="4" min="4" style="0" width="40"/>
  </cols>
  <sheetData>
    <row r="1" customFormat="false" ht="17.35" hidden="false" customHeight="false" outlineLevel="0" collapsed="false">
      <c r="A1" s="1" t="s">
        <v>58</v>
      </c>
      <c r="B1" s="1"/>
      <c r="C1" s="1"/>
      <c r="D1" s="1"/>
    </row>
    <row r="3" customFormat="false" ht="15" hidden="false" customHeight="false" outlineLevel="0" collapsed="false">
      <c r="A3" s="5" t="s">
        <v>59</v>
      </c>
      <c r="B3" s="5" t="s">
        <v>60</v>
      </c>
      <c r="C3" s="5" t="s">
        <v>61</v>
      </c>
      <c r="D3" s="5" t="s">
        <v>62</v>
      </c>
    </row>
    <row r="4" customFormat="false" ht="15" hidden="false" customHeight="false" outlineLevel="0" collapsed="false">
      <c r="A4" s="3" t="s">
        <v>63</v>
      </c>
      <c r="B4" s="3" t="s">
        <v>64</v>
      </c>
      <c r="C4" s="3" t="s">
        <v>65</v>
      </c>
      <c r="D4" s="3" t="s">
        <v>66</v>
      </c>
    </row>
    <row r="5" customFormat="false" ht="15" hidden="false" customHeight="false" outlineLevel="0" collapsed="false">
      <c r="A5" s="3" t="s">
        <v>67</v>
      </c>
      <c r="B5" s="3" t="s">
        <v>68</v>
      </c>
      <c r="C5" s="3" t="s">
        <v>65</v>
      </c>
      <c r="D5" s="3" t="s">
        <v>69</v>
      </c>
    </row>
    <row r="6" customFormat="false" ht="23.85" hidden="false" customHeight="false" outlineLevel="0" collapsed="false">
      <c r="A6" s="3" t="s">
        <v>70</v>
      </c>
      <c r="B6" s="3" t="s">
        <v>71</v>
      </c>
      <c r="C6" s="3" t="s">
        <v>72</v>
      </c>
      <c r="D6" s="3" t="s">
        <v>73</v>
      </c>
    </row>
    <row r="7" customFormat="false" ht="15" hidden="false" customHeight="false" outlineLevel="0" collapsed="false">
      <c r="A7" s="3" t="s">
        <v>74</v>
      </c>
      <c r="B7" s="3" t="s">
        <v>75</v>
      </c>
      <c r="C7" s="3" t="s">
        <v>72</v>
      </c>
      <c r="D7" s="3" t="s">
        <v>73</v>
      </c>
    </row>
    <row r="8" customFormat="false" ht="23.85" hidden="false" customHeight="false" outlineLevel="0" collapsed="false">
      <c r="A8" s="3" t="s">
        <v>76</v>
      </c>
      <c r="B8" s="3" t="s">
        <v>77</v>
      </c>
      <c r="C8" s="3" t="s">
        <v>78</v>
      </c>
      <c r="D8" s="3" t="s">
        <v>79</v>
      </c>
    </row>
    <row r="9" customFormat="false" ht="23.85" hidden="false" customHeight="false" outlineLevel="0" collapsed="false">
      <c r="A9" s="3" t="s">
        <v>80</v>
      </c>
      <c r="B9" s="3" t="s">
        <v>81</v>
      </c>
      <c r="C9" s="3" t="s">
        <v>82</v>
      </c>
      <c r="D9" s="3" t="s">
        <v>83</v>
      </c>
    </row>
    <row r="10" customFormat="false" ht="23.85" hidden="false" customHeight="false" outlineLevel="0" collapsed="false">
      <c r="A10" s="3" t="s">
        <v>84</v>
      </c>
      <c r="B10" s="3" t="s">
        <v>85</v>
      </c>
      <c r="C10" s="3" t="s">
        <v>86</v>
      </c>
      <c r="D10" s="3" t="s">
        <v>87</v>
      </c>
    </row>
    <row r="11" customFormat="false" ht="23.85" hidden="false" customHeight="false" outlineLevel="0" collapsed="false">
      <c r="A11" s="3" t="s">
        <v>88</v>
      </c>
      <c r="B11" s="3" t="s">
        <v>89</v>
      </c>
      <c r="C11" s="3" t="s">
        <v>90</v>
      </c>
      <c r="D11" s="3" t="s">
        <v>91</v>
      </c>
    </row>
    <row r="12" customFormat="false" ht="23.85" hidden="false" customHeight="false" outlineLevel="0" collapsed="false">
      <c r="A12" s="3" t="s">
        <v>92</v>
      </c>
      <c r="B12" s="3" t="s">
        <v>93</v>
      </c>
      <c r="C12" s="3" t="s">
        <v>94</v>
      </c>
      <c r="D12" s="3" t="s">
        <v>95</v>
      </c>
    </row>
    <row r="13" customFormat="false" ht="23.85" hidden="false" customHeight="false" outlineLevel="0" collapsed="false">
      <c r="A13" s="3" t="s">
        <v>96</v>
      </c>
      <c r="B13" s="3" t="s">
        <v>97</v>
      </c>
      <c r="C13" s="3" t="s">
        <v>86</v>
      </c>
      <c r="D13" s="3" t="s">
        <v>98</v>
      </c>
    </row>
    <row r="14" customFormat="false" ht="15" hidden="false" customHeight="false" outlineLevel="0" collapsed="false">
      <c r="A14" s="3" t="s">
        <v>99</v>
      </c>
      <c r="B14" s="3" t="s">
        <v>100</v>
      </c>
      <c r="C14" s="3" t="s">
        <v>72</v>
      </c>
      <c r="D14" s="3" t="s">
        <v>73</v>
      </c>
    </row>
    <row r="15" customFormat="false" ht="15" hidden="false" customHeight="false" outlineLevel="0" collapsed="false">
      <c r="A15" s="3" t="s">
        <v>101</v>
      </c>
      <c r="B15" s="3" t="s">
        <v>102</v>
      </c>
      <c r="C15" s="3" t="s">
        <v>103</v>
      </c>
      <c r="D15" s="3" t="s">
        <v>104</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6"/>
    <col collapsed="false" customWidth="true" hidden="false" outlineLevel="0" max="4" min="4" style="0" width="30"/>
    <col collapsed="false" customWidth="true" hidden="false" outlineLevel="0" max="5" min="5" style="0" width="80"/>
    <col collapsed="false" customWidth="true" hidden="false" outlineLevel="0" max="6" min="6" style="0" width="60"/>
    <col collapsed="false" customWidth="true" hidden="false" outlineLevel="0" max="7" min="7" style="0" width="40"/>
    <col collapsed="false" customWidth="true" hidden="false" outlineLevel="0" max="8" min="8" style="0" width="30"/>
  </cols>
  <sheetData>
    <row r="1" customFormat="false" ht="17.35" hidden="false" customHeight="false" outlineLevel="0" collapsed="false">
      <c r="A1" s="1" t="s">
        <v>105</v>
      </c>
      <c r="B1" s="1"/>
      <c r="C1" s="1"/>
      <c r="D1" s="1"/>
      <c r="E1" s="1"/>
      <c r="F1" s="1"/>
      <c r="G1" s="1"/>
      <c r="H1" s="1"/>
    </row>
    <row r="3" customFormat="false" ht="15" hidden="false" customHeight="false" outlineLevel="0" collapsed="false">
      <c r="A3" s="5" t="s">
        <v>106</v>
      </c>
      <c r="B3" s="5" t="s">
        <v>32</v>
      </c>
      <c r="C3" s="5" t="s">
        <v>107</v>
      </c>
      <c r="D3" s="5" t="s">
        <v>108</v>
      </c>
      <c r="E3" s="5" t="s">
        <v>109</v>
      </c>
      <c r="F3" s="5" t="s">
        <v>110</v>
      </c>
      <c r="G3" s="5" t="s">
        <v>111</v>
      </c>
      <c r="H3" s="5" t="s">
        <v>112</v>
      </c>
    </row>
    <row r="4" customFormat="false" ht="46.25" hidden="false" customHeight="false" outlineLevel="0" collapsed="false">
      <c r="A4" s="3" t="s">
        <v>113</v>
      </c>
      <c r="B4" s="3" t="s">
        <v>114</v>
      </c>
      <c r="C4" s="3" t="s">
        <v>115</v>
      </c>
      <c r="D4" s="3" t="s">
        <v>116</v>
      </c>
      <c r="E4" s="3" t="s">
        <v>117</v>
      </c>
      <c r="F4" s="3" t="s">
        <v>118</v>
      </c>
      <c r="G4" s="3" t="s">
        <v>119</v>
      </c>
      <c r="H4" s="3" t="s">
        <v>120</v>
      </c>
    </row>
    <row r="5" customFormat="false" ht="35.05" hidden="false" customHeight="false" outlineLevel="0" collapsed="false">
      <c r="A5" s="3" t="s">
        <v>121</v>
      </c>
      <c r="B5" s="3" t="s">
        <v>122</v>
      </c>
      <c r="C5" s="3" t="s">
        <v>123</v>
      </c>
      <c r="D5" s="3" t="s">
        <v>124</v>
      </c>
      <c r="E5" s="3" t="s">
        <v>125</v>
      </c>
      <c r="F5" s="3" t="s">
        <v>126</v>
      </c>
      <c r="G5" s="3" t="s">
        <v>127</v>
      </c>
      <c r="H5" s="3" t="s">
        <v>128</v>
      </c>
    </row>
    <row r="6" customFormat="false" ht="35.05" hidden="false" customHeight="false" outlineLevel="0" collapsed="false">
      <c r="A6" s="3" t="s">
        <v>129</v>
      </c>
      <c r="B6" s="3" t="s">
        <v>130</v>
      </c>
      <c r="C6" s="3" t="s">
        <v>131</v>
      </c>
      <c r="D6" s="3" t="s">
        <v>132</v>
      </c>
      <c r="E6" s="3" t="s">
        <v>133</v>
      </c>
      <c r="F6" s="3" t="s">
        <v>134</v>
      </c>
      <c r="G6" s="3" t="s">
        <v>135</v>
      </c>
      <c r="H6" s="3" t="s">
        <v>136</v>
      </c>
    </row>
    <row r="7" customFormat="false" ht="46.25" hidden="false" customHeight="false" outlineLevel="0" collapsed="false">
      <c r="A7" s="3" t="s">
        <v>137</v>
      </c>
      <c r="B7" s="3" t="s">
        <v>138</v>
      </c>
      <c r="C7" s="3" t="s">
        <v>139</v>
      </c>
      <c r="D7" s="3" t="s">
        <v>140</v>
      </c>
      <c r="E7" s="3" t="s">
        <v>141</v>
      </c>
      <c r="F7" s="3" t="s">
        <v>142</v>
      </c>
      <c r="G7" s="3" t="s">
        <v>143</v>
      </c>
      <c r="H7" s="3" t="s">
        <v>144</v>
      </c>
    </row>
    <row r="8" customFormat="false" ht="23.85" hidden="false" customHeight="false" outlineLevel="0" collapsed="false">
      <c r="A8" s="3" t="s">
        <v>145</v>
      </c>
      <c r="B8" s="3" t="s">
        <v>146</v>
      </c>
      <c r="C8" s="3" t="s">
        <v>147</v>
      </c>
      <c r="D8" s="3" t="s">
        <v>148</v>
      </c>
      <c r="E8" s="3" t="s">
        <v>149</v>
      </c>
      <c r="F8" s="3" t="s">
        <v>150</v>
      </c>
      <c r="G8" s="3" t="s">
        <v>151</v>
      </c>
      <c r="H8" s="3" t="s">
        <v>152</v>
      </c>
    </row>
    <row r="9" customFormat="false" ht="35.05" hidden="false" customHeight="false" outlineLevel="0" collapsed="false">
      <c r="A9" s="3" t="s">
        <v>153</v>
      </c>
      <c r="B9" s="3" t="s">
        <v>154</v>
      </c>
      <c r="C9" s="3" t="s">
        <v>155</v>
      </c>
      <c r="D9" s="3" t="s">
        <v>156</v>
      </c>
      <c r="E9" s="3" t="s">
        <v>157</v>
      </c>
      <c r="F9" s="3" t="s">
        <v>158</v>
      </c>
      <c r="G9" s="3" t="s">
        <v>159</v>
      </c>
      <c r="H9" s="3" t="s">
        <v>160</v>
      </c>
    </row>
    <row r="10" customFormat="false" ht="46.25" hidden="false" customHeight="false" outlineLevel="0" collapsed="false">
      <c r="A10" s="3" t="s">
        <v>161</v>
      </c>
      <c r="B10" s="3" t="s">
        <v>162</v>
      </c>
      <c r="C10" s="3" t="s">
        <v>163</v>
      </c>
      <c r="D10" s="3" t="s">
        <v>164</v>
      </c>
      <c r="E10" s="3" t="s">
        <v>165</v>
      </c>
      <c r="F10" s="3" t="s">
        <v>166</v>
      </c>
      <c r="G10" s="3" t="s">
        <v>167</v>
      </c>
      <c r="H10" s="3" t="s">
        <v>168</v>
      </c>
    </row>
    <row r="11" customFormat="false" ht="46.25" hidden="false" customHeight="false" outlineLevel="0" collapsed="false">
      <c r="A11" s="3" t="s">
        <v>169</v>
      </c>
      <c r="B11" s="3" t="s">
        <v>170</v>
      </c>
      <c r="C11" s="3" t="s">
        <v>171</v>
      </c>
      <c r="D11" s="3" t="s">
        <v>172</v>
      </c>
      <c r="E11" s="3" t="s">
        <v>173</v>
      </c>
      <c r="F11" s="3" t="s">
        <v>174</v>
      </c>
      <c r="G11" s="3" t="s">
        <v>175</v>
      </c>
      <c r="H11" s="3" t="s">
        <v>144</v>
      </c>
    </row>
    <row r="12" customFormat="false" ht="46.25" hidden="false" customHeight="false" outlineLevel="0" collapsed="false">
      <c r="A12" s="3" t="s">
        <v>176</v>
      </c>
      <c r="B12" s="3" t="s">
        <v>177</v>
      </c>
      <c r="C12" s="3" t="s">
        <v>178</v>
      </c>
      <c r="D12" s="3" t="s">
        <v>179</v>
      </c>
      <c r="E12" s="3" t="s">
        <v>180</v>
      </c>
      <c r="F12" s="3" t="s">
        <v>181</v>
      </c>
      <c r="G12" s="3" t="s">
        <v>182</v>
      </c>
      <c r="H12" s="3" t="s">
        <v>183</v>
      </c>
    </row>
    <row r="13" customFormat="false" ht="35.05" hidden="false" customHeight="false" outlineLevel="0" collapsed="false">
      <c r="A13" s="3" t="s">
        <v>184</v>
      </c>
      <c r="B13" s="3" t="s">
        <v>185</v>
      </c>
      <c r="C13" s="3" t="s">
        <v>186</v>
      </c>
      <c r="D13" s="3" t="s">
        <v>187</v>
      </c>
      <c r="E13" s="3" t="s">
        <v>188</v>
      </c>
      <c r="F13" s="3" t="s">
        <v>189</v>
      </c>
      <c r="G13" s="3" t="s">
        <v>190</v>
      </c>
      <c r="H13" s="3" t="s">
        <v>144</v>
      </c>
    </row>
    <row r="14" customFormat="false" ht="35.05" hidden="false" customHeight="false" outlineLevel="0" collapsed="false">
      <c r="A14" s="3" t="s">
        <v>191</v>
      </c>
      <c r="B14" s="3" t="s">
        <v>192</v>
      </c>
      <c r="C14" s="3" t="s">
        <v>193</v>
      </c>
      <c r="D14" s="3" t="s">
        <v>194</v>
      </c>
      <c r="E14" s="3" t="s">
        <v>195</v>
      </c>
      <c r="F14" s="3" t="s">
        <v>196</v>
      </c>
      <c r="G14" s="3" t="s">
        <v>197</v>
      </c>
      <c r="H14" s="3" t="s">
        <v>144</v>
      </c>
    </row>
    <row r="15" customFormat="false" ht="35.05" hidden="false" customHeight="false" outlineLevel="0" collapsed="false">
      <c r="A15" s="3" t="s">
        <v>198</v>
      </c>
      <c r="B15" s="3" t="s">
        <v>199</v>
      </c>
      <c r="C15" s="3" t="s">
        <v>200</v>
      </c>
      <c r="D15" s="3" t="s">
        <v>201</v>
      </c>
      <c r="E15" s="3" t="s">
        <v>202</v>
      </c>
      <c r="F15" s="3" t="s">
        <v>203</v>
      </c>
      <c r="G15" s="3" t="s">
        <v>204</v>
      </c>
      <c r="H15" s="3" t="s">
        <v>144</v>
      </c>
    </row>
    <row r="16" customFormat="false" ht="35.05" hidden="false" customHeight="false" outlineLevel="0" collapsed="false">
      <c r="A16" s="3" t="s">
        <v>205</v>
      </c>
      <c r="B16" s="3" t="s">
        <v>206</v>
      </c>
      <c r="C16" s="3" t="s">
        <v>207</v>
      </c>
      <c r="D16" s="3" t="s">
        <v>208</v>
      </c>
      <c r="E16" s="3" t="s">
        <v>209</v>
      </c>
      <c r="F16" s="3" t="s">
        <v>210</v>
      </c>
      <c r="G16" s="3" t="s">
        <v>211</v>
      </c>
      <c r="H16" s="3" t="s">
        <v>144</v>
      </c>
    </row>
    <row r="17" customFormat="false" ht="35.05" hidden="false" customHeight="false" outlineLevel="0" collapsed="false">
      <c r="A17" s="3" t="s">
        <v>212</v>
      </c>
      <c r="B17" s="3" t="s">
        <v>213</v>
      </c>
      <c r="C17" s="3" t="s">
        <v>214</v>
      </c>
      <c r="D17" s="3" t="s">
        <v>215</v>
      </c>
      <c r="E17" s="3" t="s">
        <v>216</v>
      </c>
      <c r="F17" s="3" t="s">
        <v>217</v>
      </c>
      <c r="G17" s="3" t="s">
        <v>218</v>
      </c>
      <c r="H17" s="3" t="s">
        <v>144</v>
      </c>
    </row>
    <row r="18" customFormat="false" ht="35.05" hidden="false" customHeight="false" outlineLevel="0" collapsed="false">
      <c r="A18" s="3" t="s">
        <v>219</v>
      </c>
      <c r="B18" s="3" t="s">
        <v>220</v>
      </c>
      <c r="C18" s="3" t="s">
        <v>221</v>
      </c>
      <c r="D18" s="3" t="s">
        <v>222</v>
      </c>
      <c r="E18" s="3" t="s">
        <v>223</v>
      </c>
      <c r="F18" s="3" t="s">
        <v>224</v>
      </c>
      <c r="G18" s="3" t="s">
        <v>225</v>
      </c>
      <c r="H18" s="3" t="s">
        <v>144</v>
      </c>
    </row>
    <row r="19" customFormat="false" ht="46.25" hidden="false" customHeight="false" outlineLevel="0" collapsed="false">
      <c r="A19" s="3" t="s">
        <v>226</v>
      </c>
      <c r="B19" s="3" t="s">
        <v>227</v>
      </c>
      <c r="C19" s="3" t="s">
        <v>228</v>
      </c>
      <c r="D19" s="3" t="s">
        <v>229</v>
      </c>
      <c r="E19" s="3" t="s">
        <v>230</v>
      </c>
      <c r="F19" s="3" t="s">
        <v>231</v>
      </c>
      <c r="G19" s="3" t="s">
        <v>232</v>
      </c>
      <c r="H19" s="3" t="s">
        <v>144</v>
      </c>
    </row>
    <row r="20" customFormat="false" ht="35.05" hidden="false" customHeight="false" outlineLevel="0" collapsed="false">
      <c r="A20" s="3" t="s">
        <v>233</v>
      </c>
      <c r="B20" s="3" t="s">
        <v>234</v>
      </c>
      <c r="C20" s="3" t="s">
        <v>235</v>
      </c>
      <c r="D20" s="3" t="s">
        <v>236</v>
      </c>
      <c r="E20" s="3" t="s">
        <v>237</v>
      </c>
      <c r="F20" s="3" t="s">
        <v>238</v>
      </c>
      <c r="G20" s="3" t="s">
        <v>239</v>
      </c>
      <c r="H20" s="3" t="s">
        <v>144</v>
      </c>
    </row>
    <row r="21" customFormat="false" ht="35.05" hidden="false" customHeight="false" outlineLevel="0" collapsed="false">
      <c r="A21" s="3" t="s">
        <v>240</v>
      </c>
      <c r="B21" s="3" t="s">
        <v>241</v>
      </c>
      <c r="C21" s="3" t="s">
        <v>242</v>
      </c>
      <c r="D21" s="3" t="s">
        <v>243</v>
      </c>
      <c r="E21" s="3" t="s">
        <v>244</v>
      </c>
      <c r="F21" s="3" t="s">
        <v>245</v>
      </c>
      <c r="G21" s="3" t="s">
        <v>246</v>
      </c>
      <c r="H21" s="3" t="s">
        <v>144</v>
      </c>
    </row>
    <row r="22" customFormat="false" ht="23.85" hidden="false" customHeight="false" outlineLevel="0" collapsed="false">
      <c r="A22" s="3" t="s">
        <v>247</v>
      </c>
      <c r="B22" s="3" t="s">
        <v>248</v>
      </c>
      <c r="C22" s="3" t="s">
        <v>249</v>
      </c>
      <c r="D22" s="3" t="s">
        <v>250</v>
      </c>
      <c r="E22" s="3" t="s">
        <v>251</v>
      </c>
      <c r="F22" s="3" t="s">
        <v>252</v>
      </c>
      <c r="G22" s="3" t="s">
        <v>253</v>
      </c>
      <c r="H22" s="3" t="s">
        <v>144</v>
      </c>
    </row>
    <row r="23" customFormat="false" ht="46.25" hidden="false" customHeight="false" outlineLevel="0" collapsed="false">
      <c r="A23" s="3" t="s">
        <v>254</v>
      </c>
      <c r="B23" s="3" t="s">
        <v>255</v>
      </c>
      <c r="C23" s="3" t="s">
        <v>256</v>
      </c>
      <c r="D23" s="3" t="s">
        <v>257</v>
      </c>
      <c r="E23" s="3" t="s">
        <v>258</v>
      </c>
      <c r="F23" s="3" t="s">
        <v>259</v>
      </c>
      <c r="G23" s="3" t="s">
        <v>260</v>
      </c>
      <c r="H23" s="3" t="s">
        <v>144</v>
      </c>
    </row>
    <row r="24" customFormat="false" ht="46.25" hidden="false" customHeight="false" outlineLevel="0" collapsed="false">
      <c r="A24" s="3" t="s">
        <v>261</v>
      </c>
      <c r="B24" s="3" t="s">
        <v>262</v>
      </c>
      <c r="C24" s="3" t="s">
        <v>263</v>
      </c>
      <c r="D24" s="3" t="s">
        <v>264</v>
      </c>
      <c r="E24" s="3" t="s">
        <v>265</v>
      </c>
      <c r="F24" s="3" t="s">
        <v>266</v>
      </c>
      <c r="G24" s="3" t="s">
        <v>267</v>
      </c>
      <c r="H24" s="3" t="s">
        <v>144</v>
      </c>
    </row>
    <row r="25" customFormat="false" ht="35.05" hidden="false" customHeight="false" outlineLevel="0" collapsed="false">
      <c r="A25" s="3" t="s">
        <v>268</v>
      </c>
      <c r="B25" s="3" t="s">
        <v>269</v>
      </c>
      <c r="C25" s="3" t="s">
        <v>270</v>
      </c>
      <c r="D25" s="3" t="s">
        <v>271</v>
      </c>
      <c r="E25" s="3" t="s">
        <v>272</v>
      </c>
      <c r="F25" s="3" t="s">
        <v>273</v>
      </c>
      <c r="G25" s="3" t="s">
        <v>274</v>
      </c>
      <c r="H25" s="3" t="s">
        <v>144</v>
      </c>
    </row>
    <row r="26" customFormat="false" ht="46.25" hidden="false" customHeight="false" outlineLevel="0" collapsed="false">
      <c r="A26" s="3" t="s">
        <v>275</v>
      </c>
      <c r="B26" s="3" t="s">
        <v>276</v>
      </c>
      <c r="C26" s="3" t="s">
        <v>277</v>
      </c>
      <c r="D26" s="3" t="s">
        <v>278</v>
      </c>
      <c r="E26" s="3" t="s">
        <v>279</v>
      </c>
      <c r="F26" s="3" t="s">
        <v>280</v>
      </c>
      <c r="G26" s="3" t="s">
        <v>281</v>
      </c>
      <c r="H26" s="3" t="s">
        <v>144</v>
      </c>
    </row>
    <row r="27" customFormat="false" ht="35.05" hidden="false" customHeight="false" outlineLevel="0" collapsed="false">
      <c r="A27" s="3" t="s">
        <v>282</v>
      </c>
      <c r="B27" s="3" t="s">
        <v>283</v>
      </c>
      <c r="C27" s="3" t="s">
        <v>284</v>
      </c>
      <c r="D27" s="3" t="s">
        <v>285</v>
      </c>
      <c r="E27" s="3" t="s">
        <v>286</v>
      </c>
      <c r="F27" s="3" t="s">
        <v>287</v>
      </c>
      <c r="G27" s="3" t="s">
        <v>288</v>
      </c>
      <c r="H27" s="3" t="s">
        <v>144</v>
      </c>
    </row>
    <row r="28" customFormat="false" ht="35.05" hidden="false" customHeight="false" outlineLevel="0" collapsed="false">
      <c r="A28" s="3" t="s">
        <v>289</v>
      </c>
      <c r="B28" s="3" t="s">
        <v>290</v>
      </c>
      <c r="C28" s="3" t="s">
        <v>291</v>
      </c>
      <c r="D28" s="3" t="s">
        <v>292</v>
      </c>
      <c r="E28" s="3" t="s">
        <v>293</v>
      </c>
      <c r="F28" s="3" t="s">
        <v>294</v>
      </c>
      <c r="G28" s="3" t="s">
        <v>295</v>
      </c>
      <c r="H28" s="3" t="s">
        <v>296</v>
      </c>
    </row>
    <row r="29" customFormat="false" ht="23.85" hidden="false" customHeight="false" outlineLevel="0" collapsed="false">
      <c r="A29" s="3" t="s">
        <v>297</v>
      </c>
      <c r="B29" s="3" t="s">
        <v>298</v>
      </c>
      <c r="C29" s="3" t="s">
        <v>299</v>
      </c>
      <c r="D29" s="3" t="s">
        <v>300</v>
      </c>
      <c r="E29" s="3" t="s">
        <v>301</v>
      </c>
      <c r="F29" s="3" t="s">
        <v>302</v>
      </c>
      <c r="G29" s="3" t="s">
        <v>303</v>
      </c>
      <c r="H29" s="3" t="s">
        <v>144</v>
      </c>
    </row>
    <row r="30" customFormat="false" ht="35.05" hidden="false" customHeight="false" outlineLevel="0" collapsed="false">
      <c r="A30" s="3" t="s">
        <v>304</v>
      </c>
      <c r="B30" s="3" t="s">
        <v>305</v>
      </c>
      <c r="C30" s="3" t="s">
        <v>306</v>
      </c>
      <c r="D30" s="3" t="s">
        <v>307</v>
      </c>
      <c r="E30" s="3" t="s">
        <v>308</v>
      </c>
      <c r="F30" s="3" t="s">
        <v>309</v>
      </c>
      <c r="G30" s="3" t="s">
        <v>310</v>
      </c>
      <c r="H30" s="3" t="s">
        <v>144</v>
      </c>
    </row>
    <row r="31" customFormat="false" ht="23.85" hidden="false" customHeight="false" outlineLevel="0" collapsed="false">
      <c r="A31" s="3" t="s">
        <v>311</v>
      </c>
      <c r="B31" s="3" t="s">
        <v>312</v>
      </c>
      <c r="C31" s="3" t="s">
        <v>313</v>
      </c>
      <c r="D31" s="3" t="s">
        <v>314</v>
      </c>
      <c r="E31" s="3" t="s">
        <v>315</v>
      </c>
      <c r="F31" s="3" t="s">
        <v>316</v>
      </c>
      <c r="G31" s="3" t="s">
        <v>317</v>
      </c>
      <c r="H31" s="3" t="s">
        <v>144</v>
      </c>
    </row>
    <row r="32" customFormat="false" ht="35.05" hidden="false" customHeight="false" outlineLevel="0" collapsed="false">
      <c r="A32" s="3" t="s">
        <v>318</v>
      </c>
      <c r="B32" s="3" t="s">
        <v>319</v>
      </c>
      <c r="C32" s="3" t="s">
        <v>320</v>
      </c>
      <c r="D32" s="3" t="s">
        <v>321</v>
      </c>
      <c r="E32" s="3" t="s">
        <v>322</v>
      </c>
      <c r="F32" s="3" t="s">
        <v>323</v>
      </c>
      <c r="G32" s="3" t="s">
        <v>324</v>
      </c>
      <c r="H32" s="3" t="s">
        <v>144</v>
      </c>
    </row>
    <row r="33" customFormat="false" ht="35.05" hidden="false" customHeight="false" outlineLevel="0" collapsed="false">
      <c r="A33" s="3" t="s">
        <v>325</v>
      </c>
      <c r="B33" s="3" t="s">
        <v>326</v>
      </c>
      <c r="C33" s="3" t="s">
        <v>327</v>
      </c>
      <c r="D33" s="3" t="s">
        <v>328</v>
      </c>
      <c r="E33" s="3" t="s">
        <v>329</v>
      </c>
      <c r="F33" s="3" t="s">
        <v>330</v>
      </c>
      <c r="G33" s="3" t="s">
        <v>331</v>
      </c>
      <c r="H33" s="3" t="s">
        <v>144</v>
      </c>
    </row>
    <row r="34" customFormat="false" ht="23.85" hidden="false" customHeight="false" outlineLevel="0" collapsed="false">
      <c r="A34" s="3" t="s">
        <v>332</v>
      </c>
      <c r="B34" s="3" t="s">
        <v>333</v>
      </c>
      <c r="C34" s="3" t="s">
        <v>334</v>
      </c>
      <c r="D34" s="3" t="s">
        <v>335</v>
      </c>
      <c r="E34" s="3" t="s">
        <v>336</v>
      </c>
      <c r="F34" s="3" t="s">
        <v>337</v>
      </c>
      <c r="G34" s="3" t="s">
        <v>338</v>
      </c>
      <c r="H34" s="3" t="s">
        <v>144</v>
      </c>
    </row>
    <row r="35" customFormat="false" ht="35.05" hidden="false" customHeight="false" outlineLevel="0" collapsed="false">
      <c r="A35" s="3" t="s">
        <v>339</v>
      </c>
      <c r="B35" s="3" t="s">
        <v>340</v>
      </c>
      <c r="C35" s="3" t="s">
        <v>341</v>
      </c>
      <c r="D35" s="3" t="s">
        <v>342</v>
      </c>
      <c r="E35" s="3" t="s">
        <v>343</v>
      </c>
      <c r="F35" s="3" t="s">
        <v>344</v>
      </c>
      <c r="G35" s="3" t="s">
        <v>345</v>
      </c>
      <c r="H35" s="3" t="s">
        <v>144</v>
      </c>
    </row>
    <row r="36" customFormat="false" ht="35.05" hidden="false" customHeight="false" outlineLevel="0" collapsed="false">
      <c r="A36" s="3" t="s">
        <v>346</v>
      </c>
      <c r="B36" s="3" t="s">
        <v>347</v>
      </c>
      <c r="C36" s="3" t="s">
        <v>348</v>
      </c>
      <c r="D36" s="3" t="s">
        <v>349</v>
      </c>
      <c r="E36" s="3" t="s">
        <v>350</v>
      </c>
      <c r="F36" s="3" t="s">
        <v>351</v>
      </c>
      <c r="G36" s="3" t="s">
        <v>352</v>
      </c>
      <c r="H36" s="3" t="s">
        <v>144</v>
      </c>
    </row>
    <row r="37" customFormat="false" ht="23.85" hidden="false" customHeight="false" outlineLevel="0" collapsed="false">
      <c r="A37" s="3" t="s">
        <v>353</v>
      </c>
      <c r="B37" s="3" t="s">
        <v>354</v>
      </c>
      <c r="C37" s="3" t="s">
        <v>355</v>
      </c>
      <c r="D37" s="3" t="s">
        <v>356</v>
      </c>
      <c r="E37" s="3" t="s">
        <v>357</v>
      </c>
      <c r="F37" s="3" t="s">
        <v>358</v>
      </c>
      <c r="G37" s="3" t="s">
        <v>359</v>
      </c>
      <c r="H37" s="3" t="s">
        <v>144</v>
      </c>
    </row>
    <row r="38" customFormat="false" ht="35.05" hidden="false" customHeight="false" outlineLevel="0" collapsed="false">
      <c r="A38" s="3" t="s">
        <v>360</v>
      </c>
      <c r="B38" s="3" t="s">
        <v>361</v>
      </c>
      <c r="C38" s="3" t="s">
        <v>362</v>
      </c>
      <c r="D38" s="3" t="s">
        <v>363</v>
      </c>
      <c r="E38" s="3" t="s">
        <v>364</v>
      </c>
      <c r="F38" s="3" t="s">
        <v>365</v>
      </c>
      <c r="G38" s="3" t="s">
        <v>366</v>
      </c>
      <c r="H38" s="3" t="s">
        <v>144</v>
      </c>
    </row>
    <row r="39" customFormat="false" ht="23.85" hidden="false" customHeight="false" outlineLevel="0" collapsed="false">
      <c r="A39" s="3" t="s">
        <v>367</v>
      </c>
      <c r="B39" s="3" t="s">
        <v>368</v>
      </c>
      <c r="C39" s="3" t="s">
        <v>369</v>
      </c>
      <c r="D39" s="3" t="s">
        <v>370</v>
      </c>
      <c r="E39" s="3" t="s">
        <v>371</v>
      </c>
      <c r="F39" s="3" t="s">
        <v>372</v>
      </c>
      <c r="G39" s="3" t="s">
        <v>373</v>
      </c>
      <c r="H39" s="3" t="s">
        <v>144</v>
      </c>
    </row>
    <row r="40" customFormat="false" ht="35.05" hidden="false" customHeight="false" outlineLevel="0" collapsed="false">
      <c r="A40" s="3" t="s">
        <v>374</v>
      </c>
      <c r="B40" s="3" t="s">
        <v>375</v>
      </c>
      <c r="C40" s="3" t="s">
        <v>376</v>
      </c>
      <c r="D40" s="3" t="s">
        <v>377</v>
      </c>
      <c r="E40" s="3" t="s">
        <v>378</v>
      </c>
      <c r="F40" s="3" t="s">
        <v>379</v>
      </c>
      <c r="G40" s="3" t="s">
        <v>380</v>
      </c>
      <c r="H40" s="3" t="s">
        <v>144</v>
      </c>
    </row>
    <row r="41" customFormat="false" ht="35.05" hidden="false" customHeight="false" outlineLevel="0" collapsed="false">
      <c r="A41" s="3" t="s">
        <v>381</v>
      </c>
      <c r="B41" s="3" t="s">
        <v>382</v>
      </c>
      <c r="C41" s="3" t="s">
        <v>383</v>
      </c>
      <c r="D41" s="3" t="s">
        <v>384</v>
      </c>
      <c r="E41" s="3" t="s">
        <v>385</v>
      </c>
      <c r="F41" s="3" t="s">
        <v>386</v>
      </c>
      <c r="G41" s="3" t="s">
        <v>387</v>
      </c>
      <c r="H41" s="3" t="s">
        <v>144</v>
      </c>
    </row>
    <row r="42" customFormat="false" ht="23.85" hidden="false" customHeight="false" outlineLevel="0" collapsed="false">
      <c r="A42" s="3" t="s">
        <v>388</v>
      </c>
      <c r="B42" s="3" t="s">
        <v>389</v>
      </c>
      <c r="C42" s="3" t="s">
        <v>390</v>
      </c>
      <c r="D42" s="3" t="s">
        <v>391</v>
      </c>
      <c r="E42" s="3" t="s">
        <v>392</v>
      </c>
      <c r="F42" s="3" t="s">
        <v>393</v>
      </c>
      <c r="G42" s="3" t="s">
        <v>394</v>
      </c>
      <c r="H42" s="3" t="s">
        <v>144</v>
      </c>
    </row>
    <row r="43" customFormat="false" ht="23.85" hidden="false" customHeight="false" outlineLevel="0" collapsed="false">
      <c r="A43" s="3" t="s">
        <v>395</v>
      </c>
      <c r="B43" s="3" t="s">
        <v>396</v>
      </c>
      <c r="C43" s="3" t="s">
        <v>397</v>
      </c>
      <c r="D43" s="3" t="s">
        <v>398</v>
      </c>
      <c r="E43" s="3" t="s">
        <v>399</v>
      </c>
      <c r="F43" s="3" t="s">
        <v>400</v>
      </c>
      <c r="G43" s="3" t="s">
        <v>401</v>
      </c>
      <c r="H43" s="3" t="s">
        <v>144</v>
      </c>
    </row>
    <row r="44" customFormat="false" ht="57.45" hidden="false" customHeight="false" outlineLevel="0" collapsed="false">
      <c r="A44" s="3" t="s">
        <v>402</v>
      </c>
      <c r="B44" s="3" t="s">
        <v>403</v>
      </c>
      <c r="C44" s="3" t="s">
        <v>404</v>
      </c>
      <c r="D44" s="3" t="s">
        <v>405</v>
      </c>
      <c r="E44" s="3" t="s">
        <v>406</v>
      </c>
      <c r="F44" s="3" t="s">
        <v>407</v>
      </c>
      <c r="G44" s="3" t="s">
        <v>408</v>
      </c>
      <c r="H44" s="3" t="s">
        <v>409</v>
      </c>
    </row>
    <row r="45" customFormat="false" ht="35.05" hidden="false" customHeight="false" outlineLevel="0" collapsed="false">
      <c r="A45" s="3" t="s">
        <v>410</v>
      </c>
      <c r="B45" s="3" t="s">
        <v>411</v>
      </c>
      <c r="C45" s="3" t="s">
        <v>412</v>
      </c>
      <c r="D45" s="3" t="s">
        <v>413</v>
      </c>
      <c r="E45" s="3" t="s">
        <v>414</v>
      </c>
      <c r="F45" s="3" t="s">
        <v>415</v>
      </c>
      <c r="G45" s="3" t="s">
        <v>416</v>
      </c>
      <c r="H45" s="3" t="s">
        <v>144</v>
      </c>
    </row>
    <row r="46" customFormat="false" ht="68.65" hidden="false" customHeight="false" outlineLevel="0" collapsed="false">
      <c r="A46" s="3" t="s">
        <v>417</v>
      </c>
      <c r="B46" s="3" t="s">
        <v>418</v>
      </c>
      <c r="C46" s="3" t="s">
        <v>419</v>
      </c>
      <c r="D46" s="3" t="s">
        <v>420</v>
      </c>
      <c r="E46" s="3" t="s">
        <v>421</v>
      </c>
      <c r="F46" s="3" t="s">
        <v>422</v>
      </c>
      <c r="G46" s="3" t="s">
        <v>423</v>
      </c>
      <c r="H46" s="3" t="s">
        <v>424</v>
      </c>
    </row>
    <row r="48" customFormat="false" ht="30" hidden="false" customHeight="true" outlineLevel="0" collapsed="false">
      <c r="A48" s="4" t="s">
        <v>425</v>
      </c>
      <c r="B48" s="4"/>
      <c r="C48" s="4"/>
      <c r="D48" s="4"/>
      <c r="E48" s="4"/>
      <c r="F48" s="4"/>
      <c r="G48" s="4"/>
      <c r="H48" s="4"/>
    </row>
  </sheetData>
  <mergeCells count="2">
    <mergeCell ref="A1:H1"/>
    <mergeCell ref="A48:H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80"/>
    <col collapsed="false" customWidth="true" hidden="false" outlineLevel="0" max="4" min="4" style="0" width="30"/>
    <col collapsed="false" customWidth="true" hidden="false" outlineLevel="0" max="5" min="5" style="0" width="60"/>
    <col collapsed="false" customWidth="true" hidden="false" outlineLevel="0" max="6" min="6" style="0" width="34"/>
    <col collapsed="false" customWidth="true" hidden="false" outlineLevel="0" max="7" min="7" style="0" width="20"/>
  </cols>
  <sheetData>
    <row r="1" customFormat="false" ht="17.35" hidden="false" customHeight="false" outlineLevel="0" collapsed="false">
      <c r="A1" s="1" t="s">
        <v>426</v>
      </c>
      <c r="B1" s="1"/>
      <c r="C1" s="1"/>
      <c r="D1" s="1"/>
      <c r="E1" s="1"/>
      <c r="F1" s="1"/>
      <c r="G1" s="1"/>
    </row>
    <row r="3" customFormat="false" ht="15" hidden="false" customHeight="false" outlineLevel="0" collapsed="false">
      <c r="A3" s="5" t="s">
        <v>427</v>
      </c>
      <c r="B3" s="5" t="s">
        <v>428</v>
      </c>
      <c r="C3" s="5" t="s">
        <v>429</v>
      </c>
      <c r="D3" s="5" t="s">
        <v>430</v>
      </c>
      <c r="E3" s="5" t="s">
        <v>431</v>
      </c>
      <c r="F3" s="5" t="s">
        <v>432</v>
      </c>
      <c r="G3" s="5" t="s">
        <v>433</v>
      </c>
    </row>
    <row r="4" customFormat="false" ht="46.25" hidden="false" customHeight="false" outlineLevel="0" collapsed="false">
      <c r="A4" s="3" t="s">
        <v>434</v>
      </c>
      <c r="B4" s="3" t="s">
        <v>435</v>
      </c>
      <c r="C4" s="3" t="s">
        <v>436</v>
      </c>
      <c r="D4" s="3" t="s">
        <v>437</v>
      </c>
      <c r="E4" s="7" t="s">
        <v>438</v>
      </c>
      <c r="F4" s="3" t="s">
        <v>439</v>
      </c>
      <c r="G4" s="3" t="s">
        <v>72</v>
      </c>
    </row>
    <row r="5" customFormat="false" ht="35.05" hidden="false" customHeight="false" outlineLevel="0" collapsed="false">
      <c r="A5" s="3" t="s">
        <v>440</v>
      </c>
      <c r="B5" s="3" t="s">
        <v>441</v>
      </c>
      <c r="C5" s="3" t="s">
        <v>442</v>
      </c>
      <c r="D5" s="3" t="s">
        <v>443</v>
      </c>
      <c r="E5" s="8" t="s">
        <v>444</v>
      </c>
      <c r="F5" s="3" t="s">
        <v>445</v>
      </c>
      <c r="G5" s="3" t="s">
        <v>72</v>
      </c>
    </row>
    <row r="6" customFormat="false" ht="23.85" hidden="false" customHeight="false" outlineLevel="0" collapsed="false">
      <c r="A6" s="3" t="s">
        <v>446</v>
      </c>
      <c r="B6" s="3" t="s">
        <v>447</v>
      </c>
      <c r="C6" s="3" t="s">
        <v>448</v>
      </c>
      <c r="D6" s="3" t="s">
        <v>449</v>
      </c>
      <c r="E6" s="8" t="s">
        <v>450</v>
      </c>
      <c r="F6" s="3" t="s">
        <v>445</v>
      </c>
      <c r="G6" s="3" t="s">
        <v>72</v>
      </c>
    </row>
    <row r="7" customFormat="false" ht="23.85" hidden="false" customHeight="false" outlineLevel="0" collapsed="false">
      <c r="A7" s="3" t="s">
        <v>451</v>
      </c>
      <c r="B7" s="3" t="s">
        <v>452</v>
      </c>
      <c r="C7" s="3" t="s">
        <v>453</v>
      </c>
      <c r="D7" s="3" t="s">
        <v>454</v>
      </c>
      <c r="E7" s="8" t="s">
        <v>455</v>
      </c>
      <c r="F7" s="3" t="s">
        <v>445</v>
      </c>
      <c r="G7" s="3" t="s">
        <v>72</v>
      </c>
    </row>
    <row r="8" customFormat="false" ht="35.05" hidden="false" customHeight="false" outlineLevel="0" collapsed="false">
      <c r="A8" s="3" t="s">
        <v>456</v>
      </c>
      <c r="B8" s="3" t="s">
        <v>457</v>
      </c>
      <c r="C8" s="3" t="s">
        <v>458</v>
      </c>
      <c r="D8" s="3" t="s">
        <v>459</v>
      </c>
      <c r="E8" s="8" t="s">
        <v>460</v>
      </c>
      <c r="F8" s="3" t="s">
        <v>461</v>
      </c>
      <c r="G8" s="3" t="s">
        <v>462</v>
      </c>
    </row>
    <row r="9" customFormat="false" ht="23.85" hidden="false" customHeight="false" outlineLevel="0" collapsed="false">
      <c r="A9" s="3" t="s">
        <v>463</v>
      </c>
      <c r="B9" s="3" t="s">
        <v>464</v>
      </c>
      <c r="C9" s="3" t="s">
        <v>465</v>
      </c>
      <c r="D9" s="3" t="s">
        <v>466</v>
      </c>
      <c r="E9" s="9" t="s">
        <v>467</v>
      </c>
      <c r="F9" s="3" t="s">
        <v>468</v>
      </c>
      <c r="G9" s="3" t="s">
        <v>469</v>
      </c>
    </row>
    <row r="10" customFormat="false" ht="35.05" hidden="false" customHeight="false" outlineLevel="0" collapsed="false">
      <c r="A10" s="3" t="s">
        <v>470</v>
      </c>
      <c r="B10" s="3" t="s">
        <v>471</v>
      </c>
      <c r="C10" s="3" t="s">
        <v>472</v>
      </c>
      <c r="D10" s="3" t="s">
        <v>473</v>
      </c>
      <c r="E10" s="9" t="s">
        <v>474</v>
      </c>
      <c r="F10" s="3" t="s">
        <v>475</v>
      </c>
      <c r="G10" s="3" t="s">
        <v>476</v>
      </c>
    </row>
    <row r="11" customFormat="false" ht="35.05" hidden="false" customHeight="false" outlineLevel="0" collapsed="false">
      <c r="A11" s="3" t="s">
        <v>477</v>
      </c>
      <c r="B11" s="3" t="s">
        <v>478</v>
      </c>
      <c r="C11" s="3" t="s">
        <v>479</v>
      </c>
      <c r="D11" s="3" t="s">
        <v>480</v>
      </c>
      <c r="E11" s="9" t="s">
        <v>481</v>
      </c>
      <c r="F11" s="3" t="s">
        <v>482</v>
      </c>
      <c r="G11" s="3" t="s">
        <v>476</v>
      </c>
    </row>
    <row r="12" customFormat="false" ht="35.05" hidden="false" customHeight="false" outlineLevel="0" collapsed="false">
      <c r="A12" s="3" t="s">
        <v>483</v>
      </c>
      <c r="B12" s="3" t="s">
        <v>484</v>
      </c>
      <c r="C12" s="3" t="s">
        <v>485</v>
      </c>
      <c r="D12" s="3" t="s">
        <v>486</v>
      </c>
      <c r="E12" s="8" t="s">
        <v>487</v>
      </c>
      <c r="F12" s="3" t="s">
        <v>488</v>
      </c>
      <c r="G12" s="3" t="s">
        <v>489</v>
      </c>
    </row>
    <row r="13" customFormat="false" ht="35.05" hidden="false" customHeight="false" outlineLevel="0" collapsed="false">
      <c r="A13" s="3" t="s">
        <v>490</v>
      </c>
      <c r="B13" s="3" t="s">
        <v>491</v>
      </c>
      <c r="C13" s="3" t="s">
        <v>492</v>
      </c>
      <c r="D13" s="3" t="s">
        <v>493</v>
      </c>
      <c r="E13" s="9" t="s">
        <v>494</v>
      </c>
      <c r="F13" s="3" t="s">
        <v>495</v>
      </c>
      <c r="G13" s="3" t="s">
        <v>476</v>
      </c>
    </row>
    <row r="14" customFormat="false" ht="23.85" hidden="false" customHeight="false" outlineLevel="0" collapsed="false">
      <c r="A14" s="3" t="s">
        <v>496</v>
      </c>
      <c r="B14" s="3" t="s">
        <v>497</v>
      </c>
      <c r="C14" s="3" t="s">
        <v>498</v>
      </c>
      <c r="D14" s="3" t="s">
        <v>499</v>
      </c>
      <c r="E14" s="9" t="s">
        <v>500</v>
      </c>
      <c r="F14" s="3" t="s">
        <v>501</v>
      </c>
      <c r="G14" s="3" t="s">
        <v>476</v>
      </c>
    </row>
    <row r="15" customFormat="false" ht="23.85" hidden="false" customHeight="false" outlineLevel="0" collapsed="false">
      <c r="A15" s="3" t="s">
        <v>502</v>
      </c>
      <c r="B15" s="3" t="s">
        <v>503</v>
      </c>
      <c r="C15" s="3" t="s">
        <v>504</v>
      </c>
      <c r="D15" s="3" t="s">
        <v>505</v>
      </c>
      <c r="E15" s="9" t="s">
        <v>506</v>
      </c>
      <c r="F15" s="3" t="s">
        <v>507</v>
      </c>
      <c r="G15" s="3" t="s">
        <v>469</v>
      </c>
    </row>
    <row r="16" customFormat="false" ht="23.85" hidden="false" customHeight="false" outlineLevel="0" collapsed="false">
      <c r="A16" s="3" t="s">
        <v>508</v>
      </c>
      <c r="B16" s="3" t="s">
        <v>509</v>
      </c>
      <c r="C16" s="3" t="s">
        <v>510</v>
      </c>
      <c r="D16" s="3" t="s">
        <v>511</v>
      </c>
      <c r="E16" s="9" t="s">
        <v>512</v>
      </c>
      <c r="F16" s="3" t="s">
        <v>513</v>
      </c>
      <c r="G16" s="3" t="s">
        <v>469</v>
      </c>
    </row>
    <row r="17" customFormat="false" ht="23.85" hidden="false" customHeight="false" outlineLevel="0" collapsed="false">
      <c r="A17" s="3" t="s">
        <v>514</v>
      </c>
      <c r="B17" s="3" t="s">
        <v>515</v>
      </c>
      <c r="C17" s="3" t="s">
        <v>516</v>
      </c>
      <c r="D17" s="3" t="s">
        <v>517</v>
      </c>
      <c r="E17" s="8" t="s">
        <v>518</v>
      </c>
      <c r="F17" s="3" t="s">
        <v>469</v>
      </c>
      <c r="G17" s="3" t="s">
        <v>469</v>
      </c>
    </row>
    <row r="19" customFormat="false" ht="30" hidden="false" customHeight="true" outlineLevel="0" collapsed="false">
      <c r="A19" s="4" t="s">
        <v>519</v>
      </c>
      <c r="B19" s="4"/>
      <c r="C19" s="4"/>
      <c r="D19" s="4"/>
      <c r="E19" s="4"/>
      <c r="F19" s="4"/>
      <c r="G19" s="4"/>
    </row>
  </sheetData>
  <mergeCells count="2">
    <mergeCell ref="A1:G1"/>
    <mergeCell ref="A19: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2"/>
    <col collapsed="false" customWidth="true" hidden="false" outlineLevel="0" max="4" min="4" style="0" width="34"/>
    <col collapsed="false" customWidth="true" hidden="false" outlineLevel="0" max="5" min="5" style="0" width="10"/>
    <col collapsed="false" customWidth="true" hidden="false" outlineLevel="0" max="6" min="6" style="0" width="40"/>
    <col collapsed="false" customWidth="true" hidden="false" outlineLevel="0" max="7" min="7" style="0" width="70"/>
    <col collapsed="false" customWidth="true" hidden="false" outlineLevel="0" max="8" min="8" style="0" width="60"/>
    <col collapsed="false" customWidth="true" hidden="false" outlineLevel="0" max="9" min="9" style="0" width="30"/>
    <col collapsed="false" customWidth="true" hidden="false" outlineLevel="0" max="10" min="10" style="0" width="10"/>
    <col collapsed="false" customWidth="true" hidden="false" outlineLevel="0" max="11" min="11" style="0" width="14"/>
    <col collapsed="false" customWidth="true" hidden="false" outlineLevel="0" max="12" min="12" style="0" width="12"/>
  </cols>
  <sheetData>
    <row r="1" customFormat="false" ht="17.35" hidden="false" customHeight="false" outlineLevel="0" collapsed="false">
      <c r="A1" s="1" t="s">
        <v>520</v>
      </c>
      <c r="B1" s="1"/>
      <c r="C1" s="1"/>
      <c r="D1" s="1"/>
      <c r="E1" s="1"/>
      <c r="F1" s="1"/>
      <c r="G1" s="1"/>
      <c r="H1" s="1"/>
      <c r="I1" s="1"/>
      <c r="J1" s="1"/>
      <c r="K1" s="1"/>
      <c r="L1" s="1"/>
    </row>
    <row r="3" customFormat="false" ht="23.85" hidden="false" customHeight="false" outlineLevel="0" collapsed="false">
      <c r="A3" s="5" t="s">
        <v>521</v>
      </c>
      <c r="B3" s="5" t="s">
        <v>106</v>
      </c>
      <c r="C3" s="5" t="s">
        <v>107</v>
      </c>
      <c r="D3" s="5" t="s">
        <v>522</v>
      </c>
      <c r="E3" s="5" t="s">
        <v>523</v>
      </c>
      <c r="F3" s="5" t="s">
        <v>524</v>
      </c>
      <c r="G3" s="5" t="s">
        <v>525</v>
      </c>
      <c r="H3" s="5" t="s">
        <v>526</v>
      </c>
      <c r="I3" s="5" t="s">
        <v>527</v>
      </c>
      <c r="J3" s="5" t="s">
        <v>528</v>
      </c>
      <c r="K3" s="5" t="s">
        <v>86</v>
      </c>
      <c r="L3" s="5" t="s">
        <v>529</v>
      </c>
    </row>
    <row r="4" customFormat="false" ht="46.25" hidden="false" customHeight="false" outlineLevel="0" collapsed="false">
      <c r="A4" s="3" t="s">
        <v>530</v>
      </c>
      <c r="B4" s="3" t="s">
        <v>113</v>
      </c>
      <c r="C4" s="3" t="s">
        <v>531</v>
      </c>
      <c r="D4" s="3" t="s">
        <v>532</v>
      </c>
      <c r="E4" s="8" t="s">
        <v>533</v>
      </c>
      <c r="F4" s="3" t="s">
        <v>534</v>
      </c>
      <c r="G4" s="3" t="s">
        <v>535</v>
      </c>
      <c r="H4" s="3" t="s">
        <v>536</v>
      </c>
      <c r="I4" s="10"/>
      <c r="J4" s="10"/>
      <c r="K4" s="10"/>
      <c r="L4" s="10"/>
    </row>
    <row r="5" customFormat="false" ht="35.05" hidden="false" customHeight="false" outlineLevel="0" collapsed="false">
      <c r="A5" s="3" t="s">
        <v>537</v>
      </c>
      <c r="B5" s="3" t="s">
        <v>113</v>
      </c>
      <c r="C5" s="3" t="s">
        <v>531</v>
      </c>
      <c r="D5" s="3" t="s">
        <v>538</v>
      </c>
      <c r="E5" s="7" t="s">
        <v>539</v>
      </c>
      <c r="F5" s="3" t="s">
        <v>540</v>
      </c>
      <c r="G5" s="3" t="s">
        <v>541</v>
      </c>
      <c r="H5" s="3" t="s">
        <v>542</v>
      </c>
      <c r="I5" s="10"/>
      <c r="J5" s="10"/>
      <c r="K5" s="10"/>
      <c r="L5" s="10"/>
    </row>
    <row r="6" customFormat="false" ht="57.45" hidden="false" customHeight="false" outlineLevel="0" collapsed="false">
      <c r="A6" s="3" t="s">
        <v>543</v>
      </c>
      <c r="B6" s="3" t="s">
        <v>121</v>
      </c>
      <c r="C6" s="3" t="s">
        <v>123</v>
      </c>
      <c r="D6" s="3" t="s">
        <v>544</v>
      </c>
      <c r="E6" s="8" t="s">
        <v>533</v>
      </c>
      <c r="F6" s="3" t="s">
        <v>545</v>
      </c>
      <c r="G6" s="3" t="s">
        <v>546</v>
      </c>
      <c r="H6" s="3" t="s">
        <v>547</v>
      </c>
      <c r="I6" s="10"/>
      <c r="J6" s="10"/>
      <c r="K6" s="10"/>
      <c r="L6" s="10"/>
    </row>
    <row r="7" customFormat="false" ht="46.25" hidden="false" customHeight="false" outlineLevel="0" collapsed="false">
      <c r="A7" s="3" t="s">
        <v>548</v>
      </c>
      <c r="B7" s="3" t="s">
        <v>121</v>
      </c>
      <c r="C7" s="3" t="s">
        <v>123</v>
      </c>
      <c r="D7" s="3" t="s">
        <v>549</v>
      </c>
      <c r="E7" s="7" t="s">
        <v>539</v>
      </c>
      <c r="F7" s="3" t="s">
        <v>550</v>
      </c>
      <c r="G7" s="3" t="s">
        <v>551</v>
      </c>
      <c r="H7" s="3" t="s">
        <v>552</v>
      </c>
      <c r="I7" s="10"/>
      <c r="J7" s="10"/>
      <c r="K7" s="10"/>
      <c r="L7" s="10"/>
    </row>
    <row r="8" customFormat="false" ht="23.85" hidden="false" customHeight="false" outlineLevel="0" collapsed="false">
      <c r="A8" s="3" t="s">
        <v>553</v>
      </c>
      <c r="B8" s="3" t="s">
        <v>129</v>
      </c>
      <c r="C8" s="3" t="s">
        <v>131</v>
      </c>
      <c r="D8" s="3" t="s">
        <v>554</v>
      </c>
      <c r="E8" s="7" t="s">
        <v>539</v>
      </c>
      <c r="F8" s="3" t="s">
        <v>555</v>
      </c>
      <c r="G8" s="3" t="s">
        <v>556</v>
      </c>
      <c r="H8" s="3" t="s">
        <v>557</v>
      </c>
      <c r="I8" s="10"/>
      <c r="J8" s="10"/>
      <c r="K8" s="10"/>
      <c r="L8" s="10"/>
    </row>
    <row r="9" customFormat="false" ht="23.85" hidden="false" customHeight="false" outlineLevel="0" collapsed="false">
      <c r="A9" s="3" t="s">
        <v>558</v>
      </c>
      <c r="B9" s="3" t="s">
        <v>129</v>
      </c>
      <c r="C9" s="3" t="s">
        <v>131</v>
      </c>
      <c r="D9" s="3" t="s">
        <v>559</v>
      </c>
      <c r="E9" s="8" t="s">
        <v>533</v>
      </c>
      <c r="F9" s="3" t="s">
        <v>560</v>
      </c>
      <c r="G9" s="3" t="s">
        <v>561</v>
      </c>
      <c r="H9" s="3" t="s">
        <v>562</v>
      </c>
      <c r="I9" s="10"/>
      <c r="J9" s="10"/>
      <c r="K9" s="10"/>
      <c r="L9" s="10"/>
    </row>
    <row r="10" customFormat="false" ht="57.45" hidden="false" customHeight="false" outlineLevel="0" collapsed="false">
      <c r="A10" s="3" t="s">
        <v>563</v>
      </c>
      <c r="B10" s="3" t="s">
        <v>129</v>
      </c>
      <c r="C10" s="3" t="s">
        <v>131</v>
      </c>
      <c r="D10" s="3" t="s">
        <v>564</v>
      </c>
      <c r="E10" s="7" t="s">
        <v>539</v>
      </c>
      <c r="F10" s="3" t="s">
        <v>565</v>
      </c>
      <c r="G10" s="3" t="s">
        <v>566</v>
      </c>
      <c r="H10" s="3" t="s">
        <v>567</v>
      </c>
      <c r="I10" s="10"/>
      <c r="J10" s="10"/>
      <c r="K10" s="10"/>
      <c r="L10" s="10"/>
    </row>
    <row r="11" customFormat="false" ht="46.25" hidden="false" customHeight="false" outlineLevel="0" collapsed="false">
      <c r="A11" s="3" t="s">
        <v>568</v>
      </c>
      <c r="B11" s="3" t="s">
        <v>137</v>
      </c>
      <c r="C11" s="3" t="s">
        <v>139</v>
      </c>
      <c r="D11" s="3" t="s">
        <v>569</v>
      </c>
      <c r="E11" s="7" t="s">
        <v>539</v>
      </c>
      <c r="F11" s="3" t="s">
        <v>570</v>
      </c>
      <c r="G11" s="3" t="s">
        <v>571</v>
      </c>
      <c r="H11" s="3" t="s">
        <v>572</v>
      </c>
      <c r="I11" s="10"/>
      <c r="J11" s="10"/>
      <c r="K11" s="10"/>
      <c r="L11" s="10"/>
    </row>
    <row r="12" customFormat="false" ht="46.25" hidden="false" customHeight="false" outlineLevel="0" collapsed="false">
      <c r="A12" s="3" t="s">
        <v>573</v>
      </c>
      <c r="B12" s="3" t="s">
        <v>137</v>
      </c>
      <c r="C12" s="3" t="s">
        <v>139</v>
      </c>
      <c r="D12" s="3" t="s">
        <v>574</v>
      </c>
      <c r="E12" s="7" t="s">
        <v>539</v>
      </c>
      <c r="F12" s="3" t="s">
        <v>575</v>
      </c>
      <c r="G12" s="3" t="s">
        <v>576</v>
      </c>
      <c r="H12" s="3" t="s">
        <v>577</v>
      </c>
      <c r="I12" s="10"/>
      <c r="J12" s="10"/>
      <c r="K12" s="10"/>
      <c r="L12" s="10"/>
    </row>
    <row r="13" customFormat="false" ht="35.05" hidden="false" customHeight="false" outlineLevel="0" collapsed="false">
      <c r="A13" s="3" t="s">
        <v>578</v>
      </c>
      <c r="B13" s="3" t="s">
        <v>137</v>
      </c>
      <c r="C13" s="3" t="s">
        <v>139</v>
      </c>
      <c r="D13" s="3" t="s">
        <v>579</v>
      </c>
      <c r="E13" s="8" t="s">
        <v>533</v>
      </c>
      <c r="F13" s="3" t="s">
        <v>580</v>
      </c>
      <c r="G13" s="3" t="s">
        <v>581</v>
      </c>
      <c r="H13" s="3" t="s">
        <v>582</v>
      </c>
      <c r="I13" s="10"/>
      <c r="J13" s="10"/>
      <c r="K13" s="10"/>
      <c r="L13" s="10"/>
    </row>
    <row r="14" customFormat="false" ht="35.05" hidden="false" customHeight="false" outlineLevel="0" collapsed="false">
      <c r="A14" s="3" t="s">
        <v>583</v>
      </c>
      <c r="B14" s="3" t="s">
        <v>137</v>
      </c>
      <c r="C14" s="3" t="s">
        <v>139</v>
      </c>
      <c r="D14" s="3" t="s">
        <v>584</v>
      </c>
      <c r="E14" s="8" t="s">
        <v>533</v>
      </c>
      <c r="F14" s="3" t="s">
        <v>585</v>
      </c>
      <c r="G14" s="3" t="s">
        <v>586</v>
      </c>
      <c r="H14" s="3" t="s">
        <v>587</v>
      </c>
      <c r="I14" s="10"/>
      <c r="J14" s="10"/>
      <c r="K14" s="10"/>
      <c r="L14" s="10"/>
    </row>
    <row r="15" customFormat="false" ht="15" hidden="false" customHeight="false" outlineLevel="0" collapsed="false">
      <c r="A15" s="3" t="s">
        <v>588</v>
      </c>
      <c r="B15" s="3" t="s">
        <v>145</v>
      </c>
      <c r="C15" s="3" t="s">
        <v>147</v>
      </c>
      <c r="D15" s="3" t="s">
        <v>589</v>
      </c>
      <c r="E15" s="8" t="s">
        <v>533</v>
      </c>
      <c r="F15" s="3" t="s">
        <v>590</v>
      </c>
      <c r="G15" s="3" t="s">
        <v>591</v>
      </c>
      <c r="H15" s="3" t="s">
        <v>592</v>
      </c>
      <c r="I15" s="10"/>
      <c r="J15" s="10"/>
      <c r="K15" s="10"/>
      <c r="L15" s="10"/>
    </row>
    <row r="16" customFormat="false" ht="35.05" hidden="false" customHeight="false" outlineLevel="0" collapsed="false">
      <c r="A16" s="3" t="s">
        <v>593</v>
      </c>
      <c r="B16" s="3" t="s">
        <v>145</v>
      </c>
      <c r="C16" s="3" t="s">
        <v>147</v>
      </c>
      <c r="D16" s="3" t="s">
        <v>594</v>
      </c>
      <c r="E16" s="8" t="s">
        <v>533</v>
      </c>
      <c r="F16" s="3" t="s">
        <v>595</v>
      </c>
      <c r="G16" s="3" t="s">
        <v>596</v>
      </c>
      <c r="H16" s="3" t="s">
        <v>597</v>
      </c>
      <c r="I16" s="10"/>
      <c r="J16" s="10"/>
      <c r="K16" s="10"/>
      <c r="L16" s="10"/>
    </row>
    <row r="17" customFormat="false" ht="57.45" hidden="false" customHeight="false" outlineLevel="0" collapsed="false">
      <c r="A17" s="3" t="s">
        <v>598</v>
      </c>
      <c r="B17" s="3" t="s">
        <v>153</v>
      </c>
      <c r="C17" s="3" t="s">
        <v>155</v>
      </c>
      <c r="D17" s="3" t="s">
        <v>599</v>
      </c>
      <c r="E17" s="7" t="s">
        <v>539</v>
      </c>
      <c r="F17" s="3" t="s">
        <v>600</v>
      </c>
      <c r="G17" s="3" t="s">
        <v>601</v>
      </c>
      <c r="H17" s="3" t="s">
        <v>602</v>
      </c>
      <c r="I17" s="10"/>
      <c r="J17" s="10"/>
      <c r="K17" s="10"/>
      <c r="L17" s="10"/>
    </row>
    <row r="18" customFormat="false" ht="35.05" hidden="false" customHeight="false" outlineLevel="0" collapsed="false">
      <c r="A18" s="3" t="s">
        <v>603</v>
      </c>
      <c r="B18" s="3" t="s">
        <v>153</v>
      </c>
      <c r="C18" s="3" t="s">
        <v>155</v>
      </c>
      <c r="D18" s="3" t="s">
        <v>604</v>
      </c>
      <c r="E18" s="8" t="s">
        <v>533</v>
      </c>
      <c r="F18" s="3" t="s">
        <v>605</v>
      </c>
      <c r="G18" s="3" t="s">
        <v>606</v>
      </c>
      <c r="H18" s="3" t="s">
        <v>607</v>
      </c>
      <c r="I18" s="10"/>
      <c r="J18" s="10"/>
      <c r="K18" s="10"/>
      <c r="L18" s="10"/>
    </row>
    <row r="19" customFormat="false" ht="46.25" hidden="false" customHeight="false" outlineLevel="0" collapsed="false">
      <c r="A19" s="3" t="s">
        <v>608</v>
      </c>
      <c r="B19" s="3" t="s">
        <v>153</v>
      </c>
      <c r="C19" s="3" t="s">
        <v>155</v>
      </c>
      <c r="D19" s="3" t="s">
        <v>609</v>
      </c>
      <c r="E19" s="7" t="s">
        <v>539</v>
      </c>
      <c r="F19" s="3" t="s">
        <v>610</v>
      </c>
      <c r="G19" s="3" t="s">
        <v>611</v>
      </c>
      <c r="H19" s="3" t="s">
        <v>612</v>
      </c>
      <c r="I19" s="10"/>
      <c r="J19" s="10"/>
      <c r="K19" s="10"/>
      <c r="L19" s="10"/>
    </row>
    <row r="20" customFormat="false" ht="15" hidden="false" customHeight="false" outlineLevel="0" collapsed="false">
      <c r="A20" s="3" t="s">
        <v>613</v>
      </c>
      <c r="B20" s="3" t="s">
        <v>161</v>
      </c>
      <c r="C20" s="3" t="s">
        <v>163</v>
      </c>
      <c r="D20" s="3" t="s">
        <v>614</v>
      </c>
      <c r="E20" s="8" t="s">
        <v>533</v>
      </c>
      <c r="F20" s="3" t="s">
        <v>615</v>
      </c>
      <c r="G20" s="3" t="s">
        <v>616</v>
      </c>
      <c r="H20" s="3" t="s">
        <v>617</v>
      </c>
      <c r="I20" s="10"/>
      <c r="J20" s="10"/>
      <c r="K20" s="10"/>
      <c r="L20" s="10"/>
    </row>
    <row r="21" customFormat="false" ht="35.05" hidden="false" customHeight="false" outlineLevel="0" collapsed="false">
      <c r="A21" s="3" t="s">
        <v>618</v>
      </c>
      <c r="B21" s="3" t="s">
        <v>161</v>
      </c>
      <c r="C21" s="3" t="s">
        <v>163</v>
      </c>
      <c r="D21" s="3" t="s">
        <v>619</v>
      </c>
      <c r="E21" s="8" t="s">
        <v>533</v>
      </c>
      <c r="F21" s="3" t="s">
        <v>620</v>
      </c>
      <c r="G21" s="3" t="s">
        <v>621</v>
      </c>
      <c r="H21" s="3" t="s">
        <v>622</v>
      </c>
      <c r="I21" s="10"/>
      <c r="J21" s="10"/>
      <c r="K21" s="10"/>
      <c r="L21" s="10"/>
    </row>
    <row r="22" customFormat="false" ht="23.85" hidden="false" customHeight="false" outlineLevel="0" collapsed="false">
      <c r="A22" s="3" t="s">
        <v>623</v>
      </c>
      <c r="B22" s="3" t="s">
        <v>161</v>
      </c>
      <c r="C22" s="3" t="s">
        <v>163</v>
      </c>
      <c r="D22" s="3" t="s">
        <v>624</v>
      </c>
      <c r="E22" s="7" t="s">
        <v>539</v>
      </c>
      <c r="F22" s="3" t="s">
        <v>625</v>
      </c>
      <c r="G22" s="3" t="s">
        <v>626</v>
      </c>
      <c r="H22" s="3" t="s">
        <v>627</v>
      </c>
      <c r="I22" s="10"/>
      <c r="J22" s="10"/>
      <c r="K22" s="10"/>
      <c r="L22" s="10"/>
    </row>
    <row r="23" customFormat="false" ht="79.85" hidden="false" customHeight="false" outlineLevel="0" collapsed="false">
      <c r="A23" s="3" t="s">
        <v>628</v>
      </c>
      <c r="B23" s="3" t="s">
        <v>161</v>
      </c>
      <c r="C23" s="3" t="s">
        <v>163</v>
      </c>
      <c r="D23" s="3" t="s">
        <v>629</v>
      </c>
      <c r="E23" s="8" t="s">
        <v>533</v>
      </c>
      <c r="F23" s="3" t="s">
        <v>630</v>
      </c>
      <c r="G23" s="3" t="s">
        <v>631</v>
      </c>
      <c r="H23" s="3" t="s">
        <v>632</v>
      </c>
      <c r="I23" s="10"/>
      <c r="J23" s="10"/>
      <c r="K23" s="10"/>
      <c r="L23" s="10"/>
    </row>
    <row r="24" customFormat="false" ht="23.85" hidden="false" customHeight="false" outlineLevel="0" collapsed="false">
      <c r="A24" s="3" t="s">
        <v>633</v>
      </c>
      <c r="B24" s="3" t="s">
        <v>161</v>
      </c>
      <c r="C24" s="3" t="s">
        <v>163</v>
      </c>
      <c r="D24" s="3" t="s">
        <v>634</v>
      </c>
      <c r="E24" s="7" t="s">
        <v>539</v>
      </c>
      <c r="F24" s="3" t="s">
        <v>635</v>
      </c>
      <c r="G24" s="3" t="s">
        <v>636</v>
      </c>
      <c r="H24" s="3" t="s">
        <v>637</v>
      </c>
      <c r="I24" s="10"/>
      <c r="J24" s="10"/>
      <c r="K24" s="10"/>
      <c r="L24" s="10"/>
    </row>
    <row r="25" customFormat="false" ht="35.05" hidden="false" customHeight="false" outlineLevel="0" collapsed="false">
      <c r="A25" s="3" t="s">
        <v>638</v>
      </c>
      <c r="B25" s="3" t="s">
        <v>161</v>
      </c>
      <c r="C25" s="3" t="s">
        <v>163</v>
      </c>
      <c r="D25" s="3" t="s">
        <v>639</v>
      </c>
      <c r="E25" s="8" t="s">
        <v>533</v>
      </c>
      <c r="F25" s="3" t="s">
        <v>640</v>
      </c>
      <c r="G25" s="3" t="s">
        <v>641</v>
      </c>
      <c r="H25" s="3" t="s">
        <v>642</v>
      </c>
      <c r="I25" s="10"/>
      <c r="J25" s="10"/>
      <c r="K25" s="10"/>
      <c r="L25" s="10"/>
    </row>
    <row r="26" customFormat="false" ht="23.85" hidden="false" customHeight="false" outlineLevel="0" collapsed="false">
      <c r="A26" s="3" t="s">
        <v>643</v>
      </c>
      <c r="B26" s="3" t="s">
        <v>161</v>
      </c>
      <c r="C26" s="3" t="s">
        <v>163</v>
      </c>
      <c r="D26" s="3" t="s">
        <v>644</v>
      </c>
      <c r="E26" s="7" t="s">
        <v>539</v>
      </c>
      <c r="F26" s="3" t="s">
        <v>645</v>
      </c>
      <c r="G26" s="3" t="s">
        <v>646</v>
      </c>
      <c r="H26" s="3" t="s">
        <v>647</v>
      </c>
      <c r="I26" s="10"/>
      <c r="J26" s="10"/>
      <c r="K26" s="10"/>
      <c r="L26" s="10"/>
    </row>
    <row r="27" customFormat="false" ht="35.05" hidden="false" customHeight="false" outlineLevel="0" collapsed="false">
      <c r="A27" s="3" t="s">
        <v>648</v>
      </c>
      <c r="B27" s="3" t="s">
        <v>169</v>
      </c>
      <c r="C27" s="3" t="s">
        <v>171</v>
      </c>
      <c r="D27" s="3" t="s">
        <v>649</v>
      </c>
      <c r="E27" s="7" t="s">
        <v>539</v>
      </c>
      <c r="F27" s="3" t="s">
        <v>650</v>
      </c>
      <c r="G27" s="3" t="s">
        <v>651</v>
      </c>
      <c r="H27" s="3" t="s">
        <v>652</v>
      </c>
      <c r="I27" s="10"/>
      <c r="J27" s="10"/>
      <c r="K27" s="10"/>
      <c r="L27" s="10"/>
    </row>
    <row r="28" customFormat="false" ht="35.05" hidden="false" customHeight="false" outlineLevel="0" collapsed="false">
      <c r="A28" s="3" t="s">
        <v>653</v>
      </c>
      <c r="B28" s="3" t="s">
        <v>169</v>
      </c>
      <c r="C28" s="3" t="s">
        <v>171</v>
      </c>
      <c r="D28" s="3" t="s">
        <v>654</v>
      </c>
      <c r="E28" s="7" t="s">
        <v>539</v>
      </c>
      <c r="F28" s="3" t="s">
        <v>655</v>
      </c>
      <c r="G28" s="3" t="s">
        <v>656</v>
      </c>
      <c r="H28" s="3" t="s">
        <v>657</v>
      </c>
      <c r="I28" s="10"/>
      <c r="J28" s="10"/>
      <c r="K28" s="10"/>
      <c r="L28" s="10"/>
    </row>
    <row r="29" customFormat="false" ht="46.25" hidden="false" customHeight="false" outlineLevel="0" collapsed="false">
      <c r="A29" s="3" t="s">
        <v>658</v>
      </c>
      <c r="B29" s="3" t="s">
        <v>169</v>
      </c>
      <c r="C29" s="3" t="s">
        <v>171</v>
      </c>
      <c r="D29" s="3" t="s">
        <v>659</v>
      </c>
      <c r="E29" s="7" t="s">
        <v>539</v>
      </c>
      <c r="F29" s="3" t="s">
        <v>660</v>
      </c>
      <c r="G29" s="3" t="s">
        <v>661</v>
      </c>
      <c r="H29" s="3" t="s">
        <v>662</v>
      </c>
      <c r="I29" s="10"/>
      <c r="J29" s="10"/>
      <c r="K29" s="10"/>
      <c r="L29" s="10"/>
    </row>
    <row r="30" customFormat="false" ht="23.85" hidden="false" customHeight="false" outlineLevel="0" collapsed="false">
      <c r="A30" s="3" t="s">
        <v>663</v>
      </c>
      <c r="B30" s="3" t="s">
        <v>169</v>
      </c>
      <c r="C30" s="3" t="s">
        <v>171</v>
      </c>
      <c r="D30" s="3" t="s">
        <v>664</v>
      </c>
      <c r="E30" s="8" t="s">
        <v>533</v>
      </c>
      <c r="F30" s="3" t="s">
        <v>665</v>
      </c>
      <c r="G30" s="3" t="s">
        <v>666</v>
      </c>
      <c r="H30" s="3" t="s">
        <v>667</v>
      </c>
      <c r="I30" s="10"/>
      <c r="J30" s="10"/>
      <c r="K30" s="10"/>
      <c r="L30" s="10"/>
    </row>
    <row r="31" customFormat="false" ht="35.05" hidden="false" customHeight="false" outlineLevel="0" collapsed="false">
      <c r="A31" s="3" t="s">
        <v>668</v>
      </c>
      <c r="B31" s="3" t="s">
        <v>176</v>
      </c>
      <c r="C31" s="3" t="s">
        <v>178</v>
      </c>
      <c r="D31" s="3" t="s">
        <v>669</v>
      </c>
      <c r="E31" s="8" t="s">
        <v>533</v>
      </c>
      <c r="F31" s="3" t="s">
        <v>670</v>
      </c>
      <c r="G31" s="3" t="s">
        <v>671</v>
      </c>
      <c r="H31" s="3" t="s">
        <v>672</v>
      </c>
      <c r="I31" s="10"/>
      <c r="J31" s="10"/>
      <c r="K31" s="10"/>
      <c r="L31" s="10"/>
    </row>
    <row r="32" customFormat="false" ht="23.85" hidden="false" customHeight="false" outlineLevel="0" collapsed="false">
      <c r="A32" s="3" t="s">
        <v>673</v>
      </c>
      <c r="B32" s="3" t="s">
        <v>176</v>
      </c>
      <c r="C32" s="3" t="s">
        <v>178</v>
      </c>
      <c r="D32" s="3" t="s">
        <v>674</v>
      </c>
      <c r="E32" s="8" t="s">
        <v>533</v>
      </c>
      <c r="F32" s="3" t="s">
        <v>675</v>
      </c>
      <c r="G32" s="3" t="s">
        <v>676</v>
      </c>
      <c r="H32" s="3" t="s">
        <v>677</v>
      </c>
      <c r="I32" s="10"/>
      <c r="J32" s="10"/>
      <c r="K32" s="10"/>
      <c r="L32" s="10"/>
    </row>
    <row r="33" customFormat="false" ht="23.85" hidden="false" customHeight="false" outlineLevel="0" collapsed="false">
      <c r="A33" s="3" t="s">
        <v>678</v>
      </c>
      <c r="B33" s="3" t="s">
        <v>176</v>
      </c>
      <c r="C33" s="3" t="s">
        <v>178</v>
      </c>
      <c r="D33" s="3" t="s">
        <v>679</v>
      </c>
      <c r="E33" s="8" t="s">
        <v>533</v>
      </c>
      <c r="F33" s="3" t="s">
        <v>680</v>
      </c>
      <c r="G33" s="3" t="s">
        <v>681</v>
      </c>
      <c r="H33" s="3" t="s">
        <v>682</v>
      </c>
      <c r="I33" s="10"/>
      <c r="J33" s="10"/>
      <c r="K33" s="10"/>
      <c r="L33" s="10"/>
    </row>
    <row r="34" customFormat="false" ht="23.85" hidden="false" customHeight="false" outlineLevel="0" collapsed="false">
      <c r="A34" s="3" t="s">
        <v>683</v>
      </c>
      <c r="B34" s="3" t="s">
        <v>184</v>
      </c>
      <c r="C34" s="3" t="s">
        <v>186</v>
      </c>
      <c r="D34" s="3" t="s">
        <v>684</v>
      </c>
      <c r="E34" s="7" t="s">
        <v>539</v>
      </c>
      <c r="F34" s="3" t="s">
        <v>685</v>
      </c>
      <c r="G34" s="3" t="s">
        <v>686</v>
      </c>
      <c r="H34" s="3" t="s">
        <v>687</v>
      </c>
      <c r="I34" s="10"/>
      <c r="J34" s="10"/>
      <c r="K34" s="10"/>
      <c r="L34" s="10"/>
    </row>
    <row r="35" customFormat="false" ht="23.85" hidden="false" customHeight="false" outlineLevel="0" collapsed="false">
      <c r="A35" s="3" t="s">
        <v>688</v>
      </c>
      <c r="B35" s="3" t="s">
        <v>184</v>
      </c>
      <c r="C35" s="3" t="s">
        <v>186</v>
      </c>
      <c r="D35" s="3" t="s">
        <v>689</v>
      </c>
      <c r="E35" s="7" t="s">
        <v>539</v>
      </c>
      <c r="F35" s="3" t="s">
        <v>690</v>
      </c>
      <c r="G35" s="3" t="s">
        <v>691</v>
      </c>
      <c r="H35" s="3" t="s">
        <v>692</v>
      </c>
      <c r="I35" s="10"/>
      <c r="J35" s="10"/>
      <c r="K35" s="10"/>
      <c r="L35" s="10"/>
    </row>
    <row r="36" customFormat="false" ht="35.05" hidden="false" customHeight="false" outlineLevel="0" collapsed="false">
      <c r="A36" s="3" t="s">
        <v>693</v>
      </c>
      <c r="B36" s="3" t="s">
        <v>191</v>
      </c>
      <c r="C36" s="3" t="s">
        <v>193</v>
      </c>
      <c r="D36" s="3" t="s">
        <v>694</v>
      </c>
      <c r="E36" s="8" t="s">
        <v>533</v>
      </c>
      <c r="F36" s="3" t="s">
        <v>695</v>
      </c>
      <c r="G36" s="3" t="s">
        <v>696</v>
      </c>
      <c r="H36" s="3" t="s">
        <v>697</v>
      </c>
      <c r="I36" s="10"/>
      <c r="J36" s="10"/>
      <c r="K36" s="10"/>
      <c r="L36" s="10"/>
    </row>
    <row r="37" customFormat="false" ht="46.25" hidden="false" customHeight="false" outlineLevel="0" collapsed="false">
      <c r="A37" s="3" t="s">
        <v>698</v>
      </c>
      <c r="B37" s="3" t="s">
        <v>191</v>
      </c>
      <c r="C37" s="3" t="s">
        <v>193</v>
      </c>
      <c r="D37" s="3" t="s">
        <v>699</v>
      </c>
      <c r="E37" s="8" t="s">
        <v>533</v>
      </c>
      <c r="F37" s="3" t="s">
        <v>700</v>
      </c>
      <c r="G37" s="3" t="s">
        <v>701</v>
      </c>
      <c r="H37" s="3" t="s">
        <v>702</v>
      </c>
      <c r="I37" s="10"/>
      <c r="J37" s="10"/>
      <c r="K37" s="10"/>
      <c r="L37" s="10"/>
    </row>
    <row r="38" customFormat="false" ht="23.85" hidden="false" customHeight="false" outlineLevel="0" collapsed="false">
      <c r="A38" s="3" t="s">
        <v>703</v>
      </c>
      <c r="B38" s="3" t="s">
        <v>191</v>
      </c>
      <c r="C38" s="3" t="s">
        <v>193</v>
      </c>
      <c r="D38" s="3" t="s">
        <v>704</v>
      </c>
      <c r="E38" s="8" t="s">
        <v>533</v>
      </c>
      <c r="F38" s="3" t="s">
        <v>705</v>
      </c>
      <c r="G38" s="3" t="s">
        <v>706</v>
      </c>
      <c r="H38" s="3" t="s">
        <v>707</v>
      </c>
      <c r="I38" s="10"/>
      <c r="J38" s="10"/>
      <c r="K38" s="10"/>
      <c r="L38" s="10"/>
    </row>
    <row r="39" customFormat="false" ht="35.05" hidden="false" customHeight="false" outlineLevel="0" collapsed="false">
      <c r="A39" s="3" t="s">
        <v>708</v>
      </c>
      <c r="B39" s="3" t="s">
        <v>198</v>
      </c>
      <c r="C39" s="3" t="s">
        <v>200</v>
      </c>
      <c r="D39" s="3" t="s">
        <v>709</v>
      </c>
      <c r="E39" s="8" t="s">
        <v>533</v>
      </c>
      <c r="F39" s="3" t="s">
        <v>710</v>
      </c>
      <c r="G39" s="3" t="s">
        <v>711</v>
      </c>
      <c r="H39" s="3" t="s">
        <v>712</v>
      </c>
      <c r="I39" s="10"/>
      <c r="J39" s="10"/>
      <c r="K39" s="10"/>
      <c r="L39" s="10"/>
    </row>
    <row r="40" customFormat="false" ht="23.85" hidden="false" customHeight="false" outlineLevel="0" collapsed="false">
      <c r="A40" s="3" t="s">
        <v>713</v>
      </c>
      <c r="B40" s="3" t="s">
        <v>198</v>
      </c>
      <c r="C40" s="3" t="s">
        <v>200</v>
      </c>
      <c r="D40" s="3" t="s">
        <v>714</v>
      </c>
      <c r="E40" s="7" t="s">
        <v>539</v>
      </c>
      <c r="F40" s="3" t="s">
        <v>715</v>
      </c>
      <c r="G40" s="3" t="s">
        <v>716</v>
      </c>
      <c r="H40" s="3" t="s">
        <v>717</v>
      </c>
      <c r="I40" s="10"/>
      <c r="J40" s="10"/>
      <c r="K40" s="10"/>
      <c r="L40" s="10"/>
    </row>
    <row r="41" customFormat="false" ht="35.05" hidden="false" customHeight="false" outlineLevel="0" collapsed="false">
      <c r="A41" s="3" t="s">
        <v>718</v>
      </c>
      <c r="B41" s="3" t="s">
        <v>205</v>
      </c>
      <c r="C41" s="3" t="s">
        <v>207</v>
      </c>
      <c r="D41" s="3" t="s">
        <v>719</v>
      </c>
      <c r="E41" s="8" t="s">
        <v>533</v>
      </c>
      <c r="F41" s="3" t="s">
        <v>720</v>
      </c>
      <c r="G41" s="3" t="s">
        <v>721</v>
      </c>
      <c r="H41" s="3" t="s">
        <v>722</v>
      </c>
      <c r="I41" s="10"/>
      <c r="J41" s="10"/>
      <c r="K41" s="10"/>
      <c r="L41" s="10"/>
    </row>
    <row r="42" customFormat="false" ht="23.85" hidden="false" customHeight="false" outlineLevel="0" collapsed="false">
      <c r="A42" s="3" t="s">
        <v>723</v>
      </c>
      <c r="B42" s="3" t="s">
        <v>205</v>
      </c>
      <c r="C42" s="3" t="s">
        <v>207</v>
      </c>
      <c r="D42" s="3" t="s">
        <v>724</v>
      </c>
      <c r="E42" s="8" t="s">
        <v>533</v>
      </c>
      <c r="F42" s="3" t="s">
        <v>725</v>
      </c>
      <c r="G42" s="3" t="s">
        <v>726</v>
      </c>
      <c r="H42" s="3" t="s">
        <v>727</v>
      </c>
      <c r="I42" s="10"/>
      <c r="J42" s="10"/>
      <c r="K42" s="10"/>
      <c r="L42" s="10"/>
    </row>
    <row r="43" customFormat="false" ht="23.85" hidden="false" customHeight="false" outlineLevel="0" collapsed="false">
      <c r="A43" s="3" t="s">
        <v>728</v>
      </c>
      <c r="B43" s="3" t="s">
        <v>212</v>
      </c>
      <c r="C43" s="3" t="s">
        <v>214</v>
      </c>
      <c r="D43" s="3" t="s">
        <v>729</v>
      </c>
      <c r="E43" s="8" t="s">
        <v>533</v>
      </c>
      <c r="F43" s="3" t="s">
        <v>730</v>
      </c>
      <c r="G43" s="3" t="s">
        <v>731</v>
      </c>
      <c r="H43" s="3" t="s">
        <v>732</v>
      </c>
      <c r="I43" s="10"/>
      <c r="J43" s="10"/>
      <c r="K43" s="10"/>
      <c r="L43" s="10"/>
    </row>
    <row r="44" customFormat="false" ht="23.85" hidden="false" customHeight="false" outlineLevel="0" collapsed="false">
      <c r="A44" s="3" t="s">
        <v>733</v>
      </c>
      <c r="B44" s="3" t="s">
        <v>219</v>
      </c>
      <c r="C44" s="3" t="s">
        <v>214</v>
      </c>
      <c r="D44" s="3" t="s">
        <v>734</v>
      </c>
      <c r="E44" s="8" t="s">
        <v>533</v>
      </c>
      <c r="F44" s="3" t="s">
        <v>735</v>
      </c>
      <c r="G44" s="3" t="s">
        <v>736</v>
      </c>
      <c r="H44" s="3" t="s">
        <v>737</v>
      </c>
      <c r="I44" s="10"/>
      <c r="J44" s="10"/>
      <c r="K44" s="10"/>
      <c r="L44" s="10"/>
    </row>
    <row r="45" customFormat="false" ht="35.05" hidden="false" customHeight="false" outlineLevel="0" collapsed="false">
      <c r="A45" s="3" t="s">
        <v>738</v>
      </c>
      <c r="B45" s="3" t="s">
        <v>226</v>
      </c>
      <c r="C45" s="3" t="s">
        <v>228</v>
      </c>
      <c r="D45" s="3" t="s">
        <v>739</v>
      </c>
      <c r="E45" s="7" t="s">
        <v>539</v>
      </c>
      <c r="F45" s="3" t="s">
        <v>740</v>
      </c>
      <c r="G45" s="3" t="s">
        <v>741</v>
      </c>
      <c r="H45" s="3" t="s">
        <v>742</v>
      </c>
      <c r="I45" s="10"/>
      <c r="J45" s="10"/>
      <c r="K45" s="10"/>
      <c r="L45" s="10"/>
    </row>
    <row r="46" customFormat="false" ht="35.05" hidden="false" customHeight="false" outlineLevel="0" collapsed="false">
      <c r="A46" s="3" t="s">
        <v>743</v>
      </c>
      <c r="B46" s="3" t="s">
        <v>226</v>
      </c>
      <c r="C46" s="3" t="s">
        <v>228</v>
      </c>
      <c r="D46" s="3" t="s">
        <v>744</v>
      </c>
      <c r="E46" s="8" t="s">
        <v>533</v>
      </c>
      <c r="F46" s="3" t="s">
        <v>745</v>
      </c>
      <c r="G46" s="3" t="s">
        <v>746</v>
      </c>
      <c r="H46" s="3" t="s">
        <v>747</v>
      </c>
      <c r="I46" s="10"/>
      <c r="J46" s="10"/>
      <c r="K46" s="10"/>
      <c r="L46" s="10"/>
    </row>
    <row r="47" customFormat="false" ht="46.25" hidden="false" customHeight="false" outlineLevel="0" collapsed="false">
      <c r="A47" s="3" t="s">
        <v>748</v>
      </c>
      <c r="B47" s="3" t="s">
        <v>233</v>
      </c>
      <c r="C47" s="3" t="s">
        <v>235</v>
      </c>
      <c r="D47" s="3" t="s">
        <v>749</v>
      </c>
      <c r="E47" s="7" t="s">
        <v>539</v>
      </c>
      <c r="F47" s="3" t="s">
        <v>750</v>
      </c>
      <c r="G47" s="3" t="s">
        <v>751</v>
      </c>
      <c r="H47" s="3" t="s">
        <v>752</v>
      </c>
      <c r="I47" s="10"/>
      <c r="J47" s="10"/>
      <c r="K47" s="10"/>
      <c r="L47" s="10"/>
    </row>
    <row r="48" customFormat="false" ht="23.85" hidden="false" customHeight="false" outlineLevel="0" collapsed="false">
      <c r="A48" s="3" t="s">
        <v>753</v>
      </c>
      <c r="B48" s="3" t="s">
        <v>233</v>
      </c>
      <c r="C48" s="3" t="s">
        <v>235</v>
      </c>
      <c r="D48" s="3" t="s">
        <v>754</v>
      </c>
      <c r="E48" s="8" t="s">
        <v>533</v>
      </c>
      <c r="F48" s="3" t="s">
        <v>755</v>
      </c>
      <c r="G48" s="3" t="s">
        <v>756</v>
      </c>
      <c r="H48" s="3" t="s">
        <v>757</v>
      </c>
      <c r="I48" s="10"/>
      <c r="J48" s="10"/>
      <c r="K48" s="10"/>
      <c r="L48" s="10"/>
    </row>
    <row r="49" customFormat="false" ht="35.05" hidden="false" customHeight="false" outlineLevel="0" collapsed="false">
      <c r="A49" s="3" t="s">
        <v>758</v>
      </c>
      <c r="B49" s="3" t="s">
        <v>240</v>
      </c>
      <c r="C49" s="3" t="s">
        <v>242</v>
      </c>
      <c r="D49" s="3" t="s">
        <v>759</v>
      </c>
      <c r="E49" s="8" t="s">
        <v>533</v>
      </c>
      <c r="F49" s="3" t="s">
        <v>760</v>
      </c>
      <c r="G49" s="3" t="s">
        <v>761</v>
      </c>
      <c r="H49" s="3" t="s">
        <v>762</v>
      </c>
      <c r="I49" s="10"/>
      <c r="J49" s="10"/>
      <c r="K49" s="10"/>
      <c r="L49" s="10"/>
    </row>
    <row r="50" customFormat="false" ht="35.05" hidden="false" customHeight="false" outlineLevel="0" collapsed="false">
      <c r="A50" s="3" t="s">
        <v>763</v>
      </c>
      <c r="B50" s="3" t="s">
        <v>240</v>
      </c>
      <c r="C50" s="3" t="s">
        <v>242</v>
      </c>
      <c r="D50" s="3" t="s">
        <v>764</v>
      </c>
      <c r="E50" s="7" t="s">
        <v>539</v>
      </c>
      <c r="F50" s="3" t="s">
        <v>765</v>
      </c>
      <c r="G50" s="3" t="s">
        <v>766</v>
      </c>
      <c r="H50" s="3" t="s">
        <v>767</v>
      </c>
      <c r="I50" s="10"/>
      <c r="J50" s="10"/>
      <c r="K50" s="10"/>
      <c r="L50" s="10"/>
    </row>
    <row r="51" customFormat="false" ht="35.05" hidden="false" customHeight="false" outlineLevel="0" collapsed="false">
      <c r="A51" s="3" t="s">
        <v>768</v>
      </c>
      <c r="B51" s="3" t="s">
        <v>247</v>
      </c>
      <c r="C51" s="3" t="s">
        <v>249</v>
      </c>
      <c r="D51" s="3" t="s">
        <v>769</v>
      </c>
      <c r="E51" s="8" t="s">
        <v>533</v>
      </c>
      <c r="F51" s="3" t="s">
        <v>770</v>
      </c>
      <c r="G51" s="3" t="s">
        <v>771</v>
      </c>
      <c r="H51" s="3" t="s">
        <v>772</v>
      </c>
      <c r="I51" s="10"/>
      <c r="J51" s="10"/>
      <c r="K51" s="10"/>
      <c r="L51" s="10"/>
    </row>
    <row r="52" customFormat="false" ht="23.85" hidden="false" customHeight="false" outlineLevel="0" collapsed="false">
      <c r="A52" s="3" t="s">
        <v>773</v>
      </c>
      <c r="B52" s="3" t="s">
        <v>247</v>
      </c>
      <c r="C52" s="3" t="s">
        <v>249</v>
      </c>
      <c r="D52" s="3" t="s">
        <v>774</v>
      </c>
      <c r="E52" s="7" t="s">
        <v>539</v>
      </c>
      <c r="F52" s="3" t="s">
        <v>775</v>
      </c>
      <c r="G52" s="3" t="s">
        <v>776</v>
      </c>
      <c r="H52" s="3" t="s">
        <v>777</v>
      </c>
      <c r="I52" s="10"/>
      <c r="J52" s="10"/>
      <c r="K52" s="10"/>
      <c r="L52" s="10"/>
    </row>
    <row r="53" customFormat="false" ht="23.85" hidden="false" customHeight="false" outlineLevel="0" collapsed="false">
      <c r="A53" s="3" t="s">
        <v>778</v>
      </c>
      <c r="B53" s="3" t="s">
        <v>254</v>
      </c>
      <c r="C53" s="3" t="s">
        <v>256</v>
      </c>
      <c r="D53" s="3" t="s">
        <v>779</v>
      </c>
      <c r="E53" s="7" t="s">
        <v>539</v>
      </c>
      <c r="F53" s="3" t="s">
        <v>780</v>
      </c>
      <c r="G53" s="3" t="s">
        <v>781</v>
      </c>
      <c r="H53" s="3" t="s">
        <v>782</v>
      </c>
      <c r="I53" s="10"/>
      <c r="J53" s="10"/>
      <c r="K53" s="10"/>
      <c r="L53" s="10"/>
    </row>
    <row r="54" customFormat="false" ht="15" hidden="false" customHeight="false" outlineLevel="0" collapsed="false">
      <c r="A54" s="3" t="s">
        <v>783</v>
      </c>
      <c r="B54" s="3" t="s">
        <v>254</v>
      </c>
      <c r="C54" s="3" t="s">
        <v>256</v>
      </c>
      <c r="D54" s="3" t="s">
        <v>784</v>
      </c>
      <c r="E54" s="8" t="s">
        <v>533</v>
      </c>
      <c r="F54" s="3" t="s">
        <v>785</v>
      </c>
      <c r="G54" s="3" t="s">
        <v>786</v>
      </c>
      <c r="H54" s="3" t="s">
        <v>787</v>
      </c>
      <c r="I54" s="10"/>
      <c r="J54" s="10"/>
      <c r="K54" s="10"/>
      <c r="L54" s="10"/>
    </row>
    <row r="55" customFormat="false" ht="23.85" hidden="false" customHeight="false" outlineLevel="0" collapsed="false">
      <c r="A55" s="3" t="s">
        <v>788</v>
      </c>
      <c r="B55" s="3" t="s">
        <v>254</v>
      </c>
      <c r="C55" s="3" t="s">
        <v>256</v>
      </c>
      <c r="D55" s="3" t="s">
        <v>789</v>
      </c>
      <c r="E55" s="7" t="s">
        <v>539</v>
      </c>
      <c r="F55" s="3" t="s">
        <v>790</v>
      </c>
      <c r="G55" s="3" t="s">
        <v>791</v>
      </c>
      <c r="H55" s="3" t="s">
        <v>792</v>
      </c>
      <c r="I55" s="10"/>
      <c r="J55" s="10"/>
      <c r="K55" s="10"/>
      <c r="L55" s="10"/>
    </row>
    <row r="56" customFormat="false" ht="57.45" hidden="false" customHeight="false" outlineLevel="0" collapsed="false">
      <c r="A56" s="3" t="s">
        <v>793</v>
      </c>
      <c r="B56" s="3" t="s">
        <v>261</v>
      </c>
      <c r="C56" s="3" t="s">
        <v>263</v>
      </c>
      <c r="D56" s="3" t="s">
        <v>794</v>
      </c>
      <c r="E56" s="7" t="s">
        <v>539</v>
      </c>
      <c r="F56" s="3" t="s">
        <v>795</v>
      </c>
      <c r="G56" s="3" t="s">
        <v>796</v>
      </c>
      <c r="H56" s="3" t="s">
        <v>797</v>
      </c>
      <c r="I56" s="10"/>
      <c r="J56" s="10"/>
      <c r="K56" s="10"/>
      <c r="L56" s="10"/>
    </row>
    <row r="57" customFormat="false" ht="35.05" hidden="false" customHeight="false" outlineLevel="0" collapsed="false">
      <c r="A57" s="3" t="s">
        <v>798</v>
      </c>
      <c r="B57" s="3" t="s">
        <v>261</v>
      </c>
      <c r="C57" s="3" t="s">
        <v>263</v>
      </c>
      <c r="D57" s="3" t="s">
        <v>799</v>
      </c>
      <c r="E57" s="8" t="s">
        <v>533</v>
      </c>
      <c r="F57" s="3" t="s">
        <v>800</v>
      </c>
      <c r="G57" s="3" t="s">
        <v>801</v>
      </c>
      <c r="H57" s="3" t="s">
        <v>802</v>
      </c>
      <c r="I57" s="10"/>
      <c r="J57" s="10"/>
      <c r="K57" s="10"/>
      <c r="L57" s="10"/>
    </row>
    <row r="58" customFormat="false" ht="23.85" hidden="false" customHeight="false" outlineLevel="0" collapsed="false">
      <c r="A58" s="3" t="s">
        <v>803</v>
      </c>
      <c r="B58" s="3" t="s">
        <v>261</v>
      </c>
      <c r="C58" s="3" t="s">
        <v>263</v>
      </c>
      <c r="D58" s="3" t="s">
        <v>804</v>
      </c>
      <c r="E58" s="8" t="s">
        <v>533</v>
      </c>
      <c r="F58" s="3" t="s">
        <v>805</v>
      </c>
      <c r="G58" s="3" t="s">
        <v>806</v>
      </c>
      <c r="H58" s="3" t="s">
        <v>807</v>
      </c>
      <c r="I58" s="10"/>
      <c r="J58" s="10"/>
      <c r="K58" s="10"/>
      <c r="L58" s="10"/>
    </row>
    <row r="59" customFormat="false" ht="23.85" hidden="false" customHeight="false" outlineLevel="0" collapsed="false">
      <c r="A59" s="3" t="s">
        <v>808</v>
      </c>
      <c r="B59" s="3" t="s">
        <v>268</v>
      </c>
      <c r="C59" s="3" t="s">
        <v>270</v>
      </c>
      <c r="D59" s="3" t="s">
        <v>809</v>
      </c>
      <c r="E59" s="7" t="s">
        <v>539</v>
      </c>
      <c r="F59" s="3" t="s">
        <v>810</v>
      </c>
      <c r="G59" s="3" t="s">
        <v>811</v>
      </c>
      <c r="H59" s="3" t="s">
        <v>812</v>
      </c>
      <c r="I59" s="10"/>
      <c r="J59" s="10"/>
      <c r="K59" s="10"/>
      <c r="L59" s="10"/>
    </row>
    <row r="60" customFormat="false" ht="46.25" hidden="false" customHeight="false" outlineLevel="0" collapsed="false">
      <c r="A60" s="3" t="s">
        <v>813</v>
      </c>
      <c r="B60" s="3" t="s">
        <v>268</v>
      </c>
      <c r="C60" s="3" t="s">
        <v>270</v>
      </c>
      <c r="D60" s="3" t="s">
        <v>814</v>
      </c>
      <c r="E60" s="7" t="s">
        <v>539</v>
      </c>
      <c r="F60" s="3" t="s">
        <v>815</v>
      </c>
      <c r="G60" s="3" t="s">
        <v>816</v>
      </c>
      <c r="H60" s="3" t="s">
        <v>817</v>
      </c>
      <c r="I60" s="10"/>
      <c r="J60" s="10"/>
      <c r="K60" s="10"/>
      <c r="L60" s="10"/>
    </row>
    <row r="61" customFormat="false" ht="15" hidden="false" customHeight="false" outlineLevel="0" collapsed="false">
      <c r="A61" s="3" t="s">
        <v>818</v>
      </c>
      <c r="B61" s="3" t="s">
        <v>268</v>
      </c>
      <c r="C61" s="3" t="s">
        <v>270</v>
      </c>
      <c r="D61" s="3" t="s">
        <v>819</v>
      </c>
      <c r="E61" s="7" t="s">
        <v>539</v>
      </c>
      <c r="F61" s="3" t="s">
        <v>820</v>
      </c>
      <c r="G61" s="3" t="s">
        <v>821</v>
      </c>
      <c r="H61" s="3" t="s">
        <v>822</v>
      </c>
      <c r="I61" s="10"/>
      <c r="J61" s="10"/>
      <c r="K61" s="10"/>
      <c r="L61" s="10"/>
    </row>
    <row r="62" customFormat="false" ht="23.85" hidden="false" customHeight="false" outlineLevel="0" collapsed="false">
      <c r="A62" s="3" t="s">
        <v>823</v>
      </c>
      <c r="B62" s="3" t="s">
        <v>268</v>
      </c>
      <c r="C62" s="3" t="s">
        <v>270</v>
      </c>
      <c r="D62" s="3" t="s">
        <v>824</v>
      </c>
      <c r="E62" s="7" t="s">
        <v>539</v>
      </c>
      <c r="F62" s="3" t="s">
        <v>825</v>
      </c>
      <c r="G62" s="3" t="s">
        <v>826</v>
      </c>
      <c r="H62" s="3" t="s">
        <v>827</v>
      </c>
      <c r="I62" s="10"/>
      <c r="J62" s="10"/>
      <c r="K62" s="10"/>
      <c r="L62" s="10"/>
    </row>
    <row r="63" customFormat="false" ht="23.85" hidden="false" customHeight="false" outlineLevel="0" collapsed="false">
      <c r="A63" s="3" t="s">
        <v>828</v>
      </c>
      <c r="B63" s="3" t="s">
        <v>275</v>
      </c>
      <c r="C63" s="3" t="s">
        <v>277</v>
      </c>
      <c r="D63" s="3" t="s">
        <v>829</v>
      </c>
      <c r="E63" s="8" t="s">
        <v>533</v>
      </c>
      <c r="F63" s="3" t="s">
        <v>830</v>
      </c>
      <c r="G63" s="3" t="s">
        <v>831</v>
      </c>
      <c r="H63" s="3" t="s">
        <v>832</v>
      </c>
      <c r="I63" s="10"/>
      <c r="J63" s="10"/>
      <c r="K63" s="10"/>
      <c r="L63" s="10"/>
    </row>
    <row r="64" customFormat="false" ht="35.05" hidden="false" customHeight="false" outlineLevel="0" collapsed="false">
      <c r="A64" s="3" t="s">
        <v>833</v>
      </c>
      <c r="B64" s="3" t="s">
        <v>275</v>
      </c>
      <c r="C64" s="3" t="s">
        <v>277</v>
      </c>
      <c r="D64" s="3" t="s">
        <v>834</v>
      </c>
      <c r="E64" s="8" t="s">
        <v>533</v>
      </c>
      <c r="F64" s="3" t="s">
        <v>835</v>
      </c>
      <c r="G64" s="3" t="s">
        <v>836</v>
      </c>
      <c r="H64" s="3" t="s">
        <v>837</v>
      </c>
      <c r="I64" s="10"/>
      <c r="J64" s="10"/>
      <c r="K64" s="10"/>
      <c r="L64" s="10"/>
    </row>
    <row r="65" customFormat="false" ht="23.85" hidden="false" customHeight="false" outlineLevel="0" collapsed="false">
      <c r="A65" s="3" t="s">
        <v>838</v>
      </c>
      <c r="B65" s="3" t="s">
        <v>275</v>
      </c>
      <c r="C65" s="3" t="s">
        <v>277</v>
      </c>
      <c r="D65" s="3" t="s">
        <v>839</v>
      </c>
      <c r="E65" s="7" t="s">
        <v>539</v>
      </c>
      <c r="F65" s="3" t="s">
        <v>840</v>
      </c>
      <c r="G65" s="3" t="s">
        <v>841</v>
      </c>
      <c r="H65" s="3" t="s">
        <v>842</v>
      </c>
      <c r="I65" s="10"/>
      <c r="J65" s="10"/>
      <c r="K65" s="10"/>
      <c r="L65" s="10"/>
    </row>
    <row r="66" customFormat="false" ht="23.85" hidden="false" customHeight="false" outlineLevel="0" collapsed="false">
      <c r="A66" s="3" t="s">
        <v>843</v>
      </c>
      <c r="B66" s="3" t="s">
        <v>282</v>
      </c>
      <c r="C66" s="3" t="s">
        <v>284</v>
      </c>
      <c r="D66" s="3" t="s">
        <v>844</v>
      </c>
      <c r="E66" s="8" t="s">
        <v>533</v>
      </c>
      <c r="F66" s="3" t="s">
        <v>845</v>
      </c>
      <c r="G66" s="3" t="s">
        <v>846</v>
      </c>
      <c r="H66" s="3" t="s">
        <v>847</v>
      </c>
      <c r="I66" s="10"/>
      <c r="J66" s="10"/>
      <c r="K66" s="10"/>
      <c r="L66" s="10"/>
    </row>
    <row r="67" customFormat="false" ht="23.85" hidden="false" customHeight="false" outlineLevel="0" collapsed="false">
      <c r="A67" s="3" t="s">
        <v>848</v>
      </c>
      <c r="B67" s="3" t="s">
        <v>282</v>
      </c>
      <c r="C67" s="3" t="s">
        <v>284</v>
      </c>
      <c r="D67" s="3" t="s">
        <v>849</v>
      </c>
      <c r="E67" s="8" t="s">
        <v>533</v>
      </c>
      <c r="F67" s="3" t="s">
        <v>850</v>
      </c>
      <c r="G67" s="3" t="s">
        <v>851</v>
      </c>
      <c r="H67" s="3" t="s">
        <v>852</v>
      </c>
      <c r="I67" s="10"/>
      <c r="J67" s="10"/>
      <c r="K67" s="10"/>
      <c r="L67" s="10"/>
    </row>
    <row r="68" customFormat="false" ht="15" hidden="false" customHeight="false" outlineLevel="0" collapsed="false">
      <c r="A68" s="3" t="s">
        <v>853</v>
      </c>
      <c r="B68" s="3" t="s">
        <v>289</v>
      </c>
      <c r="C68" s="3" t="s">
        <v>291</v>
      </c>
      <c r="D68" s="3" t="s">
        <v>854</v>
      </c>
      <c r="E68" s="8" t="s">
        <v>533</v>
      </c>
      <c r="F68" s="3" t="s">
        <v>855</v>
      </c>
      <c r="G68" s="3" t="s">
        <v>856</v>
      </c>
      <c r="H68" s="3" t="s">
        <v>857</v>
      </c>
      <c r="I68" s="10"/>
      <c r="J68" s="10"/>
      <c r="K68" s="10"/>
      <c r="L68" s="10"/>
    </row>
    <row r="69" customFormat="false" ht="23.85" hidden="false" customHeight="false" outlineLevel="0" collapsed="false">
      <c r="A69" s="3" t="s">
        <v>858</v>
      </c>
      <c r="B69" s="3" t="s">
        <v>297</v>
      </c>
      <c r="C69" s="3" t="s">
        <v>299</v>
      </c>
      <c r="D69" s="3" t="s">
        <v>859</v>
      </c>
      <c r="E69" s="8" t="s">
        <v>533</v>
      </c>
      <c r="F69" s="3" t="s">
        <v>860</v>
      </c>
      <c r="G69" s="3" t="s">
        <v>861</v>
      </c>
      <c r="H69" s="3" t="s">
        <v>862</v>
      </c>
      <c r="I69" s="10"/>
      <c r="J69" s="10"/>
      <c r="K69" s="10"/>
      <c r="L69" s="10"/>
    </row>
    <row r="70" customFormat="false" ht="23.85" hidden="false" customHeight="false" outlineLevel="0" collapsed="false">
      <c r="A70" s="3" t="s">
        <v>863</v>
      </c>
      <c r="B70" s="3" t="s">
        <v>297</v>
      </c>
      <c r="C70" s="3" t="s">
        <v>299</v>
      </c>
      <c r="D70" s="3" t="s">
        <v>864</v>
      </c>
      <c r="E70" s="7" t="s">
        <v>539</v>
      </c>
      <c r="F70" s="3" t="s">
        <v>865</v>
      </c>
      <c r="G70" s="3" t="s">
        <v>866</v>
      </c>
      <c r="H70" s="3" t="s">
        <v>867</v>
      </c>
      <c r="I70" s="10"/>
      <c r="J70" s="10"/>
      <c r="K70" s="10"/>
      <c r="L70" s="10"/>
    </row>
    <row r="71" customFormat="false" ht="35.05" hidden="false" customHeight="false" outlineLevel="0" collapsed="false">
      <c r="A71" s="3" t="s">
        <v>868</v>
      </c>
      <c r="B71" s="3" t="s">
        <v>304</v>
      </c>
      <c r="C71" s="3" t="s">
        <v>306</v>
      </c>
      <c r="D71" s="3" t="s">
        <v>869</v>
      </c>
      <c r="E71" s="7" t="s">
        <v>539</v>
      </c>
      <c r="F71" s="3" t="s">
        <v>870</v>
      </c>
      <c r="G71" s="3" t="s">
        <v>871</v>
      </c>
      <c r="H71" s="3" t="s">
        <v>872</v>
      </c>
      <c r="I71" s="10"/>
      <c r="J71" s="10"/>
      <c r="K71" s="10"/>
      <c r="L71" s="10"/>
    </row>
    <row r="72" customFormat="false" ht="35.05" hidden="false" customHeight="false" outlineLevel="0" collapsed="false">
      <c r="A72" s="3" t="s">
        <v>873</v>
      </c>
      <c r="B72" s="3" t="s">
        <v>304</v>
      </c>
      <c r="C72" s="3" t="s">
        <v>306</v>
      </c>
      <c r="D72" s="3" t="s">
        <v>874</v>
      </c>
      <c r="E72" s="8" t="s">
        <v>533</v>
      </c>
      <c r="F72" s="3" t="s">
        <v>875</v>
      </c>
      <c r="G72" s="3" t="s">
        <v>876</v>
      </c>
      <c r="H72" s="3" t="s">
        <v>877</v>
      </c>
      <c r="I72" s="10"/>
      <c r="J72" s="10"/>
      <c r="K72" s="10"/>
      <c r="L72" s="10"/>
    </row>
    <row r="73" customFormat="false" ht="23.85" hidden="false" customHeight="false" outlineLevel="0" collapsed="false">
      <c r="A73" s="3" t="s">
        <v>878</v>
      </c>
      <c r="B73" s="3" t="s">
        <v>311</v>
      </c>
      <c r="C73" s="3" t="s">
        <v>313</v>
      </c>
      <c r="D73" s="3" t="s">
        <v>879</v>
      </c>
      <c r="E73" s="8" t="s">
        <v>533</v>
      </c>
      <c r="F73" s="3" t="s">
        <v>880</v>
      </c>
      <c r="G73" s="3" t="s">
        <v>881</v>
      </c>
      <c r="H73" s="3" t="s">
        <v>882</v>
      </c>
      <c r="I73" s="10"/>
      <c r="J73" s="10"/>
      <c r="K73" s="10"/>
      <c r="L73" s="10"/>
    </row>
    <row r="74" customFormat="false" ht="23.85" hidden="false" customHeight="false" outlineLevel="0" collapsed="false">
      <c r="A74" s="3" t="s">
        <v>883</v>
      </c>
      <c r="B74" s="3" t="s">
        <v>311</v>
      </c>
      <c r="C74" s="3" t="s">
        <v>313</v>
      </c>
      <c r="D74" s="3" t="s">
        <v>884</v>
      </c>
      <c r="E74" s="7" t="s">
        <v>539</v>
      </c>
      <c r="F74" s="3" t="s">
        <v>885</v>
      </c>
      <c r="G74" s="3" t="s">
        <v>886</v>
      </c>
      <c r="H74" s="3" t="s">
        <v>887</v>
      </c>
      <c r="I74" s="10"/>
      <c r="J74" s="10"/>
      <c r="K74" s="10"/>
      <c r="L74" s="10"/>
    </row>
    <row r="75" customFormat="false" ht="15" hidden="false" customHeight="false" outlineLevel="0" collapsed="false">
      <c r="A75" s="3" t="s">
        <v>888</v>
      </c>
      <c r="B75" s="3" t="s">
        <v>311</v>
      </c>
      <c r="C75" s="3" t="s">
        <v>313</v>
      </c>
      <c r="D75" s="3" t="s">
        <v>889</v>
      </c>
      <c r="E75" s="8" t="s">
        <v>533</v>
      </c>
      <c r="F75" s="3" t="s">
        <v>890</v>
      </c>
      <c r="G75" s="3" t="s">
        <v>891</v>
      </c>
      <c r="H75" s="3" t="s">
        <v>892</v>
      </c>
      <c r="I75" s="10"/>
      <c r="J75" s="10"/>
      <c r="K75" s="10"/>
      <c r="L75" s="10"/>
    </row>
    <row r="76" customFormat="false" ht="23.85" hidden="false" customHeight="false" outlineLevel="0" collapsed="false">
      <c r="A76" s="3" t="s">
        <v>893</v>
      </c>
      <c r="B76" s="3" t="s">
        <v>318</v>
      </c>
      <c r="C76" s="3" t="s">
        <v>320</v>
      </c>
      <c r="D76" s="3" t="s">
        <v>894</v>
      </c>
      <c r="E76" s="7" t="s">
        <v>539</v>
      </c>
      <c r="F76" s="3" t="s">
        <v>895</v>
      </c>
      <c r="G76" s="3" t="s">
        <v>896</v>
      </c>
      <c r="H76" s="3" t="s">
        <v>897</v>
      </c>
      <c r="I76" s="10"/>
      <c r="J76" s="10"/>
      <c r="K76" s="10"/>
      <c r="L76" s="10"/>
    </row>
    <row r="77" customFormat="false" ht="23.85" hidden="false" customHeight="false" outlineLevel="0" collapsed="false">
      <c r="A77" s="3" t="s">
        <v>898</v>
      </c>
      <c r="B77" s="3" t="s">
        <v>318</v>
      </c>
      <c r="C77" s="3" t="s">
        <v>320</v>
      </c>
      <c r="D77" s="3" t="s">
        <v>899</v>
      </c>
      <c r="E77" s="8" t="s">
        <v>533</v>
      </c>
      <c r="F77" s="3" t="s">
        <v>900</v>
      </c>
      <c r="G77" s="3" t="s">
        <v>901</v>
      </c>
      <c r="H77" s="3" t="s">
        <v>902</v>
      </c>
      <c r="I77" s="10"/>
      <c r="J77" s="10"/>
      <c r="K77" s="10"/>
      <c r="L77" s="10"/>
    </row>
    <row r="78" customFormat="false" ht="23.85" hidden="false" customHeight="false" outlineLevel="0" collapsed="false">
      <c r="A78" s="3" t="s">
        <v>903</v>
      </c>
      <c r="B78" s="3" t="s">
        <v>325</v>
      </c>
      <c r="C78" s="3" t="s">
        <v>327</v>
      </c>
      <c r="D78" s="3" t="s">
        <v>904</v>
      </c>
      <c r="E78" s="7" t="s">
        <v>539</v>
      </c>
      <c r="F78" s="3" t="s">
        <v>905</v>
      </c>
      <c r="G78" s="3" t="s">
        <v>906</v>
      </c>
      <c r="H78" s="3" t="s">
        <v>907</v>
      </c>
      <c r="I78" s="10"/>
      <c r="J78" s="10"/>
      <c r="K78" s="10"/>
      <c r="L78" s="10"/>
    </row>
    <row r="79" customFormat="false" ht="46.25" hidden="false" customHeight="false" outlineLevel="0" collapsed="false">
      <c r="A79" s="3" t="s">
        <v>908</v>
      </c>
      <c r="B79" s="3" t="s">
        <v>325</v>
      </c>
      <c r="C79" s="3" t="s">
        <v>327</v>
      </c>
      <c r="D79" s="3" t="s">
        <v>909</v>
      </c>
      <c r="E79" s="8" t="s">
        <v>533</v>
      </c>
      <c r="F79" s="3" t="s">
        <v>910</v>
      </c>
      <c r="G79" s="3" t="s">
        <v>911</v>
      </c>
      <c r="H79" s="3" t="s">
        <v>912</v>
      </c>
      <c r="I79" s="10"/>
      <c r="J79" s="10"/>
      <c r="K79" s="10"/>
      <c r="L79" s="10"/>
    </row>
    <row r="80" customFormat="false" ht="35.05" hidden="false" customHeight="false" outlineLevel="0" collapsed="false">
      <c r="A80" s="3" t="s">
        <v>913</v>
      </c>
      <c r="B80" s="3" t="s">
        <v>332</v>
      </c>
      <c r="C80" s="3" t="s">
        <v>334</v>
      </c>
      <c r="D80" s="3" t="s">
        <v>914</v>
      </c>
      <c r="E80" s="8" t="s">
        <v>533</v>
      </c>
      <c r="F80" s="3" t="s">
        <v>915</v>
      </c>
      <c r="G80" s="3" t="s">
        <v>916</v>
      </c>
      <c r="H80" s="3" t="s">
        <v>917</v>
      </c>
      <c r="I80" s="10"/>
      <c r="J80" s="10"/>
      <c r="K80" s="10"/>
      <c r="L80" s="10"/>
    </row>
    <row r="81" customFormat="false" ht="35.05" hidden="false" customHeight="false" outlineLevel="0" collapsed="false">
      <c r="A81" s="3" t="s">
        <v>918</v>
      </c>
      <c r="B81" s="3" t="s">
        <v>332</v>
      </c>
      <c r="C81" s="3" t="s">
        <v>334</v>
      </c>
      <c r="D81" s="3" t="s">
        <v>919</v>
      </c>
      <c r="E81" s="8" t="s">
        <v>533</v>
      </c>
      <c r="F81" s="3" t="s">
        <v>920</v>
      </c>
      <c r="G81" s="3" t="s">
        <v>921</v>
      </c>
      <c r="H81" s="3" t="s">
        <v>922</v>
      </c>
      <c r="I81" s="10"/>
      <c r="J81" s="10"/>
      <c r="K81" s="10"/>
      <c r="L81" s="10"/>
    </row>
    <row r="82" customFormat="false" ht="35.05" hidden="false" customHeight="false" outlineLevel="0" collapsed="false">
      <c r="A82" s="3" t="s">
        <v>923</v>
      </c>
      <c r="B82" s="3" t="s">
        <v>339</v>
      </c>
      <c r="C82" s="3" t="s">
        <v>341</v>
      </c>
      <c r="D82" s="3" t="s">
        <v>924</v>
      </c>
      <c r="E82" s="8" t="s">
        <v>533</v>
      </c>
      <c r="F82" s="3" t="s">
        <v>925</v>
      </c>
      <c r="G82" s="3" t="s">
        <v>926</v>
      </c>
      <c r="H82" s="3" t="s">
        <v>927</v>
      </c>
      <c r="I82" s="10"/>
      <c r="J82" s="10"/>
      <c r="K82" s="10"/>
      <c r="L82" s="10"/>
    </row>
    <row r="83" customFormat="false" ht="15" hidden="false" customHeight="false" outlineLevel="0" collapsed="false">
      <c r="A83" s="3" t="s">
        <v>928</v>
      </c>
      <c r="B83" s="3" t="s">
        <v>339</v>
      </c>
      <c r="C83" s="3" t="s">
        <v>341</v>
      </c>
      <c r="D83" s="3" t="s">
        <v>929</v>
      </c>
      <c r="E83" s="8" t="s">
        <v>533</v>
      </c>
      <c r="F83" s="3" t="s">
        <v>930</v>
      </c>
      <c r="G83" s="3" t="s">
        <v>931</v>
      </c>
      <c r="H83" s="3" t="s">
        <v>932</v>
      </c>
      <c r="I83" s="10"/>
      <c r="J83" s="10"/>
      <c r="K83" s="10"/>
      <c r="L83" s="10"/>
    </row>
    <row r="84" customFormat="false" ht="23.85" hidden="false" customHeight="false" outlineLevel="0" collapsed="false">
      <c r="A84" s="3" t="s">
        <v>933</v>
      </c>
      <c r="B84" s="3" t="s">
        <v>346</v>
      </c>
      <c r="C84" s="3" t="s">
        <v>348</v>
      </c>
      <c r="D84" s="3" t="s">
        <v>934</v>
      </c>
      <c r="E84" s="8" t="s">
        <v>533</v>
      </c>
      <c r="F84" s="3" t="s">
        <v>935</v>
      </c>
      <c r="G84" s="3" t="s">
        <v>936</v>
      </c>
      <c r="H84" s="3" t="s">
        <v>937</v>
      </c>
      <c r="I84" s="10"/>
      <c r="J84" s="10"/>
      <c r="K84" s="10"/>
      <c r="L84" s="10"/>
    </row>
    <row r="85" customFormat="false" ht="23.85" hidden="false" customHeight="false" outlineLevel="0" collapsed="false">
      <c r="A85" s="3" t="s">
        <v>938</v>
      </c>
      <c r="B85" s="3" t="s">
        <v>346</v>
      </c>
      <c r="C85" s="3" t="s">
        <v>348</v>
      </c>
      <c r="D85" s="3" t="s">
        <v>939</v>
      </c>
      <c r="E85" s="7" t="s">
        <v>539</v>
      </c>
      <c r="F85" s="3" t="s">
        <v>940</v>
      </c>
      <c r="G85" s="3" t="s">
        <v>941</v>
      </c>
      <c r="H85" s="3" t="s">
        <v>942</v>
      </c>
      <c r="I85" s="10"/>
      <c r="J85" s="10"/>
      <c r="K85" s="10"/>
      <c r="L85" s="10"/>
    </row>
    <row r="86" customFormat="false" ht="35.05" hidden="false" customHeight="false" outlineLevel="0" collapsed="false">
      <c r="A86" s="3" t="s">
        <v>943</v>
      </c>
      <c r="B86" s="3" t="s">
        <v>346</v>
      </c>
      <c r="C86" s="3" t="s">
        <v>348</v>
      </c>
      <c r="D86" s="3" t="s">
        <v>944</v>
      </c>
      <c r="E86" s="8" t="s">
        <v>533</v>
      </c>
      <c r="F86" s="3" t="s">
        <v>945</v>
      </c>
      <c r="G86" s="3" t="s">
        <v>946</v>
      </c>
      <c r="H86" s="3" t="s">
        <v>947</v>
      </c>
      <c r="I86" s="10"/>
      <c r="J86" s="10"/>
      <c r="K86" s="10"/>
      <c r="L86" s="10"/>
    </row>
    <row r="87" customFormat="false" ht="23.85" hidden="false" customHeight="false" outlineLevel="0" collapsed="false">
      <c r="A87" s="3" t="s">
        <v>948</v>
      </c>
      <c r="B87" s="3" t="s">
        <v>353</v>
      </c>
      <c r="C87" s="3" t="s">
        <v>355</v>
      </c>
      <c r="D87" s="3" t="s">
        <v>949</v>
      </c>
      <c r="E87" s="8" t="s">
        <v>533</v>
      </c>
      <c r="F87" s="3" t="s">
        <v>950</v>
      </c>
      <c r="G87" s="3" t="s">
        <v>951</v>
      </c>
      <c r="H87" s="3" t="s">
        <v>952</v>
      </c>
      <c r="I87" s="10"/>
      <c r="J87" s="10"/>
      <c r="K87" s="10"/>
      <c r="L87" s="10"/>
    </row>
    <row r="88" customFormat="false" ht="23.85" hidden="false" customHeight="false" outlineLevel="0" collapsed="false">
      <c r="A88" s="3" t="s">
        <v>953</v>
      </c>
      <c r="B88" s="3" t="s">
        <v>360</v>
      </c>
      <c r="C88" s="3" t="s">
        <v>362</v>
      </c>
      <c r="D88" s="3" t="s">
        <v>954</v>
      </c>
      <c r="E88" s="8" t="s">
        <v>533</v>
      </c>
      <c r="F88" s="3" t="s">
        <v>955</v>
      </c>
      <c r="G88" s="3" t="s">
        <v>956</v>
      </c>
      <c r="H88" s="3" t="s">
        <v>957</v>
      </c>
      <c r="I88" s="10"/>
      <c r="J88" s="10"/>
      <c r="K88" s="10"/>
      <c r="L88" s="10"/>
    </row>
    <row r="89" customFormat="false" ht="35.05" hidden="false" customHeight="false" outlineLevel="0" collapsed="false">
      <c r="A89" s="3" t="s">
        <v>958</v>
      </c>
      <c r="B89" s="3" t="s">
        <v>360</v>
      </c>
      <c r="C89" s="3" t="s">
        <v>362</v>
      </c>
      <c r="D89" s="3" t="s">
        <v>959</v>
      </c>
      <c r="E89" s="7" t="s">
        <v>539</v>
      </c>
      <c r="F89" s="3" t="s">
        <v>960</v>
      </c>
      <c r="G89" s="3" t="s">
        <v>961</v>
      </c>
      <c r="H89" s="3" t="s">
        <v>962</v>
      </c>
      <c r="I89" s="10"/>
      <c r="J89" s="10"/>
      <c r="K89" s="10"/>
      <c r="L89" s="10"/>
    </row>
    <row r="90" customFormat="false" ht="15" hidden="false" customHeight="false" outlineLevel="0" collapsed="false">
      <c r="A90" s="3" t="s">
        <v>963</v>
      </c>
      <c r="B90" s="3" t="s">
        <v>367</v>
      </c>
      <c r="C90" s="3" t="s">
        <v>369</v>
      </c>
      <c r="D90" s="3" t="s">
        <v>964</v>
      </c>
      <c r="E90" s="8" t="s">
        <v>533</v>
      </c>
      <c r="F90" s="3" t="s">
        <v>965</v>
      </c>
      <c r="G90" s="3" t="s">
        <v>966</v>
      </c>
      <c r="H90" s="3" t="s">
        <v>967</v>
      </c>
      <c r="I90" s="10"/>
      <c r="J90" s="10"/>
      <c r="K90" s="10"/>
      <c r="L90" s="10"/>
    </row>
    <row r="91" customFormat="false" ht="35.05" hidden="false" customHeight="false" outlineLevel="0" collapsed="false">
      <c r="A91" s="3" t="s">
        <v>968</v>
      </c>
      <c r="B91" s="3" t="s">
        <v>367</v>
      </c>
      <c r="C91" s="3" t="s">
        <v>369</v>
      </c>
      <c r="D91" s="3" t="s">
        <v>969</v>
      </c>
      <c r="E91" s="7" t="s">
        <v>539</v>
      </c>
      <c r="F91" s="3" t="s">
        <v>970</v>
      </c>
      <c r="G91" s="3" t="s">
        <v>971</v>
      </c>
      <c r="H91" s="3" t="s">
        <v>972</v>
      </c>
      <c r="I91" s="10"/>
      <c r="J91" s="10"/>
      <c r="K91" s="10"/>
      <c r="L91" s="10"/>
    </row>
    <row r="92" customFormat="false" ht="23.85" hidden="false" customHeight="false" outlineLevel="0" collapsed="false">
      <c r="A92" s="3" t="s">
        <v>973</v>
      </c>
      <c r="B92" s="3" t="s">
        <v>374</v>
      </c>
      <c r="C92" s="3" t="s">
        <v>376</v>
      </c>
      <c r="D92" s="3" t="s">
        <v>974</v>
      </c>
      <c r="E92" s="8" t="s">
        <v>533</v>
      </c>
      <c r="F92" s="3" t="s">
        <v>975</v>
      </c>
      <c r="G92" s="3" t="s">
        <v>976</v>
      </c>
      <c r="H92" s="3" t="s">
        <v>977</v>
      </c>
      <c r="I92" s="10"/>
      <c r="J92" s="10"/>
      <c r="K92" s="10"/>
      <c r="L92" s="10"/>
    </row>
    <row r="93" customFormat="false" ht="23.85" hidden="false" customHeight="false" outlineLevel="0" collapsed="false">
      <c r="A93" s="3" t="s">
        <v>978</v>
      </c>
      <c r="B93" s="3" t="s">
        <v>381</v>
      </c>
      <c r="C93" s="3" t="s">
        <v>383</v>
      </c>
      <c r="D93" s="3" t="s">
        <v>979</v>
      </c>
      <c r="E93" s="7" t="s">
        <v>539</v>
      </c>
      <c r="F93" s="3" t="s">
        <v>980</v>
      </c>
      <c r="G93" s="3" t="s">
        <v>981</v>
      </c>
      <c r="H93" s="3" t="s">
        <v>982</v>
      </c>
      <c r="I93" s="10"/>
      <c r="J93" s="10"/>
      <c r="K93" s="10"/>
      <c r="L93" s="10"/>
    </row>
    <row r="94" customFormat="false" ht="23.85" hidden="false" customHeight="false" outlineLevel="0" collapsed="false">
      <c r="A94" s="3" t="s">
        <v>983</v>
      </c>
      <c r="B94" s="3" t="s">
        <v>381</v>
      </c>
      <c r="C94" s="3" t="s">
        <v>383</v>
      </c>
      <c r="D94" s="3" t="s">
        <v>984</v>
      </c>
      <c r="E94" s="8" t="s">
        <v>533</v>
      </c>
      <c r="F94" s="3" t="s">
        <v>985</v>
      </c>
      <c r="G94" s="3" t="s">
        <v>986</v>
      </c>
      <c r="H94" s="3" t="s">
        <v>987</v>
      </c>
      <c r="I94" s="10"/>
      <c r="J94" s="10"/>
      <c r="K94" s="10"/>
      <c r="L94" s="10"/>
    </row>
    <row r="95" customFormat="false" ht="23.85" hidden="false" customHeight="false" outlineLevel="0" collapsed="false">
      <c r="A95" s="3" t="s">
        <v>988</v>
      </c>
      <c r="B95" s="3" t="s">
        <v>388</v>
      </c>
      <c r="C95" s="3" t="s">
        <v>390</v>
      </c>
      <c r="D95" s="3" t="s">
        <v>989</v>
      </c>
      <c r="E95" s="8" t="s">
        <v>533</v>
      </c>
      <c r="F95" s="3" t="s">
        <v>990</v>
      </c>
      <c r="G95" s="3" t="s">
        <v>991</v>
      </c>
      <c r="H95" s="3" t="s">
        <v>992</v>
      </c>
      <c r="I95" s="10"/>
      <c r="J95" s="10"/>
      <c r="K95" s="10"/>
      <c r="L95" s="10"/>
    </row>
    <row r="96" customFormat="false" ht="15" hidden="false" customHeight="false" outlineLevel="0" collapsed="false">
      <c r="A96" s="3" t="s">
        <v>993</v>
      </c>
      <c r="B96" s="3" t="s">
        <v>395</v>
      </c>
      <c r="C96" s="3" t="s">
        <v>397</v>
      </c>
      <c r="D96" s="3" t="s">
        <v>994</v>
      </c>
      <c r="E96" s="8" t="s">
        <v>533</v>
      </c>
      <c r="F96" s="3" t="s">
        <v>995</v>
      </c>
      <c r="G96" s="3" t="s">
        <v>996</v>
      </c>
      <c r="H96" s="3" t="s">
        <v>997</v>
      </c>
      <c r="I96" s="10"/>
      <c r="J96" s="10"/>
      <c r="K96" s="10"/>
      <c r="L96" s="10"/>
    </row>
    <row r="97" customFormat="false" ht="23.85" hidden="false" customHeight="false" outlineLevel="0" collapsed="false">
      <c r="A97" s="3" t="s">
        <v>998</v>
      </c>
      <c r="B97" s="3" t="s">
        <v>402</v>
      </c>
      <c r="C97" s="3" t="s">
        <v>404</v>
      </c>
      <c r="D97" s="3" t="s">
        <v>999</v>
      </c>
      <c r="E97" s="8" t="s">
        <v>533</v>
      </c>
      <c r="F97" s="3" t="s">
        <v>1000</v>
      </c>
      <c r="G97" s="3" t="s">
        <v>1001</v>
      </c>
      <c r="H97" s="3" t="s">
        <v>1002</v>
      </c>
      <c r="I97" s="10"/>
      <c r="J97" s="10"/>
      <c r="K97" s="10"/>
      <c r="L97" s="10"/>
    </row>
    <row r="98" customFormat="false" ht="35.05" hidden="false" customHeight="false" outlineLevel="0" collapsed="false">
      <c r="A98" s="3" t="s">
        <v>1003</v>
      </c>
      <c r="B98" s="3" t="s">
        <v>402</v>
      </c>
      <c r="C98" s="3" t="s">
        <v>404</v>
      </c>
      <c r="D98" s="3" t="s">
        <v>1004</v>
      </c>
      <c r="E98" s="7" t="s">
        <v>539</v>
      </c>
      <c r="F98" s="3" t="s">
        <v>1005</v>
      </c>
      <c r="G98" s="3" t="s">
        <v>1006</v>
      </c>
      <c r="H98" s="3" t="s">
        <v>1007</v>
      </c>
      <c r="I98" s="10"/>
      <c r="J98" s="10"/>
      <c r="K98" s="10"/>
      <c r="L98" s="10"/>
    </row>
    <row r="99" customFormat="false" ht="46.25" hidden="false" customHeight="false" outlineLevel="0" collapsed="false">
      <c r="A99" s="3" t="s">
        <v>1008</v>
      </c>
      <c r="B99" s="3" t="s">
        <v>402</v>
      </c>
      <c r="C99" s="3" t="s">
        <v>404</v>
      </c>
      <c r="D99" s="3" t="s">
        <v>1009</v>
      </c>
      <c r="E99" s="7" t="s">
        <v>539</v>
      </c>
      <c r="F99" s="3" t="s">
        <v>1010</v>
      </c>
      <c r="G99" s="3" t="s">
        <v>1011</v>
      </c>
      <c r="H99" s="3" t="s">
        <v>1012</v>
      </c>
      <c r="I99" s="10"/>
      <c r="J99" s="10"/>
      <c r="K99" s="10"/>
      <c r="L99" s="10"/>
    </row>
    <row r="100" customFormat="false" ht="23.85" hidden="false" customHeight="false" outlineLevel="0" collapsed="false">
      <c r="A100" s="3" t="s">
        <v>1013</v>
      </c>
      <c r="B100" s="3" t="s">
        <v>402</v>
      </c>
      <c r="C100" s="3" t="s">
        <v>404</v>
      </c>
      <c r="D100" s="3" t="s">
        <v>1014</v>
      </c>
      <c r="E100" s="8" t="s">
        <v>533</v>
      </c>
      <c r="F100" s="3" t="s">
        <v>1015</v>
      </c>
      <c r="G100" s="3" t="s">
        <v>1016</v>
      </c>
      <c r="H100" s="3" t="s">
        <v>1017</v>
      </c>
      <c r="I100" s="10"/>
      <c r="J100" s="10"/>
      <c r="K100" s="10"/>
      <c r="L100" s="10"/>
    </row>
    <row r="101" customFormat="false" ht="46.25" hidden="false" customHeight="false" outlineLevel="0" collapsed="false">
      <c r="A101" s="3" t="s">
        <v>1018</v>
      </c>
      <c r="B101" s="3" t="s">
        <v>402</v>
      </c>
      <c r="C101" s="3" t="s">
        <v>404</v>
      </c>
      <c r="D101" s="3" t="s">
        <v>1019</v>
      </c>
      <c r="E101" s="7" t="s">
        <v>539</v>
      </c>
      <c r="F101" s="3" t="s">
        <v>1020</v>
      </c>
      <c r="G101" s="3" t="s">
        <v>1021</v>
      </c>
      <c r="H101" s="3" t="s">
        <v>1022</v>
      </c>
      <c r="I101" s="10"/>
      <c r="J101" s="10"/>
      <c r="K101" s="10"/>
      <c r="L101" s="10"/>
    </row>
    <row r="102" customFormat="false" ht="35.05" hidden="false" customHeight="false" outlineLevel="0" collapsed="false">
      <c r="A102" s="3" t="s">
        <v>1023</v>
      </c>
      <c r="B102" s="3" t="s">
        <v>402</v>
      </c>
      <c r="C102" s="3" t="s">
        <v>404</v>
      </c>
      <c r="D102" s="3" t="s">
        <v>1024</v>
      </c>
      <c r="E102" s="7" t="s">
        <v>539</v>
      </c>
      <c r="F102" s="3" t="s">
        <v>1025</v>
      </c>
      <c r="G102" s="3" t="s">
        <v>1026</v>
      </c>
      <c r="H102" s="3" t="s">
        <v>1027</v>
      </c>
      <c r="I102" s="10"/>
      <c r="J102" s="10"/>
      <c r="K102" s="10"/>
      <c r="L102" s="10"/>
    </row>
    <row r="103" customFormat="false" ht="23.85" hidden="false" customHeight="false" outlineLevel="0" collapsed="false">
      <c r="A103" s="3" t="s">
        <v>1028</v>
      </c>
      <c r="B103" s="3" t="s">
        <v>402</v>
      </c>
      <c r="C103" s="3" t="s">
        <v>404</v>
      </c>
      <c r="D103" s="3" t="s">
        <v>1029</v>
      </c>
      <c r="E103" s="7" t="s">
        <v>539</v>
      </c>
      <c r="F103" s="3" t="s">
        <v>1030</v>
      </c>
      <c r="G103" s="3" t="s">
        <v>1031</v>
      </c>
      <c r="H103" s="3" t="s">
        <v>1032</v>
      </c>
      <c r="I103" s="10"/>
      <c r="J103" s="10"/>
      <c r="K103" s="10"/>
      <c r="L103" s="10"/>
    </row>
    <row r="104" customFormat="false" ht="23.85" hidden="false" customHeight="false" outlineLevel="0" collapsed="false">
      <c r="A104" s="3" t="s">
        <v>1033</v>
      </c>
      <c r="B104" s="3" t="s">
        <v>402</v>
      </c>
      <c r="C104" s="3" t="s">
        <v>404</v>
      </c>
      <c r="D104" s="3" t="s">
        <v>1034</v>
      </c>
      <c r="E104" s="8" t="s">
        <v>533</v>
      </c>
      <c r="F104" s="3" t="s">
        <v>1035</v>
      </c>
      <c r="G104" s="3" t="s">
        <v>1036</v>
      </c>
      <c r="H104" s="3" t="s">
        <v>1037</v>
      </c>
      <c r="I104" s="10"/>
      <c r="J104" s="10"/>
      <c r="K104" s="10"/>
      <c r="L104" s="10"/>
    </row>
    <row r="105" customFormat="false" ht="15" hidden="false" customHeight="false" outlineLevel="0" collapsed="false">
      <c r="A105" s="3" t="s">
        <v>1038</v>
      </c>
      <c r="B105" s="3" t="s">
        <v>410</v>
      </c>
      <c r="C105" s="3" t="s">
        <v>412</v>
      </c>
      <c r="D105" s="3" t="s">
        <v>1039</v>
      </c>
      <c r="E105" s="7" t="s">
        <v>539</v>
      </c>
      <c r="F105" s="3" t="s">
        <v>1040</v>
      </c>
      <c r="G105" s="3" t="s">
        <v>1041</v>
      </c>
      <c r="H105" s="3" t="s">
        <v>1042</v>
      </c>
      <c r="I105" s="10"/>
      <c r="J105" s="10"/>
      <c r="K105" s="10"/>
      <c r="L105" s="10"/>
    </row>
    <row r="106" customFormat="false" ht="15" hidden="false" customHeight="false" outlineLevel="0" collapsed="false">
      <c r="A106" s="3" t="s">
        <v>1043</v>
      </c>
      <c r="B106" s="3" t="s">
        <v>410</v>
      </c>
      <c r="C106" s="3" t="s">
        <v>412</v>
      </c>
      <c r="D106" s="3" t="s">
        <v>1044</v>
      </c>
      <c r="E106" s="7" t="s">
        <v>539</v>
      </c>
      <c r="F106" s="3" t="s">
        <v>1045</v>
      </c>
      <c r="G106" s="3" t="s">
        <v>1046</v>
      </c>
      <c r="H106" s="3" t="s">
        <v>1047</v>
      </c>
      <c r="I106" s="10"/>
      <c r="J106" s="10"/>
      <c r="K106" s="10"/>
      <c r="L106" s="10"/>
    </row>
    <row r="107" customFormat="false" ht="23.85" hidden="false" customHeight="false" outlineLevel="0" collapsed="false">
      <c r="A107" s="3" t="s">
        <v>1048</v>
      </c>
      <c r="B107" s="3" t="s">
        <v>410</v>
      </c>
      <c r="C107" s="3" t="s">
        <v>412</v>
      </c>
      <c r="D107" s="3" t="s">
        <v>1049</v>
      </c>
      <c r="E107" s="8" t="s">
        <v>533</v>
      </c>
      <c r="F107" s="3" t="s">
        <v>1050</v>
      </c>
      <c r="G107" s="3" t="s">
        <v>1051</v>
      </c>
      <c r="H107" s="3" t="s">
        <v>1052</v>
      </c>
      <c r="I107" s="10"/>
      <c r="J107" s="10"/>
      <c r="K107" s="10"/>
      <c r="L107" s="10"/>
    </row>
    <row r="108" customFormat="false" ht="23.85" hidden="false" customHeight="false" outlineLevel="0" collapsed="false">
      <c r="A108" s="3" t="s">
        <v>1053</v>
      </c>
      <c r="B108" s="3" t="s">
        <v>410</v>
      </c>
      <c r="C108" s="3" t="s">
        <v>412</v>
      </c>
      <c r="D108" s="3" t="s">
        <v>1054</v>
      </c>
      <c r="E108" s="7" t="s">
        <v>539</v>
      </c>
      <c r="F108" s="3" t="s">
        <v>1055</v>
      </c>
      <c r="G108" s="3" t="s">
        <v>1056</v>
      </c>
      <c r="H108" s="3" t="s">
        <v>1057</v>
      </c>
      <c r="I108" s="10"/>
      <c r="J108" s="10"/>
      <c r="K108" s="10"/>
      <c r="L108" s="10"/>
    </row>
    <row r="109" customFormat="false" ht="46.25" hidden="false" customHeight="false" outlineLevel="0" collapsed="false">
      <c r="A109" s="3" t="s">
        <v>1058</v>
      </c>
      <c r="B109" s="3" t="s">
        <v>417</v>
      </c>
      <c r="C109" s="3" t="s">
        <v>419</v>
      </c>
      <c r="D109" s="3" t="s">
        <v>1059</v>
      </c>
      <c r="E109" s="7" t="s">
        <v>539</v>
      </c>
      <c r="F109" s="3" t="s">
        <v>1060</v>
      </c>
      <c r="G109" s="3" t="s">
        <v>1061</v>
      </c>
      <c r="H109" s="3" t="s">
        <v>1062</v>
      </c>
      <c r="I109" s="10"/>
      <c r="J109" s="10"/>
      <c r="K109" s="10"/>
      <c r="L109" s="10"/>
    </row>
    <row r="110" customFormat="false" ht="23.85" hidden="false" customHeight="false" outlineLevel="0" collapsed="false">
      <c r="A110" s="3" t="s">
        <v>1063</v>
      </c>
      <c r="B110" s="3" t="s">
        <v>417</v>
      </c>
      <c r="C110" s="3" t="s">
        <v>419</v>
      </c>
      <c r="D110" s="3" t="s">
        <v>1064</v>
      </c>
      <c r="E110" s="7" t="s">
        <v>539</v>
      </c>
      <c r="F110" s="3" t="s">
        <v>1065</v>
      </c>
      <c r="G110" s="3" t="s">
        <v>1066</v>
      </c>
      <c r="H110" s="3" t="s">
        <v>1067</v>
      </c>
      <c r="I110" s="10"/>
      <c r="J110" s="10"/>
      <c r="K110" s="10"/>
      <c r="L110" s="10"/>
    </row>
    <row r="111" customFormat="false" ht="35.05" hidden="false" customHeight="false" outlineLevel="0" collapsed="false">
      <c r="A111" s="3" t="s">
        <v>1068</v>
      </c>
      <c r="B111" s="3" t="s">
        <v>417</v>
      </c>
      <c r="C111" s="3" t="s">
        <v>419</v>
      </c>
      <c r="D111" s="3" t="s">
        <v>1069</v>
      </c>
      <c r="E111" s="8" t="s">
        <v>533</v>
      </c>
      <c r="F111" s="3" t="s">
        <v>1070</v>
      </c>
      <c r="G111" s="3" t="s">
        <v>1071</v>
      </c>
      <c r="H111" s="3" t="s">
        <v>1072</v>
      </c>
      <c r="I111" s="10"/>
      <c r="J111" s="10"/>
      <c r="K111" s="10"/>
      <c r="L111" s="10"/>
    </row>
    <row r="112" customFormat="false" ht="35.05" hidden="false" customHeight="false" outlineLevel="0" collapsed="false">
      <c r="A112" s="3" t="s">
        <v>1073</v>
      </c>
      <c r="B112" s="3" t="s">
        <v>417</v>
      </c>
      <c r="C112" s="3" t="s">
        <v>419</v>
      </c>
      <c r="D112" s="3" t="s">
        <v>1074</v>
      </c>
      <c r="E112" s="7" t="s">
        <v>539</v>
      </c>
      <c r="F112" s="3" t="s">
        <v>1075</v>
      </c>
      <c r="G112" s="3" t="s">
        <v>1076</v>
      </c>
      <c r="H112" s="3" t="s">
        <v>1077</v>
      </c>
      <c r="I112" s="10"/>
      <c r="J112" s="10"/>
      <c r="K112" s="10"/>
      <c r="L112" s="10"/>
    </row>
    <row r="113" customFormat="false" ht="35.05" hidden="false" customHeight="false" outlineLevel="0" collapsed="false">
      <c r="A113" s="3" t="s">
        <v>1078</v>
      </c>
      <c r="B113" s="3" t="s">
        <v>417</v>
      </c>
      <c r="C113" s="3" t="s">
        <v>419</v>
      </c>
      <c r="D113" s="3" t="s">
        <v>1079</v>
      </c>
      <c r="E113" s="8" t="s">
        <v>533</v>
      </c>
      <c r="F113" s="3" t="s">
        <v>1080</v>
      </c>
      <c r="G113" s="3" t="s">
        <v>1081</v>
      </c>
      <c r="H113" s="3" t="s">
        <v>1082</v>
      </c>
      <c r="I113" s="10"/>
      <c r="J113" s="10"/>
      <c r="K113" s="10"/>
      <c r="L113" s="10"/>
    </row>
    <row r="114" customFormat="false" ht="46.25" hidden="false" customHeight="false" outlineLevel="0" collapsed="false">
      <c r="A114" s="3" t="s">
        <v>1083</v>
      </c>
      <c r="B114" s="3" t="s">
        <v>417</v>
      </c>
      <c r="C114" s="3" t="s">
        <v>419</v>
      </c>
      <c r="D114" s="3" t="s">
        <v>1084</v>
      </c>
      <c r="E114" s="7" t="s">
        <v>539</v>
      </c>
      <c r="F114" s="3" t="s">
        <v>1085</v>
      </c>
      <c r="G114" s="3" t="s">
        <v>1086</v>
      </c>
      <c r="H114" s="3" t="s">
        <v>1087</v>
      </c>
      <c r="I114" s="10"/>
      <c r="J114" s="10"/>
      <c r="K114" s="10"/>
      <c r="L114" s="10"/>
    </row>
    <row r="115" customFormat="false" ht="46.25" hidden="false" customHeight="false" outlineLevel="0" collapsed="false">
      <c r="A115" s="3" t="s">
        <v>1088</v>
      </c>
      <c r="B115" s="3" t="s">
        <v>417</v>
      </c>
      <c r="C115" s="3" t="s">
        <v>419</v>
      </c>
      <c r="D115" s="3" t="s">
        <v>1089</v>
      </c>
      <c r="E115" s="8" t="s">
        <v>533</v>
      </c>
      <c r="F115" s="3" t="s">
        <v>1090</v>
      </c>
      <c r="G115" s="3" t="s">
        <v>1091</v>
      </c>
      <c r="H115" s="3" t="s">
        <v>1092</v>
      </c>
      <c r="I115" s="10"/>
      <c r="J115" s="10"/>
      <c r="K115" s="10"/>
      <c r="L115" s="10"/>
    </row>
    <row r="116" customFormat="false" ht="46.25" hidden="false" customHeight="false" outlineLevel="0" collapsed="false">
      <c r="A116" s="3" t="s">
        <v>1093</v>
      </c>
      <c r="B116" s="3" t="s">
        <v>417</v>
      </c>
      <c r="C116" s="3" t="s">
        <v>419</v>
      </c>
      <c r="D116" s="3" t="s">
        <v>1094</v>
      </c>
      <c r="E116" s="8" t="s">
        <v>533</v>
      </c>
      <c r="F116" s="3" t="s">
        <v>1095</v>
      </c>
      <c r="G116" s="3" t="s">
        <v>1096</v>
      </c>
      <c r="H116" s="3" t="s">
        <v>1097</v>
      </c>
      <c r="I116" s="10"/>
      <c r="J116" s="10"/>
      <c r="K116" s="10"/>
      <c r="L116" s="10"/>
    </row>
    <row r="117" customFormat="false" ht="35.05" hidden="false" customHeight="false" outlineLevel="0" collapsed="false">
      <c r="A117" s="3" t="s">
        <v>1098</v>
      </c>
      <c r="B117" s="3" t="s">
        <v>417</v>
      </c>
      <c r="C117" s="3" t="s">
        <v>419</v>
      </c>
      <c r="D117" s="3" t="s">
        <v>1099</v>
      </c>
      <c r="E117" s="7" t="s">
        <v>539</v>
      </c>
      <c r="F117" s="3" t="s">
        <v>1100</v>
      </c>
      <c r="G117" s="3" t="s">
        <v>1101</v>
      </c>
      <c r="H117" s="3" t="s">
        <v>1102</v>
      </c>
      <c r="I117" s="10"/>
      <c r="J117" s="10"/>
      <c r="K117" s="10"/>
      <c r="L117" s="10"/>
    </row>
    <row r="118" customFormat="false" ht="23.85" hidden="false" customHeight="false" outlineLevel="0" collapsed="false">
      <c r="A118" s="3" t="s">
        <v>1103</v>
      </c>
      <c r="B118" s="3" t="s">
        <v>417</v>
      </c>
      <c r="C118" s="3" t="s">
        <v>419</v>
      </c>
      <c r="D118" s="3" t="s">
        <v>1104</v>
      </c>
      <c r="E118" s="7" t="s">
        <v>539</v>
      </c>
      <c r="F118" s="3" t="s">
        <v>1105</v>
      </c>
      <c r="G118" s="3" t="s">
        <v>1106</v>
      </c>
      <c r="H118" s="3" t="s">
        <v>1107</v>
      </c>
      <c r="I118" s="10"/>
      <c r="J118" s="10"/>
      <c r="K118" s="10"/>
      <c r="L118" s="10"/>
    </row>
    <row r="119" customFormat="false" ht="23.85" hidden="false" customHeight="false" outlineLevel="0" collapsed="false">
      <c r="A119" s="3" t="s">
        <v>1108</v>
      </c>
      <c r="B119" s="3" t="s">
        <v>417</v>
      </c>
      <c r="C119" s="3" t="s">
        <v>419</v>
      </c>
      <c r="D119" s="3" t="s">
        <v>1109</v>
      </c>
      <c r="E119" s="7" t="s">
        <v>539</v>
      </c>
      <c r="F119" s="3" t="s">
        <v>1110</v>
      </c>
      <c r="G119" s="3" t="s">
        <v>1111</v>
      </c>
      <c r="H119" s="3" t="s">
        <v>1112</v>
      </c>
      <c r="I119" s="10"/>
      <c r="J119" s="10"/>
      <c r="K119" s="10"/>
      <c r="L119" s="10"/>
    </row>
    <row r="120" customFormat="false" ht="15" hidden="false" customHeight="false" outlineLevel="0" collapsed="false">
      <c r="A120" s="3" t="s">
        <v>1113</v>
      </c>
      <c r="B120" s="3" t="s">
        <v>417</v>
      </c>
      <c r="C120" s="3" t="s">
        <v>419</v>
      </c>
      <c r="D120" s="3" t="s">
        <v>1114</v>
      </c>
      <c r="E120" s="7" t="s">
        <v>539</v>
      </c>
      <c r="F120" s="3" t="s">
        <v>1115</v>
      </c>
      <c r="G120" s="3" t="s">
        <v>1116</v>
      </c>
      <c r="H120" s="3" t="s">
        <v>1117</v>
      </c>
      <c r="I120" s="10"/>
      <c r="J120" s="10"/>
      <c r="K120" s="10"/>
      <c r="L120" s="10"/>
    </row>
    <row r="121" customFormat="false" ht="35.05" hidden="false" customHeight="false" outlineLevel="0" collapsed="false">
      <c r="A121" s="3" t="s">
        <v>1118</v>
      </c>
      <c r="B121" s="3" t="s">
        <v>417</v>
      </c>
      <c r="C121" s="3" t="s">
        <v>419</v>
      </c>
      <c r="D121" s="3" t="s">
        <v>1119</v>
      </c>
      <c r="E121" s="7" t="s">
        <v>539</v>
      </c>
      <c r="F121" s="3" t="s">
        <v>1120</v>
      </c>
      <c r="G121" s="3" t="s">
        <v>1121</v>
      </c>
      <c r="H121" s="3" t="s">
        <v>1122</v>
      </c>
      <c r="I121" s="10"/>
      <c r="J121" s="10"/>
      <c r="K121" s="10"/>
      <c r="L121" s="10"/>
    </row>
    <row r="122" customFormat="false" ht="35.05" hidden="false" customHeight="false" outlineLevel="0" collapsed="false">
      <c r="A122" s="3" t="s">
        <v>1123</v>
      </c>
      <c r="B122" s="3" t="s">
        <v>417</v>
      </c>
      <c r="C122" s="3" t="s">
        <v>419</v>
      </c>
      <c r="D122" s="3" t="s">
        <v>1124</v>
      </c>
      <c r="E122" s="8" t="s">
        <v>533</v>
      </c>
      <c r="F122" s="3" t="s">
        <v>1125</v>
      </c>
      <c r="G122" s="3" t="s">
        <v>1126</v>
      </c>
      <c r="H122" s="3" t="s">
        <v>1127</v>
      </c>
      <c r="I122" s="10"/>
      <c r="J122" s="10"/>
      <c r="K122" s="10"/>
      <c r="L122" s="10"/>
    </row>
    <row r="123" customFormat="false" ht="23.85" hidden="false" customHeight="false" outlineLevel="0" collapsed="false">
      <c r="A123" s="3" t="s">
        <v>1128</v>
      </c>
      <c r="B123" s="3" t="s">
        <v>417</v>
      </c>
      <c r="C123" s="3" t="s">
        <v>419</v>
      </c>
      <c r="D123" s="3" t="s">
        <v>1129</v>
      </c>
      <c r="E123" s="7" t="s">
        <v>539</v>
      </c>
      <c r="F123" s="3" t="s">
        <v>1130</v>
      </c>
      <c r="G123" s="3" t="s">
        <v>1131</v>
      </c>
      <c r="H123" s="3" t="s">
        <v>1132</v>
      </c>
      <c r="I123" s="10"/>
      <c r="J123" s="10"/>
      <c r="K123" s="10"/>
      <c r="L123" s="10"/>
    </row>
    <row r="124" customFormat="false" ht="23.85" hidden="false" customHeight="false" outlineLevel="0" collapsed="false">
      <c r="A124" s="3" t="s">
        <v>1133</v>
      </c>
      <c r="B124" s="3" t="s">
        <v>417</v>
      </c>
      <c r="C124" s="3" t="s">
        <v>419</v>
      </c>
      <c r="D124" s="3" t="s">
        <v>1134</v>
      </c>
      <c r="E124" s="7" t="s">
        <v>539</v>
      </c>
      <c r="F124" s="3" t="s">
        <v>1135</v>
      </c>
      <c r="G124" s="3" t="s">
        <v>1136</v>
      </c>
      <c r="H124" s="3" t="s">
        <v>1137</v>
      </c>
      <c r="I124" s="10"/>
      <c r="J124" s="10"/>
      <c r="K124" s="10"/>
      <c r="L124" s="10"/>
    </row>
    <row r="125" customFormat="false" ht="35.05" hidden="false" customHeight="false" outlineLevel="0" collapsed="false">
      <c r="A125" s="3" t="s">
        <v>1138</v>
      </c>
      <c r="B125" s="3" t="s">
        <v>417</v>
      </c>
      <c r="C125" s="3" t="s">
        <v>419</v>
      </c>
      <c r="D125" s="3" t="s">
        <v>1139</v>
      </c>
      <c r="E125" s="7" t="s">
        <v>539</v>
      </c>
      <c r="F125" s="3" t="s">
        <v>1140</v>
      </c>
      <c r="G125" s="3" t="s">
        <v>1141</v>
      </c>
      <c r="H125" s="3" t="s">
        <v>1142</v>
      </c>
      <c r="I125" s="10"/>
      <c r="J125" s="10"/>
      <c r="K125" s="10"/>
      <c r="L125" s="10"/>
    </row>
    <row r="126" customFormat="false" ht="23.85" hidden="false" customHeight="false" outlineLevel="0" collapsed="false">
      <c r="A126" s="3" t="s">
        <v>1143</v>
      </c>
      <c r="B126" s="3" t="s">
        <v>417</v>
      </c>
      <c r="C126" s="3" t="s">
        <v>419</v>
      </c>
      <c r="D126" s="3" t="s">
        <v>1144</v>
      </c>
      <c r="E126" s="8" t="s">
        <v>533</v>
      </c>
      <c r="F126" s="3" t="s">
        <v>1145</v>
      </c>
      <c r="G126" s="3" t="s">
        <v>1146</v>
      </c>
      <c r="H126" s="3" t="s">
        <v>1147</v>
      </c>
      <c r="I126" s="10"/>
      <c r="J126" s="10"/>
      <c r="K126" s="10"/>
      <c r="L126" s="10"/>
    </row>
    <row r="127" customFormat="false" ht="23.85" hidden="false" customHeight="false" outlineLevel="0" collapsed="false">
      <c r="A127" s="3" t="s">
        <v>1148</v>
      </c>
      <c r="B127" s="3" t="s">
        <v>417</v>
      </c>
      <c r="C127" s="3" t="s">
        <v>419</v>
      </c>
      <c r="D127" s="3" t="s">
        <v>1149</v>
      </c>
      <c r="E127" s="8" t="s">
        <v>533</v>
      </c>
      <c r="F127" s="3" t="s">
        <v>1150</v>
      </c>
      <c r="G127" s="3" t="s">
        <v>1151</v>
      </c>
      <c r="H127" s="3" t="s">
        <v>1152</v>
      </c>
      <c r="I127" s="10"/>
      <c r="J127" s="10"/>
      <c r="K127" s="10"/>
      <c r="L127" s="10"/>
    </row>
    <row r="128" customFormat="false" ht="23.85" hidden="false" customHeight="false" outlineLevel="0" collapsed="false">
      <c r="A128" s="3" t="s">
        <v>1153</v>
      </c>
      <c r="B128" s="3" t="s">
        <v>417</v>
      </c>
      <c r="C128" s="3" t="s">
        <v>419</v>
      </c>
      <c r="D128" s="3" t="s">
        <v>1154</v>
      </c>
      <c r="E128" s="8" t="s">
        <v>533</v>
      </c>
      <c r="F128" s="3" t="s">
        <v>1155</v>
      </c>
      <c r="G128" s="3" t="s">
        <v>1156</v>
      </c>
      <c r="H128" s="3" t="s">
        <v>1157</v>
      </c>
      <c r="I128" s="10"/>
      <c r="J128" s="10"/>
      <c r="K128" s="10"/>
      <c r="L128" s="10"/>
    </row>
    <row r="129" customFormat="false" ht="23.85" hidden="false" customHeight="false" outlineLevel="0" collapsed="false">
      <c r="A129" s="3" t="s">
        <v>1158</v>
      </c>
      <c r="B129" s="3" t="s">
        <v>417</v>
      </c>
      <c r="C129" s="3" t="s">
        <v>419</v>
      </c>
      <c r="D129" s="3" t="s">
        <v>1159</v>
      </c>
      <c r="E129" s="8" t="s">
        <v>533</v>
      </c>
      <c r="F129" s="3" t="s">
        <v>1160</v>
      </c>
      <c r="G129" s="3" t="s">
        <v>1161</v>
      </c>
      <c r="H129" s="3" t="s">
        <v>1162</v>
      </c>
      <c r="I129" s="10"/>
      <c r="J129" s="10"/>
      <c r="K129" s="10"/>
      <c r="L129" s="10"/>
    </row>
    <row r="130" customFormat="false" ht="15" hidden="false" customHeight="false" outlineLevel="0" collapsed="false">
      <c r="A130" s="3" t="s">
        <v>1163</v>
      </c>
      <c r="B130" s="3" t="s">
        <v>417</v>
      </c>
      <c r="C130" s="3" t="s">
        <v>419</v>
      </c>
      <c r="D130" s="3" t="s">
        <v>1164</v>
      </c>
      <c r="E130" s="8" t="s">
        <v>533</v>
      </c>
      <c r="F130" s="3" t="s">
        <v>1165</v>
      </c>
      <c r="G130" s="3" t="s">
        <v>1166</v>
      </c>
      <c r="H130" s="3" t="s">
        <v>1167</v>
      </c>
      <c r="I130" s="10"/>
      <c r="J130" s="10"/>
      <c r="K130" s="10"/>
      <c r="L130" s="10"/>
    </row>
    <row r="131" customFormat="false" ht="46.25" hidden="false" customHeight="false" outlineLevel="0" collapsed="false">
      <c r="A131" s="3" t="s">
        <v>1168</v>
      </c>
      <c r="B131" s="3" t="s">
        <v>417</v>
      </c>
      <c r="C131" s="3" t="s">
        <v>419</v>
      </c>
      <c r="D131" s="3" t="s">
        <v>1169</v>
      </c>
      <c r="E131" s="8" t="s">
        <v>533</v>
      </c>
      <c r="F131" s="3" t="s">
        <v>1170</v>
      </c>
      <c r="G131" s="3" t="s">
        <v>1171</v>
      </c>
      <c r="H131" s="3" t="s">
        <v>1172</v>
      </c>
      <c r="I131" s="10"/>
      <c r="J131" s="10"/>
      <c r="K131" s="10"/>
      <c r="L131" s="10"/>
    </row>
    <row r="132" customFormat="false" ht="23.85" hidden="false" customHeight="false" outlineLevel="0" collapsed="false">
      <c r="A132" s="3" t="s">
        <v>1173</v>
      </c>
      <c r="B132" s="3" t="s">
        <v>417</v>
      </c>
      <c r="C132" s="3" t="s">
        <v>419</v>
      </c>
      <c r="D132" s="3" t="s">
        <v>1174</v>
      </c>
      <c r="E132" s="7" t="s">
        <v>539</v>
      </c>
      <c r="F132" s="3" t="s">
        <v>1175</v>
      </c>
      <c r="G132" s="3" t="s">
        <v>1176</v>
      </c>
      <c r="H132" s="3" t="s">
        <v>1177</v>
      </c>
      <c r="I132" s="10"/>
      <c r="J132" s="10"/>
      <c r="K132" s="10"/>
      <c r="L132" s="10"/>
    </row>
  </sheetData>
  <autoFilter ref="A3:L132"/>
  <mergeCells count="1">
    <mergeCell ref="A1:L1"/>
  </mergeCells>
  <conditionalFormatting sqref="J4:J132">
    <cfRule type="cellIs" priority="2" operator="equal" aboveAverage="0" equalAverage="0" bottom="0" percent="0" rank="0" text="" dxfId="6">
      <formula>"Pass"</formula>
    </cfRule>
    <cfRule type="cellIs" priority="3" operator="equal" aboveAverage="0" equalAverage="0" bottom="0" percent="0" rank="0" text="" dxfId="7">
      <formula>"Fail"</formula>
    </cfRule>
    <cfRule type="cellIs" priority="4" operator="equal" aboveAverage="0" equalAverage="0" bottom="0" percent="0" rank="0" text="" dxfId="8">
      <formula>"Blocked"</formula>
    </cfRule>
  </conditionalFormatting>
  <dataValidations count="1">
    <dataValidation allowBlank="true" errorStyle="stop" operator="between" showDropDown="false" showErrorMessage="false" showInputMessage="false" sqref="J4:J132"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7" min="2" style="0" width="10"/>
    <col collapsed="false" customWidth="true" hidden="false" outlineLevel="0" max="8" min="8" style="0" width="12"/>
  </cols>
  <sheetData>
    <row r="1" customFormat="false" ht="17.35" hidden="false" customHeight="false" outlineLevel="0" collapsed="false">
      <c r="A1" s="1" t="s">
        <v>1178</v>
      </c>
      <c r="B1" s="1"/>
      <c r="C1" s="1"/>
      <c r="D1" s="1"/>
      <c r="E1" s="1"/>
      <c r="F1" s="1"/>
      <c r="G1" s="1"/>
      <c r="H1" s="1"/>
    </row>
    <row r="3" customFormat="false" ht="23.85" hidden="false" customHeight="false" outlineLevel="0" collapsed="false">
      <c r="A3" s="5" t="s">
        <v>106</v>
      </c>
      <c r="B3" s="5" t="s">
        <v>1179</v>
      </c>
      <c r="C3" s="5" t="s">
        <v>533</v>
      </c>
      <c r="D3" s="5" t="s">
        <v>539</v>
      </c>
      <c r="E3" s="5" t="s">
        <v>1180</v>
      </c>
      <c r="F3" s="5" t="s">
        <v>1181</v>
      </c>
      <c r="G3" s="5" t="s">
        <v>1182</v>
      </c>
      <c r="H3" s="5" t="s">
        <v>1183</v>
      </c>
    </row>
    <row r="4" customFormat="false" ht="15" hidden="false" customHeight="false" outlineLevel="0" collapsed="false">
      <c r="A4" s="11" t="s">
        <v>113</v>
      </c>
      <c r="B4" s="11" t="n">
        <f aca="false">COUNTIF(Manual_Test_Cases!$B$4:$B$132,A4)</f>
        <v>2</v>
      </c>
      <c r="C4" s="11" t="n">
        <f aca="false">COUNTIFS(Manual_Test_Cases!$B$4:$B$132,A4,Manual_Test_Cases!$E$4:$E$132,"Positive")</f>
        <v>1</v>
      </c>
      <c r="D4" s="11" t="n">
        <f aca="false">COUNTIFS(Manual_Test_Cases!$B$4:$B$132,A4,Manual_Test_Cases!$E$4:$E$132,"Negative")</f>
        <v>1</v>
      </c>
      <c r="E4" s="11" t="n">
        <f aca="false">COUNTIFS(Manual_Test_Cases!$B$4:$B$132,A4,Manual_Test_Cases!$J$4:$J$132,"Pass")</f>
        <v>0</v>
      </c>
      <c r="F4" s="12" t="n">
        <f aca="false">COUNTIFS(Manual_Test_Cases!$B$4:$B$132,A4,Manual_Test_Cases!$J$4:$J$132,"Fail")</f>
        <v>0</v>
      </c>
      <c r="G4" s="11" t="n">
        <f aca="false">COUNTIFS(Manual_Test_Cases!$B$4:$B$132,A4,Manual_Test_Cases!$J$4:$J$132,"Blocked")</f>
        <v>0</v>
      </c>
      <c r="H4" s="11" t="n">
        <f aca="false">B4-E4-F4-G4</f>
        <v>2</v>
      </c>
    </row>
    <row r="5" customFormat="false" ht="15" hidden="false" customHeight="false" outlineLevel="0" collapsed="false">
      <c r="A5" s="11" t="s">
        <v>121</v>
      </c>
      <c r="B5" s="11" t="n">
        <f aca="false">COUNTIF(Manual_Test_Cases!$B$4:$B$132,A5)</f>
        <v>2</v>
      </c>
      <c r="C5" s="11" t="n">
        <f aca="false">COUNTIFS(Manual_Test_Cases!$B$4:$B$132,A5,Manual_Test_Cases!$E$4:$E$132,"Positive")</f>
        <v>1</v>
      </c>
      <c r="D5" s="11" t="n">
        <f aca="false">COUNTIFS(Manual_Test_Cases!$B$4:$B$132,A5,Manual_Test_Cases!$E$4:$E$132,"Negative")</f>
        <v>1</v>
      </c>
      <c r="E5" s="11" t="n">
        <f aca="false">COUNTIFS(Manual_Test_Cases!$B$4:$B$132,A5,Manual_Test_Cases!$J$4:$J$132,"Pass")</f>
        <v>0</v>
      </c>
      <c r="F5" s="12" t="n">
        <f aca="false">COUNTIFS(Manual_Test_Cases!$B$4:$B$132,A5,Manual_Test_Cases!$J$4:$J$132,"Fail")</f>
        <v>0</v>
      </c>
      <c r="G5" s="11" t="n">
        <f aca="false">COUNTIFS(Manual_Test_Cases!$B$4:$B$132,A5,Manual_Test_Cases!$J$4:$J$132,"Blocked")</f>
        <v>0</v>
      </c>
      <c r="H5" s="11" t="n">
        <f aca="false">B5-E5-F5-G5</f>
        <v>2</v>
      </c>
    </row>
    <row r="6" customFormat="false" ht="15" hidden="false" customHeight="false" outlineLevel="0" collapsed="false">
      <c r="A6" s="11" t="s">
        <v>129</v>
      </c>
      <c r="B6" s="11" t="n">
        <f aca="false">COUNTIF(Manual_Test_Cases!$B$4:$B$132,A6)</f>
        <v>3</v>
      </c>
      <c r="C6" s="11" t="n">
        <f aca="false">COUNTIFS(Manual_Test_Cases!$B$4:$B$132,A6,Manual_Test_Cases!$E$4:$E$132,"Positive")</f>
        <v>1</v>
      </c>
      <c r="D6" s="11" t="n">
        <f aca="false">COUNTIFS(Manual_Test_Cases!$B$4:$B$132,A6,Manual_Test_Cases!$E$4:$E$132,"Negative")</f>
        <v>2</v>
      </c>
      <c r="E6" s="11" t="n">
        <f aca="false">COUNTIFS(Manual_Test_Cases!$B$4:$B$132,A6,Manual_Test_Cases!$J$4:$J$132,"Pass")</f>
        <v>0</v>
      </c>
      <c r="F6" s="12" t="n">
        <f aca="false">COUNTIFS(Manual_Test_Cases!$B$4:$B$132,A6,Manual_Test_Cases!$J$4:$J$132,"Fail")</f>
        <v>0</v>
      </c>
      <c r="G6" s="11" t="n">
        <f aca="false">COUNTIFS(Manual_Test_Cases!$B$4:$B$132,A6,Manual_Test_Cases!$J$4:$J$132,"Blocked")</f>
        <v>0</v>
      </c>
      <c r="H6" s="11" t="n">
        <f aca="false">B6-E6-F6-G6</f>
        <v>3</v>
      </c>
    </row>
    <row r="7" customFormat="false" ht="15" hidden="false" customHeight="false" outlineLevel="0" collapsed="false">
      <c r="A7" s="11" t="s">
        <v>137</v>
      </c>
      <c r="B7" s="11" t="n">
        <f aca="false">COUNTIF(Manual_Test_Cases!$B$4:$B$132,A7)</f>
        <v>4</v>
      </c>
      <c r="C7" s="11" t="n">
        <f aca="false">COUNTIFS(Manual_Test_Cases!$B$4:$B$132,A7,Manual_Test_Cases!$E$4:$E$132,"Positive")</f>
        <v>2</v>
      </c>
      <c r="D7" s="11" t="n">
        <f aca="false">COUNTIFS(Manual_Test_Cases!$B$4:$B$132,A7,Manual_Test_Cases!$E$4:$E$132,"Negative")</f>
        <v>2</v>
      </c>
      <c r="E7" s="11" t="n">
        <f aca="false">COUNTIFS(Manual_Test_Cases!$B$4:$B$132,A7,Manual_Test_Cases!$J$4:$J$132,"Pass")</f>
        <v>0</v>
      </c>
      <c r="F7" s="12" t="n">
        <f aca="false">COUNTIFS(Manual_Test_Cases!$B$4:$B$132,A7,Manual_Test_Cases!$J$4:$J$132,"Fail")</f>
        <v>0</v>
      </c>
      <c r="G7" s="11" t="n">
        <f aca="false">COUNTIFS(Manual_Test_Cases!$B$4:$B$132,A7,Manual_Test_Cases!$J$4:$J$132,"Blocked")</f>
        <v>0</v>
      </c>
      <c r="H7" s="11" t="n">
        <f aca="false">B7-E7-F7-G7</f>
        <v>4</v>
      </c>
    </row>
    <row r="8" customFormat="false" ht="15" hidden="false" customHeight="false" outlineLevel="0" collapsed="false">
      <c r="A8" s="11" t="s">
        <v>145</v>
      </c>
      <c r="B8" s="11" t="n">
        <f aca="false">COUNTIF(Manual_Test_Cases!$B$4:$B$132,A8)</f>
        <v>2</v>
      </c>
      <c r="C8" s="11" t="n">
        <f aca="false">COUNTIFS(Manual_Test_Cases!$B$4:$B$132,A8,Manual_Test_Cases!$E$4:$E$132,"Positive")</f>
        <v>2</v>
      </c>
      <c r="D8" s="11" t="n">
        <f aca="false">COUNTIFS(Manual_Test_Cases!$B$4:$B$132,A8,Manual_Test_Cases!$E$4:$E$132,"Negative")</f>
        <v>0</v>
      </c>
      <c r="E8" s="11" t="n">
        <f aca="false">COUNTIFS(Manual_Test_Cases!$B$4:$B$132,A8,Manual_Test_Cases!$J$4:$J$132,"Pass")</f>
        <v>0</v>
      </c>
      <c r="F8" s="12" t="n">
        <f aca="false">COUNTIFS(Manual_Test_Cases!$B$4:$B$132,A8,Manual_Test_Cases!$J$4:$J$132,"Fail")</f>
        <v>0</v>
      </c>
      <c r="G8" s="11" t="n">
        <f aca="false">COUNTIFS(Manual_Test_Cases!$B$4:$B$132,A8,Manual_Test_Cases!$J$4:$J$132,"Blocked")</f>
        <v>0</v>
      </c>
      <c r="H8" s="11" t="n">
        <f aca="false">B8-E8-F8-G8</f>
        <v>2</v>
      </c>
    </row>
    <row r="9" customFormat="false" ht="15" hidden="false" customHeight="false" outlineLevel="0" collapsed="false">
      <c r="A9" s="11" t="s">
        <v>153</v>
      </c>
      <c r="B9" s="11" t="n">
        <f aca="false">COUNTIF(Manual_Test_Cases!$B$4:$B$132,A9)</f>
        <v>3</v>
      </c>
      <c r="C9" s="11" t="n">
        <f aca="false">COUNTIFS(Manual_Test_Cases!$B$4:$B$132,A9,Manual_Test_Cases!$E$4:$E$132,"Positive")</f>
        <v>1</v>
      </c>
      <c r="D9" s="11" t="n">
        <f aca="false">COUNTIFS(Manual_Test_Cases!$B$4:$B$132,A9,Manual_Test_Cases!$E$4:$E$132,"Negative")</f>
        <v>2</v>
      </c>
      <c r="E9" s="11" t="n">
        <f aca="false">COUNTIFS(Manual_Test_Cases!$B$4:$B$132,A9,Manual_Test_Cases!$J$4:$J$132,"Pass")</f>
        <v>0</v>
      </c>
      <c r="F9" s="12" t="n">
        <f aca="false">COUNTIFS(Manual_Test_Cases!$B$4:$B$132,A9,Manual_Test_Cases!$J$4:$J$132,"Fail")</f>
        <v>0</v>
      </c>
      <c r="G9" s="11" t="n">
        <f aca="false">COUNTIFS(Manual_Test_Cases!$B$4:$B$132,A9,Manual_Test_Cases!$J$4:$J$132,"Blocked")</f>
        <v>0</v>
      </c>
      <c r="H9" s="11" t="n">
        <f aca="false">B9-E9-F9-G9</f>
        <v>3</v>
      </c>
    </row>
    <row r="10" customFormat="false" ht="15" hidden="false" customHeight="false" outlineLevel="0" collapsed="false">
      <c r="A10" s="11" t="s">
        <v>161</v>
      </c>
      <c r="B10" s="11" t="n">
        <f aca="false">COUNTIF(Manual_Test_Cases!$B$4:$B$132,A10)</f>
        <v>7</v>
      </c>
      <c r="C10" s="11" t="n">
        <f aca="false">COUNTIFS(Manual_Test_Cases!$B$4:$B$132,A10,Manual_Test_Cases!$E$4:$E$132,"Positive")</f>
        <v>4</v>
      </c>
      <c r="D10" s="11" t="n">
        <f aca="false">COUNTIFS(Manual_Test_Cases!$B$4:$B$132,A10,Manual_Test_Cases!$E$4:$E$132,"Negative")</f>
        <v>3</v>
      </c>
      <c r="E10" s="11" t="n">
        <f aca="false">COUNTIFS(Manual_Test_Cases!$B$4:$B$132,A10,Manual_Test_Cases!$J$4:$J$132,"Pass")</f>
        <v>0</v>
      </c>
      <c r="F10" s="12" t="n">
        <f aca="false">COUNTIFS(Manual_Test_Cases!$B$4:$B$132,A10,Manual_Test_Cases!$J$4:$J$132,"Fail")</f>
        <v>0</v>
      </c>
      <c r="G10" s="11" t="n">
        <f aca="false">COUNTIFS(Manual_Test_Cases!$B$4:$B$132,A10,Manual_Test_Cases!$J$4:$J$132,"Blocked")</f>
        <v>0</v>
      </c>
      <c r="H10" s="11" t="n">
        <f aca="false">B10-E10-F10-G10</f>
        <v>7</v>
      </c>
    </row>
    <row r="11" customFormat="false" ht="15" hidden="false" customHeight="false" outlineLevel="0" collapsed="false">
      <c r="A11" s="11" t="s">
        <v>169</v>
      </c>
      <c r="B11" s="11" t="n">
        <f aca="false">COUNTIF(Manual_Test_Cases!$B$4:$B$132,A11)</f>
        <v>4</v>
      </c>
      <c r="C11" s="11" t="n">
        <f aca="false">COUNTIFS(Manual_Test_Cases!$B$4:$B$132,A11,Manual_Test_Cases!$E$4:$E$132,"Positive")</f>
        <v>1</v>
      </c>
      <c r="D11" s="11" t="n">
        <f aca="false">COUNTIFS(Manual_Test_Cases!$B$4:$B$132,A11,Manual_Test_Cases!$E$4:$E$132,"Negative")</f>
        <v>3</v>
      </c>
      <c r="E11" s="11" t="n">
        <f aca="false">COUNTIFS(Manual_Test_Cases!$B$4:$B$132,A11,Manual_Test_Cases!$J$4:$J$132,"Pass")</f>
        <v>0</v>
      </c>
      <c r="F11" s="12" t="n">
        <f aca="false">COUNTIFS(Manual_Test_Cases!$B$4:$B$132,A11,Manual_Test_Cases!$J$4:$J$132,"Fail")</f>
        <v>0</v>
      </c>
      <c r="G11" s="11" t="n">
        <f aca="false">COUNTIFS(Manual_Test_Cases!$B$4:$B$132,A11,Manual_Test_Cases!$J$4:$J$132,"Blocked")</f>
        <v>0</v>
      </c>
      <c r="H11" s="11" t="n">
        <f aca="false">B11-E11-F11-G11</f>
        <v>4</v>
      </c>
    </row>
    <row r="12" customFormat="false" ht="15" hidden="false" customHeight="false" outlineLevel="0" collapsed="false">
      <c r="A12" s="11" t="s">
        <v>176</v>
      </c>
      <c r="B12" s="11" t="n">
        <f aca="false">COUNTIF(Manual_Test_Cases!$B$4:$B$132,A12)</f>
        <v>3</v>
      </c>
      <c r="C12" s="11" t="n">
        <f aca="false">COUNTIFS(Manual_Test_Cases!$B$4:$B$132,A12,Manual_Test_Cases!$E$4:$E$132,"Positive")</f>
        <v>3</v>
      </c>
      <c r="D12" s="11" t="n">
        <f aca="false">COUNTIFS(Manual_Test_Cases!$B$4:$B$132,A12,Manual_Test_Cases!$E$4:$E$132,"Negative")</f>
        <v>0</v>
      </c>
      <c r="E12" s="11" t="n">
        <f aca="false">COUNTIFS(Manual_Test_Cases!$B$4:$B$132,A12,Manual_Test_Cases!$J$4:$J$132,"Pass")</f>
        <v>0</v>
      </c>
      <c r="F12" s="12" t="n">
        <f aca="false">COUNTIFS(Manual_Test_Cases!$B$4:$B$132,A12,Manual_Test_Cases!$J$4:$J$132,"Fail")</f>
        <v>0</v>
      </c>
      <c r="G12" s="11" t="n">
        <f aca="false">COUNTIFS(Manual_Test_Cases!$B$4:$B$132,A12,Manual_Test_Cases!$J$4:$J$132,"Blocked")</f>
        <v>0</v>
      </c>
      <c r="H12" s="11" t="n">
        <f aca="false">B12-E12-F12-G12</f>
        <v>3</v>
      </c>
    </row>
    <row r="13" customFormat="false" ht="15" hidden="false" customHeight="false" outlineLevel="0" collapsed="false">
      <c r="A13" s="11" t="s">
        <v>184</v>
      </c>
      <c r="B13" s="11" t="n">
        <f aca="false">COUNTIF(Manual_Test_Cases!$B$4:$B$132,A13)</f>
        <v>2</v>
      </c>
      <c r="C13" s="11" t="n">
        <f aca="false">COUNTIFS(Manual_Test_Cases!$B$4:$B$132,A13,Manual_Test_Cases!$E$4:$E$132,"Positive")</f>
        <v>0</v>
      </c>
      <c r="D13" s="11" t="n">
        <f aca="false">COUNTIFS(Manual_Test_Cases!$B$4:$B$132,A13,Manual_Test_Cases!$E$4:$E$132,"Negative")</f>
        <v>2</v>
      </c>
      <c r="E13" s="11" t="n">
        <f aca="false">COUNTIFS(Manual_Test_Cases!$B$4:$B$132,A13,Manual_Test_Cases!$J$4:$J$132,"Pass")</f>
        <v>0</v>
      </c>
      <c r="F13" s="12" t="n">
        <f aca="false">COUNTIFS(Manual_Test_Cases!$B$4:$B$132,A13,Manual_Test_Cases!$J$4:$J$132,"Fail")</f>
        <v>0</v>
      </c>
      <c r="G13" s="11" t="n">
        <f aca="false">COUNTIFS(Manual_Test_Cases!$B$4:$B$132,A13,Manual_Test_Cases!$J$4:$J$132,"Blocked")</f>
        <v>0</v>
      </c>
      <c r="H13" s="11" t="n">
        <f aca="false">B13-E13-F13-G13</f>
        <v>2</v>
      </c>
    </row>
    <row r="14" customFormat="false" ht="15" hidden="false" customHeight="false" outlineLevel="0" collapsed="false">
      <c r="A14" s="11" t="s">
        <v>191</v>
      </c>
      <c r="B14" s="11" t="n">
        <f aca="false">COUNTIF(Manual_Test_Cases!$B$4:$B$132,A14)</f>
        <v>3</v>
      </c>
      <c r="C14" s="11" t="n">
        <f aca="false">COUNTIFS(Manual_Test_Cases!$B$4:$B$132,A14,Manual_Test_Cases!$E$4:$E$132,"Positive")</f>
        <v>3</v>
      </c>
      <c r="D14" s="11" t="n">
        <f aca="false">COUNTIFS(Manual_Test_Cases!$B$4:$B$132,A14,Manual_Test_Cases!$E$4:$E$132,"Negative")</f>
        <v>0</v>
      </c>
      <c r="E14" s="11" t="n">
        <f aca="false">COUNTIFS(Manual_Test_Cases!$B$4:$B$132,A14,Manual_Test_Cases!$J$4:$J$132,"Pass")</f>
        <v>0</v>
      </c>
      <c r="F14" s="12" t="n">
        <f aca="false">COUNTIFS(Manual_Test_Cases!$B$4:$B$132,A14,Manual_Test_Cases!$J$4:$J$132,"Fail")</f>
        <v>0</v>
      </c>
      <c r="G14" s="11" t="n">
        <f aca="false">COUNTIFS(Manual_Test_Cases!$B$4:$B$132,A14,Manual_Test_Cases!$J$4:$J$132,"Blocked")</f>
        <v>0</v>
      </c>
      <c r="H14" s="11" t="n">
        <f aca="false">B14-E14-F14-G14</f>
        <v>3</v>
      </c>
    </row>
    <row r="15" customFormat="false" ht="15" hidden="false" customHeight="false" outlineLevel="0" collapsed="false">
      <c r="A15" s="11" t="s">
        <v>198</v>
      </c>
      <c r="B15" s="11" t="n">
        <f aca="false">COUNTIF(Manual_Test_Cases!$B$4:$B$132,A15)</f>
        <v>2</v>
      </c>
      <c r="C15" s="11" t="n">
        <f aca="false">COUNTIFS(Manual_Test_Cases!$B$4:$B$132,A15,Manual_Test_Cases!$E$4:$E$132,"Positive")</f>
        <v>1</v>
      </c>
      <c r="D15" s="11" t="n">
        <f aca="false">COUNTIFS(Manual_Test_Cases!$B$4:$B$132,A15,Manual_Test_Cases!$E$4:$E$132,"Negative")</f>
        <v>1</v>
      </c>
      <c r="E15" s="11" t="n">
        <f aca="false">COUNTIFS(Manual_Test_Cases!$B$4:$B$132,A15,Manual_Test_Cases!$J$4:$J$132,"Pass")</f>
        <v>0</v>
      </c>
      <c r="F15" s="12" t="n">
        <f aca="false">COUNTIFS(Manual_Test_Cases!$B$4:$B$132,A15,Manual_Test_Cases!$J$4:$J$132,"Fail")</f>
        <v>0</v>
      </c>
      <c r="G15" s="11" t="n">
        <f aca="false">COUNTIFS(Manual_Test_Cases!$B$4:$B$132,A15,Manual_Test_Cases!$J$4:$J$132,"Blocked")</f>
        <v>0</v>
      </c>
      <c r="H15" s="11" t="n">
        <f aca="false">B15-E15-F15-G15</f>
        <v>2</v>
      </c>
    </row>
    <row r="16" customFormat="false" ht="15" hidden="false" customHeight="false" outlineLevel="0" collapsed="false">
      <c r="A16" s="11" t="s">
        <v>205</v>
      </c>
      <c r="B16" s="11" t="n">
        <f aca="false">COUNTIF(Manual_Test_Cases!$B$4:$B$132,A16)</f>
        <v>2</v>
      </c>
      <c r="C16" s="11" t="n">
        <f aca="false">COUNTIFS(Manual_Test_Cases!$B$4:$B$132,A16,Manual_Test_Cases!$E$4:$E$132,"Positive")</f>
        <v>2</v>
      </c>
      <c r="D16" s="11" t="n">
        <f aca="false">COUNTIFS(Manual_Test_Cases!$B$4:$B$132,A16,Manual_Test_Cases!$E$4:$E$132,"Negative")</f>
        <v>0</v>
      </c>
      <c r="E16" s="11" t="n">
        <f aca="false">COUNTIFS(Manual_Test_Cases!$B$4:$B$132,A16,Manual_Test_Cases!$J$4:$J$132,"Pass")</f>
        <v>0</v>
      </c>
      <c r="F16" s="12" t="n">
        <f aca="false">COUNTIFS(Manual_Test_Cases!$B$4:$B$132,A16,Manual_Test_Cases!$J$4:$J$132,"Fail")</f>
        <v>0</v>
      </c>
      <c r="G16" s="11" t="n">
        <f aca="false">COUNTIFS(Manual_Test_Cases!$B$4:$B$132,A16,Manual_Test_Cases!$J$4:$J$132,"Blocked")</f>
        <v>0</v>
      </c>
      <c r="H16" s="11" t="n">
        <f aca="false">B16-E16-F16-G16</f>
        <v>2</v>
      </c>
    </row>
    <row r="17" customFormat="false" ht="15" hidden="false" customHeight="false" outlineLevel="0" collapsed="false">
      <c r="A17" s="11" t="s">
        <v>212</v>
      </c>
      <c r="B17" s="11" t="n">
        <f aca="false">COUNTIF(Manual_Test_Cases!$B$4:$B$132,A17)</f>
        <v>1</v>
      </c>
      <c r="C17" s="11" t="n">
        <f aca="false">COUNTIFS(Manual_Test_Cases!$B$4:$B$132,A17,Manual_Test_Cases!$E$4:$E$132,"Positive")</f>
        <v>1</v>
      </c>
      <c r="D17" s="11" t="n">
        <f aca="false">COUNTIFS(Manual_Test_Cases!$B$4:$B$132,A17,Manual_Test_Cases!$E$4:$E$132,"Negative")</f>
        <v>0</v>
      </c>
      <c r="E17" s="11" t="n">
        <f aca="false">COUNTIFS(Manual_Test_Cases!$B$4:$B$132,A17,Manual_Test_Cases!$J$4:$J$132,"Pass")</f>
        <v>0</v>
      </c>
      <c r="F17" s="12" t="n">
        <f aca="false">COUNTIFS(Manual_Test_Cases!$B$4:$B$132,A17,Manual_Test_Cases!$J$4:$J$132,"Fail")</f>
        <v>0</v>
      </c>
      <c r="G17" s="11" t="n">
        <f aca="false">COUNTIFS(Manual_Test_Cases!$B$4:$B$132,A17,Manual_Test_Cases!$J$4:$J$132,"Blocked")</f>
        <v>0</v>
      </c>
      <c r="H17" s="11" t="n">
        <f aca="false">B17-E17-F17-G17</f>
        <v>1</v>
      </c>
    </row>
    <row r="18" customFormat="false" ht="15" hidden="false" customHeight="false" outlineLevel="0" collapsed="false">
      <c r="A18" s="11" t="s">
        <v>219</v>
      </c>
      <c r="B18" s="11" t="n">
        <f aca="false">COUNTIF(Manual_Test_Cases!$B$4:$B$132,A18)</f>
        <v>1</v>
      </c>
      <c r="C18" s="11" t="n">
        <f aca="false">COUNTIFS(Manual_Test_Cases!$B$4:$B$132,A18,Manual_Test_Cases!$E$4:$E$132,"Positive")</f>
        <v>1</v>
      </c>
      <c r="D18" s="11" t="n">
        <f aca="false">COUNTIFS(Manual_Test_Cases!$B$4:$B$132,A18,Manual_Test_Cases!$E$4:$E$132,"Negative")</f>
        <v>0</v>
      </c>
      <c r="E18" s="11" t="n">
        <f aca="false">COUNTIFS(Manual_Test_Cases!$B$4:$B$132,A18,Manual_Test_Cases!$J$4:$J$132,"Pass")</f>
        <v>0</v>
      </c>
      <c r="F18" s="12" t="n">
        <f aca="false">COUNTIFS(Manual_Test_Cases!$B$4:$B$132,A18,Manual_Test_Cases!$J$4:$J$132,"Fail")</f>
        <v>0</v>
      </c>
      <c r="G18" s="11" t="n">
        <f aca="false">COUNTIFS(Manual_Test_Cases!$B$4:$B$132,A18,Manual_Test_Cases!$J$4:$J$132,"Blocked")</f>
        <v>0</v>
      </c>
      <c r="H18" s="11" t="n">
        <f aca="false">B18-E18-F18-G18</f>
        <v>1</v>
      </c>
    </row>
    <row r="19" customFormat="false" ht="15" hidden="false" customHeight="false" outlineLevel="0" collapsed="false">
      <c r="A19" s="11" t="s">
        <v>226</v>
      </c>
      <c r="B19" s="11" t="n">
        <f aca="false">COUNTIF(Manual_Test_Cases!$B$4:$B$132,A19)</f>
        <v>2</v>
      </c>
      <c r="C19" s="11" t="n">
        <f aca="false">COUNTIFS(Manual_Test_Cases!$B$4:$B$132,A19,Manual_Test_Cases!$E$4:$E$132,"Positive")</f>
        <v>1</v>
      </c>
      <c r="D19" s="11" t="n">
        <f aca="false">COUNTIFS(Manual_Test_Cases!$B$4:$B$132,A19,Manual_Test_Cases!$E$4:$E$132,"Negative")</f>
        <v>1</v>
      </c>
      <c r="E19" s="11" t="n">
        <f aca="false">COUNTIFS(Manual_Test_Cases!$B$4:$B$132,A19,Manual_Test_Cases!$J$4:$J$132,"Pass")</f>
        <v>0</v>
      </c>
      <c r="F19" s="12" t="n">
        <f aca="false">COUNTIFS(Manual_Test_Cases!$B$4:$B$132,A19,Manual_Test_Cases!$J$4:$J$132,"Fail")</f>
        <v>0</v>
      </c>
      <c r="G19" s="11" t="n">
        <f aca="false">COUNTIFS(Manual_Test_Cases!$B$4:$B$132,A19,Manual_Test_Cases!$J$4:$J$132,"Blocked")</f>
        <v>0</v>
      </c>
      <c r="H19" s="11" t="n">
        <f aca="false">B19-E19-F19-G19</f>
        <v>2</v>
      </c>
    </row>
    <row r="20" customFormat="false" ht="15" hidden="false" customHeight="false" outlineLevel="0" collapsed="false">
      <c r="A20" s="11" t="s">
        <v>233</v>
      </c>
      <c r="B20" s="11" t="n">
        <f aca="false">COUNTIF(Manual_Test_Cases!$B$4:$B$132,A20)</f>
        <v>2</v>
      </c>
      <c r="C20" s="11" t="n">
        <f aca="false">COUNTIFS(Manual_Test_Cases!$B$4:$B$132,A20,Manual_Test_Cases!$E$4:$E$132,"Positive")</f>
        <v>1</v>
      </c>
      <c r="D20" s="11" t="n">
        <f aca="false">COUNTIFS(Manual_Test_Cases!$B$4:$B$132,A20,Manual_Test_Cases!$E$4:$E$132,"Negative")</f>
        <v>1</v>
      </c>
      <c r="E20" s="11" t="n">
        <f aca="false">COUNTIFS(Manual_Test_Cases!$B$4:$B$132,A20,Manual_Test_Cases!$J$4:$J$132,"Pass")</f>
        <v>0</v>
      </c>
      <c r="F20" s="12" t="n">
        <f aca="false">COUNTIFS(Manual_Test_Cases!$B$4:$B$132,A20,Manual_Test_Cases!$J$4:$J$132,"Fail")</f>
        <v>0</v>
      </c>
      <c r="G20" s="11" t="n">
        <f aca="false">COUNTIFS(Manual_Test_Cases!$B$4:$B$132,A20,Manual_Test_Cases!$J$4:$J$132,"Blocked")</f>
        <v>0</v>
      </c>
      <c r="H20" s="11" t="n">
        <f aca="false">B20-E20-F20-G20</f>
        <v>2</v>
      </c>
    </row>
    <row r="21" customFormat="false" ht="15" hidden="false" customHeight="false" outlineLevel="0" collapsed="false">
      <c r="A21" s="11" t="s">
        <v>240</v>
      </c>
      <c r="B21" s="11" t="n">
        <f aca="false">COUNTIF(Manual_Test_Cases!$B$4:$B$132,A21)</f>
        <v>2</v>
      </c>
      <c r="C21" s="11" t="n">
        <f aca="false">COUNTIFS(Manual_Test_Cases!$B$4:$B$132,A21,Manual_Test_Cases!$E$4:$E$132,"Positive")</f>
        <v>1</v>
      </c>
      <c r="D21" s="11" t="n">
        <f aca="false">COUNTIFS(Manual_Test_Cases!$B$4:$B$132,A21,Manual_Test_Cases!$E$4:$E$132,"Negative")</f>
        <v>1</v>
      </c>
      <c r="E21" s="11" t="n">
        <f aca="false">COUNTIFS(Manual_Test_Cases!$B$4:$B$132,A21,Manual_Test_Cases!$J$4:$J$132,"Pass")</f>
        <v>0</v>
      </c>
      <c r="F21" s="12" t="n">
        <f aca="false">COUNTIFS(Manual_Test_Cases!$B$4:$B$132,A21,Manual_Test_Cases!$J$4:$J$132,"Fail")</f>
        <v>0</v>
      </c>
      <c r="G21" s="11" t="n">
        <f aca="false">COUNTIFS(Manual_Test_Cases!$B$4:$B$132,A21,Manual_Test_Cases!$J$4:$J$132,"Blocked")</f>
        <v>0</v>
      </c>
      <c r="H21" s="11" t="n">
        <f aca="false">B21-E21-F21-G21</f>
        <v>2</v>
      </c>
    </row>
    <row r="22" customFormat="false" ht="15" hidden="false" customHeight="false" outlineLevel="0" collapsed="false">
      <c r="A22" s="11" t="s">
        <v>247</v>
      </c>
      <c r="B22" s="11" t="n">
        <f aca="false">COUNTIF(Manual_Test_Cases!$B$4:$B$132,A22)</f>
        <v>2</v>
      </c>
      <c r="C22" s="11" t="n">
        <f aca="false">COUNTIFS(Manual_Test_Cases!$B$4:$B$132,A22,Manual_Test_Cases!$E$4:$E$132,"Positive")</f>
        <v>1</v>
      </c>
      <c r="D22" s="11" t="n">
        <f aca="false">COUNTIFS(Manual_Test_Cases!$B$4:$B$132,A22,Manual_Test_Cases!$E$4:$E$132,"Negative")</f>
        <v>1</v>
      </c>
      <c r="E22" s="11" t="n">
        <f aca="false">COUNTIFS(Manual_Test_Cases!$B$4:$B$132,A22,Manual_Test_Cases!$J$4:$J$132,"Pass")</f>
        <v>0</v>
      </c>
      <c r="F22" s="12" t="n">
        <f aca="false">COUNTIFS(Manual_Test_Cases!$B$4:$B$132,A22,Manual_Test_Cases!$J$4:$J$132,"Fail")</f>
        <v>0</v>
      </c>
      <c r="G22" s="11" t="n">
        <f aca="false">COUNTIFS(Manual_Test_Cases!$B$4:$B$132,A22,Manual_Test_Cases!$J$4:$J$132,"Blocked")</f>
        <v>0</v>
      </c>
      <c r="H22" s="11" t="n">
        <f aca="false">B22-E22-F22-G22</f>
        <v>2</v>
      </c>
    </row>
    <row r="23" customFormat="false" ht="15" hidden="false" customHeight="false" outlineLevel="0" collapsed="false">
      <c r="A23" s="11" t="s">
        <v>254</v>
      </c>
      <c r="B23" s="11" t="n">
        <f aca="false">COUNTIF(Manual_Test_Cases!$B$4:$B$132,A23)</f>
        <v>3</v>
      </c>
      <c r="C23" s="11" t="n">
        <f aca="false">COUNTIFS(Manual_Test_Cases!$B$4:$B$132,A23,Manual_Test_Cases!$E$4:$E$132,"Positive")</f>
        <v>1</v>
      </c>
      <c r="D23" s="11" t="n">
        <f aca="false">COUNTIFS(Manual_Test_Cases!$B$4:$B$132,A23,Manual_Test_Cases!$E$4:$E$132,"Negative")</f>
        <v>2</v>
      </c>
      <c r="E23" s="11" t="n">
        <f aca="false">COUNTIFS(Manual_Test_Cases!$B$4:$B$132,A23,Manual_Test_Cases!$J$4:$J$132,"Pass")</f>
        <v>0</v>
      </c>
      <c r="F23" s="12" t="n">
        <f aca="false">COUNTIFS(Manual_Test_Cases!$B$4:$B$132,A23,Manual_Test_Cases!$J$4:$J$132,"Fail")</f>
        <v>0</v>
      </c>
      <c r="G23" s="11" t="n">
        <f aca="false">COUNTIFS(Manual_Test_Cases!$B$4:$B$132,A23,Manual_Test_Cases!$J$4:$J$132,"Blocked")</f>
        <v>0</v>
      </c>
      <c r="H23" s="11" t="n">
        <f aca="false">B23-E23-F23-G23</f>
        <v>3</v>
      </c>
    </row>
    <row r="24" customFormat="false" ht="15" hidden="false" customHeight="false" outlineLevel="0" collapsed="false">
      <c r="A24" s="11" t="s">
        <v>261</v>
      </c>
      <c r="B24" s="11" t="n">
        <f aca="false">COUNTIF(Manual_Test_Cases!$B$4:$B$132,A24)</f>
        <v>3</v>
      </c>
      <c r="C24" s="11" t="n">
        <f aca="false">COUNTIFS(Manual_Test_Cases!$B$4:$B$132,A24,Manual_Test_Cases!$E$4:$E$132,"Positive")</f>
        <v>2</v>
      </c>
      <c r="D24" s="11" t="n">
        <f aca="false">COUNTIFS(Manual_Test_Cases!$B$4:$B$132,A24,Manual_Test_Cases!$E$4:$E$132,"Negative")</f>
        <v>1</v>
      </c>
      <c r="E24" s="11" t="n">
        <f aca="false">COUNTIFS(Manual_Test_Cases!$B$4:$B$132,A24,Manual_Test_Cases!$J$4:$J$132,"Pass")</f>
        <v>0</v>
      </c>
      <c r="F24" s="12" t="n">
        <f aca="false">COUNTIFS(Manual_Test_Cases!$B$4:$B$132,A24,Manual_Test_Cases!$J$4:$J$132,"Fail")</f>
        <v>0</v>
      </c>
      <c r="G24" s="11" t="n">
        <f aca="false">COUNTIFS(Manual_Test_Cases!$B$4:$B$132,A24,Manual_Test_Cases!$J$4:$J$132,"Blocked")</f>
        <v>0</v>
      </c>
      <c r="H24" s="11" t="n">
        <f aca="false">B24-E24-F24-G24</f>
        <v>3</v>
      </c>
    </row>
    <row r="25" customFormat="false" ht="15" hidden="false" customHeight="false" outlineLevel="0" collapsed="false">
      <c r="A25" s="11" t="s">
        <v>268</v>
      </c>
      <c r="B25" s="11" t="n">
        <f aca="false">COUNTIF(Manual_Test_Cases!$B$4:$B$132,A25)</f>
        <v>4</v>
      </c>
      <c r="C25" s="11" t="n">
        <f aca="false">COUNTIFS(Manual_Test_Cases!$B$4:$B$132,A25,Manual_Test_Cases!$E$4:$E$132,"Positive")</f>
        <v>0</v>
      </c>
      <c r="D25" s="11" t="n">
        <f aca="false">COUNTIFS(Manual_Test_Cases!$B$4:$B$132,A25,Manual_Test_Cases!$E$4:$E$132,"Negative")</f>
        <v>4</v>
      </c>
      <c r="E25" s="11" t="n">
        <f aca="false">COUNTIFS(Manual_Test_Cases!$B$4:$B$132,A25,Manual_Test_Cases!$J$4:$J$132,"Pass")</f>
        <v>0</v>
      </c>
      <c r="F25" s="12" t="n">
        <f aca="false">COUNTIFS(Manual_Test_Cases!$B$4:$B$132,A25,Manual_Test_Cases!$J$4:$J$132,"Fail")</f>
        <v>0</v>
      </c>
      <c r="G25" s="11" t="n">
        <f aca="false">COUNTIFS(Manual_Test_Cases!$B$4:$B$132,A25,Manual_Test_Cases!$J$4:$J$132,"Blocked")</f>
        <v>0</v>
      </c>
      <c r="H25" s="11" t="n">
        <f aca="false">B25-E25-F25-G25</f>
        <v>4</v>
      </c>
    </row>
    <row r="26" customFormat="false" ht="15" hidden="false" customHeight="false" outlineLevel="0" collapsed="false">
      <c r="A26" s="11" t="s">
        <v>275</v>
      </c>
      <c r="B26" s="11" t="n">
        <f aca="false">COUNTIF(Manual_Test_Cases!$B$4:$B$132,A26)</f>
        <v>3</v>
      </c>
      <c r="C26" s="11" t="n">
        <f aca="false">COUNTIFS(Manual_Test_Cases!$B$4:$B$132,A26,Manual_Test_Cases!$E$4:$E$132,"Positive")</f>
        <v>2</v>
      </c>
      <c r="D26" s="11" t="n">
        <f aca="false">COUNTIFS(Manual_Test_Cases!$B$4:$B$132,A26,Manual_Test_Cases!$E$4:$E$132,"Negative")</f>
        <v>1</v>
      </c>
      <c r="E26" s="11" t="n">
        <f aca="false">COUNTIFS(Manual_Test_Cases!$B$4:$B$132,A26,Manual_Test_Cases!$J$4:$J$132,"Pass")</f>
        <v>0</v>
      </c>
      <c r="F26" s="12" t="n">
        <f aca="false">COUNTIFS(Manual_Test_Cases!$B$4:$B$132,A26,Manual_Test_Cases!$J$4:$J$132,"Fail")</f>
        <v>0</v>
      </c>
      <c r="G26" s="11" t="n">
        <f aca="false">COUNTIFS(Manual_Test_Cases!$B$4:$B$132,A26,Manual_Test_Cases!$J$4:$J$132,"Blocked")</f>
        <v>0</v>
      </c>
      <c r="H26" s="11" t="n">
        <f aca="false">B26-E26-F26-G26</f>
        <v>3</v>
      </c>
    </row>
    <row r="27" customFormat="false" ht="15" hidden="false" customHeight="false" outlineLevel="0" collapsed="false">
      <c r="A27" s="11" t="s">
        <v>282</v>
      </c>
      <c r="B27" s="11" t="n">
        <f aca="false">COUNTIF(Manual_Test_Cases!$B$4:$B$132,A27)</f>
        <v>2</v>
      </c>
      <c r="C27" s="11" t="n">
        <f aca="false">COUNTIFS(Manual_Test_Cases!$B$4:$B$132,A27,Manual_Test_Cases!$E$4:$E$132,"Positive")</f>
        <v>2</v>
      </c>
      <c r="D27" s="11" t="n">
        <f aca="false">COUNTIFS(Manual_Test_Cases!$B$4:$B$132,A27,Manual_Test_Cases!$E$4:$E$132,"Negative")</f>
        <v>0</v>
      </c>
      <c r="E27" s="11" t="n">
        <f aca="false">COUNTIFS(Manual_Test_Cases!$B$4:$B$132,A27,Manual_Test_Cases!$J$4:$J$132,"Pass")</f>
        <v>0</v>
      </c>
      <c r="F27" s="12" t="n">
        <f aca="false">COUNTIFS(Manual_Test_Cases!$B$4:$B$132,A27,Manual_Test_Cases!$J$4:$J$132,"Fail")</f>
        <v>0</v>
      </c>
      <c r="G27" s="11" t="n">
        <f aca="false">COUNTIFS(Manual_Test_Cases!$B$4:$B$132,A27,Manual_Test_Cases!$J$4:$J$132,"Blocked")</f>
        <v>0</v>
      </c>
      <c r="H27" s="11" t="n">
        <f aca="false">B27-E27-F27-G27</f>
        <v>2</v>
      </c>
    </row>
    <row r="28" customFormat="false" ht="15" hidden="false" customHeight="false" outlineLevel="0" collapsed="false">
      <c r="A28" s="11" t="s">
        <v>289</v>
      </c>
      <c r="B28" s="11" t="n">
        <f aca="false">COUNTIF(Manual_Test_Cases!$B$4:$B$132,A28)</f>
        <v>1</v>
      </c>
      <c r="C28" s="11" t="n">
        <f aca="false">COUNTIFS(Manual_Test_Cases!$B$4:$B$132,A28,Manual_Test_Cases!$E$4:$E$132,"Positive")</f>
        <v>1</v>
      </c>
      <c r="D28" s="11" t="n">
        <f aca="false">COUNTIFS(Manual_Test_Cases!$B$4:$B$132,A28,Manual_Test_Cases!$E$4:$E$132,"Negative")</f>
        <v>0</v>
      </c>
      <c r="E28" s="11" t="n">
        <f aca="false">COUNTIFS(Manual_Test_Cases!$B$4:$B$132,A28,Manual_Test_Cases!$J$4:$J$132,"Pass")</f>
        <v>0</v>
      </c>
      <c r="F28" s="12" t="n">
        <f aca="false">COUNTIFS(Manual_Test_Cases!$B$4:$B$132,A28,Manual_Test_Cases!$J$4:$J$132,"Fail")</f>
        <v>0</v>
      </c>
      <c r="G28" s="11" t="n">
        <f aca="false">COUNTIFS(Manual_Test_Cases!$B$4:$B$132,A28,Manual_Test_Cases!$J$4:$J$132,"Blocked")</f>
        <v>0</v>
      </c>
      <c r="H28" s="11" t="n">
        <f aca="false">B28-E28-F28-G28</f>
        <v>1</v>
      </c>
    </row>
    <row r="29" customFormat="false" ht="15" hidden="false" customHeight="false" outlineLevel="0" collapsed="false">
      <c r="A29" s="11" t="s">
        <v>297</v>
      </c>
      <c r="B29" s="11" t="n">
        <f aca="false">COUNTIF(Manual_Test_Cases!$B$4:$B$132,A29)</f>
        <v>2</v>
      </c>
      <c r="C29" s="11" t="n">
        <f aca="false">COUNTIFS(Manual_Test_Cases!$B$4:$B$132,A29,Manual_Test_Cases!$E$4:$E$132,"Positive")</f>
        <v>1</v>
      </c>
      <c r="D29" s="11" t="n">
        <f aca="false">COUNTIFS(Manual_Test_Cases!$B$4:$B$132,A29,Manual_Test_Cases!$E$4:$E$132,"Negative")</f>
        <v>1</v>
      </c>
      <c r="E29" s="11" t="n">
        <f aca="false">COUNTIFS(Manual_Test_Cases!$B$4:$B$132,A29,Manual_Test_Cases!$J$4:$J$132,"Pass")</f>
        <v>0</v>
      </c>
      <c r="F29" s="12" t="n">
        <f aca="false">COUNTIFS(Manual_Test_Cases!$B$4:$B$132,A29,Manual_Test_Cases!$J$4:$J$132,"Fail")</f>
        <v>0</v>
      </c>
      <c r="G29" s="11" t="n">
        <f aca="false">COUNTIFS(Manual_Test_Cases!$B$4:$B$132,A29,Manual_Test_Cases!$J$4:$J$132,"Blocked")</f>
        <v>0</v>
      </c>
      <c r="H29" s="11" t="n">
        <f aca="false">B29-E29-F29-G29</f>
        <v>2</v>
      </c>
    </row>
    <row r="30" customFormat="false" ht="15" hidden="false" customHeight="false" outlineLevel="0" collapsed="false">
      <c r="A30" s="11" t="s">
        <v>304</v>
      </c>
      <c r="B30" s="11" t="n">
        <f aca="false">COUNTIF(Manual_Test_Cases!$B$4:$B$132,A30)</f>
        <v>2</v>
      </c>
      <c r="C30" s="11" t="n">
        <f aca="false">COUNTIFS(Manual_Test_Cases!$B$4:$B$132,A30,Manual_Test_Cases!$E$4:$E$132,"Positive")</f>
        <v>1</v>
      </c>
      <c r="D30" s="11" t="n">
        <f aca="false">COUNTIFS(Manual_Test_Cases!$B$4:$B$132,A30,Manual_Test_Cases!$E$4:$E$132,"Negative")</f>
        <v>1</v>
      </c>
      <c r="E30" s="11" t="n">
        <f aca="false">COUNTIFS(Manual_Test_Cases!$B$4:$B$132,A30,Manual_Test_Cases!$J$4:$J$132,"Pass")</f>
        <v>0</v>
      </c>
      <c r="F30" s="12" t="n">
        <f aca="false">COUNTIFS(Manual_Test_Cases!$B$4:$B$132,A30,Manual_Test_Cases!$J$4:$J$132,"Fail")</f>
        <v>0</v>
      </c>
      <c r="G30" s="11" t="n">
        <f aca="false">COUNTIFS(Manual_Test_Cases!$B$4:$B$132,A30,Manual_Test_Cases!$J$4:$J$132,"Blocked")</f>
        <v>0</v>
      </c>
      <c r="H30" s="11" t="n">
        <f aca="false">B30-E30-F30-G30</f>
        <v>2</v>
      </c>
    </row>
    <row r="31" customFormat="false" ht="15" hidden="false" customHeight="false" outlineLevel="0" collapsed="false">
      <c r="A31" s="11" t="s">
        <v>311</v>
      </c>
      <c r="B31" s="11" t="n">
        <f aca="false">COUNTIF(Manual_Test_Cases!$B$4:$B$132,A31)</f>
        <v>3</v>
      </c>
      <c r="C31" s="11" t="n">
        <f aca="false">COUNTIFS(Manual_Test_Cases!$B$4:$B$132,A31,Manual_Test_Cases!$E$4:$E$132,"Positive")</f>
        <v>2</v>
      </c>
      <c r="D31" s="11" t="n">
        <f aca="false">COUNTIFS(Manual_Test_Cases!$B$4:$B$132,A31,Manual_Test_Cases!$E$4:$E$132,"Negative")</f>
        <v>1</v>
      </c>
      <c r="E31" s="11" t="n">
        <f aca="false">COUNTIFS(Manual_Test_Cases!$B$4:$B$132,A31,Manual_Test_Cases!$J$4:$J$132,"Pass")</f>
        <v>0</v>
      </c>
      <c r="F31" s="12" t="n">
        <f aca="false">COUNTIFS(Manual_Test_Cases!$B$4:$B$132,A31,Manual_Test_Cases!$J$4:$J$132,"Fail")</f>
        <v>0</v>
      </c>
      <c r="G31" s="11" t="n">
        <f aca="false">COUNTIFS(Manual_Test_Cases!$B$4:$B$132,A31,Manual_Test_Cases!$J$4:$J$132,"Blocked")</f>
        <v>0</v>
      </c>
      <c r="H31" s="11" t="n">
        <f aca="false">B31-E31-F31-G31</f>
        <v>3</v>
      </c>
    </row>
    <row r="32" customFormat="false" ht="15" hidden="false" customHeight="false" outlineLevel="0" collapsed="false">
      <c r="A32" s="11" t="s">
        <v>318</v>
      </c>
      <c r="B32" s="11" t="n">
        <f aca="false">COUNTIF(Manual_Test_Cases!$B$4:$B$132,A32)</f>
        <v>2</v>
      </c>
      <c r="C32" s="11" t="n">
        <f aca="false">COUNTIFS(Manual_Test_Cases!$B$4:$B$132,A32,Manual_Test_Cases!$E$4:$E$132,"Positive")</f>
        <v>1</v>
      </c>
      <c r="D32" s="11" t="n">
        <f aca="false">COUNTIFS(Manual_Test_Cases!$B$4:$B$132,A32,Manual_Test_Cases!$E$4:$E$132,"Negative")</f>
        <v>1</v>
      </c>
      <c r="E32" s="11" t="n">
        <f aca="false">COUNTIFS(Manual_Test_Cases!$B$4:$B$132,A32,Manual_Test_Cases!$J$4:$J$132,"Pass")</f>
        <v>0</v>
      </c>
      <c r="F32" s="12" t="n">
        <f aca="false">COUNTIFS(Manual_Test_Cases!$B$4:$B$132,A32,Manual_Test_Cases!$J$4:$J$132,"Fail")</f>
        <v>0</v>
      </c>
      <c r="G32" s="11" t="n">
        <f aca="false">COUNTIFS(Manual_Test_Cases!$B$4:$B$132,A32,Manual_Test_Cases!$J$4:$J$132,"Blocked")</f>
        <v>0</v>
      </c>
      <c r="H32" s="11" t="n">
        <f aca="false">B32-E32-F32-G32</f>
        <v>2</v>
      </c>
    </row>
    <row r="33" customFormat="false" ht="15" hidden="false" customHeight="false" outlineLevel="0" collapsed="false">
      <c r="A33" s="11" t="s">
        <v>325</v>
      </c>
      <c r="B33" s="11" t="n">
        <f aca="false">COUNTIF(Manual_Test_Cases!$B$4:$B$132,A33)</f>
        <v>2</v>
      </c>
      <c r="C33" s="11" t="n">
        <f aca="false">COUNTIFS(Manual_Test_Cases!$B$4:$B$132,A33,Manual_Test_Cases!$E$4:$E$132,"Positive")</f>
        <v>1</v>
      </c>
      <c r="D33" s="11" t="n">
        <f aca="false">COUNTIFS(Manual_Test_Cases!$B$4:$B$132,A33,Manual_Test_Cases!$E$4:$E$132,"Negative")</f>
        <v>1</v>
      </c>
      <c r="E33" s="11" t="n">
        <f aca="false">COUNTIFS(Manual_Test_Cases!$B$4:$B$132,A33,Manual_Test_Cases!$J$4:$J$132,"Pass")</f>
        <v>0</v>
      </c>
      <c r="F33" s="12" t="n">
        <f aca="false">COUNTIFS(Manual_Test_Cases!$B$4:$B$132,A33,Manual_Test_Cases!$J$4:$J$132,"Fail")</f>
        <v>0</v>
      </c>
      <c r="G33" s="11" t="n">
        <f aca="false">COUNTIFS(Manual_Test_Cases!$B$4:$B$132,A33,Manual_Test_Cases!$J$4:$J$132,"Blocked")</f>
        <v>0</v>
      </c>
      <c r="H33" s="11" t="n">
        <f aca="false">B33-E33-F33-G33</f>
        <v>2</v>
      </c>
    </row>
    <row r="34" customFormat="false" ht="15" hidden="false" customHeight="false" outlineLevel="0" collapsed="false">
      <c r="A34" s="11" t="s">
        <v>332</v>
      </c>
      <c r="B34" s="11" t="n">
        <f aca="false">COUNTIF(Manual_Test_Cases!$B$4:$B$132,A34)</f>
        <v>2</v>
      </c>
      <c r="C34" s="11" t="n">
        <f aca="false">COUNTIFS(Manual_Test_Cases!$B$4:$B$132,A34,Manual_Test_Cases!$E$4:$E$132,"Positive")</f>
        <v>2</v>
      </c>
      <c r="D34" s="11" t="n">
        <f aca="false">COUNTIFS(Manual_Test_Cases!$B$4:$B$132,A34,Manual_Test_Cases!$E$4:$E$132,"Negative")</f>
        <v>0</v>
      </c>
      <c r="E34" s="11" t="n">
        <f aca="false">COUNTIFS(Manual_Test_Cases!$B$4:$B$132,A34,Manual_Test_Cases!$J$4:$J$132,"Pass")</f>
        <v>0</v>
      </c>
      <c r="F34" s="12" t="n">
        <f aca="false">COUNTIFS(Manual_Test_Cases!$B$4:$B$132,A34,Manual_Test_Cases!$J$4:$J$132,"Fail")</f>
        <v>0</v>
      </c>
      <c r="G34" s="11" t="n">
        <f aca="false">COUNTIFS(Manual_Test_Cases!$B$4:$B$132,A34,Manual_Test_Cases!$J$4:$J$132,"Blocked")</f>
        <v>0</v>
      </c>
      <c r="H34" s="11" t="n">
        <f aca="false">B34-E34-F34-G34</f>
        <v>2</v>
      </c>
    </row>
    <row r="35" customFormat="false" ht="15" hidden="false" customHeight="false" outlineLevel="0" collapsed="false">
      <c r="A35" s="11" t="s">
        <v>339</v>
      </c>
      <c r="B35" s="11" t="n">
        <f aca="false">COUNTIF(Manual_Test_Cases!$B$4:$B$132,A35)</f>
        <v>2</v>
      </c>
      <c r="C35" s="11" t="n">
        <f aca="false">COUNTIFS(Manual_Test_Cases!$B$4:$B$132,A35,Manual_Test_Cases!$E$4:$E$132,"Positive")</f>
        <v>2</v>
      </c>
      <c r="D35" s="11" t="n">
        <f aca="false">COUNTIFS(Manual_Test_Cases!$B$4:$B$132,A35,Manual_Test_Cases!$E$4:$E$132,"Negative")</f>
        <v>0</v>
      </c>
      <c r="E35" s="11" t="n">
        <f aca="false">COUNTIFS(Manual_Test_Cases!$B$4:$B$132,A35,Manual_Test_Cases!$J$4:$J$132,"Pass")</f>
        <v>0</v>
      </c>
      <c r="F35" s="12" t="n">
        <f aca="false">COUNTIFS(Manual_Test_Cases!$B$4:$B$132,A35,Manual_Test_Cases!$J$4:$J$132,"Fail")</f>
        <v>0</v>
      </c>
      <c r="G35" s="11" t="n">
        <f aca="false">COUNTIFS(Manual_Test_Cases!$B$4:$B$132,A35,Manual_Test_Cases!$J$4:$J$132,"Blocked")</f>
        <v>0</v>
      </c>
      <c r="H35" s="11" t="n">
        <f aca="false">B35-E35-F35-G35</f>
        <v>2</v>
      </c>
    </row>
    <row r="36" customFormat="false" ht="15" hidden="false" customHeight="false" outlineLevel="0" collapsed="false">
      <c r="A36" s="11" t="s">
        <v>346</v>
      </c>
      <c r="B36" s="11" t="n">
        <f aca="false">COUNTIF(Manual_Test_Cases!$B$4:$B$132,A36)</f>
        <v>3</v>
      </c>
      <c r="C36" s="11" t="n">
        <f aca="false">COUNTIFS(Manual_Test_Cases!$B$4:$B$132,A36,Manual_Test_Cases!$E$4:$E$132,"Positive")</f>
        <v>2</v>
      </c>
      <c r="D36" s="11" t="n">
        <f aca="false">COUNTIFS(Manual_Test_Cases!$B$4:$B$132,A36,Manual_Test_Cases!$E$4:$E$132,"Negative")</f>
        <v>1</v>
      </c>
      <c r="E36" s="11" t="n">
        <f aca="false">COUNTIFS(Manual_Test_Cases!$B$4:$B$132,A36,Manual_Test_Cases!$J$4:$J$132,"Pass")</f>
        <v>0</v>
      </c>
      <c r="F36" s="12" t="n">
        <f aca="false">COUNTIFS(Manual_Test_Cases!$B$4:$B$132,A36,Manual_Test_Cases!$J$4:$J$132,"Fail")</f>
        <v>0</v>
      </c>
      <c r="G36" s="11" t="n">
        <f aca="false">COUNTIFS(Manual_Test_Cases!$B$4:$B$132,A36,Manual_Test_Cases!$J$4:$J$132,"Blocked")</f>
        <v>0</v>
      </c>
      <c r="H36" s="11" t="n">
        <f aca="false">B36-E36-F36-G36</f>
        <v>3</v>
      </c>
    </row>
    <row r="37" customFormat="false" ht="15" hidden="false" customHeight="false" outlineLevel="0" collapsed="false">
      <c r="A37" s="11" t="s">
        <v>353</v>
      </c>
      <c r="B37" s="11" t="n">
        <f aca="false">COUNTIF(Manual_Test_Cases!$B$4:$B$132,A37)</f>
        <v>1</v>
      </c>
      <c r="C37" s="11" t="n">
        <f aca="false">COUNTIFS(Manual_Test_Cases!$B$4:$B$132,A37,Manual_Test_Cases!$E$4:$E$132,"Positive")</f>
        <v>1</v>
      </c>
      <c r="D37" s="11" t="n">
        <f aca="false">COUNTIFS(Manual_Test_Cases!$B$4:$B$132,A37,Manual_Test_Cases!$E$4:$E$132,"Negative")</f>
        <v>0</v>
      </c>
      <c r="E37" s="11" t="n">
        <f aca="false">COUNTIFS(Manual_Test_Cases!$B$4:$B$132,A37,Manual_Test_Cases!$J$4:$J$132,"Pass")</f>
        <v>0</v>
      </c>
      <c r="F37" s="12" t="n">
        <f aca="false">COUNTIFS(Manual_Test_Cases!$B$4:$B$132,A37,Manual_Test_Cases!$J$4:$J$132,"Fail")</f>
        <v>0</v>
      </c>
      <c r="G37" s="11" t="n">
        <f aca="false">COUNTIFS(Manual_Test_Cases!$B$4:$B$132,A37,Manual_Test_Cases!$J$4:$J$132,"Blocked")</f>
        <v>0</v>
      </c>
      <c r="H37" s="11" t="n">
        <f aca="false">B37-E37-F37-G37</f>
        <v>1</v>
      </c>
    </row>
    <row r="38" customFormat="false" ht="15" hidden="false" customHeight="false" outlineLevel="0" collapsed="false">
      <c r="A38" s="11" t="s">
        <v>360</v>
      </c>
      <c r="B38" s="11" t="n">
        <f aca="false">COUNTIF(Manual_Test_Cases!$B$4:$B$132,A38)</f>
        <v>2</v>
      </c>
      <c r="C38" s="11" t="n">
        <f aca="false">COUNTIFS(Manual_Test_Cases!$B$4:$B$132,A38,Manual_Test_Cases!$E$4:$E$132,"Positive")</f>
        <v>1</v>
      </c>
      <c r="D38" s="11" t="n">
        <f aca="false">COUNTIFS(Manual_Test_Cases!$B$4:$B$132,A38,Manual_Test_Cases!$E$4:$E$132,"Negative")</f>
        <v>1</v>
      </c>
      <c r="E38" s="11" t="n">
        <f aca="false">COUNTIFS(Manual_Test_Cases!$B$4:$B$132,A38,Manual_Test_Cases!$J$4:$J$132,"Pass")</f>
        <v>0</v>
      </c>
      <c r="F38" s="12" t="n">
        <f aca="false">COUNTIFS(Manual_Test_Cases!$B$4:$B$132,A38,Manual_Test_Cases!$J$4:$J$132,"Fail")</f>
        <v>0</v>
      </c>
      <c r="G38" s="11" t="n">
        <f aca="false">COUNTIFS(Manual_Test_Cases!$B$4:$B$132,A38,Manual_Test_Cases!$J$4:$J$132,"Blocked")</f>
        <v>0</v>
      </c>
      <c r="H38" s="11" t="n">
        <f aca="false">B38-E38-F38-G38</f>
        <v>2</v>
      </c>
    </row>
    <row r="39" customFormat="false" ht="15" hidden="false" customHeight="false" outlineLevel="0" collapsed="false">
      <c r="A39" s="11" t="s">
        <v>367</v>
      </c>
      <c r="B39" s="11" t="n">
        <f aca="false">COUNTIF(Manual_Test_Cases!$B$4:$B$132,A39)</f>
        <v>2</v>
      </c>
      <c r="C39" s="11" t="n">
        <f aca="false">COUNTIFS(Manual_Test_Cases!$B$4:$B$132,A39,Manual_Test_Cases!$E$4:$E$132,"Positive")</f>
        <v>1</v>
      </c>
      <c r="D39" s="11" t="n">
        <f aca="false">COUNTIFS(Manual_Test_Cases!$B$4:$B$132,A39,Manual_Test_Cases!$E$4:$E$132,"Negative")</f>
        <v>1</v>
      </c>
      <c r="E39" s="11" t="n">
        <f aca="false">COUNTIFS(Manual_Test_Cases!$B$4:$B$132,A39,Manual_Test_Cases!$J$4:$J$132,"Pass")</f>
        <v>0</v>
      </c>
      <c r="F39" s="12" t="n">
        <f aca="false">COUNTIFS(Manual_Test_Cases!$B$4:$B$132,A39,Manual_Test_Cases!$J$4:$J$132,"Fail")</f>
        <v>0</v>
      </c>
      <c r="G39" s="11" t="n">
        <f aca="false">COUNTIFS(Manual_Test_Cases!$B$4:$B$132,A39,Manual_Test_Cases!$J$4:$J$132,"Blocked")</f>
        <v>0</v>
      </c>
      <c r="H39" s="11" t="n">
        <f aca="false">B39-E39-F39-G39</f>
        <v>2</v>
      </c>
    </row>
    <row r="40" customFormat="false" ht="15" hidden="false" customHeight="false" outlineLevel="0" collapsed="false">
      <c r="A40" s="11" t="s">
        <v>374</v>
      </c>
      <c r="B40" s="11" t="n">
        <f aca="false">COUNTIF(Manual_Test_Cases!$B$4:$B$132,A40)</f>
        <v>1</v>
      </c>
      <c r="C40" s="11" t="n">
        <f aca="false">COUNTIFS(Manual_Test_Cases!$B$4:$B$132,A40,Manual_Test_Cases!$E$4:$E$132,"Positive")</f>
        <v>1</v>
      </c>
      <c r="D40" s="11" t="n">
        <f aca="false">COUNTIFS(Manual_Test_Cases!$B$4:$B$132,A40,Manual_Test_Cases!$E$4:$E$132,"Negative")</f>
        <v>0</v>
      </c>
      <c r="E40" s="11" t="n">
        <f aca="false">COUNTIFS(Manual_Test_Cases!$B$4:$B$132,A40,Manual_Test_Cases!$J$4:$J$132,"Pass")</f>
        <v>0</v>
      </c>
      <c r="F40" s="12" t="n">
        <f aca="false">COUNTIFS(Manual_Test_Cases!$B$4:$B$132,A40,Manual_Test_Cases!$J$4:$J$132,"Fail")</f>
        <v>0</v>
      </c>
      <c r="G40" s="11" t="n">
        <f aca="false">COUNTIFS(Manual_Test_Cases!$B$4:$B$132,A40,Manual_Test_Cases!$J$4:$J$132,"Blocked")</f>
        <v>0</v>
      </c>
      <c r="H40" s="11" t="n">
        <f aca="false">B40-E40-F40-G40</f>
        <v>1</v>
      </c>
    </row>
    <row r="41" customFormat="false" ht="15" hidden="false" customHeight="false" outlineLevel="0" collapsed="false">
      <c r="A41" s="11" t="s">
        <v>381</v>
      </c>
      <c r="B41" s="11" t="n">
        <f aca="false">COUNTIF(Manual_Test_Cases!$B$4:$B$132,A41)</f>
        <v>2</v>
      </c>
      <c r="C41" s="11" t="n">
        <f aca="false">COUNTIFS(Manual_Test_Cases!$B$4:$B$132,A41,Manual_Test_Cases!$E$4:$E$132,"Positive")</f>
        <v>1</v>
      </c>
      <c r="D41" s="11" t="n">
        <f aca="false">COUNTIFS(Manual_Test_Cases!$B$4:$B$132,A41,Manual_Test_Cases!$E$4:$E$132,"Negative")</f>
        <v>1</v>
      </c>
      <c r="E41" s="11" t="n">
        <f aca="false">COUNTIFS(Manual_Test_Cases!$B$4:$B$132,A41,Manual_Test_Cases!$J$4:$J$132,"Pass")</f>
        <v>0</v>
      </c>
      <c r="F41" s="12" t="n">
        <f aca="false">COUNTIFS(Manual_Test_Cases!$B$4:$B$132,A41,Manual_Test_Cases!$J$4:$J$132,"Fail")</f>
        <v>0</v>
      </c>
      <c r="G41" s="11" t="n">
        <f aca="false">COUNTIFS(Manual_Test_Cases!$B$4:$B$132,A41,Manual_Test_Cases!$J$4:$J$132,"Blocked")</f>
        <v>0</v>
      </c>
      <c r="H41" s="11" t="n">
        <f aca="false">B41-E41-F41-G41</f>
        <v>2</v>
      </c>
    </row>
    <row r="42" customFormat="false" ht="15" hidden="false" customHeight="false" outlineLevel="0" collapsed="false">
      <c r="A42" s="11" t="s">
        <v>388</v>
      </c>
      <c r="B42" s="11" t="n">
        <f aca="false">COUNTIF(Manual_Test_Cases!$B$4:$B$132,A42)</f>
        <v>1</v>
      </c>
      <c r="C42" s="11" t="n">
        <f aca="false">COUNTIFS(Manual_Test_Cases!$B$4:$B$132,A42,Manual_Test_Cases!$E$4:$E$132,"Positive")</f>
        <v>1</v>
      </c>
      <c r="D42" s="11" t="n">
        <f aca="false">COUNTIFS(Manual_Test_Cases!$B$4:$B$132,A42,Manual_Test_Cases!$E$4:$E$132,"Negative")</f>
        <v>0</v>
      </c>
      <c r="E42" s="11" t="n">
        <f aca="false">COUNTIFS(Manual_Test_Cases!$B$4:$B$132,A42,Manual_Test_Cases!$J$4:$J$132,"Pass")</f>
        <v>0</v>
      </c>
      <c r="F42" s="12" t="n">
        <f aca="false">COUNTIFS(Manual_Test_Cases!$B$4:$B$132,A42,Manual_Test_Cases!$J$4:$J$132,"Fail")</f>
        <v>0</v>
      </c>
      <c r="G42" s="11" t="n">
        <f aca="false">COUNTIFS(Manual_Test_Cases!$B$4:$B$132,A42,Manual_Test_Cases!$J$4:$J$132,"Blocked")</f>
        <v>0</v>
      </c>
      <c r="H42" s="11" t="n">
        <f aca="false">B42-E42-F42-G42</f>
        <v>1</v>
      </c>
    </row>
    <row r="43" customFormat="false" ht="15" hidden="false" customHeight="false" outlineLevel="0" collapsed="false">
      <c r="A43" s="11" t="s">
        <v>395</v>
      </c>
      <c r="B43" s="11" t="n">
        <f aca="false">COUNTIF(Manual_Test_Cases!$B$4:$B$132,A43)</f>
        <v>1</v>
      </c>
      <c r="C43" s="11" t="n">
        <f aca="false">COUNTIFS(Manual_Test_Cases!$B$4:$B$132,A43,Manual_Test_Cases!$E$4:$E$132,"Positive")</f>
        <v>1</v>
      </c>
      <c r="D43" s="11" t="n">
        <f aca="false">COUNTIFS(Manual_Test_Cases!$B$4:$B$132,A43,Manual_Test_Cases!$E$4:$E$132,"Negative")</f>
        <v>0</v>
      </c>
      <c r="E43" s="11" t="n">
        <f aca="false">COUNTIFS(Manual_Test_Cases!$B$4:$B$132,A43,Manual_Test_Cases!$J$4:$J$132,"Pass")</f>
        <v>0</v>
      </c>
      <c r="F43" s="12" t="n">
        <f aca="false">COUNTIFS(Manual_Test_Cases!$B$4:$B$132,A43,Manual_Test_Cases!$J$4:$J$132,"Fail")</f>
        <v>0</v>
      </c>
      <c r="G43" s="11" t="n">
        <f aca="false">COUNTIFS(Manual_Test_Cases!$B$4:$B$132,A43,Manual_Test_Cases!$J$4:$J$132,"Blocked")</f>
        <v>0</v>
      </c>
      <c r="H43" s="11" t="n">
        <f aca="false">B43-E43-F43-G43</f>
        <v>1</v>
      </c>
    </row>
    <row r="44" customFormat="false" ht="15" hidden="false" customHeight="false" outlineLevel="0" collapsed="false">
      <c r="A44" s="11" t="s">
        <v>402</v>
      </c>
      <c r="B44" s="11" t="n">
        <f aca="false">COUNTIF(Manual_Test_Cases!$B$4:$B$132,A44)</f>
        <v>8</v>
      </c>
      <c r="C44" s="11" t="n">
        <f aca="false">COUNTIFS(Manual_Test_Cases!$B$4:$B$132,A44,Manual_Test_Cases!$E$4:$E$132,"Positive")</f>
        <v>3</v>
      </c>
      <c r="D44" s="11" t="n">
        <f aca="false">COUNTIFS(Manual_Test_Cases!$B$4:$B$132,A44,Manual_Test_Cases!$E$4:$E$132,"Negative")</f>
        <v>5</v>
      </c>
      <c r="E44" s="11" t="n">
        <f aca="false">COUNTIFS(Manual_Test_Cases!$B$4:$B$132,A44,Manual_Test_Cases!$J$4:$J$132,"Pass")</f>
        <v>0</v>
      </c>
      <c r="F44" s="12" t="n">
        <f aca="false">COUNTIFS(Manual_Test_Cases!$B$4:$B$132,A44,Manual_Test_Cases!$J$4:$J$132,"Fail")</f>
        <v>0</v>
      </c>
      <c r="G44" s="11" t="n">
        <f aca="false">COUNTIFS(Manual_Test_Cases!$B$4:$B$132,A44,Manual_Test_Cases!$J$4:$J$132,"Blocked")</f>
        <v>0</v>
      </c>
      <c r="H44" s="11" t="n">
        <f aca="false">B44-E44-F44-G44</f>
        <v>8</v>
      </c>
    </row>
    <row r="45" customFormat="false" ht="15" hidden="false" customHeight="false" outlineLevel="0" collapsed="false">
      <c r="A45" s="11" t="s">
        <v>410</v>
      </c>
      <c r="B45" s="11" t="n">
        <f aca="false">COUNTIF(Manual_Test_Cases!$B$4:$B$132,A45)</f>
        <v>4</v>
      </c>
      <c r="C45" s="11" t="n">
        <f aca="false">COUNTIFS(Manual_Test_Cases!$B$4:$B$132,A45,Manual_Test_Cases!$E$4:$E$132,"Positive")</f>
        <v>1</v>
      </c>
      <c r="D45" s="11" t="n">
        <f aca="false">COUNTIFS(Manual_Test_Cases!$B$4:$B$132,A45,Manual_Test_Cases!$E$4:$E$132,"Negative")</f>
        <v>3</v>
      </c>
      <c r="E45" s="11" t="n">
        <f aca="false">COUNTIFS(Manual_Test_Cases!$B$4:$B$132,A45,Manual_Test_Cases!$J$4:$J$132,"Pass")</f>
        <v>0</v>
      </c>
      <c r="F45" s="12" t="n">
        <f aca="false">COUNTIFS(Manual_Test_Cases!$B$4:$B$132,A45,Manual_Test_Cases!$J$4:$J$132,"Fail")</f>
        <v>0</v>
      </c>
      <c r="G45" s="11" t="n">
        <f aca="false">COUNTIFS(Manual_Test_Cases!$B$4:$B$132,A45,Manual_Test_Cases!$J$4:$J$132,"Blocked")</f>
        <v>0</v>
      </c>
      <c r="H45" s="11" t="n">
        <f aca="false">B45-E45-F45-G45</f>
        <v>4</v>
      </c>
    </row>
    <row r="46" customFormat="false" ht="15" hidden="false" customHeight="false" outlineLevel="0" collapsed="false">
      <c r="A46" s="11" t="s">
        <v>417</v>
      </c>
      <c r="B46" s="11" t="n">
        <f aca="false">COUNTIF(Manual_Test_Cases!$B$4:$B$132,A46)</f>
        <v>24</v>
      </c>
      <c r="C46" s="11" t="n">
        <f aca="false">COUNTIFS(Manual_Test_Cases!$B$4:$B$132,A46,Manual_Test_Cases!$E$4:$E$132,"Positive")</f>
        <v>11</v>
      </c>
      <c r="D46" s="11" t="n">
        <f aca="false">COUNTIFS(Manual_Test_Cases!$B$4:$B$132,A46,Manual_Test_Cases!$E$4:$E$132,"Negative")</f>
        <v>13</v>
      </c>
      <c r="E46" s="11" t="n">
        <f aca="false">COUNTIFS(Manual_Test_Cases!$B$4:$B$132,A46,Manual_Test_Cases!$J$4:$J$132,"Pass")</f>
        <v>0</v>
      </c>
      <c r="F46" s="12" t="n">
        <f aca="false">COUNTIFS(Manual_Test_Cases!$B$4:$B$132,A46,Manual_Test_Cases!$J$4:$J$132,"Fail")</f>
        <v>0</v>
      </c>
      <c r="G46" s="11" t="n">
        <f aca="false">COUNTIFS(Manual_Test_Cases!$B$4:$B$132,A46,Manual_Test_Cases!$J$4:$J$132,"Blocked")</f>
        <v>0</v>
      </c>
      <c r="H46" s="11" t="n">
        <f aca="false">B46-E46-F46-G46</f>
        <v>24</v>
      </c>
    </row>
    <row r="47" customFormat="false" ht="15" hidden="false" customHeight="false" outlineLevel="0" collapsed="false">
      <c r="A47" s="13" t="s">
        <v>1184</v>
      </c>
      <c r="B47" s="14" t="n">
        <f aca="false">SUM(B4:B46)</f>
        <v>129</v>
      </c>
      <c r="C47" s="14" t="n">
        <f aca="false">SUM(C4:C46)</f>
        <v>70</v>
      </c>
      <c r="D47" s="14" t="n">
        <f aca="false">SUM(D4:D46)</f>
        <v>59</v>
      </c>
      <c r="E47" s="14" t="n">
        <f aca="false">SUM(E4:E46)</f>
        <v>0</v>
      </c>
      <c r="F47" s="14" t="n">
        <f aca="false">SUM(F4:F46)</f>
        <v>0</v>
      </c>
      <c r="G47" s="14" t="n">
        <f aca="false">SUM(G4:G46)</f>
        <v>0</v>
      </c>
      <c r="H47" s="14" t="n">
        <f aca="false">SUM(H4:H46)</f>
        <v>129</v>
      </c>
    </row>
    <row r="49" customFormat="false" ht="15" hidden="false" customHeight="false" outlineLevel="0" collapsed="false">
      <c r="A49" s="13" t="s">
        <v>1185</v>
      </c>
      <c r="B49" s="15" t="n">
        <f aca="false">IF((E47+F47)=0,0,E47/(E47+F47))</f>
        <v>0</v>
      </c>
    </row>
  </sheetData>
  <mergeCells count="1">
    <mergeCell ref="A1:H1"/>
  </mergeCells>
  <conditionalFormatting sqref="F4:F47">
    <cfRule type="cellIs" priority="2" operator="greaterThan"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0"/>
  </cols>
  <sheetData>
    <row r="1" customFormat="false" ht="17.35" hidden="false" customHeight="false" outlineLevel="0" collapsed="false">
      <c r="A1" s="1" t="s">
        <v>1186</v>
      </c>
      <c r="B1" s="1"/>
    </row>
    <row r="3" customFormat="false" ht="15" hidden="false" customHeight="false" outlineLevel="0" collapsed="false">
      <c r="A3" s="6" t="s">
        <v>1187</v>
      </c>
      <c r="B3" s="3" t="s">
        <v>1188</v>
      </c>
    </row>
    <row r="4" customFormat="false" ht="15" hidden="false" customHeight="false" outlineLevel="0" collapsed="false">
      <c r="A4" s="6" t="s">
        <v>1189</v>
      </c>
      <c r="B4" s="3" t="s">
        <v>1190</v>
      </c>
    </row>
    <row r="5" customFormat="false" ht="23.85" hidden="false" customHeight="false" outlineLevel="0" collapsed="false">
      <c r="A5" s="6" t="s">
        <v>1191</v>
      </c>
      <c r="B5" s="3" t="s">
        <v>1192</v>
      </c>
    </row>
    <row r="6" customFormat="false" ht="15" hidden="false" customHeight="false" outlineLevel="0" collapsed="false">
      <c r="A6" s="6" t="s">
        <v>1193</v>
      </c>
      <c r="B6" s="3" t="s">
        <v>1194</v>
      </c>
    </row>
    <row r="7" customFormat="false" ht="15" hidden="false" customHeight="false" outlineLevel="0" collapsed="false">
      <c r="A7" s="6" t="s">
        <v>1195</v>
      </c>
      <c r="B7" s="3" t="s">
        <v>1196</v>
      </c>
    </row>
    <row r="8" customFormat="false" ht="79.85" hidden="false" customHeight="false" outlineLevel="0" collapsed="false">
      <c r="A8" s="6" t="s">
        <v>1197</v>
      </c>
      <c r="B8" s="3" t="s">
        <v>1198</v>
      </c>
    </row>
    <row r="9" customFormat="false" ht="23.85" hidden="false" customHeight="false" outlineLevel="0" collapsed="false">
      <c r="A9" s="6" t="s">
        <v>1199</v>
      </c>
      <c r="B9" s="3" t="s">
        <v>1200</v>
      </c>
    </row>
    <row r="10" customFormat="false" ht="15" hidden="false" customHeight="false" outlineLevel="0" collapsed="false">
      <c r="A10" s="6" t="s">
        <v>1201</v>
      </c>
      <c r="B10" s="3" t="s">
        <v>1202</v>
      </c>
    </row>
    <row r="11" customFormat="false" ht="79.85" hidden="false" customHeight="false" outlineLevel="0" collapsed="false">
      <c r="A11" s="6" t="s">
        <v>1203</v>
      </c>
      <c r="B11" s="3" t="s">
        <v>1204</v>
      </c>
    </row>
    <row r="12" customFormat="false" ht="35.05" hidden="false" customHeight="false" outlineLevel="0" collapsed="false">
      <c r="A12" s="6" t="s">
        <v>1205</v>
      </c>
      <c r="B12" s="3" t="s">
        <v>1206</v>
      </c>
    </row>
    <row r="13" customFormat="false" ht="23.85" hidden="false" customHeight="false" outlineLevel="0" collapsed="false">
      <c r="A13" s="6" t="s">
        <v>1207</v>
      </c>
      <c r="B13" s="3" t="s">
        <v>1208</v>
      </c>
    </row>
    <row r="14" customFormat="false" ht="15" hidden="false" customHeight="false" outlineLevel="0" collapsed="false">
      <c r="A14" s="6" t="s">
        <v>1209</v>
      </c>
      <c r="B14" s="10"/>
    </row>
    <row r="15" customFormat="false" ht="15" hidden="false" customHeight="false" outlineLevel="0" collapsed="false">
      <c r="A15" s="6" t="s">
        <v>1210</v>
      </c>
      <c r="B15" s="10"/>
    </row>
    <row r="16" customFormat="false" ht="15" hidden="false" customHeight="false" outlineLevel="0" collapsed="false">
      <c r="A16" s="6" t="s">
        <v>1211</v>
      </c>
      <c r="B16" s="10"/>
    </row>
    <row r="17" customFormat="false" ht="15" hidden="false" customHeight="false" outlineLevel="0" collapsed="false">
      <c r="A17" s="6" t="s">
        <v>1212</v>
      </c>
      <c r="B17" s="10"/>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12"/>
    <col collapsed="false" customWidth="true" hidden="false" outlineLevel="0" max="5" min="4" style="0" width="50"/>
    <col collapsed="false" customWidth="true" hidden="false" outlineLevel="0" max="6" min="6" style="0" width="12"/>
    <col collapsed="false" customWidth="true" hidden="false" outlineLevel="0" max="7" min="7" style="0" width="30"/>
    <col collapsed="false" customWidth="true" hidden="false" outlineLevel="0" max="8" min="8" style="0" width="14"/>
    <col collapsed="false" customWidth="true" hidden="false" outlineLevel="0" max="9" min="9" style="0" width="12"/>
  </cols>
  <sheetData>
    <row r="1" customFormat="false" ht="17.35" hidden="false" customHeight="false" outlineLevel="0" collapsed="false">
      <c r="A1" s="1" t="s">
        <v>1213</v>
      </c>
      <c r="B1" s="1"/>
      <c r="C1" s="1"/>
      <c r="D1" s="1"/>
      <c r="E1" s="1"/>
      <c r="F1" s="1"/>
      <c r="G1" s="1"/>
      <c r="H1" s="1"/>
      <c r="I1" s="1"/>
    </row>
    <row r="3" customFormat="false" ht="15" hidden="false" customHeight="false" outlineLevel="0" collapsed="false">
      <c r="A3" s="5" t="s">
        <v>1214</v>
      </c>
      <c r="B3" s="5" t="s">
        <v>521</v>
      </c>
      <c r="C3" s="5" t="s">
        <v>1215</v>
      </c>
      <c r="D3" s="5" t="s">
        <v>1216</v>
      </c>
      <c r="E3" s="5" t="s">
        <v>1217</v>
      </c>
      <c r="F3" s="5" t="s">
        <v>7</v>
      </c>
      <c r="G3" s="5" t="s">
        <v>1218</v>
      </c>
      <c r="H3" s="5" t="s">
        <v>1219</v>
      </c>
      <c r="I3" s="5" t="s">
        <v>529</v>
      </c>
    </row>
    <row r="4" customFormat="false" ht="23.85" hidden="false" customHeight="false" outlineLevel="0" collapsed="false">
      <c r="A4" s="10" t="s">
        <v>1220</v>
      </c>
      <c r="B4" s="10" t="s">
        <v>1221</v>
      </c>
      <c r="C4" s="10" t="s">
        <v>1222</v>
      </c>
      <c r="D4" s="10" t="s">
        <v>1223</v>
      </c>
      <c r="E4" s="10" t="s">
        <v>1224</v>
      </c>
      <c r="F4" s="10" t="s">
        <v>1225</v>
      </c>
      <c r="G4" s="10"/>
      <c r="H4" s="10" t="s">
        <v>1226</v>
      </c>
      <c r="I4" s="10" t="s">
        <v>1227</v>
      </c>
    </row>
    <row r="5" customFormat="false" ht="15" hidden="false" customHeight="false" outlineLevel="0" collapsed="false">
      <c r="A5" s="16"/>
      <c r="B5" s="16"/>
      <c r="C5" s="16"/>
      <c r="D5" s="16"/>
      <c r="E5" s="16"/>
      <c r="F5" s="16"/>
      <c r="G5" s="16"/>
      <c r="H5" s="16"/>
      <c r="I5" s="16"/>
    </row>
    <row r="6" customFormat="false" ht="15" hidden="false" customHeight="false" outlineLevel="0" collapsed="false">
      <c r="A6" s="16"/>
      <c r="B6" s="16"/>
      <c r="C6" s="16"/>
      <c r="D6" s="16"/>
      <c r="E6" s="16"/>
      <c r="F6" s="16"/>
      <c r="G6" s="16"/>
      <c r="H6" s="16"/>
      <c r="I6" s="16"/>
    </row>
    <row r="7" customFormat="false" ht="15" hidden="false" customHeight="false" outlineLevel="0" collapsed="false">
      <c r="A7" s="16"/>
      <c r="B7" s="16"/>
      <c r="C7" s="16"/>
      <c r="D7" s="16"/>
      <c r="E7" s="16"/>
      <c r="F7" s="16"/>
      <c r="G7" s="16"/>
      <c r="H7" s="16"/>
      <c r="I7" s="16"/>
    </row>
    <row r="8" customFormat="false" ht="15" hidden="false" customHeight="false" outlineLevel="0" collapsed="false">
      <c r="A8" s="16"/>
      <c r="B8" s="16"/>
      <c r="C8" s="16"/>
      <c r="D8" s="16"/>
      <c r="E8" s="16"/>
      <c r="F8" s="16"/>
      <c r="G8" s="16"/>
      <c r="H8" s="16"/>
      <c r="I8" s="16"/>
    </row>
    <row r="9" customFormat="false" ht="15" hidden="false" customHeight="false" outlineLevel="0" collapsed="false">
      <c r="A9" s="16"/>
      <c r="B9" s="16"/>
      <c r="C9" s="16"/>
      <c r="D9" s="16"/>
      <c r="E9" s="16"/>
      <c r="F9" s="16"/>
      <c r="G9" s="16"/>
      <c r="H9" s="16"/>
      <c r="I9" s="16"/>
    </row>
    <row r="10" customFormat="false" ht="15" hidden="false" customHeight="false" outlineLevel="0" collapsed="false">
      <c r="A10" s="16"/>
      <c r="B10" s="16"/>
      <c r="C10" s="16"/>
      <c r="D10" s="16"/>
      <c r="E10" s="16"/>
      <c r="F10" s="16"/>
      <c r="G10" s="16"/>
      <c r="H10" s="16"/>
      <c r="I10" s="16"/>
    </row>
    <row r="11" customFormat="false" ht="15" hidden="false" customHeight="false" outlineLevel="0" collapsed="false">
      <c r="A11" s="16"/>
      <c r="B11" s="16"/>
      <c r="C11" s="16"/>
      <c r="D11" s="16"/>
      <c r="E11" s="16"/>
      <c r="F11" s="16"/>
      <c r="G11" s="16"/>
      <c r="H11" s="16"/>
      <c r="I11" s="16"/>
    </row>
    <row r="12" customFormat="false" ht="15" hidden="false" customHeight="false" outlineLevel="0" collapsed="false">
      <c r="A12" s="16"/>
      <c r="B12" s="16"/>
      <c r="C12" s="16"/>
      <c r="D12" s="16"/>
      <c r="E12" s="16"/>
      <c r="F12" s="16"/>
      <c r="G12" s="16"/>
      <c r="H12" s="16"/>
      <c r="I12" s="16"/>
    </row>
    <row r="13" customFormat="false" ht="15" hidden="false" customHeight="false" outlineLevel="0" collapsed="false">
      <c r="A13" s="16"/>
      <c r="B13" s="16"/>
      <c r="C13" s="16"/>
      <c r="D13" s="16"/>
      <c r="E13" s="16"/>
      <c r="F13" s="16"/>
      <c r="G13" s="16"/>
      <c r="H13" s="16"/>
      <c r="I13" s="16"/>
    </row>
    <row r="14" customFormat="false" ht="15" hidden="false" customHeight="false" outlineLevel="0" collapsed="false">
      <c r="A14" s="16"/>
      <c r="B14" s="16"/>
      <c r="C14" s="16"/>
      <c r="D14" s="16"/>
      <c r="E14" s="16"/>
      <c r="F14" s="16"/>
      <c r="G14" s="16"/>
      <c r="H14" s="16"/>
      <c r="I14" s="16"/>
    </row>
    <row r="15" customFormat="false" ht="15" hidden="false" customHeight="false" outlineLevel="0" collapsed="false">
      <c r="A15" s="16"/>
      <c r="B15" s="16"/>
      <c r="C15" s="16"/>
      <c r="D15" s="16"/>
      <c r="E15" s="16"/>
      <c r="F15" s="16"/>
      <c r="G15" s="16"/>
      <c r="H15" s="16"/>
      <c r="I15" s="16"/>
    </row>
    <row r="16" customFormat="false" ht="15" hidden="false" customHeight="false" outlineLevel="0" collapsed="false">
      <c r="A16" s="16"/>
      <c r="B16" s="16"/>
      <c r="C16" s="16"/>
      <c r="D16" s="16"/>
      <c r="E16" s="16"/>
      <c r="F16" s="16"/>
      <c r="G16" s="16"/>
      <c r="H16" s="16"/>
      <c r="I16" s="16"/>
    </row>
    <row r="17" customFormat="false" ht="15" hidden="false" customHeight="false" outlineLevel="0" collapsed="false">
      <c r="A17" s="16"/>
      <c r="B17" s="16"/>
      <c r="C17" s="16"/>
      <c r="D17" s="16"/>
      <c r="E17" s="16"/>
      <c r="F17" s="16"/>
      <c r="G17" s="16"/>
      <c r="H17" s="16"/>
      <c r="I17" s="16"/>
    </row>
    <row r="18" customFormat="false" ht="15" hidden="false" customHeight="false" outlineLevel="0" collapsed="false">
      <c r="A18" s="16"/>
      <c r="B18" s="16"/>
      <c r="C18" s="16"/>
      <c r="D18" s="16"/>
      <c r="E18" s="16"/>
      <c r="F18" s="16"/>
      <c r="G18" s="16"/>
      <c r="H18" s="16"/>
      <c r="I18" s="16"/>
    </row>
    <row r="19" customFormat="false" ht="15" hidden="false" customHeight="false" outlineLevel="0" collapsed="false">
      <c r="A19" s="16"/>
      <c r="B19" s="16"/>
      <c r="C19" s="16"/>
      <c r="D19" s="16"/>
      <c r="E19" s="16"/>
      <c r="F19" s="16"/>
      <c r="G19" s="16"/>
      <c r="H19" s="16"/>
      <c r="I19" s="16"/>
    </row>
    <row r="20" customFormat="false" ht="15" hidden="false" customHeight="false" outlineLevel="0" collapsed="false">
      <c r="A20" s="16"/>
      <c r="B20" s="16"/>
      <c r="C20" s="16"/>
      <c r="D20" s="16"/>
      <c r="E20" s="16"/>
      <c r="F20" s="16"/>
      <c r="G20" s="16"/>
      <c r="H20" s="16"/>
      <c r="I20" s="16"/>
    </row>
    <row r="21" customFormat="false" ht="15" hidden="false" customHeight="false" outlineLevel="0" collapsed="false">
      <c r="A21" s="16"/>
      <c r="B21" s="16"/>
      <c r="C21" s="16"/>
      <c r="D21" s="16"/>
      <c r="E21" s="16"/>
      <c r="F21" s="16"/>
      <c r="G21" s="16"/>
      <c r="H21" s="16"/>
      <c r="I21" s="16"/>
    </row>
    <row r="22" customFormat="false" ht="15" hidden="false" customHeight="false" outlineLevel="0" collapsed="false">
      <c r="A22" s="16"/>
      <c r="B22" s="16"/>
      <c r="C22" s="16"/>
      <c r="D22" s="16"/>
      <c r="E22" s="16"/>
      <c r="F22" s="16"/>
      <c r="G22" s="16"/>
      <c r="H22" s="16"/>
      <c r="I22" s="16"/>
    </row>
    <row r="23" customFormat="false" ht="15" hidden="false" customHeight="false" outlineLevel="0" collapsed="false">
      <c r="A23" s="16"/>
      <c r="B23" s="16"/>
      <c r="C23" s="16"/>
      <c r="D23" s="16"/>
      <c r="E23" s="16"/>
      <c r="F23" s="16"/>
      <c r="G23" s="16"/>
      <c r="H23" s="16"/>
      <c r="I23" s="16"/>
    </row>
    <row r="24" customFormat="false" ht="15" hidden="false" customHeight="false" outlineLevel="0" collapsed="false">
      <c r="A24" s="16"/>
      <c r="B24" s="16"/>
      <c r="C24" s="16"/>
      <c r="D24" s="16"/>
      <c r="E24" s="16"/>
      <c r="F24" s="16"/>
      <c r="G24" s="16"/>
      <c r="H24" s="16"/>
      <c r="I24" s="16"/>
    </row>
    <row r="25" customFormat="false" ht="15" hidden="false" customHeight="false" outlineLevel="0" collapsed="false">
      <c r="A25" s="16"/>
      <c r="B25" s="16"/>
      <c r="C25" s="16"/>
      <c r="D25" s="16"/>
      <c r="E25" s="16"/>
      <c r="F25" s="16"/>
      <c r="G25" s="16"/>
      <c r="H25" s="16"/>
      <c r="I25" s="16"/>
    </row>
    <row r="26" customFormat="false" ht="15" hidden="false" customHeight="false" outlineLevel="0" collapsed="false">
      <c r="A26" s="16"/>
      <c r="B26" s="16"/>
      <c r="C26" s="16"/>
      <c r="D26" s="16"/>
      <c r="E26" s="16"/>
      <c r="F26" s="16"/>
      <c r="G26" s="16"/>
      <c r="H26" s="16"/>
      <c r="I26" s="16"/>
    </row>
    <row r="27" customFormat="false" ht="15" hidden="false" customHeight="false" outlineLevel="0" collapsed="false">
      <c r="A27" s="16"/>
      <c r="B27" s="16"/>
      <c r="C27" s="16"/>
      <c r="D27" s="16"/>
      <c r="E27" s="16"/>
      <c r="F27" s="16"/>
      <c r="G27" s="16"/>
      <c r="H27" s="16"/>
      <c r="I27" s="16"/>
    </row>
    <row r="28" customFormat="false" ht="15" hidden="false" customHeight="false" outlineLevel="0" collapsed="false">
      <c r="A28" s="16"/>
      <c r="B28" s="16"/>
      <c r="C28" s="16"/>
      <c r="D28" s="16"/>
      <c r="E28" s="16"/>
      <c r="F28" s="16"/>
      <c r="G28" s="16"/>
      <c r="H28" s="16"/>
      <c r="I28" s="16"/>
    </row>
    <row r="29" customFormat="false" ht="15" hidden="false" customHeight="false" outlineLevel="0" collapsed="false">
      <c r="A29" s="16"/>
      <c r="B29" s="16"/>
      <c r="C29" s="16"/>
      <c r="D29" s="16"/>
      <c r="E29" s="16"/>
      <c r="F29" s="16"/>
      <c r="G29" s="16"/>
      <c r="H29" s="16"/>
      <c r="I29" s="16"/>
    </row>
    <row r="30" customFormat="false" ht="15" hidden="false" customHeight="false" outlineLevel="0" collapsed="false">
      <c r="A30" s="16"/>
      <c r="B30" s="16"/>
      <c r="C30" s="16"/>
      <c r="D30" s="16"/>
      <c r="E30" s="16"/>
      <c r="F30" s="16"/>
      <c r="G30" s="16"/>
      <c r="H30" s="16"/>
      <c r="I30" s="16"/>
    </row>
    <row r="31" customFormat="false" ht="15" hidden="false" customHeight="false" outlineLevel="0" collapsed="false">
      <c r="A31" s="16"/>
      <c r="B31" s="16"/>
      <c r="C31" s="16"/>
      <c r="D31" s="16"/>
      <c r="E31" s="16"/>
      <c r="F31" s="16"/>
      <c r="G31" s="16"/>
      <c r="H31" s="16"/>
      <c r="I31" s="16"/>
    </row>
    <row r="32" customFormat="false" ht="15" hidden="false" customHeight="false" outlineLevel="0" collapsed="false">
      <c r="A32" s="16"/>
      <c r="B32" s="16"/>
      <c r="C32" s="16"/>
      <c r="D32" s="16"/>
      <c r="E32" s="16"/>
      <c r="F32" s="16"/>
      <c r="G32" s="16"/>
      <c r="H32" s="16"/>
      <c r="I32" s="16"/>
    </row>
    <row r="33" customFormat="false" ht="15" hidden="false" customHeight="false" outlineLevel="0" collapsed="false">
      <c r="A33" s="16"/>
      <c r="B33" s="16"/>
      <c r="C33" s="16"/>
      <c r="D33" s="16"/>
      <c r="E33" s="16"/>
      <c r="F33" s="16"/>
      <c r="G33" s="16"/>
      <c r="H33" s="16"/>
      <c r="I33" s="16"/>
    </row>
    <row r="34" customFormat="false" ht="15" hidden="false" customHeight="false" outlineLevel="0" collapsed="false">
      <c r="A34" s="16"/>
      <c r="B34" s="16"/>
      <c r="C34" s="16"/>
      <c r="D34" s="16"/>
      <c r="E34" s="16"/>
      <c r="F34" s="16"/>
      <c r="G34" s="16"/>
      <c r="H34" s="16"/>
      <c r="I34" s="16"/>
    </row>
    <row r="42" customFormat="false" ht="30" hidden="false" customHeight="true" outlineLevel="0" collapsed="false">
      <c r="A42" s="4" t="s">
        <v>1228</v>
      </c>
      <c r="B42" s="4"/>
      <c r="C42" s="4"/>
      <c r="D42" s="4"/>
      <c r="E42" s="4"/>
      <c r="F42" s="4"/>
      <c r="G42" s="4"/>
      <c r="H42" s="4"/>
      <c r="I42" s="4"/>
    </row>
  </sheetData>
  <mergeCells count="2">
    <mergeCell ref="A1:I1"/>
    <mergeCell ref="A42:I42"/>
  </mergeCells>
  <dataValidations count="2">
    <dataValidation allowBlank="true" errorStyle="stop" operator="between" showDropDown="false" showErrorMessage="false" showInputMessage="false" sqref="C4:C40" type="list">
      <formula1>"Blocker,Major,Minor,Obs"</formula1>
      <formula2>0</formula2>
    </dataValidation>
    <dataValidation allowBlank="true" errorStyle="stop" operator="between" showDropDown="false" showErrorMessage="false" showInputMessage="false" sqref="F4:F40" type="list">
      <formula1>"Open,Fixed,Accepted,Deferred,Rejected"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7.35" hidden="false" customHeight="false" outlineLevel="0" collapsed="false">
      <c r="A1" s="1" t="s">
        <v>1229</v>
      </c>
      <c r="B1" s="1"/>
    </row>
    <row r="3" customFormat="false" ht="15" hidden="false" customHeight="false" outlineLevel="0" collapsed="false">
      <c r="A3" s="5" t="s">
        <v>1230</v>
      </c>
      <c r="B3" s="5" t="s">
        <v>1231</v>
      </c>
    </row>
    <row r="4" customFormat="false" ht="15" hidden="false" customHeight="false" outlineLevel="0" collapsed="false">
      <c r="A4" s="3" t="s">
        <v>1232</v>
      </c>
      <c r="B4" s="3" t="s">
        <v>1233</v>
      </c>
    </row>
    <row r="5" customFormat="false" ht="15" hidden="false" customHeight="false" outlineLevel="0" collapsed="false">
      <c r="A5" s="3" t="s">
        <v>1234</v>
      </c>
      <c r="B5" s="3" t="s">
        <v>1235</v>
      </c>
    </row>
    <row r="6" customFormat="false" ht="23.85" hidden="false" customHeight="false" outlineLevel="0" collapsed="false">
      <c r="A6" s="3" t="s">
        <v>1236</v>
      </c>
      <c r="B6" s="3" t="s">
        <v>1237</v>
      </c>
    </row>
    <row r="7" customFormat="false" ht="15" hidden="false" customHeight="false" outlineLevel="0" collapsed="false">
      <c r="A7" s="3" t="s">
        <v>1238</v>
      </c>
      <c r="B7" s="3" t="s">
        <v>1239</v>
      </c>
    </row>
    <row r="8" customFormat="false" ht="15" hidden="false" customHeight="false" outlineLevel="0" collapsed="false">
      <c r="A8" s="3" t="s">
        <v>1240</v>
      </c>
      <c r="B8" s="3" t="s">
        <v>1241</v>
      </c>
    </row>
    <row r="9" customFormat="false" ht="15" hidden="false" customHeight="false" outlineLevel="0" collapsed="false">
      <c r="A9" s="3" t="s">
        <v>1242</v>
      </c>
      <c r="B9" s="3" t="s">
        <v>1243</v>
      </c>
    </row>
    <row r="10" customFormat="false" ht="15" hidden="false" customHeight="false" outlineLevel="0" collapsed="false">
      <c r="A10" s="3" t="s">
        <v>1244</v>
      </c>
      <c r="B10" s="3" t="s">
        <v>1245</v>
      </c>
    </row>
    <row r="11" customFormat="false" ht="15" hidden="false" customHeight="false" outlineLevel="0" collapsed="false">
      <c r="A11" s="3" t="s">
        <v>1246</v>
      </c>
      <c r="B11" s="3" t="s">
        <v>1247</v>
      </c>
    </row>
    <row r="12" customFormat="false" ht="15" hidden="false" customHeight="false" outlineLevel="0" collapsed="false">
      <c r="A12" s="3" t="s">
        <v>1248</v>
      </c>
      <c r="B12" s="3" t="s">
        <v>1249</v>
      </c>
    </row>
    <row r="13" customFormat="false" ht="15" hidden="false" customHeight="false" outlineLevel="0" collapsed="false">
      <c r="A13" s="3" t="s">
        <v>1250</v>
      </c>
      <c r="B13" s="3" t="s">
        <v>1251</v>
      </c>
    </row>
    <row r="14" customFormat="false" ht="15" hidden="false" customHeight="false" outlineLevel="0" collapsed="false">
      <c r="A14" s="3" t="s">
        <v>1252</v>
      </c>
      <c r="B14" s="3" t="s">
        <v>1253</v>
      </c>
    </row>
    <row r="15" customFormat="false" ht="15" hidden="false" customHeight="false" outlineLevel="0" collapsed="false">
      <c r="A15" s="3" t="s">
        <v>1254</v>
      </c>
      <c r="B15" s="3" t="s">
        <v>1255</v>
      </c>
    </row>
    <row r="16" customFormat="false" ht="15" hidden="false" customHeight="false" outlineLevel="0" collapsed="false">
      <c r="A16" s="3" t="s">
        <v>1256</v>
      </c>
      <c r="B16" s="3" t="s">
        <v>1257</v>
      </c>
    </row>
    <row r="17" customFormat="false" ht="15" hidden="false" customHeight="false" outlineLevel="0" collapsed="false">
      <c r="A17" s="3" t="s">
        <v>1258</v>
      </c>
      <c r="B17" s="3" t="s">
        <v>1259</v>
      </c>
    </row>
    <row r="18" customFormat="false" ht="15" hidden="false" customHeight="false" outlineLevel="0" collapsed="false">
      <c r="A18" s="3" t="s">
        <v>1260</v>
      </c>
      <c r="B18" s="3" t="s">
        <v>1261</v>
      </c>
    </row>
    <row r="19" customFormat="false" ht="15" hidden="false" customHeight="false" outlineLevel="0" collapsed="false">
      <c r="A19" s="3" t="s">
        <v>1262</v>
      </c>
      <c r="B19" s="3" t="s">
        <v>1263</v>
      </c>
    </row>
    <row r="20" customFormat="false" ht="15" hidden="false" customHeight="false" outlineLevel="0" collapsed="false">
      <c r="A20" s="3" t="s">
        <v>1264</v>
      </c>
      <c r="B20" s="3" t="s">
        <v>1265</v>
      </c>
    </row>
    <row r="21" customFormat="false" ht="15" hidden="false" customHeight="false" outlineLevel="0" collapsed="false">
      <c r="A21" s="3" t="s">
        <v>1266</v>
      </c>
      <c r="B21" s="3" t="s">
        <v>1267</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18"/>
    <col collapsed="false" customWidth="true" hidden="false" outlineLevel="0" max="4" min="4" style="0" width="16"/>
    <col collapsed="false" customWidth="true" hidden="false" outlineLevel="0" max="5" min="5" style="0" width="50"/>
  </cols>
  <sheetData>
    <row r="1" customFormat="false" ht="17.35" hidden="false" customHeight="false" outlineLevel="0" collapsed="false">
      <c r="A1" s="1" t="s">
        <v>1268</v>
      </c>
      <c r="B1" s="1"/>
      <c r="C1" s="1"/>
      <c r="D1" s="1"/>
      <c r="E1" s="1"/>
    </row>
    <row r="3" customFormat="false" ht="15" hidden="false" customHeight="false" outlineLevel="0" collapsed="false">
      <c r="A3" s="5" t="s">
        <v>1269</v>
      </c>
      <c r="B3" s="5" t="s">
        <v>1270</v>
      </c>
      <c r="C3" s="5" t="s">
        <v>1271</v>
      </c>
      <c r="D3" s="5" t="s">
        <v>529</v>
      </c>
      <c r="E3" s="5" t="s">
        <v>1272</v>
      </c>
    </row>
    <row r="4" customFormat="false" ht="15" hidden="false" customHeight="false" outlineLevel="0" collapsed="false">
      <c r="A4" s="3" t="s">
        <v>17</v>
      </c>
      <c r="B4" s="3" t="s">
        <v>36</v>
      </c>
      <c r="C4" s="3" t="s">
        <v>72</v>
      </c>
      <c r="D4" s="3" t="s">
        <v>1227</v>
      </c>
      <c r="E4" s="3" t="s">
        <v>1273</v>
      </c>
    </row>
    <row r="5" customFormat="false" ht="15" hidden="false" customHeight="false" outlineLevel="0" collapsed="false">
      <c r="A5" s="3" t="s">
        <v>23</v>
      </c>
      <c r="B5" s="10"/>
      <c r="C5" s="10"/>
      <c r="D5" s="10"/>
      <c r="E5" s="10"/>
    </row>
    <row r="6" customFormat="false" ht="15" hidden="false" customHeight="false" outlineLevel="0" collapsed="false">
      <c r="A6" s="3" t="s">
        <v>1274</v>
      </c>
      <c r="B6" s="10" t="s">
        <v>22</v>
      </c>
      <c r="C6" s="10"/>
      <c r="D6" s="10"/>
      <c r="E6" s="10"/>
    </row>
    <row r="7" customFormat="false" ht="15" hidden="false" customHeight="false" outlineLevel="0" collapsed="false">
      <c r="A7" s="3" t="s">
        <v>1275</v>
      </c>
      <c r="B7" s="10"/>
      <c r="C7" s="10"/>
      <c r="D7" s="10"/>
      <c r="E7" s="10"/>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2026-09-20T10:03:06Z</dcterms:created>
  <dc:creator>openpyxl</dc:creator>
  <dc:description/>
  <dc:language>en-US</dc:language>
  <cp:lastModifiedBy/>
  <dcterms:modified xsi:type="dcterms:W3CDTF">2026-09-20T10:03:06Z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