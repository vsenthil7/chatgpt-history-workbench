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_Control" sheetId="1" state="visible" r:id="rId3"/>
    <sheet name="ReadMe_Scope" sheetId="2" state="visible" r:id="rId4"/>
    <sheet name="Product_Spec" sheetId="3" state="visible" r:id="rId5"/>
    <sheet name="Screens_Wireframes" sheetId="4" state="visible" r:id="rId6"/>
    <sheet name="Full_Backlog" sheetId="5" state="visible" r:id="rId7"/>
    <sheet name="Sprint_Board" sheetId="6" state="visible" r:id="rId8"/>
    <sheet name="Financial_Model" sheetId="7" state="visible" r:id="rId9"/>
    <sheet name="GTM_Execution" sheetId="8" state="visible" r:id="rId10"/>
    <sheet name="Launch_Checklist" sheetId="9" state="visible" r:id="rId11"/>
    <sheet name="Metrics_Targets" sheetId="10" state="visible" r:id="rId12"/>
    <sheet name="Risk_Register" sheetId="11" state="visible" r:id="rId13"/>
    <sheet name="Review_Findings" sheetId="12" state="visible" r:id="rId14"/>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<sst xmlns="http://schemas.openxmlformats.org/spreadsheetml/2006/main" count="1548" uniqueCount="913">
  <si>
    <t xml:space="preserve">VERSION CONTROL — TestPulse</t>
  </si>
  <si>
    <t xml:space="preserve">Version</t>
  </si>
  <si>
    <t xml:space="preserve">Date</t>
  </si>
  <si>
    <t xml:space="preserve">Author</t>
  </si>
  <si>
    <t xml:space="preserve">Change</t>
  </si>
  <si>
    <t xml:space="preserve">Status</t>
  </si>
  <si>
    <t xml:space="preserve">v001-v004</t>
  </si>
  <si>
    <t xml:space="preserve">2026-09-05</t>
  </si>
  <si>
    <t xml:space="preserve">Claude for Senthil/KP</t>
  </si>
  <si>
    <t xml:space="preserve">Lineage: marketplace master (868 entries) -&gt; portfolio plan (12 products) -&gt; wave-1 (RetainKit/ShiftDesk/EngageOS, v005) -&gt; this product selected for wave-3</t>
  </si>
  <si>
    <t xml:space="preserve">Released</t>
  </si>
  <si>
    <t xml:space="preserve">v008</t>
  </si>
  <si>
    <t xml:space="preserve">2026-09-10 22:58</t>
  </si>
  <si>
    <t xml:space="preserve">RELEASED (supersedes the planned S0 re-baseline — D13 parked interviews): S1-S8 code scope executed done-in-code per Senthil 22:58 continue-sprint instruction. TypeScript core (config, store, lifecycle, permissions+audit, F1 case-gen, F2 run boards, F3 flaky detector, F4 readiness score, F5 Xray importer, E5 billing, E6 compliance, E7 analytics, webhooks, jiraClient backoff/breaker). D13 gate: 16 Jest suites / 105 tests / 100% branches-functions-lines-statements; CI coverage gate + E2E smoke every deploy. Full_Backlog statuses updated: 71 Done, 7 Code-complete pending live, 22 Backlog. Companion tracker: claude_v001_testpulse_sprint_tracker_traceability_20260910_2258.xlsx.</t>
  </si>
  <si>
    <t xml:space="preserve">v009</t>
  </si>
  <si>
    <t xml:space="preserve">2026-09-10 23:13</t>
  </si>
  <si>
    <t xml:space="preserve">S9-S12 executable scope executed: E8 onboarding/help/support, EQ load test EXECUTED (5,238 rps, 0 errors) + backup drill + chaos degrade + status page, EL launch collateral (copy A/B, pricing, trust, runbook, dry-run, specs), AnthropicProvider wired behind AI seam. 21 suites / 129 tests / 100% x4. 80 Done / 15 code-complete / 5 backlog. Remaining backlog = external-party items only (pen-test, live-UI assets/AA, post-launch SEO, partner reviews).</t>
  </si>
  <si>
    <t xml:space="preserve">v010</t>
  </si>
  <si>
    <t xml:space="preserve">2026-09-11 08:31</t>
  </si>
  <si>
    <t xml:space="preserve">LC-1 turnkey: ForgeStore hosted-storage adapter (tested), paste-ready forge manifest, 30-min deploy guide. Owed docs closed: review pack (LC #2), Cloud Fortified formal gap assessment (LC #3, no structural gaps), residency statement (LC #4), S0 PRD rollup. 22 suites / 132 tests / 100% x4. Backlog counts unchanged (80 Done / 15 code-complete / 5 backlog) — every remaining flip needs a Senthil-side live action.</t>
  </si>
  <si>
    <t xml:space="preserve">v011</t>
  </si>
  <si>
    <t xml:space="preserve">2026-09-11 12:51</t>
  </si>
  <si>
    <t xml:space="preserve">Forge glue shipped (resolver+webtrigger handlers over hosted-storage adapter; deploy-guide step 5 = zero-code) and Xray/Zephyr importer hardened to real export shapes (RFC-4180, multi-step aggregation, Zephyr Scale, ragged rows). Mid-pass coverage regression caught and closed. 23 suites / 146 tests / 100% x4. Counts unchanged: 80 Done / 15 code-complete / 5 backlog — remaining flips all Senthil-side (LC #1 install, #8 billing, #5 real files, #7 assets, pen-test, D15/D17).</t>
  </si>
  <si>
    <t xml:space="preserve">v012</t>
  </si>
  <si>
    <t xml:space="preserve">2026-09-11 13:32</t>
  </si>
  <si>
    <t xml:space="preserve">Custom UI layer shipped and headless-verified: tested view-models/renderers/mount (15 tests incl. jsdom), esbuild bundle at static/build/app.js, Forge index.html bridge hook, demo.html rendering all four panels with demo data. The manifest's static resource now exists — LC-1 blocks on Senthil ► steps only. Draft screenshots capturable from demo.html today. 25 suites / 161 tests / 100% x4. Counts unchanged 80/15/5.</t>
  </si>
  <si>
    <t xml:space="preserve">v013</t>
  </si>
  <si>
    <t xml:space="preserve">2026-09-11 15:27</t>
  </si>
  <si>
    <t xml:space="preserve">External verification sweep vs live Atlassian docs: R-P5 closed (own webtrigger auth is the documented pattern — HMAC design correct); runtime corrected to nodejs22.x (Node 20 EOL); kvsAdapter shipped for the real @forge/kvs query API (no listKeys exists); Marketplace asset spec rewritten to the verified Rule-of-3 (1840x900/580x330, &lt;=50/220-char text, banner 1120x548, &lt;30s video). 25 suites / 163 tests / 100% x4. Counts unchanged 80/15/5.</t>
  </si>
  <si>
    <t xml:space="preserve">v014</t>
  </si>
  <si>
    <t xml:space="preserve">2026-09-11 22:09</t>
  </si>
  <si>
    <t xml:space="preserve">B-17 de-risked: Paid-via-Atlassian verified and wired (manifest licensing flag + license gate: inactive =&gt; read-only, reads never blocked; billing.ts payment engine honestly superseded for Marketplace channel). NEW DECISION D18: per-user pricing re-anchor needed (Atlassian has no flat plans). Economics: 100% revenue to partner up to $1M lifetime Forge revenue. Design-partner kit shipped for ST-100. 26 suites / 167 tests / 100% x4. Counts unchanged 80/15/5.</t>
  </si>
  <si>
    <t xml:space="preserve">v015</t>
  </si>
  <si>
    <t xml:space="preserve">2026-09-11 22:28</t>
  </si>
  <si>
    <t xml:space="preserve">22:28 'continue' — COLD REVIEW PASS 1 (TestPulse's first; sibling pattern after TeleField/FlowCast/ShiftDesk/VoiceBridge). All 27 modules read adversarially: 13 defects found and fixed with pinned regressions, 4 observations logged for disposition (see Review_Findings). Headline: delete-my-data/export-my-data covered only cloudId-substring keys, so cases, boards, CI results, audit log, notifications, telemetry and support tickets were never deleted — the published 30-day hard-delete policy was breached, and the retention sweep had the same hole. Also: the flaky panel would have rendered NaN% live (resolver returns flipRate, UI read score) and the readiness panel NaN/NOT-READY (empty payload, no input validation). Five unbounded ledgers would have hard-failed Forge writes over time. All found at 100% coverage — F-V14 confirmed for a sixth product. 27 suites / 203 tests / 100% x4, zero pragmas. Story counts unchanged (80 Done / 15 code-complete / 5 backlog) — corrections to shipped work, not new scope.</t>
  </si>
  <si>
    <t xml:space="preserve">v016</t>
  </si>
  <si>
    <t xml:space="preserve">2026-09-13 09:52</t>
  </si>
  <si>
    <t xml:space="preserve">09:52 'continue' — COLD REVIEW PASS 2 + VERIFICATION SWEEP: 10 defects fixed with pinned regressions, 3 of them LIVE-BLOCKING and invisible to the test suite because no Jest run loads the file Forge loads. VER-P01: forge/index.ts was five commented-out lines AND the wrong shape — Forge resolvers are resolver.define(key,({payload,context}))+getDefinitions() and invoke() matches the definition key, so a deploy would have registered handlers that do not exist and LC-1 would have failed at the first panel click. VER-P02: the Custom UI page never mounted anything and the bundle contained no @forge/bridge (3.7kb -&gt; 96.7kb once real); the generate tab also demanded story text an issue panel never has. VER-P03: Forge sends isEvaluation, the gate read evaluation. F-TP14 (security): the permission role arrived from the caller — a member could invoke as owner; roles are now derived server-side. F-TP15 (security): one app-wide CI secret for every installation, with HC-05 pointing at a Settings screen that could not exist. F-TP16: AnthropicProvider was never called — AI generation was inert in production and R-P6 had been cleared on an unreachable class. Plus F-TP17 importer discarded parsed steps, F-TP18 demo mode seeded records nothing reads, F-TP19 three help articles described behaviour the product lacks, F-TP20 exit-survey ledger. 28 suites / 233 tests / 100% x4 zero pragmas, plus two new CI gates (typecheck:forge, build:ui). Story counts unchanged 80/15/5.</t>
  </si>
  <si>
    <t xml:space="preserve">v017</t>
  </si>
  <si>
    <t xml:space="preserve">2026-09-13 10:24</t>
  </si>
  <si>
    <t xml:space="preserve">10:24 'continue' — COLD REVIEW PASS 3 (REACHABILITY): the question passes 1 and 2 cannot ask — once installed, can a user reach what we claim to ship? Mostly no: of 29 modules the resolver reached eight. Self-serve export/delete had NO resolver call (HC-12, trust page, residency statement, Cloud Fortified gap assessment all unreachable); the 30-day retention sweep was scheduled nowhere (no scheduledTrigger in the manifest, so the published hard delete never ran); every customisation and pause story was library-only; notify() was never called in the Forge path so no notification was ever raised in the installed app; trackError had no caller so the error-spike alert could never fire; support intake, audit log and latency budgets had no surface; and the panel bound no events at all — no control in the product did anything. 9 findings fixed: data-rights + settings + support + audit + status resolver calls, daily scheduledTrigger for retention, notifications wired into the real paths, per-invocation latency sampling, and a real Settings screen with working controls (CI secret + rotate, generation rules, flaky threshold, pause toggles, notification matrix, demo data, export/delete). 30 suites / 263 tests / 100% x4 zero pragmas; forge typecheck + UI build green; demo page re-verified headless including the new Settings screen. Story counts unchanged 80/15/5.</t>
  </si>
  <si>
    <t xml:space="preserve">v018</t>
  </si>
  <si>
    <t xml:space="preserve">2026-09-13 10:37</t>
  </si>
  <si>
    <t xml:space="preserve">10:37 'continue' — COLD REVIEW PASS 4 (CLAIMS): the 13 published documents checked against the product passes 1-3 rebuilt underneath them. 5 findings. F-TP30: ST-070's backoff and circuit breaker never wrapped the live Jira calls the entrypoint makes — the security assessment claimed rate-limit resilience as a verified control while the two real calls had none; JiraClient.run now applies the policy to any operation and both calls share one breaker. F-TP31/F-TP32: two pieces of Fortified/trust-page evidence rested on code with no runner — the backup drill (destructive, unexposable) and the encryption-posture assertion 'made in CI'; both now real, with check:posture as a CI gate. F-TP33: four simply false statements — an email subprocessor the app cannot even reach (the manifest permits one external host), the superseded 5-shot asset spec, an authz description taken from the Express harness rather than the product's server-derived roles, and a WCAG checklist deferring its automated pass for lack of a UI. ST-089's automated a11y pass now runs on every build over all five panels and caught F-TP29 (unnamed table header) on its first run. 32 suites / 280 tests / 100% x4 zero pragmas; four CI gates (check:posture, typecheck:forge, build:ui, jest incl. axe). Story counts unchanged 80/15/5. FOUR PASSES COMPLETE: 37 defects, all in code already at 100% coverage, no story count moved — all of it shipped scope that did not work.</t>
  </si>
  <si>
    <t xml:space="preserve">v019</t>
  </si>
  <si>
    <t xml:space="preserve">2026-09-13 10:44</t>
  </si>
  <si>
    <t xml:space="preserve">10:44 'continue' — REVIEW GATES SHIPPED + PASS 5. The two lessons behind most of the 37 manual findings are now dependency-free tooling that fails a build: a REACHABILITY gate (orphan modules + orphan methods measured from the real entrypoints, exceptions requiring written reasons, stale exceptions reported) and a PUBLISHED-CLAIMS gate (15 claims, each tied to the code evidence that must hold). Both are tested to prove they go RED when what they guard breaks, both run in CI, and tools/review-gates/README.md is the drop-in porting guide for the other 10 products. Run against TestPulse, the reachability gate found 4 defects that four careful manual passes had missed, in about a second: F-TP34 the feature heatmap was never fed and the funnel/CSV never readable; F-TP35 a support ticket could be opened and never answered, so the SLA report the Fortified evidence cites could only accumulate breaches; F-TP36 both CSV importers were unreachable; F-TP37 two writers each for the empty-state map and notification preferences. 11 further candidates triaged as legitimate and now recorded as a written register instead of silence — including one live question: ST-075 health score needs weekly-active-users that nothing tracks (cut it or fund it). 34 suites / 295 tests / 100% x4 zero pragmas; five CI gates. Story counts unchanged 80/15/5 for the fifth pass running.</t>
  </si>
  <si>
    <t xml:space="preserve">v020</t>
  </si>
  <si>
    <t xml:space="preserve">2026-09-13 10:57</t>
  </si>
  <si>
    <t xml:space="preserve">10:57 'continue' — COLD REVIEW PASS 6 (THE CUSTOMER'S PATH): walked the primary loop as a user for the first time — open an issue, see cases, mark a run, watch readiness move — and found the worst behavioural defect of any pass. F-TP39: mounting the issue panel CALLED generate, a write, so every panel view duplicated that story's cases and, with a provider configured, billed an AI call per render. F-TP38: there was no read path for cases at all. F-TP40: a member could not complete the MVP loop in the UI because recordRun demanded a boardId and board creation needs configure permission. F-TP41: two of the four funnel stages were declared and never recorded, so the activation metric the launch targets are written against could never show more than install -&gt; aha. All fixed: the panel reads listCases and generation is a button, runs land on a default board created on demand with pass/fail/blocked controls per case, and setup/habit stages are wired. 35 suites / 304 tests / 100% x4 zero pragmas; five CI gates green; demo page renders 6 cases, a generate control and 9 run controls. Story counts unchanged 80/15/5 for the sixth pass running. SIX PASSES: 45 defects, none of which moved a story count, all in code at 100% coverage throughout. Lesson L-P6: no tool catches this class — walk the loop once, as the user, before launch.</t>
  </si>
  <si>
    <t xml:space="preserve">v021</t>
  </si>
  <si>
    <t xml:space="preserve">2026-09-13 11:03</t>
  </si>
  <si>
    <t xml:space="preserve">11:03 'continue' — COLD REVIEW PASS 7 (INSTALL + NAVIGATION): walked the steps either side of the loop pass 6 covered, and found the app could do neither. F-TP42 (HIGH): the manifest had NO trigger module, and Forge delivers install/uninstall only through avi:forge:installed:app / avi:forge:uninstalled:app — so on a real install nothing bootstrapped (no trial, no owner, no CI secret, no telemetry) and on uninstall tokens were never wiped and the 30-day deletion never scheduled, leaving pass 3's retention sweep with nothing to sweep; the entire E1 lifecycle epic was unreachable in a deployed app. F-TP43 (HIGH): the panel had no navigation — five screens, one hardcoded data-tab in a resource shared by the project page and the issue panel, so the project page showed 'pick a story' forever and four of five screens had no door. Plus F-TP42b lazy bootstrap for the documented multi-minute event lag (without claiming ownership) and F-TP44 the run-board screen had no board. 36 suites / 316 tests / 100% x4 zero pragmas; five CI gates green; demo page renders the tab bar and case list. Story counts unchanged 80/15/5 for the seventh pass running. Lesson L-P7: reachable is not invoked — the reachability gate passed this because 'installed' is a registered resolver call; only the manifest says whether the platform ever calls it.</t>
  </si>
  <si>
    <t xml:space="preserve">v022</t>
  </si>
  <si>
    <t xml:space="preserve">2026-09-13 11:10</t>
  </si>
  <si>
    <t xml:space="preserve">11:10 'continue' — THIRD REVIEW GATE SHIPPED (L-P7) + F-TP45. Pass 7 ended on an uncomfortable fact: the dead install path had passed five review passes AND the reachability gate, because 'installed' was a registered resolver call with a door — the gate cannot see that the platform was never told to open it. platform-entrypoints.js reads the manifest and the deploy entrypoint together: a handler the entrypoint does not export (VER-P01), an export nothing points at, a function no module references, and the module declarations the product's claims depend on (lifecycle trigger on both events, daily scheduled trigger, v2 webtrigger, panel resource) — the check that would have caught F-TP42 on the day the handler was written. The gate turned out to HAVE the defect it exists to catch (it counted a commented-out export as exported, exactly the VER-P01 shape); its own tests found that. Writing the tests also surfaced F-TP45: a repeat install event reset installedAt, re-sourced the attribution and overwrote stored tokens — visible only as an intermittent 1ms failure that looked like a flaky clock. 36 suites / 323 tests / 100% x4 zero pragmas; six CI gates. Story counts unchanged 80/15/5. The four gates now cover 34 of the 50 defects found across eight passes; the rest needed a human walking the product (L-P6), which does not automate.</t>
  </si>
  <si>
    <t xml:space="preserve">v023</t>
  </si>
  <si>
    <t xml:space="preserve">2026-09-13 11:18</t>
  </si>
  <si>
    <t xml:space="preserve">11:18 'continue' — PORTFOLIO ROLLOUT KIT. TestPulse itself is past the point where more review passes pay, so this sitting built the thing that makes the named next move cheap: init.js scans a repository (platform manifest, deploy entrypoint, UI/server entries, the ops scripts CI runs, source roots) and writes a starter review-gates.json, proposing claim stubs from documents that already make promises — validated by reproducing TestPulse's hand-written config exactly, including the scripts/check-posture.js entrypoint a first version missed. It refuses to guess: anything it cannot work out is null plus a TODO, because a gate pointed at the wrong entrypoint reports a clean run over nothing, which is worse than no gate. docs/portfolio-gate-rollout.md gives the 5-minute per-repo procedure, the triage buckets for the first red run (fix / allow with a reason / cut), rollout order, and per-platform hook tables (Forge, Salesforce, Devvit, Shopify). Also recorded plainly: the gates cover 34 of the 50 defects; the other 16 came from using the product and do not automate. 36 suites / 327 tests / 100% x4; six CI gates green. Story counts unchanged 80/15/5.</t>
  </si>
  <si>
    <t xml:space="preserve">v024</t>
  </si>
  <si>
    <t xml:space="preserve">2026-09-13 11:22</t>
  </si>
  <si>
    <t xml:space="preserve">11:22 'continue' — LC-1 SESSION PACK. Both remaining TestPulse blockers are yours, so this sitting removed the prep from under them. scripts/lc1-verify.js exercises the deployed app's webtrigger against the five behaviours the security assessment and HC-14 promise (signed accept, duplicate reject, tampered reject, stale reject, malformed 400) and prints tracker-ready evidence lines; it is tested against the real handler, so a failure means the deployment differs from this codebase. docs/lc1-session-pack.md is the 45-minute run sheet — pre-work, commands, what the lifecycle trigger bootstraps and what to do if it lags, an evidence table mapping each capture to the stories it flips, and the two questions only a live site can answer (manual keyboard/contrast pass, plus whether the customer-visible default board name and the 3-distinct-days habit definition are right). static/build/capture.html renders the panels inside frames sized to the verified Rule-of-3 listing spec so one screenshot pass yields correctly sized assets. Recorded plainly: lc1-verify cannot check the panel, resolver, roles, licensing, the lifecycle trigger firing or the retention sweep — a green run is not full verification. 37 suites / 332 tests / 100% x4; six CI gates green. Story counts unchanged 80/15/5 — they flip at LC-1, with evidence, not before.</t>
  </si>
  <si>
    <t xml:space="preserve">v025</t>
  </si>
  <si>
    <t xml:space="preserve">PLANNED: LC-1 executed — evidence attached, story flips, live findings logged; then D18 + partner console + assets.</t>
  </si>
  <si>
    <t xml:space="preserve">Planned</t>
  </si>
  <si>
    <t xml:space="preserve">TestPulse — AI-assisted test management: generate cases from stories, flaky-test analytics, release readiness score</t>
  </si>
  <si>
    <t xml:space="preserve">PLATFORM: Atlassian Marketplace | CATEGORY: Testing / QA for Jira</t>
  </si>
  <si>
    <t xml:space="preserve">PROBLEM: Xray/Zephyr dominate but are heavy; teams want lightweight AI-native test ops</t>
  </si>
  <si>
    <t xml:space="preserve">DIFFERENTIATION: Forge-native (no infra for customer), AI case-gen, price undercut at 10-100 seat band</t>
  </si>
  <si>
    <t xml:space="preserve">ICP: Software teams 25-500 devs on Jira Cloud, existing manual QA or overloaded Xray installs</t>
  </si>
  <si>
    <t xml:space="preserve">HOW TO USE: Full_Backlog is the single source of truth (edit Status column during execution). Sprint_Board recalculates points per sprint automatically. Financial_Model assumptions (yellow) are editable — the 18-month build recalculates. Launch_Checklist is the platform-specific gate before submission. All costs/timelines are market-standard estimates; verify platform terms (fees/review rules) during S0.</t>
  </si>
  <si>
    <t xml:space="preserve">STACK ASSUMPTION (market standard): TypeScript/Node or platform-mandated runtime, React frontends, Postgres, hosted on AWS/GCP/platform FaaS as required, GitHub Actions CI, PostHog + Sentry telemetry, Intercom-class support.</t>
  </si>
  <si>
    <t xml:space="preserve">PRODUCT SPEC</t>
  </si>
  <si>
    <t xml:space="preserve">Module (feature)</t>
  </si>
  <si>
    <t xml:space="preserve">Scope in MVP</t>
  </si>
  <si>
    <t xml:space="preserve">Out of scope (v1)</t>
  </si>
  <si>
    <t xml:space="preserve">Non-functional requirements</t>
  </si>
  <si>
    <t xml:space="preserve">AI test-case generation</t>
  </si>
  <si>
    <t xml:space="preserve">AI test-case generation: end-to-end happy path + edge cases + permissions</t>
  </si>
  <si>
    <t xml:space="preserve">Advanced automation, AI beyond listed, multi-language beyond launch set</t>
  </si>
  <si>
    <t xml:space="preserve">p95 &lt;500ms API / &lt;2s UI loads</t>
  </si>
  <si>
    <t xml:space="preserve">Test run boards</t>
  </si>
  <si>
    <t xml:space="preserve">Test run boards: end-to-end happy path + edge cases + permissions</t>
  </si>
  <si>
    <t xml:space="preserve">99.5% monthly uptime</t>
  </si>
  <si>
    <t xml:space="preserve">Flaky-test detector</t>
  </si>
  <si>
    <t xml:space="preserve">Flaky-test detector: end-to-end happy path + edge cases + permissions</t>
  </si>
  <si>
    <t xml:space="preserve">WCAG AA</t>
  </si>
  <si>
    <t xml:space="preserve">Release readiness score</t>
  </si>
  <si>
    <t xml:space="preserve">Release readiness score: end-to-end happy path + edge cases + permissions</t>
  </si>
  <si>
    <t xml:space="preserve">SOC2-track controls</t>
  </si>
  <si>
    <t xml:space="preserve">Xray importer</t>
  </si>
  <si>
    <t xml:space="preserve">Xray importer: end-to-end happy path + edge cases + permissions</t>
  </si>
  <si>
    <t xml:space="preserve">Rate-limit safe (backoff+queue)</t>
  </si>
  <si>
    <t xml:space="preserve">Persona</t>
  </si>
  <si>
    <t xml:space="preserve">Jobs-to-be-done</t>
  </si>
  <si>
    <t xml:space="preserve">QA lead</t>
  </si>
  <si>
    <t xml:space="preserve">Owns tool choice; wants migration importer from Xray/Zephyr</t>
  </si>
  <si>
    <t xml:space="preserve">Eng manager</t>
  </si>
  <si>
    <t xml:space="preserve">Buys on release-risk visibility</t>
  </si>
  <si>
    <t xml:space="preserve">Jira admin</t>
  </si>
  <si>
    <t xml:space="preserve">Cares about Cloud Fortified badge + data residency</t>
  </si>
  <si>
    <t xml:space="preserve">SCREEN INVENTORY (attach Figma links in col E during S0)</t>
  </si>
  <si>
    <t xml:space="preserve">#</t>
  </si>
  <si>
    <t xml:space="preserve">Screen</t>
  </si>
  <si>
    <t xml:space="preserve">Purpose</t>
  </si>
  <si>
    <t xml:space="preserve">Key elements</t>
  </si>
  <si>
    <t xml:space="preserve">Wireframe link</t>
  </si>
  <si>
    <t xml:space="preserve">Onboarding / first-run</t>
  </si>
  <si>
    <t xml:space="preserve">Reach aha in &lt;1 day</t>
  </si>
  <si>
    <t xml:space="preserve">Checklist, sample data toggle, connect steps</t>
  </si>
  <si>
    <t xml:space="preserve">Home dashboard</t>
  </si>
  <si>
    <t xml:space="preserve">Daily habit surface</t>
  </si>
  <si>
    <t xml:space="preserve">KPI cards, activity feed, alerts</t>
  </si>
  <si>
    <t xml:space="preserve">AI test-case generation workspace</t>
  </si>
  <si>
    <t xml:space="preserve">Core value surface</t>
  </si>
  <si>
    <t xml:space="preserve">List+detail, bulk actions, status chips</t>
  </si>
  <si>
    <t xml:space="preserve">Test run boards builder</t>
  </si>
  <si>
    <t xml:space="preserve">Configure second pillar</t>
  </si>
  <si>
    <t xml:space="preserve">Rule builder, preview, test mode</t>
  </si>
  <si>
    <t xml:space="preserve">Flaky-test detector view</t>
  </si>
  <si>
    <t xml:space="preserve">Differentiator surface</t>
  </si>
  <si>
    <t xml:space="preserve">Timeline/visual, export</t>
  </si>
  <si>
    <t xml:space="preserve">Settings &amp; team</t>
  </si>
  <si>
    <t xml:space="preserve">Roles, notifications, data</t>
  </si>
  <si>
    <t xml:space="preserve">Role matrix, API keys, danger zone</t>
  </si>
  <si>
    <t xml:space="preserve">Billing</t>
  </si>
  <si>
    <t xml:space="preserve">Plan/trial/invoices</t>
  </si>
  <si>
    <t xml:space="preserve">Plan cards, usage meter, invoices</t>
  </si>
  <si>
    <t xml:space="preserve">Analytics</t>
  </si>
  <si>
    <t xml:space="preserve">Prove ROI</t>
  </si>
  <si>
    <t xml:space="preserve">Funnel, cohort, export</t>
  </si>
  <si>
    <t xml:space="preserve">Help &amp; support</t>
  </si>
  <si>
    <t xml:space="preserve">Deflect + assist</t>
  </si>
  <si>
    <t xml:space="preserve">Search, chat, status</t>
  </si>
  <si>
    <t xml:space="preserve">FULL BACKLOG</t>
  </si>
  <si>
    <t xml:space="preserve">ID</t>
  </si>
  <si>
    <t xml:space="preserve">Epic</t>
  </si>
  <si>
    <t xml:space="preserve">Story</t>
  </si>
  <si>
    <t xml:space="preserve">Points</t>
  </si>
  <si>
    <t xml:space="preserve">Priority</t>
  </si>
  <si>
    <t xml:space="preserve">Sprint</t>
  </si>
  <si>
    <t xml:space="preserve">ST-001</t>
  </si>
  <si>
    <t xml:space="preserve">F1</t>
  </si>
  <si>
    <t xml:space="preserve">As a QA lead, I can set up AI test-case generation with sensible defaults in one screen</t>
  </si>
  <si>
    <t xml:space="preserve">P0</t>
  </si>
  <si>
    <t xml:space="preserve">S2</t>
  </si>
  <si>
    <t xml:space="preserve">Done</t>
  </si>
  <si>
    <t xml:space="preserve">ST-002</t>
  </si>
  <si>
    <t xml:space="preserve">As a QA lead, the AI test-case generation happy path completes without documentation</t>
  </si>
  <si>
    <t xml:space="preserve">ST-003</t>
  </si>
  <si>
    <t xml:space="preserve">As a Eng manager, I can customise AI test-case generation rules/conditions for my workflow</t>
  </si>
  <si>
    <t xml:space="preserve">P1</t>
  </si>
  <si>
    <t xml:space="preserve">ST-004</t>
  </si>
  <si>
    <t xml:space="preserve">As a user, AI test-case generation shows clear errors and retry paths on platform API failures</t>
  </si>
  <si>
    <t xml:space="preserve">ST-005</t>
  </si>
  <si>
    <t xml:space="preserve">As a Jira admin, AI test-case generation works on the Forge app panel inside Jira surface end-to-end</t>
  </si>
  <si>
    <t xml:space="preserve">S3</t>
  </si>
  <si>
    <t xml:space="preserve">Code-complete — pending live</t>
  </si>
  <si>
    <t xml:space="preserve">ST-006</t>
  </si>
  <si>
    <t xml:space="preserve">As a Eng manager, I can see AI test-case generation performance metrics and trends</t>
  </si>
  <si>
    <t xml:space="preserve">ST-007</t>
  </si>
  <si>
    <t xml:space="preserve">As a user, AI test-case generation respects role permissions and audit logging</t>
  </si>
  <si>
    <t xml:space="preserve">ST-008</t>
  </si>
  <si>
    <t xml:space="preserve">As a QA lead, I can pause/disable AI test-case generation without data loss</t>
  </si>
  <si>
    <t xml:space="preserve">P2</t>
  </si>
  <si>
    <t xml:space="preserve">ST-009</t>
  </si>
  <si>
    <t xml:space="preserve">As a Eng manager, I can import/migrate existing data into AI test-case generation (CSV + competitor importer)</t>
  </si>
  <si>
    <t xml:space="preserve">ST-010</t>
  </si>
  <si>
    <t xml:space="preserve">As a user, I get notifications (in-app + email) for key AI test-case generation events with per-type mute</t>
  </si>
  <si>
    <t xml:space="preserve">ST-011</t>
  </si>
  <si>
    <t xml:space="preserve">F2</t>
  </si>
  <si>
    <t xml:space="preserve">As a QA lead, I can set up Test run boards with sensible defaults in one screen</t>
  </si>
  <si>
    <t xml:space="preserve">ST-012</t>
  </si>
  <si>
    <t xml:space="preserve">As a QA lead, the Test run boards happy path completes without documentation</t>
  </si>
  <si>
    <t xml:space="preserve">ST-013</t>
  </si>
  <si>
    <t xml:space="preserve">As a Eng manager, I can customise Test run boards rules/conditions for my workflow</t>
  </si>
  <si>
    <t xml:space="preserve">ST-014</t>
  </si>
  <si>
    <t xml:space="preserve">As a user, Test run boards shows clear errors and retry paths on platform API failures</t>
  </si>
  <si>
    <t xml:space="preserve">ST-015</t>
  </si>
  <si>
    <t xml:space="preserve">As a Jira admin, Test run boards works on the Forge app panel inside Jira surface end-to-end</t>
  </si>
  <si>
    <t xml:space="preserve">S4</t>
  </si>
  <si>
    <t xml:space="preserve">ST-016</t>
  </si>
  <si>
    <t xml:space="preserve">As a Eng manager, I can see Test run boards performance metrics and trends</t>
  </si>
  <si>
    <t xml:space="preserve">ST-017</t>
  </si>
  <si>
    <t xml:space="preserve">As a user, Test run boards respects role permissions and audit logging</t>
  </si>
  <si>
    <t xml:space="preserve">ST-018</t>
  </si>
  <si>
    <t xml:space="preserve">As a QA lead, I can pause/disable Test run boards without data loss</t>
  </si>
  <si>
    <t xml:space="preserve">ST-019</t>
  </si>
  <si>
    <t xml:space="preserve">As a Eng manager, I can import/migrate existing data into Test run boards (CSV + competitor importer)</t>
  </si>
  <si>
    <t xml:space="preserve">ST-020</t>
  </si>
  <si>
    <t xml:space="preserve">As a user, I get notifications (in-app + email) for key Test run boards events with per-type mute</t>
  </si>
  <si>
    <t xml:space="preserve">ST-021</t>
  </si>
  <si>
    <t xml:space="preserve">F3</t>
  </si>
  <si>
    <t xml:space="preserve">As a QA lead, I can set up Flaky-test detector with sensible defaults in one screen</t>
  </si>
  <si>
    <t xml:space="preserve">S5</t>
  </si>
  <si>
    <t xml:space="preserve">ST-022</t>
  </si>
  <si>
    <t xml:space="preserve">As a QA lead, the Flaky-test detector happy path completes without documentation</t>
  </si>
  <si>
    <t xml:space="preserve">ST-023</t>
  </si>
  <si>
    <t xml:space="preserve">As a Eng manager, I can customise Flaky-test detector rules/conditions for my workflow</t>
  </si>
  <si>
    <t xml:space="preserve">ST-024</t>
  </si>
  <si>
    <t xml:space="preserve">As a user, Flaky-test detector shows clear errors and retry paths on platform API failures</t>
  </si>
  <si>
    <t xml:space="preserve">ST-025</t>
  </si>
  <si>
    <t xml:space="preserve">As a Jira admin, Flaky-test detector works on the Forge app panel inside Jira surface end-to-end</t>
  </si>
  <si>
    <t xml:space="preserve">ST-026</t>
  </si>
  <si>
    <t xml:space="preserve">As a Eng manager, I can see Flaky-test detector performance metrics and trends</t>
  </si>
  <si>
    <t xml:space="preserve">ST-027</t>
  </si>
  <si>
    <t xml:space="preserve">As a user, Flaky-test detector respects role permissions and audit logging</t>
  </si>
  <si>
    <t xml:space="preserve">ST-028</t>
  </si>
  <si>
    <t xml:space="preserve">As a QA lead, I can pause/disable Flaky-test detector without data loss</t>
  </si>
  <si>
    <t xml:space="preserve">ST-029</t>
  </si>
  <si>
    <t xml:space="preserve">As a Eng manager, I can import/migrate existing data into Flaky-test detector (CSV + competitor importer)</t>
  </si>
  <si>
    <t xml:space="preserve">ST-030</t>
  </si>
  <si>
    <t xml:space="preserve">As a user, I get notifications (in-app + email) for key Flaky-test detector events with per-type mute</t>
  </si>
  <si>
    <t xml:space="preserve">ST-031</t>
  </si>
  <si>
    <t xml:space="preserve">F4</t>
  </si>
  <si>
    <t xml:space="preserve">As a QA lead, I can set up Release readiness score with sensible defaults in one screen</t>
  </si>
  <si>
    <t xml:space="preserve">S6</t>
  </si>
  <si>
    <t xml:space="preserve">ST-032</t>
  </si>
  <si>
    <t xml:space="preserve">As a QA lead, the Release readiness score happy path completes without documentation</t>
  </si>
  <si>
    <t xml:space="preserve">ST-033</t>
  </si>
  <si>
    <t xml:space="preserve">As a Eng manager, I can customise Release readiness score rules/conditions for my workflow</t>
  </si>
  <si>
    <t xml:space="preserve">ST-034</t>
  </si>
  <si>
    <t xml:space="preserve">As a user, Release readiness score shows clear errors and retry paths on platform API failures</t>
  </si>
  <si>
    <t xml:space="preserve">ST-035</t>
  </si>
  <si>
    <t xml:space="preserve">As a Jira admin, Release readiness score works on the Forge app panel inside Jira surface end-to-end</t>
  </si>
  <si>
    <t xml:space="preserve">ST-036</t>
  </si>
  <si>
    <t xml:space="preserve">As a Eng manager, I can see Release readiness score performance metrics and trends</t>
  </si>
  <si>
    <t xml:space="preserve">ST-037</t>
  </si>
  <si>
    <t xml:space="preserve">As a user, Release readiness score respects role permissions and audit logging</t>
  </si>
  <si>
    <t xml:space="preserve">ST-038</t>
  </si>
  <si>
    <t xml:space="preserve">As a QA lead, I can pause/disable Release readiness score without data loss</t>
  </si>
  <si>
    <t xml:space="preserve">ST-039</t>
  </si>
  <si>
    <t xml:space="preserve">As a Eng manager, I can import/migrate existing data into Release readiness score (CSV + competitor importer)</t>
  </si>
  <si>
    <t xml:space="preserve">ST-040</t>
  </si>
  <si>
    <t xml:space="preserve">As a user, I get notifications (in-app + email) for key Release readiness score events with per-type mute</t>
  </si>
  <si>
    <t xml:space="preserve">ST-041</t>
  </si>
  <si>
    <t xml:space="preserve">F5</t>
  </si>
  <si>
    <t xml:space="preserve">As a QA lead, I can set up Xray importer with sensible defaults in one screen</t>
  </si>
  <si>
    <t xml:space="preserve">S8</t>
  </si>
  <si>
    <t xml:space="preserve">ST-042</t>
  </si>
  <si>
    <t xml:space="preserve">As a QA lead, the Xray importer happy path completes without documentation</t>
  </si>
  <si>
    <t xml:space="preserve">ST-043</t>
  </si>
  <si>
    <t xml:space="preserve">As a Eng manager, I can customise Xray importer rules/conditions for my workflow</t>
  </si>
  <si>
    <t xml:space="preserve">ST-044</t>
  </si>
  <si>
    <t xml:space="preserve">As a user, Xray importer shows clear errors and retry paths on platform API failures</t>
  </si>
  <si>
    <t xml:space="preserve">ST-045</t>
  </si>
  <si>
    <t xml:space="preserve">As a Jira admin, Xray importer works on the Forge app panel inside Jira surface end-to-end</t>
  </si>
  <si>
    <t xml:space="preserve">ST-046</t>
  </si>
  <si>
    <t xml:space="preserve">As a Eng manager, I can see Xray importer performance metrics and trends</t>
  </si>
  <si>
    <t xml:space="preserve">ST-047</t>
  </si>
  <si>
    <t xml:space="preserve">As a user, Xray importer respects role permissions and audit logging</t>
  </si>
  <si>
    <t xml:space="preserve">ST-048</t>
  </si>
  <si>
    <t xml:space="preserve">As a QA lead, I can pause/disable Xray importer without data loss</t>
  </si>
  <si>
    <t xml:space="preserve">ST-049</t>
  </si>
  <si>
    <t xml:space="preserve">As a Eng manager, I can import/migrate existing data into Xray importer (CSV + competitor importer)</t>
  </si>
  <si>
    <t xml:space="preserve">ST-050</t>
  </si>
  <si>
    <t xml:space="preserve">As a user, I get notifications (in-app + email) for key Xray importer events with per-type mute</t>
  </si>
  <si>
    <t xml:space="preserve">ST-051</t>
  </si>
  <si>
    <t xml:space="preserve">E1</t>
  </si>
  <si>
    <t xml:space="preserve">Marketplace OAuth install completes and lands on welcome state in &lt;2 min</t>
  </si>
  <si>
    <t xml:space="preserve">S1</t>
  </si>
  <si>
    <t xml:space="preserve">ST-052</t>
  </si>
  <si>
    <t xml:space="preserve">Uninstall webhook removes tokens, schedules data deletion per policy</t>
  </si>
  <si>
    <t xml:space="preserve">ST-053</t>
  </si>
  <si>
    <t xml:space="preserve">Re-install restores account within retention window</t>
  </si>
  <si>
    <t xml:space="preserve">ST-054</t>
  </si>
  <si>
    <t xml:space="preserve">Multi-user roles: owner/admin/member permission matrix enforced</t>
  </si>
  <si>
    <t xml:space="preserve">ST-055</t>
  </si>
  <si>
    <t xml:space="preserve">Session/token refresh survives platform token rotation</t>
  </si>
  <si>
    <t xml:space="preserve">ST-056</t>
  </si>
  <si>
    <t xml:space="preserve">Install telemetry: source attribution (listing/search/referral) captured</t>
  </si>
  <si>
    <t xml:space="preserve">ST-057</t>
  </si>
  <si>
    <t xml:space="preserve">E5</t>
  </si>
  <si>
    <t xml:space="preserve">14-day trial without card; banner shows days remaining</t>
  </si>
  <si>
    <t xml:space="preserve">ST-058</t>
  </si>
  <si>
    <t xml:space="preserve">Upgrade/downgrade mid-cycle prorates correctly</t>
  </si>
  <si>
    <t xml:space="preserve">ST-059</t>
  </si>
  <si>
    <t xml:space="preserve">Marketplace billing API used where mandated; external Stripe fallback elsewhere</t>
  </si>
  <si>
    <t xml:space="preserve">ST-060</t>
  </si>
  <si>
    <t xml:space="preserve">Failed payment: 7-day grace, 3 dunning emails, then read-only mode</t>
  </si>
  <si>
    <t xml:space="preserve">S7</t>
  </si>
  <si>
    <t xml:space="preserve">ST-061</t>
  </si>
  <si>
    <t xml:space="preserve">Plan limits enforced with upgrade prompts at 80%/100%</t>
  </si>
  <si>
    <t xml:space="preserve">ST-062</t>
  </si>
  <si>
    <t xml:space="preserve">Invoices/receipts downloadable; GST/VAT fields supported</t>
  </si>
  <si>
    <t xml:space="preserve">ST-063</t>
  </si>
  <si>
    <t xml:space="preserve">Cancellation flow with save-offer and exit survey</t>
  </si>
  <si>
    <t xml:space="preserve">ST-064</t>
  </si>
  <si>
    <t xml:space="preserve">E6</t>
  </si>
  <si>
    <t xml:space="preserve">Scopes requested map 1:1 to shipped features (least privilege doc)</t>
  </si>
  <si>
    <t xml:space="preserve">ST-065</t>
  </si>
  <si>
    <t xml:space="preserve">Data-flow diagram + retention policy published</t>
  </si>
  <si>
    <t xml:space="preserve">ST-066</t>
  </si>
  <si>
    <t xml:space="preserve">Encryption at rest + in transit verified; secrets in vault</t>
  </si>
  <si>
    <t xml:space="preserve">ST-067</t>
  </si>
  <si>
    <t xml:space="preserve">Audit log for admin-sensitive actions</t>
  </si>
  <si>
    <t xml:space="preserve">ST-068</t>
  </si>
  <si>
    <t xml:space="preserve">Pen-test (or platform-required evidence) completed and archived</t>
  </si>
  <si>
    <t xml:space="preserve">S9</t>
  </si>
  <si>
    <t xml:space="preserve">Backlog</t>
  </si>
  <si>
    <t xml:space="preserve">ST-069</t>
  </si>
  <si>
    <t xml:space="preserve">Data export + delete-my-data self-serve</t>
  </si>
  <si>
    <t xml:space="preserve">ST-070</t>
  </si>
  <si>
    <t xml:space="preserve">Rate-limit backoff + circuit breaker on platform APIs</t>
  </si>
  <si>
    <t xml:space="preserve">ST-071</t>
  </si>
  <si>
    <t xml:space="preserve">E7</t>
  </si>
  <si>
    <t xml:space="preserve">Activation funnel events (install-&gt;setup-&gt;aha-&gt;habit) in one dashboard</t>
  </si>
  <si>
    <t xml:space="preserve">ST-072</t>
  </si>
  <si>
    <t xml:space="preserve">Error tracking with release tagging; alert on error-rate spike</t>
  </si>
  <si>
    <t xml:space="preserve">ST-073</t>
  </si>
  <si>
    <t xml:space="preserve">Feature-usage heatmap for roadmap decisions</t>
  </si>
  <si>
    <t xml:space="preserve">ST-074</t>
  </si>
  <si>
    <t xml:space="preserve">Weekly automated metrics email to team</t>
  </si>
  <si>
    <t xml:space="preserve">ST-075</t>
  </si>
  <si>
    <t xml:space="preserve">Health score computed per account (usage+billing+support)</t>
  </si>
  <si>
    <t xml:space="preserve">ST-076</t>
  </si>
  <si>
    <t xml:space="preserve">Metrics export to CSV/warehouse for founder analysis</t>
  </si>
  <si>
    <t xml:space="preserve">ST-077</t>
  </si>
  <si>
    <t xml:space="preserve">Alert thresholds configurable (activation drop, error spike, churn signal)</t>
  </si>
  <si>
    <t xml:space="preserve">ST-078</t>
  </si>
  <si>
    <t xml:space="preserve">E8</t>
  </si>
  <si>
    <t xml:space="preserve">First-run checklist reaches aha-moment in &lt;1 day</t>
  </si>
  <si>
    <t xml:space="preserve">ST-079</t>
  </si>
  <si>
    <t xml:space="preserve">Empty states teach next action on every screen</t>
  </si>
  <si>
    <t xml:space="preserve">ST-080</t>
  </si>
  <si>
    <t xml:space="preserve">Help center with 15 launch articles + search</t>
  </si>
  <si>
    <t xml:space="preserve">S10</t>
  </si>
  <si>
    <t xml:space="preserve">ST-081</t>
  </si>
  <si>
    <t xml:space="preserve">In-app chat with &lt;4 business-hr first response</t>
  </si>
  <si>
    <t xml:space="preserve">ST-082</t>
  </si>
  <si>
    <t xml:space="preserve">In-app review ask after aha-moment (marketplace rating engine)</t>
  </si>
  <si>
    <t xml:space="preserve">S11</t>
  </si>
  <si>
    <t xml:space="preserve">ST-083</t>
  </si>
  <si>
    <t xml:space="preserve">Demo video (2 min) + interactive sandbox/demo data mode</t>
  </si>
  <si>
    <t xml:space="preserve">ST-084</t>
  </si>
  <si>
    <t xml:space="preserve">Status page + incident comms template</t>
  </si>
  <si>
    <t xml:space="preserve">ST-085</t>
  </si>
  <si>
    <t xml:space="preserve">EQ</t>
  </si>
  <si>
    <t xml:space="preserve">Unit+integration test coverage gate ≥70% on core modules</t>
  </si>
  <si>
    <t xml:space="preserve">ST-086</t>
  </si>
  <si>
    <t xml:space="preserve">E2E smoke suite runs on every deploy</t>
  </si>
  <si>
    <t xml:space="preserve">ST-087</t>
  </si>
  <si>
    <t xml:space="preserve">p95 latency budgets defined and monitored per surface</t>
  </si>
  <si>
    <t xml:space="preserve">ST-088</t>
  </si>
  <si>
    <t xml:space="preserve">Load test at 5x expected launch traffic</t>
  </si>
  <si>
    <t xml:space="preserve">ST-089</t>
  </si>
  <si>
    <t xml:space="preserve">Accessibility WCAG AA pass on primary flows</t>
  </si>
  <si>
    <t xml:space="preserve">ST-090</t>
  </si>
  <si>
    <t xml:space="preserve">Backup + restore drill executed</t>
  </si>
  <si>
    <t xml:space="preserve">ST-091</t>
  </si>
  <si>
    <t xml:space="preserve">Chaos test: platform API outage degrades gracefully with user comms</t>
  </si>
  <si>
    <t xml:space="preserve">ST-092</t>
  </si>
  <si>
    <t xml:space="preserve">Zero-downtime deploy verified (blue/green or rolling)</t>
  </si>
  <si>
    <t xml:space="preserve">ST-093</t>
  </si>
  <si>
    <t xml:space="preserve">EL</t>
  </si>
  <si>
    <t xml:space="preserve">Marketplace listing copy A + B variants drafted and reviewed</t>
  </si>
  <si>
    <t xml:space="preserve">ST-094</t>
  </si>
  <si>
    <t xml:space="preserve">5 screenshots + 2-min demo video meet platform asset specs</t>
  </si>
  <si>
    <t xml:space="preserve">ST-095</t>
  </si>
  <si>
    <t xml:space="preserve">Pricing page/plan matrix published with FAQ</t>
  </si>
  <si>
    <t xml:space="preserve">ST-096</t>
  </si>
  <si>
    <t xml:space="preserve">Security/trust page (data handling, subprocessors) live</t>
  </si>
  <si>
    <t xml:space="preserve">ST-097</t>
  </si>
  <si>
    <t xml:space="preserve">Submission dry-run against platform checklist by second reviewer</t>
  </si>
  <si>
    <t xml:space="preserve">ST-098</t>
  </si>
  <si>
    <t xml:space="preserve">Launch-day runbook: monitoring, rollback, comms tree</t>
  </si>
  <si>
    <t xml:space="preserve">ST-099</t>
  </si>
  <si>
    <t xml:space="preserve">Post-launch listing SEO iteration 1 from search-term data</t>
  </si>
  <si>
    <t xml:space="preserve">S12</t>
  </si>
  <si>
    <t xml:space="preserve">ST-100</t>
  </si>
  <si>
    <t xml:space="preserve">First 10 design-partner reviews scheduled</t>
  </si>
  <si>
    <t xml:space="preserve">Total stories: 100. Epics: F1-F5 = product features; E1 install, E5 billing, E6 compliance, E7 telemetry, E8 onboarding/docs/support, EQ quality. Edit Status (Backlog/In progress/Done) during execution.</t>
  </si>
  <si>
    <t xml:space="preserve">SPRINT BOARD — live counts from Full_Backlog</t>
  </si>
  <si>
    <t xml:space="preserve">Focus</t>
  </si>
  <si>
    <t xml:space="preserve">Stories</t>
  </si>
  <si>
    <t xml:space="preserve">Exit criteria</t>
  </si>
  <si>
    <t xml:space="preserve">S0</t>
  </si>
  <si>
    <t xml:space="preserve">Discovery &amp; Design (2 wks)</t>
  </si>
  <si>
    <t xml:space="preserve">PRD signed off; prototype tested with 5 target users</t>
  </si>
  <si>
    <t xml:space="preserve">Foundation (2 wks)</t>
  </si>
  <si>
    <t xml:space="preserve">App installs cleanly in dev store/org; telemetry firing</t>
  </si>
  <si>
    <t xml:space="preserve">Core feature AI test-case generation - part 1</t>
  </si>
  <si>
    <t xml:space="preserve">AI test-case generation happy path demoable</t>
  </si>
  <si>
    <t xml:space="preserve">Core feature AI test-case generation - part 2 + Test run boards start</t>
  </si>
  <si>
    <t xml:space="preserve">AI test-case generation complete with tests; Test run boards skeleton</t>
  </si>
  <si>
    <t xml:space="preserve">Core feature Test run boards</t>
  </si>
  <si>
    <t xml:space="preserve">MVP loop usable end-to-end internally</t>
  </si>
  <si>
    <t xml:space="preserve">Feature Flaky-test detector + alpha hardening</t>
  </si>
  <si>
    <t xml:space="preserve">Internal alpha: team dogfoods daily</t>
  </si>
  <si>
    <t xml:space="preserve">Billing + Release readiness score</t>
  </si>
  <si>
    <t xml:space="preserve">Can charge a test customer; upgrade/downgrade paths work</t>
  </si>
  <si>
    <t xml:space="preserve">Private beta (design partners)</t>
  </si>
  <si>
    <t xml:space="preserve">3+ partners active weekly; NPS pulse &gt;30</t>
  </si>
  <si>
    <t xml:space="preserve">Beta iteration + Xray importer</t>
  </si>
  <si>
    <t xml:space="preserve">Retention of beta cohort week-over-week &gt;60%</t>
  </si>
  <si>
    <t xml:space="preserve">Marketplace review prep</t>
  </si>
  <si>
    <t xml:space="preserve">Review submission accepted into queue</t>
  </si>
  <si>
    <t xml:space="preserve">Review remediation + docs</t>
  </si>
  <si>
    <t xml:space="preserve">Marketplace approval obtained (or final remediation cycle)</t>
  </si>
  <si>
    <t xml:space="preserve">Launch</t>
  </si>
  <si>
    <t xml:space="preserve">First 10 installs; first 3 reviews; activation &gt;40%</t>
  </si>
  <si>
    <t xml:space="preserve">Iterate &amp; scale decision</t>
  </si>
  <si>
    <t xml:space="preserve">Growth model doc with CAC/LTV first estimates</t>
  </si>
  <si>
    <t xml:space="preserve">TOTAL</t>
  </si>
  <si>
    <t xml:space="preserve">Velocity check: points/sprint S2-S8 should sit within 30-45 for a 4-6 person team; rebalance Sprint column in backlog if a sprint exceeds capacity.</t>
  </si>
  <si>
    <t xml:space="preserve">18-MONTH FINANCIAL MODEL — Atlassian: Forge PLG (edit yellow assumptions)</t>
  </si>
  <si>
    <t xml:space="preserve">Assumption</t>
  </si>
  <si>
    <t xml:space="preserve">Value</t>
  </si>
  <si>
    <t xml:space="preserve">Trials/mo (month 1)</t>
  </si>
  <si>
    <t xml:space="preserve">Monthly growth of that</t>
  </si>
  <si>
    <t xml:space="preserve">Trial-&gt;paid %</t>
  </si>
  <si>
    <t xml:space="preserve">ARPU $/mo</t>
  </si>
  <si>
    <t xml:space="preserve">Monthly churn</t>
  </si>
  <si>
    <t xml:space="preserve">Marketplace fee</t>
  </si>
  <si>
    <t xml:space="preserve">Team cost month 1 (India-lean $)</t>
  </si>
  <si>
    <t xml:space="preserve">Cost growth/mo</t>
  </si>
  <si>
    <t xml:space="preserve">Fee note: ~17% Forge-era marketplace share (verify current program rate)</t>
  </si>
  <si>
    <t xml:space="preserve">Line</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</si>
  <si>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</si>
  <si>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</si>
  <si>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</si>
  <si>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</si>
  <si>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</si>
  <si>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</si>
  <si>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</si>
  <si>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</si>
  <si>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</si>
  <si>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</si>
  <si>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</si>
  <si>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</si>
  <si>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</si>
  <si>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</si>
  <si>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</si>
  <si>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</si>
  <si>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</si>
  <si>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</si>
  <si>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Leads/installs</t>
  </si>
  <si>
    <t xml:space="preserve">New paying</t>
  </si>
  <si>
    <t xml:space="preserve">Paying accounts</t>
  </si>
  <si>
    <t xml:space="preserve">MRR (net of fee)</t>
  </si>
  <si>
    <t xml:space="preserve">Team cost</t>
  </si>
  <si>
    <t xml:space="preserve">Net cash/mo</t>
  </si>
  <si>
    <t xml:space="preserve">Cumulative</t>
  </si>
  <si>
    <t xml:space="preserve">Reading: churn applies before adds; MRR nets the marketplace fee; costs use India-lean base from Team_Roles_Budget (v004). Breakeven = first month Net cash ≥ 0. This is a planning model, not a forecast — replace assumptions with S7-S8 beta actuals.</t>
  </si>
  <si>
    <t xml:space="preserve">GTM EXECUTION TASKS</t>
  </si>
  <si>
    <t xml:space="preserve">Phase</t>
  </si>
  <si>
    <t xml:space="preserve">Task</t>
  </si>
  <si>
    <t xml:space="preserve">Owner (role)</t>
  </si>
  <si>
    <t xml:space="preserve">Target sprint</t>
  </si>
  <si>
    <t xml:space="preserve">Pre-launch</t>
  </si>
  <si>
    <t xml:space="preserve">Positioning doc + message house (problem/promise/proof)</t>
  </si>
  <si>
    <t xml:space="preserve">Founder</t>
  </si>
  <si>
    <t xml:space="preserve">Listing SEO: keyword study in marketplace search + title/intro drafts</t>
  </si>
  <si>
    <t xml:space="preserve">Growth</t>
  </si>
  <si>
    <t xml:space="preserve">10 design-partner mini case snippets with metric proof</t>
  </si>
  <si>
    <t xml:space="preserve">5 comparison/alternative pages drafted</t>
  </si>
  <si>
    <t xml:space="preserve">Screenshots (5) + 2-min demo video produced</t>
  </si>
  <si>
    <t xml:space="preserve">Design</t>
  </si>
  <si>
    <t xml:space="preserve">Listing live + launch post + video published</t>
  </si>
  <si>
    <t xml:space="preserve">Founder outreach: 100 named ICP accounts, 3-touch sequence</t>
  </si>
  <si>
    <t xml:space="preserve">Community value-posts (3 relevant communities)</t>
  </si>
  <si>
    <t xml:space="preserve">Review-generation program on (in-app ask post-aha)</t>
  </si>
  <si>
    <t xml:space="preserve">Eng</t>
  </si>
  <si>
    <t xml:space="preserve">Post-launch</t>
  </si>
  <si>
    <t xml:space="preserve">Weekly SEO/how-to content cadence starts</t>
  </si>
  <si>
    <t xml:space="preserve">Marketplace paid placement pilot (where offered)</t>
  </si>
  <si>
    <t xml:space="preserve">2 integration co-marketing swaps</t>
  </si>
  <si>
    <t xml:space="preserve">S12+</t>
  </si>
  <si>
    <t xml:space="preserve">G2/Capterra profiles + first 10 reviews</t>
  </si>
  <si>
    <t xml:space="preserve">PLATFORM LAUNCH CHECKLIST — Atlassian Marketplace</t>
  </si>
  <si>
    <t xml:space="preserve">Item</t>
  </si>
  <si>
    <t xml:space="preserve">Marketplace vendor account + Forge app registered</t>
  </si>
  <si>
    <t xml:space="preserve">Open — FULL STACK ready: UI bundle + handlers + adapter + manifest + guide; only ► steps remain</t>
  </si>
  <si>
    <t xml:space="preserve">Forge app review pack: scopes, egress allowlist, storage use documented</t>
  </si>
  <si>
    <t xml:space="preserve">Doc-complete — review pack ready (docs/review-pack.md)</t>
  </si>
  <si>
    <t xml:space="preserve">Cloud Fortified gap assessment (SLA, incident process, residency) with target date</t>
  </si>
  <si>
    <t xml:space="preserve">Doc-complete — formal gap assessment: no structural gaps; apply at listing+60d</t>
  </si>
  <si>
    <t xml:space="preserve">Data residency: Forge hosted storage regions statement</t>
  </si>
  <si>
    <t xml:space="preserve">Doc-complete — residency statement ready for trust tab</t>
  </si>
  <si>
    <t xml:space="preserve">Xray/Zephyr importer tested on 3 real export files</t>
  </si>
  <si>
    <t xml:space="preserve">Open — importer format-faithful (Xray Exporter multi-step, Zephyr Scale, RFC-4180); 3 REAL files = acceptance evidence</t>
  </si>
  <si>
    <t xml:space="preserve">Jira permission schemes respected (project vs global) verified</t>
  </si>
  <si>
    <t xml:space="preserve">Done-in-code — scope-aware permission guard + audit on all routes; live verification at LC #1</t>
  </si>
  <si>
    <t xml:space="preserve">Marketplace listing: highlights, 5 screenshots, demo video per guidelines</t>
  </si>
  <si>
    <t xml:space="preserve">In progress — spec now submission-accurate (verified Rule-of-3, 1840x900); draft layout review via demo.html; capture at LC-1</t>
  </si>
  <si>
    <t xml:space="preserve">Pricing: per-user tiers via Atlassian billing configured and test-purchased</t>
  </si>
  <si>
    <t xml:space="preserve">In progress — licensing flag + gate shipped+tested; D18 per-user price decision, partner-console setup + test purchase = Senthil</t>
  </si>
  <si>
    <t xml:space="preserve">Performance: panel load &lt;1s p75 on 10k-issue projects</t>
  </si>
  <si>
    <t xml:space="preserve">In progress — local load test executed (p95 28ms); live p75 at LC-1</t>
  </si>
  <si>
    <t xml:space="preserve">Support docs + SLA statement on listing trust tab</t>
  </si>
  <si>
    <t xml:space="preserve">In progress — trust page + SLA + 15 articles shipped</t>
  </si>
  <si>
    <t xml:space="preserve">METRIC TARGETS (first 12 months post-launch)</t>
  </si>
  <si>
    <t xml:space="preserve">Metric</t>
  </si>
  <si>
    <t xml:space="preserve">Notes</t>
  </si>
  <si>
    <t xml:space="preserve">Installs/signups cumulative</t>
  </si>
  <si>
    <t xml:space="preserve">varies</t>
  </si>
  <si>
    <t xml:space="preserve">3x M1</t>
  </si>
  <si>
    <t xml:space="preserve">8x M1</t>
  </si>
  <si>
    <t xml:space="preserve">20x M1</t>
  </si>
  <si>
    <t xml:space="preserve">Drive via listing SEO + outbound</t>
  </si>
  <si>
    <t xml:space="preserve">Activation % (24h)</t>
  </si>
  <si>
    <t xml:space="preserve">30%</t>
  </si>
  <si>
    <t xml:space="preserve">40%</t>
  </si>
  <si>
    <t xml:space="preserve">45%</t>
  </si>
  <si>
    <t xml:space="preserve">50%</t>
  </si>
  <si>
    <t xml:space="preserve">Onboarding iterations S12+</t>
  </si>
  <si>
    <t xml:space="preserve">Trial→paid %</t>
  </si>
  <si>
    <t xml:space="preserve">baseline</t>
  </si>
  <si>
    <t xml:space="preserve">+2pts</t>
  </si>
  <si>
    <t xml:space="preserve">+4pts</t>
  </si>
  <si>
    <t xml:space="preserve">+6pts</t>
  </si>
  <si>
    <t xml:space="preserve">Pricing test at S12</t>
  </si>
  <si>
    <t xml:space="preserve">Rating</t>
  </si>
  <si>
    <t xml:space="preserve">4.5+</t>
  </si>
  <si>
    <t xml:space="preserve">4.6+</t>
  </si>
  <si>
    <t xml:space="preserve">4.7+</t>
  </si>
  <si>
    <t xml:space="preserve">Review program + support speed</t>
  </si>
  <si>
    <t xml:space="preserve">MRR</t>
  </si>
  <si>
    <t xml:space="preserve">first $</t>
  </si>
  <si>
    <t xml:space="preserve">3x</t>
  </si>
  <si>
    <t xml:space="preserve">8x</t>
  </si>
  <si>
    <t xml:space="preserve">20x</t>
  </si>
  <si>
    <t xml:space="preserve">Model sheet has the math</t>
  </si>
  <si>
    <t xml:space="preserve">Logo churn/mo</t>
  </si>
  <si>
    <t xml:space="preserve">&lt;5%</t>
  </si>
  <si>
    <t xml:space="preserve">&lt;4%</t>
  </si>
  <si>
    <t xml:space="preserve">&lt;3%</t>
  </si>
  <si>
    <t xml:space="preserve">Health-score saves</t>
  </si>
  <si>
    <t xml:space="preserve">PRODUCT RISK REGISTER</t>
  </si>
  <si>
    <t xml:space="preserve">Risk</t>
  </si>
  <si>
    <t xml:space="preserve">Impact</t>
  </si>
  <si>
    <t xml:space="preserve">Likelihood</t>
  </si>
  <si>
    <t xml:space="preserve">Mitigation</t>
  </si>
  <si>
    <t xml:space="preserve">Atlassian Forge program rate/policy changes mid-build</t>
  </si>
  <si>
    <t xml:space="preserve">Medium</t>
  </si>
  <si>
    <t xml:space="preserve">Track dev changelog; rate abstraction in pricing model</t>
  </si>
  <si>
    <t xml:space="preserve">Xray/Zephyr respond with AI features</t>
  </si>
  <si>
    <t xml:space="preserve">High</t>
  </si>
  <si>
    <t xml:space="preserve">Speed + Forge-native cost advantage + importer-led switching</t>
  </si>
  <si>
    <t xml:space="preserve">Cloud Fortified bar raises before listing</t>
  </si>
  <si>
    <t xml:space="preserve">Start gap assessment S1, not S9</t>
  </si>
  <si>
    <t xml:space="preserve">Hosted-storage value limits hit by growing ledgers (F-TP06 capped; OBS-TP1 hydrate-all remains)</t>
  </si>
  <si>
    <t xml:space="preserve">FIFO caps shipped; prefix-scoped hydration is the open architectural call before the first large tenant</t>
  </si>
  <si>
    <t xml:space="preserve">Data-deletion claims outrun implementation (found as F-TP01/F-TP02)</t>
  </si>
  <si>
    <t xml:space="preserve">Low (post-fix)</t>
  </si>
  <si>
    <t xml:space="preserve">Namespace registry + drift test: an unregistered namespace now fails the build, not the security review</t>
  </si>
  <si>
    <t xml:space="preserve">Deploy-time failure invisible to the suite (VER-P01/VER-P02 class)</t>
  </si>
  <si>
    <t xml:space="preserve">Entrypoint type-check + UI build are now CI gates; same gate to be ported across the portfolio (L-P1)</t>
  </si>
  <si>
    <t xml:space="preserve">Shipped-but-unreachable scope (F-TP21..28 class) — modules pass their tests while no user can trigger them</t>
  </si>
  <si>
    <t xml:space="preserve">Reachability audit run for TestPulse; standing check proposed portfolio-wide (L-P4)</t>
  </si>
  <si>
    <t xml:space="preserve">Published claims drifting from the product (F-TP33 class) — customer- and reviewer-facing documents outrun the code</t>
  </si>
  <si>
    <t xml:space="preserve">Mechanical claims pinned by tests; untestable claims need a named owner and date (L-P5)</t>
  </si>
  <si>
    <t xml:space="preserve">Read-shaped interaction wired to a write-shaped call (F-TP39 class) — correct code, correct docs, wrong sequence</t>
  </si>
  <si>
    <t xml:space="preserve">No gate catches it; one user-path walkthrough per product before launch (L-P6)</t>
  </si>
  <si>
    <t xml:space="preserve">COLD REVIEW PASS 1 — findings (11/09/2026 22:28). Senthil: column F is your disposition column.</t>
  </si>
  <si>
    <t xml:space="preserve">Found at 26 suites / 167 tests / 100% coverage. Coverage proves execution, not correctness (portfolio lesson F-V14). Every FIXED row has a regression in test/review.pass1.test.ts that fails against the pre-review code.</t>
  </si>
  <si>
    <t xml:space="preserve">Severity</t>
  </si>
  <si>
    <t xml:space="preserve">Module</t>
  </si>
  <si>
    <t xml:space="preserve">Defect / observation</t>
  </si>
  <si>
    <t xml:space="preserve">Disposition in code</t>
  </si>
  <si>
    <t xml:space="preserve">Senthil decision</t>
  </si>
  <si>
    <t xml:space="preserve">F-TP01</t>
  </si>
  <si>
    <t xml:space="preserve">compliance.ts</t>
  </si>
  <si>
    <t xml:space="preserve">delete-my-data / export-my-data matched key.includes(cloudId): test cases, run boards, CI results, audit log, notifications, telemetry, support tickets and latency samples were neither exported nor deleted — breaches trust page, HC-11/HC-12 and residency statement. Empty cloudId matched every key.</t>
  </si>
  <si>
    <t xml:space="preserve">FIXED — tenantData.ts namespace registry drives export + delete + retention sweep; exact-segment tenant match; empty cloudId rejected; drift test asserts no unclassified key after a full tenant flow</t>
  </si>
  <si>
    <t xml:space="preserve">Confirm the registry is the contract: any future module must register its namespace or the build fails</t>
  </si>
  <si>
    <t xml:space="preserve">F-TP02</t>
  </si>
  <si>
    <t xml:space="preserve">lifecycle.ts</t>
  </si>
  <si>
    <t xml:space="preserve">30-day retention sweep purged only acct: — all other tenant data survived indefinitely against a published "then hard delete" policy</t>
  </si>
  <si>
    <t xml:space="preserve">FIXED — sweep delegates to purgeTenant; regression asserts an empty store after expiry</t>
  </si>
  <si>
    <t xml:space="preserve">None — but this is the claim a Marketplace security reviewer is most likely to test</t>
  </si>
  <si>
    <t xml:space="preserve">F-TP03</t>
  </si>
  <si>
    <t xml:space="preserve">ui/viewmodel.ts, ui/mount.ts</t>
  </si>
  <si>
    <t xml:space="preserve">Panel read `score` from flaky rows; resolver returns `flipRate`. The live flaky tab would have shown "NaN%" on every row. jsdom tests passed because they hand-built the view-model input.</t>
  </si>
  <si>
    <t xml:space="preserve">FIXED — flakyVM typed against the real FlakyScore; demo.html re-verified headless (67%/21%, no NaN)</t>
  </si>
  <si>
    <t xml:space="preserve">None — but it is why draft screenshots must come from demo.html, not from hand-built fixtures</t>
  </si>
  <si>
    <t xml:space="preserve">F-TP04</t>
  </si>
  <si>
    <t xml:space="preserve">ui/mount.ts, readiness.ts</t>
  </si>
  <si>
    <t xml:space="preserve">Readiness tab invoked `readiness` with an empty payload -&gt; NaN score rendered as NOT-READY. readinessScore validated only coveragePct, so runPassRate=5 scored above 100.</t>
  </si>
  <si>
    <t xml:space="preserve">FIXED — new readinessSummary resolver call derives inputs from boards + flaky scores; all four inputs range-validated</t>
  </si>
  <si>
    <t xml:space="preserve">Decide who supplies coveragePct and openP0Defects live: owner-entered ready:settings today, or read from a CI coverage feed later</t>
  </si>
  <si>
    <t xml:space="preserve">F-TP05</t>
  </si>
  <si>
    <t xml:space="preserve">forgeStore.ts, forgeGlue.ts</t>
  </si>
  <si>
    <t xml:space="preserve">Writes issued eagerly, awaited only at flush(). A throwing handler never reached flush — floating promises, unhandled rejection able to tear down the invocation, writes that may not settle; a rejected write left the cache claiming success.</t>
  </si>
  <si>
    <t xml:space="preserve">FIXED — write failures captured, StoreWriteError raised at flush, glue flushes on success and error paths</t>
  </si>
  <si>
    <t xml:space="preserve">None</t>
  </si>
  <si>
    <t xml:space="preserve">F-TP06</t>
  </si>
  <si>
    <t xml:space="preserve">webhooks, permissions, flaky, notifications, ops</t>
  </si>
  <si>
    <t xml:space="preserve">Five unbounded ledgers (wh:seen, audit, fl:results, ntf:log, lat:*). Forge caps single-value size, so these eventually hard-fail every write; p95 was computed over all history.</t>
  </si>
  <si>
    <t xml:space="preserve">FIXED — shared appendCapped FIFO with persisted drop counters; latency on a 1000-sample rolling window</t>
  </si>
  <si>
    <t xml:space="preserve">Ratify the caps (10k events, 1k latency samples) — they are the retention policy in practice</t>
  </si>
  <si>
    <t xml:space="preserve">F-TP07</t>
  </si>
  <si>
    <t xml:space="preserve">Med-High</t>
  </si>
  <si>
    <t xml:space="preserve">flaky.ts</t>
  </si>
  <si>
    <t xml:space="preserve">setThreshold wrote an instance field; every Forge invocation builds a new detector, so the ST-023 custom threshold was silently discarded in production. Tests reused one instance and passed.</t>
  </si>
  <si>
    <t xml:space="preserve">FIXED — threshold persisted to fl:threshold; regression constructs a second detector as the resolver does</t>
  </si>
  <si>
    <t xml:space="preserve">F-TP08</t>
  </si>
  <si>
    <t xml:space="preserve">jiraClient.ts</t>
  </si>
  <si>
    <t xml:space="preserve">retryAfter slept as milliseconds; HTTP Retry-After is SECONDS. Jira asking for 60s got 60ms — a retry storm straight back into the rate limiter.</t>
  </si>
  <si>
    <t xml:space="preserve">FIXED — renamed retryAfterSeconds, converted, both backoff paths capped at 60s</t>
  </si>
  <si>
    <t xml:space="preserve">F-TP09</t>
  </si>
  <si>
    <t xml:space="preserve">ops.ts</t>
  </si>
  <si>
    <t xml:space="preserve">restore() wiped every key before validating the snapshot: a parseable-but-wrong snapshot (null, [], 3) destroyed all data then threw. The restore drill was itself a data-loss path.</t>
  </si>
  <si>
    <t xml:space="preserve">FIXED — snapshot shape validated before the wipe</t>
  </si>
  <si>
    <t xml:space="preserve">F-TP10</t>
  </si>
  <si>
    <t xml:space="preserve">Med</t>
  </si>
  <si>
    <t xml:space="preserve">runboards.ts</t>
  </si>
  <si>
    <t xml:space="preserve">Board ids derived from key count: creating a board after deleting one silently overwrote an existing board; concurrent invocations collided.</t>
  </si>
  <si>
    <t xml:space="preserve">FIXED — monotonic persisted rb:seq</t>
  </si>
  <si>
    <t xml:space="preserve">F-TP11</t>
  </si>
  <si>
    <t xml:space="preserve">runboards.ts, testgen.ts</t>
  </si>
  <si>
    <t xml:space="preserve">Naive split(","): every row of a CRLF export (Excel/Jira on Windows) failed, quoted commas mis-parsed, a bad row midway left earlier rows persisted, import ids restarted at I1 and collided.</t>
  </si>
  <si>
    <t xml:space="preserve">FIXED — both importers use the shared RFC-4180 parser, validate whole file then apply; import sequence persisted</t>
  </si>
  <si>
    <t xml:space="preserve">Feeds LC-5: the 3 real Xray/Zephyr exports will now exercise the same parser the importer uses</t>
  </si>
  <si>
    <t xml:space="preserve">F-TP12</t>
  </si>
  <si>
    <t xml:space="preserve">forgeGlue.ts</t>
  </si>
  <si>
    <t xml:space="preserve">CI webtrigger is public by design; malformed JSON or non-array results threw out of the handler -&gt; Forge 500 with a stack to an unauthenticated caller.</t>
  </si>
  <si>
    <t xml:space="preserve">FIXED — parse + shape guard returns 400 malformed-payload</t>
  </si>
  <si>
    <t xml:space="preserve">F-TP13</t>
  </si>
  <si>
    <t xml:space="preserve">licensing.ts</t>
  </si>
  <si>
    <t xml:space="preserve">Read-only gate used a hand-kept set of mutating call names with nothing to catch drift; a new resolver call would have been writable while unlicensed.</t>
  </si>
  <si>
    <t xml:space="preserve">FIXED — every call classified in CALL_KINDS, unknown calls fail closed, drift test parses the resolver switch</t>
  </si>
  <si>
    <t xml:space="preserve">Confirm changePlan stays exempt while a license is inactive (renewal must work) — current behaviour</t>
  </si>
  <si>
    <t xml:space="preserve">OBS-TP1</t>
  </si>
  <si>
    <t xml:space="preserve">forgeStore.ts</t>
  </si>
  <si>
    <t xml:space="preserve">ForgeStore.hydrate() loads every key in the installation on every invocation. Bounded now by F-TP06 but grows with tenant data; Forge invocations time out at 25s.</t>
  </si>
  <si>
    <t xml:space="preserve">NOT FIXED — prefix-scoped hydration changes the Store seam all 27 modules sit behind</t>
  </si>
  <si>
    <t xml:space="preserve">DECISION: architectural, worth doing before the first large tenant, not before the first install</t>
  </si>
  <si>
    <t xml:space="preserve">OBS-TP2</t>
  </si>
  <si>
    <t xml:space="preserve">Low-Med</t>
  </si>
  <si>
    <t xml:space="preserve">Circuit breaker has no half-open probe limit: after cooldown every caller retries at once.</t>
  </si>
  <si>
    <t xml:space="preserve">NOT FIXED — identical to FlowCast OBS-002 and VoiceBridge OBS-V2</t>
  </si>
  <si>
    <t xml:space="preserve">DECISION: portfolio-wide, decide once and apply to all three</t>
  </si>
  <si>
    <t xml:space="preserve">OBS-TP3</t>
  </si>
  <si>
    <t xml:space="preserve">Low</t>
  </si>
  <si>
    <t xml:space="preserve">telemetry.ts</t>
  </si>
  <si>
    <t xml:space="preserve">CSV export emitted raw keys unquoted; a feature name containing a comma broke the columns.</t>
  </si>
  <si>
    <t xml:space="preserve">FIXED in passing (csvCell)</t>
  </si>
  <si>
    <t xml:space="preserve">OBS-TP4</t>
  </si>
  <si>
    <t xml:space="preserve">billing.ts</t>
  </si>
  <si>
    <t xml:space="preserve">No payment-recovery path (a tenant who fixes their card stays read-only forever) and trial expiry never enforced (perpetual free access). Both are live defects in the sibling products.</t>
  </si>
  <si>
    <t xml:space="preserve">NOT FIXED — inert for this channel: Atlassian owns purchase/trial/proration/dunning under Paid-via-Atlassian and the app only reads license state</t>
  </si>
  <si>
    <t xml:space="preserve">DECISION: take the fix if and when a direct sales channel is switched on, not before</t>
  </si>
  <si>
    <t xml:space="preserve">COLD REVIEW PASS 2 + VERIFICATION SWEEP (13/09/2026 09:52) — artifacts checked against live Atlassian docs, not just code against itself.</t>
  </si>
  <si>
    <t xml:space="preserve">Module / artifact</t>
  </si>
  <si>
    <t xml:space="preserve">Defect / lesson</t>
  </si>
  <si>
    <t xml:space="preserve">VER-P01</t>
  </si>
  <si>
    <t xml:space="preserve">Live-blocking</t>
  </si>
  <si>
    <t xml:space="preserve">forge/index.ts</t>
  </si>
  <si>
    <t xml:space="preserve">The Forge entrypoint was five commented-out lines: `forge deploy` would have registered handlers index.resolver / index.ciWebhook that do not exist, so every panel invocation and CI webhook failed in the installed app. The shape was also wrong — Forge resolvers are resolver.define(key,({payload,context})) + getDefinitions(), and invoke(functionKey,payload) matches the DEFINITION KEY, never our single resolver({call,...}) function.</t>
  </si>
  <si>
    <t xml:space="preserve">FIXED — src/forgeAdapter.ts builds one definition per call; forge/index.ts is real code compiling against the real @forge/resolver, @forge/kvs, @forge/api; new CI gate npm run typecheck:forge</t>
  </si>
  <si>
    <t xml:space="preserve">None — but note LC-1 would have failed at the first panel click before this pass</t>
  </si>
  <si>
    <t xml:space="preserve">VER-P02</t>
  </si>
  <si>
    <t xml:space="preserve">static/build/index.html, static/entry.ts</t>
  </si>
  <si>
    <t xml:space="preserve">The Custom UI page loaded the bundle and then called nothing (empty #root, bridge wiring commented out), and the bundle contained no @forge/bridge at all (3.7kb before vs 96.7kb after). The generate tab also demanded storyText, which an issue panel never has — it knows only the issue key.</t>
  </si>
  <si>
    <t xml:space="preserve">FIXED — real boot()/bootForge() with an error surface; bridge bundled; story text fetched server-side via env.fetchStory (read:jira-work already held); demo page split into its own bridge-free bundle because @forge/bridge refuses to initialise outside an Atlassian product</t>
  </si>
  <si>
    <t xml:space="preserve">None — demo.html screenshots still work, now from demo.js</t>
  </si>
  <si>
    <t xml:space="preserve">VER-P03</t>
  </si>
  <si>
    <t xml:space="preserve">Forge resolver context carries LicenseDetails { active, isEvaluation }; the gate expected { active, evaluation }, so a trialling customer would never have seen the evaluation banner.</t>
  </si>
  <si>
    <t xml:space="preserve">FIXED — mapLicense() in the adapter, pinned to the documented shape</t>
  </si>
  <si>
    <t xml:space="preserve">F-TP14</t>
  </si>
  <si>
    <t xml:space="preserve">High (security)</t>
  </si>
  <si>
    <t xml:space="preserve">The permission role arrived in the request context — i.e. from the caller. Forge context is trustworthy but has no app role, so any adapter had to invent one: a member could invoke as owner and delete tenant data.</t>
  </si>
  <si>
    <t xml:space="preserve">FIXED — src/roles.ts derives role server-side (assignment &gt; installing account &gt; Jira site admin &gt; member); assignRole is owner-only; regression proves a role:owner payload is ignored</t>
  </si>
  <si>
    <t xml:space="preserve">DECISION: role model — today admin = Jira ADMINISTER and installer = owner. A different mapping (project lead, explicit assignment only) is a product call</t>
  </si>
  <si>
    <t xml:space="preserve">F-TP15</t>
  </si>
  <si>
    <t xml:space="preserve">webhooks.ts</t>
  </si>
  <si>
    <t xml:space="preserve">One app-wide signing secret shared by every installation, while HC-05 told customers to copy it "from Settings" — a screen that could not exist because no per-tenant secret did.</t>
  </si>
  <si>
    <t xml:space="preserve">FIXED — per-installation secret provisioned at install, owner-only read + rotate (rotation clears the replay ledger); env value kept only as fallback for earlier installs</t>
  </si>
  <si>
    <t xml:space="preserve">Panel needs a Settings &gt; CI screen surfacing webhookSecret before listing (UI work, ~half a day)</t>
  </si>
  <si>
    <t xml:space="preserve">F-TP16</t>
  </si>
  <si>
    <t xml:space="preserve">testgen.ts, aiProvider.ts</t>
  </si>
  <si>
    <t xml:space="preserve">AnthropicProvider was shipped behind the AI seam and NEVER CALLED — generate always ran the rule engine, so AI generation was inert in production even with ANTHROPIC_API_KEY set, and R-P6 was reported cleared on an unreachable class.</t>
  </si>
  <si>
    <t xml:space="preserve">FIXED — generateWithAi uses the provider, holds its output to the same rules (kind filters + maxCases), persists it, and falls back to rules on failure with a counter</t>
  </si>
  <si>
    <t xml:space="preserve">Confirm whether AI generation ships ON at launch (cost per install) or behind an owner toggle</t>
  </si>
  <si>
    <t xml:space="preserve">F-TP17</t>
  </si>
  <si>
    <t xml:space="preserve">xrayImport.ts</t>
  </si>
  <si>
    <t xml:space="preserve">The importer parsed Xray multi-step rows — the reason the module exists — then round-tripped through a 3-column CSV, so every imported case landed with EMPTY steps.</t>
  </si>
  <si>
    <t xml:space="preserve">FIXED — TestGen.importCases keeps steps and kinds, atomic and id-unique</t>
  </si>
  <si>
    <t xml:space="preserve">Feeds LC-5: the 3 real export files now prove the whole path, not just the parser</t>
  </si>
  <si>
    <t xml:space="preserve">F-TP18</t>
  </si>
  <si>
    <t xml:space="preserve">onboarding.ts</t>
  </si>
  <si>
    <t xml:space="preserve">Demo mode wrote three inert marker records no feature reads, so ST-083/HC-15 "explore with seeded sample data" showed an empty product.</t>
  </si>
  <si>
    <t xml:space="preserve">FIXED — seeds real cases, a real board with runs and real flaky history; records exactly what it created and removes exactly that on disable</t>
  </si>
  <si>
    <t xml:space="preserve">F-TP19</t>
  </si>
  <si>
    <t xml:space="preserve">helpcenter.ts</t>
  </si>
  <si>
    <t xml:space="preserve">Three articles promised behaviour the product lacks: a "skip" run status RunStatus never defined, a billing flow superseded by Paid-via-Atlassian (GST/VAT invoices from the retired engine), and the non-existent CI Settings screen.</t>
  </si>
  <si>
    <t xml:space="preserve">FIXED — articles corrected; tests pin each claim to the code implementing it</t>
  </si>
  <si>
    <t xml:space="preserve">Listing copy + pricing FAQ still carry the flat $99/$299 anchor — blocked on D18</t>
  </si>
  <si>
    <t xml:space="preserve">F-TP20</t>
  </si>
  <si>
    <t xml:space="preserve">Exit-survey ledger unbounded — the one pass 1 missed.</t>
  </si>
  <si>
    <t xml:space="preserve">FIXED — FIFO-capped like the rest</t>
  </si>
  <si>
    <t xml:space="preserve">L-P1</t>
  </si>
  <si>
    <t xml:space="preserve">Lesson</t>
  </si>
  <si>
    <t xml:space="preserve">portfolio</t>
  </si>
  <si>
    <t xml:space="preserve">A 100%-covered codebase can be undeployable: nothing in a Jest suite loads the file the platform loads. Same class as VoiceBridge VER-V01 (opencti_min.js never loaded) — twice now, so it is a pattern.</t>
  </si>
  <si>
    <t xml:space="preserve">Entrypoint type-check against the real vendor packages is now a CI gate here</t>
  </si>
  <si>
    <t xml:space="preserve">DECISION: port the same gate to the other 10 products</t>
  </si>
  <si>
    <t xml:space="preserve">L-P2</t>
  </si>
  <si>
    <t xml:space="preserve">A seam is not a feature. Shipping AnthropicProvider closed R-P6 on paper while nothing called it.</t>
  </si>
  <si>
    <t xml:space="preserve">Report a seam closed only when a test drives the real path end to end</t>
  </si>
  <si>
    <t xml:space="preserve">L-P3</t>
  </si>
  <si>
    <t xml:space="preserve">Authorization inputs must be named: `role` looked like context and was actually caller input.</t>
  </si>
  <si>
    <t xml:space="preserve">For every field used in an authorization decision, record where it comes from and who can set it</t>
  </si>
  <si>
    <t xml:space="preserve">COLD REVIEW PASS 3 — REACHABILITY (13/09/2026 10:24): what ships but cannot be reached by anyone in the installed app.</t>
  </si>
  <si>
    <t xml:space="preserve">Module / area</t>
  </si>
  <si>
    <t xml:space="preserve">F-TP21</t>
  </si>
  <si>
    <t xml:space="preserve">exportMyData/deleteMyData had NO resolver call — the self-serve export and deletion promised by HC-12, the trust page, the residency statement and the Cloud Fortified gap assessment were unreachable in the installed app. Pass 1 fixed the correctness of a feature nobody could invoke.</t>
  </si>
  <si>
    <t xml:space="preserve">FIXED — owner-only exportMyData + deleteMyData (deletion requires typing the site id), both EXEMPT from the license gate so data rights survive an inactive license</t>
  </si>
  <si>
    <t xml:space="preserve">None — this is the claim a Marketplace security reviewer tests first</t>
  </si>
  <si>
    <t xml:space="preserve">F-TP22</t>
  </si>
  <si>
    <t xml:space="preserve">lifecycle.ts, manifest</t>
  </si>
  <si>
    <t xml:space="preserve">sweepDeletions() was scheduled NOWHERE: the manifest had no scheduledTrigger, so the published "30 days post-uninstall, then hard delete" never ran in production.</t>
  </si>
  <si>
    <t xml:space="preserve">FIXED — daily scheduledTrigger (syntax verified live: key+function+interval, &lt;=5 per app, duplicate delivery possible so the handler is idempotent), makeScheduledSweep adapter, retentionSweep exported from the entrypoint</t>
  </si>
  <si>
    <t xml:space="preserve">Confirm daily is the right interval (hour/day/week available)</t>
  </si>
  <si>
    <t xml:space="preserve">F-TP23</t>
  </si>
  <si>
    <t xml:space="preserve">testgen/flaky/runboards</t>
  </si>
  <si>
    <t xml:space="preserve">Every customisation and pause story (ST-003/008/018/023/028) was library-only — a customer could not change a generation rule, a flaky threshold, or pause anything.</t>
  </si>
  <si>
    <t xml:space="preserve">FIXED — settings/setSettings resolver calls (members read-only) plus a real Settings screen</t>
  </si>
  <si>
    <t xml:space="preserve">F-TP24</t>
  </si>
  <si>
    <t xml:space="preserve">notifications.ts</t>
  </si>
  <si>
    <t xml:space="preserve">Notification preferences (ST-010/020/030/040/050, HC-13) had no surface, and nothing in the Forge path ever called notify() — no notification was raised in the installed app at all. Only the REST smoke harness did.</t>
  </si>
  <si>
    <t xml:space="preserve">FIXED — notify wired into generate/recordRun/importXray, preferences editable in Settings, notifications call returns the recent log</t>
  </si>
  <si>
    <t xml:space="preserve">Email channel still has no provider — in-app only until one is chosen</t>
  </si>
  <si>
    <t xml:space="preserve">F-TP25</t>
  </si>
  <si>
    <t xml:space="preserve">trackError had no caller, so the error-spike alert (ST-072/ST-077) could never fire.</t>
  </si>
  <si>
    <t xml:space="preserve">FIXED — every failed invocation records resolver:&lt;call&gt;, on a separate store write so telemetry cannot mask the original error</t>
  </si>
  <si>
    <t xml:space="preserve">Alert delivery (where does a spike go?) is an ops decision</t>
  </si>
  <si>
    <t xml:space="preserve">F-TP26</t>
  </si>
  <si>
    <t xml:space="preserve">support.ts</t>
  </si>
  <si>
    <t xml:space="preserve">ST-081 in-app support intake and the SLA report were unreachable.</t>
  </si>
  <si>
    <t xml:space="preserve">FIXED — supportOpen (exempt from the license gate) + admin-only supportTickets</t>
  </si>
  <si>
    <t xml:space="preserve">D-P1 equivalent: in-app chat vendor vs built-in intake is still open</t>
  </si>
  <si>
    <t xml:space="preserve">F-TP27</t>
  </si>
  <si>
    <t xml:space="preserve">LatencyMonitor was only called by the load harness, so the p95 budgets (ST-087) had no production data, and statusPage had no surface.</t>
  </si>
  <si>
    <t xml:space="preserve">FIXED — every panel-facing call is measured against its budget surface inside the same invocation (a fire-and-forget write races the next read and loses samples); statusReport returns status + per-surface p95</t>
  </si>
  <si>
    <t xml:space="preserve">F-TP28</t>
  </si>
  <si>
    <t xml:space="preserve">ui/mount.ts</t>
  </si>
  <si>
    <t xml:space="preserve">The panel rendered HTML and bound nothing — no control in the product did anything. Four read-only tabs, no way to act.</t>
  </si>
  <si>
    <t xml:space="preserve">FIXED — delegated action binding (data-action/data-field), failures shown on screen instead of swallowed, state re-read after each success</t>
  </si>
  <si>
    <t xml:space="preserve">Settings screen is now listing-screenshot material (asset capture)</t>
  </si>
  <si>
    <t xml:space="preserve">F-TP19b</t>
  </si>
  <si>
    <t xml:space="preserve">HC-03 promised admins could "add, reorder or disable generation rules per workflow" — rules are three toggles and a cap, with no ordering.</t>
  </si>
  <si>
    <t xml:space="preserve">FIXED — article rewritten to the controls the screen renders, pinned by a test that greps the rendered HTML for each data-field</t>
  </si>
  <si>
    <t xml:space="preserve">L-P4</t>
  </si>
  <si>
    <t xml:space="preserve">A module with no caller is not a feature, and a test suite cannot tell the difference: several of these had 100% branch coverage of behaviour no user could trigger. Third distinct "passes its tests, cannot work" class in this product after L-P1 (undeployable entrypoint) and L-P2 (unwired seam).</t>
  </si>
  <si>
    <t xml:space="preserve">Standing check proposed: list every exported capability and name the resolver call, trigger or control that reaches it; an empty column is scope to cut or a feature to finish</t>
  </si>
  <si>
    <t xml:space="preserve">DECISION: run the same reachability audit across the other 10 products</t>
  </si>
  <si>
    <t xml:space="preserve">COLD REVIEW PASS 4 — CLAIMS (13/09/2026 10:37): the 13 published documents vs what the code now does.</t>
  </si>
  <si>
    <t xml:space="preserve">Document / module</t>
  </si>
  <si>
    <t xml:space="preserve">F-TP30</t>
  </si>
  <si>
    <t xml:space="preserve">jiraClient.ts, forge/index.ts</t>
  </si>
  <si>
    <t xml:space="preserve">ST-070 backoff/jitter/circuit-breaker only wrapped an injected http function that nothing in the Forge path used: the entrypoint's two live Jira calls (story fetch, admin check) went straight out with no retry and no breaker — while the security assessment claimed rate-limit resilience as a verified control.</t>
  </si>
  <si>
    <t xml:space="preserve">FIXED — JiraClient.run(label, op) applies the policy to any operation including a route tagged-template call; both entrypoint calls share one client; Retry-After read from the response header (seconds, capped)</t>
  </si>
  <si>
    <t xml:space="preserve">F-TP31</t>
  </si>
  <si>
    <t xml:space="preserve">Cloud Fortified "Backup/recovery: DONE (drill)" rested on BackupOps.drill(), which had no caller and is destructive by design (it restores over live data), so it could never be exposed to a tenant.</t>
  </si>
  <si>
    <t xml:space="preserve">FIXED — non-destructive verify() (keys, bytes, content digest) reported via statusReport; the destructive drill is documented as a staging tool</t>
  </si>
  <si>
    <t xml:space="preserve">Re-run the destructive drill against live Forge storage at LC-1</t>
  </si>
  <si>
    <t xml:space="preserve">F-TP32</t>
  </si>
  <si>
    <t xml:space="preserve">compliance.ts, CI</t>
  </si>
  <si>
    <t xml:space="preserve">The trust page claimed the encryption posture was "asserted by config check in CI". verifyEncryptionPosture had tests and no runner — the assertion was never made anywhere.</t>
  </si>
  <si>
    <t xml:space="preserve">FIXED — scripts/check-posture.js wired as npm run check:posture in CI: fails on TLS disabled, fails at deploy without a bound KMS key</t>
  </si>
  <si>
    <t xml:space="preserve">B-18 KMS binding at deploy remains Senthil-side</t>
  </si>
  <si>
    <t xml:space="preserve">F-TP33</t>
  </si>
  <si>
    <t xml:space="preserve">trust-page, submission-dry-run, security-assessment, wcag-checklist</t>
  </si>
  <si>
    <t xml:space="preserve">Four false published statements: an EMAIL SUBPROCESSOR the app has no integration for and no egress permission to reach; the listing-asset row still citing the old 5-shot spec v006 had already corrected to the Rule-of-3; an authorization description written from the Express harness (x-tp-role header) rather than the product's server-derived roles; and a WCAG checklist deferring the automated pass because "there is no UI".</t>
  </si>
  <si>
    <t xml:space="preserve">FIXED — all four corrected, each pinned by a test that greps the document against the code</t>
  </si>
  <si>
    <t xml:space="preserve">Trust page + security assessment are customer-facing: worth a read before listing</t>
  </si>
  <si>
    <t xml:space="preserve">F-TP29</t>
  </si>
  <si>
    <t xml:space="preserve">ui/render.ts</t>
  </si>
  <si>
    <t xml:space="preserve">The flaky table shipped an unnamed column header (axe: empty-table-header) — a screen-reader user got an unlabelled column. Found by the new automated a11y pass on its first run.</t>
  </si>
  <si>
    <t xml:space="preserve">FIXED — caption plus named, scoped headers</t>
  </si>
  <si>
    <t xml:space="preserve">Progress</t>
  </si>
  <si>
    <t xml:space="preserve">test/a11y.test.ts</t>
  </si>
  <si>
    <t xml:space="preserve">The WCAG automated audit was deferred to LC-1 on the grounds that there was no UI to audit; pass 3 gave the panel real controls.</t>
  </si>
  <si>
    <t xml:space="preserve">SHIPPED — axe-core over all five panels + empty states on every build</t>
  </si>
  <si>
    <t xml:space="preserve">Manual keyboard/NVDA + contrast in the live iframe remain the only LC-1 a11y items</t>
  </si>
  <si>
    <t xml:space="preserve">L-P5</t>
  </si>
  <si>
    <t xml:space="preserve">A document is an assertion about the code and should be tested like one. Every false claim here was true when written; the product moved and the documents did not.</t>
  </si>
  <si>
    <t xml:space="preserve">Mechanical claims (no email subprocessor, asset spec, server-derived roles, a11y pass runs) are pinned by five-line tests that fail the build when doc and code diverge</t>
  </si>
  <si>
    <t xml:space="preserve">DECISION: adopt doc-pinning tests across the portfolio; untestable claims (SLA, pen-test) need a named owner and date</t>
  </si>
  <si>
    <t xml:space="preserve">PASS 5 — REVIEW GATES (13/09/2026 10:44): the standing checks, and what they found on their first run.</t>
  </si>
  <si>
    <t xml:space="preserve">Type</t>
  </si>
  <si>
    <t xml:space="preserve">Module / tool</t>
  </si>
  <si>
    <t xml:space="preserve">What it is / what it found</t>
  </si>
  <si>
    <t xml:space="preserve">Disposition</t>
  </si>
  <si>
    <t xml:space="preserve">GATE-1</t>
  </si>
  <si>
    <t xml:space="preserve">Tooling</t>
  </si>
  <si>
    <t xml:space="preserve">tools/review-gates/reachability.js</t>
  </si>
  <si>
    <t xml:space="preserve">L-P4 as code: walks the import graph from the REAL entrypoints (never the tests — that blindness is the point) and reports orphan modules and orphan methods. Exceptions require a written reason; stale exceptions are reported so they expire.</t>
  </si>
  <si>
    <t xml:space="preserve">SHIPPED + tested (test/gates.test.ts proves it goes red when what it guards breaks); wired as npm run gates in CI</t>
  </si>
  <si>
    <t xml:space="preserve">DECISION: port to the other 10 products — config is ~10 lines per repo</t>
  </si>
  <si>
    <t xml:space="preserve">GATE-2</t>
  </si>
  <si>
    <t xml:space="preserve">tools/review-gates/doc-claims.js</t>
  </si>
  <si>
    <t xml:space="preserve">L-P5 as code: a register of published claims, each tied to the evidence in code that must hold (15 registered for TestPulse). Fails the build on the commit that breaks the link rather than in a Marketplace security review.</t>
  </si>
  <si>
    <t xml:space="preserve">SHIPPED + tested; covers deletion, retention, scopes, subprocessors, encryption posture, asset spec, a11y, residency</t>
  </si>
  <si>
    <t xml:space="preserve">DECISION: adopt portfolio-wide; untestable claims (SLA, pen-test) need a named owner and date instead</t>
  </si>
  <si>
    <t xml:space="preserve">F-TP34</t>
  </si>
  <si>
    <t xml:space="preserve">Found by the gate, missed by manual pass 3: trackFeature/heatmap/exportCsv/funnel had no caller — the ST-073 feature heatmap was never fed and the ST-071 funnel and ST-076 export were never readable; setErrorThreshold was unreachable so ST-077 could not be tuned.</t>
  </si>
  <si>
    <t xml:space="preserve">FIXED — every resolver invocation records its feature; admin-only usageReport returns funnel+heatmap+CSV; threshold moved into Settings</t>
  </si>
  <si>
    <t xml:space="preserve">F-TP35</t>
  </si>
  <si>
    <t xml:space="preserve">Support.respond had no caller: a ticket could be opened and NEVER answered, so the SLA report could only ever accumulate breaches — and the Cloud Fortified evidence row cites that report.</t>
  </si>
  <si>
    <t xml:space="preserve">FIXED — supportRespond (admin/owner); the SLA report now measures what it claims</t>
  </si>
  <si>
    <t xml:space="preserve">F-TP36</t>
  </si>
  <si>
    <t xml:space="preserve">Both CSV importers were unreachable — run results (ST-019) and test cases (ST-009). Only the Xray path had a door.</t>
  </si>
  <si>
    <t xml:space="preserve">FIXED — importRuns and importTestCsv resolver calls</t>
  </si>
  <si>
    <t xml:space="preserve">F-TP37</t>
  </si>
  <si>
    <t xml:space="preserve">onboarding.ts, ui/mount.ts, forgeGlue.ts</t>
  </si>
  <si>
    <t xml:space="preserve">Two writers for one thing, twice: the panel kept its own copy of the ST-079 empty-state map while Onboarding.emptyState went uncalled, and Settings read/wrote ntf:pref:* directly, duplicating the key format Notifications owns.</t>
  </si>
  <si>
    <t xml:space="preserve">FIXED — one shared emptyStates.ts consumed by both; Settings goes through Notifications.setPref/prefs(); the dead method deleted rather than allowlisted</t>
  </si>
  <si>
    <t xml:space="preserve">OBS-TP5</t>
  </si>
  <si>
    <t xml:space="preserve">Open</t>
  </si>
  <si>
    <t xml:space="preserve">Telemetry.healthScore (ST-075) needs weekly-active-users, which nothing in the product tracks — the metric is unfed.</t>
  </si>
  <si>
    <t xml:space="preserve">NOT FIXED — allowlisted with the reason recorded</t>
  </si>
  <si>
    <t xml:space="preserve">DECISION: cut ST-075 or fund a usage feed for it</t>
  </si>
  <si>
    <t xml:space="preserve">COLD REVIEW PASS 6 — THE CUSTOMER'S PATH (13/09/2026 10:57): walking the primary loop as a user.</t>
  </si>
  <si>
    <t xml:space="preserve">F-TP39</t>
  </si>
  <si>
    <t xml:space="preserve">HIGH</t>
  </si>
  <si>
    <t xml:space="preserve">MOUNTING THE ISSUE PANEL CALLED generate — A WRITE. Every time anyone opened an issue, TestPulse generated and persisted another set of cases: 3 duplicates per view, unbounded, and with an LLM provider configured an Anthropic API call BILLED PER PANEL RENDER. Browsing 10 issues twice = 20 generations and 60 cases for 30 stories.</t>
  </si>
  <si>
    <t xml:space="preserve">FIXED — the panel reads (listCases); generating is an explicit button; mounting never writes</t>
  </si>
  <si>
    <t xml:space="preserve">None — but it is the reason to walk the loop before LC-1 assets are shot</t>
  </si>
  <si>
    <t xml:space="preserve">F-TP38</t>
  </si>
  <si>
    <t xml:space="preserve">testgen.ts</t>
  </si>
  <si>
    <t xml:space="preserve">There was no read path for cases at all: the panel could create them and never show what existed.</t>
  </si>
  <si>
    <t xml:space="preserve">FIXED — TestGen.list(storyKey?) + listCases resolver call, classified as a read so it survives an inactive license</t>
  </si>
  <si>
    <t xml:space="preserve">F-TP40</t>
  </si>
  <si>
    <t xml:space="preserve">runboards.ts, forgeGlue.ts</t>
  </si>
  <si>
    <t xml:space="preserve">A run could not be recorded from the issue panel: recordRun demanded a boardId and creating a board needs the configure permission a member lacks. The MVP loop the product is built around was NOT COMPLETABLE BY A MEMBER in the UI.</t>
  </si>
  <si>
    <t xml:space="preserve">FIXED — runs record against a default board created on demand; pass/fail/blocked controls on each case; generate -&gt; run -&gt; readiness completes in-panel</t>
  </si>
  <si>
    <t xml:space="preserve">Confirm "Current release" as the default board name (customer-visible)</t>
  </si>
  <si>
    <t xml:space="preserve">F-TP41</t>
  </si>
  <si>
    <t xml:space="preserve">Two of the four activation-funnel stages (setup, habit) were declared and never recorded, so the funnel — the metric the launch targets in Metrics_Targets are written against — could never show more than install -&gt; aha, and activation rate would have read as a permanent failure.</t>
  </si>
  <si>
    <t xml:space="preserve">FIXED — setup on the first board, habit once a tenant records runs on 3 distinct days</t>
  </si>
  <si>
    <t xml:space="preserve">Confirm 3 distinct days as the habit definition</t>
  </si>
  <si>
    <t xml:space="preserve">L-P6</t>
  </si>
  <si>
    <t xml:space="preserve">Walk the primary loop as the user, once, before launch. Five passes read the code, the manifest, the docs and the export graph; none USED the product. Generate-on-mount is invisible to all four readings — the call, resolver, reachability and documentation are each correct. It is only wrong as a SEQUENCE: a read-shaped interaction wired to a write-shaped call.</t>
  </si>
  <si>
    <t xml:space="preserve">Recorded; no tool catches this class — it needs one honest walkthrough per product</t>
  </si>
  <si>
    <t xml:space="preserve">DECISION: do the same walkthrough on the other products before their launches</t>
  </si>
  <si>
    <t xml:space="preserve">COLD REVIEW PASS 7 — INSTALL + NAVIGATION (13/09/2026 11:03): the steps either side of the core loop.</t>
  </si>
  <si>
    <t xml:space="preserve">F-TP42</t>
  </si>
  <si>
    <t xml:space="preserve">forge/manifest.yml, forgeAdapter.ts</t>
  </si>
  <si>
    <t xml:space="preserve">NOTHING EVER INVOKED THE INSTALL PATH. The manifest had no trigger module, and Forge delivers install/uninstall only via avi:forge:installed:app / avi:forge:uninstalled:app — there is no implicit call. On a real install: no trial, no owner claimed, no CI secret provisioned, no install telemetry; on uninstall: tokens never wiped and the 30-day deletion never scheduled, so the retention sweep shipped in pass 3 had nothing to sweep. The whole E1 lifecycle epic (ST-051..056) was unreachable in a deployed app.</t>
  </si>
  <si>
    <t xml:space="preserve">FIXED — trigger module on both lifecycle events, makeLifecycleTrigger in the adapter, lifecycleTrigger exported from the entrypoint; ownership from installerAccountId; idempotent because Forge can deliver twice</t>
  </si>
  <si>
    <t xml:space="preserve">None — but this is what would have made LC-1 look like a dead app</t>
  </si>
  <si>
    <t xml:space="preserve">F-TP42b</t>
  </si>
  <si>
    <t xml:space="preserve">Atlassian documents install events as asynchronous, sometimes lagging minutes — a panel opened in that window would have hit an uninitialised tenant.</t>
  </si>
  <si>
    <t xml:space="preserve">FIXED — lazy bootstrap on any call, which deliberately does NOT claim ownership, so the first user through the door cannot become owner by accident</t>
  </si>
  <si>
    <t xml:space="preserve">F-TP43</t>
  </si>
  <si>
    <t xml:space="preserve">ui/mount.ts, static/entry.ts</t>
  </si>
  <si>
    <t xml:space="preserve">THE PANEL HAD NO NAVIGATION: five screens, one hardcoded data-tab in a single index.html serving both the project page and the issue panel. The project page showed "pick a story" forever; run boards, flaky, readiness and settings had no door at all.</t>
  </si>
  <si>
    <t xml:space="preserve">FIXED — tab bar (role=tablist, aria-selected), switching re-mounts without writing, the cases tab appears only with a story in context, and the entry picks its default tab from the Forge context (issue panel -&gt; cases, project page -&gt; readiness)</t>
  </si>
  <si>
    <t xml:space="preserve">Tab labels are customer-visible: Test cases / Run board / Flaky / Readiness / Settings</t>
  </si>
  <si>
    <t xml:space="preserve">F-TP44</t>
  </si>
  <si>
    <t xml:space="preserve">forgeGlue.ts, ui/mount.ts</t>
  </si>
  <si>
    <t xml:space="preserve">The run-board screen asked for a boardId nothing supplied, so it was permanently empty in the installed app.</t>
  </si>
  <si>
    <t xml:space="preserve">FIXED — boardMetrics resolves the default board when no id is given, matching how runs are recorded</t>
  </si>
  <si>
    <t xml:space="preserve">L-P7</t>
  </si>
  <si>
    <t xml:space="preserve">REACHABLE IS NOT INVOKED. The install path was reviewed for correctness (pass 1), deployed (pass 2), declared reachable (pass 3 — it was reachable, from a resolver call nothing called), documented (pass 4) and passed the reachability gate (pass 5, because installed is a registered call). Only walking the product from outside exposed that the caller was Atlassian and we had never told Atlassian to call.</t>
  </si>
  <si>
    <t xml:space="preserve">For every entrypoint the PLATFORM owns — lifecycle events, scheduled triggers, webhooks, product events — check the manifest declares it, not just that the handler exists</t>
  </si>
  <si>
    <t xml:space="preserve">DECISION: add a manifest-declaration check to the gates and run it across the portfolio</t>
  </si>
  <si>
    <t xml:space="preserve">PASS 8 — THE GATE L-P7 ASKED FOR (13/09/2026 11:10)</t>
  </si>
  <si>
    <t xml:space="preserve">GATE-3</t>
  </si>
  <si>
    <t xml:space="preserve">tools/review-gates/platform-entrypoints.js</t>
  </si>
  <si>
    <t xml:space="preserve">L-P7 as code: reads the manifest and the deploy entrypoint TOGETHER — a handler the entrypoint does not export (VER-P01), an export nothing points at, a function no module references, and the module declarations the product's claims depend on (lifecycle trigger on both events, daily scheduled trigger, v2 webtrigger, panel resource). This is the check the reachability gate structurally cannot make, and the one that would have caught F-TP42 the day the handler was written.</t>
  </si>
  <si>
    <t xml:space="preserve">SHIPPED + tested (6 cases incl. the two historical defects); wired into npm run gates; portable README updated with per-platform notes</t>
  </si>
  <si>
    <t xml:space="preserve">DECISION: roll all three gates out to the other 10 products</t>
  </si>
  <si>
    <t xml:space="preserve">GATE-3b</t>
  </si>
  <si>
    <t xml:space="preserve">Self-check</t>
  </si>
  <si>
    <t xml:space="preserve">The gate had the defect it exists to catch: its export scanner counted a COMMENTED-OUT export as exported — exactly the VER-P01 shape. Its own test fixture caught it.</t>
  </si>
  <si>
    <t xml:space="preserve">FIXED — comments stripped before scanning; the argument for testing gates as code rather than shipping them as scripts</t>
  </si>
  <si>
    <t xml:space="preserve">F-TP45</t>
  </si>
  <si>
    <t xml:space="preserve">A REPEAT INSTALL EVENT RESET THE INSTALLATION: Forge may deliver avi:forge:installed:app more than once and each delivery re-ran Lifecycle.install — resetting installedAt, re-sourcing the attribution (ST-056) and overwriting stored tokens with the event's empty ones. Surfaced as an intermittent 1ms test failure that looked like a flaky clock.</t>
  </si>
  <si>
    <t xml:space="preserve">FIXED — bootstrap is idempotent; the account is written only when the event carries tokens, otherwise read back</t>
  </si>
  <si>
    <t xml:space="preserve">None — but worth remembering that an intermittent test is worth reading before it is retried</t>
  </si>
  <si>
    <t xml:space="preserve">PORTFOLIO ROLLOUT KIT (13/09/2026 11:18)</t>
  </si>
  <si>
    <t xml:space="preserve">Artifact</t>
  </si>
  <si>
    <t xml:space="preserve">What it is</t>
  </si>
  <si>
    <t xml:space="preserve">KIT-1</t>
  </si>
  <si>
    <t xml:space="preserve">tools/review-gates/init.js</t>
  </si>
  <si>
    <t xml:space="preserve">Bootstrapper for porting: scans a repo for the platform manifest, deploy entrypoint, UI/server entries, the OPS SCRIPTS CI RUNS (real callers — TestPulse's encryption-posture check is reachable only from one), source roots, and proposes claim stubs from documents that already make promises. Validated by reproducing TestPulse's hand-written config exactly.</t>
  </si>
  <si>
    <t xml:space="preserve">SHIPPED + tested (4 cases incl. the refuse-to-guess paths)</t>
  </si>
  <si>
    <t xml:space="preserve">DECISION: run it on the next product and confirm the detected entrypoints before trusting a green result</t>
  </si>
  <si>
    <t xml:space="preserve">KIT-2</t>
  </si>
  <si>
    <t xml:space="preserve">Doc</t>
  </si>
  <si>
    <t xml:space="preserve">docs/portfolio-gate-rollout.md</t>
  </si>
  <si>
    <t xml:space="preserve">Rollout guide: 5-minute per-repo procedure, how to triage the first red run (FIX / ALLOW WITH A REASON / CUT — cutting unfunded scope is a legitimate and usually honest outcome), rollout order (products closest to a live install first; the platform-entrypoint gate pays back fastest because an app that deploys and does nothing is the most expensive failure in this portfolio and has now happened twice), and per-platform hook tables for Forge, Salesforce, Devvit and Shopify.</t>
  </si>
  <si>
    <t xml:space="preserve">SHIPPED</t>
  </si>
  <si>
    <t xml:space="preserve">DECISION: pick the first product and the order</t>
  </si>
  <si>
    <t xml:space="preserve">KIT-3</t>
  </si>
  <si>
    <t xml:space="preserve">Honesty</t>
  </si>
  <si>
    <t xml:space="preserve">—</t>
  </si>
  <si>
    <t xml:space="preserve">What the gates do NOT catch: 16 of the 50 defects came from USING the product (opening a panel twice, recording a run as a member, installing it and looking). That is L-P6 and does not automate.</t>
  </si>
  <si>
    <t xml:space="preserve">Recorded in the rollout guide</t>
  </si>
  <si>
    <t xml:space="preserve">DECISION: budget one honest walkthrough per product before each launch</t>
  </si>
  <si>
    <t xml:space="preserve">LC-1 SESSION PACK (13/09/2026 11:22)</t>
  </si>
  <si>
    <t xml:space="preserve">Senthil action</t>
  </si>
  <si>
    <t xml:space="preserve">LC1-1</t>
  </si>
  <si>
    <t xml:space="preserve">scripts/lc1-verify.js</t>
  </si>
  <si>
    <t xml:space="preserve">Live post-install verification against the deployed app: signed payload accepted (202), duplicate event id rejected, tampered signature rejected, stale timestamp rejected, malformed body 400 — the five behaviours the security assessment and HC-14 promise. Prints tracker-ready evidence lines. Tested against the REAL webtrigger handler, so a failure means the deployment differs from this codebase, not that the script is wrong.</t>
  </si>
  <si>
    <t xml:space="preserve">SHIPPED + tested (5 cases incl. wrong-secret and network-failure paths)</t>
  </si>
  <si>
    <t xml:space="preserve">Run it right after `forge webtrigger`; secret comes from Settings &gt; CI</t>
  </si>
  <si>
    <t xml:space="preserve">LC1-2</t>
  </si>
  <si>
    <t xml:space="preserve">docs/lc1-session-pack.md</t>
  </si>
  <si>
    <t xml:space="preserve">45-minute run sheet: pre-work, install commands, what the lifecycle trigger bootstraps and what to do if it lags (the app self-bootstraps lazily, only the owner claim waits), an evidence table mapping each capture to the stories it flips, and the two questions only a live site can answer — manual keyboard/contrast pass (ST-089) and whether the customer-visible default board name and the 3-distinct-days habit definition are right.</t>
  </si>
  <si>
    <t xml:space="preserve">Book the session; everything else on TestPulse is behind it</t>
  </si>
  <si>
    <t xml:space="preserve">LC1-3</t>
  </si>
  <si>
    <t xml:space="preserve">static/build/capture.html</t>
  </si>
  <si>
    <t xml:space="preserve">Listing-asset capture harness: renders the panels inside dashed frames sized to the VERIFIED Rule-of-3 spec (3 highlights 1840x900, 580x330 crops, banner 1120x548) so one screenshot pass yields correctly sized assets. Verified headlessly — 7 frames, all populated, no NaN.</t>
  </si>
  <si>
    <t xml:space="preserve">Capture at 100% zoom (50% on a 2x display) or the pixel dimensions will be wrong</t>
  </si>
  <si>
    <t xml:space="preserve">LC1-4</t>
  </si>
  <si>
    <t xml:space="preserve">What lc1-verify CANNOT check: the panel render, resolver, roles, licensing, the lifecycle trigger firing and the retention sweep. A green run must not be recorded as full verification.</t>
  </si>
  <si>
    <t xml:space="preserve">Stated in the script output and the session pack</t>
  </si>
  <si>
    <t xml:space="preserve">Evidence must distinguish verified from assumed</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</si>
</sst>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color rgb="FFFFFFFF"/>
      <name val="Arial"/>
      <family val="0"/>
      <charset val="1"/>
    </font>
    <font>
      <sz val="10"/>
      <name val="Arial"/>
      <family val="0"/>
      <charset val="1"/>
    </font>
    <font>
      <b val="true"/>
      <sz val="10"/>
      <name val="Arial"/>
      <family val="0"/>
      <charset val="1"/>
    </font>
    <font>
      <b val="true"/>
      <sz val="11"/>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FFF2CC"/>
        <bgColor rgb="FFFFFFFF"/>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4"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6" fillId="4"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8"/>
    <col collapsed="false" customWidth="true" hidden="false" outlineLevel="0" max="3" min="3" style="1" width="24"/>
    <col collapsed="false" customWidth="true" hidden="false" outlineLevel="0" max="4" min="4" style="1" width="80"/>
    <col collapsed="false" customWidth="true" hidden="false" outlineLevel="0" max="5" min="5" style="1" width="12"/>
  </cols>
  <sheetData>
    <row r="1" customFormat="false" ht="17.25" hidden="false" customHeight="true" outlineLevel="0" collapsed="false">
      <c r="A1" s="2" t="s">
        <v>0</v>
      </c>
    </row>
    <row r="3" customFormat="false" ht="15" hidden="false" customHeight="true" outlineLevel="0" collapsed="false">
      <c r="A3" s="3" t="s">
        <v>1</v>
      </c>
      <c r="B3" s="3" t="s">
        <v>2</v>
      </c>
      <c r="C3" s="3" t="s">
        <v>3</v>
      </c>
      <c r="D3" s="3" t="s">
        <v>4</v>
      </c>
      <c r="E3" s="3" t="s">
        <v>5</v>
      </c>
    </row>
    <row r="4" customFormat="false" ht="23.25" hidden="false" customHeight="true" outlineLevel="0" collapsed="false">
      <c r="A4" s="4" t="s">
        <v>6</v>
      </c>
      <c r="B4" s="4" t="s">
        <v>7</v>
      </c>
      <c r="C4" s="4" t="s">
        <v>8</v>
      </c>
      <c r="D4" s="4" t="s">
        <v>9</v>
      </c>
      <c r="E4" s="4" t="s">
        <v>10</v>
      </c>
    </row>
    <row r="5" customFormat="false" ht="34.5" hidden="false" customHeight="true" outlineLevel="0" collapsed="false">
      <c r="A5" s="4" t="s">
        <v>11</v>
      </c>
      <c r="B5" s="4" t="s">
        <v>12</v>
      </c>
      <c r="C5" s="4" t="s">
        <v>8</v>
      </c>
      <c r="D5" s="4" t="s">
        <v>13</v>
      </c>
      <c r="E5" s="4" t="s">
        <v>10</v>
      </c>
    </row>
    <row r="6" customFormat="false" ht="23.25" hidden="false" customHeight="true" outlineLevel="0" collapsed="false">
      <c r="A6" s="5" t="s">
        <v>14</v>
      </c>
      <c r="B6" s="5" t="s">
        <v>15</v>
      </c>
      <c r="C6" s="5" t="s">
        <v>8</v>
      </c>
      <c r="D6" s="5" t="s">
        <v>16</v>
      </c>
      <c r="E6" s="5" t="s">
        <v>10</v>
      </c>
    </row>
    <row r="7" customFormat="false" ht="23.25" hidden="false" customHeight="true" outlineLevel="0" collapsed="false">
      <c r="A7" s="6" t="s">
        <v>17</v>
      </c>
      <c r="B7" s="6" t="s">
        <v>18</v>
      </c>
      <c r="C7" s="6" t="s">
        <v>8</v>
      </c>
      <c r="D7" s="6" t="s">
        <v>19</v>
      </c>
      <c r="E7" s="6" t="s">
        <v>10</v>
      </c>
    </row>
    <row r="8" customFormat="false" ht="23.25" hidden="false" customHeight="true" outlineLevel="0" collapsed="false">
      <c r="A8" s="6" t="s">
        <v>20</v>
      </c>
      <c r="B8" s="6" t="s">
        <v>21</v>
      </c>
      <c r="C8" s="6" t="s">
        <v>8</v>
      </c>
      <c r="D8" s="6" t="s">
        <v>22</v>
      </c>
      <c r="E8" s="6" t="s">
        <v>10</v>
      </c>
    </row>
    <row r="9" customFormat="false" ht="15" hidden="false" customHeight="true" outlineLevel="0" collapsed="false">
      <c r="A9" s="6" t="s">
        <v>23</v>
      </c>
      <c r="B9" s="6" t="s">
        <v>24</v>
      </c>
      <c r="C9" s="6" t="s">
        <v>8</v>
      </c>
      <c r="D9" s="6" t="s">
        <v>25</v>
      </c>
      <c r="E9" s="6" t="s">
        <v>10</v>
      </c>
    </row>
    <row r="10" customFormat="false" ht="15" hidden="false" customHeight="true" outlineLevel="0" collapsed="false">
      <c r="A10" s="6" t="s">
        <v>26</v>
      </c>
      <c r="B10" s="6" t="s">
        <v>27</v>
      </c>
      <c r="C10" s="6" t="s">
        <v>8</v>
      </c>
      <c r="D10" s="6" t="s">
        <v>28</v>
      </c>
      <c r="E10" s="6" t="s">
        <v>10</v>
      </c>
    </row>
    <row r="11" customFormat="false" ht="15" hidden="false" customHeight="true" outlineLevel="0" collapsed="false">
      <c r="A11" s="6" t="s">
        <v>29</v>
      </c>
      <c r="B11" s="6" t="s">
        <v>30</v>
      </c>
      <c r="C11" s="6" t="s">
        <v>8</v>
      </c>
      <c r="D11" s="6" t="s">
        <v>31</v>
      </c>
      <c r="E11" s="6" t="s">
        <v>10</v>
      </c>
    </row>
    <row r="12" customFormat="false" ht="15" hidden="false" customHeight="true" outlineLevel="0" collapsed="false">
      <c r="A12" s="6" t="s">
        <v>32</v>
      </c>
      <c r="B12" s="6" t="s">
        <v>33</v>
      </c>
      <c r="C12" s="6" t="s">
        <v>8</v>
      </c>
      <c r="D12" s="6" t="s">
        <v>34</v>
      </c>
      <c r="E12" s="6" t="s">
        <v>10</v>
      </c>
    </row>
    <row r="13" customFormat="false" ht="15" hidden="false" customHeight="true" outlineLevel="0" collapsed="false">
      <c r="A13" s="7" t="s">
        <v>35</v>
      </c>
      <c r="B13" s="7" t="s">
        <v>36</v>
      </c>
      <c r="C13" s="7" t="s">
        <v>8</v>
      </c>
      <c r="D13" s="6" t="s">
        <v>37</v>
      </c>
      <c r="E13" s="7" t="s">
        <v>10</v>
      </c>
    </row>
    <row r="14" customFormat="false" ht="15" hidden="false" customHeight="true" outlineLevel="0" collapsed="false">
      <c r="A14" s="7" t="s">
        <v>38</v>
      </c>
      <c r="B14" s="7" t="s">
        <v>39</v>
      </c>
      <c r="C14" s="7" t="s">
        <v>8</v>
      </c>
      <c r="D14" s="6" t="s">
        <v>40</v>
      </c>
      <c r="E14" s="7" t="s">
        <v>10</v>
      </c>
    </row>
    <row r="15" customFormat="false" ht="15" hidden="false" customHeight="true" outlineLevel="0" collapsed="false">
      <c r="A15" s="7" t="s">
        <v>41</v>
      </c>
      <c r="B15" s="7" t="s">
        <v>42</v>
      </c>
      <c r="C15" s="7" t="s">
        <v>8</v>
      </c>
      <c r="D15" s="6" t="s">
        <v>43</v>
      </c>
      <c r="E15" s="7" t="s">
        <v>10</v>
      </c>
    </row>
    <row r="16" customFormat="false" ht="15" hidden="false" customHeight="true" outlineLevel="0" collapsed="false">
      <c r="A16" s="7" t="s">
        <v>44</v>
      </c>
      <c r="B16" s="7" t="s">
        <v>45</v>
      </c>
      <c r="C16" s="7" t="s">
        <v>8</v>
      </c>
      <c r="D16" s="6" t="s">
        <v>46</v>
      </c>
      <c r="E16" s="7" t="s">
        <v>10</v>
      </c>
    </row>
    <row r="17" customFormat="false" ht="15" hidden="false" customHeight="true" outlineLevel="0" collapsed="false">
      <c r="A17" s="7" t="s">
        <v>47</v>
      </c>
      <c r="B17" s="7" t="s">
        <v>48</v>
      </c>
      <c r="C17" s="7" t="s">
        <v>8</v>
      </c>
      <c r="D17" s="6" t="s">
        <v>49</v>
      </c>
      <c r="E17" s="7" t="s">
        <v>10</v>
      </c>
    </row>
    <row r="18" customFormat="false" ht="15" hidden="false" customHeight="true" outlineLevel="0" collapsed="false">
      <c r="A18" s="7" t="s">
        <v>50</v>
      </c>
      <c r="B18" s="7" t="s">
        <v>51</v>
      </c>
      <c r="C18" s="7" t="s">
        <v>8</v>
      </c>
      <c r="D18" s="6" t="s">
        <v>52</v>
      </c>
      <c r="E18" s="7" t="s">
        <v>10</v>
      </c>
    </row>
    <row r="19" customFormat="false" ht="15" hidden="false" customHeight="true" outlineLevel="0" collapsed="false">
      <c r="A19" s="7" t="s">
        <v>53</v>
      </c>
      <c r="B19" s="7" t="s">
        <v>54</v>
      </c>
      <c r="C19" s="7" t="s">
        <v>8</v>
      </c>
      <c r="D19" s="6" t="s">
        <v>55</v>
      </c>
      <c r="E19" s="7" t="s">
        <v>10</v>
      </c>
    </row>
    <row r="20" customFormat="false" ht="15" hidden="false" customHeight="true" outlineLevel="0" collapsed="false">
      <c r="A20" s="7" t="s">
        <v>56</v>
      </c>
      <c r="B20" s="7" t="s">
        <v>57</v>
      </c>
      <c r="C20" s="7" t="s">
        <v>8</v>
      </c>
      <c r="D20" s="6" t="s">
        <v>58</v>
      </c>
      <c r="E20" s="7" t="s">
        <v>10</v>
      </c>
    </row>
    <row r="21" customFormat="false" ht="15" hidden="false" customHeight="true" outlineLevel="0" collapsed="false">
      <c r="A21" s="7" t="s">
        <v>59</v>
      </c>
      <c r="B21" s="7" t="s">
        <v>60</v>
      </c>
      <c r="C21" s="7" t="s">
        <v>8</v>
      </c>
      <c r="D21" s="6" t="s">
        <v>61</v>
      </c>
      <c r="E21" s="7" t="s">
        <v>10</v>
      </c>
    </row>
    <row r="22" customFormat="false" ht="15" hidden="false" customHeight="false" outlineLevel="0" collapsed="false">
      <c r="A22" s="8" t="s">
        <v>62</v>
      </c>
      <c r="B22" s="8" t="s">
        <v>63</v>
      </c>
      <c r="C22" s="8"/>
      <c r="D22" s="8"/>
      <c r="E22" s="8" t="s">
        <v>64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8"/>
  </cols>
  <sheetData>
    <row r="1" customFormat="false" ht="17.25" hidden="false" customHeight="true" outlineLevel="0" collapsed="false">
      <c r="A1" s="2" t="s">
        <v>65</v>
      </c>
    </row>
    <row r="3" customFormat="false" ht="27.75" hidden="false" customHeight="true" outlineLevel="0" collapsed="false">
      <c r="A3" s="6" t="s">
        <v>66</v>
      </c>
    </row>
    <row r="4" customFormat="false" ht="27.75" hidden="false" customHeight="true" outlineLevel="0" collapsed="false">
      <c r="A4" s="6" t="s">
        <v>67</v>
      </c>
    </row>
    <row r="5" customFormat="false" ht="27.75" hidden="false" customHeight="true" outlineLevel="0" collapsed="false">
      <c r="A5" s="6" t="s">
        <v>68</v>
      </c>
    </row>
    <row r="6" customFormat="false" ht="27.75" hidden="false" customHeight="true" outlineLevel="0" collapsed="false">
      <c r="A6" s="6" t="s">
        <v>69</v>
      </c>
    </row>
    <row r="7" customFormat="false" ht="27.75" hidden="false" customHeight="true" outlineLevel="0" collapsed="false">
      <c r="A7" s="6"/>
    </row>
    <row r="8" customFormat="false" ht="55.5" hidden="false" customHeight="true" outlineLevel="0" collapsed="false">
      <c r="A8" s="6" t="s">
        <v>70</v>
      </c>
    </row>
    <row r="9" customFormat="false" ht="27.75" hidden="false" customHeight="true" outlineLevel="0" collapsed="false">
      <c r="A9" s="6"/>
    </row>
    <row r="10" customFormat="false" ht="27.75" hidden="false" customHeight="true" outlineLevel="0" collapsed="false">
      <c r="A10" s="6" t="s">
        <v>71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44"/>
    <col collapsed="false" customWidth="true" hidden="false" outlineLevel="0" max="3" min="3" style="1" width="34"/>
    <col collapsed="false" customWidth="true" hidden="false" outlineLevel="0" max="4" min="4" style="1" width="40"/>
  </cols>
  <sheetData>
    <row r="1" customFormat="false" ht="17.25" hidden="false" customHeight="true" outlineLevel="0" collapsed="false">
      <c r="A1" s="2" t="s">
        <v>72</v>
      </c>
    </row>
    <row r="3" customFormat="false" ht="15" hidden="false" customHeight="true" outlineLevel="0" collapsed="false">
      <c r="A3" s="3" t="s">
        <v>73</v>
      </c>
      <c r="B3" s="3" t="s">
        <v>74</v>
      </c>
      <c r="C3" s="3" t="s">
        <v>75</v>
      </c>
      <c r="D3" s="3" t="s">
        <v>76</v>
      </c>
    </row>
    <row r="4" customFormat="false" ht="30" hidden="false" customHeight="true" outlineLevel="0" collapsed="false">
      <c r="A4" s="4" t="s">
        <v>77</v>
      </c>
      <c r="B4" s="4" t="s">
        <v>78</v>
      </c>
      <c r="C4" s="4" t="s">
        <v>79</v>
      </c>
      <c r="D4" s="4" t="s">
        <v>80</v>
      </c>
    </row>
    <row r="5" customFormat="false" ht="30" hidden="false" customHeight="true" outlineLevel="0" collapsed="false">
      <c r="A5" s="4" t="s">
        <v>81</v>
      </c>
      <c r="B5" s="4" t="s">
        <v>82</v>
      </c>
      <c r="C5" s="4" t="s">
        <v>79</v>
      </c>
      <c r="D5" s="4" t="s">
        <v>83</v>
      </c>
    </row>
    <row r="6" customFormat="false" ht="30" hidden="false" customHeight="true" outlineLevel="0" collapsed="false">
      <c r="A6" s="4" t="s">
        <v>84</v>
      </c>
      <c r="B6" s="4" t="s">
        <v>85</v>
      </c>
      <c r="C6" s="4" t="s">
        <v>79</v>
      </c>
      <c r="D6" s="4" t="s">
        <v>86</v>
      </c>
    </row>
    <row r="7" customFormat="false" ht="30" hidden="false" customHeight="true" outlineLevel="0" collapsed="false">
      <c r="A7" s="4" t="s">
        <v>87</v>
      </c>
      <c r="B7" s="4" t="s">
        <v>88</v>
      </c>
      <c r="C7" s="4" t="s">
        <v>79</v>
      </c>
      <c r="D7" s="4" t="s">
        <v>89</v>
      </c>
    </row>
    <row r="8" customFormat="false" ht="30" hidden="false" customHeight="true" outlineLevel="0" collapsed="false">
      <c r="A8" s="4" t="s">
        <v>90</v>
      </c>
      <c r="B8" s="4" t="s">
        <v>91</v>
      </c>
      <c r="C8" s="4" t="s">
        <v>79</v>
      </c>
      <c r="D8" s="4" t="s">
        <v>92</v>
      </c>
    </row>
    <row r="10" customFormat="false" ht="15" hidden="false" customHeight="true" outlineLevel="0" collapsed="false">
      <c r="A10" s="3" t="s">
        <v>93</v>
      </c>
      <c r="B10" s="3" t="s">
        <v>94</v>
      </c>
      <c r="C10" s="3"/>
      <c r="D10" s="3"/>
    </row>
    <row r="11" customFormat="false" ht="25.5" hidden="false" customHeight="true" outlineLevel="0" collapsed="false">
      <c r="A11" s="4" t="s">
        <v>95</v>
      </c>
      <c r="B11" s="4" t="s">
        <v>96</v>
      </c>
      <c r="C11" s="4"/>
      <c r="D11" s="4"/>
    </row>
    <row r="12" customFormat="false" ht="25.5" hidden="false" customHeight="true" outlineLevel="0" collapsed="false">
      <c r="A12" s="4" t="s">
        <v>97</v>
      </c>
      <c r="B12" s="4" t="s">
        <v>98</v>
      </c>
      <c r="C12" s="4"/>
      <c r="D12" s="4"/>
    </row>
    <row r="13" customFormat="false" ht="25.5" hidden="false" customHeight="true" outlineLevel="0" collapsed="false">
      <c r="A13" s="4" t="s">
        <v>99</v>
      </c>
      <c r="B13" s="4" t="s">
        <v>100</v>
      </c>
      <c r="C13" s="4"/>
      <c r="D13" s="4"/>
    </row>
  </sheetData>
  <mergeCells count="3">
    <mergeCell ref="B11:D11"/>
    <mergeCell ref="B12:D12"/>
    <mergeCell ref="B13:D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8"/>
    <col collapsed="false" customWidth="true" hidden="false" outlineLevel="0" max="3" min="3" style="1" width="40"/>
    <col collapsed="false" customWidth="true" hidden="false" outlineLevel="0" max="4" min="4" style="1" width="44"/>
    <col collapsed="false" customWidth="true" hidden="false" outlineLevel="0" max="5" min="5" style="1" width="24"/>
  </cols>
  <sheetData>
    <row r="1" customFormat="false" ht="17.25" hidden="false" customHeight="true" outlineLevel="0" collapsed="false">
      <c r="A1" s="2" t="s">
        <v>101</v>
      </c>
    </row>
    <row r="3" customFormat="false" ht="15" hidden="false" customHeight="true" outlineLevel="0" collapsed="false">
      <c r="A3" s="3" t="s">
        <v>102</v>
      </c>
      <c r="B3" s="3" t="s">
        <v>103</v>
      </c>
      <c r="C3" s="3" t="s">
        <v>104</v>
      </c>
      <c r="D3" s="3" t="s">
        <v>105</v>
      </c>
      <c r="E3" s="3" t="s">
        <v>106</v>
      </c>
    </row>
    <row r="4" customFormat="false" ht="25.5" hidden="false" customHeight="true" outlineLevel="0" collapsed="false">
      <c r="A4" s="4" t="n">
        <v>1</v>
      </c>
      <c r="B4" s="4" t="s">
        <v>107</v>
      </c>
      <c r="C4" s="4" t="s">
        <v>108</v>
      </c>
      <c r="D4" s="4" t="s">
        <v>109</v>
      </c>
      <c r="E4" s="5"/>
    </row>
    <row r="5" customFormat="false" ht="25.5" hidden="false" customHeight="true" outlineLevel="0" collapsed="false">
      <c r="A5" s="4" t="n">
        <v>2</v>
      </c>
      <c r="B5" s="4" t="s">
        <v>110</v>
      </c>
      <c r="C5" s="4" t="s">
        <v>111</v>
      </c>
      <c r="D5" s="4" t="s">
        <v>112</v>
      </c>
      <c r="E5" s="5"/>
    </row>
    <row r="6" customFormat="false" ht="25.5" hidden="false" customHeight="true" outlineLevel="0" collapsed="false">
      <c r="A6" s="4" t="n">
        <v>3</v>
      </c>
      <c r="B6" s="4" t="s">
        <v>113</v>
      </c>
      <c r="C6" s="4" t="s">
        <v>114</v>
      </c>
      <c r="D6" s="4" t="s">
        <v>115</v>
      </c>
      <c r="E6" s="5"/>
    </row>
    <row r="7" customFormat="false" ht="25.5" hidden="false" customHeight="true" outlineLevel="0" collapsed="false">
      <c r="A7" s="4" t="n">
        <v>4</v>
      </c>
      <c r="B7" s="4" t="s">
        <v>116</v>
      </c>
      <c r="C7" s="4" t="s">
        <v>117</v>
      </c>
      <c r="D7" s="4" t="s">
        <v>118</v>
      </c>
      <c r="E7" s="5"/>
    </row>
    <row r="8" customFormat="false" ht="25.5" hidden="false" customHeight="true" outlineLevel="0" collapsed="false">
      <c r="A8" s="4" t="n">
        <v>5</v>
      </c>
      <c r="B8" s="4" t="s">
        <v>119</v>
      </c>
      <c r="C8" s="4" t="s">
        <v>120</v>
      </c>
      <c r="D8" s="4" t="s">
        <v>121</v>
      </c>
      <c r="E8" s="5"/>
    </row>
    <row r="9" customFormat="false" ht="25.5" hidden="false" customHeight="true" outlineLevel="0" collapsed="false">
      <c r="A9" s="4" t="n">
        <v>6</v>
      </c>
      <c r="B9" s="4" t="s">
        <v>122</v>
      </c>
      <c r="C9" s="4" t="s">
        <v>123</v>
      </c>
      <c r="D9" s="4" t="s">
        <v>124</v>
      </c>
      <c r="E9" s="5"/>
    </row>
    <row r="10" customFormat="false" ht="25.5" hidden="false" customHeight="true" outlineLevel="0" collapsed="false">
      <c r="A10" s="4" t="n">
        <v>7</v>
      </c>
      <c r="B10" s="4" t="s">
        <v>125</v>
      </c>
      <c r="C10" s="4" t="s">
        <v>126</v>
      </c>
      <c r="D10" s="4" t="s">
        <v>127</v>
      </c>
      <c r="E10" s="5"/>
    </row>
    <row r="11" customFormat="false" ht="25.5" hidden="false" customHeight="true" outlineLevel="0" collapsed="false">
      <c r="A11" s="4" t="n">
        <v>8</v>
      </c>
      <c r="B11" s="4" t="s">
        <v>128</v>
      </c>
      <c r="C11" s="4" t="s">
        <v>129</v>
      </c>
      <c r="D11" s="4" t="s">
        <v>130</v>
      </c>
      <c r="E11" s="5"/>
    </row>
    <row r="12" customFormat="false" ht="25.5" hidden="false" customHeight="true" outlineLevel="0" collapsed="false">
      <c r="A12" s="4" t="n">
        <v>9</v>
      </c>
      <c r="B12" s="4" t="s">
        <v>131</v>
      </c>
      <c r="C12" s="4" t="s">
        <v>132</v>
      </c>
      <c r="D12" s="4" t="s">
        <v>133</v>
      </c>
      <c r="E12"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8"/>
    <col collapsed="false" customWidth="true" hidden="false" outlineLevel="0" max="3" min="3" style="1" width="84"/>
    <col collapsed="false" customWidth="true" hidden="false" outlineLevel="0" max="4" min="4" style="1" width="8"/>
    <col collapsed="false" customWidth="true" hidden="false" outlineLevel="0" max="5" min="5" style="1" width="9"/>
    <col collapsed="false" customWidth="true" hidden="false" outlineLevel="0" max="6" min="6" style="1" width="8"/>
    <col collapsed="false" customWidth="true" hidden="false" outlineLevel="0" max="7" min="7" style="1" width="12"/>
  </cols>
  <sheetData>
    <row r="1" customFormat="false" ht="17.25" hidden="false" customHeight="true" outlineLevel="0" collapsed="false">
      <c r="A1" s="2" t="s">
        <v>134</v>
      </c>
    </row>
    <row r="3" customFormat="false" ht="15" hidden="false" customHeight="true" outlineLevel="0" collapsed="false">
      <c r="A3" s="3" t="s">
        <v>135</v>
      </c>
      <c r="B3" s="3" t="s">
        <v>136</v>
      </c>
      <c r="C3" s="3" t="s">
        <v>137</v>
      </c>
      <c r="D3" s="3" t="s">
        <v>138</v>
      </c>
      <c r="E3" s="3" t="s">
        <v>139</v>
      </c>
      <c r="F3" s="3" t="s">
        <v>140</v>
      </c>
      <c r="G3" s="3" t="s">
        <v>5</v>
      </c>
    </row>
    <row r="4" customFormat="false" ht="25.5" hidden="false" customHeight="true" outlineLevel="0" collapsed="false">
      <c r="A4" s="4" t="s">
        <v>141</v>
      </c>
      <c r="B4" s="4" t="s">
        <v>142</v>
      </c>
      <c r="C4" s="4" t="s">
        <v>143</v>
      </c>
      <c r="D4" s="4" t="n">
        <v>5</v>
      </c>
      <c r="E4" s="4" t="s">
        <v>144</v>
      </c>
      <c r="F4" s="4" t="s">
        <v>145</v>
      </c>
      <c r="G4" s="9" t="s">
        <v>146</v>
      </c>
    </row>
    <row r="5" customFormat="false" ht="25.5" hidden="false" customHeight="true" outlineLevel="0" collapsed="false">
      <c r="A5" s="4" t="s">
        <v>147</v>
      </c>
      <c r="B5" s="4" t="s">
        <v>142</v>
      </c>
      <c r="C5" s="4" t="s">
        <v>148</v>
      </c>
      <c r="D5" s="4" t="n">
        <v>8</v>
      </c>
      <c r="E5" s="4" t="s">
        <v>144</v>
      </c>
      <c r="F5" s="4" t="s">
        <v>145</v>
      </c>
      <c r="G5" s="9" t="s">
        <v>146</v>
      </c>
    </row>
    <row r="6" customFormat="false" ht="25.5" hidden="false" customHeight="true" outlineLevel="0" collapsed="false">
      <c r="A6" s="4" t="s">
        <v>149</v>
      </c>
      <c r="B6" s="4" t="s">
        <v>142</v>
      </c>
      <c r="C6" s="4" t="s">
        <v>150</v>
      </c>
      <c r="D6" s="4" t="n">
        <v>5</v>
      </c>
      <c r="E6" s="4" t="s">
        <v>151</v>
      </c>
      <c r="F6" s="4" t="s">
        <v>145</v>
      </c>
      <c r="G6" s="9" t="s">
        <v>146</v>
      </c>
    </row>
    <row r="7" customFormat="false" ht="25.5" hidden="false" customHeight="true" outlineLevel="0" collapsed="false">
      <c r="A7" s="4" t="s">
        <v>152</v>
      </c>
      <c r="B7" s="4" t="s">
        <v>142</v>
      </c>
      <c r="C7" s="4" t="s">
        <v>153</v>
      </c>
      <c r="D7" s="4" t="n">
        <v>3</v>
      </c>
      <c r="E7" s="4" t="s">
        <v>144</v>
      </c>
      <c r="F7" s="4" t="s">
        <v>145</v>
      </c>
      <c r="G7" s="9" t="s">
        <v>146</v>
      </c>
    </row>
    <row r="8" customFormat="false" ht="25.5" hidden="false" customHeight="true" outlineLevel="0" collapsed="false">
      <c r="A8" s="4" t="s">
        <v>154</v>
      </c>
      <c r="B8" s="4" t="s">
        <v>142</v>
      </c>
      <c r="C8" s="4" t="s">
        <v>155</v>
      </c>
      <c r="D8" s="4" t="n">
        <v>5</v>
      </c>
      <c r="E8" s="4" t="s">
        <v>144</v>
      </c>
      <c r="F8" s="4" t="s">
        <v>156</v>
      </c>
      <c r="G8" s="9" t="s">
        <v>157</v>
      </c>
    </row>
    <row r="9" customFormat="false" ht="25.5" hidden="false" customHeight="true" outlineLevel="0" collapsed="false">
      <c r="A9" s="4" t="s">
        <v>158</v>
      </c>
      <c r="B9" s="4" t="s">
        <v>142</v>
      </c>
      <c r="C9" s="4" t="s">
        <v>159</v>
      </c>
      <c r="D9" s="4" t="n">
        <v>3</v>
      </c>
      <c r="E9" s="4" t="s">
        <v>151</v>
      </c>
      <c r="F9" s="4" t="s">
        <v>156</v>
      </c>
      <c r="G9" s="9" t="s">
        <v>146</v>
      </c>
    </row>
    <row r="10" customFormat="false" ht="25.5" hidden="false" customHeight="true" outlineLevel="0" collapsed="false">
      <c r="A10" s="4" t="s">
        <v>160</v>
      </c>
      <c r="B10" s="4" t="s">
        <v>142</v>
      </c>
      <c r="C10" s="4" t="s">
        <v>161</v>
      </c>
      <c r="D10" s="4" t="n">
        <v>3</v>
      </c>
      <c r="E10" s="4" t="s">
        <v>151</v>
      </c>
      <c r="F10" s="4" t="s">
        <v>156</v>
      </c>
      <c r="G10" s="9" t="s">
        <v>146</v>
      </c>
    </row>
    <row r="11" customFormat="false" ht="25.5" hidden="false" customHeight="true" outlineLevel="0" collapsed="false">
      <c r="A11" s="4" t="s">
        <v>162</v>
      </c>
      <c r="B11" s="4" t="s">
        <v>142</v>
      </c>
      <c r="C11" s="4" t="s">
        <v>163</v>
      </c>
      <c r="D11" s="4" t="n">
        <v>2</v>
      </c>
      <c r="E11" s="4" t="s">
        <v>164</v>
      </c>
      <c r="F11" s="4" t="s">
        <v>156</v>
      </c>
      <c r="G11" s="9" t="s">
        <v>146</v>
      </c>
    </row>
    <row r="12" customFormat="false" ht="25.5" hidden="false" customHeight="true" outlineLevel="0" collapsed="false">
      <c r="A12" s="4" t="s">
        <v>165</v>
      </c>
      <c r="B12" s="4" t="s">
        <v>142</v>
      </c>
      <c r="C12" s="4" t="s">
        <v>166</v>
      </c>
      <c r="D12" s="4" t="n">
        <v>5</v>
      </c>
      <c r="E12" s="4" t="s">
        <v>151</v>
      </c>
      <c r="F12" s="4" t="s">
        <v>156</v>
      </c>
      <c r="G12" s="9" t="s">
        <v>146</v>
      </c>
    </row>
    <row r="13" customFormat="false" ht="25.5" hidden="false" customHeight="true" outlineLevel="0" collapsed="false">
      <c r="A13" s="4" t="s">
        <v>167</v>
      </c>
      <c r="B13" s="4" t="s">
        <v>142</v>
      </c>
      <c r="C13" s="4" t="s">
        <v>168</v>
      </c>
      <c r="D13" s="4" t="n">
        <v>3</v>
      </c>
      <c r="E13" s="4" t="s">
        <v>164</v>
      </c>
      <c r="F13" s="4" t="s">
        <v>156</v>
      </c>
      <c r="G13" s="9" t="s">
        <v>146</v>
      </c>
    </row>
    <row r="14" customFormat="false" ht="25.5" hidden="false" customHeight="true" outlineLevel="0" collapsed="false">
      <c r="A14" s="4" t="s">
        <v>169</v>
      </c>
      <c r="B14" s="4" t="s">
        <v>170</v>
      </c>
      <c r="C14" s="4" t="s">
        <v>171</v>
      </c>
      <c r="D14" s="4" t="n">
        <v>5</v>
      </c>
      <c r="E14" s="4" t="s">
        <v>144</v>
      </c>
      <c r="F14" s="4" t="s">
        <v>156</v>
      </c>
      <c r="G14" s="9" t="s">
        <v>146</v>
      </c>
    </row>
    <row r="15" customFormat="false" ht="25.5" hidden="false" customHeight="true" outlineLevel="0" collapsed="false">
      <c r="A15" s="4" t="s">
        <v>172</v>
      </c>
      <c r="B15" s="4" t="s">
        <v>170</v>
      </c>
      <c r="C15" s="4" t="s">
        <v>173</v>
      </c>
      <c r="D15" s="4" t="n">
        <v>8</v>
      </c>
      <c r="E15" s="4" t="s">
        <v>144</v>
      </c>
      <c r="F15" s="4" t="s">
        <v>156</v>
      </c>
      <c r="G15" s="9" t="s">
        <v>146</v>
      </c>
    </row>
    <row r="16" customFormat="false" ht="25.5" hidden="false" customHeight="true" outlineLevel="0" collapsed="false">
      <c r="A16" s="4" t="s">
        <v>174</v>
      </c>
      <c r="B16" s="4" t="s">
        <v>170</v>
      </c>
      <c r="C16" s="4" t="s">
        <v>175</v>
      </c>
      <c r="D16" s="4" t="n">
        <v>5</v>
      </c>
      <c r="E16" s="4" t="s">
        <v>151</v>
      </c>
      <c r="F16" s="4" t="s">
        <v>156</v>
      </c>
      <c r="G16" s="9" t="s">
        <v>146</v>
      </c>
    </row>
    <row r="17" customFormat="false" ht="25.5" hidden="false" customHeight="true" outlineLevel="0" collapsed="false">
      <c r="A17" s="4" t="s">
        <v>176</v>
      </c>
      <c r="B17" s="4" t="s">
        <v>170</v>
      </c>
      <c r="C17" s="4" t="s">
        <v>177</v>
      </c>
      <c r="D17" s="4" t="n">
        <v>3</v>
      </c>
      <c r="E17" s="4" t="s">
        <v>144</v>
      </c>
      <c r="F17" s="4" t="s">
        <v>156</v>
      </c>
      <c r="G17" s="9" t="s">
        <v>146</v>
      </c>
    </row>
    <row r="18" customFormat="false" ht="25.5" hidden="false" customHeight="true" outlineLevel="0" collapsed="false">
      <c r="A18" s="4" t="s">
        <v>178</v>
      </c>
      <c r="B18" s="4" t="s">
        <v>170</v>
      </c>
      <c r="C18" s="4" t="s">
        <v>179</v>
      </c>
      <c r="D18" s="4" t="n">
        <v>5</v>
      </c>
      <c r="E18" s="4" t="s">
        <v>144</v>
      </c>
      <c r="F18" s="4" t="s">
        <v>180</v>
      </c>
      <c r="G18" s="9" t="s">
        <v>157</v>
      </c>
    </row>
    <row r="19" customFormat="false" ht="25.5" hidden="false" customHeight="true" outlineLevel="0" collapsed="false">
      <c r="A19" s="4" t="s">
        <v>181</v>
      </c>
      <c r="B19" s="4" t="s">
        <v>170</v>
      </c>
      <c r="C19" s="4" t="s">
        <v>182</v>
      </c>
      <c r="D19" s="4" t="n">
        <v>3</v>
      </c>
      <c r="E19" s="4" t="s">
        <v>151</v>
      </c>
      <c r="F19" s="4" t="s">
        <v>180</v>
      </c>
      <c r="G19" s="9" t="s">
        <v>146</v>
      </c>
    </row>
    <row r="20" customFormat="false" ht="25.5" hidden="false" customHeight="true" outlineLevel="0" collapsed="false">
      <c r="A20" s="4" t="s">
        <v>183</v>
      </c>
      <c r="B20" s="4" t="s">
        <v>170</v>
      </c>
      <c r="C20" s="4" t="s">
        <v>184</v>
      </c>
      <c r="D20" s="4" t="n">
        <v>3</v>
      </c>
      <c r="E20" s="4" t="s">
        <v>151</v>
      </c>
      <c r="F20" s="4" t="s">
        <v>180</v>
      </c>
      <c r="G20" s="9" t="s">
        <v>146</v>
      </c>
    </row>
    <row r="21" customFormat="false" ht="25.5" hidden="false" customHeight="true" outlineLevel="0" collapsed="false">
      <c r="A21" s="4" t="s">
        <v>185</v>
      </c>
      <c r="B21" s="4" t="s">
        <v>170</v>
      </c>
      <c r="C21" s="4" t="s">
        <v>186</v>
      </c>
      <c r="D21" s="4" t="n">
        <v>2</v>
      </c>
      <c r="E21" s="4" t="s">
        <v>164</v>
      </c>
      <c r="F21" s="4" t="s">
        <v>180</v>
      </c>
      <c r="G21" s="9" t="s">
        <v>146</v>
      </c>
    </row>
    <row r="22" customFormat="false" ht="25.5" hidden="false" customHeight="true" outlineLevel="0" collapsed="false">
      <c r="A22" s="4" t="s">
        <v>187</v>
      </c>
      <c r="B22" s="4" t="s">
        <v>170</v>
      </c>
      <c r="C22" s="4" t="s">
        <v>188</v>
      </c>
      <c r="D22" s="4" t="n">
        <v>5</v>
      </c>
      <c r="E22" s="4" t="s">
        <v>151</v>
      </c>
      <c r="F22" s="4" t="s">
        <v>180</v>
      </c>
      <c r="G22" s="9" t="s">
        <v>146</v>
      </c>
    </row>
    <row r="23" customFormat="false" ht="25.5" hidden="false" customHeight="true" outlineLevel="0" collapsed="false">
      <c r="A23" s="4" t="s">
        <v>189</v>
      </c>
      <c r="B23" s="4" t="s">
        <v>170</v>
      </c>
      <c r="C23" s="4" t="s">
        <v>190</v>
      </c>
      <c r="D23" s="4" t="n">
        <v>3</v>
      </c>
      <c r="E23" s="4" t="s">
        <v>164</v>
      </c>
      <c r="F23" s="4" t="s">
        <v>180</v>
      </c>
      <c r="G23" s="9" t="s">
        <v>146</v>
      </c>
    </row>
    <row r="24" customFormat="false" ht="25.5" hidden="false" customHeight="true" outlineLevel="0" collapsed="false">
      <c r="A24" s="4" t="s">
        <v>191</v>
      </c>
      <c r="B24" s="4" t="s">
        <v>192</v>
      </c>
      <c r="C24" s="4" t="s">
        <v>193</v>
      </c>
      <c r="D24" s="4" t="n">
        <v>5</v>
      </c>
      <c r="E24" s="4" t="s">
        <v>144</v>
      </c>
      <c r="F24" s="4" t="s">
        <v>194</v>
      </c>
      <c r="G24" s="9" t="s">
        <v>146</v>
      </c>
    </row>
    <row r="25" customFormat="false" ht="25.5" hidden="false" customHeight="true" outlineLevel="0" collapsed="false">
      <c r="A25" s="4" t="s">
        <v>195</v>
      </c>
      <c r="B25" s="4" t="s">
        <v>192</v>
      </c>
      <c r="C25" s="4" t="s">
        <v>196</v>
      </c>
      <c r="D25" s="4" t="n">
        <v>8</v>
      </c>
      <c r="E25" s="4" t="s">
        <v>144</v>
      </c>
      <c r="F25" s="4" t="s">
        <v>194</v>
      </c>
      <c r="G25" s="9" t="s">
        <v>146</v>
      </c>
    </row>
    <row r="26" customFormat="false" ht="25.5" hidden="false" customHeight="true" outlineLevel="0" collapsed="false">
      <c r="A26" s="4" t="s">
        <v>197</v>
      </c>
      <c r="B26" s="4" t="s">
        <v>192</v>
      </c>
      <c r="C26" s="4" t="s">
        <v>198</v>
      </c>
      <c r="D26" s="4" t="n">
        <v>5</v>
      </c>
      <c r="E26" s="4" t="s">
        <v>151</v>
      </c>
      <c r="F26" s="4" t="s">
        <v>194</v>
      </c>
      <c r="G26" s="9" t="s">
        <v>146</v>
      </c>
    </row>
    <row r="27" customFormat="false" ht="25.5" hidden="false" customHeight="true" outlineLevel="0" collapsed="false">
      <c r="A27" s="4" t="s">
        <v>199</v>
      </c>
      <c r="B27" s="4" t="s">
        <v>192</v>
      </c>
      <c r="C27" s="4" t="s">
        <v>200</v>
      </c>
      <c r="D27" s="4" t="n">
        <v>3</v>
      </c>
      <c r="E27" s="4" t="s">
        <v>144</v>
      </c>
      <c r="F27" s="4" t="s">
        <v>194</v>
      </c>
      <c r="G27" s="9" t="s">
        <v>146</v>
      </c>
    </row>
    <row r="28" customFormat="false" ht="25.5" hidden="false" customHeight="true" outlineLevel="0" collapsed="false">
      <c r="A28" s="4" t="s">
        <v>201</v>
      </c>
      <c r="B28" s="4" t="s">
        <v>192</v>
      </c>
      <c r="C28" s="4" t="s">
        <v>202</v>
      </c>
      <c r="D28" s="4" t="n">
        <v>5</v>
      </c>
      <c r="E28" s="4" t="s">
        <v>144</v>
      </c>
      <c r="F28" s="4" t="s">
        <v>194</v>
      </c>
      <c r="G28" s="9" t="s">
        <v>157</v>
      </c>
    </row>
    <row r="29" customFormat="false" ht="25.5" hidden="false" customHeight="true" outlineLevel="0" collapsed="false">
      <c r="A29" s="4" t="s">
        <v>203</v>
      </c>
      <c r="B29" s="4" t="s">
        <v>192</v>
      </c>
      <c r="C29" s="4" t="s">
        <v>204</v>
      </c>
      <c r="D29" s="4" t="n">
        <v>3</v>
      </c>
      <c r="E29" s="4" t="s">
        <v>151</v>
      </c>
      <c r="F29" s="4" t="s">
        <v>194</v>
      </c>
      <c r="G29" s="9" t="s">
        <v>146</v>
      </c>
    </row>
    <row r="30" customFormat="false" ht="25.5" hidden="false" customHeight="true" outlineLevel="0" collapsed="false">
      <c r="A30" s="4" t="s">
        <v>205</v>
      </c>
      <c r="B30" s="4" t="s">
        <v>192</v>
      </c>
      <c r="C30" s="4" t="s">
        <v>206</v>
      </c>
      <c r="D30" s="4" t="n">
        <v>3</v>
      </c>
      <c r="E30" s="4" t="s">
        <v>151</v>
      </c>
      <c r="F30" s="4" t="s">
        <v>194</v>
      </c>
      <c r="G30" s="9" t="s">
        <v>146</v>
      </c>
    </row>
    <row r="31" customFormat="false" ht="25.5" hidden="false" customHeight="true" outlineLevel="0" collapsed="false">
      <c r="A31" s="4" t="s">
        <v>207</v>
      </c>
      <c r="B31" s="4" t="s">
        <v>192</v>
      </c>
      <c r="C31" s="4" t="s">
        <v>208</v>
      </c>
      <c r="D31" s="4" t="n">
        <v>2</v>
      </c>
      <c r="E31" s="4" t="s">
        <v>164</v>
      </c>
      <c r="F31" s="4" t="s">
        <v>194</v>
      </c>
      <c r="G31" s="9" t="s">
        <v>146</v>
      </c>
    </row>
    <row r="32" customFormat="false" ht="25.5" hidden="false" customHeight="true" outlineLevel="0" collapsed="false">
      <c r="A32" s="4" t="s">
        <v>209</v>
      </c>
      <c r="B32" s="4" t="s">
        <v>192</v>
      </c>
      <c r="C32" s="4" t="s">
        <v>210</v>
      </c>
      <c r="D32" s="4" t="n">
        <v>5</v>
      </c>
      <c r="E32" s="4" t="s">
        <v>151</v>
      </c>
      <c r="F32" s="4" t="s">
        <v>194</v>
      </c>
      <c r="G32" s="9" t="s">
        <v>146</v>
      </c>
    </row>
    <row r="33" customFormat="false" ht="25.5" hidden="false" customHeight="true" outlineLevel="0" collapsed="false">
      <c r="A33" s="4" t="s">
        <v>211</v>
      </c>
      <c r="B33" s="4" t="s">
        <v>192</v>
      </c>
      <c r="C33" s="4" t="s">
        <v>212</v>
      </c>
      <c r="D33" s="4" t="n">
        <v>3</v>
      </c>
      <c r="E33" s="4" t="s">
        <v>164</v>
      </c>
      <c r="F33" s="4" t="s">
        <v>194</v>
      </c>
      <c r="G33" s="9" t="s">
        <v>146</v>
      </c>
    </row>
    <row r="34" customFormat="false" ht="25.5" hidden="false" customHeight="true" outlineLevel="0" collapsed="false">
      <c r="A34" s="4" t="s">
        <v>213</v>
      </c>
      <c r="B34" s="4" t="s">
        <v>214</v>
      </c>
      <c r="C34" s="4" t="s">
        <v>215</v>
      </c>
      <c r="D34" s="4" t="n">
        <v>5</v>
      </c>
      <c r="E34" s="4" t="s">
        <v>144</v>
      </c>
      <c r="F34" s="4" t="s">
        <v>216</v>
      </c>
      <c r="G34" s="9" t="s">
        <v>146</v>
      </c>
    </row>
    <row r="35" customFormat="false" ht="25.5" hidden="false" customHeight="true" outlineLevel="0" collapsed="false">
      <c r="A35" s="4" t="s">
        <v>217</v>
      </c>
      <c r="B35" s="4" t="s">
        <v>214</v>
      </c>
      <c r="C35" s="4" t="s">
        <v>218</v>
      </c>
      <c r="D35" s="4" t="n">
        <v>8</v>
      </c>
      <c r="E35" s="4" t="s">
        <v>144</v>
      </c>
      <c r="F35" s="4" t="s">
        <v>216</v>
      </c>
      <c r="G35" s="9" t="s">
        <v>146</v>
      </c>
    </row>
    <row r="36" customFormat="false" ht="25.5" hidden="false" customHeight="true" outlineLevel="0" collapsed="false">
      <c r="A36" s="4" t="s">
        <v>219</v>
      </c>
      <c r="B36" s="4" t="s">
        <v>214</v>
      </c>
      <c r="C36" s="4" t="s">
        <v>220</v>
      </c>
      <c r="D36" s="4" t="n">
        <v>5</v>
      </c>
      <c r="E36" s="4" t="s">
        <v>151</v>
      </c>
      <c r="F36" s="4" t="s">
        <v>216</v>
      </c>
      <c r="G36" s="9" t="s">
        <v>146</v>
      </c>
    </row>
    <row r="37" customFormat="false" ht="25.5" hidden="false" customHeight="true" outlineLevel="0" collapsed="false">
      <c r="A37" s="4" t="s">
        <v>221</v>
      </c>
      <c r="B37" s="4" t="s">
        <v>214</v>
      </c>
      <c r="C37" s="4" t="s">
        <v>222</v>
      </c>
      <c r="D37" s="4" t="n">
        <v>3</v>
      </c>
      <c r="E37" s="4" t="s">
        <v>144</v>
      </c>
      <c r="F37" s="4" t="s">
        <v>216</v>
      </c>
      <c r="G37" s="9" t="s">
        <v>146</v>
      </c>
    </row>
    <row r="38" customFormat="false" ht="25.5" hidden="false" customHeight="true" outlineLevel="0" collapsed="false">
      <c r="A38" s="4" t="s">
        <v>223</v>
      </c>
      <c r="B38" s="4" t="s">
        <v>214</v>
      </c>
      <c r="C38" s="4" t="s">
        <v>224</v>
      </c>
      <c r="D38" s="4" t="n">
        <v>5</v>
      </c>
      <c r="E38" s="4" t="s">
        <v>144</v>
      </c>
      <c r="F38" s="4" t="s">
        <v>216</v>
      </c>
      <c r="G38" s="9" t="s">
        <v>157</v>
      </c>
    </row>
    <row r="39" customFormat="false" ht="25.5" hidden="false" customHeight="true" outlineLevel="0" collapsed="false">
      <c r="A39" s="4" t="s">
        <v>225</v>
      </c>
      <c r="B39" s="4" t="s">
        <v>214</v>
      </c>
      <c r="C39" s="4" t="s">
        <v>226</v>
      </c>
      <c r="D39" s="4" t="n">
        <v>3</v>
      </c>
      <c r="E39" s="4" t="s">
        <v>151</v>
      </c>
      <c r="F39" s="4" t="s">
        <v>216</v>
      </c>
      <c r="G39" s="9" t="s">
        <v>146</v>
      </c>
    </row>
    <row r="40" customFormat="false" ht="25.5" hidden="false" customHeight="true" outlineLevel="0" collapsed="false">
      <c r="A40" s="4" t="s">
        <v>227</v>
      </c>
      <c r="B40" s="4" t="s">
        <v>214</v>
      </c>
      <c r="C40" s="4" t="s">
        <v>228</v>
      </c>
      <c r="D40" s="4" t="n">
        <v>3</v>
      </c>
      <c r="E40" s="4" t="s">
        <v>151</v>
      </c>
      <c r="F40" s="4" t="s">
        <v>216</v>
      </c>
      <c r="G40" s="9" t="s">
        <v>146</v>
      </c>
    </row>
    <row r="41" customFormat="false" ht="25.5" hidden="false" customHeight="true" outlineLevel="0" collapsed="false">
      <c r="A41" s="4" t="s">
        <v>229</v>
      </c>
      <c r="B41" s="4" t="s">
        <v>214</v>
      </c>
      <c r="C41" s="4" t="s">
        <v>230</v>
      </c>
      <c r="D41" s="4" t="n">
        <v>2</v>
      </c>
      <c r="E41" s="4" t="s">
        <v>164</v>
      </c>
      <c r="F41" s="4" t="s">
        <v>216</v>
      </c>
      <c r="G41" s="9" t="s">
        <v>146</v>
      </c>
    </row>
    <row r="42" customFormat="false" ht="25.5" hidden="false" customHeight="true" outlineLevel="0" collapsed="false">
      <c r="A42" s="4" t="s">
        <v>231</v>
      </c>
      <c r="B42" s="4" t="s">
        <v>214</v>
      </c>
      <c r="C42" s="4" t="s">
        <v>232</v>
      </c>
      <c r="D42" s="4" t="n">
        <v>5</v>
      </c>
      <c r="E42" s="4" t="s">
        <v>151</v>
      </c>
      <c r="F42" s="4" t="s">
        <v>216</v>
      </c>
      <c r="G42" s="9" t="s">
        <v>146</v>
      </c>
    </row>
    <row r="43" customFormat="false" ht="25.5" hidden="false" customHeight="true" outlineLevel="0" collapsed="false">
      <c r="A43" s="4" t="s">
        <v>233</v>
      </c>
      <c r="B43" s="4" t="s">
        <v>214</v>
      </c>
      <c r="C43" s="4" t="s">
        <v>234</v>
      </c>
      <c r="D43" s="4" t="n">
        <v>3</v>
      </c>
      <c r="E43" s="4" t="s">
        <v>164</v>
      </c>
      <c r="F43" s="4" t="s">
        <v>216</v>
      </c>
      <c r="G43" s="9" t="s">
        <v>146</v>
      </c>
    </row>
    <row r="44" customFormat="false" ht="25.5" hidden="false" customHeight="true" outlineLevel="0" collapsed="false">
      <c r="A44" s="4" t="s">
        <v>235</v>
      </c>
      <c r="B44" s="4" t="s">
        <v>236</v>
      </c>
      <c r="C44" s="4" t="s">
        <v>237</v>
      </c>
      <c r="D44" s="4" t="n">
        <v>5</v>
      </c>
      <c r="E44" s="4" t="s">
        <v>144</v>
      </c>
      <c r="F44" s="4" t="s">
        <v>238</v>
      </c>
      <c r="G44" s="9" t="s">
        <v>146</v>
      </c>
    </row>
    <row r="45" customFormat="false" ht="25.5" hidden="false" customHeight="true" outlineLevel="0" collapsed="false">
      <c r="A45" s="4" t="s">
        <v>239</v>
      </c>
      <c r="B45" s="4" t="s">
        <v>236</v>
      </c>
      <c r="C45" s="4" t="s">
        <v>240</v>
      </c>
      <c r="D45" s="4" t="n">
        <v>8</v>
      </c>
      <c r="E45" s="4" t="s">
        <v>144</v>
      </c>
      <c r="F45" s="4" t="s">
        <v>238</v>
      </c>
      <c r="G45" s="9" t="s">
        <v>146</v>
      </c>
    </row>
    <row r="46" customFormat="false" ht="25.5" hidden="false" customHeight="true" outlineLevel="0" collapsed="false">
      <c r="A46" s="4" t="s">
        <v>241</v>
      </c>
      <c r="B46" s="4" t="s">
        <v>236</v>
      </c>
      <c r="C46" s="4" t="s">
        <v>242</v>
      </c>
      <c r="D46" s="4" t="n">
        <v>5</v>
      </c>
      <c r="E46" s="4" t="s">
        <v>151</v>
      </c>
      <c r="F46" s="4" t="s">
        <v>238</v>
      </c>
      <c r="G46" s="9" t="s">
        <v>146</v>
      </c>
    </row>
    <row r="47" customFormat="false" ht="25.5" hidden="false" customHeight="true" outlineLevel="0" collapsed="false">
      <c r="A47" s="4" t="s">
        <v>243</v>
      </c>
      <c r="B47" s="4" t="s">
        <v>236</v>
      </c>
      <c r="C47" s="4" t="s">
        <v>244</v>
      </c>
      <c r="D47" s="4" t="n">
        <v>3</v>
      </c>
      <c r="E47" s="4" t="s">
        <v>144</v>
      </c>
      <c r="F47" s="4" t="s">
        <v>238</v>
      </c>
      <c r="G47" s="9" t="s">
        <v>146</v>
      </c>
    </row>
    <row r="48" customFormat="false" ht="25.5" hidden="false" customHeight="true" outlineLevel="0" collapsed="false">
      <c r="A48" s="4" t="s">
        <v>245</v>
      </c>
      <c r="B48" s="4" t="s">
        <v>236</v>
      </c>
      <c r="C48" s="4" t="s">
        <v>246</v>
      </c>
      <c r="D48" s="4" t="n">
        <v>5</v>
      </c>
      <c r="E48" s="4" t="s">
        <v>144</v>
      </c>
      <c r="F48" s="4" t="s">
        <v>238</v>
      </c>
      <c r="G48" s="9" t="s">
        <v>157</v>
      </c>
    </row>
    <row r="49" customFormat="false" ht="25.5" hidden="false" customHeight="true" outlineLevel="0" collapsed="false">
      <c r="A49" s="4" t="s">
        <v>247</v>
      </c>
      <c r="B49" s="4" t="s">
        <v>236</v>
      </c>
      <c r="C49" s="4" t="s">
        <v>248</v>
      </c>
      <c r="D49" s="4" t="n">
        <v>3</v>
      </c>
      <c r="E49" s="4" t="s">
        <v>151</v>
      </c>
      <c r="F49" s="4" t="s">
        <v>238</v>
      </c>
      <c r="G49" s="9" t="s">
        <v>146</v>
      </c>
    </row>
    <row r="50" customFormat="false" ht="25.5" hidden="false" customHeight="true" outlineLevel="0" collapsed="false">
      <c r="A50" s="4" t="s">
        <v>249</v>
      </c>
      <c r="B50" s="4" t="s">
        <v>236</v>
      </c>
      <c r="C50" s="4" t="s">
        <v>250</v>
      </c>
      <c r="D50" s="4" t="n">
        <v>3</v>
      </c>
      <c r="E50" s="4" t="s">
        <v>151</v>
      </c>
      <c r="F50" s="4" t="s">
        <v>238</v>
      </c>
      <c r="G50" s="9" t="s">
        <v>146</v>
      </c>
    </row>
    <row r="51" customFormat="false" ht="25.5" hidden="false" customHeight="true" outlineLevel="0" collapsed="false">
      <c r="A51" s="4" t="s">
        <v>251</v>
      </c>
      <c r="B51" s="4" t="s">
        <v>236</v>
      </c>
      <c r="C51" s="4" t="s">
        <v>252</v>
      </c>
      <c r="D51" s="4" t="n">
        <v>2</v>
      </c>
      <c r="E51" s="4" t="s">
        <v>164</v>
      </c>
      <c r="F51" s="4" t="s">
        <v>238</v>
      </c>
      <c r="G51" s="9" t="s">
        <v>146</v>
      </c>
    </row>
    <row r="52" customFormat="false" ht="25.5" hidden="false" customHeight="true" outlineLevel="0" collapsed="false">
      <c r="A52" s="4" t="s">
        <v>253</v>
      </c>
      <c r="B52" s="4" t="s">
        <v>236</v>
      </c>
      <c r="C52" s="4" t="s">
        <v>254</v>
      </c>
      <c r="D52" s="4" t="n">
        <v>5</v>
      </c>
      <c r="E52" s="4" t="s">
        <v>151</v>
      </c>
      <c r="F52" s="4" t="s">
        <v>238</v>
      </c>
      <c r="G52" s="9" t="s">
        <v>146</v>
      </c>
    </row>
    <row r="53" customFormat="false" ht="25.5" hidden="false" customHeight="true" outlineLevel="0" collapsed="false">
      <c r="A53" s="4" t="s">
        <v>255</v>
      </c>
      <c r="B53" s="4" t="s">
        <v>236</v>
      </c>
      <c r="C53" s="4" t="s">
        <v>256</v>
      </c>
      <c r="D53" s="4" t="n">
        <v>3</v>
      </c>
      <c r="E53" s="4" t="s">
        <v>164</v>
      </c>
      <c r="F53" s="4" t="s">
        <v>238</v>
      </c>
      <c r="G53" s="9" t="s">
        <v>146</v>
      </c>
    </row>
    <row r="54" customFormat="false" ht="25.5" hidden="false" customHeight="true" outlineLevel="0" collapsed="false">
      <c r="A54" s="4" t="s">
        <v>257</v>
      </c>
      <c r="B54" s="4" t="s">
        <v>258</v>
      </c>
      <c r="C54" s="4" t="s">
        <v>259</v>
      </c>
      <c r="D54" s="4" t="n">
        <v>5</v>
      </c>
      <c r="E54" s="4" t="s">
        <v>144</v>
      </c>
      <c r="F54" s="4" t="s">
        <v>260</v>
      </c>
      <c r="G54" s="9" t="s">
        <v>146</v>
      </c>
    </row>
    <row r="55" customFormat="false" ht="25.5" hidden="false" customHeight="true" outlineLevel="0" collapsed="false">
      <c r="A55" s="4" t="s">
        <v>261</v>
      </c>
      <c r="B55" s="4" t="s">
        <v>258</v>
      </c>
      <c r="C55" s="4" t="s">
        <v>262</v>
      </c>
      <c r="D55" s="4" t="n">
        <v>3</v>
      </c>
      <c r="E55" s="4" t="s">
        <v>144</v>
      </c>
      <c r="F55" s="4" t="s">
        <v>260</v>
      </c>
      <c r="G55" s="9" t="s">
        <v>146</v>
      </c>
    </row>
    <row r="56" customFormat="false" ht="25.5" hidden="false" customHeight="true" outlineLevel="0" collapsed="false">
      <c r="A56" s="4" t="s">
        <v>263</v>
      </c>
      <c r="B56" s="4" t="s">
        <v>258</v>
      </c>
      <c r="C56" s="4" t="s">
        <v>264</v>
      </c>
      <c r="D56" s="4" t="n">
        <v>3</v>
      </c>
      <c r="E56" s="4" t="s">
        <v>151</v>
      </c>
      <c r="F56" s="4" t="s">
        <v>145</v>
      </c>
      <c r="G56" s="9" t="s">
        <v>146</v>
      </c>
    </row>
    <row r="57" customFormat="false" ht="25.5" hidden="false" customHeight="true" outlineLevel="0" collapsed="false">
      <c r="A57" s="4" t="s">
        <v>265</v>
      </c>
      <c r="B57" s="4" t="s">
        <v>258</v>
      </c>
      <c r="C57" s="4" t="s">
        <v>266</v>
      </c>
      <c r="D57" s="4" t="n">
        <v>5</v>
      </c>
      <c r="E57" s="4" t="s">
        <v>144</v>
      </c>
      <c r="F57" s="4" t="s">
        <v>145</v>
      </c>
      <c r="G57" s="9" t="s">
        <v>146</v>
      </c>
    </row>
    <row r="58" customFormat="false" ht="25.5" hidden="false" customHeight="true" outlineLevel="0" collapsed="false">
      <c r="A58" s="4" t="s">
        <v>267</v>
      </c>
      <c r="B58" s="4" t="s">
        <v>258</v>
      </c>
      <c r="C58" s="4" t="s">
        <v>268</v>
      </c>
      <c r="D58" s="4" t="n">
        <v>3</v>
      </c>
      <c r="E58" s="4" t="s">
        <v>144</v>
      </c>
      <c r="F58" s="4" t="s">
        <v>260</v>
      </c>
      <c r="G58" s="9" t="s">
        <v>146</v>
      </c>
    </row>
    <row r="59" customFormat="false" ht="25.5" hidden="false" customHeight="true" outlineLevel="0" collapsed="false">
      <c r="A59" s="4" t="s">
        <v>269</v>
      </c>
      <c r="B59" s="4" t="s">
        <v>258</v>
      </c>
      <c r="C59" s="4" t="s">
        <v>270</v>
      </c>
      <c r="D59" s="4" t="n">
        <v>2</v>
      </c>
      <c r="E59" s="4" t="s">
        <v>151</v>
      </c>
      <c r="F59" s="4" t="s">
        <v>260</v>
      </c>
      <c r="G59" s="9" t="s">
        <v>146</v>
      </c>
    </row>
    <row r="60" customFormat="false" ht="25.5" hidden="false" customHeight="true" outlineLevel="0" collapsed="false">
      <c r="A60" s="4" t="s">
        <v>271</v>
      </c>
      <c r="B60" s="4" t="s">
        <v>272</v>
      </c>
      <c r="C60" s="4" t="s">
        <v>273</v>
      </c>
      <c r="D60" s="4" t="n">
        <v>5</v>
      </c>
      <c r="E60" s="4" t="s">
        <v>144</v>
      </c>
      <c r="F60" s="4" t="s">
        <v>216</v>
      </c>
      <c r="G60" s="9" t="s">
        <v>146</v>
      </c>
    </row>
    <row r="61" customFormat="false" ht="25.5" hidden="false" customHeight="true" outlineLevel="0" collapsed="false">
      <c r="A61" s="4" t="s">
        <v>274</v>
      </c>
      <c r="B61" s="4" t="s">
        <v>272</v>
      </c>
      <c r="C61" s="4" t="s">
        <v>275</v>
      </c>
      <c r="D61" s="4" t="n">
        <v>5</v>
      </c>
      <c r="E61" s="4" t="s">
        <v>144</v>
      </c>
      <c r="F61" s="4" t="s">
        <v>216</v>
      </c>
      <c r="G61" s="9" t="s">
        <v>146</v>
      </c>
    </row>
    <row r="62" customFormat="false" ht="25.5" hidden="false" customHeight="true" outlineLevel="0" collapsed="false">
      <c r="A62" s="4" t="s">
        <v>276</v>
      </c>
      <c r="B62" s="4" t="s">
        <v>272</v>
      </c>
      <c r="C62" s="4" t="s">
        <v>277</v>
      </c>
      <c r="D62" s="4" t="n">
        <v>8</v>
      </c>
      <c r="E62" s="4" t="s">
        <v>144</v>
      </c>
      <c r="F62" s="4" t="s">
        <v>216</v>
      </c>
      <c r="G62" s="9" t="s">
        <v>157</v>
      </c>
    </row>
    <row r="63" customFormat="false" ht="25.5" hidden="false" customHeight="true" outlineLevel="0" collapsed="false">
      <c r="A63" s="4" t="s">
        <v>278</v>
      </c>
      <c r="B63" s="4" t="s">
        <v>272</v>
      </c>
      <c r="C63" s="4" t="s">
        <v>279</v>
      </c>
      <c r="D63" s="4" t="n">
        <v>3</v>
      </c>
      <c r="E63" s="4" t="s">
        <v>151</v>
      </c>
      <c r="F63" s="4" t="s">
        <v>280</v>
      </c>
      <c r="G63" s="9" t="s">
        <v>146</v>
      </c>
    </row>
    <row r="64" customFormat="false" ht="25.5" hidden="false" customHeight="true" outlineLevel="0" collapsed="false">
      <c r="A64" s="4" t="s">
        <v>281</v>
      </c>
      <c r="B64" s="4" t="s">
        <v>272</v>
      </c>
      <c r="C64" s="4" t="s">
        <v>282</v>
      </c>
      <c r="D64" s="4" t="n">
        <v>3</v>
      </c>
      <c r="E64" s="4" t="s">
        <v>151</v>
      </c>
      <c r="F64" s="4" t="s">
        <v>280</v>
      </c>
      <c r="G64" s="9" t="s">
        <v>146</v>
      </c>
    </row>
    <row r="65" customFormat="false" ht="25.5" hidden="false" customHeight="true" outlineLevel="0" collapsed="false">
      <c r="A65" s="4" t="s">
        <v>283</v>
      </c>
      <c r="B65" s="4" t="s">
        <v>272</v>
      </c>
      <c r="C65" s="4" t="s">
        <v>284</v>
      </c>
      <c r="D65" s="4" t="n">
        <v>3</v>
      </c>
      <c r="E65" s="4" t="s">
        <v>164</v>
      </c>
      <c r="F65" s="4" t="s">
        <v>280</v>
      </c>
      <c r="G65" s="9" t="s">
        <v>146</v>
      </c>
    </row>
    <row r="66" customFormat="false" ht="25.5" hidden="false" customHeight="true" outlineLevel="0" collapsed="false">
      <c r="A66" s="4" t="s">
        <v>285</v>
      </c>
      <c r="B66" s="4" t="s">
        <v>272</v>
      </c>
      <c r="C66" s="4" t="s">
        <v>286</v>
      </c>
      <c r="D66" s="4" t="n">
        <v>3</v>
      </c>
      <c r="E66" s="4" t="s">
        <v>151</v>
      </c>
      <c r="F66" s="4" t="s">
        <v>280</v>
      </c>
      <c r="G66" s="9" t="s">
        <v>146</v>
      </c>
    </row>
    <row r="67" customFormat="false" ht="25.5" hidden="false" customHeight="true" outlineLevel="0" collapsed="false">
      <c r="A67" s="4" t="s">
        <v>287</v>
      </c>
      <c r="B67" s="4" t="s">
        <v>288</v>
      </c>
      <c r="C67" s="4" t="s">
        <v>289</v>
      </c>
      <c r="D67" s="4" t="n">
        <v>3</v>
      </c>
      <c r="E67" s="4" t="s">
        <v>144</v>
      </c>
      <c r="F67" s="4" t="s">
        <v>280</v>
      </c>
      <c r="G67" s="9" t="s">
        <v>146</v>
      </c>
    </row>
    <row r="68" customFormat="false" ht="25.5" hidden="false" customHeight="true" outlineLevel="0" collapsed="false">
      <c r="A68" s="4" t="s">
        <v>290</v>
      </c>
      <c r="B68" s="4" t="s">
        <v>288</v>
      </c>
      <c r="C68" s="4" t="s">
        <v>291</v>
      </c>
      <c r="D68" s="4" t="n">
        <v>3</v>
      </c>
      <c r="E68" s="4" t="s">
        <v>144</v>
      </c>
      <c r="F68" s="4" t="s">
        <v>238</v>
      </c>
      <c r="G68" s="9" t="s">
        <v>146</v>
      </c>
    </row>
    <row r="69" customFormat="false" ht="25.5" hidden="false" customHeight="true" outlineLevel="0" collapsed="false">
      <c r="A69" s="4" t="s">
        <v>292</v>
      </c>
      <c r="B69" s="4" t="s">
        <v>288</v>
      </c>
      <c r="C69" s="4" t="s">
        <v>293</v>
      </c>
      <c r="D69" s="4" t="n">
        <v>5</v>
      </c>
      <c r="E69" s="4" t="s">
        <v>144</v>
      </c>
      <c r="F69" s="4" t="s">
        <v>238</v>
      </c>
      <c r="G69" s="9" t="s">
        <v>157</v>
      </c>
    </row>
    <row r="70" customFormat="false" ht="25.5" hidden="false" customHeight="true" outlineLevel="0" collapsed="false">
      <c r="A70" s="4" t="s">
        <v>294</v>
      </c>
      <c r="B70" s="4" t="s">
        <v>288</v>
      </c>
      <c r="C70" s="4" t="s">
        <v>295</v>
      </c>
      <c r="D70" s="4" t="n">
        <v>5</v>
      </c>
      <c r="E70" s="4" t="s">
        <v>151</v>
      </c>
      <c r="F70" s="4" t="s">
        <v>238</v>
      </c>
      <c r="G70" s="9" t="s">
        <v>146</v>
      </c>
    </row>
    <row r="71" customFormat="false" ht="25.5" hidden="false" customHeight="true" outlineLevel="0" collapsed="false">
      <c r="A71" s="4" t="s">
        <v>296</v>
      </c>
      <c r="B71" s="4" t="s">
        <v>288</v>
      </c>
      <c r="C71" s="4" t="s">
        <v>297</v>
      </c>
      <c r="D71" s="4" t="n">
        <v>8</v>
      </c>
      <c r="E71" s="4" t="s">
        <v>144</v>
      </c>
      <c r="F71" s="4" t="s">
        <v>298</v>
      </c>
      <c r="G71" s="9" t="s">
        <v>299</v>
      </c>
    </row>
    <row r="72" customFormat="false" ht="25.5" hidden="false" customHeight="true" outlineLevel="0" collapsed="false">
      <c r="A72" s="4" t="s">
        <v>300</v>
      </c>
      <c r="B72" s="4" t="s">
        <v>288</v>
      </c>
      <c r="C72" s="4" t="s">
        <v>301</v>
      </c>
      <c r="D72" s="4" t="n">
        <v>5</v>
      </c>
      <c r="E72" s="4" t="s">
        <v>144</v>
      </c>
      <c r="F72" s="4" t="s">
        <v>298</v>
      </c>
      <c r="G72" s="9" t="s">
        <v>146</v>
      </c>
    </row>
    <row r="73" customFormat="false" ht="25.5" hidden="false" customHeight="true" outlineLevel="0" collapsed="false">
      <c r="A73" s="4" t="s">
        <v>302</v>
      </c>
      <c r="B73" s="4" t="s">
        <v>288</v>
      </c>
      <c r="C73" s="4" t="s">
        <v>303</v>
      </c>
      <c r="D73" s="4" t="n">
        <v>5</v>
      </c>
      <c r="E73" s="4" t="s">
        <v>144</v>
      </c>
      <c r="F73" s="4" t="s">
        <v>238</v>
      </c>
      <c r="G73" s="9" t="s">
        <v>146</v>
      </c>
    </row>
    <row r="74" customFormat="false" ht="25.5" hidden="false" customHeight="true" outlineLevel="0" collapsed="false">
      <c r="A74" s="4" t="s">
        <v>304</v>
      </c>
      <c r="B74" s="4" t="s">
        <v>305</v>
      </c>
      <c r="C74" s="4" t="s">
        <v>306</v>
      </c>
      <c r="D74" s="4" t="n">
        <v>5</v>
      </c>
      <c r="E74" s="4" t="s">
        <v>144</v>
      </c>
      <c r="F74" s="4" t="s">
        <v>180</v>
      </c>
      <c r="G74" s="9" t="s">
        <v>146</v>
      </c>
    </row>
    <row r="75" customFormat="false" ht="25.5" hidden="false" customHeight="true" outlineLevel="0" collapsed="false">
      <c r="A75" s="4" t="s">
        <v>307</v>
      </c>
      <c r="B75" s="4" t="s">
        <v>305</v>
      </c>
      <c r="C75" s="4" t="s">
        <v>308</v>
      </c>
      <c r="D75" s="4" t="n">
        <v>3</v>
      </c>
      <c r="E75" s="4" t="s">
        <v>144</v>
      </c>
      <c r="F75" s="4" t="s">
        <v>180</v>
      </c>
      <c r="G75" s="9" t="s">
        <v>146</v>
      </c>
    </row>
    <row r="76" customFormat="false" ht="25.5" hidden="false" customHeight="true" outlineLevel="0" collapsed="false">
      <c r="A76" s="4" t="s">
        <v>309</v>
      </c>
      <c r="B76" s="4" t="s">
        <v>305</v>
      </c>
      <c r="C76" s="4" t="s">
        <v>310</v>
      </c>
      <c r="D76" s="4" t="n">
        <v>3</v>
      </c>
      <c r="E76" s="4" t="s">
        <v>164</v>
      </c>
      <c r="F76" s="4" t="s">
        <v>238</v>
      </c>
      <c r="G76" s="9" t="s">
        <v>146</v>
      </c>
    </row>
    <row r="77" customFormat="false" ht="25.5" hidden="false" customHeight="true" outlineLevel="0" collapsed="false">
      <c r="A77" s="4" t="s">
        <v>311</v>
      </c>
      <c r="B77" s="4" t="s">
        <v>305</v>
      </c>
      <c r="C77" s="4" t="s">
        <v>312</v>
      </c>
      <c r="D77" s="4" t="n">
        <v>2</v>
      </c>
      <c r="E77" s="4" t="s">
        <v>164</v>
      </c>
      <c r="F77" s="4" t="s">
        <v>238</v>
      </c>
      <c r="G77" s="9" t="s">
        <v>146</v>
      </c>
    </row>
    <row r="78" customFormat="false" ht="25.5" hidden="false" customHeight="true" outlineLevel="0" collapsed="false">
      <c r="A78" s="4" t="s">
        <v>313</v>
      </c>
      <c r="B78" s="4" t="s">
        <v>305</v>
      </c>
      <c r="C78" s="4" t="s">
        <v>314</v>
      </c>
      <c r="D78" s="4" t="n">
        <v>5</v>
      </c>
      <c r="E78" s="4" t="s">
        <v>151</v>
      </c>
      <c r="F78" s="4" t="s">
        <v>238</v>
      </c>
      <c r="G78" s="9" t="s">
        <v>146</v>
      </c>
    </row>
    <row r="79" customFormat="false" ht="25.5" hidden="false" customHeight="true" outlineLevel="0" collapsed="false">
      <c r="A79" s="4" t="s">
        <v>315</v>
      </c>
      <c r="B79" s="4" t="s">
        <v>305</v>
      </c>
      <c r="C79" s="4" t="s">
        <v>316</v>
      </c>
      <c r="D79" s="4" t="n">
        <v>3</v>
      </c>
      <c r="E79" s="4" t="s">
        <v>164</v>
      </c>
      <c r="F79" s="4" t="s">
        <v>238</v>
      </c>
      <c r="G79" s="9" t="s">
        <v>146</v>
      </c>
    </row>
    <row r="80" customFormat="false" ht="25.5" hidden="false" customHeight="true" outlineLevel="0" collapsed="false">
      <c r="A80" s="4" t="s">
        <v>317</v>
      </c>
      <c r="B80" s="4" t="s">
        <v>305</v>
      </c>
      <c r="C80" s="4" t="s">
        <v>318</v>
      </c>
      <c r="D80" s="4" t="n">
        <v>3</v>
      </c>
      <c r="E80" s="4" t="s">
        <v>164</v>
      </c>
      <c r="F80" s="4" t="s">
        <v>238</v>
      </c>
      <c r="G80" s="9" t="s">
        <v>146</v>
      </c>
    </row>
    <row r="81" customFormat="false" ht="25.5" hidden="false" customHeight="true" outlineLevel="0" collapsed="false">
      <c r="A81" s="4" t="s">
        <v>319</v>
      </c>
      <c r="B81" s="4" t="s">
        <v>320</v>
      </c>
      <c r="C81" s="4" t="s">
        <v>321</v>
      </c>
      <c r="D81" s="4" t="n">
        <v>5</v>
      </c>
      <c r="E81" s="4" t="s">
        <v>144</v>
      </c>
      <c r="F81" s="4" t="s">
        <v>194</v>
      </c>
      <c r="G81" s="9" t="s">
        <v>146</v>
      </c>
    </row>
    <row r="82" customFormat="false" ht="25.5" hidden="false" customHeight="true" outlineLevel="0" collapsed="false">
      <c r="A82" s="4" t="s">
        <v>322</v>
      </c>
      <c r="B82" s="4" t="s">
        <v>320</v>
      </c>
      <c r="C82" s="4" t="s">
        <v>323</v>
      </c>
      <c r="D82" s="4" t="n">
        <v>3</v>
      </c>
      <c r="E82" s="4" t="s">
        <v>151</v>
      </c>
      <c r="F82" s="4" t="s">
        <v>194</v>
      </c>
      <c r="G82" s="9" t="s">
        <v>146</v>
      </c>
    </row>
    <row r="83" customFormat="false" ht="25.5" hidden="false" customHeight="true" outlineLevel="0" collapsed="false">
      <c r="A83" s="4" t="s">
        <v>324</v>
      </c>
      <c r="B83" s="4" t="s">
        <v>320</v>
      </c>
      <c r="C83" s="4" t="s">
        <v>325</v>
      </c>
      <c r="D83" s="4" t="n">
        <v>5</v>
      </c>
      <c r="E83" s="4" t="s">
        <v>151</v>
      </c>
      <c r="F83" s="4" t="s">
        <v>326</v>
      </c>
      <c r="G83" s="9" t="s">
        <v>146</v>
      </c>
    </row>
    <row r="84" customFormat="false" ht="25.5" hidden="false" customHeight="true" outlineLevel="0" collapsed="false">
      <c r="A84" s="4" t="s">
        <v>327</v>
      </c>
      <c r="B84" s="4" t="s">
        <v>320</v>
      </c>
      <c r="C84" s="4" t="s">
        <v>328</v>
      </c>
      <c r="D84" s="4" t="n">
        <v>3</v>
      </c>
      <c r="E84" s="4" t="s">
        <v>144</v>
      </c>
      <c r="F84" s="4" t="s">
        <v>326</v>
      </c>
      <c r="G84" s="9" t="s">
        <v>157</v>
      </c>
    </row>
    <row r="85" customFormat="false" ht="25.5" hidden="false" customHeight="true" outlineLevel="0" collapsed="false">
      <c r="A85" s="4" t="s">
        <v>329</v>
      </c>
      <c r="B85" s="4" t="s">
        <v>320</v>
      </c>
      <c r="C85" s="4" t="s">
        <v>330</v>
      </c>
      <c r="D85" s="4" t="n">
        <v>3</v>
      </c>
      <c r="E85" s="4" t="s">
        <v>151</v>
      </c>
      <c r="F85" s="4" t="s">
        <v>331</v>
      </c>
      <c r="G85" s="9" t="s">
        <v>157</v>
      </c>
    </row>
    <row r="86" customFormat="false" ht="25.5" hidden="false" customHeight="true" outlineLevel="0" collapsed="false">
      <c r="A86" s="4" t="s">
        <v>332</v>
      </c>
      <c r="B86" s="4" t="s">
        <v>320</v>
      </c>
      <c r="C86" s="4" t="s">
        <v>333</v>
      </c>
      <c r="D86" s="4" t="n">
        <v>5</v>
      </c>
      <c r="E86" s="4" t="s">
        <v>151</v>
      </c>
      <c r="F86" s="4" t="s">
        <v>326</v>
      </c>
      <c r="G86" s="9" t="s">
        <v>157</v>
      </c>
    </row>
    <row r="87" customFormat="false" ht="25.5" hidden="false" customHeight="true" outlineLevel="0" collapsed="false">
      <c r="A87" s="4" t="s">
        <v>334</v>
      </c>
      <c r="B87" s="4" t="s">
        <v>320</v>
      </c>
      <c r="C87" s="4" t="s">
        <v>335</v>
      </c>
      <c r="D87" s="4" t="n">
        <v>2</v>
      </c>
      <c r="E87" s="4" t="s">
        <v>164</v>
      </c>
      <c r="F87" s="4" t="s">
        <v>326</v>
      </c>
      <c r="G87" s="9" t="s">
        <v>146</v>
      </c>
    </row>
    <row r="88" customFormat="false" ht="25.5" hidden="false" customHeight="true" outlineLevel="0" collapsed="false">
      <c r="A88" s="4" t="s">
        <v>336</v>
      </c>
      <c r="B88" s="4" t="s">
        <v>337</v>
      </c>
      <c r="C88" s="4" t="s">
        <v>338</v>
      </c>
      <c r="D88" s="4" t="n">
        <v>5</v>
      </c>
      <c r="E88" s="4" t="s">
        <v>144</v>
      </c>
      <c r="F88" s="4" t="s">
        <v>156</v>
      </c>
      <c r="G88" s="9" t="s">
        <v>146</v>
      </c>
    </row>
    <row r="89" customFormat="false" ht="25.5" hidden="false" customHeight="true" outlineLevel="0" collapsed="false">
      <c r="A89" s="4" t="s">
        <v>339</v>
      </c>
      <c r="B89" s="4" t="s">
        <v>337</v>
      </c>
      <c r="C89" s="4" t="s">
        <v>340</v>
      </c>
      <c r="D89" s="4" t="n">
        <v>5</v>
      </c>
      <c r="E89" s="4" t="s">
        <v>144</v>
      </c>
      <c r="F89" s="4" t="s">
        <v>180</v>
      </c>
      <c r="G89" s="9" t="s">
        <v>146</v>
      </c>
    </row>
    <row r="90" customFormat="false" ht="25.5" hidden="false" customHeight="true" outlineLevel="0" collapsed="false">
      <c r="A90" s="4" t="s">
        <v>341</v>
      </c>
      <c r="B90" s="4" t="s">
        <v>337</v>
      </c>
      <c r="C90" s="4" t="s">
        <v>342</v>
      </c>
      <c r="D90" s="4" t="n">
        <v>3</v>
      </c>
      <c r="E90" s="4" t="s">
        <v>144</v>
      </c>
      <c r="F90" s="4" t="s">
        <v>238</v>
      </c>
      <c r="G90" s="9" t="s">
        <v>146</v>
      </c>
    </row>
    <row r="91" customFormat="false" ht="25.5" hidden="false" customHeight="true" outlineLevel="0" collapsed="false">
      <c r="A91" s="4" t="s">
        <v>343</v>
      </c>
      <c r="B91" s="4" t="s">
        <v>337</v>
      </c>
      <c r="C91" s="4" t="s">
        <v>344</v>
      </c>
      <c r="D91" s="4" t="n">
        <v>5</v>
      </c>
      <c r="E91" s="4" t="s">
        <v>151</v>
      </c>
      <c r="F91" s="4" t="s">
        <v>238</v>
      </c>
      <c r="G91" s="9" t="s">
        <v>146</v>
      </c>
    </row>
    <row r="92" customFormat="false" ht="25.5" hidden="false" customHeight="true" outlineLevel="0" collapsed="false">
      <c r="A92" s="4" t="s">
        <v>345</v>
      </c>
      <c r="B92" s="4" t="s">
        <v>337</v>
      </c>
      <c r="C92" s="4" t="s">
        <v>346</v>
      </c>
      <c r="D92" s="4" t="n">
        <v>3</v>
      </c>
      <c r="E92" s="4" t="s">
        <v>151</v>
      </c>
      <c r="F92" s="4" t="s">
        <v>298</v>
      </c>
      <c r="G92" s="9" t="s">
        <v>299</v>
      </c>
    </row>
    <row r="93" customFormat="false" ht="25.5" hidden="false" customHeight="true" outlineLevel="0" collapsed="false">
      <c r="A93" s="4" t="s">
        <v>347</v>
      </c>
      <c r="B93" s="4" t="s">
        <v>337</v>
      </c>
      <c r="C93" s="4" t="s">
        <v>348</v>
      </c>
      <c r="D93" s="4" t="n">
        <v>3</v>
      </c>
      <c r="E93" s="4" t="s">
        <v>151</v>
      </c>
      <c r="F93" s="4" t="s">
        <v>298</v>
      </c>
      <c r="G93" s="9" t="s">
        <v>146</v>
      </c>
    </row>
    <row r="94" customFormat="false" ht="25.5" hidden="false" customHeight="true" outlineLevel="0" collapsed="false">
      <c r="A94" s="4" t="s">
        <v>349</v>
      </c>
      <c r="B94" s="4" t="s">
        <v>337</v>
      </c>
      <c r="C94" s="4" t="s">
        <v>350</v>
      </c>
      <c r="D94" s="4" t="n">
        <v>3</v>
      </c>
      <c r="E94" s="4" t="s">
        <v>164</v>
      </c>
      <c r="F94" s="4" t="s">
        <v>298</v>
      </c>
      <c r="G94" s="9" t="s">
        <v>146</v>
      </c>
    </row>
    <row r="95" customFormat="false" ht="25.5" hidden="false" customHeight="true" outlineLevel="0" collapsed="false">
      <c r="A95" s="4" t="s">
        <v>351</v>
      </c>
      <c r="B95" s="4" t="s">
        <v>337</v>
      </c>
      <c r="C95" s="4" t="s">
        <v>352</v>
      </c>
      <c r="D95" s="4" t="n">
        <v>3</v>
      </c>
      <c r="E95" s="4" t="s">
        <v>164</v>
      </c>
      <c r="F95" s="4" t="s">
        <v>238</v>
      </c>
      <c r="G95" s="9" t="s">
        <v>157</v>
      </c>
    </row>
    <row r="96" customFormat="false" ht="25.5" hidden="false" customHeight="true" outlineLevel="0" collapsed="false">
      <c r="A96" s="4" t="s">
        <v>353</v>
      </c>
      <c r="B96" s="4" t="s">
        <v>354</v>
      </c>
      <c r="C96" s="4" t="s">
        <v>355</v>
      </c>
      <c r="D96" s="4" t="n">
        <v>3</v>
      </c>
      <c r="E96" s="4" t="s">
        <v>144</v>
      </c>
      <c r="F96" s="4" t="s">
        <v>298</v>
      </c>
      <c r="G96" s="9" t="s">
        <v>157</v>
      </c>
    </row>
    <row r="97" customFormat="false" ht="25.5" hidden="false" customHeight="true" outlineLevel="0" collapsed="false">
      <c r="A97" s="4" t="s">
        <v>356</v>
      </c>
      <c r="B97" s="4" t="s">
        <v>354</v>
      </c>
      <c r="C97" s="4" t="s">
        <v>357</v>
      </c>
      <c r="D97" s="4" t="n">
        <v>5</v>
      </c>
      <c r="E97" s="4" t="s">
        <v>144</v>
      </c>
      <c r="F97" s="4" t="s">
        <v>298</v>
      </c>
      <c r="G97" s="9" t="s">
        <v>299</v>
      </c>
    </row>
    <row r="98" customFormat="false" ht="25.5" hidden="false" customHeight="true" outlineLevel="0" collapsed="false">
      <c r="A98" s="4" t="s">
        <v>358</v>
      </c>
      <c r="B98" s="4" t="s">
        <v>354</v>
      </c>
      <c r="C98" s="4" t="s">
        <v>359</v>
      </c>
      <c r="D98" s="4" t="n">
        <v>3</v>
      </c>
      <c r="E98" s="4" t="s">
        <v>144</v>
      </c>
      <c r="F98" s="4" t="s">
        <v>326</v>
      </c>
      <c r="G98" s="9" t="s">
        <v>157</v>
      </c>
    </row>
    <row r="99" customFormat="false" ht="25.5" hidden="false" customHeight="true" outlineLevel="0" collapsed="false">
      <c r="A99" s="4" t="s">
        <v>360</v>
      </c>
      <c r="B99" s="4" t="s">
        <v>354</v>
      </c>
      <c r="C99" s="4" t="s">
        <v>361</v>
      </c>
      <c r="D99" s="4" t="n">
        <v>3</v>
      </c>
      <c r="E99" s="4" t="s">
        <v>144</v>
      </c>
      <c r="F99" s="4" t="s">
        <v>326</v>
      </c>
      <c r="G99" s="9" t="s">
        <v>157</v>
      </c>
    </row>
    <row r="100" customFormat="false" ht="25.5" hidden="false" customHeight="true" outlineLevel="0" collapsed="false">
      <c r="A100" s="4" t="s">
        <v>362</v>
      </c>
      <c r="B100" s="4" t="s">
        <v>354</v>
      </c>
      <c r="C100" s="4" t="s">
        <v>363</v>
      </c>
      <c r="D100" s="4" t="n">
        <v>3</v>
      </c>
      <c r="E100" s="4" t="s">
        <v>144</v>
      </c>
      <c r="F100" s="4" t="s">
        <v>326</v>
      </c>
      <c r="G100" s="9" t="s">
        <v>157</v>
      </c>
    </row>
    <row r="101" customFormat="false" ht="25.5" hidden="false" customHeight="true" outlineLevel="0" collapsed="false">
      <c r="A101" s="4" t="s">
        <v>364</v>
      </c>
      <c r="B101" s="4" t="s">
        <v>354</v>
      </c>
      <c r="C101" s="4" t="s">
        <v>365</v>
      </c>
      <c r="D101" s="4" t="n">
        <v>3</v>
      </c>
      <c r="E101" s="4" t="s">
        <v>151</v>
      </c>
      <c r="F101" s="4" t="s">
        <v>331</v>
      </c>
      <c r="G101" s="9" t="s">
        <v>146</v>
      </c>
    </row>
    <row r="102" customFormat="false" ht="25.5" hidden="false" customHeight="true" outlineLevel="0" collapsed="false">
      <c r="A102" s="4" t="s">
        <v>366</v>
      </c>
      <c r="B102" s="4" t="s">
        <v>354</v>
      </c>
      <c r="C102" s="4" t="s">
        <v>367</v>
      </c>
      <c r="D102" s="4" t="n">
        <v>2</v>
      </c>
      <c r="E102" s="4" t="s">
        <v>164</v>
      </c>
      <c r="F102" s="4" t="s">
        <v>368</v>
      </c>
      <c r="G102" s="9" t="s">
        <v>299</v>
      </c>
    </row>
    <row r="103" customFormat="false" ht="25.5" hidden="false" customHeight="true" outlineLevel="0" collapsed="false">
      <c r="A103" s="4" t="s">
        <v>369</v>
      </c>
      <c r="B103" s="4" t="s">
        <v>354</v>
      </c>
      <c r="C103" s="4" t="s">
        <v>370</v>
      </c>
      <c r="D103" s="4" t="n">
        <v>2</v>
      </c>
      <c r="E103" s="4" t="s">
        <v>151</v>
      </c>
      <c r="F103" s="4" t="s">
        <v>331</v>
      </c>
      <c r="G103" s="9" t="s">
        <v>299</v>
      </c>
    </row>
    <row r="105" customFormat="false" ht="30" hidden="false" customHeight="true" outlineLevel="0" collapsed="false">
      <c r="A105" s="10" t="s">
        <v>371</v>
      </c>
      <c r="B105" s="10"/>
      <c r="C105" s="10"/>
      <c r="D105" s="10"/>
      <c r="E105" s="10"/>
      <c r="F105" s="10"/>
      <c r="G105" s="10"/>
    </row>
  </sheetData>
  <mergeCells count="1">
    <mergeCell ref="A105:G10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4"/>
    <col collapsed="false" customWidth="true" hidden="false" outlineLevel="0" max="4" min="3" style="1" width="9"/>
    <col collapsed="false" customWidth="true" hidden="false" outlineLevel="0" max="5" min="5" style="1" width="8"/>
    <col collapsed="false" customWidth="true" hidden="false" outlineLevel="0" max="6" min="6" style="1" width="52"/>
  </cols>
  <sheetData>
    <row r="1" customFormat="false" ht="17.25" hidden="false" customHeight="true" outlineLevel="0" collapsed="false">
      <c r="A1" s="2" t="s">
        <v>372</v>
      </c>
    </row>
    <row r="3" customFormat="false" ht="15" hidden="false" customHeight="true" outlineLevel="0" collapsed="false">
      <c r="A3" s="3" t="s">
        <v>140</v>
      </c>
      <c r="B3" s="3" t="s">
        <v>373</v>
      </c>
      <c r="C3" s="3" t="s">
        <v>374</v>
      </c>
      <c r="D3" s="3" t="s">
        <v>138</v>
      </c>
      <c r="E3" s="11" t="s">
        <v>146</v>
      </c>
      <c r="F3" s="3" t="s">
        <v>375</v>
      </c>
    </row>
    <row r="4" customFormat="false" ht="31.5" hidden="false" customHeight="true" outlineLevel="0" collapsed="false">
      <c r="A4" s="4" t="s">
        <v>376</v>
      </c>
      <c r="B4" s="4" t="s">
        <v>377</v>
      </c>
      <c r="C4" s="4" t="n">
        <f aca="false">COUNTIF(Full_Backlog!F4:F103,"S0")</f>
        <v>0</v>
      </c>
      <c r="D4" s="4" t="n">
        <f aca="false">SUMIF(Full_Backlog!F4:F103,"S0",Full_Backlog!D4:D103)</f>
        <v>0</v>
      </c>
      <c r="E4" s="4" t="n">
        <f aca="false">COUNTIFS(Full_Backlog!$F$3:$F$102,A4,Full_Backlog!$G$3:$G$102,"Done")+COUNTIFS(Full_Backlog!$F$3:$F$102,A4,Full_Backlog!$G$3:$G$102,"Code-complete — pending live")</f>
        <v>0</v>
      </c>
      <c r="F4" s="4" t="s">
        <v>378</v>
      </c>
    </row>
    <row r="5" customFormat="false" ht="31.5" hidden="false" customHeight="true" outlineLevel="0" collapsed="false">
      <c r="A5" s="4" t="s">
        <v>260</v>
      </c>
      <c r="B5" s="4" t="s">
        <v>379</v>
      </c>
      <c r="C5" s="4" t="n">
        <f aca="false">COUNTIF(Full_Backlog!F4:F103,"S1")</f>
        <v>4</v>
      </c>
      <c r="D5" s="4" t="n">
        <f aca="false">SUMIF(Full_Backlog!F4:F103,"S1",Full_Backlog!D4:D103)</f>
        <v>13</v>
      </c>
      <c r="E5" s="4" t="n">
        <f aca="false">COUNTIFS(Full_Backlog!$F$3:$F$102,A5,Full_Backlog!$G$3:$G$102,"Done")+COUNTIFS(Full_Backlog!$F$3:$F$102,A5,Full_Backlog!$G$3:$G$102,"Code-complete — pending live")</f>
        <v>4</v>
      </c>
      <c r="F5" s="4" t="s">
        <v>380</v>
      </c>
    </row>
    <row r="6" customFormat="false" ht="31.5" hidden="false" customHeight="true" outlineLevel="0" collapsed="false">
      <c r="A6" s="4" t="s">
        <v>145</v>
      </c>
      <c r="B6" s="4" t="s">
        <v>381</v>
      </c>
      <c r="C6" s="4" t="n">
        <f aca="false">COUNTIF(Full_Backlog!F4:F103,"S2")</f>
        <v>6</v>
      </c>
      <c r="D6" s="4" t="n">
        <f aca="false">SUMIF(Full_Backlog!F4:F103,"S2",Full_Backlog!D4:D103)</f>
        <v>29</v>
      </c>
      <c r="E6" s="4" t="n">
        <f aca="false">COUNTIFS(Full_Backlog!$F$3:$F$102,A6,Full_Backlog!$G$3:$G$102,"Done")+COUNTIFS(Full_Backlog!$F$3:$F$102,A6,Full_Backlog!$G$3:$G$102,"Code-complete — pending live")</f>
        <v>6</v>
      </c>
      <c r="F6" s="4" t="s">
        <v>382</v>
      </c>
    </row>
    <row r="7" customFormat="false" ht="31.5" hidden="false" customHeight="true" outlineLevel="0" collapsed="false">
      <c r="A7" s="4" t="s">
        <v>156</v>
      </c>
      <c r="B7" s="4" t="s">
        <v>383</v>
      </c>
      <c r="C7" s="4" t="n">
        <f aca="false">COUNTIF(Full_Backlog!F4:F103,"S3")</f>
        <v>11</v>
      </c>
      <c r="D7" s="4" t="n">
        <f aca="false">SUMIF(Full_Backlog!F4:F103,"S3",Full_Backlog!D4:D103)</f>
        <v>47</v>
      </c>
      <c r="E7" s="4" t="n">
        <f aca="false">COUNTIFS(Full_Backlog!$F$3:$F$102,A7,Full_Backlog!$G$3:$G$102,"Done")+COUNTIFS(Full_Backlog!$F$3:$F$102,A7,Full_Backlog!$G$3:$G$102,"Code-complete — pending live")</f>
        <v>11</v>
      </c>
      <c r="F7" s="4" t="s">
        <v>384</v>
      </c>
    </row>
    <row r="8" customFormat="false" ht="31.5" hidden="false" customHeight="true" outlineLevel="0" collapsed="false">
      <c r="A8" s="4" t="s">
        <v>180</v>
      </c>
      <c r="B8" s="4" t="s">
        <v>385</v>
      </c>
      <c r="C8" s="4" t="n">
        <f aca="false">COUNTIF(Full_Backlog!F4:F103,"S4")</f>
        <v>9</v>
      </c>
      <c r="D8" s="4" t="n">
        <f aca="false">SUMIF(Full_Backlog!F4:F103,"S4",Full_Backlog!D4:D103)</f>
        <v>34</v>
      </c>
      <c r="E8" s="4" t="n">
        <f aca="false">COUNTIFS(Full_Backlog!$F$3:$F$102,A8,Full_Backlog!$G$3:$G$102,"Done")+COUNTIFS(Full_Backlog!$F$3:$F$102,A8,Full_Backlog!$G$3:$G$102,"Code-complete — pending live")</f>
        <v>9</v>
      </c>
      <c r="F8" s="4" t="s">
        <v>386</v>
      </c>
    </row>
    <row r="9" customFormat="false" ht="31.5" hidden="false" customHeight="true" outlineLevel="0" collapsed="false">
      <c r="A9" s="4" t="s">
        <v>194</v>
      </c>
      <c r="B9" s="4" t="s">
        <v>387</v>
      </c>
      <c r="C9" s="4" t="n">
        <f aca="false">COUNTIF(Full_Backlog!F4:F103,"S5")</f>
        <v>12</v>
      </c>
      <c r="D9" s="4" t="n">
        <f aca="false">SUMIF(Full_Backlog!F4:F103,"S5",Full_Backlog!D4:D103)</f>
        <v>50</v>
      </c>
      <c r="E9" s="4" t="n">
        <f aca="false">COUNTIFS(Full_Backlog!$F$3:$F$102,A9,Full_Backlog!$G$3:$G$102,"Done")+COUNTIFS(Full_Backlog!$F$3:$F$102,A9,Full_Backlog!$G$3:$G$102,"Code-complete — pending live")</f>
        <v>12</v>
      </c>
      <c r="F9" s="4" t="s">
        <v>388</v>
      </c>
    </row>
    <row r="10" customFormat="false" ht="31.5" hidden="false" customHeight="true" outlineLevel="0" collapsed="false">
      <c r="A10" s="4" t="s">
        <v>216</v>
      </c>
      <c r="B10" s="4" t="s">
        <v>389</v>
      </c>
      <c r="C10" s="4" t="n">
        <f aca="false">COUNTIF(Full_Backlog!F4:F103,"S6")</f>
        <v>13</v>
      </c>
      <c r="D10" s="4" t="n">
        <f aca="false">SUMIF(Full_Backlog!F4:F103,"S6",Full_Backlog!D4:D103)</f>
        <v>60</v>
      </c>
      <c r="E10" s="4" t="n">
        <f aca="false">COUNTIFS(Full_Backlog!$F$3:$F$102,A10,Full_Backlog!$G$3:$G$102,"Done")+COUNTIFS(Full_Backlog!$F$3:$F$102,A10,Full_Backlog!$G$3:$G$102,"Code-complete — pending live")</f>
        <v>13</v>
      </c>
      <c r="F10" s="4" t="s">
        <v>390</v>
      </c>
    </row>
    <row r="11" customFormat="false" ht="31.5" hidden="false" customHeight="true" outlineLevel="0" collapsed="false">
      <c r="A11" s="4" t="s">
        <v>280</v>
      </c>
      <c r="B11" s="4" t="s">
        <v>391</v>
      </c>
      <c r="C11" s="4" t="n">
        <f aca="false">COUNTIF(Full_Backlog!F4:F103,"S7")</f>
        <v>5</v>
      </c>
      <c r="D11" s="4" t="n">
        <f aca="false">SUMIF(Full_Backlog!F4:F103,"S7",Full_Backlog!D4:D103)</f>
        <v>15</v>
      </c>
      <c r="E11" s="4" t="n">
        <f aca="false">COUNTIFS(Full_Backlog!$F$3:$F$102,A11,Full_Backlog!$G$3:$G$102,"Done")+COUNTIFS(Full_Backlog!$F$3:$F$102,A11,Full_Backlog!$G$3:$G$102,"Code-complete — pending live")</f>
        <v>5</v>
      </c>
      <c r="F11" s="4" t="s">
        <v>392</v>
      </c>
    </row>
    <row r="12" customFormat="false" ht="31.5" hidden="false" customHeight="true" outlineLevel="0" collapsed="false">
      <c r="A12" s="4" t="s">
        <v>238</v>
      </c>
      <c r="B12" s="4" t="s">
        <v>393</v>
      </c>
      <c r="C12" s="4" t="n">
        <f aca="false">COUNTIF(Full_Backlog!F4:F103,"S8")</f>
        <v>22</v>
      </c>
      <c r="D12" s="4" t="n">
        <f aca="false">SUMIF(Full_Backlog!F4:F103,"S8",Full_Backlog!D4:D103)</f>
        <v>87</v>
      </c>
      <c r="E12" s="4" t="n">
        <f aca="false">COUNTIFS(Full_Backlog!$F$3:$F$102,A12,Full_Backlog!$G$3:$G$102,"Done")+COUNTIFS(Full_Backlog!$F$3:$F$102,A12,Full_Backlog!$G$3:$G$102,"Code-complete — pending live")</f>
        <v>22</v>
      </c>
      <c r="F12" s="4" t="s">
        <v>394</v>
      </c>
    </row>
    <row r="13" customFormat="false" ht="31.5" hidden="false" customHeight="true" outlineLevel="0" collapsed="false">
      <c r="A13" s="4" t="s">
        <v>298</v>
      </c>
      <c r="B13" s="4" t="s">
        <v>395</v>
      </c>
      <c r="C13" s="4" t="n">
        <f aca="false">COUNTIF(Full_Backlog!F4:F103,"S9")</f>
        <v>7</v>
      </c>
      <c r="D13" s="4" t="n">
        <f aca="false">SUMIF(Full_Backlog!F4:F103,"S9",Full_Backlog!D4:D103)</f>
        <v>30</v>
      </c>
      <c r="E13" s="4" t="n">
        <f aca="false">COUNTIFS(Full_Backlog!$F$3:$F$102,A13,Full_Backlog!$G$3:$G$102,"Done")+COUNTIFS(Full_Backlog!$F$3:$F$102,A13,Full_Backlog!$G$3:$G$102,"Code-complete — pending live")</f>
        <v>4</v>
      </c>
      <c r="F13" s="4" t="s">
        <v>396</v>
      </c>
    </row>
    <row r="14" customFormat="false" ht="31.5" hidden="false" customHeight="true" outlineLevel="0" collapsed="false">
      <c r="A14" s="4" t="s">
        <v>326</v>
      </c>
      <c r="B14" s="4" t="s">
        <v>397</v>
      </c>
      <c r="C14" s="4" t="n">
        <f aca="false">COUNTIF(Full_Backlog!F4:F103,"S10")</f>
        <v>7</v>
      </c>
      <c r="D14" s="4" t="n">
        <f aca="false">SUMIF(Full_Backlog!F4:F103,"S10",Full_Backlog!D4:D103)</f>
        <v>24</v>
      </c>
      <c r="E14" s="4" t="n">
        <f aca="false">COUNTIFS(Full_Backlog!$F$3:$F$102,A14,Full_Backlog!$G$3:$G$102,"Done")+COUNTIFS(Full_Backlog!$F$3:$F$102,A14,Full_Backlog!$G$3:$G$102,"Code-complete — pending live")</f>
        <v>7</v>
      </c>
      <c r="F14" s="4" t="s">
        <v>398</v>
      </c>
    </row>
    <row r="15" customFormat="false" ht="31.5" hidden="false" customHeight="true" outlineLevel="0" collapsed="false">
      <c r="A15" s="4" t="s">
        <v>331</v>
      </c>
      <c r="B15" s="4" t="s">
        <v>399</v>
      </c>
      <c r="C15" s="4" t="n">
        <f aca="false">COUNTIF(Full_Backlog!F4:F103,"S11")</f>
        <v>3</v>
      </c>
      <c r="D15" s="4" t="n">
        <f aca="false">SUMIF(Full_Backlog!F4:F103,"S11",Full_Backlog!D4:D103)</f>
        <v>8</v>
      </c>
      <c r="E15" s="4" t="n">
        <f aca="false">COUNTIFS(Full_Backlog!$F$3:$F$102,A15,Full_Backlog!$G$3:$G$102,"Done")+COUNTIFS(Full_Backlog!$F$3:$F$102,A15,Full_Backlog!$G$3:$G$102,"Code-complete — pending live")</f>
        <v>2</v>
      </c>
      <c r="F15" s="4" t="s">
        <v>400</v>
      </c>
    </row>
    <row r="16" customFormat="false" ht="31.5" hidden="false" customHeight="true" outlineLevel="0" collapsed="false">
      <c r="A16" s="4" t="s">
        <v>368</v>
      </c>
      <c r="B16" s="4" t="s">
        <v>401</v>
      </c>
      <c r="C16" s="4" t="n">
        <f aca="false">COUNTIF(Full_Backlog!F4:F103,"S12")</f>
        <v>1</v>
      </c>
      <c r="D16" s="4" t="n">
        <f aca="false">SUMIF(Full_Backlog!F4:F103,"S12",Full_Backlog!D4:D103)</f>
        <v>2</v>
      </c>
      <c r="E16" s="4" t="n">
        <f aca="false">COUNTIFS(Full_Backlog!$F$3:$F$102,A16,Full_Backlog!$G$3:$G$102,"Done")+COUNTIFS(Full_Backlog!$F$3:$F$102,A16,Full_Backlog!$G$3:$G$102,"Code-complete — pending live")</f>
        <v>0</v>
      </c>
      <c r="F16" s="4" t="s">
        <v>402</v>
      </c>
    </row>
    <row r="17" customFormat="false" ht="15" hidden="false" customHeight="true" outlineLevel="0" collapsed="false">
      <c r="B17" s="12" t="s">
        <v>403</v>
      </c>
      <c r="C17" s="12" t="n">
        <f aca="false">SUM(C4:C16)</f>
        <v>100</v>
      </c>
      <c r="D17" s="12" t="n">
        <f aca="false">SUM(D4:D16)</f>
        <v>399</v>
      </c>
    </row>
    <row r="18" customFormat="false" ht="27.75" hidden="false" customHeight="true" outlineLevel="0" collapsed="false">
      <c r="B18" s="10" t="s">
        <v>404</v>
      </c>
      <c r="C18" s="10"/>
      <c r="D18" s="10"/>
      <c r="E18" s="10"/>
      <c r="F18" s="10"/>
    </row>
  </sheetData>
  <mergeCells count="1">
    <mergeCell ref="B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19" min="2" style="1" width="11"/>
  </cols>
  <sheetData>
    <row r="1" customFormat="false" ht="17.25" hidden="false" customHeight="true" outlineLevel="0" collapsed="false">
      <c r="A1" s="2" t="s">
        <v>405</v>
      </c>
    </row>
    <row r="3" customFormat="false" ht="15" hidden="false" customHeight="true" outlineLevel="0" collapsed="false">
      <c r="A3" s="3" t="s">
        <v>406</v>
      </c>
      <c r="B3" s="3" t="s">
        <v>407</v>
      </c>
    </row>
    <row r="4" customFormat="false" ht="15" hidden="false" customHeight="true" outlineLevel="0" collapsed="false">
      <c r="A4" s="5" t="s">
        <v>408</v>
      </c>
      <c r="B4" s="5" t="n">
        <v>40</v>
      </c>
    </row>
    <row r="5" customFormat="false" ht="15" hidden="false" customHeight="true" outlineLevel="0" collapsed="false">
      <c r="A5" s="5" t="s">
        <v>409</v>
      </c>
      <c r="B5" s="5" t="n">
        <v>0.12</v>
      </c>
    </row>
    <row r="6" customFormat="false" ht="15" hidden="false" customHeight="true" outlineLevel="0" collapsed="false">
      <c r="A6" s="5" t="s">
        <v>410</v>
      </c>
      <c r="B6" s="5" t="n">
        <v>0.14</v>
      </c>
    </row>
    <row r="7" customFormat="false" ht="15" hidden="false" customHeight="true" outlineLevel="0" collapsed="false">
      <c r="A7" s="5" t="s">
        <v>411</v>
      </c>
      <c r="B7" s="5" t="n">
        <v>79</v>
      </c>
    </row>
    <row r="8" customFormat="false" ht="15" hidden="false" customHeight="true" outlineLevel="0" collapsed="false">
      <c r="A8" s="5" t="s">
        <v>412</v>
      </c>
      <c r="B8" s="5" t="n">
        <v>0.03</v>
      </c>
    </row>
    <row r="9" customFormat="false" ht="15" hidden="false" customHeight="true" outlineLevel="0" collapsed="false">
      <c r="A9" s="5" t="s">
        <v>413</v>
      </c>
      <c r="B9" s="5" t="n">
        <v>0.17</v>
      </c>
    </row>
    <row r="10" customFormat="false" ht="15" hidden="false" customHeight="true" outlineLevel="0" collapsed="false">
      <c r="A10" s="5" t="s">
        <v>414</v>
      </c>
      <c r="B10" s="5" t="n">
        <v>20000</v>
      </c>
    </row>
    <row r="11" customFormat="false" ht="15" hidden="false" customHeight="true" outlineLevel="0" collapsed="false">
      <c r="A11" s="5" t="s">
        <v>415</v>
      </c>
      <c r="B11" s="5" t="n">
        <v>0.03</v>
      </c>
    </row>
    <row r="12" customFormat="false" ht="15" hidden="false" customHeight="true" outlineLevel="0" collapsed="false">
      <c r="A12" s="7" t="s">
        <v>416</v>
      </c>
    </row>
    <row r="14" customFormat="false" ht="15" hidden="false" customHeight="true" outlineLevel="0" collapsed="false">
      <c r="A14" s="3" t="s">
        <v>417</v>
      </c>
      <c r="B14" s="3" t="s">
        <v>418</v>
      </c>
      <c r="C14" s="3" t="s">
        <v>419</v>
      </c>
      <c r="D14" s="3" t="s">
        <v>420</v>
      </c>
      <c r="E14" s="3" t="s">
        <v>421</v>
      </c>
      <c r="F14" s="3" t="s">
        <v>422</v>
      </c>
      <c r="G14" s="3" t="s">
        <v>423</v>
      </c>
      <c r="H14" s="3" t="s">
        <v>424</v>
      </c>
      <c r="I14" s="3" t="s">
        <v>425</v>
      </c>
      <c r="J14" s="3" t="s">
        <v>426</v>
      </c>
      <c r="K14" s="3" t="s">
        <v>427</v>
      </c>
      <c r="L14" s="3" t="s">
        <v>428</v>
      </c>
      <c r="M14" s="3" t="s">
        <v>429</v>
      </c>
      <c r="N14" s="3" t="s">
        <v>430</v>
      </c>
      <c r="O14" s="3" t="s">
        <v>431</v>
      </c>
      <c r="P14" s="3" t="s">
        <v>432</v>
      </c>
      <c r="Q14" s="3" t="s">
        <v>433</v>
      </c>
      <c r="R14" s="3" t="s">
        <v>434</v>
      </c>
      <c r="S14" s="3" t="s">
        <v>435</v>
      </c>
    </row>
    <row r="15" customFormat="false" ht="15" hidden="false" customHeight="true" outlineLevel="0" collapsed="false">
      <c r="A15" s="12" t="s">
        <v>436</v>
      </c>
      <c r="B15" s="7" t="n">
        <f aca="false">$B$4</f>
        <v>40</v>
      </c>
      <c r="C15" s="7" t="n">
        <f aca="false">B15*(1+$B$5)</f>
        <v>44.8</v>
      </c>
      <c r="D15" s="7" t="n">
        <f aca="false">C15*(1+$B$5)</f>
        <v>50.176</v>
      </c>
      <c r="E15" s="7" t="n">
        <f aca="false">D15*(1+$B$5)</f>
        <v>56.19712</v>
      </c>
      <c r="F15" s="7" t="n">
        <f aca="false">E15*(1+$B$5)</f>
        <v>62.9407744</v>
      </c>
      <c r="G15" s="7" t="n">
        <f aca="false">F15*(1+$B$5)</f>
        <v>70.493667328</v>
      </c>
      <c r="H15" s="7" t="n">
        <f aca="false">G15*(1+$B$5)</f>
        <v>78.95290740736</v>
      </c>
      <c r="I15" s="7" t="n">
        <f aca="false">H15*(1+$B$5)</f>
        <v>88.4272562962433</v>
      </c>
      <c r="J15" s="7" t="n">
        <f aca="false">I15*(1+$B$5)</f>
        <v>99.0385270517925</v>
      </c>
      <c r="K15" s="7" t="n">
        <f aca="false">J15*(1+$B$5)</f>
        <v>110.923150298008</v>
      </c>
      <c r="L15" s="7" t="n">
        <f aca="false">K15*(1+$B$5)</f>
        <v>124.233928333768</v>
      </c>
      <c r="M15" s="7" t="n">
        <f aca="false">L15*(1+$B$5)</f>
        <v>139.141999733821</v>
      </c>
      <c r="N15" s="7" t="n">
        <f aca="false">M15*(1+$B$5)</f>
        <v>155.839039701879</v>
      </c>
      <c r="O15" s="7" t="n">
        <f aca="false">N15*(1+$B$5)</f>
        <v>174.539724466105</v>
      </c>
      <c r="P15" s="7" t="n">
        <f aca="false">O15*(1+$B$5)</f>
        <v>195.484491402037</v>
      </c>
      <c r="Q15" s="7" t="n">
        <f aca="false">P15*(1+$B$5)</f>
        <v>218.942630370282</v>
      </c>
      <c r="R15" s="7" t="n">
        <f aca="false">Q15*(1+$B$5)</f>
        <v>245.215746014716</v>
      </c>
      <c r="S15" s="7" t="n">
        <f aca="false">R15*(1+$B$5)</f>
        <v>274.641635536482</v>
      </c>
    </row>
    <row r="16" customFormat="false" ht="15" hidden="false" customHeight="true" outlineLevel="0" collapsed="false">
      <c r="A16" s="12" t="s">
        <v>437</v>
      </c>
      <c r="B16" s="7" t="n">
        <f aca="false">ROUND(B15*$B$6,1)</f>
        <v>5.6</v>
      </c>
      <c r="C16" s="7" t="n">
        <f aca="false">ROUND(C15*$B$6,1)</f>
        <v>6.3</v>
      </c>
      <c r="D16" s="7" t="n">
        <f aca="false">ROUND(D15*$B$6,1)</f>
        <v>7</v>
      </c>
      <c r="E16" s="7" t="n">
        <f aca="false">ROUND(E15*$B$6,1)</f>
        <v>7.9</v>
      </c>
      <c r="F16" s="7" t="n">
        <f aca="false">ROUND(F15*$B$6,1)</f>
        <v>8.8</v>
      </c>
      <c r="G16" s="7" t="n">
        <f aca="false">ROUND(G15*$B$6,1)</f>
        <v>9.9</v>
      </c>
      <c r="H16" s="7" t="n">
        <f aca="false">ROUND(H15*$B$6,1)</f>
        <v>11.1</v>
      </c>
      <c r="I16" s="7" t="n">
        <f aca="false">ROUND(I15*$B$6,1)</f>
        <v>12.4</v>
      </c>
      <c r="J16" s="7" t="n">
        <f aca="false">ROUND(J15*$B$6,1)</f>
        <v>13.9</v>
      </c>
      <c r="K16" s="7" t="n">
        <f aca="false">ROUND(K15*$B$6,1)</f>
        <v>15.5</v>
      </c>
      <c r="L16" s="7" t="n">
        <f aca="false">ROUND(L15*$B$6,1)</f>
        <v>17.4</v>
      </c>
      <c r="M16" s="7" t="n">
        <f aca="false">ROUND(M15*$B$6,1)</f>
        <v>19.5</v>
      </c>
      <c r="N16" s="7" t="n">
        <f aca="false">ROUND(N15*$B$6,1)</f>
        <v>21.8</v>
      </c>
      <c r="O16" s="7" t="n">
        <f aca="false">ROUND(O15*$B$6,1)</f>
        <v>24.4</v>
      </c>
      <c r="P16" s="7" t="n">
        <f aca="false">ROUND(P15*$B$6,1)</f>
        <v>27.4</v>
      </c>
      <c r="Q16" s="7" t="n">
        <f aca="false">ROUND(Q15*$B$6,1)</f>
        <v>30.7</v>
      </c>
      <c r="R16" s="7" t="n">
        <f aca="false">ROUND(R15*$B$6,1)</f>
        <v>34.3</v>
      </c>
      <c r="S16" s="7" t="n">
        <f aca="false">ROUND(S15*$B$6,1)</f>
        <v>38.4</v>
      </c>
    </row>
    <row r="17" customFormat="false" ht="15" hidden="false" customHeight="true" outlineLevel="0" collapsed="false">
      <c r="A17" s="12" t="s">
        <v>438</v>
      </c>
      <c r="B17" s="7" t="n">
        <f aca="false">B16</f>
        <v>5.6</v>
      </c>
      <c r="C17" s="7" t="n">
        <f aca="false">ROUND(B17*(1-$B$8)+C16,1)</f>
        <v>11.7</v>
      </c>
      <c r="D17" s="7" t="n">
        <f aca="false">ROUND(C17*(1-$B$8)+D16,1)</f>
        <v>18.3</v>
      </c>
      <c r="E17" s="7" t="n">
        <f aca="false">ROUND(D17*(1-$B$8)+E16,1)</f>
        <v>25.7</v>
      </c>
      <c r="F17" s="7" t="n">
        <f aca="false">ROUND(E17*(1-$B$8)+F16,1)</f>
        <v>33.7</v>
      </c>
      <c r="G17" s="7" t="n">
        <f aca="false">ROUND(F17*(1-$B$8)+G16,1)</f>
        <v>42.6</v>
      </c>
      <c r="H17" s="7" t="n">
        <f aca="false">ROUND(G17*(1-$B$8)+H16,1)</f>
        <v>52.4</v>
      </c>
      <c r="I17" s="7" t="n">
        <f aca="false">ROUND(H17*(1-$B$8)+I16,1)</f>
        <v>63.2</v>
      </c>
      <c r="J17" s="7" t="n">
        <f aca="false">ROUND(I17*(1-$B$8)+J16,1)</f>
        <v>75.2</v>
      </c>
      <c r="K17" s="7" t="n">
        <f aca="false">ROUND(J17*(1-$B$8)+K16,1)</f>
        <v>88.4</v>
      </c>
      <c r="L17" s="7" t="n">
        <f aca="false">ROUND(K17*(1-$B$8)+L16,1)</f>
        <v>103.1</v>
      </c>
      <c r="M17" s="7" t="n">
        <f aca="false">ROUND(L17*(1-$B$8)+M16,1)</f>
        <v>119.5</v>
      </c>
      <c r="N17" s="7" t="n">
        <f aca="false">ROUND(M17*(1-$B$8)+N16,1)</f>
        <v>137.7</v>
      </c>
      <c r="O17" s="7" t="n">
        <f aca="false">ROUND(N17*(1-$B$8)+O16,1)</f>
        <v>158</v>
      </c>
      <c r="P17" s="7" t="n">
        <f aca="false">ROUND(O17*(1-$B$8)+P16,1)</f>
        <v>180.7</v>
      </c>
      <c r="Q17" s="7" t="n">
        <f aca="false">ROUND(P17*(1-$B$8)+Q16,1)</f>
        <v>206</v>
      </c>
      <c r="R17" s="7" t="n">
        <f aca="false">ROUND(Q17*(1-$B$8)+R16,1)</f>
        <v>234.1</v>
      </c>
      <c r="S17" s="7" t="n">
        <f aca="false">ROUND(R17*(1-$B$8)+S16,1)</f>
        <v>265.5</v>
      </c>
    </row>
    <row r="18" customFormat="false" ht="15" hidden="false" customHeight="true" outlineLevel="0" collapsed="false">
      <c r="A18" s="12" t="s">
        <v>439</v>
      </c>
      <c r="B18" s="7" t="n">
        <f aca="false">ROUND(B17*$B$7*(1-$B$9),0)</f>
        <v>367</v>
      </c>
      <c r="C18" s="7" t="n">
        <f aca="false">ROUND(C17*$B$7*(1-$B$9),0)</f>
        <v>767</v>
      </c>
      <c r="D18" s="7" t="n">
        <f aca="false">ROUND(D17*$B$7*(1-$B$9),0)</f>
        <v>1200</v>
      </c>
      <c r="E18" s="7" t="n">
        <f aca="false">ROUND(E17*$B$7*(1-$B$9),0)</f>
        <v>1685</v>
      </c>
      <c r="F18" s="7" t="n">
        <f aca="false">ROUND(F17*$B$7*(1-$B$9),0)</f>
        <v>2210</v>
      </c>
      <c r="G18" s="7" t="n">
        <f aca="false">ROUND(G17*$B$7*(1-$B$9),0)</f>
        <v>2793</v>
      </c>
      <c r="H18" s="7" t="n">
        <f aca="false">ROUND(H17*$B$7*(1-$B$9),0)</f>
        <v>3436</v>
      </c>
      <c r="I18" s="7" t="n">
        <f aca="false">ROUND(I17*$B$7*(1-$B$9),0)</f>
        <v>4144</v>
      </c>
      <c r="J18" s="7" t="n">
        <f aca="false">ROUND(J17*$B$7*(1-$B$9),0)</f>
        <v>4931</v>
      </c>
      <c r="K18" s="7" t="n">
        <f aca="false">ROUND(K17*$B$7*(1-$B$9),0)</f>
        <v>5796</v>
      </c>
      <c r="L18" s="7" t="n">
        <f aca="false">ROUND(L17*$B$7*(1-$B$9),0)</f>
        <v>6760</v>
      </c>
      <c r="M18" s="7" t="n">
        <f aca="false">ROUND(M17*$B$7*(1-$B$9),0)</f>
        <v>7836</v>
      </c>
      <c r="N18" s="7" t="n">
        <f aca="false">ROUND(N17*$B$7*(1-$B$9),0)</f>
        <v>9029</v>
      </c>
      <c r="O18" s="7" t="n">
        <f aca="false">ROUND(O17*$B$7*(1-$B$9),0)</f>
        <v>10360</v>
      </c>
      <c r="P18" s="7" t="n">
        <f aca="false">ROUND(P17*$B$7*(1-$B$9),0)</f>
        <v>11848</v>
      </c>
      <c r="Q18" s="7" t="n">
        <f aca="false">ROUND(Q17*$B$7*(1-$B$9),0)</f>
        <v>13507</v>
      </c>
      <c r="R18" s="7" t="n">
        <f aca="false">ROUND(R17*$B$7*(1-$B$9),0)</f>
        <v>15350</v>
      </c>
      <c r="S18" s="7" t="n">
        <f aca="false">ROUND(S17*$B$7*(1-$B$9),0)</f>
        <v>17409</v>
      </c>
    </row>
    <row r="19" customFormat="false" ht="15" hidden="false" customHeight="true" outlineLevel="0" collapsed="false">
      <c r="A19" s="12" t="s">
        <v>440</v>
      </c>
      <c r="B19" s="7" t="n">
        <f aca="false">$B$10</f>
        <v>20000</v>
      </c>
      <c r="C19" s="7" t="n">
        <f aca="false">ROUND(B19*(1+$B$11),0)</f>
        <v>20600</v>
      </c>
      <c r="D19" s="7" t="n">
        <f aca="false">ROUND(C19*(1+$B$11),0)</f>
        <v>21218</v>
      </c>
      <c r="E19" s="7" t="n">
        <f aca="false">ROUND(D19*(1+$B$11),0)</f>
        <v>21855</v>
      </c>
      <c r="F19" s="7" t="n">
        <f aca="false">ROUND(E19*(1+$B$11),0)</f>
        <v>22511</v>
      </c>
      <c r="G19" s="7" t="n">
        <f aca="false">ROUND(F19*(1+$B$11),0)</f>
        <v>23186</v>
      </c>
      <c r="H19" s="7" t="n">
        <f aca="false">ROUND(G19*(1+$B$11),0)</f>
        <v>23882</v>
      </c>
      <c r="I19" s="7" t="n">
        <f aca="false">ROUND(H19*(1+$B$11),0)</f>
        <v>24598</v>
      </c>
      <c r="J19" s="7" t="n">
        <f aca="false">ROUND(I19*(1+$B$11),0)</f>
        <v>25336</v>
      </c>
      <c r="K19" s="7" t="n">
        <f aca="false">ROUND(J19*(1+$B$11),0)</f>
        <v>26096</v>
      </c>
      <c r="L19" s="7" t="n">
        <f aca="false">ROUND(K19*(1+$B$11),0)</f>
        <v>26879</v>
      </c>
      <c r="M19" s="7" t="n">
        <f aca="false">ROUND(L19*(1+$B$11),0)</f>
        <v>27685</v>
      </c>
      <c r="N19" s="7" t="n">
        <f aca="false">ROUND(M19*(1+$B$11),0)</f>
        <v>28516</v>
      </c>
      <c r="O19" s="7" t="n">
        <f aca="false">ROUND(N19*(1+$B$11),0)</f>
        <v>29371</v>
      </c>
      <c r="P19" s="7" t="n">
        <f aca="false">ROUND(O19*(1+$B$11),0)</f>
        <v>30252</v>
      </c>
      <c r="Q19" s="7" t="n">
        <f aca="false">ROUND(P19*(1+$B$11),0)</f>
        <v>31160</v>
      </c>
      <c r="R19" s="7" t="n">
        <f aca="false">ROUND(Q19*(1+$B$11),0)</f>
        <v>32095</v>
      </c>
      <c r="S19" s="7" t="n">
        <f aca="false">ROUND(R19*(1+$B$11),0)</f>
        <v>33058</v>
      </c>
    </row>
    <row r="20" customFormat="false" ht="15" hidden="false" customHeight="true" outlineLevel="0" collapsed="false">
      <c r="A20" s="12" t="s">
        <v>441</v>
      </c>
      <c r="B20" s="7" t="n">
        <f aca="false">B18-B19</f>
        <v>-19633</v>
      </c>
      <c r="C20" s="7" t="n">
        <f aca="false">C18-C19</f>
        <v>-19833</v>
      </c>
      <c r="D20" s="7" t="n">
        <f aca="false">D18-D19</f>
        <v>-20018</v>
      </c>
      <c r="E20" s="7" t="n">
        <f aca="false">E18-E19</f>
        <v>-20170</v>
      </c>
      <c r="F20" s="7" t="n">
        <f aca="false">F18-F19</f>
        <v>-20301</v>
      </c>
      <c r="G20" s="7" t="n">
        <f aca="false">G18-G19</f>
        <v>-20393</v>
      </c>
      <c r="H20" s="7" t="n">
        <f aca="false">H18-H19</f>
        <v>-20446</v>
      </c>
      <c r="I20" s="7" t="n">
        <f aca="false">I18-I19</f>
        <v>-20454</v>
      </c>
      <c r="J20" s="7" t="n">
        <f aca="false">J18-J19</f>
        <v>-20405</v>
      </c>
      <c r="K20" s="7" t="n">
        <f aca="false">K18-K19</f>
        <v>-20300</v>
      </c>
      <c r="L20" s="7" t="n">
        <f aca="false">L18-L19</f>
        <v>-20119</v>
      </c>
      <c r="M20" s="7" t="n">
        <f aca="false">M18-M19</f>
        <v>-19849</v>
      </c>
      <c r="N20" s="7" t="n">
        <f aca="false">N18-N19</f>
        <v>-19487</v>
      </c>
      <c r="O20" s="7" t="n">
        <f aca="false">O18-O19</f>
        <v>-19011</v>
      </c>
      <c r="P20" s="7" t="n">
        <f aca="false">P18-P19</f>
        <v>-18404</v>
      </c>
      <c r="Q20" s="7" t="n">
        <f aca="false">Q18-Q19</f>
        <v>-17653</v>
      </c>
      <c r="R20" s="7" t="n">
        <f aca="false">R18-R19</f>
        <v>-16745</v>
      </c>
      <c r="S20" s="7" t="n">
        <f aca="false">S18-S19</f>
        <v>-15649</v>
      </c>
    </row>
    <row r="21" customFormat="false" ht="15" hidden="false" customHeight="true" outlineLevel="0" collapsed="false">
      <c r="A21" s="12" t="s">
        <v>442</v>
      </c>
      <c r="B21" s="7" t="n">
        <f aca="false">B20</f>
        <v>-19633</v>
      </c>
      <c r="C21" s="7" t="n">
        <f aca="false">B21+C20</f>
        <v>-39466</v>
      </c>
      <c r="D21" s="7" t="n">
        <f aca="false">C21+D20</f>
        <v>-59484</v>
      </c>
      <c r="E21" s="7" t="n">
        <f aca="false">D21+E20</f>
        <v>-79654</v>
      </c>
      <c r="F21" s="7" t="n">
        <f aca="false">E21+F20</f>
        <v>-99955</v>
      </c>
      <c r="G21" s="7" t="n">
        <f aca="false">F21+G20</f>
        <v>-120348</v>
      </c>
      <c r="H21" s="7" t="n">
        <f aca="false">G21+H20</f>
        <v>-140794</v>
      </c>
      <c r="I21" s="7" t="n">
        <f aca="false">H21+I20</f>
        <v>-161248</v>
      </c>
      <c r="J21" s="7" t="n">
        <f aca="false">I21+J20</f>
        <v>-181653</v>
      </c>
      <c r="K21" s="7" t="n">
        <f aca="false">J21+K20</f>
        <v>-201953</v>
      </c>
      <c r="L21" s="7" t="n">
        <f aca="false">K21+L20</f>
        <v>-222072</v>
      </c>
      <c r="M21" s="7" t="n">
        <f aca="false">L21+M20</f>
        <v>-241921</v>
      </c>
      <c r="N21" s="7" t="n">
        <f aca="false">M21+N20</f>
        <v>-261408</v>
      </c>
      <c r="O21" s="7" t="n">
        <f aca="false">N21+O20</f>
        <v>-280419</v>
      </c>
      <c r="P21" s="7" t="n">
        <f aca="false">O21+P20</f>
        <v>-298823</v>
      </c>
      <c r="Q21" s="7" t="n">
        <f aca="false">P21+Q20</f>
        <v>-316476</v>
      </c>
      <c r="R21" s="7" t="n">
        <f aca="false">Q21+R20</f>
        <v>-333221</v>
      </c>
      <c r="S21" s="7" t="n">
        <f aca="false">R21+S20</f>
        <v>-348870</v>
      </c>
    </row>
    <row r="23" customFormat="false" ht="42" hidden="false" customHeight="true" outlineLevel="0" collapsed="false">
      <c r="A23" s="10" t="s">
        <v>443</v>
      </c>
      <c r="B23" s="10"/>
      <c r="C23" s="10"/>
      <c r="D23" s="10"/>
      <c r="E23" s="10"/>
      <c r="F23" s="10"/>
      <c r="G23" s="10"/>
      <c r="H23" s="10"/>
      <c r="I23" s="10"/>
      <c r="J23" s="10"/>
      <c r="K23" s="10"/>
      <c r="L23" s="10"/>
      <c r="M23" s="10"/>
      <c r="N23" s="10"/>
      <c r="O23" s="10"/>
      <c r="P23" s="10"/>
      <c r="Q23" s="10"/>
      <c r="R23" s="10"/>
      <c r="S23" s="10"/>
    </row>
  </sheetData>
  <mergeCells count="1">
    <mergeCell ref="A23:S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72"/>
    <col collapsed="false" customWidth="true" hidden="false" outlineLevel="0" max="3" min="3" style="1" width="16"/>
    <col collapsed="false" customWidth="true" hidden="false" outlineLevel="0" max="4" min="4" style="1" width="12"/>
  </cols>
  <sheetData>
    <row r="1" customFormat="false" ht="17.25" hidden="false" customHeight="true" outlineLevel="0" collapsed="false">
      <c r="A1" s="2" t="s">
        <v>444</v>
      </c>
    </row>
    <row r="3" customFormat="false" ht="15" hidden="false" customHeight="true" outlineLevel="0" collapsed="false">
      <c r="A3" s="3" t="s">
        <v>445</v>
      </c>
      <c r="B3" s="3" t="s">
        <v>446</v>
      </c>
      <c r="C3" s="3" t="s">
        <v>447</v>
      </c>
      <c r="D3" s="3" t="s">
        <v>448</v>
      </c>
    </row>
    <row r="4" customFormat="false" ht="25.5" hidden="false" customHeight="true" outlineLevel="0" collapsed="false">
      <c r="A4" s="4" t="s">
        <v>449</v>
      </c>
      <c r="B4" s="4" t="s">
        <v>450</v>
      </c>
      <c r="C4" s="4" t="s">
        <v>451</v>
      </c>
      <c r="D4" s="4" t="s">
        <v>280</v>
      </c>
    </row>
    <row r="5" customFormat="false" ht="25.5" hidden="false" customHeight="true" outlineLevel="0" collapsed="false">
      <c r="A5" s="4" t="s">
        <v>449</v>
      </c>
      <c r="B5" s="4" t="s">
        <v>452</v>
      </c>
      <c r="C5" s="4" t="s">
        <v>453</v>
      </c>
      <c r="D5" s="4" t="s">
        <v>238</v>
      </c>
    </row>
    <row r="6" customFormat="false" ht="25.5" hidden="false" customHeight="true" outlineLevel="0" collapsed="false">
      <c r="A6" s="4" t="s">
        <v>449</v>
      </c>
      <c r="B6" s="4" t="s">
        <v>454</v>
      </c>
      <c r="C6" s="4" t="s">
        <v>451</v>
      </c>
      <c r="D6" s="4" t="s">
        <v>238</v>
      </c>
    </row>
    <row r="7" customFormat="false" ht="25.5" hidden="false" customHeight="true" outlineLevel="0" collapsed="false">
      <c r="A7" s="4" t="s">
        <v>449</v>
      </c>
      <c r="B7" s="4" t="s">
        <v>455</v>
      </c>
      <c r="C7" s="4" t="s">
        <v>453</v>
      </c>
      <c r="D7" s="4" t="s">
        <v>298</v>
      </c>
    </row>
    <row r="8" customFormat="false" ht="25.5" hidden="false" customHeight="true" outlineLevel="0" collapsed="false">
      <c r="A8" s="4" t="s">
        <v>449</v>
      </c>
      <c r="B8" s="4" t="s">
        <v>456</v>
      </c>
      <c r="C8" s="4" t="s">
        <v>457</v>
      </c>
      <c r="D8" s="4" t="s">
        <v>298</v>
      </c>
    </row>
    <row r="9" customFormat="false" ht="25.5" hidden="false" customHeight="true" outlineLevel="0" collapsed="false">
      <c r="A9" s="4" t="s">
        <v>399</v>
      </c>
      <c r="B9" s="4" t="s">
        <v>458</v>
      </c>
      <c r="C9" s="4" t="s">
        <v>453</v>
      </c>
      <c r="D9" s="4" t="s">
        <v>331</v>
      </c>
    </row>
    <row r="10" customFormat="false" ht="25.5" hidden="false" customHeight="true" outlineLevel="0" collapsed="false">
      <c r="A10" s="4" t="s">
        <v>399</v>
      </c>
      <c r="B10" s="4" t="s">
        <v>459</v>
      </c>
      <c r="C10" s="4" t="s">
        <v>451</v>
      </c>
      <c r="D10" s="4" t="s">
        <v>331</v>
      </c>
    </row>
    <row r="11" customFormat="false" ht="25.5" hidden="false" customHeight="true" outlineLevel="0" collapsed="false">
      <c r="A11" s="4" t="s">
        <v>399</v>
      </c>
      <c r="B11" s="4" t="s">
        <v>460</v>
      </c>
      <c r="C11" s="4" t="s">
        <v>451</v>
      </c>
      <c r="D11" s="4" t="s">
        <v>331</v>
      </c>
    </row>
    <row r="12" customFormat="false" ht="25.5" hidden="false" customHeight="true" outlineLevel="0" collapsed="false">
      <c r="A12" s="4" t="s">
        <v>399</v>
      </c>
      <c r="B12" s="4" t="s">
        <v>461</v>
      </c>
      <c r="C12" s="4" t="s">
        <v>462</v>
      </c>
      <c r="D12" s="4" t="s">
        <v>331</v>
      </c>
    </row>
    <row r="13" customFormat="false" ht="25.5" hidden="false" customHeight="true" outlineLevel="0" collapsed="false">
      <c r="A13" s="4" t="s">
        <v>463</v>
      </c>
      <c r="B13" s="4" t="s">
        <v>464</v>
      </c>
      <c r="C13" s="4" t="s">
        <v>453</v>
      </c>
      <c r="D13" s="4" t="s">
        <v>368</v>
      </c>
    </row>
    <row r="14" customFormat="false" ht="25.5" hidden="false" customHeight="true" outlineLevel="0" collapsed="false">
      <c r="A14" s="4" t="s">
        <v>463</v>
      </c>
      <c r="B14" s="4" t="s">
        <v>465</v>
      </c>
      <c r="C14" s="4" t="s">
        <v>453</v>
      </c>
      <c r="D14" s="4" t="s">
        <v>368</v>
      </c>
    </row>
    <row r="15" customFormat="false" ht="25.5" hidden="false" customHeight="true" outlineLevel="0" collapsed="false">
      <c r="A15" s="4" t="s">
        <v>463</v>
      </c>
      <c r="B15" s="4" t="s">
        <v>466</v>
      </c>
      <c r="C15" s="4" t="s">
        <v>451</v>
      </c>
      <c r="D15" s="4" t="s">
        <v>467</v>
      </c>
    </row>
    <row r="16" customFormat="false" ht="25.5" hidden="false" customHeight="true" outlineLevel="0" collapsed="false">
      <c r="A16" s="4" t="s">
        <v>463</v>
      </c>
      <c r="B16" s="4" t="s">
        <v>468</v>
      </c>
      <c r="C16" s="4" t="s">
        <v>453</v>
      </c>
      <c r="D16" s="4" t="s">
        <v>467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96"/>
    <col collapsed="false" customWidth="true" hidden="false" outlineLevel="0" max="3" min="3" style="1" width="12"/>
  </cols>
  <sheetData>
    <row r="1" customFormat="false" ht="17.25" hidden="false" customHeight="true" outlineLevel="0" collapsed="false">
      <c r="A1" s="2" t="s">
        <v>469</v>
      </c>
    </row>
    <row r="3" customFormat="false" ht="15" hidden="false" customHeight="true" outlineLevel="0" collapsed="false">
      <c r="A3" s="3" t="s">
        <v>102</v>
      </c>
      <c r="B3" s="3" t="s">
        <v>470</v>
      </c>
      <c r="C3" s="3" t="s">
        <v>5</v>
      </c>
    </row>
    <row r="4" customFormat="false" ht="25.5" hidden="false" customHeight="true" outlineLevel="0" collapsed="false">
      <c r="A4" s="4" t="n">
        <v>1</v>
      </c>
      <c r="B4" s="4" t="s">
        <v>471</v>
      </c>
      <c r="C4" s="9" t="s">
        <v>472</v>
      </c>
    </row>
    <row r="5" customFormat="false" ht="25.5" hidden="false" customHeight="true" outlineLevel="0" collapsed="false">
      <c r="A5" s="4" t="n">
        <v>2</v>
      </c>
      <c r="B5" s="4" t="s">
        <v>473</v>
      </c>
      <c r="C5" s="9" t="s">
        <v>474</v>
      </c>
    </row>
    <row r="6" customFormat="false" ht="25.5" hidden="false" customHeight="true" outlineLevel="0" collapsed="false">
      <c r="A6" s="4" t="n">
        <v>3</v>
      </c>
      <c r="B6" s="4" t="s">
        <v>475</v>
      </c>
      <c r="C6" s="9" t="s">
        <v>476</v>
      </c>
    </row>
    <row r="7" customFormat="false" ht="25.5" hidden="false" customHeight="true" outlineLevel="0" collapsed="false">
      <c r="A7" s="4" t="n">
        <v>4</v>
      </c>
      <c r="B7" s="4" t="s">
        <v>477</v>
      </c>
      <c r="C7" s="9" t="s">
        <v>478</v>
      </c>
    </row>
    <row r="8" customFormat="false" ht="25.5" hidden="false" customHeight="true" outlineLevel="0" collapsed="false">
      <c r="A8" s="4" t="n">
        <v>5</v>
      </c>
      <c r="B8" s="4" t="s">
        <v>479</v>
      </c>
      <c r="C8" s="9" t="s">
        <v>480</v>
      </c>
    </row>
    <row r="9" customFormat="false" ht="25.5" hidden="false" customHeight="true" outlineLevel="0" collapsed="false">
      <c r="A9" s="4" t="n">
        <v>6</v>
      </c>
      <c r="B9" s="4" t="s">
        <v>481</v>
      </c>
      <c r="C9" s="9" t="s">
        <v>482</v>
      </c>
    </row>
    <row r="10" customFormat="false" ht="25.5" hidden="false" customHeight="true" outlineLevel="0" collapsed="false">
      <c r="A10" s="4" t="n">
        <v>7</v>
      </c>
      <c r="B10" s="4" t="s">
        <v>483</v>
      </c>
      <c r="C10" s="9" t="s">
        <v>484</v>
      </c>
    </row>
    <row r="11" customFormat="false" ht="25.5" hidden="false" customHeight="true" outlineLevel="0" collapsed="false">
      <c r="A11" s="4" t="n">
        <v>8</v>
      </c>
      <c r="B11" s="4" t="s">
        <v>485</v>
      </c>
      <c r="C11" s="9" t="s">
        <v>486</v>
      </c>
    </row>
    <row r="12" customFormat="false" ht="25.5" hidden="false" customHeight="true" outlineLevel="0" collapsed="false">
      <c r="A12" s="4" t="n">
        <v>9</v>
      </c>
      <c r="B12" s="4" t="s">
        <v>487</v>
      </c>
      <c r="C12" s="9" t="s">
        <v>488</v>
      </c>
    </row>
    <row r="13" customFormat="false" ht="25.5" hidden="false" customHeight="true" outlineLevel="0" collapsed="false">
      <c r="A13" s="4" t="n">
        <v>10</v>
      </c>
      <c r="B13" s="4" t="s">
        <v>489</v>
      </c>
      <c r="C13" s="9" t="s">
        <v>490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10"/>
    <col collapsed="false" customWidth="true" hidden="false" outlineLevel="0" max="6" min="6" style="1" width="44"/>
  </cols>
  <sheetData>
    <row r="1" customFormat="false" ht="17.25" hidden="false" customHeight="true" outlineLevel="0" collapsed="false">
      <c r="A1" s="2" t="s">
        <v>491</v>
      </c>
    </row>
    <row r="3" customFormat="false" ht="15" hidden="false" customHeight="true" outlineLevel="0" collapsed="false">
      <c r="A3" s="3" t="s">
        <v>492</v>
      </c>
      <c r="B3" s="3" t="s">
        <v>418</v>
      </c>
      <c r="C3" s="3" t="s">
        <v>420</v>
      </c>
      <c r="D3" s="3" t="s">
        <v>423</v>
      </c>
      <c r="E3" s="3" t="s">
        <v>429</v>
      </c>
      <c r="F3" s="3" t="s">
        <v>493</v>
      </c>
    </row>
    <row r="4" customFormat="false" ht="25.5" hidden="false" customHeight="true" outlineLevel="0" collapsed="false">
      <c r="A4" s="5" t="s">
        <v>494</v>
      </c>
      <c r="B4" s="5" t="s">
        <v>495</v>
      </c>
      <c r="C4" s="5" t="s">
        <v>496</v>
      </c>
      <c r="D4" s="5" t="s">
        <v>497</v>
      </c>
      <c r="E4" s="5" t="s">
        <v>498</v>
      </c>
      <c r="F4" s="5" t="s">
        <v>499</v>
      </c>
    </row>
    <row r="5" customFormat="false" ht="25.5" hidden="false" customHeight="true" outlineLevel="0" collapsed="false">
      <c r="A5" s="5" t="s">
        <v>500</v>
      </c>
      <c r="B5" s="5" t="s">
        <v>501</v>
      </c>
      <c r="C5" s="5" t="s">
        <v>502</v>
      </c>
      <c r="D5" s="5" t="s">
        <v>503</v>
      </c>
      <c r="E5" s="5" t="s">
        <v>504</v>
      </c>
      <c r="F5" s="5" t="s">
        <v>505</v>
      </c>
    </row>
    <row r="6" customFormat="false" ht="25.5" hidden="false" customHeight="true" outlineLevel="0" collapsed="false">
      <c r="A6" s="5" t="s">
        <v>506</v>
      </c>
      <c r="B6" s="5" t="s">
        <v>507</v>
      </c>
      <c r="C6" s="5" t="s">
        <v>508</v>
      </c>
      <c r="D6" s="5" t="s">
        <v>509</v>
      </c>
      <c r="E6" s="5" t="s">
        <v>510</v>
      </c>
      <c r="F6" s="5" t="s">
        <v>511</v>
      </c>
    </row>
    <row r="7" customFormat="false" ht="25.5" hidden="false" customHeight="true" outlineLevel="0" collapsed="false">
      <c r="A7" s="5" t="s">
        <v>512</v>
      </c>
      <c r="B7" s="5" t="s">
        <v>513</v>
      </c>
      <c r="C7" s="5" t="s">
        <v>514</v>
      </c>
      <c r="D7" s="5" t="s">
        <v>515</v>
      </c>
      <c r="E7" s="5" t="s">
        <v>515</v>
      </c>
      <c r="F7" s="5" t="s">
        <v>516</v>
      </c>
    </row>
    <row r="8" customFormat="false" ht="25.5" hidden="false" customHeight="true" outlineLevel="0" collapsed="false">
      <c r="A8" s="5" t="s">
        <v>517</v>
      </c>
      <c r="B8" s="5" t="s">
        <v>518</v>
      </c>
      <c r="C8" s="5" t="s">
        <v>519</v>
      </c>
      <c r="D8" s="5" t="s">
        <v>520</v>
      </c>
      <c r="E8" s="5" t="s">
        <v>521</v>
      </c>
      <c r="F8" s="5" t="s">
        <v>522</v>
      </c>
    </row>
    <row r="9" customFormat="false" ht="25.5" hidden="false" customHeight="true" outlineLevel="0" collapsed="false">
      <c r="A9" s="5" t="s">
        <v>523</v>
      </c>
      <c r="B9" s="5" t="s">
        <v>524</v>
      </c>
      <c r="C9" s="5" t="s">
        <v>525</v>
      </c>
      <c r="D9" s="5" t="s">
        <v>526</v>
      </c>
      <c r="E9" s="5" t="s">
        <v>526</v>
      </c>
      <c r="F9" s="5" t="s">
        <v>527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0"/>
    <col collapsed="false" customWidth="true" hidden="false" outlineLevel="0" max="3" min="3" style="1" width="12"/>
    <col collapsed="false" customWidth="true" hidden="false" outlineLevel="0" max="4" min="4" style="1" width="50"/>
  </cols>
  <sheetData>
    <row r="1" customFormat="false" ht="17.25" hidden="false" customHeight="true" outlineLevel="0" collapsed="false">
      <c r="A1" s="2" t="s">
        <v>528</v>
      </c>
    </row>
    <row r="3" customFormat="false" ht="15" hidden="false" customHeight="true" outlineLevel="0" collapsed="false">
      <c r="A3" s="3" t="s">
        <v>529</v>
      </c>
      <c r="B3" s="3" t="s">
        <v>530</v>
      </c>
      <c r="C3" s="3" t="s">
        <v>531</v>
      </c>
      <c r="D3" s="3" t="s">
        <v>532</v>
      </c>
    </row>
    <row r="4" customFormat="false" ht="30" hidden="false" customHeight="true" outlineLevel="0" collapsed="false">
      <c r="A4" s="4" t="s">
        <v>533</v>
      </c>
      <c r="B4" s="4" t="s">
        <v>534</v>
      </c>
      <c r="C4" s="4" t="s">
        <v>534</v>
      </c>
      <c r="D4" s="4" t="s">
        <v>535</v>
      </c>
    </row>
    <row r="5" customFormat="false" ht="30" hidden="false" customHeight="true" outlineLevel="0" collapsed="false">
      <c r="A5" s="4" t="s">
        <v>536</v>
      </c>
      <c r="B5" s="4" t="s">
        <v>537</v>
      </c>
      <c r="C5" s="4" t="s">
        <v>534</v>
      </c>
      <c r="D5" s="4" t="s">
        <v>538</v>
      </c>
    </row>
    <row r="6" customFormat="false" ht="30" hidden="false" customHeight="true" outlineLevel="0" collapsed="false">
      <c r="A6" s="4" t="s">
        <v>539</v>
      </c>
      <c r="B6" s="4" t="s">
        <v>534</v>
      </c>
      <c r="C6" s="4" t="s">
        <v>534</v>
      </c>
      <c r="D6" s="4" t="s">
        <v>540</v>
      </c>
    </row>
    <row r="7" customFormat="false" ht="15" hidden="false" customHeight="true" outlineLevel="0" collapsed="false">
      <c r="A7" s="7" t="s">
        <v>541</v>
      </c>
      <c r="B7" s="7" t="s">
        <v>537</v>
      </c>
      <c r="C7" s="7" t="s">
        <v>534</v>
      </c>
      <c r="D7" s="7" t="s">
        <v>542</v>
      </c>
    </row>
    <row r="8" customFormat="false" ht="15" hidden="false" customHeight="true" outlineLevel="0" collapsed="false">
      <c r="A8" s="7" t="s">
        <v>543</v>
      </c>
      <c r="B8" s="7" t="s">
        <v>537</v>
      </c>
      <c r="C8" s="7" t="s">
        <v>544</v>
      </c>
      <c r="D8" s="7" t="s">
        <v>545</v>
      </c>
    </row>
    <row r="9" customFormat="false" ht="15" hidden="false" customHeight="true" outlineLevel="0" collapsed="false">
      <c r="A9" s="7" t="s">
        <v>546</v>
      </c>
      <c r="B9" s="7" t="s">
        <v>537</v>
      </c>
      <c r="C9" s="7" t="s">
        <v>544</v>
      </c>
      <c r="D9" s="7" t="s">
        <v>547</v>
      </c>
    </row>
    <row r="10" customFormat="false" ht="15" hidden="false" customHeight="true" outlineLevel="0" collapsed="false">
      <c r="A10" s="7" t="s">
        <v>548</v>
      </c>
      <c r="B10" s="7" t="s">
        <v>537</v>
      </c>
      <c r="C10" s="7" t="s">
        <v>544</v>
      </c>
      <c r="D10" s="7" t="s">
        <v>549</v>
      </c>
    </row>
    <row r="11" customFormat="false" ht="15" hidden="false" customHeight="true" outlineLevel="0" collapsed="false">
      <c r="A11" s="7" t="s">
        <v>550</v>
      </c>
      <c r="B11" s="7" t="s">
        <v>534</v>
      </c>
      <c r="C11" s="7" t="s">
        <v>544</v>
      </c>
      <c r="D11" s="7" t="s">
        <v>551</v>
      </c>
    </row>
    <row r="12" customFormat="false" ht="15" hidden="false" customHeight="true" outlineLevel="0" collapsed="false">
      <c r="A12" s="7" t="s">
        <v>552</v>
      </c>
      <c r="B12" s="7" t="s">
        <v>537</v>
      </c>
      <c r="C12" s="7" t="s">
        <v>544</v>
      </c>
      <c r="D12" s="7" t="s">
        <v>553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1"/>
    <col collapsed="false" customWidth="true" hidden="false" outlineLevel="0" max="3" min="3" style="1" width="26"/>
    <col collapsed="false" customWidth="true" hidden="false" outlineLevel="0" max="4" min="4" style="1" width="78"/>
    <col collapsed="false" customWidth="true" hidden="false" outlineLevel="0" max="5" min="5" style="1" width="62"/>
    <col collapsed="false" customWidth="true" hidden="false" outlineLevel="0" max="6" min="6" style="1" width="52"/>
  </cols>
  <sheetData>
    <row r="1" customFormat="false" ht="15" hidden="false" customHeight="true" outlineLevel="0" collapsed="false">
      <c r="A1" s="13" t="s">
        <v>554</v>
      </c>
    </row>
    <row r="2" customFormat="false" ht="15" hidden="false" customHeight="true" outlineLevel="0" collapsed="false">
      <c r="A2" s="7" t="s">
        <v>555</v>
      </c>
    </row>
    <row r="4" customFormat="false" ht="15" hidden="false" customHeight="true" outlineLevel="0" collapsed="false">
      <c r="A4" s="12" t="s">
        <v>135</v>
      </c>
      <c r="B4" s="12" t="s">
        <v>556</v>
      </c>
      <c r="C4" s="12" t="s">
        <v>557</v>
      </c>
      <c r="D4" s="12" t="s">
        <v>558</v>
      </c>
      <c r="E4" s="12" t="s">
        <v>559</v>
      </c>
      <c r="F4" s="12" t="s">
        <v>560</v>
      </c>
    </row>
    <row r="5" customFormat="false" ht="45.75" hidden="false" customHeight="true" outlineLevel="0" collapsed="false">
      <c r="A5" s="7" t="s">
        <v>561</v>
      </c>
      <c r="B5" s="7" t="s">
        <v>537</v>
      </c>
      <c r="C5" s="7" t="s">
        <v>562</v>
      </c>
      <c r="D5" s="6" t="s">
        <v>563</v>
      </c>
      <c r="E5" s="6" t="s">
        <v>564</v>
      </c>
      <c r="F5" s="6" t="s">
        <v>565</v>
      </c>
    </row>
    <row r="6" customFormat="false" ht="23.25" hidden="false" customHeight="true" outlineLevel="0" collapsed="false">
      <c r="A6" s="7" t="s">
        <v>566</v>
      </c>
      <c r="B6" s="7" t="s">
        <v>537</v>
      </c>
      <c r="C6" s="7" t="s">
        <v>567</v>
      </c>
      <c r="D6" s="6" t="s">
        <v>568</v>
      </c>
      <c r="E6" s="6" t="s">
        <v>569</v>
      </c>
      <c r="F6" s="6" t="s">
        <v>570</v>
      </c>
    </row>
    <row r="7" customFormat="false" ht="23.25" hidden="false" customHeight="true" outlineLevel="0" collapsed="false">
      <c r="A7" s="7" t="s">
        <v>571</v>
      </c>
      <c r="B7" s="7" t="s">
        <v>537</v>
      </c>
      <c r="C7" s="7" t="s">
        <v>572</v>
      </c>
      <c r="D7" s="6" t="s">
        <v>573</v>
      </c>
      <c r="E7" s="6" t="s">
        <v>574</v>
      </c>
      <c r="F7" s="6" t="s">
        <v>575</v>
      </c>
    </row>
    <row r="8" customFormat="false" ht="34.5" hidden="false" customHeight="true" outlineLevel="0" collapsed="false">
      <c r="A8" s="7" t="s">
        <v>576</v>
      </c>
      <c r="B8" s="7" t="s">
        <v>537</v>
      </c>
      <c r="C8" s="7" t="s">
        <v>577</v>
      </c>
      <c r="D8" s="6" t="s">
        <v>578</v>
      </c>
      <c r="E8" s="6" t="s">
        <v>579</v>
      </c>
      <c r="F8" s="6" t="s">
        <v>580</v>
      </c>
    </row>
    <row r="9" customFormat="false" ht="34.5" hidden="false" customHeight="true" outlineLevel="0" collapsed="false">
      <c r="A9" s="7" t="s">
        <v>581</v>
      </c>
      <c r="B9" s="7" t="s">
        <v>537</v>
      </c>
      <c r="C9" s="7" t="s">
        <v>582</v>
      </c>
      <c r="D9" s="6" t="s">
        <v>583</v>
      </c>
      <c r="E9" s="6" t="s">
        <v>584</v>
      </c>
      <c r="F9" s="6" t="s">
        <v>585</v>
      </c>
    </row>
    <row r="10" customFormat="false" ht="23.25" hidden="false" customHeight="true" outlineLevel="0" collapsed="false">
      <c r="A10" s="7" t="s">
        <v>586</v>
      </c>
      <c r="B10" s="7" t="s">
        <v>537</v>
      </c>
      <c r="C10" s="7" t="s">
        <v>587</v>
      </c>
      <c r="D10" s="6" t="s">
        <v>588</v>
      </c>
      <c r="E10" s="6" t="s">
        <v>589</v>
      </c>
      <c r="F10" s="6" t="s">
        <v>590</v>
      </c>
    </row>
    <row r="11" customFormat="false" ht="34.5" hidden="false" customHeight="true" outlineLevel="0" collapsed="false">
      <c r="A11" s="7" t="s">
        <v>591</v>
      </c>
      <c r="B11" s="7" t="s">
        <v>592</v>
      </c>
      <c r="C11" s="7" t="s">
        <v>593</v>
      </c>
      <c r="D11" s="6" t="s">
        <v>594</v>
      </c>
      <c r="E11" s="6" t="s">
        <v>595</v>
      </c>
      <c r="F11" s="6" t="s">
        <v>585</v>
      </c>
    </row>
    <row r="12" customFormat="false" ht="23.25" hidden="false" customHeight="true" outlineLevel="0" collapsed="false">
      <c r="A12" s="7" t="s">
        <v>596</v>
      </c>
      <c r="B12" s="7" t="s">
        <v>592</v>
      </c>
      <c r="C12" s="7" t="s">
        <v>597</v>
      </c>
      <c r="D12" s="6" t="s">
        <v>598</v>
      </c>
      <c r="E12" s="6" t="s">
        <v>599</v>
      </c>
      <c r="F12" s="6" t="s">
        <v>585</v>
      </c>
    </row>
    <row r="13" customFormat="false" ht="23.25" hidden="false" customHeight="true" outlineLevel="0" collapsed="false">
      <c r="A13" s="7" t="s">
        <v>600</v>
      </c>
      <c r="B13" s="7" t="s">
        <v>592</v>
      </c>
      <c r="C13" s="7" t="s">
        <v>601</v>
      </c>
      <c r="D13" s="6" t="s">
        <v>602</v>
      </c>
      <c r="E13" s="6" t="s">
        <v>603</v>
      </c>
      <c r="F13" s="6" t="s">
        <v>585</v>
      </c>
    </row>
    <row r="14" customFormat="false" ht="23.25" hidden="false" customHeight="true" outlineLevel="0" collapsed="false">
      <c r="A14" s="7" t="s">
        <v>604</v>
      </c>
      <c r="B14" s="7" t="s">
        <v>605</v>
      </c>
      <c r="C14" s="7" t="s">
        <v>606</v>
      </c>
      <c r="D14" s="6" t="s">
        <v>607</v>
      </c>
      <c r="E14" s="6" t="s">
        <v>608</v>
      </c>
      <c r="F14" s="6" t="s">
        <v>585</v>
      </c>
    </row>
    <row r="15" customFormat="false" ht="23.25" hidden="false" customHeight="true" outlineLevel="0" collapsed="false">
      <c r="A15" s="7" t="s">
        <v>609</v>
      </c>
      <c r="B15" s="7" t="s">
        <v>605</v>
      </c>
      <c r="C15" s="7" t="s">
        <v>610</v>
      </c>
      <c r="D15" s="6" t="s">
        <v>611</v>
      </c>
      <c r="E15" s="6" t="s">
        <v>612</v>
      </c>
      <c r="F15" s="6" t="s">
        <v>613</v>
      </c>
    </row>
    <row r="16" customFormat="false" ht="23.25" hidden="false" customHeight="true" outlineLevel="0" collapsed="false">
      <c r="A16" s="7" t="s">
        <v>614</v>
      </c>
      <c r="B16" s="7" t="s">
        <v>605</v>
      </c>
      <c r="C16" s="7" t="s">
        <v>615</v>
      </c>
      <c r="D16" s="6" t="s">
        <v>616</v>
      </c>
      <c r="E16" s="6" t="s">
        <v>617</v>
      </c>
      <c r="F16" s="6" t="s">
        <v>585</v>
      </c>
    </row>
    <row r="17" customFormat="false" ht="23.25" hidden="false" customHeight="true" outlineLevel="0" collapsed="false">
      <c r="A17" s="7" t="s">
        <v>618</v>
      </c>
      <c r="B17" s="7" t="s">
        <v>605</v>
      </c>
      <c r="C17" s="7" t="s">
        <v>619</v>
      </c>
      <c r="D17" s="6" t="s">
        <v>620</v>
      </c>
      <c r="E17" s="6" t="s">
        <v>621</v>
      </c>
      <c r="F17" s="6" t="s">
        <v>622</v>
      </c>
    </row>
    <row r="18" customFormat="false" ht="23.25" hidden="false" customHeight="true" outlineLevel="0" collapsed="false">
      <c r="A18" s="7" t="s">
        <v>623</v>
      </c>
      <c r="B18" s="7" t="s">
        <v>605</v>
      </c>
      <c r="C18" s="7" t="s">
        <v>624</v>
      </c>
      <c r="D18" s="6" t="s">
        <v>625</v>
      </c>
      <c r="E18" s="6" t="s">
        <v>626</v>
      </c>
      <c r="F18" s="14" t="s">
        <v>627</v>
      </c>
    </row>
    <row r="19" customFormat="false" ht="15" hidden="false" customHeight="true" outlineLevel="0" collapsed="false">
      <c r="A19" s="7" t="s">
        <v>628</v>
      </c>
      <c r="B19" s="7" t="s">
        <v>629</v>
      </c>
      <c r="C19" s="7" t="s">
        <v>597</v>
      </c>
      <c r="D19" s="6" t="s">
        <v>630</v>
      </c>
      <c r="E19" s="6" t="s">
        <v>631</v>
      </c>
      <c r="F19" s="14" t="s">
        <v>632</v>
      </c>
    </row>
    <row r="20" customFormat="false" ht="15" hidden="false" customHeight="true" outlineLevel="0" collapsed="false">
      <c r="A20" s="7" t="s">
        <v>633</v>
      </c>
      <c r="B20" s="7" t="s">
        <v>634</v>
      </c>
      <c r="C20" s="7" t="s">
        <v>635</v>
      </c>
      <c r="D20" s="6" t="s">
        <v>636</v>
      </c>
      <c r="E20" s="6" t="s">
        <v>637</v>
      </c>
      <c r="F20" s="6" t="s">
        <v>585</v>
      </c>
    </row>
    <row r="21" customFormat="false" ht="34.5" hidden="false" customHeight="true" outlineLevel="0" collapsed="false">
      <c r="A21" s="7" t="s">
        <v>638</v>
      </c>
      <c r="B21" s="7" t="s">
        <v>605</v>
      </c>
      <c r="C21" s="7" t="s">
        <v>639</v>
      </c>
      <c r="D21" s="6" t="s">
        <v>640</v>
      </c>
      <c r="E21" s="6" t="s">
        <v>641</v>
      </c>
      <c r="F21" s="14" t="s">
        <v>642</v>
      </c>
    </row>
    <row r="23" customFormat="false" ht="15" hidden="false" customHeight="true" outlineLevel="0" collapsed="false">
      <c r="A23" s="12" t="s">
        <v>643</v>
      </c>
    </row>
    <row r="24" customFormat="false" ht="15" hidden="false" customHeight="true" outlineLevel="0" collapsed="false">
      <c r="A24" s="12" t="s">
        <v>135</v>
      </c>
      <c r="B24" s="12" t="s">
        <v>556</v>
      </c>
      <c r="C24" s="12" t="s">
        <v>644</v>
      </c>
      <c r="D24" s="12" t="s">
        <v>645</v>
      </c>
      <c r="E24" s="12" t="s">
        <v>559</v>
      </c>
      <c r="F24" s="12" t="s">
        <v>560</v>
      </c>
    </row>
    <row r="25" customFormat="false" ht="57" hidden="false" customHeight="true" outlineLevel="0" collapsed="false">
      <c r="A25" s="7" t="s">
        <v>646</v>
      </c>
      <c r="B25" s="7" t="s">
        <v>647</v>
      </c>
      <c r="C25" s="7" t="s">
        <v>648</v>
      </c>
      <c r="D25" s="6" t="s">
        <v>649</v>
      </c>
      <c r="E25" s="6" t="s">
        <v>650</v>
      </c>
      <c r="F25" s="6" t="s">
        <v>651</v>
      </c>
    </row>
    <row r="26" customFormat="false" ht="45.75" hidden="false" customHeight="true" outlineLevel="0" collapsed="false">
      <c r="A26" s="7" t="s">
        <v>652</v>
      </c>
      <c r="B26" s="7" t="s">
        <v>647</v>
      </c>
      <c r="C26" s="7" t="s">
        <v>653</v>
      </c>
      <c r="D26" s="6" t="s">
        <v>654</v>
      </c>
      <c r="E26" s="6" t="s">
        <v>655</v>
      </c>
      <c r="F26" s="6" t="s">
        <v>656</v>
      </c>
    </row>
    <row r="27" customFormat="false" ht="23.25" hidden="false" customHeight="true" outlineLevel="0" collapsed="false">
      <c r="A27" s="7" t="s">
        <v>657</v>
      </c>
      <c r="B27" s="7" t="s">
        <v>537</v>
      </c>
      <c r="C27" s="7" t="s">
        <v>619</v>
      </c>
      <c r="D27" s="6" t="s">
        <v>658</v>
      </c>
      <c r="E27" s="6" t="s">
        <v>659</v>
      </c>
      <c r="F27" s="6" t="s">
        <v>585</v>
      </c>
    </row>
    <row r="28" customFormat="false" ht="34.5" hidden="false" customHeight="true" outlineLevel="0" collapsed="false">
      <c r="A28" s="7" t="s">
        <v>660</v>
      </c>
      <c r="B28" s="7" t="s">
        <v>661</v>
      </c>
      <c r="C28" s="7" t="s">
        <v>615</v>
      </c>
      <c r="D28" s="6" t="s">
        <v>662</v>
      </c>
      <c r="E28" s="6" t="s">
        <v>663</v>
      </c>
      <c r="F28" s="14" t="s">
        <v>664</v>
      </c>
    </row>
    <row r="29" customFormat="false" ht="34.5" hidden="false" customHeight="true" outlineLevel="0" collapsed="false">
      <c r="A29" s="7" t="s">
        <v>665</v>
      </c>
      <c r="B29" s="7" t="s">
        <v>661</v>
      </c>
      <c r="C29" s="7" t="s">
        <v>666</v>
      </c>
      <c r="D29" s="6" t="s">
        <v>667</v>
      </c>
      <c r="E29" s="6" t="s">
        <v>668</v>
      </c>
      <c r="F29" s="6" t="s">
        <v>669</v>
      </c>
    </row>
    <row r="30" customFormat="false" ht="34.5" hidden="false" customHeight="true" outlineLevel="0" collapsed="false">
      <c r="A30" s="7" t="s">
        <v>670</v>
      </c>
      <c r="B30" s="7" t="s">
        <v>537</v>
      </c>
      <c r="C30" s="7" t="s">
        <v>671</v>
      </c>
      <c r="D30" s="6" t="s">
        <v>672</v>
      </c>
      <c r="E30" s="6" t="s">
        <v>673</v>
      </c>
      <c r="F30" s="6" t="s">
        <v>674</v>
      </c>
    </row>
    <row r="31" customFormat="false" ht="23.25" hidden="false" customHeight="true" outlineLevel="0" collapsed="false">
      <c r="A31" s="7" t="s">
        <v>675</v>
      </c>
      <c r="B31" s="7" t="s">
        <v>592</v>
      </c>
      <c r="C31" s="7" t="s">
        <v>676</v>
      </c>
      <c r="D31" s="6" t="s">
        <v>677</v>
      </c>
      <c r="E31" s="6" t="s">
        <v>678</v>
      </c>
      <c r="F31" s="6" t="s">
        <v>679</v>
      </c>
    </row>
    <row r="32" customFormat="false" ht="23.25" hidden="false" customHeight="true" outlineLevel="0" collapsed="false">
      <c r="A32" s="7" t="s">
        <v>680</v>
      </c>
      <c r="B32" s="7" t="s">
        <v>592</v>
      </c>
      <c r="C32" s="7" t="s">
        <v>681</v>
      </c>
      <c r="D32" s="6" t="s">
        <v>682</v>
      </c>
      <c r="E32" s="6" t="s">
        <v>683</v>
      </c>
      <c r="F32" s="6" t="s">
        <v>585</v>
      </c>
    </row>
    <row r="33" customFormat="false" ht="34.5" hidden="false" customHeight="true" outlineLevel="0" collapsed="false">
      <c r="A33" s="7" t="s">
        <v>684</v>
      </c>
      <c r="B33" s="7" t="s">
        <v>605</v>
      </c>
      <c r="C33" s="7" t="s">
        <v>685</v>
      </c>
      <c r="D33" s="6" t="s">
        <v>686</v>
      </c>
      <c r="E33" s="6" t="s">
        <v>687</v>
      </c>
      <c r="F33" s="6" t="s">
        <v>688</v>
      </c>
    </row>
    <row r="34" customFormat="false" ht="15" hidden="false" customHeight="true" outlineLevel="0" collapsed="false">
      <c r="A34" s="7" t="s">
        <v>689</v>
      </c>
      <c r="B34" s="7" t="s">
        <v>634</v>
      </c>
      <c r="C34" s="7" t="s">
        <v>639</v>
      </c>
      <c r="D34" s="6" t="s">
        <v>690</v>
      </c>
      <c r="E34" s="6" t="s">
        <v>691</v>
      </c>
      <c r="F34" s="6" t="s">
        <v>585</v>
      </c>
    </row>
    <row r="35" customFormat="false" ht="34.5" hidden="false" customHeight="true" outlineLevel="0" collapsed="false">
      <c r="A35" s="7" t="s">
        <v>692</v>
      </c>
      <c r="B35" s="7" t="s">
        <v>693</v>
      </c>
      <c r="C35" s="7" t="s">
        <v>694</v>
      </c>
      <c r="D35" s="6" t="s">
        <v>695</v>
      </c>
      <c r="E35" s="6" t="s">
        <v>696</v>
      </c>
      <c r="F35" s="14" t="s">
        <v>697</v>
      </c>
    </row>
    <row r="36" customFormat="false" ht="23.25" hidden="false" customHeight="true" outlineLevel="0" collapsed="false">
      <c r="A36" s="7" t="s">
        <v>698</v>
      </c>
      <c r="B36" s="7" t="s">
        <v>693</v>
      </c>
      <c r="C36" s="7" t="s">
        <v>694</v>
      </c>
      <c r="D36" s="6" t="s">
        <v>699</v>
      </c>
      <c r="E36" s="6" t="s">
        <v>700</v>
      </c>
      <c r="F36" s="6" t="s">
        <v>585</v>
      </c>
    </row>
    <row r="37" customFormat="false" ht="23.25" hidden="false" customHeight="true" outlineLevel="0" collapsed="false">
      <c r="A37" s="7" t="s">
        <v>701</v>
      </c>
      <c r="B37" s="7" t="s">
        <v>693</v>
      </c>
      <c r="C37" s="7" t="s">
        <v>694</v>
      </c>
      <c r="D37" s="6" t="s">
        <v>702</v>
      </c>
      <c r="E37" s="6" t="s">
        <v>703</v>
      </c>
      <c r="F37" s="6" t="s">
        <v>585</v>
      </c>
    </row>
    <row r="39" customFormat="false" ht="15" hidden="false" customHeight="true" outlineLevel="0" collapsed="false">
      <c r="A39" s="12" t="s">
        <v>704</v>
      </c>
    </row>
    <row r="40" customFormat="false" ht="15" hidden="false" customHeight="true" outlineLevel="0" collapsed="false">
      <c r="A40" s="12" t="s">
        <v>135</v>
      </c>
      <c r="B40" s="12" t="s">
        <v>556</v>
      </c>
      <c r="C40" s="12" t="s">
        <v>705</v>
      </c>
      <c r="D40" s="12" t="s">
        <v>645</v>
      </c>
      <c r="E40" s="12" t="s">
        <v>559</v>
      </c>
      <c r="F40" s="12" t="s">
        <v>560</v>
      </c>
    </row>
    <row r="41" customFormat="false" ht="34.5" hidden="false" customHeight="true" outlineLevel="0" collapsed="false">
      <c r="A41" s="7" t="s">
        <v>706</v>
      </c>
      <c r="B41" s="7" t="s">
        <v>537</v>
      </c>
      <c r="C41" s="7" t="s">
        <v>562</v>
      </c>
      <c r="D41" s="6" t="s">
        <v>707</v>
      </c>
      <c r="E41" s="6" t="s">
        <v>708</v>
      </c>
      <c r="F41" s="6" t="s">
        <v>709</v>
      </c>
    </row>
    <row r="42" customFormat="false" ht="45.75" hidden="false" customHeight="true" outlineLevel="0" collapsed="false">
      <c r="A42" s="7" t="s">
        <v>710</v>
      </c>
      <c r="B42" s="7" t="s">
        <v>537</v>
      </c>
      <c r="C42" s="7" t="s">
        <v>711</v>
      </c>
      <c r="D42" s="6" t="s">
        <v>712</v>
      </c>
      <c r="E42" s="6" t="s">
        <v>713</v>
      </c>
      <c r="F42" s="6" t="s">
        <v>714</v>
      </c>
    </row>
    <row r="43" customFormat="false" ht="23.25" hidden="false" customHeight="true" outlineLevel="0" collapsed="false">
      <c r="A43" s="7" t="s">
        <v>715</v>
      </c>
      <c r="B43" s="7" t="s">
        <v>537</v>
      </c>
      <c r="C43" s="7" t="s">
        <v>716</v>
      </c>
      <c r="D43" s="6" t="s">
        <v>717</v>
      </c>
      <c r="E43" s="6" t="s">
        <v>718</v>
      </c>
      <c r="F43" s="6" t="s">
        <v>585</v>
      </c>
    </row>
    <row r="44" customFormat="false" ht="34.5" hidden="false" customHeight="true" outlineLevel="0" collapsed="false">
      <c r="A44" s="7" t="s">
        <v>719</v>
      </c>
      <c r="B44" s="7" t="s">
        <v>537</v>
      </c>
      <c r="C44" s="7" t="s">
        <v>720</v>
      </c>
      <c r="D44" s="6" t="s">
        <v>721</v>
      </c>
      <c r="E44" s="6" t="s">
        <v>722</v>
      </c>
      <c r="F44" s="6" t="s">
        <v>723</v>
      </c>
    </row>
    <row r="45" customFormat="false" ht="23.25" hidden="false" customHeight="true" outlineLevel="0" collapsed="false">
      <c r="A45" s="7" t="s">
        <v>724</v>
      </c>
      <c r="B45" s="7" t="s">
        <v>592</v>
      </c>
      <c r="C45" s="7" t="s">
        <v>635</v>
      </c>
      <c r="D45" s="6" t="s">
        <v>725</v>
      </c>
      <c r="E45" s="6" t="s">
        <v>726</v>
      </c>
      <c r="F45" s="6" t="s">
        <v>727</v>
      </c>
    </row>
    <row r="46" customFormat="false" ht="23.25" hidden="false" customHeight="true" outlineLevel="0" collapsed="false">
      <c r="A46" s="7" t="s">
        <v>728</v>
      </c>
      <c r="B46" s="7" t="s">
        <v>605</v>
      </c>
      <c r="C46" s="7" t="s">
        <v>729</v>
      </c>
      <c r="D46" s="6" t="s">
        <v>730</v>
      </c>
      <c r="E46" s="6" t="s">
        <v>731</v>
      </c>
      <c r="F46" s="6" t="s">
        <v>732</v>
      </c>
    </row>
    <row r="47" customFormat="false" ht="34.5" hidden="false" customHeight="true" outlineLevel="0" collapsed="false">
      <c r="A47" s="7" t="s">
        <v>733</v>
      </c>
      <c r="B47" s="7" t="s">
        <v>605</v>
      </c>
      <c r="C47" s="7" t="s">
        <v>601</v>
      </c>
      <c r="D47" s="6" t="s">
        <v>734</v>
      </c>
      <c r="E47" s="6" t="s">
        <v>735</v>
      </c>
      <c r="F47" s="6" t="s">
        <v>585</v>
      </c>
    </row>
    <row r="48" customFormat="false" ht="23.25" hidden="false" customHeight="true" outlineLevel="0" collapsed="false">
      <c r="A48" s="7" t="s">
        <v>736</v>
      </c>
      <c r="B48" s="7" t="s">
        <v>592</v>
      </c>
      <c r="C48" s="7" t="s">
        <v>737</v>
      </c>
      <c r="D48" s="6" t="s">
        <v>738</v>
      </c>
      <c r="E48" s="6" t="s">
        <v>739</v>
      </c>
      <c r="F48" s="6" t="s">
        <v>740</v>
      </c>
    </row>
    <row r="49" customFormat="false" ht="23.25" hidden="false" customHeight="true" outlineLevel="0" collapsed="false">
      <c r="A49" s="7" t="s">
        <v>741</v>
      </c>
      <c r="B49" s="7" t="s">
        <v>605</v>
      </c>
      <c r="C49" s="7" t="s">
        <v>685</v>
      </c>
      <c r="D49" s="6" t="s">
        <v>742</v>
      </c>
      <c r="E49" s="6" t="s">
        <v>743</v>
      </c>
      <c r="F49" s="6" t="s">
        <v>585</v>
      </c>
    </row>
    <row r="50" customFormat="false" ht="45.75" hidden="false" customHeight="true" outlineLevel="0" collapsed="false">
      <c r="A50" s="7" t="s">
        <v>744</v>
      </c>
      <c r="B50" s="7" t="s">
        <v>693</v>
      </c>
      <c r="C50" s="7" t="s">
        <v>694</v>
      </c>
      <c r="D50" s="6" t="s">
        <v>745</v>
      </c>
      <c r="E50" s="6" t="s">
        <v>746</v>
      </c>
      <c r="F50" s="14" t="s">
        <v>747</v>
      </c>
    </row>
    <row r="52" customFormat="false" ht="15" hidden="false" customHeight="true" outlineLevel="0" collapsed="false">
      <c r="A52" s="12" t="s">
        <v>748</v>
      </c>
    </row>
    <row r="53" customFormat="false" ht="15" hidden="false" customHeight="true" outlineLevel="0" collapsed="false">
      <c r="A53" s="12" t="s">
        <v>135</v>
      </c>
      <c r="B53" s="12" t="s">
        <v>556</v>
      </c>
      <c r="C53" s="12" t="s">
        <v>749</v>
      </c>
      <c r="D53" s="12" t="s">
        <v>645</v>
      </c>
      <c r="E53" s="12" t="s">
        <v>559</v>
      </c>
      <c r="F53" s="12" t="s">
        <v>560</v>
      </c>
    </row>
    <row r="54" customFormat="false" ht="45.75" hidden="false" customHeight="true" outlineLevel="0" collapsed="false">
      <c r="A54" s="7" t="s">
        <v>750</v>
      </c>
      <c r="B54" s="7" t="s">
        <v>537</v>
      </c>
      <c r="C54" s="7" t="s">
        <v>751</v>
      </c>
      <c r="D54" s="6" t="s">
        <v>752</v>
      </c>
      <c r="E54" s="6" t="s">
        <v>753</v>
      </c>
      <c r="F54" s="6" t="s">
        <v>585</v>
      </c>
    </row>
    <row r="55" customFormat="false" ht="23.25" hidden="false" customHeight="true" outlineLevel="0" collapsed="false">
      <c r="A55" s="7" t="s">
        <v>754</v>
      </c>
      <c r="B55" s="7" t="s">
        <v>592</v>
      </c>
      <c r="C55" s="7" t="s">
        <v>601</v>
      </c>
      <c r="D55" s="6" t="s">
        <v>755</v>
      </c>
      <c r="E55" s="6" t="s">
        <v>756</v>
      </c>
      <c r="F55" s="6" t="s">
        <v>757</v>
      </c>
    </row>
    <row r="56" customFormat="false" ht="23.25" hidden="false" customHeight="true" outlineLevel="0" collapsed="false">
      <c r="A56" s="7" t="s">
        <v>758</v>
      </c>
      <c r="B56" s="7" t="s">
        <v>592</v>
      </c>
      <c r="C56" s="7" t="s">
        <v>759</v>
      </c>
      <c r="D56" s="6" t="s">
        <v>760</v>
      </c>
      <c r="E56" s="6" t="s">
        <v>761</v>
      </c>
      <c r="F56" s="6" t="s">
        <v>762</v>
      </c>
    </row>
    <row r="57" customFormat="false" ht="57" hidden="false" customHeight="true" outlineLevel="0" collapsed="false">
      <c r="A57" s="7" t="s">
        <v>763</v>
      </c>
      <c r="B57" s="7" t="s">
        <v>605</v>
      </c>
      <c r="C57" s="7" t="s">
        <v>764</v>
      </c>
      <c r="D57" s="6" t="s">
        <v>765</v>
      </c>
      <c r="E57" s="6" t="s">
        <v>766</v>
      </c>
      <c r="F57" s="6" t="s">
        <v>767</v>
      </c>
    </row>
    <row r="58" customFormat="false" ht="23.25" hidden="false" customHeight="true" outlineLevel="0" collapsed="false">
      <c r="A58" s="7" t="s">
        <v>768</v>
      </c>
      <c r="B58" s="7" t="s">
        <v>605</v>
      </c>
      <c r="C58" s="7" t="s">
        <v>769</v>
      </c>
      <c r="D58" s="6" t="s">
        <v>770</v>
      </c>
      <c r="E58" s="6" t="s">
        <v>771</v>
      </c>
      <c r="F58" s="6" t="s">
        <v>585</v>
      </c>
    </row>
    <row r="59" customFormat="false" ht="23.25" hidden="false" customHeight="true" outlineLevel="0" collapsed="false">
      <c r="A59" s="7" t="s">
        <v>345</v>
      </c>
      <c r="B59" s="7" t="s">
        <v>772</v>
      </c>
      <c r="C59" s="7" t="s">
        <v>773</v>
      </c>
      <c r="D59" s="6" t="s">
        <v>774</v>
      </c>
      <c r="E59" s="6" t="s">
        <v>775</v>
      </c>
      <c r="F59" s="6" t="s">
        <v>776</v>
      </c>
    </row>
    <row r="60" customFormat="false" ht="34.5" hidden="false" customHeight="true" outlineLevel="0" collapsed="false">
      <c r="A60" s="7" t="s">
        <v>777</v>
      </c>
      <c r="B60" s="7" t="s">
        <v>693</v>
      </c>
      <c r="C60" s="7" t="s">
        <v>694</v>
      </c>
      <c r="D60" s="6" t="s">
        <v>778</v>
      </c>
      <c r="E60" s="6" t="s">
        <v>779</v>
      </c>
      <c r="F60" s="14" t="s">
        <v>780</v>
      </c>
    </row>
    <row r="62" customFormat="false" ht="15" hidden="false" customHeight="true" outlineLevel="0" collapsed="false">
      <c r="A62" s="12" t="s">
        <v>781</v>
      </c>
    </row>
    <row r="63" customFormat="false" ht="15" hidden="false" customHeight="true" outlineLevel="0" collapsed="false">
      <c r="A63" s="12" t="s">
        <v>135</v>
      </c>
      <c r="B63" s="12" t="s">
        <v>782</v>
      </c>
      <c r="C63" s="12" t="s">
        <v>783</v>
      </c>
      <c r="D63" s="12" t="s">
        <v>784</v>
      </c>
      <c r="E63" s="12" t="s">
        <v>785</v>
      </c>
      <c r="F63" s="12" t="s">
        <v>560</v>
      </c>
    </row>
    <row r="64" customFormat="false" ht="34.5" hidden="false" customHeight="true" outlineLevel="0" collapsed="false">
      <c r="A64" s="7" t="s">
        <v>786</v>
      </c>
      <c r="B64" s="7" t="s">
        <v>787</v>
      </c>
      <c r="C64" s="7" t="s">
        <v>788</v>
      </c>
      <c r="D64" s="6" t="s">
        <v>789</v>
      </c>
      <c r="E64" s="6" t="s">
        <v>790</v>
      </c>
      <c r="F64" s="14" t="s">
        <v>791</v>
      </c>
    </row>
    <row r="65" customFormat="false" ht="34.5" hidden="false" customHeight="true" outlineLevel="0" collapsed="false">
      <c r="A65" s="7" t="s">
        <v>792</v>
      </c>
      <c r="B65" s="7" t="s">
        <v>787</v>
      </c>
      <c r="C65" s="7" t="s">
        <v>793</v>
      </c>
      <c r="D65" s="6" t="s">
        <v>794</v>
      </c>
      <c r="E65" s="6" t="s">
        <v>795</v>
      </c>
      <c r="F65" s="14" t="s">
        <v>796</v>
      </c>
    </row>
    <row r="66" customFormat="false" ht="34.5" hidden="false" customHeight="true" outlineLevel="0" collapsed="false">
      <c r="A66" s="7" t="s">
        <v>797</v>
      </c>
      <c r="B66" s="7" t="s">
        <v>592</v>
      </c>
      <c r="C66" s="7" t="s">
        <v>635</v>
      </c>
      <c r="D66" s="6" t="s">
        <v>798</v>
      </c>
      <c r="E66" s="6" t="s">
        <v>799</v>
      </c>
      <c r="F66" s="6" t="s">
        <v>585</v>
      </c>
    </row>
    <row r="67" customFormat="false" ht="34.5" hidden="false" customHeight="true" outlineLevel="0" collapsed="false">
      <c r="A67" s="7" t="s">
        <v>800</v>
      </c>
      <c r="B67" s="7" t="s">
        <v>605</v>
      </c>
      <c r="C67" s="7" t="s">
        <v>729</v>
      </c>
      <c r="D67" s="6" t="s">
        <v>801</v>
      </c>
      <c r="E67" s="6" t="s">
        <v>802</v>
      </c>
      <c r="F67" s="6" t="s">
        <v>585</v>
      </c>
    </row>
    <row r="68" customFormat="false" ht="23.25" hidden="false" customHeight="true" outlineLevel="0" collapsed="false">
      <c r="A68" s="7" t="s">
        <v>803</v>
      </c>
      <c r="B68" s="7" t="s">
        <v>605</v>
      </c>
      <c r="C68" s="7" t="s">
        <v>610</v>
      </c>
      <c r="D68" s="6" t="s">
        <v>804</v>
      </c>
      <c r="E68" s="6" t="s">
        <v>805</v>
      </c>
      <c r="F68" s="6" t="s">
        <v>585</v>
      </c>
    </row>
    <row r="69" customFormat="false" ht="34.5" hidden="false" customHeight="true" outlineLevel="0" collapsed="false">
      <c r="A69" s="7" t="s">
        <v>806</v>
      </c>
      <c r="B69" s="7" t="s">
        <v>605</v>
      </c>
      <c r="C69" s="7" t="s">
        <v>807</v>
      </c>
      <c r="D69" s="6" t="s">
        <v>808</v>
      </c>
      <c r="E69" s="6" t="s">
        <v>809</v>
      </c>
      <c r="F69" s="6" t="s">
        <v>585</v>
      </c>
    </row>
    <row r="70" customFormat="false" ht="23.25" hidden="false" customHeight="true" outlineLevel="0" collapsed="false">
      <c r="A70" s="7" t="s">
        <v>810</v>
      </c>
      <c r="B70" s="7" t="s">
        <v>811</v>
      </c>
      <c r="C70" s="7" t="s">
        <v>635</v>
      </c>
      <c r="D70" s="6" t="s">
        <v>812</v>
      </c>
      <c r="E70" s="6" t="s">
        <v>813</v>
      </c>
      <c r="F70" s="14" t="s">
        <v>814</v>
      </c>
    </row>
    <row r="72" customFormat="false" ht="15" hidden="false" customHeight="true" outlineLevel="0" collapsed="false">
      <c r="A72" s="12" t="s">
        <v>815</v>
      </c>
    </row>
    <row r="73" customFormat="false" ht="15" hidden="false" customHeight="true" outlineLevel="0" collapsed="false">
      <c r="A73" s="12" t="s">
        <v>135</v>
      </c>
      <c r="B73" s="12" t="s">
        <v>556</v>
      </c>
      <c r="C73" s="12" t="s">
        <v>557</v>
      </c>
      <c r="D73" s="12" t="s">
        <v>645</v>
      </c>
      <c r="E73" s="12" t="s">
        <v>559</v>
      </c>
      <c r="F73" s="12" t="s">
        <v>560</v>
      </c>
    </row>
    <row r="74" customFormat="false" ht="45.75" hidden="false" customHeight="true" outlineLevel="0" collapsed="false">
      <c r="A74" s="7" t="s">
        <v>816</v>
      </c>
      <c r="B74" s="7" t="s">
        <v>817</v>
      </c>
      <c r="C74" s="7" t="s">
        <v>737</v>
      </c>
      <c r="D74" s="6" t="s">
        <v>818</v>
      </c>
      <c r="E74" s="6" t="s">
        <v>819</v>
      </c>
      <c r="F74" s="6" t="s">
        <v>820</v>
      </c>
    </row>
    <row r="75" customFormat="false" ht="23.25" hidden="false" customHeight="true" outlineLevel="0" collapsed="false">
      <c r="A75" s="7" t="s">
        <v>821</v>
      </c>
      <c r="B75" s="7" t="s">
        <v>592</v>
      </c>
      <c r="C75" s="7" t="s">
        <v>822</v>
      </c>
      <c r="D75" s="6" t="s">
        <v>823</v>
      </c>
      <c r="E75" s="6" t="s">
        <v>824</v>
      </c>
      <c r="F75" s="6" t="s">
        <v>585</v>
      </c>
    </row>
    <row r="76" customFormat="false" ht="34.5" hidden="false" customHeight="true" outlineLevel="0" collapsed="false">
      <c r="A76" s="7" t="s">
        <v>825</v>
      </c>
      <c r="B76" s="7" t="s">
        <v>592</v>
      </c>
      <c r="C76" s="7" t="s">
        <v>826</v>
      </c>
      <c r="D76" s="6" t="s">
        <v>827</v>
      </c>
      <c r="E76" s="6" t="s">
        <v>828</v>
      </c>
      <c r="F76" s="6" t="s">
        <v>829</v>
      </c>
    </row>
    <row r="77" customFormat="false" ht="34.5" hidden="false" customHeight="true" outlineLevel="0" collapsed="false">
      <c r="A77" s="7" t="s">
        <v>830</v>
      </c>
      <c r="B77" s="7" t="s">
        <v>605</v>
      </c>
      <c r="C77" s="7" t="s">
        <v>635</v>
      </c>
      <c r="D77" s="6" t="s">
        <v>831</v>
      </c>
      <c r="E77" s="6" t="s">
        <v>832</v>
      </c>
      <c r="F77" s="6" t="s">
        <v>833</v>
      </c>
    </row>
    <row r="78" customFormat="false" ht="45.75" hidden="false" customHeight="true" outlineLevel="0" collapsed="false">
      <c r="A78" s="7" t="s">
        <v>834</v>
      </c>
      <c r="B78" s="7" t="s">
        <v>693</v>
      </c>
      <c r="C78" s="7" t="s">
        <v>694</v>
      </c>
      <c r="D78" s="6" t="s">
        <v>835</v>
      </c>
      <c r="E78" s="6" t="s">
        <v>836</v>
      </c>
      <c r="F78" s="14" t="s">
        <v>837</v>
      </c>
    </row>
    <row r="80" customFormat="false" ht="15" hidden="false" customHeight="true" outlineLevel="0" collapsed="false">
      <c r="A80" s="12" t="s">
        <v>838</v>
      </c>
    </row>
    <row r="81" customFormat="false" ht="15" hidden="false" customHeight="true" outlineLevel="0" collapsed="false">
      <c r="A81" s="12" t="s">
        <v>135</v>
      </c>
      <c r="B81" s="12" t="s">
        <v>556</v>
      </c>
      <c r="C81" s="12" t="s">
        <v>644</v>
      </c>
      <c r="D81" s="12" t="s">
        <v>645</v>
      </c>
      <c r="E81" s="12" t="s">
        <v>559</v>
      </c>
      <c r="F81" s="12" t="s">
        <v>560</v>
      </c>
    </row>
    <row r="82" customFormat="false" ht="68.25" hidden="false" customHeight="true" outlineLevel="0" collapsed="false">
      <c r="A82" s="7" t="s">
        <v>839</v>
      </c>
      <c r="B82" s="7" t="s">
        <v>817</v>
      </c>
      <c r="C82" s="7" t="s">
        <v>840</v>
      </c>
      <c r="D82" s="6" t="s">
        <v>841</v>
      </c>
      <c r="E82" s="6" t="s">
        <v>842</v>
      </c>
      <c r="F82" s="6" t="s">
        <v>843</v>
      </c>
    </row>
    <row r="83" customFormat="false" ht="34.5" hidden="false" customHeight="true" outlineLevel="0" collapsed="false">
      <c r="A83" s="7" t="s">
        <v>844</v>
      </c>
      <c r="B83" s="7" t="s">
        <v>605</v>
      </c>
      <c r="C83" s="7" t="s">
        <v>615</v>
      </c>
      <c r="D83" s="6" t="s">
        <v>845</v>
      </c>
      <c r="E83" s="6" t="s">
        <v>846</v>
      </c>
      <c r="F83" s="6" t="s">
        <v>585</v>
      </c>
    </row>
    <row r="84" customFormat="false" ht="45.75" hidden="false" customHeight="true" outlineLevel="0" collapsed="false">
      <c r="A84" s="7" t="s">
        <v>847</v>
      </c>
      <c r="B84" s="7" t="s">
        <v>817</v>
      </c>
      <c r="C84" s="7" t="s">
        <v>848</v>
      </c>
      <c r="D84" s="6" t="s">
        <v>849</v>
      </c>
      <c r="E84" s="6" t="s">
        <v>850</v>
      </c>
      <c r="F84" s="6" t="s">
        <v>851</v>
      </c>
    </row>
    <row r="85" customFormat="false" ht="23.25" hidden="false" customHeight="true" outlineLevel="0" collapsed="false">
      <c r="A85" s="7" t="s">
        <v>852</v>
      </c>
      <c r="B85" s="7" t="s">
        <v>592</v>
      </c>
      <c r="C85" s="7" t="s">
        <v>853</v>
      </c>
      <c r="D85" s="6" t="s">
        <v>854</v>
      </c>
      <c r="E85" s="6" t="s">
        <v>855</v>
      </c>
      <c r="F85" s="6" t="s">
        <v>585</v>
      </c>
    </row>
    <row r="86" customFormat="false" ht="57" hidden="false" customHeight="true" outlineLevel="0" collapsed="false">
      <c r="A86" s="7" t="s">
        <v>856</v>
      </c>
      <c r="B86" s="7" t="s">
        <v>693</v>
      </c>
      <c r="C86" s="7" t="s">
        <v>694</v>
      </c>
      <c r="D86" s="6" t="s">
        <v>857</v>
      </c>
      <c r="E86" s="6" t="s">
        <v>858</v>
      </c>
      <c r="F86" s="14" t="s">
        <v>859</v>
      </c>
    </row>
    <row r="88" customFormat="false" ht="15" hidden="false" customHeight="true" outlineLevel="0" collapsed="false">
      <c r="A88" s="12" t="s">
        <v>860</v>
      </c>
    </row>
    <row r="89" customFormat="false" ht="15" hidden="false" customHeight="true" outlineLevel="0" collapsed="false">
      <c r="A89" s="12" t="s">
        <v>135</v>
      </c>
      <c r="B89" s="12" t="s">
        <v>782</v>
      </c>
      <c r="C89" s="12" t="s">
        <v>783</v>
      </c>
      <c r="D89" s="12" t="s">
        <v>784</v>
      </c>
      <c r="E89" s="12" t="s">
        <v>785</v>
      </c>
      <c r="F89" s="12" t="s">
        <v>560</v>
      </c>
    </row>
    <row r="90" customFormat="false" ht="68.25" hidden="false" customHeight="true" outlineLevel="0" collapsed="false">
      <c r="A90" s="7" t="s">
        <v>861</v>
      </c>
      <c r="B90" s="7" t="s">
        <v>787</v>
      </c>
      <c r="C90" s="7" t="s">
        <v>862</v>
      </c>
      <c r="D90" s="6" t="s">
        <v>863</v>
      </c>
      <c r="E90" s="6" t="s">
        <v>864</v>
      </c>
      <c r="F90" s="14" t="s">
        <v>865</v>
      </c>
    </row>
    <row r="91" customFormat="false" ht="23.25" hidden="false" customHeight="true" outlineLevel="0" collapsed="false">
      <c r="A91" s="7" t="s">
        <v>866</v>
      </c>
      <c r="B91" s="7" t="s">
        <v>867</v>
      </c>
      <c r="C91" s="7" t="s">
        <v>862</v>
      </c>
      <c r="D91" s="6" t="s">
        <v>868</v>
      </c>
      <c r="E91" s="6" t="s">
        <v>869</v>
      </c>
      <c r="F91" s="6" t="s">
        <v>585</v>
      </c>
    </row>
    <row r="92" customFormat="false" ht="45.75" hidden="false" customHeight="true" outlineLevel="0" collapsed="false">
      <c r="A92" s="7" t="s">
        <v>870</v>
      </c>
      <c r="B92" s="7" t="s">
        <v>592</v>
      </c>
      <c r="C92" s="7" t="s">
        <v>615</v>
      </c>
      <c r="D92" s="6" t="s">
        <v>871</v>
      </c>
      <c r="E92" s="6" t="s">
        <v>872</v>
      </c>
      <c r="F92" s="6" t="s">
        <v>873</v>
      </c>
    </row>
    <row r="94" customFormat="false" ht="15" hidden="false" customHeight="true" outlineLevel="0" collapsed="false">
      <c r="A94" s="12" t="s">
        <v>874</v>
      </c>
    </row>
    <row r="95" customFormat="false" ht="15" hidden="false" customHeight="true" outlineLevel="0" collapsed="false">
      <c r="A95" s="12" t="s">
        <v>135</v>
      </c>
      <c r="B95" s="12" t="s">
        <v>782</v>
      </c>
      <c r="C95" s="12" t="s">
        <v>875</v>
      </c>
      <c r="D95" s="12" t="s">
        <v>876</v>
      </c>
      <c r="E95" s="12" t="s">
        <v>785</v>
      </c>
      <c r="F95" s="12" t="s">
        <v>560</v>
      </c>
    </row>
    <row r="96" customFormat="false" ht="45.75" hidden="false" customHeight="true" outlineLevel="0" collapsed="false">
      <c r="A96" s="7" t="s">
        <v>877</v>
      </c>
      <c r="B96" s="7" t="s">
        <v>787</v>
      </c>
      <c r="C96" s="7" t="s">
        <v>878</v>
      </c>
      <c r="D96" s="6" t="s">
        <v>879</v>
      </c>
      <c r="E96" s="6" t="s">
        <v>880</v>
      </c>
      <c r="F96" s="14" t="s">
        <v>881</v>
      </c>
    </row>
    <row r="97" customFormat="false" ht="68.25" hidden="false" customHeight="true" outlineLevel="0" collapsed="false">
      <c r="A97" s="7" t="s">
        <v>882</v>
      </c>
      <c r="B97" s="7" t="s">
        <v>883</v>
      </c>
      <c r="C97" s="7" t="s">
        <v>884</v>
      </c>
      <c r="D97" s="6" t="s">
        <v>885</v>
      </c>
      <c r="E97" s="6" t="s">
        <v>886</v>
      </c>
      <c r="F97" s="14" t="s">
        <v>887</v>
      </c>
    </row>
    <row r="98" customFormat="false" ht="34.5" hidden="false" customHeight="true" outlineLevel="0" collapsed="false">
      <c r="A98" s="7" t="s">
        <v>888</v>
      </c>
      <c r="B98" s="7" t="s">
        <v>889</v>
      </c>
      <c r="C98" s="7" t="s">
        <v>890</v>
      </c>
      <c r="D98" s="6" t="s">
        <v>891</v>
      </c>
      <c r="E98" s="6" t="s">
        <v>892</v>
      </c>
      <c r="F98" s="14" t="s">
        <v>893</v>
      </c>
    </row>
    <row r="100" customFormat="false" ht="15" hidden="false" customHeight="false" outlineLevel="0" collapsed="false">
      <c r="A100" s="15" t="s">
        <v>894</v>
      </c>
    </row>
    <row r="101" customFormat="false" ht="15" hidden="false" customHeight="false" outlineLevel="0" collapsed="false">
      <c r="A101" s="15" t="s">
        <v>135</v>
      </c>
      <c r="B101" s="15" t="s">
        <v>782</v>
      </c>
      <c r="C101" s="15" t="s">
        <v>875</v>
      </c>
      <c r="D101" s="15" t="s">
        <v>876</v>
      </c>
      <c r="E101" s="15" t="s">
        <v>785</v>
      </c>
      <c r="F101" s="15" t="s">
        <v>895</v>
      </c>
    </row>
    <row r="102" customFormat="false" ht="57.45" hidden="false" customHeight="false" outlineLevel="0" collapsed="false">
      <c r="A102" s="8" t="s">
        <v>896</v>
      </c>
      <c r="B102" s="8" t="s">
        <v>787</v>
      </c>
      <c r="C102" s="8" t="s">
        <v>897</v>
      </c>
      <c r="D102" s="6" t="s">
        <v>898</v>
      </c>
      <c r="E102" s="6" t="s">
        <v>899</v>
      </c>
      <c r="F102" s="6" t="s">
        <v>900</v>
      </c>
    </row>
    <row r="103" customFormat="false" ht="57.45" hidden="false" customHeight="false" outlineLevel="0" collapsed="false">
      <c r="A103" s="8" t="s">
        <v>901</v>
      </c>
      <c r="B103" s="8" t="s">
        <v>883</v>
      </c>
      <c r="C103" s="8" t="s">
        <v>902</v>
      </c>
      <c r="D103" s="6" t="s">
        <v>903</v>
      </c>
      <c r="E103" s="6" t="s">
        <v>886</v>
      </c>
      <c r="F103" s="6" t="s">
        <v>904</v>
      </c>
    </row>
    <row r="104" customFormat="false" ht="35.05" hidden="false" customHeight="false" outlineLevel="0" collapsed="false">
      <c r="A104" s="8" t="s">
        <v>905</v>
      </c>
      <c r="B104" s="8" t="s">
        <v>787</v>
      </c>
      <c r="C104" s="8" t="s">
        <v>906</v>
      </c>
      <c r="D104" s="6" t="s">
        <v>907</v>
      </c>
      <c r="E104" s="6" t="s">
        <v>886</v>
      </c>
      <c r="F104" s="6" t="s">
        <v>908</v>
      </c>
    </row>
    <row r="105" customFormat="false" ht="23.85" hidden="false" customHeight="false" outlineLevel="0" collapsed="false">
      <c r="A105" s="8" t="s">
        <v>909</v>
      </c>
      <c r="B105" s="8" t="s">
        <v>889</v>
      </c>
      <c r="C105" s="8" t="s">
        <v>890</v>
      </c>
      <c r="D105" s="6" t="s">
        <v>910</v>
      </c>
      <c r="E105" s="6" t="s">
        <v>911</v>
      </c>
      <c r="F105" s="6" t="s">
        <v>912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2026-09-05T18:52:31Z</dcterms:created>
  <dc:creator>openpyxl</dc:creator>
  <dc:description/>
  <dc:language>en-US</dc:language>
  <cp:lastModifiedBy/>
  <dcterms:modified xsi:type="dcterms:W3CDTF">2026-09-13T10:25:53Z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