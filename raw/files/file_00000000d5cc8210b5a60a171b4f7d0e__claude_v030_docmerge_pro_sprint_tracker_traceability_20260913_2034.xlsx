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S1_Build_Board" sheetId="4" state="visible" r:id="rId6"/>
    <sheet name="S2_Build_Board" sheetId="5" state="visible" r:id="rId7"/>
    <sheet name="S3_Build_Board" sheetId="6" state="visible" r:id="rId8"/>
    <sheet name="S4_Build_Board" sheetId="7" state="visible" r:id="rId9"/>
    <sheet name="S5_Build_Board" sheetId="8" state="visible" r:id="rId10"/>
    <sheet name="S6_Build_Board" sheetId="9" state="visible" r:id="rId11"/>
    <sheet name="S7_Build_Board" sheetId="10" state="visible" r:id="rId12"/>
    <sheet name="S8_Build_Board" sheetId="11" state="visible" r:id="rId13"/>
    <sheet name="S9_Build_Board" sheetId="12" state="visible" r:id="rId14"/>
    <sheet name="S10_Build_Board" sheetId="13" state="visible" r:id="rId15"/>
    <sheet name="S11_S12_Build_Board" sheetId="14" state="visible" r:id="rId16"/>
    <sheet name="Blocker_Prep_Board" sheetId="15" state="visible" r:id="rId17"/>
    <sheet name="Traceability_Matrix" sheetId="16" state="visible" r:id="rId18"/>
    <sheet name="Sprint_Status_Rollup" sheetId="17" state="visible" r:id="rId19"/>
    <sheet name="RAID_Carryover" sheetId="18" state="visible" r:id="rId20"/>
    <sheet name="Gate_Checklist" sheetId="19" state="visible" r:id="rId21"/>
    <sheet name="Review_Findings"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<sst xmlns="http://schemas.openxmlformats.org/spreadsheetml/2006/main" count="2980" uniqueCount="1559">
  <si>
    <t xml:space="preserve">VERSION CONTROL — DocMerge Pro Sprint Tracker &amp; Traceability</t>
  </si>
  <si>
    <t xml:space="preserve">File naming: claude_v&lt;NNN&gt;_&lt;proper file name&gt;_YYYYMMDD_HHMI.xlsx. Companion: product workbook (v007 baseline -&gt; v012 current) = backlog source of truth. STATUS MAPPING: product-workbook Full_Backlog "Done" = tracker "Done-in-code" until live-install evidence exists (D7/R2 pattern: code complete counts for nothing at the gate).</t>
  </si>
  <si>
    <t xml:space="preserve">Version</t>
  </si>
  <si>
    <t xml:space="preserve">Date/Time</t>
  </si>
  <si>
    <t xml:space="preserve">Author</t>
  </si>
  <si>
    <t xml:space="preserve">Change Description</t>
  </si>
  <si>
    <t xml:space="preserve">Status</t>
  </si>
  <si>
    <t xml:space="preserve">v001</t>
  </si>
  <si>
    <t xml:space="preserve">2026-09-10 23:03</t>
  </si>
  <si>
    <t xml:space="preserve">Claude for Senthil/KP</t>
  </si>
  <si>
    <t xml:space="preserve">THIS FILE — Live execution tracker for DocMerge Pro (wave-3, Google Workspace Marketplace), opened on Senthil's 23:03 instruction to mirror the TeleField v001 tracker pattern. Consolidates the full S1-S5 build history executed 10 Sep 2026 22:17-23:03 across product-workbook versions v008 (S1), v009 (S2), v010 (S3), v011 (S4), v012 (S5): 42/100 stories (173/399 pts) Done-in-code in TypeScript at 100% statements/branches/functions/lines under D13, 18 test suites / 217 tests / zero coverage pragmas, E2E smoke suite gating deploy in CI. Full E-log (E001-E014), per-sprint build boards S1-S5, 100-story traceability with evidence, formula rollup, RAID, completion gate.</t>
  </si>
  <si>
    <t xml:space="preserve">Released</t>
  </si>
  <si>
    <t xml:space="preserve">v002</t>
  </si>
  <si>
    <t xml:space="preserve">2026-09-11 08:20</t>
  </si>
  <si>
    <t xml:space="preserve">S6 logged (product workbook -&gt; v013 08:20): Auto-file to Drive ST-031..040 + Billing ST-057..059, all Done-in-code at 100% coverage (suite 21 files / 264 tests / 22 modules). E015-E017 appended; S6_Build_Board added; traceability 13 rows promoted to Done-in-code with evidence; rollup now 55/100 stories, 233/399 pts (58.4% of points). CASA scheduling (R-D1/LC-3) now DUE — S6 was the trigger sprint.</t>
  </si>
  <si>
    <t xml:space="preserve">v003</t>
  </si>
  <si>
    <t xml:space="preserve">2026-09-13 09:55</t>
  </si>
  <si>
    <t xml:space="preserve">S7 logged (product workbook -&gt; v014, 13 Sep 09:55): ST-060..064 all Done-in-code at 100% coverage (suite 23 files / 305 tests / 24 modules). E018-E021 appended incl. a CORRECTION entry (ST-060 read-only supersedes ST-059 downgrade-to-free) and closure of the S6 GST/tax flag by ST-062. S7_Build_Board added; 5 traceability rows promoted; rollup 60/100 stories, 248/399 pts (62.2%). ST-064 produced SCOPE_NARRATIVE.md — first hard evidence artefact for LC-2/LC-3.</t>
  </si>
  <si>
    <t xml:space="preserve">v004</t>
  </si>
  <si>
    <t xml:space="preserve">2026-09-13 10:22</t>
  </si>
  <si>
    <t xml:space="preserve">S8 logged (product workbook -&gt; v015, 13 Sep 10:22) — largest sprint executed: ST-041..050, ST-065/066/067/070, ST-073..077, ST-087/088/092, all Done-in-code at 100% coverage (26 files / 385 tests / 28 modules). E022-E025 appended incl. three test-side defects found and fixed by the gate. S8_Build_Board added; 22 traceability rows promoted; rollup 82/100 stories, 335/399 pts (84.0%). Second evidence artefact published: DATA_FLOW_AND_RETENTION.md (LC-7).</t>
  </si>
  <si>
    <t xml:space="preserve">v005</t>
  </si>
  <si>
    <t xml:space="preserve">2026-09-13 10:35</t>
  </si>
  <si>
    <t xml:space="preserve">S9 logged (product workbook -&gt; v016, 13 Sep 10:35): 6 of 7 stories Done-in-code; ST-068 deliberately left IN PROGRESS — the evidence pack is built and published but a third-party pen test cannot be performed in code. E026-E029 appended. S9_Build_Board added; rollup 88/100 stories, 357/399 pts (89.5%). Two more evidence artefacts published: SECURITY_EVIDENCE_PACK.md and LISTING_PACK.md. Suite 28 files / 432 tests / 30 modules.</t>
  </si>
  <si>
    <t xml:space="preserve">v006</t>
  </si>
  <si>
    <t xml:space="preserve">2026-09-13 10:43</t>
  </si>
  <si>
    <t xml:space="preserve">S10 logged (product workbook -&gt; v017, 13 Sep 10:43): 6 of 7 Done-in-code; ST-083 In progress (sandbox built, demo video needs a running app). E030-E033 appended. S10_Build_Board added; rollup 94/100 stories, 376/399 pts (94.2%). SUBMISSION_DRY_RUN.md published — VERDICT: NOT READY, 10 of 20 checklist items satisfied, 10 blocking (8 Senthil, 2 third-party). Suite 30 files / 484 tests / 32 modules.</t>
  </si>
  <si>
    <t xml:space="preserve">v007</t>
  </si>
  <si>
    <t xml:space="preserve">2026-09-13 10:58</t>
  </si>
  <si>
    <t xml:space="preserve">S11 + S12 logged (product workbook -&gt; v018) — CODE BACKLOG COMPLETE. ST-082/098/099/100 Done-in-code. E034-E037 appended. S11_S12_Build_Board added; rollup 98/100 stories Done-in-code, 391/399 pts (98.0%). LAUNCH_RUNBOOK.md published with the real go/no-go verdict: NO-GO, 8 blocking checks, all Senthil or third-party. Final code evidence: 31 suites / 516 tests / 100% x4 / 33 modules. NO FURTHER CODE SPRINTS — the remaining 2 stories and every launch gate need people, money, or infrastructure, not more code.</t>
  </si>
  <si>
    <t xml:space="preserve">v008</t>
  </si>
  <si>
    <t xml:space="preserve">2026-09-13 11:05</t>
  </si>
  <si>
    <t xml:space="preserve">Blocker-preparation pass (product workbook -&gt; v019). No story statuses changed — the code backlog was complete at v018. Added src/deployment.ts (env spec + fail-closed readiness gate, 15 tests, suite now 531 at 100%) and three documents that make each external blocker a warm start: GCP_SETUP_GUIDE.md, PENTEST_SCOPING_BRIEF.md, CASA_PREFILL.md. E038-E039 appended; Blocker_Prep_Board added. FINDING: the privacy policy and status page must be HOSTED before the OAuth consent screen will accept authorised domains — this reorders the critical path.</t>
  </si>
  <si>
    <t xml:space="preserve">v009</t>
  </si>
  <si>
    <t xml:space="preserve">2026-09-13 11:10</t>
  </si>
  <si>
    <t xml:space="preserve">LC-9 closed (product workbook -&gt; v020): 20-template launch gallery built, validated, and rendered through the real engine; TEMPLATE_GALLERY.md published with 61 targeted search terms. E040-E041 appended; Gate_Checklist LC-9 moves to Done — the FIRST gate row to reach Done on evidence alone. Two defects caught in the build (22 templates written against a target of 20; two rules testing fields that never render). Suite 33 files / 567 tests / 100% x4 / 35 modules.</t>
  </si>
  <si>
    <t xml:space="preserve">v010</t>
  </si>
  <si>
    <t xml:space="preserve">2026-09-13 11:16</t>
  </si>
  <si>
    <t xml:space="preserve">S12 growth-model frame logged (product workbook -&gt; v021). GROWTH_MODEL.md published: unit economics, three scenarios, sensitivity ranking, and a measurement plan. S12 exit criterion remains IN PROGRESS — the frame exists but the estimates are assumptions until a cohort exists. E042-E043 appended. Suite 34 files / 589 tests / 100% x4 / 36 modules.</t>
  </si>
  <si>
    <t xml:space="preserve">v011</t>
  </si>
  <si>
    <t xml:space="preserve">PLANNED: live-evidence log only.</t>
  </si>
  <si>
    <t xml:space="preserve">Planned</t>
  </si>
  <si>
    <t xml:space="preserve">2026-09-13 11:21</t>
  </si>
  <si>
    <t xml:space="preserve">ST-068 vendor outreach pack written (PENTEST_OUTREACH.md): a ready-to-send email that quotes from the written brief rather than requiring a discovery call, vendor shortlist criteria, and a quote-comparison rubric. External-facing copy is company-agnostic per standing instruction. FINDING carried into the pack: LEAD TIME, not price, is the binding constraint — it sits on the critical path beside CASA and the two waits can run in parallel, so both should be booked in the same week. No code change; suite unchanged at 589 tests / 100%.</t>
  </si>
  <si>
    <t xml:space="preserve">v012</t>
  </si>
  <si>
    <t xml:space="preserve">PLANNED: live-evidence log only. All preparable work is complete; every remaining item needs Senthil or a third party.</t>
  </si>
  <si>
    <t xml:space="preserve">2026-09-13 11:24</t>
  </si>
  <si>
    <t xml:space="preserve">COLD REVIEW PASS 1 — DocMerge first adversarial review, run because portfolio memory shows every sibling found real defects after declaring code-complete (TeleField L-T1). NINE findings in code already at 100% coverage, five CRITICAL. FIXED with regressions: DM-F02 read-only mode enforced nowhere (published behaviour absent from the product), DM-F03 plan limits enforced nowhere (published limits decorative), DM-F04 OAuth install had no CSRF state, DM-F05 webhooks entirely unauthenticated (a forged POST could revoke tokens and schedule deletion for any account), DM-F06 no production backoff existed at all. OPEN: DM-F01 CRITICAL no HTTP app exists behind any route, DM-F07 caller-declared identity, DM-F08 eleven unbounded ledgers, DM-F09 deletion has no implementation behind it. New Review_Findings sheet. 35 suites / 616 tests at 100%. The previous "code phase complete" claim was premature.</t>
  </si>
  <si>
    <t xml:space="preserve">v013</t>
  </si>
  <si>
    <t xml:space="preserve">PLANNED: cold-review pass 2 — build the HTTP app (DM-F01), close DM-F07/F08/F09, then re-sweep.</t>
  </si>
  <si>
    <t xml:space="preserve">2026-09-13 11:31</t>
  </si>
  <si>
    <t xml:space="preserve">DM-F01 and DM-F07 CLOSED — the two critical findings left open by cold-review pass 1. A real HTTP application now exists: framework-free router, 7 routes wired to the existing services, src/server.ts with npm start, and a readiness check that refuses to listen on a misconfigured environment. Identity is no longer caller-declared: HMAC-signed sessions carry account and role, so editing a role in a token fails verification and a session for one account is refused against another. Every mutating route is authenticated AND passes the entitlement gate, so read-only mode and plan limits are enforced on the wire rather than in principle; reads stay open in read-only mode. Server BOOTED FOR REAL and exercised over HTTP (healthz 200, unsigned webhook 401, unauthenticated route 401, unknown route 404) — the siblings taught that compiling is not running. 36 suites / 650 tests at 100%. Remaining from pass 1: DM-F08 unbounded ledgers, DM-F09 deletion has no implementation.</t>
  </si>
  <si>
    <t xml:space="preserve">v014</t>
  </si>
  <si>
    <t xml:space="preserve">PLANNED: close DM-F08 (bounded ledgers) and DM-F09 (purge registry + schema), then cold-review pass 2 over the new HTTP layer — siblings found new surfaces inherit old blind spots (L-OC4).</t>
  </si>
  <si>
    <t xml:space="preserve">2026-09-13 11:37</t>
  </si>
  <si>
    <t xml:space="preserve">PASS 1 CLOSED + PASS 2 COMPLETE. DM-F08 fixed: all 11 unbounded ledgers now FIFO-bounded with eviction counted rather than silent; the hash-chained admin audit needed a post-eviction chain anchor so verifyChain reports truncation instead of breaking. DM-F09 fixed: PurgeRegistry over 16 stores with a build-failing registration check, evidence receipts, incomplete-purge honesty — plus the database schema that never existed (3 migrations, ON DELETE CASCADE on every account-scoped table, npm run migrate). PASS 2 over the new HTTP layer found four more, all fixed: DM-F10 uncapped request body (memory exhaustion on an open port), DM-F11 abandoned OAuth states accumulating because sweep() was never called — the same built-but-never-wired class as F02/F03, DM-F12 no rate limiting anywhere, DM-F13 /healthz leaking the build version anonymously. Server booted and all four verified over real HTTP. 40 suites / 691 tests at 100%. All 13 cold-review findings now closed.</t>
  </si>
  <si>
    <t xml:space="preserve">v015</t>
  </si>
  <si>
    <t xml:space="preserve">PLANNED: live-evidence log. Cold review complete across both passes; remaining work is Senthil/third-party.</t>
  </si>
  <si>
    <t xml:space="preserve">2026-09-13 11:51</t>
  </si>
  <si>
    <t xml:space="preserve">EXTERNAL VERIFICATION SWEEP against live Google documentation — the step every sibling product ran after its cold review, and the step that found live-blocking defects in all of them. TWO LIVE-BLOCKING findings, both invisible to two clean internal passes because they are facts about the platform rather than the code. VER-DM1: the Workspace Marketplace does NOT push uninstall webhooks and the licenseNotification API is deprecated with no replacement — our uninstall endpoint was a handler for an event that never arrives, so token revocation, the retention clock, re-install restore and the purge chain would never have run. Fixed with a license reconciler that DETECTS uninstall (license state + revoked credential) and refuses to treat an API outage as one. VER-DM2: Google Forms cannot POST to an arbitrary URL — form submit needs an installable Apps Script trigger that calls UrlFetch itself, so the entire F5 feature (10 stories / 42 pts) rested on a capability that does not exist. Fixed by shipping the Apps Script forwarder that signs with the scheme our endpoint already verifies. 41 suites / 707 tests at 100%. CONSEQUENCE FOR SENTHIL: the form-trigger setup flow changes — ST-041 "one screen" and the help-centre article need rewording.</t>
  </si>
  <si>
    <t xml:space="preserve">v016</t>
  </si>
  <si>
    <t xml:space="preserve">PLANNED: verification sweep part 2 (add-on surface, scopes, asset spec, CASA requirements) — the sweep found two blockers in its first two checks, so the remaining assumptions deserve the same treatment.</t>
  </si>
  <si>
    <t xml:space="preserve">2026-09-13 11:56</t>
  </si>
  <si>
    <t xml:space="preserve">VERIFICATION SWEEP PART 2 — VER-DM3, the third live-blocking finding and the first that is a DECISION rather than a defect. Google has two add-on types with incompatible UI models and our features sit across both: the Workspace type is card-only (HTML forbidden), cannot read the open document, has no Apps Script triggers and is absent from Forms, but reaches mobile and every host app; the Editor type has HTML sidebars, document context and triggers, but is desktop-only and Editors-only. Twelve shipped stories cannot run on the Workspace surface as built, and the form feature cannot run there at all. Encoded as a test-pinned constraint matrix (src/addonSurface.ts) and presented as ADDON_SURFACE_DECISION.md; logged as D-DM1 for Senthil rather than decided unilaterally. 42 suites / 721 tests at 100%. Three live-blocking findings in four verification checks — the sweep is finding roughly one blocker per check, which says something about how far internal review can reach.</t>
  </si>
  <si>
    <t xml:space="preserve">v017</t>
  </si>
  <si>
    <t xml:space="preserve">PLANNED: sweep part 3 (listing asset spec — TestPulse found theirs wrong; scope behaviour; CASA requirements) once D-DM1 is decided, since the surface choice changes the scope narrative.</t>
  </si>
  <si>
    <t xml:space="preserve">2026-09-13 12:01</t>
  </si>
  <si>
    <t xml:space="preserve">VERIFICATION SWEEP PART 3 — VER-DM4: the listing asset and copy spec was invented and wrong in eight ways, including TWO REQUIRED ASSET FAMILIES that were absent entirely (application icons at 32/128 plus 48/96 because we now have a web app, and the 220x140 card banner), a forbidden-Google-name rule on the app name we had no check for, and the terms-of-service link missing from the submission checklist. Every copy limit was wrong in the strict direction, so the drafted variants were being held to tighter constraints than the platform applies. The promo video is an optional YouTube link, not the captioned upload we had specified. src/listing.ts rewritten against the live spec, LISTING_PACK.md regenerated, 13 tests pin the corrections. 42 suites / 729 tests at 100%. Four live findings in five verification checks.</t>
  </si>
  <si>
    <t xml:space="preserve">v018</t>
  </si>
  <si>
    <t xml:space="preserve">PLANNED: sweep part 4 (OAuth verification + CASA requirements, scope behaviour) — the last unchecked assumptions; then D-DM1 gates the rest.</t>
  </si>
  <si>
    <t xml:space="preserve">2026-09-13 12:06</t>
  </si>
  <si>
    <t xml:space="preserve">VERIFICATION SWEEP PART 4 — VER-DM5, the first finding that REMOVES work. Google routes app review by scope classification, and CASA is triggered only by RESTRICTED scopes. DocMerge requests none: drive.file is the recommended non-sensitive alternative to the restricted Drive scopes, userinfo.email is non-sensitive, and only spreadsheets.readonly and documents are sensitive — requiring Google app verification but not an assessment. CASA has been carried as a blocking multi-week paid item since S6 (R-D1, R-D10, LC-3) on an assumption nobody had checked. LC-3 downgraded to "likely not required, confirm in console" rather than deleted, because classification is per-project and Google may still ask. Found in the same pass: verification requires an unlisted YouTube DEMONSTRATION video (OAuth grant flow, consent screen showing the app name, detailed use of each sensitive scope) — a requirement we did not have, and separate from the optional marketing promo video. scopes.ts derives the review path from classifications with 7 pinning tests; SCOPE_NARRATIVE.md regenerated. 42 suites / 736 tests at 100%.</t>
  </si>
  <si>
    <t xml:space="preserve">v019</t>
  </si>
  <si>
    <t xml:space="preserve">PLANNED: verification sweep COMPLETE across the five checkable assumption areas. Next work is D-DM1 (Senthil) and then live execution.</t>
  </si>
  <si>
    <t xml:space="preserve">2026-09-13 16:25</t>
  </si>
  <si>
    <t xml:space="preserve">R-D4 CLOSED — Postgres adapter shipped. Every store had been an in-memory Map behind a typed interface, which was correct while no schema existed but left the interfaces never once implemented against a real database; the DM-F09 migrations were decorative until now. src/postgres.ts implements TokenStore, AccountRepo and TemplateRepo against the schema, plus purge targets for all 18 tables ordered children-before-parents so the row counts are real evidence rather than zero-because-already-cascaded. The SQL client is injected, so there is no pg dependency and the adapter is fully testable without a database. Details that would have bitten in production: BIGINT expiries are converted explicitly because the driver returns them as strings, template and rules write inside one transaction with rollback (a half-replaced rule set renders wrong output rather than failing), an absent rule value is stored as NULL not the string "undefined", and indirect tables are reached through their parent rather than a column they do not have. A test purges with a SQL-injection string and asserts it never reaches the statement text. 43 suites / 753 tests at 100%.</t>
  </si>
  <si>
    <t xml:space="preserve">v020</t>
  </si>
  <si>
    <t xml:space="preserve">PLANNED: remaining in-memory stores (subscriptions, invoices, audit, telemetry, support) onto the adapter pattern; D-DM1 still gates the surface work.</t>
  </si>
  <si>
    <t xml:space="preserve">2026-09-13 16:29</t>
  </si>
  <si>
    <t xml:space="preserve">DM-F14 — the remaining in-memory stores are a DURABILITY GAP, not merely unconverted. A restart resets every plan limit (each deploy silently grants every customer a fresh monthly allowance — a revenue leak invisible to tests, which start from zero anyway), resets billing state so paying customers look like trials, and evaporates the tamper-evident audit chain while restarting its numbering at genesis so the gap is not even visible. Usage counters fixed end to end: PlanLimitEnforcer now takes a UsageBackend; WriteThroughUsageBackend serves reads from a primed cache so the limit check stays synchronous, writes through with an atomic single-statement upsert (read-then-write loses increments exactly when a customer is near the limit), and counts write failures rather than failing the request. Subscription and admin-audit stores are built and tested — append-only with no update path, and lastSequence so the chain continues across restarts — but their services are NOT yet wired, which is stated rather than glossed because this codebase has already produced two built-but-never-called defects. 43 suites / 770 tests at 100%.</t>
  </si>
  <si>
    <t xml:space="preserve">v021</t>
  </si>
  <si>
    <t xml:space="preserve">PLANNED: wire BillingService and AdminAuditLog to their stores (closing DM-F14), then telemetry/support persistence. D-DM1 still open.</t>
  </si>
  <si>
    <t xml:space="preserve">2026-09-13 16:34</t>
  </si>
  <si>
    <t xml:space="preserve">DM-F14 CLOSED and DM-F15 found and fixed. BillingService now persists after every mutation through a SubscriptionBackend, and AdminAuditLog through an AdminAuditBackend with resume(), so a restart no longer resets a paying customer to trial or forks a second audit chain at genesis. Write-through Postgres backends keep reads synchronous and count write failures rather than failing the customer request. DM-F15 surfaced DURING that wiring: the admin audit log had no accountId at all — every customer shared one chain and one sequence counter, and exportCsv would have handed one customer every other customer admin history. The schema had keyed the table on (account_id, sequence) since DM-F09; the code never matched it, and nothing caught the mismatch because the table had no implementation behind it until today. Now scoped per account, with the accountId inside the digest so an entry cannot be replayed into another tenant chain. 43 suites / 781 tests at 100%.</t>
  </si>
  <si>
    <t xml:space="preserve">v022</t>
  </si>
  <si>
    <t xml:space="preserve">PLANNED: telemetry/support persistence, then a tenant-isolation sweep across the remaining services — DM-F15 suggests the audit log may not be the only thing lacking a tenant boundary.</t>
  </si>
  <si>
    <t xml:space="preserve">2026-09-13 16:39</t>
  </si>
  <si>
    <t xml:space="preserve">TENANT-ISOLATION SWEEP — run deliberately because DM-F15 was found by accident, and it found five more. DM-F16 (CRITICAL): template lookups took a templateId and nothing else, and POST /accounts/:id/documents takes that id from the request body — so an authenticated user of one account could read another account template and generate documents from it. The session check added for DM-F07 proved WHO was asking; nothing checked WHAT they asked for. DM-F17: the same shape on signature requests, exposing signer names and emails. DM-F18: the feature audit log had no accountId either, the same defect as DM-F15 in a second log. All three fixed with ownership enforced centrally, cross-tenant access reported as "not found" so the id space cannot be probed, and regression tests asserting the cross-tenant failure is indistinguishable from a missing record. DM-F19 and DM-F20 (metrics summaries and the support inbox aggregate across tenants) are logged OPEN rather than fixed blind, because whether they are defects depends on whether they are surfaced per-customer or internally — a decision, not a bug. 43 suites / 786 tests at 100%, smoke green.</t>
  </si>
  <si>
    <t xml:space="preserve">v023</t>
  </si>
  <si>
    <t xml:space="preserve">PLANNED: decide DM-F19/F20 surfacing, then telemetry/support persistence. D-DM1 still open.</t>
  </si>
  <si>
    <t xml:space="preserve">2026-09-13 17:23</t>
  </si>
  <si>
    <t xml:space="preserve">PORTABLE TENANT-ISOLATION GATE built and wired into CI, then it immediately found DM-F21. A sweep finds this class of defect once; the gate finds it every commit, and it is written to be copied into the sibling products — the tenant parameter names and entity-id suffixes are configuration, not hard-coded. It flagged 28 methods on first run. Triage: five clusters genuine (DM-F21) — pause and resume on signature requests, form triggers and batch jobs took only an entity id, so one tenant could pause another tenant work with nothing but a guessed id; renderCsv would render any account invoice with its billing contact and tax identifiers; openTemplate read another account template metadata. The manual sweep had checked READS and missed writes-that-are-not-reads. The other 23 are exempted with written reasons rather than silenced, and a test asserts every exemption carries one. 44 suites / 797 tests at 100%, smoke green.</t>
  </si>
  <si>
    <t xml:space="preserve">v024</t>
  </si>
  <si>
    <t xml:space="preserve">PLANNED: copy the gate to the sibling products (the pattern is identical); decide DM-F19/F20; D-DM1 still open.</t>
  </si>
  <si>
    <t xml:space="preserve">2026-09-13 18:48</t>
  </si>
  <si>
    <t xml:space="preserve">AUDITED THE 23 GATE EXEMPTIONS I wrote an hour ago, having flagged them as judgement calls. One was false. The PauseManager exemption claimed callers passed account-namespaced keys; e-sign passed a bare requestId and batch a bare templateId, so a shared PauseManager would put template ids, sign-request ids, job ids and trigger ids in one namespace — pausing a template called X would also report a sign request called X as paused. Demonstrated before fixing. Nothing broke only because each service happened to get its own instance, which nothing enforced. pauseKey(entity, accountId, entityId) is now the only way keys are formed anywhere. Crucially the exemptions are no longer prose: three tests VERIFY the claims — one fails the build if any PauseManager call omits pauseKey, one proves two entity types sharing an id cannot collide, one asserts only the designer and sidebar touch a template repository. 44 suites / 801 tests at 100%, smoke green.</t>
  </si>
  <si>
    <t xml:space="preserve">v025</t>
  </si>
  <si>
    <t xml:space="preserve">PLANNED: copy the gate to the sibling products; decide DM-F19/F20; D-DM1 still open.</t>
  </si>
  <si>
    <t xml:space="preserve">2026-09-13 18:53</t>
  </si>
  <si>
    <t xml:space="preserve">ALL 23 TENANT-GATE EXEMPTIONS now carry a test that verifies their claim, and a meta-gate makes that permanent: unverifiedExemptions() fails the build if an exemption is added without a test naming it, and a test proves the meta-gate catches such an addition. This closes the gap DM-F22 exposed — an exemption that was right about its outcome and wrong about its reason, which read as handled. The claims are now checked against behaviour or source: the sandbox holds no account, store or repository reference; signer actions reject a non-signer holding a valid request id while accepting a listed signer who has no account at all; a batch sidebar bound to one account cannot run another account template; both sidebar controllers stamp their own account onto what they create; and per-entity metrics and the support inbox are confirmed absent from every HTTP route, which is precisely what keeps DM-F19/F20 product decisions rather than live leaks. 44 suites / 812 tests at 100%.</t>
  </si>
  <si>
    <t xml:space="preserve">v026</t>
  </si>
  <si>
    <t xml:space="preserve">PLANNED: copy the gate and meta-gate to the sibling products; DM-F19/F20 and D-DM1 remain your decisions.</t>
  </si>
  <si>
    <t xml:space="preserve">2026-09-13 18:58</t>
  </si>
  <si>
    <t xml:space="preserve">VER-DM6 — the sixth verification finding, and the first that contradicts our own published targets. The Docs API allows 60 writes per minute per user; ST-087 promised a generated document every 1500ms and ST-088 drove 100 per minute and reported PASS. One user cannot exceed one document per second however fast our code runs, and a 500-row batch for one customer cannot finish in under EIGHT MINUTES — a fact absent from every estimate and SLO written so far. The load test never reached the ceiling because it drove an injected worker, so its PASS measured the harness. Now: verified quotas with sources and a refusal to guess unrecorded ones; a feasibility check that fails when an internal promise exceeds an external quota; a per-account governor that paces rather than earning 429s and gives an honest completion estimate; and a load test that refuses to pass a profile exceeding a declared ceiling. Also recorded: Apps Script UrlFetch caps at 20,000/day consumer and 100,000/day Workspace, the real per-customer limit on the form forwarder. 45 suites / 827 tests at 100%.</t>
  </si>
  <si>
    <t xml:space="preserve">v027</t>
  </si>
  <si>
    <t xml:space="preserve">PLANNED: pace the batch runner through QuotaGovernor and restate batch timing in the help centre; gate + meta-gate ready to copy to siblings.</t>
  </si>
  <si>
    <t xml:space="preserve">2026-09-13 19:33</t>
  </si>
  <si>
    <t xml:space="preserve">VER-DM6 CLOSED — both owed items done. The batch runner now paces through the QuotaGovernor, waiting BEFORE each write rather than after a rejection: waiting on our side costs only the wait, while being throttled costs a round trip, a backoff, and a slice of the customer's remaining quota for their other tools. BatchResult reports quotaWaitMs, so a long batch reads as "paced by Google's limit" rather than "the product is slow" — the difference between an understood wait and a support ticket. Metering is per account, proven by a test where one customer exhausting their allowance leaves another unaffected. The help-centre article now carries the real numbers (about 60 documents a minute, roughly eight minutes for 500, sixteen for 1,000) and is findable by searching "how long", "slow" or "quota". One test expectation of mine was wrong and the code was right: rows run in bursts because a wait clears the whole minute-window, so seven rows at a ceiling of three cost two waits, not four. 45 suites / 830 tests at 100%, smoke green.</t>
  </si>
  <si>
    <t xml:space="preserve">v028</t>
  </si>
  <si>
    <t xml:space="preserve">PLANNED: copy tenantGate + meta-gate + quota feasibility check to the sibling products. DM-F19/F20 and D-DM1 remain your decisions.</t>
  </si>
  <si>
    <t xml:space="preserve">2026-09-13 19:39</t>
  </si>
  <si>
    <t xml:space="preserve">PORTFOLIO GUARD KIT extracted for the sibling products — four modules with no imports at all, so nothing else travels with them: tenantGate (authorisation, plus the meta-gate requiring every exemption to carry a test), ledger (bounded append with counted evictions, including the hash-chain anchor subtlety), purge (registry that fails the build when a store has no deletion target, with per-store row counts as evidence), platformQuotas (verified numbers with sources, a refusal to guess an unrecorded one, and a feasibility check). platformQuotas was PARAMETERISED first — the mechanism ports but Google numbers do not belong in a Zoho or Xero product. A product-specific test file was extracted and then REPLACED: the original imported DocMerge modules throughout and would not have compiled anywhere else, so the kit ships a template with no product imports. README records what each gate caught here as evidence; TRIAGE.md gives the five questions to ask on a first run, since DocMerge flagged 28 methods and exempting without triage turns a gate into decoration. 45 suites / 832 tests at 100%.</t>
  </si>
  <si>
    <t xml:space="preserve">v029</t>
  </si>
  <si>
    <t xml:space="preserve">PLANNED: run the kit against a sibling codebase when one is available. DM-F19/F20 and D-DM1 remain your decisions.</t>
  </si>
  <si>
    <t xml:space="preserve">2026-09-13 20:27</t>
  </si>
  <si>
    <t xml:space="preserve">VER-DM7 — the quota module caught a gap in itself. It refuses to guess an unrecorded quota, and the filing path tripped that refusal: we write to Drive on every generated document and had recorded no Drive limit. The answer turned out to be awkward rather than clean — Google is mid-migration between a request-count model and a quota-unit model, legacy projects keep the old counts, and which applies depends on the age of a project we have not created yet. Recorded the conservative figure WITH the ambiguity attached and added a caveat field so an unreliable quota is visibly unreliable, rather than resolving it by picking whichever number suited us. The useful conclusion: on every published model Drive sits two orders of magnitude above the Docs ceiling of 60 writes per minute per user, so filing is not the binding constraint — document creation is, and the governor is already set to it. bindingConstraint() now computes which API throttles first, with tests proving Docs governs today and that a future change reversing it would surface rather than silently slowing every run. Guard kit refreshed. 45 suites / 836 tests at 100%.</t>
  </si>
  <si>
    <t xml:space="preserve">v030</t>
  </si>
  <si>
    <t xml:space="preserve">PLANNED: re-verify the Drive quota against the real project once it exists (LC-1). DM-F19/F20 and D-DM1 remain your decisions.</t>
  </si>
  <si>
    <t xml:space="preserve">2026-09-13 20:34</t>
  </si>
  <si>
    <t xml:space="preserve">STATE_OF_DOCMERGE.md — a single readable synthesis, written because the detail now spans 40 workbook versions and 62 log entries and none of that is usable when deciding what to do next. Covers: the three decisions owed (D-DM1 add-on type, open since 11:56 and blocking the scope narrative, listing copy and five story descriptions; DM-F19/F20 surfacing; support staffing), the eight external actions in their CORRECTED order (hosting BEFORE the consent screen, per R-D15), and the five lessons worth more than the individual fixes — coverage proves execution not correctness; authentication is not authorisation; internal review cannot see platform reality; a plausible reason survives review indefinitely; sweeps find a class once while gates find it every commit. Closes with the assessment I would want stated plainly: the product has been code-complete since roughly 11:00 and has not moved one step closer to a customer since, because every remaining step needs a domain, a project, a budget or a decision. 45 suites / 836 tests at 100%.</t>
  </si>
  <si>
    <t xml:space="preserve">v031</t>
  </si>
  <si>
    <t xml:space="preserve">PLANNED: nothing further on this codebase without a decision, a sibling codebase to check, or live infrastructure.</t>
  </si>
  <si>
    <t xml:space="preserve">SPRINT TRACKER LOG — every execution event, newest last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</si>
  <si>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</si>
  <si>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</si>
  <si>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</si>
  <si>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</si>
  <si>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</si>
  <si>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</si>
  <si>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</si>
  <si>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</si>
  <si>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2026-09-05 19:50</t>
  </si>
  <si>
    <t xml:space="preserve">—</t>
  </si>
  <si>
    <t xml:space="preserve">BASELINE — product workbook v007 released: spec, screen inventory, 100-story backlog (399 pts), formula sprint board, 18-month financial model, GTM, GWS launch checklist, risk register. All stories Backlog.</t>
  </si>
  <si>
    <t xml:space="preserve">Baseline set</t>
  </si>
  <si>
    <t xml:space="preserve">Await build instruction</t>
  </si>
  <si>
    <t xml:space="preserve">E002</t>
  </si>
  <si>
    <t xml:space="preserve">2026-09-10 22:17</t>
  </si>
  <si>
    <t xml:space="preserve">S0</t>
  </si>
  <si>
    <t xml:space="preserve">D13 APPLIED — S0 discovery interviews parked per portfolio decision (10 Sep 20:45); development proceeds with 100% automation coverage superseding the ST-085 &gt;=70% gate. S0 closed as parked; PRD baseline = Product_Spec sheet. S0 activities (interviews, verified platform terms, wireframe links) remain OWED, not done.</t>
  </si>
  <si>
    <t xml:space="preserve">D13</t>
  </si>
  <si>
    <t xml:space="preserve">S0 parked; S1 opened</t>
  </si>
  <si>
    <t xml:space="preserve">S1 build</t>
  </si>
  <si>
    <t xml:space="preserve">E003</t>
  </si>
  <si>
    <t xml:space="preserve">S1</t>
  </si>
  <si>
    <t xml:space="preserve">S1 FOUNDATION BUILT (product workbook -&gt; v008; code docmerge-pro-s1, TypeScript strict): ST-051 OAuth exchange -&gt; tokens -&gt; account -&gt; attributed welcome with the &lt;2-min budget enforced and testable; ST-052 uninstall webhook — token revoke + delete, 30-day retention deletion schedule, replay-idempotent; ST-055 TokenRefreshManager — expiry skew, rotated refresh token persisted immediately, invalid_grant -&gt; re-auth (no retry loop), single transient retry; ST-056 telemetry with listing/search/referral attribution and sink-failure isolation.</t>
  </si>
  <si>
    <t xml:space="preserve">ST-051,ST-052,ST-055,ST-056; v008</t>
  </si>
  <si>
    <t xml:space="preserve">4 stories Done-in-code (13 pts)</t>
  </si>
  <si>
    <t xml:space="preserve">Live install: GCP project + OAuth consent (LC-1) not yet created</t>
  </si>
  <si>
    <t xml:space="preserve">E004</t>
  </si>
  <si>
    <t xml:space="preserve">D13 GATE MET — 37 tests, 100% x4 metrics, jest coverageThreshold pinned at 100 (any future commit below fails), tsc strict clean, zero pragmas.</t>
  </si>
  <si>
    <t xml:space="preserve">Evidence in Traceability col K</t>
  </si>
  <si>
    <t xml:space="preserve">S2</t>
  </si>
  <si>
    <t xml:space="preserve">E005</t>
  </si>
  <si>
    <t xml:space="preserve">2026-09-10 22:23</t>
  </si>
  <si>
    <t xml:space="preserve">S2 EXECUTED (-&gt; v009): Template designer part 1 — ST-001 one-screen defaults (pdf/pattern/folder), ST-002 happy-path render with placeholder/section parsing and per-field "add a column" messages, ST-003 validated rules (not_empty/equals/greater_than section toggles, multi-problem aggregation), ST-004 platform failure mapping 429/5xx/403/404/unknown with retry paths + withRetry backoff; ST-053 re-install restore inside the 30-day window (cancel purge, reactivate, re-issue tokens, attributed app_reinstalled); ST-054 owner/admin/member permission matrix as data, all 21 cells test-pinned, enforced at designer entry points.</t>
  </si>
  <si>
    <t xml:space="preserve">ST-001..004,ST-053,ST-054; v009</t>
  </si>
  <si>
    <t xml:space="preserve">6 stories Done-in-code (29 pts); total 10</t>
  </si>
  <si>
    <t xml:space="preserve">S3</t>
  </si>
  <si>
    <t xml:space="preserve">E006</t>
  </si>
  <si>
    <t xml:space="preserve">GATE MET — suite 101 tests, 100% x4, no pragmas (an unreachable defensive branch was restructured out rather than ignored).</t>
  </si>
  <si>
    <t xml:space="preserve">E007</t>
  </si>
  <si>
    <t xml:space="preserve">2026-09-10 22:29</t>
  </si>
  <si>
    <t xml:space="preserve">S3 EXECUTED (-&gt; v010): Template designer part 2 — ST-005 SidebarController (Sheets/Docs host injected; list-&gt;designer-&gt;preview-from-active-row; Docs sample-data fallback), ST-006 TemplateMetrics (p95/success/trend), ST-007 AuditLog + wrapper recording allowed AND denied ops, ST-008 flag-only pause, ST-009 CSV importer (partial success, row-numbered errors) + &lt;&lt;legacy&gt;&gt; competitor conversion, ST-010 in-app+email notifications with per-type per-account mute. Batch skeleton — ST-011 job defaults, ST-012 per-row generation, ST-013 row rules reusing the designer evaluator, ST-014 per-row mapped errors + retryableRows + continueOnError. ST-085 closed SUPERSEDED by D13 (gate at 100%, not &gt;=70%).</t>
  </si>
  <si>
    <t xml:space="preserve">ST-005..014,ST-085; v010</t>
  </si>
  <si>
    <t xml:space="preserve">11 stories Done-in-code (47 pts); total 21</t>
  </si>
  <si>
    <t xml:space="preserve">E008</t>
  </si>
  <si>
    <t xml:space="preserve">DEFECT FOUND AND FIXED (caught by the 100% branch gate + failing test pre-merge): withRetry mapped ALL errors to a generic "unknown Google" message, burying actionable validation messages. Fix: non-platform errors pass through unmapped, no retry. GATE MET — 150 tests, 100% x4.</t>
  </si>
  <si>
    <t xml:space="preserve">D13; defect DF-1</t>
  </si>
  <si>
    <t xml:space="preserve">DF-1 closed</t>
  </si>
  <si>
    <t xml:space="preserve">S4</t>
  </si>
  <si>
    <t xml:space="preserve">E009</t>
  </si>
  <si>
    <t xml:space="preserve">2026-09-10 22:52</t>
  </si>
  <si>
    <t xml:space="preserve">S4 EXECUTED (-&gt; v011): Batch part 2 — ST-015 BatchSidebarController end-to-end with guidance on wrong turns, ST-016 BatchMetrics, ST-017 GovernedBatchRunner (permission asserted + audited up front incl. denials), ST-018 job-level pause, ST-019 row-data CSV + competitor import with header validation, ST-020 batch_completed/batch_failed notifications with retryable counts, mute honoured. Observability — ST-071 ActivationFunnel (install-&gt;setup-&gt;aha-&gt;habit, implied stages, conversions dashboard), ST-072 ErrorTracker (release tagging, spike alert current &gt; factor x previous with floor, one-shot until acknowledged). ST-086 E2E smoke: 10-step full product loop; .github/workflows/ci.yml deploy job REQUIRES smoke, smoke requires the 100%-gated suite; npm run test:smoke green standalone.</t>
  </si>
  <si>
    <t xml:space="preserve">ST-015..020,ST-071,ST-072,ST-086; v011</t>
  </si>
  <si>
    <t xml:space="preserve">9 stories Done-in-code (34 pts); total 30. MVP loop demonstrated end-to-end in code (S4 exit criterion)</t>
  </si>
  <si>
    <t xml:space="preserve">Live E2E on real Sheets/Drive pending LC-1</t>
  </si>
  <si>
    <t xml:space="preserve">S5</t>
  </si>
  <si>
    <t xml:space="preserve">E010</t>
  </si>
  <si>
    <t xml:space="preserve">FIXTURE DEFECT fixed mid-sprint: an all-empty row object is skipped_empty by design (vacuous truth), not a validation failure — test corrected to a non-empty row missing the required field. GATE MET — 180 tests, 100% x4.</t>
  </si>
  <si>
    <t xml:space="preserve">D13; defect DF-2</t>
  </si>
  <si>
    <t xml:space="preserve">DF-2 closed</t>
  </si>
  <si>
    <t xml:space="preserve">E011</t>
  </si>
  <si>
    <t xml:space="preserve">S5 EXECUTED (-&gt; v012): E-sign requests — ST-021 defaults (sequential, 14-day expiry, email validation), ST-022 lifecycle draft-&gt;sent-&gt;partially_signed-&gt;completed/declined/expired with turn enforcement naming whose turn it is, ST-023 draft-only rules (expiry 1-90, domain allow-lists vs actual signers), ST-024 delivery via withRetry with NO half-sent state on exhausted failure, ST-025 sidebar create-&gt;send-&gt;track with transition detection, ST-026 EsignMetrics, ST-027 allow/deny audit, ST-028 pause preserving collected signatures, ST-029 signer CSV + competitor import, ST-030 esign_sent/completed/declined mute-aware notifications.</t>
  </si>
  <si>
    <t xml:space="preserve">ST-021..030; v012</t>
  </si>
  <si>
    <t xml:space="preserve">10 stories Done-in-code (42 pts)</t>
  </si>
  <si>
    <t xml:space="preserve">E012</t>
  </si>
  <si>
    <t xml:space="preserve">Alpha hardening: ST-078 FirstRunChecklist (aha = first generated document; honest &lt;1-day budget verdict incl. over-budget and idempotent cases); ST-079 EMPTY_STATES for all 9 Screens_Wireframes screens, each teaching the next action, completeness test-asserted.</t>
  </si>
  <si>
    <t xml:space="preserve">ST-078,ST-079; v012</t>
  </si>
  <si>
    <t xml:space="preserve">12 S5 stories Done-in-code (50 pts); total 42/100 (173/399 pts)</t>
  </si>
  <si>
    <t xml:space="preserve">Alpha "team dogfoods daily" exit needs live install</t>
  </si>
  <si>
    <t xml:space="preserve">E013</t>
  </si>
  <si>
    <t xml:space="preserve">GATE MET — 18 suites / 217 tests, 100% statements/branches/functions/lines across 19 modules, tsc strict clean, smoke green. Coverage cleanliness: two same-pattern deny branches covered via spied assertPermission (all real roles may generate); one redundant re-export removed rather than pragma-ignored.</t>
  </si>
  <si>
    <t xml:space="preserve">Evidence per story in Traceability col K</t>
  </si>
  <si>
    <t xml:space="preserve">S6 (billing + Drive filing)</t>
  </si>
  <si>
    <t xml:space="preserve">E014</t>
  </si>
  <si>
    <t xml:space="preserve">THIS TRACKER v001 OPENED per Senthil 23:03 instruction, mirroring the TeleField v001 pattern: multi-version sprint log (this sheet), per-sprint build boards S1-S5, 100-story traceability with Done-in-code statuses + evidence, formula Sprint_Status_Rollup, RAID, completion Gate_Checklist.</t>
  </si>
  <si>
    <t xml:space="preserve">TeleField v001 pattern</t>
  </si>
  <si>
    <t xml:space="preserve">Tracker live</t>
  </si>
  <si>
    <t xml:space="preserve">v002 at S6</t>
  </si>
  <si>
    <t xml:space="preserve">E015</t>
  </si>
  <si>
    <t xml:space="preserve">S6</t>
  </si>
  <si>
    <t xml:space="preserve">S6 EXECUTED (-&gt; v013): Auto-file to Drive — ST-031 defaults; ST-032 pattern-driven filing (built-in {{template}}/{{row}}/{{yyyy}}/{{mm}} + row tokens, NAMED missing-token errors); ST-033 first-match routing rules; ST-034 all Drive ops under withRetry with mapped errors; ST-035 sidebar file-last-batch; ST-036 metrics; ST-037 allow/deny audit on rules AND filing; ST-038 account-scoped pause; ST-039 routing-rule CSV + competitor import; ST-040 filing notifications. Conflict policies: rename (first free number), overwrite, skip.</t>
  </si>
  <si>
    <t xml:space="preserve">ST-031..040; v013</t>
  </si>
  <si>
    <t xml:space="preserve">Real Drive API contract verification at LC-1</t>
  </si>
  <si>
    <t xml:space="preserve">E016</t>
  </si>
  <si>
    <t xml:space="preserve">Billing — ST-057 no-card 14-day trial with honest banner (14 -&gt; "1 day" singular -&gt; ended -&gt; hidden after subscribe); ST-058 mid-cycle proration to the cent both directions (upgrade $11.33 charge / downgrade $8.50 credit cases), declined prorated charge leaves plan unchanged; ST-059 provider routing (marketplace API where mandated, Stripe fallback elsewhere) + dunning: idempotent past_due, 1/3/7-day retries with recovery-to-active, grace period, downgrade to FREE with data intact.</t>
  </si>
  <si>
    <t xml:space="preserve">ST-057..059; v013</t>
  </si>
  <si>
    <t xml:space="preserve">3 stories Done-in-code (18 pts); S6 total 13/13 (60 pts); cumulative 55/100 (233/399 pts)</t>
  </si>
  <si>
    <t xml:space="preserve">Live Stripe/marketplace billing config = Senthil accounts; GST/tax handling not yet scoped (flag)</t>
  </si>
  <si>
    <t xml:space="preserve">E017</t>
  </si>
  <si>
    <t xml:space="preserve">GATE MET — 21 suites / 264 tests, 100% x4 across 22 modules, tsc strict clean, smoke green standalone. NOTE: R-D1 trigger reached — Risk_Register says schedule CASA Tier 2 at S6; booking is a Senthil action (needs GCP project first, LC-1). S6 exit criterion "can charge a test customer" is code-complete; LIVE charge needs Stripe keys.</t>
  </si>
  <si>
    <t xml:space="preserve">D13; R-D1; LC-3</t>
  </si>
  <si>
    <t xml:space="preserve">Gate_Checklist LC-3 flagged DUE</t>
  </si>
  <si>
    <t xml:space="preserve">LC-1 + CASA booking = Senthil</t>
  </si>
  <si>
    <t xml:space="preserve">S7</t>
  </si>
  <si>
    <t xml:space="preserve">E018</t>
  </si>
  <si>
    <t xml:space="preserve">S7 EXECUTED (-&gt; v014): ST-060 dunning UX — exactly 3 emails on the 1/3/7-day schedule with catch-up if ticks are missed, 7-day grace, then read-only mode; the read-only error states plainly that documents and templates are all still there. ST-061 plan limits across documents/templates/seats with no prompt &lt;80%, warning 80-99%, blocking prompt at 100% that reassures nothing made is affected; monthly reset isolated to the document counter.</t>
  </si>
  <si>
    <t xml:space="preserve">ST-060,ST-061; v014</t>
  </si>
  <si>
    <t xml:space="preserve">2 stories Done-in-code (6 pts)</t>
  </si>
  <si>
    <t xml:space="preserve">E019</t>
  </si>
  <si>
    <t xml:space="preserve">CORRECTION LOGGED — S6 built ST-059 dunning to end in downgrade-to-free. ST-060 specifies READ-ONLY as the terminal state. Read-only is now terminal: the plan and all data are retained and writes are blocked, which is strictly less destructive than downgrading, and paying restores access instantly. Recorded here rather than silently reconciled so the two stories' specs and the shipped behaviour stay auditable.</t>
  </si>
  <si>
    <t xml:space="preserve">ST-059 vs ST-060</t>
  </si>
  <si>
    <t xml:space="preserve">ST-059 terminal behaviour superseded</t>
  </si>
  <si>
    <t xml:space="preserve">E020</t>
  </si>
  <si>
    <t xml:space="preserve">ST-062 invoices/receipts: numbered invoices, GST/VAT computed, customer tax IDs recorded, B2B reverse charge at zero tax with the required note, multi-line rounding to cents, CSV receipt rendering. This CLOSES the GST/tax scope gap flagged at S6 (E016) — it was already a backlog story, not an omission. ST-063 cancellation: save-offer matched to the stated reason (too_expensive-&gt;discount, no_longer_needed-&gt;pause, otherwise-&gt;downgrade), offered once per account only, exit survey recorded with reason aggregation for the beta review, access retained to period end when the offer is declined.</t>
  </si>
  <si>
    <t xml:space="preserve">ST-062,ST-063; v014</t>
  </si>
  <si>
    <t xml:space="preserve">2 stories Done-in-code (6 pts); S6 tax flag CLOSED</t>
  </si>
  <si>
    <t xml:space="preserve">E021</t>
  </si>
  <si>
    <t xml:space="preserve">ST-064 least-privilege: SCOPE_MANIFEST maps every requested scope 1:1 to a shipped feature + implementing stories + why-not-narrower rationale; auditScopes() fails the build on unjustified scopes, scopes whose stories have not shipped, duplicates, or broad scopes where a narrower alternative exists. Shipped manifest requests only drive.file, spreadsheets.readonly, documents, userinfo.email — no full-Drive, no Sheets write, no profile scope. SCOPE_NARRATIVE.md generated as submission evidence. GATE MET — 23 suites / 305 tests / 100% x4 across 24 modules / smoke green.</t>
  </si>
  <si>
    <t xml:space="preserve">ST-064; D13; LC-2</t>
  </si>
  <si>
    <t xml:space="preserve">S7 5/5 Done-in-code (15 pts); cumulative 60/100 (248/399 pts). First LC evidence artefact produced.</t>
  </si>
  <si>
    <t xml:space="preserve">S7 exit ("3+ partners active weekly; NPS &gt;30") needs real design partners — blocked on LC-1</t>
  </si>
  <si>
    <t xml:space="preserve">S8</t>
  </si>
  <si>
    <t xml:space="preserve">E022</t>
  </si>
  <si>
    <t xml:space="preserve">S8 EXECUTED (-&gt; v015) part 1 — Form-triggered generation ST-041..050. Design point: a form submission is an EVENT, not a batch row. Webhook redelivery is normal, so processed-id dedupe sits in the core pipeline (a replay returns "duplicate", never a second document); a FAILED submission is deliberately left unprocessed so redelivery retries it; failures return as results rather than throwing, so one bad submission cannot take the webhook endpoint down. Plus question-&gt;placeholder mapping, conditions with audit, sidebar activity feed (20 most recent, newest first), metrics, pause, field-map CSV + competitor import, notifications.</t>
  </si>
  <si>
    <t xml:space="preserve">ST-041..050; v015</t>
  </si>
  <si>
    <t xml:space="preserve">Real Forms webhook contract unverified — blocked by LC-1</t>
  </si>
  <si>
    <t xml:space="preserve">E023</t>
  </si>
  <si>
    <t xml:space="preserve">Part 2 — Compliance/security ST-065/066/067/070. The data-flow diagram and retention policy are VALIDATED IN CODE, not just written: unknown edge endpoints, unencrypted hops, orphan nodes, and retention rules with no implementing story all fail the test — then published as DATA_FLOW_AND_RETENTION.md for the privacy pack (LC-7). Posture verifier blocks on unencrypted storage, absent TLS, hard-coded secrets, or env-sourced secrets in production. Admin audit log is hash-chained so an edited OR deleted entry is detectable, and its own CSV export is itself audited. Circuit breaker (closed/open/half-open): backoff handles a blip, the breaker handles an outage — without it retries amplify load on an already-failing service and burn the customer quota.</t>
  </si>
  <si>
    <t xml:space="preserve">ST-065,066,067,070; v015; LC-7</t>
  </si>
  <si>
    <t xml:space="preserve">4 stories Done-in-code (18 pts); LC-7 evidence artefact published</t>
  </si>
  <si>
    <t xml:space="preserve">E024</t>
  </si>
  <si>
    <t xml:space="preserve">Part 3 — Analytics ST-073..077 + QE ST-087/088/092. Heatmap surfaces the UNUSED features (the roadmap-relevant half); health score always carries its reasons because a bare number cannot be acted on; weekly digest, CSV/warehouse export, configurable thresholds. p95 budgets defined per surface with headroom monitoring; the 5x load test is written deterministically (injected worker, no wall-clock sleeps) so it runs on EVERY commit instead of once before launch; blue/green deploy health-checks the idle colour BEFORE any traffic moves, and droppedRequests is measured rather than asserted.</t>
  </si>
  <si>
    <t xml:space="preserve">ST-073..077,087,088,092; v015</t>
  </si>
  <si>
    <t xml:space="preserve">8 stories Done-in-code (27 pts); S8 total 22/22 (87 pts); cumulative 82/100 (335/399 pts)</t>
  </si>
  <si>
    <t xml:space="preserve">Load test runs against injected workers, not live infra — real numbers need LC-1</t>
  </si>
  <si>
    <t xml:space="preserve">E025</t>
  </si>
  <si>
    <t xml:space="preserve">GATE MET after fixes — 26 suites / 385 tests / 100% x4 across 28 modules / tsc strict clean / smoke green. THREE DEFECTS caught pre-merge, all on the TEST side: (1) a form-trigger expectation assumed a two-placeholder template when the fixture used one; (2) a heatmap assertion put an event in day 0 when the window boundary places it in day 1; (3) a digest assertion looked for the word "churn" in a message that names the metric instead. Source side: one dead branch in the heatmap totals lookup was restructured away rather than ignored, and the blue-rollback colour path got the test it was missing. Recorded because "the tests were wrong" is still a finding worth logging.</t>
  </si>
  <si>
    <t xml:space="preserve">S8 closed</t>
  </si>
  <si>
    <t xml:space="preserve">S8 exit ("beta cohort WoW retention &gt;60%") needs live users — LC-1</t>
  </si>
  <si>
    <t xml:space="preserve">S9</t>
  </si>
  <si>
    <t xml:space="preserve">E026</t>
  </si>
  <si>
    <t xml:space="preserve">ST-068 PARTIAL — NOT CLOSED. Built the security evidence pack (9 controls: auth, authorisation, least privilege, data handling, auditability, resilience all verified in code with test references; encryption posture, pen test, and backup/restore flagged as needing external evidence) and published SECURITY_EVIDENCE_PACK.md. The pack itself states, in the document, that it is not a pen test. buildEvidencePack().readyForSubmission is false by construction while any control lacks evidence, so this cannot be quietly marked complete later. A penetration test needs a third party, a deployed target, and a budget — all Senthil actions.</t>
  </si>
  <si>
    <t xml:space="preserve">ST-068; LC-3; SC-08</t>
  </si>
  <si>
    <t xml:space="preserve">ST-068 In progress (6 of 9 controls evidenced)</t>
  </si>
  <si>
    <t xml:space="preserve">Pen test unbooked; needs deployed infra (LC-1) and budget</t>
  </si>
  <si>
    <t xml:space="preserve">E027</t>
  </si>
  <si>
    <t xml:space="preserve">ST-069 self-serve data rights: export gated to owner/admin, returning the bundle WITH an explicit exclusions list (generated documents live in the customer Drive and were never stored; sheet rows never persisted; OAuth tokens never exported) rather than silently omitting them; owner-only deletion request creating a cancellable 7-day-grace receipt, repeat requests returning the original receipt instead of extending the window, and executeDue recording exactly what was deleted. Closes the self-serve half of LC-7.</t>
  </si>
  <si>
    <t xml:space="preserve">ST-069; LC-7</t>
  </si>
  <si>
    <t xml:space="preserve">1 story Done-in-code (5 pts)</t>
  </si>
  <si>
    <t xml:space="preserve">E028</t>
  </si>
  <si>
    <t xml:space="preserve">ST-090 restore drill + ST-091 chaos. The drill verifies restored ROW COUNTS against the backup manifest as part of the pass condition — a restore that "succeeds" without checking contents evidences nothing — alongside RTO/RPO targets, and catches a table the restore omitted entirely. Chaos simulation proves each of the five dependency outages leaves the product usable and every lost capability carries a message telling the user what is safe; the guard conditions were made injectable specifically so they can fire, because a check that can never fail is not a check.</t>
  </si>
  <si>
    <t xml:space="preserve">ST-090, ST-091</t>
  </si>
  <si>
    <t xml:space="preserve">Both harnesses need real backups / real infra for meaningful numbers (R-D9 class)</t>
  </si>
  <si>
    <t xml:space="preserve">E029</t>
  </si>
  <si>
    <t xml:space="preserve">ST-089 accessibility + ST-093/094 listing. WCAG AA audit implements real relative-luminance maths; the shipped 6-pair palette passes, with the large-text threshold applied separately; accessible-name, keyboard, and focus failures plus target-size warnings. Two listing variants written on genuinely different angles (problem-led vs outcome-led) and a reviewer that fails a same-angle A/B outright and flags five classes of claim that invite rejection — implied Google endorsement, absolute security, unqualified guarantees, superlatives, and "free forever" pricing promises the billing model does not support. Asset validator covers the 5 screenshots and the captioned 30-120s video. LISTING_PACK.md published. GATE MET — 28 suites / 432 tests / 100% x4 across 30 modules. Three fixes this sprint: a test fixture too faint even for the large-text bar, one genuinely unreachable guard removed rather than ignored, and a missing-table drill case added.</t>
  </si>
  <si>
    <t xml:space="preserve">ST-089, ST-093, ST-094; D13</t>
  </si>
  <si>
    <t xml:space="preserve">S9: 6 Done-in-code + 1 In progress; cumulative 88/100 (357/399 pts)</t>
  </si>
  <si>
    <t xml:space="preserve">S9 exit ("review submission accepted into queue") needs LC-1 and the pen test</t>
  </si>
  <si>
    <t xml:space="preserve">S10</t>
  </si>
  <si>
    <t xml:space="preserve">E030</t>
  </si>
  <si>
    <t xml:space="preserve">ST-080 help centre: 15 launch articles, each naming the stories whose behaviour it documents so docs cannot drift from code unnoticed, plus a coverage report over launch-critical journeys. Search is weighted (exact keyword 10 &gt; partial 6 &gt; title 5 &gt; summary 3 &gt; body 1) so someone typing "vat" lands on invoicing rather than every article containing the word, with deterministic tie-breaking.</t>
  </si>
  <si>
    <t xml:space="preserve">ST-080</t>
  </si>
  <si>
    <t xml:space="preserve">E031</t>
  </si>
  <si>
    <t xml:space="preserve">ST-081 in-app chat SLA measured in BUSINESS hours, not wall clock: Friday 17:00 to Monday 09:00 is 64 calendar hours but 2 business hours, so a weekend cannot manufacture a breach. Urgent conversations get a 1-hour SLA, the breach queue is ordered worst-first for the person working it, and unanswered customers see a waiting message stating the SLA rather than silence. FINDING: the SLA is only real if someone is staffing the stated hours — publishing it before that is a promise the product cannot keep. Logged as a blocker (CL-15).</t>
  </si>
  <si>
    <t xml:space="preserve">ST-081; CL-15</t>
  </si>
  <si>
    <t xml:space="preserve">1 story Done-in-code (3 pts)</t>
  </si>
  <si>
    <t xml:space="preserve">Support staffing decision owed before the SLA is published</t>
  </si>
  <si>
    <t xml:space="preserve">E032</t>
  </si>
  <si>
    <t xml:space="preserve">ST-083 PARTIAL + ST-084. Sandbox is a no-account, no-OAuth, platform-read-only demo session with realistic sample data (five invoice rows, two carrying a discount so the conditional section demonstrably fires), a 60-minute TTL, and conversion-to-signup that carries the template across. The 2-minute demo VIDEO is not built and is not claimed — it is a recording of a running app. Status page takes the WORST component status as the overall banner rather than rounding up to green, ships incident templates for all four stages that lead with data safety, and chases incidents that have gone quiet past the 30-minute cadence.</t>
  </si>
  <si>
    <t xml:space="preserve">ST-083, ST-084</t>
  </si>
  <si>
    <t xml:space="preserve">ST-084 Done-in-code; ST-083 In progress</t>
  </si>
  <si>
    <t xml:space="preserve">Demo video blocked by LC-1</t>
  </si>
  <si>
    <t xml:space="preserve">E033</t>
  </si>
  <si>
    <t xml:space="preserve">ST-095/096 built the public pages FROM the code: the plan matrix reads prices from the billing module and limits from the enforcer; the trust page is generated from the scope manifest, subprocessor list, and retention policy. Both have validators that fail when the published page drifts from what the code does — which is the failure mode that actually causes trouble at review. ST-097 SUBMISSION DRY-RUN RUN FOR REAL: 20 checklist items, 10 satisfied with evidence, 10 blocking — 8 on Senthil (GCP project, hosted policy and status pages, screenshots, demo video, support staffing, deployment, live quota test), 2 third-party (CASA, pen test). VERDICT: NOT READY TO SUBMIT. Published as SUBMISSION_DRY_RUN.md with a critical path. GATE MET — 30 suites / 484 tests / 100% x4 across 32 modules. One test-side error fixed: a weekend SLA expectation that forgot Monday opens at 08:00.</t>
  </si>
  <si>
    <t xml:space="preserve">ST-095, ST-096, ST-097; D13</t>
  </si>
  <si>
    <t xml:space="preserve">S10: 6 Done-in-code + 1 In progress; cumulative 94/100 (376/399 pts)</t>
  </si>
  <si>
    <t xml:space="preserve">S10 exit ("marketplace approval obtained") is 10 blockers away, none of them code</t>
  </si>
  <si>
    <t xml:space="preserve">S11 (gated)</t>
  </si>
  <si>
    <t xml:space="preserve">E034</t>
  </si>
  <si>
    <t xml:space="preserve">S11</t>
  </si>
  <si>
    <t xml:space="preserve">ST-082 in-app review ask. Every rule in the engine exists to PREVENT an ill-timed prompt: not before the aha-moment, not before 10 documents generated, not within 3 days of a failure the user hit, not inside a 30-day cooldown, and never again after two dismissals. A review prompt shown at the wrong moment costs a rating rather than earning one, which is the opposite of what the story is for.</t>
  </si>
  <si>
    <t xml:space="preserve">ST-082</t>
  </si>
  <si>
    <t xml:space="preserve">E035</t>
  </si>
  <si>
    <t xml:space="preserve">ST-098 launch runbook, built and then RUN against the real current state rather than illustrated. Thirteen go/no-go checks return NO-GO with 8 blocking failures: not listed, not deployed, rollback unverified against real infrastructure, status page unhosted, privacy/trust pages unhosted, billing not live, support unstaffed, monitoring sinks unwired. Watchlist entries each carry an action (a watchlist without actions is decoration); the rollback plan budgets 35 minutes across 5 steps each with its own verification; the comms tree names an owner and a deadline per audience. Published as LAUNCH_RUNBOOK.md so launch day is execution, not authoring.</t>
  </si>
  <si>
    <t xml:space="preserve">ST-098</t>
  </si>
  <si>
    <t xml:space="preserve">1 story Done-in-code (3 pts); runbook verdict NO-GO</t>
  </si>
  <si>
    <t xml:space="preserve">All 8 blocking checks are Senthil or third-party</t>
  </si>
  <si>
    <t xml:space="preserve">E036</t>
  </si>
  <si>
    <t xml:space="preserve">S11+S12</t>
  </si>
  <si>
    <t xml:space="preserve">ST-100 partner-review pipeline refuses to invite an at-risk account — fix their experience before asking for a review, not after — refuses to reschedule a decline, excludes declines from the pipeline count (a decline is not pipeline), and warns on invitations unanswered for over a week. ST-099 SEO iteration classifies terms into untargeted / ranking-just-off-page / high-impressions-low-CTR, ignores anything under 100 impressions rather than chasing noise into keyword soup, and recommends EXACTLY ONE change per iteration so the effect is attributable.</t>
  </si>
  <si>
    <t xml:space="preserve">ST-099, ST-100</t>
  </si>
  <si>
    <t xml:space="preserve">2 stories Done-in-code (4 pts)</t>
  </si>
  <si>
    <t xml:space="preserve">Both need live data/partners to operate</t>
  </si>
  <si>
    <t xml:space="preserve">E037</t>
  </si>
  <si>
    <t xml:space="preserve">CODE BACKLOG COMPLETE. 98 of 100 stories Done-in-code (391/399 pts); the 2 remaining are ST-068 (needs a third-party penetration test) and ST-083 (needs a running app to record the demo video) — neither is a coding task. FINAL EVIDENCE: 31 suites / 516 tests / 100% statements-branches-functions-lines across 33 modules / tsc strict clean / smoke green / coverage gate pinned at 100 since S1. Three test-side errors were found and fixed this sprint, none in source. STANDING POSITION: code 98% complete, launch checklist 50% complete (SUBMISSION_DRY_RUN.md), launch gate NO-GO (LAUNCH_RUNBOOK.md). Further sprints cannot move any of it.</t>
  </si>
  <si>
    <t xml:space="preserve">D13; D7/R2</t>
  </si>
  <si>
    <t xml:space="preserve">Project transitions from build to launch execution</t>
  </si>
  <si>
    <t xml:space="preserve">LC-1 has blocked live evidence for 11 consecutive sprints</t>
  </si>
  <si>
    <t xml:space="preserve">Live execution — Senthil</t>
  </si>
  <si>
    <t xml:space="preserve">E038</t>
  </si>
  <si>
    <t xml:space="preserve">Deployment readiness built ahead of LC-1. src/deployment.ts names all 16 environment values with their source, validates required/format/kind, enforces that vault-sourced secrets are actually vault-sourced in production, catches the conditional Stripe key, and warns on unknown variables. checkDeploymentReadiness combines config and the S8 posture verifier into ONE fail-closed gate — a misconfigured instance refuses traffic instead of failing on the first customer request, which is the difference between a five-minute rollback and an incident. .env.example is generated from the spec so it cannot drift from what the code reads.</t>
  </si>
  <si>
    <t xml:space="preserve">LC-1 prep</t>
  </si>
  <si>
    <t xml:space="preserve">15 tests added; suite 531 / 100% x4 / 34 modules</t>
  </si>
  <si>
    <t xml:space="preserve">E039</t>
  </si>
  <si>
    <t xml:space="preserve">Three blocker documents so each external task starts warm rather than cold. GCP_SETUP_GUIDE.md sequences LC-1 end to end and surfaces a REORDERING FINDING: the consent screen requires authorised domains that are live and verified, so the privacy policy and status page must be HOSTED BEFORE the consent screen is configured — previously both were treated as parallel to it. PENTEST_SCOPING_BRIEF.md scopes from the shipped code (in scope, out of scope, evidence required) and names four design decisions a tester should probe rather than accept, including the deliberate leave-failed-submissions-unprocessed behaviour. CASA_PREFILL.md answers the assessment from existing evidence and marks three controls NOT YET — encryption at rest, restore drill against real backups, pen test — rather than answering aspirationally, because a CASA answer that cannot be evidenced fails the assessment later and more expensively.</t>
  </si>
  <si>
    <t xml:space="preserve">LC-1, LC-3, ST-068 prep</t>
  </si>
  <si>
    <t xml:space="preserve">Three artefacts published; no status changed</t>
  </si>
  <si>
    <t xml:space="preserve">All three need Senthil or a third party to act</t>
  </si>
  <si>
    <t xml:space="preserve">Live execution</t>
  </si>
  <si>
    <t xml:space="preserve">E040</t>
  </si>
  <si>
    <t xml:space="preserve">LC-9 template gallery: 20 templates across finance (4), people &amp; HR (4), legal (3), education (3), operations (3), and client services (3). Every template uses at least one conditional section, since that is the feature that distinguishes the product from a plain mail merge and the gallery is how a prospect learns it exists. Each lists required and optional columns so a user knows what data they need before committing, and names the search terms it targets — 61 in total, because the GTM plan makes the gallery the listing's organic-search surface.</t>
  </si>
  <si>
    <t xml:space="preserve">LC-9; GTM</t>
  </si>
  <si>
    <t xml:space="preserve">LC-9 Done</t>
  </si>
  <si>
    <t xml:space="preserve">E041</t>
  </si>
  <si>
    <t xml:space="preserve">Gallery PROVED, not asserted. A structural validator rejects duplicate slugs, rules referencing non-existent placeholders or sections, sections with no rule (which would always render), sample rows that cannot fill their own body, missing search terms, and thin blurbs. Then every one of the 20 is rendered through the real TemplateDesigner with its sample row and asserted to leave no unresolved markers, with extra tests proving conditions genuinely switch (invoice discount vs overdue, reminder tone escalation, equals-rule hiding). TWO DEFECTS this caught: 22 templates written against a target of 20, and two rules testing control fields that never render — which the real engine rejects outright. Reading the templates would not have surfaced either.</t>
  </si>
  <si>
    <t xml:space="preserve">LC-9; D13</t>
  </si>
  <si>
    <t xml:space="preserve">Suite 567 / 100% x4 / smoke green</t>
  </si>
  <si>
    <t xml:space="preserve">No unblocked work remains</t>
  </si>
  <si>
    <t xml:space="preserve">E042</t>
  </si>
  <si>
    <t xml:space="preserve">S12</t>
  </si>
  <si>
    <t xml:space="preserve">Growth model frame built against the S12 exit ("growth model doc with CAC/LTV first estimates"). Restates the 18-month workbook model as unit economics: 22.2-month average lifetime at 4.5% churn, $15.20 monthly gross profit, $337.78 LTV. Fully-loaded CAC charges free-tier support against each conversion — at 6% conversion roughly 17 installs are served per paying customer, making a high-volume free tier an acquisition cost even at zero marketing spend. The verdict logic separates four cases a single LTV:CAC number blurs: workable, healthy-ratio-but-slow-payback (needs funding to bridge rather than patience), marginal, and loss-making.</t>
  </si>
  <si>
    <t xml:space="preserve">S12 exit</t>
  </si>
  <si>
    <t xml:space="preserve">Frame built; estimates remain assumptions</t>
  </si>
  <si>
    <t xml:space="preserve">No cohort exists</t>
  </si>
  <si>
    <t xml:space="preserve">E043</t>
  </si>
  <si>
    <t xml:space="preserve">SENSITIVITY FINDING worth acting on: ranking inputs by how much they move the fully-loaded ratio puts CHURN first, ahead of free-to-paid conversion. My own test expectation said conversion; the model corrected it. Lifetime scales LTV directly, while conversion mostly moves the small free-support cost carried per paying customer — halving churn beats doubling conversion. Each assumption is attached to instrumentation that already exists so first-cohort data lands without new analysis. ONE SOURCE DEFECT found and fixed: two-decimal display rounding turned a 0.45% churn rate into 0, which reads as "no churn" — small magnitudes now keep four places. S12 exit stays IN PROGRESS: a frame is not an estimate, and estimates without a cohort are assumptions dressed as numbers.</t>
  </si>
  <si>
    <t xml:space="preserve">S12; D13</t>
  </si>
  <si>
    <t xml:space="preserve">Suite 589 / 100% x4 / smoke green</t>
  </si>
  <si>
    <t xml:space="preserve">Replace with measured figures after the first cohort</t>
  </si>
  <si>
    <t xml:space="preserve">E044</t>
  </si>
  <si>
    <t xml:space="preserve">ST-068 vendor outreach pack written (PENTEST_OUTREACH.md). The email is built so a vendor can quote straight from PENTEST_SCOPING_BRIEF.md — no discovery call, which keeps turnaround short and quotes comparable. Shortlist criteria filter for credentials on the actual testers, reports previously accepted for marketplace or CASA submissions, fixed price quoted from a brief, and an included retest. FINDING repeated in the pack because it changes what to optimise for: LEAD TIME is the binding constraint, not price — this sits on the critical path beside CASA (LC-3), and the two waits run in parallel, so both should be booked in the same week. All preparable work for DocMerge is now complete.</t>
  </si>
  <si>
    <t xml:space="preserve">ST-068; LC-3; R-D10</t>
  </si>
  <si>
    <t xml:space="preserve">Outreach ready; ST-068 remains In progress until a report exists</t>
  </si>
  <si>
    <t xml:space="preserve">No staging target yet (LC-1)</t>
  </si>
  <si>
    <t xml:space="preserve">E045</t>
  </si>
  <si>
    <t xml:space="preserve">COLD REVIEW PASS 1. Portfolio memory shows every sibling product that declared code-complete then found real defects in code already at 100% coverage; TeleField logged it as L-T1 (review before declaring complete) and the portfolio lesson is F-V14 (coverage proves execution, not correctness). DocMerge had never been reviewed — so the "code phase complete" declaration two turns ago was premature, and this pass proves it. Nine findings, five CRITICAL. Five fixed with pinned regressions: read-only mode and plan limits were both fully built, fully tested, and CALLED FROM NOWHERE, so two behaviours the help centre promises customers were simply absent from the product; OAuth install accepted any code with no state (CSRF); webhooks verified nothing, so an unauthenticated POST could revoke a live account tokens and schedule its data for deletion; and no production backoff existed anywhere because every retry policy came from a test injecting its own no-op sleep. Four left open and logged rather than quietly fixed: DM-F01 (no HTTP app exists behind any route — the setup guide is unrunnable), DM-F07 (caller-declared identity), DM-F08 (eleven unbounded ledgers), DM-F09 (deletion has no implementation behind it, the class that breached published policy in five sibling products).</t>
  </si>
  <si>
    <t xml:space="preserve">L-T1; F-V14; DM-F01..F09</t>
  </si>
  <si>
    <t xml:space="preserve">35 suites / 616 tests at 100%; new Review_Findings sheet</t>
  </si>
  <si>
    <t xml:space="preserve">DM-F01 is the next real work; DM-F07 needs his decision</t>
  </si>
  <si>
    <t xml:space="preserve">Cold-review pass 2</t>
  </si>
  <si>
    <t xml:space="preserve">E046</t>
  </si>
  <si>
    <t xml:space="preserve">DM-F01 + DM-F07 closed. The product now HAS an application: a framework-free router (literal and :param segments), 7 routes bound to the services that already existed, a server entrypoint with npm start, and a readiness check that refuses to listen on a misconfigured environment rather than failing on the first customer request. Identity comes from HMAC-signed sessions instead of a caller-supplied role parameter — a token whose role field is edited now fails signature verification, and a session issued for one account is refused against another. Every mutating route is authenticated and passes the entitlement gate, so the read-only mode and plan limits fixed earlier are enforced on the wire; reads deliberately stay open so an unpaid customer can still retrieve their work. Unexpected handler failures map to 500 without leaking internals, rather than hanging the request open (sibling M-F21 class). THEN BOOTED IT: healthz returned 200, the install URL carried its CSRF state, an unsigned webhook got 401, an unauthenticated route got 401, an unknown route got 404 — because the sibling lesson is that compiling is not running.</t>
  </si>
  <si>
    <t xml:space="preserve">DM-F01; DM-F07; L-OC4</t>
  </si>
  <si>
    <t xml:space="preserve">36 suites / 650 tests at 100%; server verified over real HTTP</t>
  </si>
  <si>
    <t xml:space="preserve">DM-F08 and DM-F09 still open from pass 1</t>
  </si>
  <si>
    <t xml:space="preserve">Close F08/F09, then pass 2 over the new HTTP layer</t>
  </si>
  <si>
    <t xml:space="preserve">E047</t>
  </si>
  <si>
    <t xml:space="preserve">DM-F08 and DM-F09 closed, then cold-review PASS 2 over the HTTP layer built an hour earlier — because the sibling lesson (L-OC4) is that new surfaces inherit old blind spots, and OnCall found two criticals in its equivalent layer immediately after building it. F08: 11 ledgers bounded, with eviction COUNTED rather than silent; the hash-chained admin audit was the interesting one — bounding it breaks verification from genesis, so the last evicted digest becomes the chain anchor and verifyChain now reports truncation instead of failing, with sequence numbers still counting so gaps are visible rather than disguised. F09: a PurgeRegistry over 16 stores whose registration check FAILS THE BUILD when a store has no purge target, receipts carrying per-store row counts as evidence, and an incomplete purge reported as incomplete rather than claimed done — plus the database schema that never existed behind the backup drill or the policy, with ON DELETE CASCADE on every account-scoped table so completeness is a property of the schema rather than of code someone must remember to update. PASS 2 found four more, all fixed and all verified by booting the server: uncapped request body (413 on a 2MB POST), abandoned OAuth states accumulating because sweep() was never called — the SAME built-but-never-wired class as F02/F03, which is worth noting because I introduced it while fixing that class — no rate limiting anywhere (429 after 20 install calls, a different caller unaffected), and /healthz handing the build version to anyone.</t>
  </si>
  <si>
    <t xml:space="preserve">DM-F08..F13; L-OC4</t>
  </si>
  <si>
    <t xml:space="preserve">40 suites / 691 tests at 100%; all 13 findings closed; server verified live</t>
  </si>
  <si>
    <t xml:space="preserve">Cold review complete across both passes</t>
  </si>
  <si>
    <t xml:space="preserve">E048</t>
  </si>
  <si>
    <t xml:space="preserve">EXTERNAL VERIFICATION SWEEP vs live Google docs. Two checks, two LIVE-BLOCKING findings — which is the argument for the step: both were invisible to two clean cold-review passes at 100% coverage, because neither is a defect in our code. They are facts about the platform that our design assumed wrongly. VER-DM1: the Workspace Marketplace does not push uninstall webhooks to a developer server, and the licenseNotification API that once reported deletions is deprecated with no replacement — so /webhooks/uninstall was a handler for an event that never arrives, and ST-052 revocation, the 30-day clock, ST-053 restore and the F09 purge chain would all have sat waiting forever in production. Replaced with a reconciler that detects uninstall from license state plus revoked credentials, and that deliberately treats an API outage or unknown state as indeterminate — mistaking an outage for a departure would revoke a live customer and start deleting their data. VER-DM2: Google Forms cannot POST to an arbitrary URL; form submit requires an installable Apps Script trigger that calls UrlFetchApp itself, so the whole F5 feature (10 stories, 42 pts) assumed a capability that does not exist. Shipped apps-script/FormForwarder.gs signing with the scheme the endpoint already verifies, secret in Script Properties, stable response id for dedupe, 5xx-only rethrow so Apps Script retries server failures but not rejections.</t>
  </si>
  <si>
    <t xml:space="preserve">VER-DM1; VER-DM2</t>
  </si>
  <si>
    <t xml:space="preserve">41 suites / 707 tests at 100%</t>
  </si>
  <si>
    <t xml:space="preserve">Form setup flow changes — ST-041 wording and help article owed</t>
  </si>
  <si>
    <t xml:space="preserve">Verification sweep part 2</t>
  </si>
  <si>
    <t xml:space="preserve">E049</t>
  </si>
  <si>
    <t xml:space="preserve">VER-DM3: the "Workspace add-on sidebar" the product was built against does not exist as described. Google has TWO add-on types with incompatible UI models. The Workspace type is card-based and explicitly forbids HTML/CSS, cannot read the open document, has no Apps Script triggers, and is not available in Google Forms — but reaches mobile and every host app. The Editor type has HTML sidebars, document context and triggers, but is desktop-only and confined to the Editors. Five shipped stories claim the feature "works on the Workspace add-on sidebar in Sheets/Docs end-to-end" while depending on reading the active row, which is document context and unavailable on exactly the surface named; and VER-DM2 form triggers only exist on the Editor type. Twelve stories cannot ship on the Workspace surface as built. I did NOT pick — this is a product decision with real trade-offs on both sides (mobile and cross-app reach vs keeping every shipped feature), so it is logged as D-DM1 with a test-pinned constraint matrix and a decision document rather than quietly resolved in code. Undisputed either way: a 30-second UI action cannot generate hundreds of documents, so batch stays server-side — which our architecture already assumes.</t>
  </si>
  <si>
    <t xml:space="preserve">VER-DM3; D-DM1</t>
  </si>
  <si>
    <t xml:space="preserve">42 suites / 721 tests at 100%</t>
  </si>
  <si>
    <t xml:space="preserve">D-DM1 blocks listing copy, scope narrative, and 5 story descriptions</t>
  </si>
  <si>
    <t xml:space="preserve">Sweep part 3 after D-DM1</t>
  </si>
  <si>
    <t xml:space="preserve">E050</t>
  </si>
  <si>
    <t xml:space="preserve">VER-DM4: checked our listing spec against the live Marketplace page and every number in it was invented. Eight discrepancies. Two are REQUIRED assets we did not know existed — the application icons (32x32 and 128x128, plus 48x48 and 96x96 now that the project includes a web app) and the 220x140 card banner that appears on listings and in search results. One is a content rule with no check at all: the app name must not contain a Google product name. One is a missing required support link: terms of service, absent from our submission checklist. The rest were limits wrong in the strict direction — we demanded exactly 5 screenshots where 1 to 10 are accepted, rejected two screenshot sizes the platform allows, capped the name at 30 rather than 50, the short description at 120 rather than 200, and the detailed description at 4,000 rather than 16,000 — so the drafted copy was being held to constraints tighter than reality. And the promo video is an optional YouTube LINK, not the captioned 30-120 second upload we specified, which means the demo-video blocker on the board was partly self-inflicted. Rewritten against the verified spec with 13 pinning tests; LISTING_PACK.md regenerated. Sibling precedent: TestPulse found its asset spec wrong in exactly this way.</t>
  </si>
  <si>
    <t xml:space="preserve">VER-DM4; ST-093; ST-094</t>
  </si>
  <si>
    <t xml:space="preserve">42 suites / 729 tests at 100%</t>
  </si>
  <si>
    <t xml:space="preserve">Icons and card banner now needed for submission — new capture items</t>
  </si>
  <si>
    <t xml:space="preserve">Sweep part 4: OAuth verification + CASA</t>
  </si>
  <si>
    <t xml:space="preserve">E051</t>
  </si>
  <si>
    <t xml:space="preserve">VER-DM5 — the first verification finding that takes work OFF the board. Google routes review by scope CLASSIFICATION, and a CASA security assessment is triggered by RESTRICTED scopes. DocMerge requests none: drive.file is specifically the recommended non-sensitive alternative to the restricted Drive scopes, userinfo.email is non-sensitive, and only spreadsheets.readonly and documents are sensitive — which require Google app verification but not an assessment. CASA has sat on this board as a blocking, multi-week, paid item since S6, driving R-D1 and R-D10 and appearing in the pen-test sequencing advice, all on an assumption nobody had checked. LC-3 is downgraded to "likely not required — confirm in the Cloud console under OAuth consent screen &gt; Data Access" rather than deleted, because classification is per-project and Google may still request an assessment at its discretion; deleting it would trade one unchecked assumption for another. Found in the same pass and NOT previously on the board: verification requires an unlisted YouTube DEMONSTRATION video showing the OAuth grant flow, the consent screen displaying the app name, and detailed in-app use of each sensitive scope — separate from the optional marketing promo video, and recordable only once the app runs. The review path is now derived in code from the classifications rather than assumed, with a test proving CASA appears only when a restricted scope is present.</t>
  </si>
  <si>
    <t xml:space="preserve">VER-DM5; LC-3; R-D1; R-D10</t>
  </si>
  <si>
    <t xml:space="preserve">42 suites / 736 tests at 100%</t>
  </si>
  <si>
    <t xml:space="preserve">LC-3 to be confirmed in console, not booked blind</t>
  </si>
  <si>
    <t xml:space="preserve">Sweep complete — D-DM1 next</t>
  </si>
  <si>
    <t xml:space="preserve">E052</t>
  </si>
  <si>
    <t xml:space="preserve">R-D4 closed with a Postgres adapter — the risk that has stood since S1, when persistence went behind typed interfaces with in-memory Maps behind them. That was the right call with no schema, but it meant the interfaces had never once been implemented against a database, and the migrations written for DM-F09 were decorative. src/postgres.ts implements TokenStore, AccountRepo and TemplateRepo against the real schema and supplies purge targets for all 18 tables, ordered children-before-parents so the per-table counts are genuine evidence rather than zeroes from an earlier cascade. The SQL client is injected, so there is no pg dependency and the whole adapter is exercisable without a database. Four details that would have bitten in production and are now pinned by tests: BIGINT expiries come back from the driver as STRINGS and are converted explicitly rather than coerced; template and rules write inside one transaction with rollback, because a half-replaced rule set renders wrong output instead of failing; an absent rule value is stored as NULL rather than the string "undefined"; and the two child tables without an account_id column are reached through their parent instead. One test purges using a SQL-injection string and asserts it never appears in any statement text.</t>
  </si>
  <si>
    <t xml:space="preserve">R-D4; DM-D2; DM-F09</t>
  </si>
  <si>
    <t xml:space="preserve">43 suites / 753 tests at 100%</t>
  </si>
  <si>
    <t xml:space="preserve">Remaining stores still in-memory; DM-D2 ratification owed</t>
  </si>
  <si>
    <t xml:space="preserve">D-DM1 then live execution</t>
  </si>
  <si>
    <t xml:space="preserve">E053</t>
  </si>
  <si>
    <t xml:space="preserve">Continuing the adapter work turned up DM-F14 rather than a routine increment. The remaining in-memory stores are a durability gap: a process restart resets every plan limit, so each deploy silently hands every customer a fresh monthly allowance — a revenue leak that no test would ever catch, because tests start from zero anyway; billing state resets so paying customers appear to be on trial; and the tamper-evident admin audit chain evaporates AND restarts its numbering at genesis, so the loss is not even visible afterwards. Usage counters are fixed end to end: PlanLimitEnforcer now takes a UsageBackend, and WriteThroughUsageBackend serves reads from a cache primed at startup (so the synchronous limit check stays synchronous and fast) while writing through to Postgres via a single atomic upsert — read-then-write would drop increments precisely when a customer is near their limit and two generations land together. Write failures increment a counter rather than failing the customer request, because a limit check must not become failable over a counter write, but a silent failure must still be visible. A test simulates a restart and proves the allowance is preserved. The subscription and admin-audit stores are built and tested — append-only with no update path, and lastSequence so the chain continues across restarts instead of forking a second one — but their services are NOT yet wired to them, and I am flagging that explicitly rather than letting it read as done, because this codebase has already produced two built-but-never-called defects (DM-F02/F03) and I introduced a third (DM-F11) while fixing them.</t>
  </si>
  <si>
    <t xml:space="preserve">DM-F14; R-D4</t>
  </si>
  <si>
    <t xml:space="preserve">43 suites / 770 tests at 100%</t>
  </si>
  <si>
    <t xml:space="preserve">BillingService and AdminAuditLog still unwired to their stores</t>
  </si>
  <si>
    <t xml:space="preserve">Wire them, then telemetry/support</t>
  </si>
  <si>
    <t xml:space="preserve">E054</t>
  </si>
  <si>
    <t xml:space="preserve">DM-F14 closed: BillingService persists after every mutation — subscribe, plan change, payment failure, each dunning transition, cancel — and AdminAuditLog resumes a tenant chain from storage rather than restarting at genesis. Both use write-through backends that keep reads synchronous and count write failures instead of failing the customer request. DM-F15 FOUND DURING THE WIRING, not by looking for it: the admin audit log had no accountId at all. Every customer shared one chain and one sequence counter, and exportCsv returned the entire log — so a single customer security review would have handed them every other customer admin history: roles changed, members removed, data exports requested. The sequence numbering also leaked each tenant activity volume. The schema written for DM-F09 had keyed admin_audit_entries on (account_id, sequence) since this morning; the code never matched it, and nothing caught the mismatch because the table had no implementation behind it until today — which is the argument for building the adapter rather than leaving the schema decorative. Now scoped per account throughout, with the accountId inside the digest so an entry cannot be replayed into another tenant chain.</t>
  </si>
  <si>
    <t xml:space="preserve">DM-F14; DM-F15; DM-F09</t>
  </si>
  <si>
    <t xml:space="preserve">43 suites / 781 tests at 100%</t>
  </si>
  <si>
    <t xml:space="preserve">DM-F15 raises the question of tenant boundaries elsewhere</t>
  </si>
  <si>
    <t xml:space="preserve">Tenant-isolation sweep across remaining services</t>
  </si>
  <si>
    <t xml:space="preserve">E055</t>
  </si>
  <si>
    <t xml:space="preserve">Tenant-isolation sweep, run deliberately because DM-F15 turned up by accident an hour earlier. Five more findings. DM-F16 is the serious one and it was exploitable through the HTTP layer I built this morning: template lookups took a templateId and nothing else, and POST /accounts/:accountId/documents reads the templateId from the request body — so an authenticated user of one account could pass another account template id and both read its body and generate documents from it. The session authentication added for DM-F07 established WHO was asking but nothing established WHAT they were entitled to ask for, which is a distinction worth keeping in mind on the other products. DM-F17 is the same shape on signature requests, exposing signer names, emails and document names. DM-F18 is DM-F15 again in the second audit log. All three now enforce ownership centrally rather than at call sites, and report cross-tenant access as "not found" rather than "wrong account" so the id space cannot be probed for what exists — with a test asserting the two failures are indistinguishable. DM-F19 (metrics summaries aggregate across all tenants) and DM-F20 (support inbox unscoped) are logged OPEN, not fixed: whether they are defects depends on whether those numbers are surfaced per-customer or only internally, and that is a decision rather than a bug.</t>
  </si>
  <si>
    <t xml:space="preserve">DM-F16..F20; DM-F15; DM-F07</t>
  </si>
  <si>
    <t xml:space="preserve">43 suites / 786 tests at 100%; smoke green</t>
  </si>
  <si>
    <t xml:space="preserve">DM-F19/F20 need a surfacing decision</t>
  </si>
  <si>
    <t xml:space="preserve">Telemetry/support persistence; D-DM1 still open</t>
  </si>
  <si>
    <t xml:space="preserve">E056</t>
  </si>
  <si>
    <t xml:space="preserve">Built a portable tenant-isolation gate and wired it into CI as its own step, because DM-F15 was found by accident and DM-F16 by a sweep that followed it — a sweep catches this class once, a gate catches it every commit. It scans for methods that accept an entity id and act on it with no tenant parameter, with the parameter names and id suffixes as CONFIGURATION so the file copies straight into RevRescue, TeleField and FlowCast, where the pattern is identical. It flagged 28 methods on its first run against our own source. Triage produced DM-F21: five genuine clusters the manual sweep missed because the sweep checked READS and these are writes-that-are-not-reads — pause and resume on signature requests, form triggers and batch jobs took only an entity id, so one tenant could pause another tenant work with nothing but a guessed id, which is a denial of service against a competitor; InvoiceBook.renderCsv would render any account invoice including billing contact and tax identifiers; SidebarController.openTemplate read another account template metadata before the downstream ownership check. Fixed by namespacing pause state per account, verifying ownership on e-sign pause/resume, requiring the account on renderCsv, and reporting another account template as missing. The remaining 23 are exempted WITH WRITTEN REASONS rather than silenced — repository primitives whose ownership is enforced a level up, a generic keyed utility callers namespace, signer actions by external parties holding no account, controllers that already carry the account, and the metrics and support cases logged as DM-F19/F20 awaiting your decision. A test asserts every exemption carries a reason, so the list cannot quietly become a dumping ground.</t>
  </si>
  <si>
    <t xml:space="preserve">DM-F21; DM-F15; DM-F16</t>
  </si>
  <si>
    <t xml:space="preserve">44 suites / 797 tests at 100%; gate is its own CI step</t>
  </si>
  <si>
    <t xml:space="preserve">23 exemptions are judgement calls worth a second pair of eyes</t>
  </si>
  <si>
    <t xml:space="preserve">Copy the gate to the sibling products</t>
  </si>
  <si>
    <t xml:space="preserve">E057</t>
  </si>
  <si>
    <t xml:space="preserve">Audited the 23 tenant-gate exemptions I had written an hour earlier and flagged as judgement calls. One was false, which is DM-F22. The PauseManager exemption claimed that callers passed account-namespaced keys; checking the source showed e-sign passing a bare requestId and batch a bare templateId. I demonstrated the consequence before fixing it: a single shared PauseManager holds template ids, sign-request ids, job ids and trigger ids in ONE namespace, so pausing a template called X also reports a sign request called X as paused. Nothing had broken only because each service happened to be given its own instance — and nothing enforced that. The uncomfortable part is that the exemption was right about the outcome (e-sign is protected, by an ownership check) and wrong about the reason, which is exactly the kind of note that passes a security review unchallenged. Fixed by making pauseKey(entity, accountId, entityId) the only way keys are formed across templates, sign requests, batch jobs, form triggers and filing. More importantly the exemptions are no longer prose: three tests now VERIFY their claims — one scans the source and fails the build if any PauseManager call omits pauseKey, one proves two entity types sharing an id cannot collide, one asserts that only the designer and the sidebar touch a template repository directly. An exemption without a test is a comment.</t>
  </si>
  <si>
    <t xml:space="preserve">DM-F22; DM-F21</t>
  </si>
  <si>
    <t xml:space="preserve">44 suites / 801 tests at 100%; smoke green</t>
  </si>
  <si>
    <t xml:space="preserve">22 exemptions remain reasoned but only 3 are test-verified</t>
  </si>
  <si>
    <t xml:space="preserve">Copy the gate to siblings; DM-F19/F20 decision</t>
  </si>
  <si>
    <t xml:space="preserve">E058</t>
  </si>
  <si>
    <t xml:space="preserve">Converted the remaining 22 tenant-gate exemptions from prose into verified claims, closing the gap DM-F22 exposed an hour earlier. Each exemption asserts that a protection exists somewhere else; until now nothing checked whether it did, and one of them was wrong about its reason while right about its outcome — which is the version that survives review. The claims are now checked against behaviour or source: the sandbox holds no account, store or repository reference and its sessions are distinct under the real id generator; purgeAccount takes the account as its subject; the status page contains no tenant concept at all; signer actions reject a stranger holding a valid request id and accept a listed signer who has no account, which is what makes the exemption legitimate rather than convenient; a batch sidebar bound to one account cannot run another account template; both sidebar controllers stamp their own account onto what they create rather than trusting a caller-supplied one; and per-entity metrics and the support inbox are confirmed absent from every HTTP route, which is exactly what keeps DM-F19 and DM-F20 open product decisions rather than live data leaks. Added a meta-gate: unverifiedExemptions() fails the build when an exemption is added without a test naming it, with its own test proving the meta-gate catches such an addition. One fixture error found and fixed along the way — I had pinned the sandbox id generator to a constant, which made the distinctness assertion meaningless.</t>
  </si>
  <si>
    <t xml:space="preserve">DM-F23; DM-F22; DM-F19; DM-F20</t>
  </si>
  <si>
    <t xml:space="preserve">44 suites / 812 tests at 100%; smoke green</t>
  </si>
  <si>
    <t xml:space="preserve">Gate + meta-gate ready to copy to siblings</t>
  </si>
  <si>
    <t xml:space="preserve">DM-F19/F20 and D-DM1 are yours</t>
  </si>
  <si>
    <t xml:space="preserve">E059</t>
  </si>
  <si>
    <t xml:space="preserve">VER-DM6: checked our capacity promises against the platform that has to honour them, and they contradict it. The Docs API allows 60 WRITE requests per minute per user per project. ST-087 set a 1500ms p95 budget per generated row, and ST-088 drove 100 requests a minute at 5x expected traffic and reported PASS. One user cannot exceed one document per second however fast our code is; past 60 in a minute they get 429s and our own backoff makes the p95 worse rather than better. The consequence nobody had written down: a 500-row batch for a single customer cannot complete in under EIGHT MINUTES, which is absent from every estimate, SLO and board entry we have produced. The load test had never touched the ceiling because it drove an injected worker — R-D9 said the numbers proved the harness rather than capacity, and this is that warning with the actual figure attached. Fixed by recording the verified quotas with their sources and refusing to guess an unrecorded one, adding a feasibility check that fails the build when an internal promise exceeds an external quota, a per-account governor that paces instead of earning 429s and reports an honest completion estimate, and making runLoadTest refuse to pass a profile that drives more than a declared platform ceiling. Also recorded while there: Apps Script UrlFetch is capped at 20,000 calls a day for consumer accounts and 100,000 for Workspace, which is the real per-customer ceiling on the form forwarder shipped for VER-DM2 and was likewise unexamined.</t>
  </si>
  <si>
    <t xml:space="preserve">VER-DM6; ST-087; ST-088; R-D9; VER-DM2</t>
  </si>
  <si>
    <t xml:space="preserve">45 suites / 827 tests at 100%; smoke green</t>
  </si>
  <si>
    <t xml:space="preserve">Batch runner not yet paced through the governor; help-centre timing wording owed</t>
  </si>
  <si>
    <t xml:space="preserve">Pace the runner; copy gates to siblings</t>
  </si>
  <si>
    <t xml:space="preserve">E060</t>
  </si>
  <si>
    <t xml:space="preserve">Closed the two items I flagged as still owed on VER-DM6 rather than leaving them to read as done. The batch runner now paces THROUGH the QuotaGovernor, waiting before each write rather than after a rejection — waiting on our side costs only the wait, whereas being throttled costs a round trip, a backoff, and a slice of the customer's remaining Docs quota that their other tools also need. BatchResult reports quotaWaitMs separately from everything else, so a long batch reads as "paced by Google's limit" rather than "the product is slow", which is the difference between an understood wait and a support ticket. Metering is per account, proven by a test in which one customer exhausting their allowance leaves another entirely unaffected. The help-centre article now states the real figures — about 60 documents a minute, roughly eight minutes for 500 and sixteen for 1,000 — and I checked it is findable by the questions people will actually type: "how long", "slow" and "quota" all return it. One of my test expectations was wrong while the code was right: rows run in bursts because a single wait clears the whole minute-window, so seven rows at a ceiling of three cost two waits rather than four, and the test now says so with the reason.</t>
  </si>
  <si>
    <t xml:space="preserve">VER-DM6; ST-012; ST-080</t>
  </si>
  <si>
    <t xml:space="preserve">45 suites / 830 tests at 100%; smoke green</t>
  </si>
  <si>
    <t xml:space="preserve">Nothing owed on VER-DM6</t>
  </si>
  <si>
    <t xml:space="preserve">Copy the gates to siblings; DM-F19/F20 and D-DM1 are yours</t>
  </si>
  <si>
    <t xml:space="preserve">E061</t>
  </si>
  <si>
    <t xml:space="preserve">Extracted the portfolio guard kit so the sibling products can act on today's findings without waiting for me to have their code. Four modules, verified to have ZERO imports of any kind, so dropping them in brings nothing else with it: tenantGate with its meta-gate, ledger, purge, platformQuotas. Two corrections made during extraction rather than after. First, platformQuotas was parameterised — the mechanism ports but Google's 60-writes-per-minute has no business in a Zoho or Xero product, and inheriting it silently would be exactly the unchecked assumption the module exists to prevent. Second, I copied DocMerge's tenantGate test into the kit and then removed it: it imports designerOps, esign, batchOps and half the product, so it would not have compiled anywhere else, and shipping it would have been a kit that looks complete and fails on first use. The kit now carries a template test with no product imports. README records what each gate caught HERE as evidence rather than describing the gates abstractly, and TRIAGE.md gives the five questions to ask on a first run — DocMerge flagged 28 methods and only five clusters were genuine, so a team that exempts without triaging converts the gate into decoration.</t>
  </si>
  <si>
    <t xml:space="preserve">Guard kit; DM-F16..F23; VER-DM6</t>
  </si>
  <si>
    <t xml:space="preserve">45 suites / 832 tests at 100%</t>
  </si>
  <si>
    <t xml:space="preserve">Kit is untested against a real sibling codebase</t>
  </si>
  <si>
    <t xml:space="preserve">Run it against a sibling when available</t>
  </si>
  <si>
    <t xml:space="preserve">E062</t>
  </si>
  <si>
    <t xml:space="preserve">VER-DM7: the quota module built an hour ago caught a gap in itself. It refuses to guess an unrecorded quota, and the filing path tripped that refusal immediately — we write to Drive for every generated document and had recorded no Drive limit at all. Checking produced an awkward answer rather than a clean one: Google is mid-migration between a request-count model (12,000 queries per 60 seconds per user on one published page) and a quota-unit model (1,000,000 units per minute per project, 325,000 per user on another), with projects that used the API before May 2026 reportedly keeping legacy counts until the rollout completes. Which applies depends on the age of a project we have not created yet. I recorded the conservative figure WITH the ambiguity attached and added a caveat field so an unreliable quota is visibly unreliable, rather than resolving it by choosing whichever number suited the plan — that choice is precisely the unchecked assumption the module exists to prevent. The useful conclusion is reassuring: on every published model Drive sits two orders of magnitude above the Docs ceiling of 60 writes per minute per user, so filing is not the binding constraint on a batch and the governor is already configured to the one that is. Added bindingConstraint() to compute which API throttles first, with a test proving Docs governs today and another proving that a future quota change reversing it would surface rather than silently slowing every customer run. One test correctly failed during the change — it had asserted Drive was unrecorded, which was true until this finding closed it.</t>
  </si>
  <si>
    <t xml:space="preserve">VER-DM7; VER-DM6; ST-031</t>
  </si>
  <si>
    <t xml:space="preserve">45 suites / 836 tests at 100%; smoke green; guard kit refreshed</t>
  </si>
  <si>
    <t xml:space="preserve">Drive figure must be re-verified against the real project (LC-1)</t>
  </si>
  <si>
    <t xml:space="preserve">D-DM1, DM-F19/F20, LC-1 chain</t>
  </si>
  <si>
    <t xml:space="preserve">E063</t>
  </si>
  <si>
    <t xml:space="preserve">Wrote STATE_OF_DOCMERGE.md rather than another module, because thirty findings and sixty-two log entries are not a thing anyone can act on. It states the position in one paragraph, lists the three decisions owed with what each costs if deferred, gives the eight external actions in their corrected order (hosting before the consent screen, since the screen requires verified authorised domains — a sequencing error I made earlier today and corrected as R-D15), and records the five lessons that outlast the individual fixes: coverage proves execution rather than correctness, since read-only mode and plan limits were fully built and tested and called from nowhere; authentication is not authorisation, and having signed sessions made the missing entitlement check look done; internal review cannot see platform reality, as two clean passes found nothing and a live-documentation sweep then found seven findings in seven checks; a plausible reason survives review indefinitely, which is why exemptions are now tests; and a sweep finds a class once while a gate finds it every commit. It closes with the assessment I would want on the record: the product has been code-complete since roughly 11:00 and has not moved one step closer to a customer since, because everything remaining needs a domain, a project, a budget or a decision — and the highest-value hour available is registering a domain and creating the GCP project, which unblocks seven of the eight remaining actions.</t>
  </si>
  <si>
    <t xml:space="preserve">All findings; D-DM1; R-D15; LC-1</t>
  </si>
  <si>
    <t xml:space="preserve">45 suites / 836 tests at 100%</t>
  </si>
  <si>
    <t xml:space="preserve">Nothing further without a decision, a sibling codebase, or live infrastructure</t>
  </si>
  <si>
    <t xml:space="preserve">Senthil</t>
  </si>
  <si>
    <t xml:space="preserve">DECISIONS (tracker scope)</t>
  </si>
  <si>
    <t xml:space="preserve">Decision</t>
  </si>
  <si>
    <t xml:space="preserve">Rationale</t>
  </si>
  <si>
    <t xml:space="preserve">Decided by</t>
  </si>
  <si>
    <t xml:space="preserve">(Portfolio-wide) Discovery interviews parked; dev proceeds with 100% automation test coverage on all code (supersedes ST-085 &gt;=70% gate).</t>
  </si>
  <si>
    <t xml:space="preserve">Senthil 10 Sep 20:45; applied to DocMerge from 22:17 session start.</t>
  </si>
  <si>
    <t xml:space="preserve">LOCKED</t>
  </si>
  <si>
    <t xml:space="preserve">D15</t>
  </si>
  <si>
    <t xml:space="preserve">Sequencing mode for concurrent builds (parallel vs order swap) — DocMerge Pro is now a third active build alongside the rank-1 and rank-2 products while the rank-1 gate is unmet.</t>
  </si>
  <si>
    <t xml:space="preserve">Logged for ratification consistency with the portfolio serial rule; DocMerge sessions ran on explicit "continue" instructions 22:17-23:03.</t>
  </si>
  <si>
    <t xml:space="preserve">Senthil (mode ratification pending)</t>
  </si>
  <si>
    <t xml:space="preserve">OPEN</t>
  </si>
  <si>
    <t xml:space="preserve">DM-D1</t>
  </si>
  <si>
    <t xml:space="preserve">Stack = TypeScript/Node strict per v007 ReadMe stack assumption; Jest + ts-jest; coverage thresholds pinned at 100 in package.json; GitHub Actions CI with smoke-gated deploy.</t>
  </si>
  <si>
    <t xml:space="preserve">Follows workbook; matches TeleField/RevRescue precedent.</t>
  </si>
  <si>
    <t xml:space="preserve">Claude — flagged</t>
  </si>
  <si>
    <t xml:space="preserve">OPEN for ratification</t>
  </si>
  <si>
    <t xml:space="preserve">DM-D2</t>
  </si>
  <si>
    <t xml:space="preserve">Persistence and platform boundaries injected: in-memory repos (tokens, accounts, templates, scheduler) behind typed interfaces; OAuth transport, delivery transport, sidebar host, notification senders, telemetry sink all injected. Postgres/Apps Script/PostHog adapters land at deploy without touching domain code.</t>
  </si>
  <si>
    <t xml:space="preserve">Sandbox has no Postgres or live Workspace; same accepted pattern as TeleField D16/R-T4.</t>
  </si>
  <si>
    <t xml:space="preserve">PARTLY RESOLVED — Postgres adapter shipped for tokens, accounts, templates and purge (R-D4 closed). Remaining stores still in-memory; ratification still owed.</t>
  </si>
  <si>
    <t xml:space="preserve">DM-D3</t>
  </si>
  <si>
    <t xml:space="preserve">STATUS MAPPING: product workbook Full_Backlog "Done" == tracker "Done-in-code". Nothing is tracker-"Done" until live evidence (dev-org install, real Sheets/Drive calls, screenshots) exists.</t>
  </si>
  <si>
    <t xml:space="preserve">D7/R2 honesty pattern: code complete counts for nothing at the completion gate.</t>
  </si>
  <si>
    <t xml:space="preserve">Claude per TeleField pattern</t>
  </si>
  <si>
    <t xml:space="preserve">LOCKED (pattern)</t>
  </si>
  <si>
    <t xml:space="preserve">D-DM1</t>
  </si>
  <si>
    <t xml:space="preserve">Pick the add-on type: Editor add-on (HTML sidebar, document context, Apps Script triggers — desktop and Editors only) OR Google Workspace add-on (cards, mobile, all host apps — no document context, no triggers, not in Forms).</t>
  </si>
  <si>
    <t xml:space="preserve">Forced by VER-DM3. The product was built assuming a surface that does not exist as described: 12 shipped stories cannot run on the Workspace type as built, and the form feature cannot run there at all. Evidence and trade-offs in ADDON_SURFACE_DECISION.md; constraint matrix test-pinned in src/addonSurface.ts.</t>
  </si>
  <si>
    <t xml:space="preserve">OPEN — blocks listing copy, scope narrative, and 5 story descriptions</t>
  </si>
  <si>
    <t xml:space="preserve">S1 BUILD BOARD — Foundation — exit: app installs cleanly in dev org; telemetry firing — product workbook v008 (22:17)</t>
  </si>
  <si>
    <t xml:space="preserve">Item</t>
  </si>
  <si>
    <t xml:space="preserve">Story ref</t>
  </si>
  <si>
    <t xml:space="preserve">Points</t>
  </si>
  <si>
    <t xml:space="preserve">Owner</t>
  </si>
  <si>
    <t xml:space="preserve">Notes / Evidence</t>
  </si>
  <si>
    <t xml:space="preserve">S1-01</t>
  </si>
  <si>
    <t xml:space="preserve">Repo scaffold + Jest/ts-jest + coverage gate pinned 100x4 (D13)</t>
  </si>
  <si>
    <t xml:space="preserve">Claude</t>
  </si>
  <si>
    <t xml:space="preserve">Done</t>
  </si>
  <si>
    <t xml:space="preserve">package.json coverageThreshold; E004.</t>
  </si>
  <si>
    <t xml:space="preserve">S1-02</t>
  </si>
  <si>
    <t xml:space="preserve">OAuth install flow -&gt; attributed welcome, &lt;2-min budget enforced</t>
  </si>
  <si>
    <t xml:space="preserve">ST-051</t>
  </si>
  <si>
    <t xml:space="preserve">Done-in-code</t>
  </si>
  <si>
    <t xml:space="preserve">src/oauth.ts exchangeCode + src/install.ts; budget pass/fail tests. Live &lt;2-min check at S1-06.</t>
  </si>
  <si>
    <t xml:space="preserve">S1-03</t>
  </si>
  <si>
    <t xml:space="preserve">Uninstall webhook: revoke + delete tokens, 30-day retention schedule, replay-idempotent</t>
  </si>
  <si>
    <t xml:space="preserve">ST-052</t>
  </si>
  <si>
    <t xml:space="preserve">src/uninstall.ts; duplicate-webhook + partial-install tests.</t>
  </si>
  <si>
    <t xml:space="preserve">S1-04</t>
  </si>
  <si>
    <t xml:space="preserve">Rotation-surviving token refresh; invalid_grant -&gt; re-auth; one transient retry</t>
  </si>
  <si>
    <t xml:space="preserve">ST-055</t>
  </si>
  <si>
    <t xml:space="preserve">src/tokenRefresh.ts; rotation-persistence + no-retry-loop tests.</t>
  </si>
  <si>
    <t xml:space="preserve">S1-05</t>
  </si>
  <si>
    <t xml:space="preserve">Install telemetry source attribution (listing/search/referral) with sink-failure isolation</t>
  </si>
  <si>
    <t xml:space="preserve">ST-056</t>
  </si>
  <si>
    <t xml:space="preserve">src/telemetry.ts; dropped-event counter.</t>
  </si>
  <si>
    <t xml:space="preserve">S1-06</t>
  </si>
  <si>
    <t xml:space="preserve">Install cleanly in REAL Workspace dev org (GCP project + OAuth consent — LC-1)</t>
  </si>
  <si>
    <t xml:space="preserve">ST-051 live</t>
  </si>
  <si>
    <t xml:space="preserve">Senthil + Claude</t>
  </si>
  <si>
    <t xml:space="preserve">To do</t>
  </si>
  <si>
    <t xml:space="preserve">Needs GCP project; evidence: install screenshot + org id + telemetry row.</t>
  </si>
  <si>
    <t xml:space="preserve">S2 BUILD BOARD — Template designer pt 1 — exit: happy path demoable — product workbook v009 (22:23)</t>
  </si>
  <si>
    <t xml:space="preserve">S2-01</t>
  </si>
  <si>
    <t xml:space="preserve">Template one-screen defaults (pdf, filename pattern, Drive folder)</t>
  </si>
  <si>
    <t xml:space="preserve">ST-001</t>
  </si>
  <si>
    <t xml:space="preserve">src/templates.ts createWithDefaults; defaults pinned in tests.</t>
  </si>
  <si>
    <t xml:space="preserve">S2-02</t>
  </si>
  <si>
    <t xml:space="preserve">Happy-path render: placeholders/sections, actionable missing-field messages</t>
  </si>
  <si>
    <t xml:space="preserve">ST-002</t>
  </si>
  <si>
    <t xml:space="preserve">renderPreview; "add a column to your Sheet" hints tested.</t>
  </si>
  <si>
    <t xml:space="preserve">S2-03</t>
  </si>
  <si>
    <t xml:space="preserve">Validated rules/conditions with multi-problem aggregation</t>
  </si>
  <si>
    <t xml:space="preserve">ST-003</t>
  </si>
  <si>
    <t xml:space="preserve">setRules; unknown field/section + missing value cases.</t>
  </si>
  <si>
    <t xml:space="preserve">S2-04</t>
  </si>
  <si>
    <t xml:space="preserve">Platform failure mapping 429/5xx/403/404/unknown + withRetry backoff</t>
  </si>
  <si>
    <t xml:space="preserve">ST-004</t>
  </si>
  <si>
    <t xml:space="preserve">src/platformErrors.ts; delay-sequence tests (100/200ms).</t>
  </si>
  <si>
    <t xml:space="preserve">S2-05</t>
  </si>
  <si>
    <t xml:space="preserve">Re-install restore within 30-day retention window</t>
  </si>
  <si>
    <t xml:space="preserve">ST-053</t>
  </si>
  <si>
    <t xml:space="preserve">src/reinstall.ts; window-expired + no-job fallthroughs.</t>
  </si>
  <si>
    <t xml:space="preserve">S2-06</t>
  </si>
  <si>
    <t xml:space="preserve">Permission matrix owner/admin/member enforced</t>
  </si>
  <si>
    <t xml:space="preserve">ST-054</t>
  </si>
  <si>
    <t xml:space="preserve">src/permissions.ts; all 21 cells individually pinned.</t>
  </si>
  <si>
    <t xml:space="preserve">S3 BUILD BOARD — Designer pt 2 + Batch skeleton — exit: designer complete with tests; batch skeleton — v010 (22:29)</t>
  </si>
  <si>
    <t xml:space="preserve">S3-01</t>
  </si>
  <si>
    <t xml:space="preserve">Sidebar surface end-to-end (Sheets/Docs host injected)</t>
  </si>
  <si>
    <t xml:space="preserve">ST-005</t>
  </si>
  <si>
    <t xml:space="preserve">src/sidebar.ts; Docs sample-data fallback. Live surface at LC-1.</t>
  </si>
  <si>
    <t xml:space="preserve">S3-02</t>
  </si>
  <si>
    <t xml:space="preserve">Template metrics: p95, success rate, trend</t>
  </si>
  <si>
    <t xml:space="preserve">ST-006</t>
  </si>
  <si>
    <t xml:space="preserve">src/designerOps.ts TemplateMetrics.</t>
  </si>
  <si>
    <t xml:space="preserve">S3-03</t>
  </si>
  <si>
    <t xml:space="preserve">Audit logging incl. DENIED attempts</t>
  </si>
  <si>
    <t xml:space="preserve">ST-007</t>
  </si>
  <si>
    <t xml:space="preserve">AuditedTemplateDesigner; deny recorded then rethrown.</t>
  </si>
  <si>
    <t xml:space="preserve">S3-04</t>
  </si>
  <si>
    <t xml:space="preserve">Pause without data loss (flag-only)</t>
  </si>
  <si>
    <t xml:space="preserve">ST-008</t>
  </si>
  <si>
    <t xml:space="preserve">PauseManager; "nothing was lost" message tested.</t>
  </si>
  <si>
    <t xml:space="preserve">S3-05</t>
  </si>
  <si>
    <t xml:space="preserve">CSV + competitor (&lt;&lt;x&gt;&gt;) template importer, partial success</t>
  </si>
  <si>
    <t xml:space="preserve">ST-009</t>
  </si>
  <si>
    <t xml:space="preserve">src/importerNotifications.ts; row-numbered errors.</t>
  </si>
  <si>
    <t xml:space="preserve">S3-06</t>
  </si>
  <si>
    <t xml:space="preserve">Notifications in-app+email, per-type per-account mute</t>
  </si>
  <si>
    <t xml:space="preserve">ST-010</t>
  </si>
  <si>
    <t xml:space="preserve">NotificationCenter.</t>
  </si>
  <si>
    <t xml:space="preserve">S3-07</t>
  </si>
  <si>
    <t xml:space="preserve">Batch job one-screen defaults</t>
  </si>
  <si>
    <t xml:space="preserve">ST-011</t>
  </si>
  <si>
    <t xml:space="preserve">src/batch.ts createJobWithDefaults.</t>
  </si>
  <si>
    <t xml:space="preserve">S3-08</t>
  </si>
  <si>
    <t xml:space="preserve">Batch per-row happy path with named outputs</t>
  </si>
  <si>
    <t xml:space="preserve">ST-012</t>
  </si>
  <si>
    <t xml:space="preserve">run(); empty-row skip on/off.</t>
  </si>
  <si>
    <t xml:space="preserve">S3-09</t>
  </si>
  <si>
    <t xml:space="preserve">Batch row rules (reuse designer evaluator)</t>
  </si>
  <si>
    <t xml:space="preserve">ST-013</t>
  </si>
  <si>
    <t xml:space="preserve">withRules; mixed pass/fail rows.</t>
  </si>
  <si>
    <t xml:space="preserve">S3-10</t>
  </si>
  <si>
    <t xml:space="preserve">Batch per-row error/retry paths, retryableRows</t>
  </si>
  <si>
    <t xml:space="preserve">ST-014</t>
  </si>
  <si>
    <t xml:space="preserve">incl. DF-1 fix: validation messages no longer masked (E008).</t>
  </si>
  <si>
    <t xml:space="preserve">S3-11</t>
  </si>
  <si>
    <t xml:space="preserve">Coverage gate story closed as superseded by D13 at 100%</t>
  </si>
  <si>
    <t xml:space="preserve">ST-085</t>
  </si>
  <si>
    <t xml:space="preserve">Gate lives in package.json thresholds; not a live item.</t>
  </si>
  <si>
    <t xml:space="preserve">S4 BUILD BOARD — Batch pt 2 + observability + smoke — exit: MVP loop usable end-to-end — v011 (22:52)</t>
  </si>
  <si>
    <t xml:space="preserve">S4-01</t>
  </si>
  <si>
    <t xml:space="preserve">Batch sidebar end-to-end with wrong-turn guidance</t>
  </si>
  <si>
    <t xml:space="preserve">ST-015</t>
  </si>
  <si>
    <t xml:space="preserve">src/batchOps.ts BatchSidebarController.</t>
  </si>
  <si>
    <t xml:space="preserve">S4-02</t>
  </si>
  <si>
    <t xml:space="preserve">Batch metrics: runs, failure rate, avg duration, trend</t>
  </si>
  <si>
    <t xml:space="preserve">ST-016</t>
  </si>
  <si>
    <t xml:space="preserve">BatchMetrics.</t>
  </si>
  <si>
    <t xml:space="preserve">S4-03</t>
  </si>
  <si>
    <t xml:space="preserve">Governed runner: permission + allow/deny audit up front</t>
  </si>
  <si>
    <t xml:space="preserve">ST-017</t>
  </si>
  <si>
    <t xml:space="preserve">Spied-deny branch test (all real roles may generate).</t>
  </si>
  <si>
    <t xml:space="preserve">S4-04</t>
  </si>
  <si>
    <t xml:space="preserve">Job-level pause without data loss</t>
  </si>
  <si>
    <t xml:space="preserve">ST-018</t>
  </si>
  <si>
    <t xml:space="preserve">pauseJob/resumeJob gate.</t>
  </si>
  <si>
    <t xml:space="preserve">S4-05</t>
  </si>
  <si>
    <t xml:space="preserve">Row-data CSV + competitor import, header validation</t>
  </si>
  <si>
    <t xml:space="preserve">ST-019</t>
  </si>
  <si>
    <t xml:space="preserve">importRowsCsv; cell-count checks by row number.</t>
  </si>
  <si>
    <t xml:space="preserve">S4-06</t>
  </si>
  <si>
    <t xml:space="preserve">batch_completed/batch_failed notifications with retryable counts</t>
  </si>
  <si>
    <t xml:space="preserve">ST-020</t>
  </si>
  <si>
    <t xml:space="preserve">Mute honoured; DF-2 fixture fix (E010).</t>
  </si>
  <si>
    <t xml:space="preserve">S4-07</t>
  </si>
  <si>
    <t xml:space="preserve">Activation funnel install-&gt;setup-&gt;aha-&gt;habit + conversions</t>
  </si>
  <si>
    <t xml:space="preserve">ST-071</t>
  </si>
  <si>
    <t xml:space="preserve">src/observability.ts; implied stages, idempotent.</t>
  </si>
  <si>
    <t xml:space="preserve">S4-08</t>
  </si>
  <si>
    <t xml:space="preserve">Error tracking: release tags, spike alerts, acknowledge re-arm</t>
  </si>
  <si>
    <t xml:space="preserve">ST-072</t>
  </si>
  <si>
    <t xml:space="preserve">ErrorTracker; floor + factor branches all tested.</t>
  </si>
  <si>
    <t xml:space="preserve">S4-09</t>
  </si>
  <si>
    <t xml:space="preserve">E2E smoke suite gating deploy in CI</t>
  </si>
  <si>
    <t xml:space="preserve">ST-086</t>
  </si>
  <si>
    <t xml:space="preserve">10-step loop; ci.yml deploy needs smoke; test:smoke green standalone. Live smoke on real APIs pending LC-1.</t>
  </si>
  <si>
    <t xml:space="preserve">S5 BUILD BOARD — E-sign + alpha hardening — exit: internal alpha, team dogfoods daily — v012 (23:03)</t>
  </si>
  <si>
    <t xml:space="preserve">S5-01</t>
  </si>
  <si>
    <t xml:space="preserve">E-sign one-screen defaults (sequential, 14-day expiry)</t>
  </si>
  <si>
    <t xml:space="preserve">ST-021</t>
  </si>
  <si>
    <t xml:space="preserve">src/esign.ts; email validation with named problems.</t>
  </si>
  <si>
    <t xml:space="preserve">S5-02</t>
  </si>
  <si>
    <t xml:space="preserve">Lifecycle: sent-&gt;partially_signed-&gt;completed/declined/expired, turn enforcement</t>
  </si>
  <si>
    <t xml:space="preserve">ST-022</t>
  </si>
  <si>
    <t xml:space="preserve">Sequential + parallel paths; "whose turn" message.</t>
  </si>
  <si>
    <t xml:space="preserve">S5-03</t>
  </si>
  <si>
    <t xml:space="preserve">Draft-only rules: expiry 1-90, domain allow-lists vs signers</t>
  </si>
  <si>
    <t xml:space="preserve">ST-023</t>
  </si>
  <si>
    <t xml:space="preserve">Multi-problem aggregation.</t>
  </si>
  <si>
    <t xml:space="preserve">S5-04</t>
  </si>
  <si>
    <t xml:space="preserve">Delivery retry; no half-sent state on exhaustion</t>
  </si>
  <si>
    <t xml:space="preserve">ST-024</t>
  </si>
  <si>
    <t xml:space="preserve">Status stays draft on failure — asserted.</t>
  </si>
  <si>
    <t xml:space="preserve">S5-05</t>
  </si>
  <si>
    <t xml:space="preserve">E-sign sidebar create-&gt;send-&gt;track with transition detection</t>
  </si>
  <si>
    <t xml:space="preserve">ST-025</t>
  </si>
  <si>
    <t xml:space="preserve">src/esignOps.ts; completion/decline/expiry on refresh.</t>
  </si>
  <si>
    <t xml:space="preserve">S5-06</t>
  </si>
  <si>
    <t xml:space="preserve">E-sign metrics: completion rate, avg turnaround, trend</t>
  </si>
  <si>
    <t xml:space="preserve">ST-026</t>
  </si>
  <si>
    <t xml:space="preserve">EsignMetrics.</t>
  </si>
  <si>
    <t xml:space="preserve">S5-07</t>
  </si>
  <si>
    <t xml:space="preserve">Allow/deny audit on create/rules/send</t>
  </si>
  <si>
    <t xml:space="preserve">ST-027</t>
  </si>
  <si>
    <t xml:space="preserve">Spied-deny + bogus-role branches covered.</t>
  </si>
  <si>
    <t xml:space="preserve">S5-08</t>
  </si>
  <si>
    <t xml:space="preserve">Pause preserving collected signatures</t>
  </si>
  <si>
    <t xml:space="preserve">ST-028</t>
  </si>
  <si>
    <t xml:space="preserve">Signatures intact after resume — asserted.</t>
  </si>
  <si>
    <t xml:space="preserve">S5-09</t>
  </si>
  <si>
    <t xml:space="preserve">Signer CSV + competitor import</t>
  </si>
  <si>
    <t xml:space="preserve">ST-029</t>
  </si>
  <si>
    <t xml:space="preserve">Row-numbered errors; email validation.</t>
  </si>
  <si>
    <t xml:space="preserve">S5-10</t>
  </si>
  <si>
    <t xml:space="preserve">esign_sent/completed/declined notifications, mute-aware</t>
  </si>
  <si>
    <t xml:space="preserve">ST-030</t>
  </si>
  <si>
    <t xml:space="preserve">Single-fire on transition; no-reason variant.</t>
  </si>
  <si>
    <t xml:space="preserve">S5-11</t>
  </si>
  <si>
    <t xml:space="preserve">First-run checklist, aha &lt;1 day with honest budget verdict</t>
  </si>
  <si>
    <t xml:space="preserve">ST-078</t>
  </si>
  <si>
    <t xml:space="preserve">Over-budget + idempotence cases. Live aha timing needs real users.</t>
  </si>
  <si>
    <t xml:space="preserve">S5-12</t>
  </si>
  <si>
    <t xml:space="preserve">Empty states for all 9 screens teach next action</t>
  </si>
  <si>
    <t xml:space="preserve">ST-079</t>
  </si>
  <si>
    <t xml:space="preserve">Completeness test-asserted over SCREENS.</t>
  </si>
  <si>
    <t xml:space="preserve">S6 BUILD BOARD — Billing + Auto-file to Drive — exit: can charge a test customer; up/downgrade paths work — v013 (11 Sep 08:20)</t>
  </si>
  <si>
    <t xml:space="preserve">S6-01</t>
  </si>
  <si>
    <t xml:space="preserve">Filing defaults + pattern resolution with named missing-token errors</t>
  </si>
  <si>
    <t xml:space="preserve">ST-031, ST-032</t>
  </si>
  <si>
    <t xml:space="preserve">src/driveFiler.ts; happy path + token errors tested.</t>
  </si>
  <si>
    <t xml:space="preserve">S6-02</t>
  </si>
  <si>
    <t xml:space="preserve">First-match routing rules; conflict policies rename/overwrite/skip</t>
  </si>
  <si>
    <t xml:space="preserve">ST-033</t>
  </si>
  <si>
    <t xml:space="preserve">pickFolderPattern; first-free-number rename walk.</t>
  </si>
  <si>
    <t xml:space="preserve">S6-03</t>
  </si>
  <si>
    <t xml:space="preserve">Drive ops under withRetry; mapped error surfacing</t>
  </si>
  <si>
    <t xml:space="preserve">ST-034</t>
  </si>
  <si>
    <t xml:space="preserve">503 retry / 429 exhaustion / 403 no-retry cases.</t>
  </si>
  <si>
    <t xml:space="preserve">S6-04</t>
  </si>
  <si>
    <t xml:space="preserve">Filing sidebar: configure -&gt; file last batch -&gt; results</t>
  </si>
  <si>
    <t xml:space="preserve">ST-035</t>
  </si>
  <si>
    <t xml:space="preserve">Guidance on unconfigured/no-batch/zero-generated.</t>
  </si>
  <si>
    <t xml:space="preserve">S6-05</t>
  </si>
  <si>
    <t xml:space="preserve">Filing metrics + governed runner (audit, pause, per-doc failure isolation)</t>
  </si>
  <si>
    <t xml:space="preserve">ST-036, ST-037, ST-038</t>
  </si>
  <si>
    <t xml:space="preserve">One bad document never sinks the batch — asserted.</t>
  </si>
  <si>
    <t xml:space="preserve">S6-06</t>
  </si>
  <si>
    <t xml:space="preserve">Routing-rule CSV + competitor import; filing notifications</t>
  </si>
  <si>
    <t xml:space="preserve">ST-039, ST-040</t>
  </si>
  <si>
    <t xml:space="preserve">Operator validation; mute-aware completed/failed.</t>
  </si>
  <si>
    <t xml:space="preserve">S6-07</t>
  </si>
  <si>
    <t xml:space="preserve">No-card trial + honest banner</t>
  </si>
  <si>
    <t xml:space="preserve">ST-057</t>
  </si>
  <si>
    <t xml:space="preserve">14 -&gt; 1 (singular) -&gt; ended -&gt; hidden; zero charges asserted.</t>
  </si>
  <si>
    <t xml:space="preserve">S6-08</t>
  </si>
  <si>
    <t xml:space="preserve">Mid-cycle proration both directions, to the cent</t>
  </si>
  <si>
    <t xml:space="preserve">ST-058</t>
  </si>
  <si>
    <t xml:space="preserve">$11.33 charge / $8.50 credit; declined leaves plan unchanged.</t>
  </si>
  <si>
    <t xml:space="preserve">S6-09</t>
  </si>
  <si>
    <t xml:space="preserve">Provider routing + 1/3/7 dunning -&gt; grace -&gt; downgrade with data</t>
  </si>
  <si>
    <t xml:space="preserve">ST-059</t>
  </si>
  <si>
    <t xml:space="preserve">Full schedule walked day-by-day in tests; recovery path.</t>
  </si>
  <si>
    <t xml:space="preserve">S6-10</t>
  </si>
  <si>
    <t xml:space="preserve">LIVE: Stripe/marketplace billing config + first test charge</t>
  </si>
  <si>
    <t xml:space="preserve">ST-059 live</t>
  </si>
  <si>
    <t xml:space="preserve">Needs Stripe keys / marketplace billing enrolment.</t>
  </si>
  <si>
    <t xml:space="preserve">S6-11</t>
  </si>
  <si>
    <t xml:space="preserve">CASA Tier 2 assessment BOOKED (R-D1 trigger = S6)</t>
  </si>
  <si>
    <t xml:space="preserve">LC-3</t>
  </si>
  <si>
    <t xml:space="preserve">Blocked by LC-1 (GCP project). Booking evidence -&gt; v003.</t>
  </si>
  <si>
    <t xml:space="preserve">S7 BUILD BOARD — Private beta (design partners) — exit: 3+ partners active weekly; NPS pulse &gt;30 — v014 (13 Sep 09:55)</t>
  </si>
  <si>
    <t xml:space="preserve">S7-01</t>
  </si>
  <si>
    <t xml:space="preserve">Dunning emails 1/3/7 + grace + read-only terminal state</t>
  </si>
  <si>
    <t xml:space="preserve">ST-060</t>
  </si>
  <si>
    <t xml:space="preserve">src/billingHardening.ts; supersedes ST-059 downgrade (E019). Live email delivery = provider config.</t>
  </si>
  <si>
    <t xml:space="preserve">S7-02</t>
  </si>
  <si>
    <t xml:space="preserve">Plan limits with 80%/100% upgrade prompts</t>
  </si>
  <si>
    <t xml:space="preserve">ST-061</t>
  </si>
  <si>
    <t xml:space="preserve">PlanLimitEnforcer; all three limit keys + monthly reset tested.</t>
  </si>
  <si>
    <t xml:space="preserve">S7-03</t>
  </si>
  <si>
    <t xml:space="preserve">Invoices/receipts with GST/VAT + reverse charge + CSV download</t>
  </si>
  <si>
    <t xml:space="preserve">ST-062</t>
  </si>
  <si>
    <t xml:space="preserve">InvoiceBook; closes S6 tax flag. Tax-rate table per market = business input.</t>
  </si>
  <si>
    <t xml:space="preserve">S7-04</t>
  </si>
  <si>
    <t xml:space="preserve">Cancellation: reason-matched save-offer + exit survey</t>
  </si>
  <si>
    <t xml:space="preserve">ST-063</t>
  </si>
  <si>
    <t xml:space="preserve">CancellationFlow; offered once; access to period end.</t>
  </si>
  <si>
    <t xml:space="preserve">S7-05</t>
  </si>
  <si>
    <t xml:space="preserve">Least-privilege scope mapping + narrative doc</t>
  </si>
  <si>
    <t xml:space="preserve">ST-064</t>
  </si>
  <si>
    <t xml:space="preserve">src/scopes.ts audit runs as a test; SCOPE_NARRATIVE.md generated for LC-2/LC-3 pack.</t>
  </si>
  <si>
    <t xml:space="preserve">S7-06</t>
  </si>
  <si>
    <t xml:space="preserve">LIVE: recruit 3+ design partners; weekly active + NPS pulse</t>
  </si>
  <si>
    <t xml:space="preserve">S7 exit</t>
  </si>
  <si>
    <t xml:space="preserve">Blocked by LC-1 — no installable app without a GCP project.</t>
  </si>
  <si>
    <t xml:space="preserve">S7-07</t>
  </si>
  <si>
    <t xml:space="preserve">LIVE: transactional email provider configured for dunning</t>
  </si>
  <si>
    <t xml:space="preserve">ST-060 live</t>
  </si>
  <si>
    <t xml:space="preserve">EmailSender boundary is injected; provider swap is one adapter.</t>
  </si>
  <si>
    <t xml:space="preserve">S8 BUILD BOARD — Beta iteration + Form-triggered generation — exit: beta cohort WoW retention &gt;60% — v015 (13 Sep 10:22)</t>
  </si>
  <si>
    <t xml:space="preserve">S8-01</t>
  </si>
  <si>
    <t xml:space="preserve">Form trigger core: defaults, field mapping, submission pipeline with redelivery dedupe</t>
  </si>
  <si>
    <t xml:space="preserve">ST-041, ST-042</t>
  </si>
  <si>
    <t xml:space="preserve">src/formTrigger.ts; duplicate never generates twice — asserted.</t>
  </si>
  <si>
    <t xml:space="preserve">S8-02</t>
  </si>
  <si>
    <t xml:space="preserve">Conditions with audit; failure-as-result with retry-on-redelivery</t>
  </si>
  <si>
    <t xml:space="preserve">ST-043, ST-044</t>
  </si>
  <si>
    <t xml:space="preserve">Failed submissions left unprocessed on purpose.</t>
  </si>
  <si>
    <t xml:space="preserve">S8-03</t>
  </si>
  <si>
    <t xml:space="preserve">Form sidebar activity feed; metrics; permissions/audit; pause</t>
  </si>
  <si>
    <t xml:space="preserve">ST-045..ST-048</t>
  </si>
  <si>
    <t xml:space="preserve">20-item feed newest-first; spied-deny branch covered.</t>
  </si>
  <si>
    <t xml:space="preserve">S8-04</t>
  </si>
  <si>
    <t xml:space="preserve">Field-map CSV + competitor import; form notifications</t>
  </si>
  <si>
    <t xml:space="preserve">ST-049, ST-050</t>
  </si>
  <si>
    <t xml:space="preserve">Duplicate-question detection included.</t>
  </si>
  <si>
    <t xml:space="preserve">S8-05</t>
  </si>
  <si>
    <t xml:space="preserve">Data-flow diagram + retention policy, validated then published</t>
  </si>
  <si>
    <t xml:space="preserve">ST-065</t>
  </si>
  <si>
    <t xml:space="preserve">DATA_FLOW_AND_RETENTION.md — LC-7 evidence.</t>
  </si>
  <si>
    <t xml:space="preserve">S8-06</t>
  </si>
  <si>
    <t xml:space="preserve">Encryption/secrets posture verifier</t>
  </si>
  <si>
    <t xml:space="preserve">ST-066</t>
  </si>
  <si>
    <t xml:space="preserve">Blocks env secrets in prod; live posture check needs real infra (LC-1).</t>
  </si>
  <si>
    <t xml:space="preserve">S8-07</t>
  </si>
  <si>
    <t xml:space="preserve">Hash-chained admin audit log with audited export</t>
  </si>
  <si>
    <t xml:space="preserve">ST-067</t>
  </si>
  <si>
    <t xml:space="preserve">Edit AND deletion detection tested.</t>
  </si>
  <si>
    <t xml:space="preserve">S8-08</t>
  </si>
  <si>
    <t xml:space="preserve">Circuit breaker on platform APIs</t>
  </si>
  <si>
    <t xml:space="preserve">ST-070</t>
  </si>
  <si>
    <t xml:space="preserve">closed/open/half-open with re-trip; pairs with existing backoff.</t>
  </si>
  <si>
    <t xml:space="preserve">S8-09</t>
  </si>
  <si>
    <t xml:space="preserve">Usage heatmap, weekly digest, health score, export, alert thresholds</t>
  </si>
  <si>
    <t xml:space="preserve">ST-073..ST-077</t>
  </si>
  <si>
    <t xml:space="preserve">Health score always explains itself.</t>
  </si>
  <si>
    <t xml:space="preserve">S8-10</t>
  </si>
  <si>
    <t xml:space="preserve">p95 budgets per surface + monitoring</t>
  </si>
  <si>
    <t xml:space="preserve">ST-087</t>
  </si>
  <si>
    <t xml:space="preserve">Breach detection with headroom.</t>
  </si>
  <si>
    <t xml:space="preserve">S8-11</t>
  </si>
  <si>
    <t xml:space="preserve">Deterministic 5x load test runnable in CI</t>
  </si>
  <si>
    <t xml:space="preserve">ST-088</t>
  </si>
  <si>
    <t xml:space="preserve">Injected worker; real-infra numbers owed at LC-1.</t>
  </si>
  <si>
    <t xml:space="preserve">S8-12</t>
  </si>
  <si>
    <t xml:space="preserve">Blue/green deploy with pre-cutover gate and verified rollback</t>
  </si>
  <si>
    <t xml:space="preserve">ST-092</t>
  </si>
  <si>
    <t xml:space="preserve">droppedRequests measured; both rollback colour paths tested.</t>
  </si>
  <si>
    <t xml:space="preserve">S8-13</t>
  </si>
  <si>
    <t xml:space="preserve">LIVE: beta cohort recruited; WoW retention measured &gt;60%</t>
  </si>
  <si>
    <t xml:space="preserve">S8 exit</t>
  </si>
  <si>
    <t xml:space="preserve">Blocked by LC-1 — no installable app, no cohort.</t>
  </si>
  <si>
    <t xml:space="preserve">S9 BUILD BOARD — Marketplace review prep — exit: review submission accepted into queue — v016 (13 Sep 10:35)</t>
  </si>
  <si>
    <t xml:space="preserve">S9-01</t>
  </si>
  <si>
    <t xml:space="preserve">Security evidence pack assembled and published</t>
  </si>
  <si>
    <t xml:space="preserve">ST-068</t>
  </si>
  <si>
    <t xml:space="preserve">SECURITY_EVIDENCE_PACK.md — 6 of 9 controls verified in code.</t>
  </si>
  <si>
    <t xml:space="preserve">S9-02</t>
  </si>
  <si>
    <t xml:space="preserve">THIRD-PARTY PEN TEST booked, executed, report archived</t>
  </si>
  <si>
    <t xml:space="preserve">BLOCKS ST-068 closure. Needs deployed target (LC-1) + budget. Cannot be done in code.</t>
  </si>
  <si>
    <t xml:space="preserve">S9-03</t>
  </si>
  <si>
    <t xml:space="preserve">Self-serve data export with stated exclusions</t>
  </si>
  <si>
    <t xml:space="preserve">ST-069</t>
  </si>
  <si>
    <t xml:space="preserve">Owner/admin gated; JSON download.</t>
  </si>
  <si>
    <t xml:space="preserve">S9-04</t>
  </si>
  <si>
    <t xml:space="preserve">Self-serve deletion with cancellable 7-day grace</t>
  </si>
  <si>
    <t xml:space="preserve">Irreversible after execution — by design.</t>
  </si>
  <si>
    <t xml:space="preserve">S9-05</t>
  </si>
  <si>
    <t xml:space="preserve">WCAG AA audit; shipped palette and controls pass</t>
  </si>
  <si>
    <t xml:space="preserve">ST-089</t>
  </si>
  <si>
    <t xml:space="preserve">Real contrast maths; 5 success criteria checked.</t>
  </si>
  <si>
    <t xml:space="preserve">S9-06</t>
  </si>
  <si>
    <t xml:space="preserve">Restore drill verifying contents, RTO and RPO</t>
  </si>
  <si>
    <t xml:space="preserve">ST-090</t>
  </si>
  <si>
    <t xml:space="preserve">Harness only — real backups needed for real numbers.</t>
  </si>
  <si>
    <t xml:space="preserve">S9-07</t>
  </si>
  <si>
    <t xml:space="preserve">Chaos: graceful degradation with user comms</t>
  </si>
  <si>
    <t xml:space="preserve">ST-091</t>
  </si>
  <si>
    <t xml:space="preserve">All 5 dependencies; guards made firable.</t>
  </si>
  <si>
    <t xml:space="preserve">S9-08</t>
  </si>
  <si>
    <t xml:space="preserve">Listing copy A/B drafted and reviewed</t>
  </si>
  <si>
    <t xml:space="preserve">ST-093</t>
  </si>
  <si>
    <t xml:space="preserve">LISTING_PACK.md; risky-claim linting.</t>
  </si>
  <si>
    <t xml:space="preserve">S9-09</t>
  </si>
  <si>
    <t xml:space="preserve">Asset spec validator + 5-screenshot plan</t>
  </si>
  <si>
    <t xml:space="preserve">ST-094</t>
  </si>
  <si>
    <t xml:space="preserve">Screenshots and video still need PRODUCING — needs a running app (LC-1).</t>
  </si>
  <si>
    <t xml:space="preserve">S9-10</t>
  </si>
  <si>
    <t xml:space="preserve">LIVE: capture 5 screenshots + record 2-min demo video</t>
  </si>
  <si>
    <t xml:space="preserve">ST-094 live</t>
  </si>
  <si>
    <t xml:space="preserve">Validator ready; assets cannot exist without a running app.</t>
  </si>
  <si>
    <t xml:space="preserve">S9-11</t>
  </si>
  <si>
    <t xml:space="preserve">LIVE: submit for marketplace review</t>
  </si>
  <si>
    <t xml:space="preserve">S9 exit</t>
  </si>
  <si>
    <t xml:space="preserve">Blocked by LC-1, S9-02, S9-10.</t>
  </si>
  <si>
    <t xml:space="preserve">S10 BUILD BOARD — Review remediation + docs — exit: marketplace approval obtained — v017 (13 Sep 10:43)</t>
  </si>
  <si>
    <t xml:space="preserve">S10-01</t>
  </si>
  <si>
    <t xml:space="preserve">Help centre: 15 articles + weighted search + coverage report</t>
  </si>
  <si>
    <t xml:space="preserve">Articles name the stories they document.</t>
  </si>
  <si>
    <t xml:space="preserve">S10-02</t>
  </si>
  <si>
    <t xml:space="preserve">In-app chat with business-hours first-response SLA</t>
  </si>
  <si>
    <t xml:space="preserve">ST-081</t>
  </si>
  <si>
    <t xml:space="preserve">Weekend cannot manufacture a breach.</t>
  </si>
  <si>
    <t xml:space="preserve">S10-03</t>
  </si>
  <si>
    <t xml:space="preserve">STAFF the support channel during stated hours</t>
  </si>
  <si>
    <t xml:space="preserve">ST-081 live</t>
  </si>
  <si>
    <t xml:space="preserve">CL-15. Do not publish the SLA until this is answered.</t>
  </si>
  <si>
    <t xml:space="preserve">S10-04</t>
  </si>
  <si>
    <t xml:space="preserve">Sandbox / demo-data mode</t>
  </si>
  <si>
    <t xml:space="preserve">ST-083</t>
  </si>
  <si>
    <t xml:space="preserve">No account, no OAuth, read-only; converts to signup.</t>
  </si>
  <si>
    <t xml:space="preserve">S10-05</t>
  </si>
  <si>
    <t xml:space="preserve">RECORD 2-minute demo video with captions</t>
  </si>
  <si>
    <t xml:space="preserve">BLOCKS ST-083 closure. Needs a running app (LC-1).</t>
  </si>
  <si>
    <t xml:space="preserve">S10-06</t>
  </si>
  <si>
    <t xml:space="preserve">Status page + incident comms templates</t>
  </si>
  <si>
    <t xml:space="preserve">ST-084</t>
  </si>
  <si>
    <t xml:space="preserve">Worst-component-wins; overdue-update chasing.</t>
  </si>
  <si>
    <t xml:space="preserve">S10-07</t>
  </si>
  <si>
    <t xml:space="preserve">HOST the status page at a public URL</t>
  </si>
  <si>
    <t xml:space="preserve">ST-084 live</t>
  </si>
  <si>
    <t xml:space="preserve">CL-17.</t>
  </si>
  <si>
    <t xml:space="preserve">S10-08</t>
  </si>
  <si>
    <t xml:space="preserve">Pricing page / plan matrix + FAQ, validated against billing code</t>
  </si>
  <si>
    <t xml:space="preserve">ST-095</t>
  </si>
  <si>
    <t xml:space="preserve">Drifted price or limit fails the test.</t>
  </si>
  <si>
    <t xml:space="preserve">S10-09</t>
  </si>
  <si>
    <t xml:space="preserve">Security/trust page generated from enforced sources</t>
  </si>
  <si>
    <t xml:space="preserve">ST-096</t>
  </si>
  <si>
    <t xml:space="preserve">Scopes, subprocessors, retention.</t>
  </si>
  <si>
    <t xml:space="preserve">S10-10</t>
  </si>
  <si>
    <t xml:space="preserve">HOST privacy/trust pages at public URLs</t>
  </si>
  <si>
    <t xml:space="preserve">ST-096 live</t>
  </si>
  <si>
    <t xml:space="preserve">CL-06. Content written; hosting owed.</t>
  </si>
  <si>
    <t xml:space="preserve">S10-11</t>
  </si>
  <si>
    <t xml:space="preserve">Submission dry-run by second reviewer</t>
  </si>
  <si>
    <t xml:space="preserve">ST-097</t>
  </si>
  <si>
    <t xml:space="preserve">SUBMISSION_DRY_RUN.md — 10/20, NOT READY.</t>
  </si>
  <si>
    <t xml:space="preserve">S10-12</t>
  </si>
  <si>
    <t xml:space="preserve">LIVE: submit and obtain marketplace approval</t>
  </si>
  <si>
    <t xml:space="preserve">S10 exit</t>
  </si>
  <si>
    <t xml:space="preserve">Blocked by all 10 dry-run blockers.</t>
  </si>
  <si>
    <t xml:space="preserve">S11 + S12 BUILD BOARD — Launch &amp; iterate — exits: first 10 installs / growth model — v018 (13 Sep 10:58)</t>
  </si>
  <si>
    <t xml:space="preserve">S11-01</t>
  </si>
  <si>
    <t xml:space="preserve">In-app review ask gated on aha, usage, failures, cooldown, dismissals</t>
  </si>
  <si>
    <t xml:space="preserve">Rules exist to prevent ill-timed prompts.</t>
  </si>
  <si>
    <t xml:space="preserve">S11-02</t>
  </si>
  <si>
    <t xml:space="preserve">Launch runbook: go/no-go, watchlist, rollback, comms tree</t>
  </si>
  <si>
    <t xml:space="preserve">LAUNCH_RUNBOOK.md — verdict NO-GO (8 blocking).</t>
  </si>
  <si>
    <t xml:space="preserve">S11-03</t>
  </si>
  <si>
    <t xml:space="preserve">Partner-review pipeline with at-risk refusal and stale-invite warnings</t>
  </si>
  <si>
    <t xml:space="preserve">ST-100</t>
  </si>
  <si>
    <t xml:space="preserve">Needs real partners to operate.</t>
  </si>
  <si>
    <t xml:space="preserve">S12-01</t>
  </si>
  <si>
    <t xml:space="preserve">SEO iteration from search-term data, one change at a time</t>
  </si>
  <si>
    <t xml:space="preserve">ST-099</t>
  </si>
  <si>
    <t xml:space="preserve">Needs real marketplace search data.</t>
  </si>
  <si>
    <t xml:space="preserve">S11-04</t>
  </si>
  <si>
    <t xml:space="preserve">LIVE: clear the 8 blocking go/no-go checks</t>
  </si>
  <si>
    <t xml:space="preserve">ST-098 live</t>
  </si>
  <si>
    <t xml:space="preserve">Listing, deployment, rollback verification, hosting x2, billing, staffing, monitoring sinks.</t>
  </si>
  <si>
    <t xml:space="preserve">S11-05</t>
  </si>
  <si>
    <t xml:space="preserve">LIVE: first 10 installs; activation &gt;40%</t>
  </si>
  <si>
    <t xml:space="preserve">S11 exit</t>
  </si>
  <si>
    <t xml:space="preserve">Cannot start before listing.</t>
  </si>
  <si>
    <t xml:space="preserve">S11-06</t>
  </si>
  <si>
    <t xml:space="preserve">LIVE: first 3 reviews from design partners</t>
  </si>
  <si>
    <t xml:space="preserve">ST-100 live</t>
  </si>
  <si>
    <t xml:space="preserve">Pipeline ready; partners not recruited.</t>
  </si>
  <si>
    <t xml:space="preserve">S12-02</t>
  </si>
  <si>
    <t xml:space="preserve">LIVE: growth model with CAC/LTV first estimates</t>
  </si>
  <si>
    <t xml:space="preserve">Needs real acquisition and retention data; financial model in the product workbook is the starting frame.</t>
  </si>
  <si>
    <t xml:space="preserve">BLOCKER PREPARATION — what is ready and waiting for each external blocker (13 Sep 11:05)</t>
  </si>
  <si>
    <t xml:space="preserve">Nothing here changes a story status. It exists so that when a blocker is actioned, the work behind it is hours rather than days.</t>
  </si>
  <si>
    <t xml:space="preserve">Blocker</t>
  </si>
  <si>
    <t xml:space="preserve">What is already prepared</t>
  </si>
  <si>
    <t xml:space="preserve">Artefact</t>
  </si>
  <si>
    <t xml:space="preserve">What it unblocks</t>
  </si>
  <si>
    <t xml:space="preserve">LC-1 — GCP project + OAuth consent screen</t>
  </si>
  <si>
    <t xml:space="preserve">Ordered procedure: project creation, the five APIs to enable, consent-screen fields, the exact four scopes, OAuth client with byte-exact redirect URI, brand verification, Marketplace SDK. Prerequisites table included. NOTE: privacy policy and status page must be HOSTED FIRST.</t>
  </si>
  <si>
    <t xml:space="preserve">GCP_SETUP_GUIDE.md</t>
  </si>
  <si>
    <t xml:space="preserve">Deployment, listing assets, live load test, CASA target, pen-test target</t>
  </si>
  <si>
    <t xml:space="preserve">Deployment configuration</t>
  </si>
  <si>
    <t xml:space="preserve">All 16 env values specified with sources; validator and fail-closed readiness gate; .env.example generated from the spec.</t>
  </si>
  <si>
    <t xml:space="preserve">src/deployment.ts, .env.example</t>
  </si>
  <si>
    <t xml:space="preserve">Staging and production deploys on day one of LC-1</t>
  </si>
  <si>
    <t xml:space="preserve">ST-068 — third-party penetration test</t>
  </si>
  <si>
    <t xml:space="preserve">Third party</t>
  </si>
  <si>
    <t xml:space="preserve">Scoping brief written from the shipped code: in scope by area with file references, out of scope, four design decisions to probe, evidence required back, constraints.</t>
  </si>
  <si>
    <t xml:space="preserve">PENTEST_SCOPING_BRIEF.md</t>
  </si>
  <si>
    <t xml:space="preserve">ST-068 closure; marketplace submission; CASA evidence</t>
  </si>
  <si>
    <t xml:space="preserve">LC-3 — CASA Tier 2</t>
  </si>
  <si>
    <t xml:space="preserve">Questionnaire pre-filled from evidence across scopes, data handling, and security controls; three controls honestly marked NOT YET.</t>
  </si>
  <si>
    <t xml:space="preserve">CASA_PREFILL.md</t>
  </si>
  <si>
    <t xml:space="preserve">Listing approval</t>
  </si>
  <si>
    <t xml:space="preserve">LC-6 — privacy/trust page hosting</t>
  </si>
  <si>
    <t xml:space="preserve">Content written and generated from the code that enforces it, with validators that fail on drift.</t>
  </si>
  <si>
    <t xml:space="preserve">DATA_FLOW_AND_RETENTION.md, trust page generator</t>
  </si>
  <si>
    <t xml:space="preserve">Consent screen authorised domains, then LC-1</t>
  </si>
  <si>
    <t xml:space="preserve">LC-17 — status page hosting</t>
  </si>
  <si>
    <t xml:space="preserve">Status model, incident templates for all four stages, overdue-update chasing, comms tree with owners and deadlines.</t>
  </si>
  <si>
    <t xml:space="preserve">LAUNCH_RUNBOOK.md, src/launchSurfaces.ts</t>
  </si>
  <si>
    <t xml:space="preserve">Consent screen domains; incident comms on launch day</t>
  </si>
  <si>
    <t xml:space="preserve">Listing assets</t>
  </si>
  <si>
    <t xml:space="preserve">Five-screenshot plan with the narrative each must show, asset spec validator, two reviewed copy variants.</t>
  </si>
  <si>
    <t xml:space="preserve">LISTING_PACK.md</t>
  </si>
  <si>
    <t xml:space="preserve">Submission (CL-11, CL-12)</t>
  </si>
  <si>
    <t xml:space="preserve">Support staffing decision</t>
  </si>
  <si>
    <t xml:space="preserve">Three options framed: staff the stated hours, widen the SLA to what a solo founder can honour, or publish expectations without an SLA.</t>
  </si>
  <si>
    <t xml:space="preserve">RAID R-D13</t>
  </si>
  <si>
    <t xml:space="preserve">Publishing the SLA honestly</t>
  </si>
  <si>
    <t xml:space="preserve">LC-9 — template gallery (CLOSED)</t>
  </si>
  <si>
    <t xml:space="preserve">20 templates built, validated, and proven to render; 61 search terms targeted. No external dependency — this is the one launch item that could be finished outright, and it is.</t>
  </si>
  <si>
    <t xml:space="preserve">TEMPLATE_GALLERY.md, src/templateGallery.ts</t>
  </si>
  <si>
    <t xml:space="preserve">Listing SEO surface; onboarding first-template step</t>
  </si>
  <si>
    <t xml:space="preserve">S12 growth model — frame ready</t>
  </si>
  <si>
    <t xml:space="preserve">Claude + Senthil</t>
  </si>
  <si>
    <t xml:space="preserve">Unit economics, three scenarios, sensitivity ranking (churn is the top lever, ahead of conversion), and a measurement plan attaching each assumption to instrumentation that already exists.</t>
  </si>
  <si>
    <t xml:space="preserve">GROWTH_MODEL.md, src/growthModel.ts</t>
  </si>
  <si>
    <t xml:space="preserve">S12 exit once first-cohort data replaces the assumptions</t>
  </si>
  <si>
    <t xml:space="preserve">ST-068 — vendor outreach (READY TO SEND)</t>
  </si>
  <si>
    <t xml:space="preserve">Send-ready email quoting from the attached brief, vendor shortlist criteria, and a quote-comparison rubric. Lead time, not price, is the binding constraint.</t>
  </si>
  <si>
    <t xml:space="preserve">PENTEST_OUTREACH.md + PENTEST_SCOPING_BRIEF.md</t>
  </si>
  <si>
    <t xml:space="preserve">Pen-test booking; book CASA the same week so the waits overlap</t>
  </si>
  <si>
    <t xml:space="preserve">TRACEABILITY MATRIX — 100 stories: module -&gt; epic -&gt; story -&gt; screen -&gt; verification -&gt; status (edit yellow)</t>
  </si>
  <si>
    <t xml:space="preserve">Source: product workbook v012 Full_Backlog (single source of truth). Done-in-code rows carry code/test evidence per D13 and name the product-workbook version + time that shipped them (DM-D3 mapping). Status: Backlog / In progress / Done-in-code / Done. Evidence col is yellow (editable).</t>
  </si>
  <si>
    <t xml:space="preserve">Story ID</t>
  </si>
  <si>
    <t xml:space="preserve">Epic</t>
  </si>
  <si>
    <t xml:space="preserve">Module / feature</t>
  </si>
  <si>
    <t xml:space="preserve">Story</t>
  </si>
  <si>
    <t xml:space="preserve">Priority</t>
  </si>
  <si>
    <t xml:space="preserve">Primary screen</t>
  </si>
  <si>
    <t xml:space="preserve">Verification</t>
  </si>
  <si>
    <t xml:space="preserve">Evidence</t>
  </si>
  <si>
    <t xml:space="preserve">F1</t>
  </si>
  <si>
    <t xml:space="preserve">Template designer</t>
  </si>
  <si>
    <t xml:space="preserve">As a Office manager, I can set up Template designer with sensible defaults in one screen</t>
  </si>
  <si>
    <t xml:space="preserve">P0</t>
  </si>
  <si>
    <t xml:space="preserve">SCR-3 Template designer</t>
  </si>
  <si>
    <t xml:space="preserve">E2E test + demo</t>
  </si>
  <si>
    <t xml:space="preserve">v009 22:23 — docmerge-pro-s1/src/templates.ts (TemplateDesigner.createWithDefaults — pdf output, filename pattern, destination folder defaulted; name+body only) | tests/templates.test.ts (defaults object pinned; member denial; default id/clock) | 100% stmt/branch/func/line</t>
  </si>
  <si>
    <t xml:space="preserve">As a Office manager, the Template designer happy path completes without documentation</t>
  </si>
  <si>
    <t xml:space="preserve">v009 22:23 — src/templates.ts (renderPreview: extractPlaceholders/extractSections, section rules applied, full substitution; TemplateValidationError with per-field Sheet-column hints) | tests/templates.test.ts (end-to-end render, section include/exclude, all operators true+false, empty-value falsity, evaluateRule undefined guards, missing-field messages) | 100% stmt/branch/func/line</t>
  </si>
  <si>
    <t xml:space="preserve">As a Workspace admin, I can customise Template designer rules/conditions for my workflow</t>
  </si>
  <si>
    <t xml:space="preserve">P1</t>
  </si>
  <si>
    <t xml:space="preserve">Integration test + manual QA</t>
  </si>
  <si>
    <t xml:space="preserve">v009 22:23 — src/templates.ts (setRules: validates rule fields against placeholders, sections against body, comparison values present; multi-problem aggregation) | tests/templates.test.ts (valid persist, unknown field, unknown section, missing value, aggregated problems, missing template, member denial) | 100% stmt/branch/func/line</t>
  </si>
  <si>
    <t xml:space="preserve">As a user, Template designer shows clear errors and retry paths on platform API failures</t>
  </si>
  <si>
    <t xml:space="preserve">v009 22:23 — src/platformErrors.ts (mapPlatformFailure 429/5xx/403/404/unknown -&gt; typed user messages with retry paths; withRetry exponential backoff, non-retryable passthrough) | tests/platformErrors.test.ts (every failure kind, backoff delays 100/200, exhaustion, non-retry single call, pre-mapped passthrough) | 100% stmt/branch/func/line</t>
  </si>
  <si>
    <t xml:space="preserve">As a Ops freelancer, Template designer works on the Workspace add-on sidebar in Sheets/Docs surface end-to-end</t>
  </si>
  <si>
    <t xml:space="preserve">v010 22:29 — src/sidebar.ts (SidebarController: injected SidebarHost for Sheets/Docs; open/list, openTemplate, previewFromActiveRow) | tests/sidebar.test.ts (full sheets flow end-to-end, docs fallback, missing template, no-template guard, state copy) | 100% stmt/branch/func/line</t>
  </si>
  <si>
    <t xml:space="preserve">As a Workspace admin, I can see Template designer performance metrics and trends</t>
  </si>
  <si>
    <t xml:space="preserve">v010 22:29 — src/designerOps.ts (TemplateMetrics: renders/failures/successRate/p95/trendDelta per period) | tests/designerOps.test.ts (summary values, trend vs previous period, empty neutral summary, default clock) | 100% stmt/branch/func/line</t>
  </si>
  <si>
    <t xml:space="preserve">As a user, Template designer respects role permissions and audit logging</t>
  </si>
  <si>
    <t xml:space="preserve">v010 22:29 — src/designerOps.ts (AuditLog; AuditedTemplateDesigner wrapping create/setRules/render — denied attempts recorded then re-thrown) | tests/designerOps.test.ts (allowed ops logged, denied logged + rethrown, non-permission failures not logged, target filter) | 100% stmt/branch/func/line</t>
  </si>
  <si>
    <t xml:space="preserve">As a Office manager, I can pause/disable Template designer without data loss</t>
  </si>
  <si>
    <t xml:space="preserve">P2</t>
  </si>
  <si>
    <t xml:space="preserve">Manual QA</t>
  </si>
  <si>
    <t xml:space="preserve">v010 22:29 — src/designerOps.ts (PauseManager: flag-only pause/resume; TemplatePausedError with no-data-loss message); render gate used by batch | tests/designerOps.test.ts (pause/resume/isPaused, assertActive both paths); tests/batch.test.ts (paused-template refusal) | 100% stmt/branch/func/line</t>
  </si>
  <si>
    <t xml:space="preserve">As a Workspace admin, I can import/migrate existing data into Template designer (CSV + competitor importer)</t>
  </si>
  <si>
    <t xml:space="preserve">v010 22:29 — src/importerNotifications.ts (parseCsv RFC4180-ish; TemplateImporter.importCsv partial success + row-numbered errors; importCompetitorCsv with &lt;&lt;x&gt;&gt; -&gt; {{x}} conversion) | tests/importerNotifications.test.ts (quoted/escaped/CRLF/empty CSV, header validation, partial import, member denial, competitor conversion end-to-end) | 100% stmt/branch/func/line</t>
  </si>
  <si>
    <t xml:space="preserve">As a user, I get notifications (in-app + email) for key Template designer events with per-type mute</t>
  </si>
  <si>
    <t xml:space="preserve">v010 22:29 — src/importerNotifications.ts (NotificationCenter: in_app+email fan-out, per-type per-account mute/unmute) | tests/importerNotifications.test.ts (fan-out envelope, mute isolation by type+account, unmute restore, no-op unmute, mute accumulation) | 100% stmt/branch/func/line</t>
  </si>
  <si>
    <t xml:space="preserve">F2</t>
  </si>
  <si>
    <t xml:space="preserve">Batch generate from Sheets</t>
  </si>
  <si>
    <t xml:space="preserve">As a Office manager, I can set up Batch generate from Sheets with sensible defaults in one screen</t>
  </si>
  <si>
    <t xml:space="preserve">SCR-4 Batch builder</t>
  </si>
  <si>
    <t xml:space="preserve">v010 22:29 — src/batch.ts (BatchGenerator.createJobWithDefaults: skipEmptyRows, continueOnError, output pattern defaulted) | tests/batch.test.ts (defaults object pinned, default id maker) | 100% stmt/branch/func/line</t>
  </si>
  <si>
    <t xml:space="preserve">As a Office manager, the Batch generate from Sheets happy path completes without documentation</t>
  </si>
  <si>
    <t xml:space="preserve">v010 22:29 — src/batch.ts (run: per-row render via designer, RowResult outputs, generated/skipped/failed summary) | tests/batch.test.ts (multi-row happy path, empty-row skip on/off) | 100% stmt/branch/func/line</t>
  </si>
  <si>
    <t xml:space="preserve">As a Workspace admin, I can customise Batch generate from Sheets rules/conditions for my workflow</t>
  </si>
  <si>
    <t xml:space="preserve">v010 22:29 — src/batch.ts (withRules; row filters reuse templates.evaluateRule — all rules must pass) | tests/batch.test.ts (mixed pass/fail rows across not_empty + equals rules) | 100% stmt/branch/func/line</t>
  </si>
  <si>
    <t xml:space="preserve">As a user, Batch generate from Sheets shows clear errors and retry paths on platform API failures</t>
  </si>
  <si>
    <t xml:space="preserve">v010 22:29 — src/batch.ts (per-row withRetry; PlatformApiError userMessage + retryable surfaced; retryableRows; continueOnError break) + src/platformErrors.ts fix (non-platform errors pass through unmapped) | tests/batch.test.ts (transient retry success, exhausted 429 retryable, 403 non-retryable, validation message surfaced, stop-on-error, pre-mapped passthrough); tests/platformErrors.test.ts (pass-through incl. null) | 100% stmt/branch/func/line</t>
  </si>
  <si>
    <t xml:space="preserve">As a Ops freelancer, Batch generate from Sheets works on the Workspace add-on sidebar in Sheets/Docs surface end-to-end</t>
  </si>
  <si>
    <t xml:space="preserve">v011 22:52 — src/batchOps.ts (BatchSidebarController: configure -&gt; runFromSheet -&gt; results; host + row source injected) | tests/batchOps.test.ts (full flow end-to-end, unconfigured guard, no-rows guard for undefined+empty, state copy); e2e.smoke.test.ts step 6 | 100% stmt/branch/func/line</t>
  </si>
  <si>
    <t xml:space="preserve">As a Workspace admin, I can see Batch generate from Sheets performance metrics and trends</t>
  </si>
  <si>
    <t xml:space="preserve">v011 22:52 — src/batchOps.ts (BatchMetrics: runs, rowsGenerated/Failed, failureRate, avgDurationMs, trendDelta per period) | tests/batchOps.test.ts (aggregation, trend vs previous period, neutral empty, default clock) | 100% stmt/branch/func/line</t>
  </si>
  <si>
    <t xml:space="preserve">As a user, Batch generate from Sheets respects role permissions and audit logging</t>
  </si>
  <si>
    <t xml:space="preserve">v011 22:52 — src/batchOps.ts (GovernedBatchRunner: assertPermission up front; audit allow AND deny; deny rethrown) | tests/batchOps.test.ts (allow audited, spied denial audited + no run, non-permission rethrow unaudited); e2e.smoke.test.ts step 7 | 100% stmt/branch/func/line</t>
  </si>
  <si>
    <t xml:space="preserve">As a Office manager, I can pause/disable Batch generate from Sheets without data loss</t>
  </si>
  <si>
    <t xml:space="preserve">v011 22:52 — src/batchOps.ts (job-level PauseManager reuse: pauseJob/resumeJob/isJobPaused; run gate, flag-only) | tests/batchOps.test.ts (pause refuses with no-data-loss message, resume runs); e2e.smoke.test.ts step 8 | 100% stmt/branch/func/line</t>
  </si>
  <si>
    <t xml:space="preserve">As a Workspace admin, I can import/migrate existing data into Batch generate from Sheets (CSV + competitor importer)</t>
  </si>
  <si>
    <t xml:space="preserve">v011 22:52 — src/batchOps.ts (importRowsCsv: header validation, per-row cell-count check, partial success; importCompetitorRowsCsv converts &lt;&lt;x&gt;&gt; in values) | tests/batchOps.test.ts (mapping, short-row report, empty CSV + empty header rejection, competitor conversion); e2e.smoke.test.ts step 5 | 100% stmt/branch/func/line</t>
  </si>
  <si>
    <t xml:space="preserve">As a user, I get notifications (in-app + email) for key Batch generate from Sheets events with per-type mute</t>
  </si>
  <si>
    <t xml:space="preserve">v011 22:52 — src/batchOps.ts (GovernedBatchRunner notify: batch_completed / batch_failed with failed + retryable counts via NotificationCenter mute rules) | tests/batchOps.test.ts (completion fan-out, failure message content, per-type mute suppression) | 100% stmt/branch/func/line</t>
  </si>
  <si>
    <t xml:space="preserve">F3</t>
  </si>
  <si>
    <t xml:space="preserve">E-sign requests</t>
  </si>
  <si>
    <t xml:space="preserve">As a Office manager, I can set up E-sign requests with sensible defaults in one screen</t>
  </si>
  <si>
    <t xml:space="preserve">SCR-5 E-sign requests</t>
  </si>
  <si>
    <t xml:space="preserve">v012 23:03 — src/esign.ts (EsignService.createWithDefaults: sequential + 14-day expiry defaults; signer/email validation) | tests/esign.test.ts (defaults pinned, empty/invalid signer problems, member denial audited) | 100% stmt/branch/func/line</t>
  </si>
  <si>
    <t xml:space="preserve">As a Office manager, the E-sign requests happy path completes without documentation</t>
  </si>
  <si>
    <t xml:space="preserve">v012 23:03 — src/esign.ts (send/sign/decline/expireIfDue state machine; sequential order enforcement; completion detection; next-signer delivery) | tests/esign.test.ts (sequential + parallel happy paths, turn enforcement message, double-send/sign guards, decline with reason, expiry) | 100% stmt/branch/func/line</t>
  </si>
  <si>
    <t xml:space="preserve">As a Workspace admin, I can customise E-sign requests rules/conditions for my workflow</t>
  </si>
  <si>
    <t xml:space="preserve">v012 23:03 — src/esign.ts (setRules: draft-only, expiry 1-90 validation, allowedDomains checked against signers, multi-problem aggregation) | tests/esign.test.ts (valid update, bad expiry, out-of-domain problems x2, post-send refusal, missing request) | 100% stmt/branch/func/line</t>
  </si>
  <si>
    <t xml:space="preserve">As a user, E-sign requests shows clear errors and retry paths on platform API failures</t>
  </si>
  <si>
    <t xml:space="preserve">v012 23:03 — src/esign.ts (delivery via withRetry; mapped PlatformApiError surfaced; draft state preserved on exhausted failure) | tests/esign.test.ts (transient retry success, 429 exhaustion -&gt; rate_limited + status stays draft) | 100% stmt/branch/func/line</t>
  </si>
  <si>
    <t xml:space="preserve">As a Ops freelancer, E-sign requests works on the Workspace add-on sidebar in Sheets/Docs surface end-to-end</t>
  </si>
  <si>
    <t xml:space="preserve">v012 23:03 — src/esignOps.ts (EsignSidebarController: create -&gt; send -&gt; track/refresh with transition detection) | tests/esignOps.test.ts (end-to-end to completion, decline once, expiry on refresh, guards, state copy) | 100% stmt/branch/func/line</t>
  </si>
  <si>
    <t xml:space="preserve">As a Workspace admin, I can see E-sign requests performance metrics and trends</t>
  </si>
  <si>
    <t xml:space="preserve">v012 23:03 — src/esign.ts (EsignMetrics: sent/completed/declined, completionRate, avgTurnaroundMs, trendDelta) | tests/esign.test.ts (summary values, trend, neutral empty, default clock) | 100% stmt/branch/func/line</t>
  </si>
  <si>
    <t xml:space="preserve">As a user, E-sign requests respects role permissions and audit logging</t>
  </si>
  <si>
    <t xml:space="preserve">v012 23:03 — src/esign.ts (audited/auditedAsync wrappers on create/setRules/send: allow + deny recorded, deny rethrown) | tests/esign.test.ts (member denial audited, spied send denial audited + no delivery, bogus-role rethrow unaudited, allow entries) | 100% stmt/branch/func/line</t>
  </si>
  <si>
    <t xml:space="preserve">As a Office manager, I can pause/disable E-sign requests without data loss</t>
  </si>
  <si>
    <t xml:space="preserve">v012 23:03 — src/esign.ts (pause/resume via PauseManager on send/sign/decline; signatures collected so far untouched) | tests/esign.test.ts (paused send/sign/decline refused with no-data-loss message, resume continues with signatures intact) | 100% stmt/branch/func/line</t>
  </si>
  <si>
    <t xml:space="preserve">As a Workspace admin, I can import/migrate existing data into E-sign requests (CSV + competitor importer)</t>
  </si>
  <si>
    <t xml:space="preserve">v012 23:03 — src/esign.ts (importSignersCsv: name+email header validation, per-row email validation, partial success; competitor variant cleans &lt;&lt;legacy&gt;&gt; names) | tests/esign.test.ts (valid+invalid rows by number, empty/missing-header rejection, competitor conversion) | 100% stmt/branch/func/line</t>
  </si>
  <si>
    <t xml:space="preserve">As a user, I get notifications (in-app + email) for key E-sign requests events with per-type mute</t>
  </si>
  <si>
    <t xml:space="preserve">v012 23:03 — src/esignOps.ts (EsignNotifier: esign_sent/completed/declined with reason handling) + NotificationType extended | tests/esignOps.test.ts (sent/completed/declined messages, no-reason variant, per-type mute, single-fire on transition) | 100% stmt/branch/func/line</t>
  </si>
  <si>
    <t xml:space="preserve">ST-031</t>
  </si>
  <si>
    <t xml:space="preserve">F4</t>
  </si>
  <si>
    <t xml:space="preserve">Auto-file to Drive</t>
  </si>
  <si>
    <t xml:space="preserve">As a Office manager, I can set up Auto-file to Drive with sensible defaults in one screen</t>
  </si>
  <si>
    <t xml:space="preserve">SCR-3 / Drive</t>
  </si>
  <si>
    <t xml:space="preserve">v013 08:20 — src/driveFiler.ts createFilingConfigWithDefaults | tests/driveFiler.test.ts defaults pinned | 100% x4</t>
  </si>
  <si>
    <t xml:space="preserve">ST-032</t>
  </si>
  <si>
    <t xml:space="preserve">As a Office manager, the Auto-file to Drive happy path completes without documentation</t>
  </si>
  <si>
    <t xml:space="preserve">v013 08:20 — FilingService.file: token merge, named missing-token errors, folder ensure | happy path + content + default clock tests | 100% x4</t>
  </si>
  <si>
    <t xml:space="preserve">As a Workspace admin, I can customise Auto-file to Drive rules/conditions for my workflow</t>
  </si>
  <si>
    <t xml:space="preserve">v013 08:20 — pickFolderPattern first-match routing | match/fallback + row-field folder tests | 100% x4</t>
  </si>
  <si>
    <t xml:space="preserve">As a user, Auto-file to Drive shows clear errors and retry paths on platform API failures</t>
  </si>
  <si>
    <t xml:space="preserve">v013 08:20 — all Drive ops via withRetry | 503 retry, 429 exhaustion, 403 no-retry | 100% x4</t>
  </si>
  <si>
    <t xml:space="preserve">As a Ops freelancer, Auto-file to Drive works on the Workspace add-on sidebar in Sheets/Docs surface end-to-end</t>
  </si>
  <si>
    <t xml:space="preserve">v013 08:20 — FilingSidebarController | end-to-end + 3 guidance paths + state copy | 100% x4</t>
  </si>
  <si>
    <t xml:space="preserve">ST-036</t>
  </si>
  <si>
    <t xml:space="preserve">As a Workspace admin, I can see Auto-file to Drive performance metrics and trends</t>
  </si>
  <si>
    <t xml:space="preserve">v013 08:20 — FilingMetrics | aggregation/trend/neutral/default clock | 100% x4</t>
  </si>
  <si>
    <t xml:space="preserve">ST-037</t>
  </si>
  <si>
    <t xml:space="preserve">As a user, Auto-file to Drive respects role permissions and audit logging</t>
  </si>
  <si>
    <t xml:space="preserve">v013 08:20 — GovernedFilingRunner allow/deny audit on rules+filing | member deny, spied deny, bogus-role rethrow | 100% x4</t>
  </si>
  <si>
    <t xml:space="preserve">ST-038</t>
  </si>
  <si>
    <t xml:space="preserve">As a Office manager, I can pause/disable Auto-file to Drive without data loss</t>
  </si>
  <si>
    <t xml:space="preserve">v013 08:20 — account-scoped pause | refusal + resume tests | 100% x4</t>
  </si>
  <si>
    <t xml:space="preserve">ST-039</t>
  </si>
  <si>
    <t xml:space="preserve">As a Workspace admin, I can import/migrate existing data into Auto-file to Drive (CSV + competitor importer)</t>
  </si>
  <si>
    <t xml:space="preserve">v013 08:20 — importRoutingRulesCsv + competitor variant | operator validation, partial success | 100% x4</t>
  </si>
  <si>
    <t xml:space="preserve">ST-040</t>
  </si>
  <si>
    <t xml:space="preserve">As a user, I get notifications (in-app + email) for key Auto-file to Drive events with per-type mute</t>
  </si>
  <si>
    <t xml:space="preserve">v013 08:20 — filing_completed/filing_failed notifications | counts + mute | 100% x4</t>
  </si>
  <si>
    <t xml:space="preserve">ST-041</t>
  </si>
  <si>
    <t xml:space="preserve">F5</t>
  </si>
  <si>
    <t xml:space="preserve">Form-triggered generation</t>
  </si>
  <si>
    <t xml:space="preserve">As a Office manager, I can set up Form-triggered generation with sensible defaults in one screen</t>
  </si>
  <si>
    <t xml:space="preserve">SCR-4 / Forms</t>
  </si>
  <si>
    <t xml:space="preserve">v015 13 Sep 10:22 — see product workbook v015 Traceability row ST-041 for module/test detail | 100% x4</t>
  </si>
  <si>
    <t xml:space="preserve">ST-042</t>
  </si>
  <si>
    <t xml:space="preserve">As a Office manager, the Form-triggered generation happy path completes without documentation</t>
  </si>
  <si>
    <t xml:space="preserve">v015 13 Sep 10:22 — see product workbook v015 Traceability row ST-042 for module/test detail | 100% x4</t>
  </si>
  <si>
    <t xml:space="preserve">ST-043</t>
  </si>
  <si>
    <t xml:space="preserve">As a Workspace admin, I can customise Form-triggered generation rules/conditions for my workflow</t>
  </si>
  <si>
    <t xml:space="preserve">v015 13 Sep 10:22 — see product workbook v015 Traceability row ST-043 for module/test detail | 100% x4</t>
  </si>
  <si>
    <t xml:space="preserve">ST-044</t>
  </si>
  <si>
    <t xml:space="preserve">As a user, Form-triggered generation shows clear errors and retry paths on platform API failures</t>
  </si>
  <si>
    <t xml:space="preserve">v015 13 Sep 10:22 — see product workbook v015 Traceability row ST-044 for module/test detail | 100% x4</t>
  </si>
  <si>
    <t xml:space="preserve">ST-045</t>
  </si>
  <si>
    <t xml:space="preserve">As a Ops freelancer, Form-triggered generation works on the Workspace add-on sidebar in Sheets/Docs surface end-to-end</t>
  </si>
  <si>
    <t xml:space="preserve">v015 13 Sep 10:22 — see product workbook v015 Traceability row ST-045 for module/test detail | 100% x4</t>
  </si>
  <si>
    <t xml:space="preserve">ST-046</t>
  </si>
  <si>
    <t xml:space="preserve">As a Workspace admin, I can see Form-triggered generation performance metrics and trends</t>
  </si>
  <si>
    <t xml:space="preserve">v015 13 Sep 10:22 — see product workbook v015 Traceability row ST-046 for module/test detail | 100% x4</t>
  </si>
  <si>
    <t xml:space="preserve">ST-047</t>
  </si>
  <si>
    <t xml:space="preserve">As a user, Form-triggered generation respects role permissions and audit logging</t>
  </si>
  <si>
    <t xml:space="preserve">v015 13 Sep 10:22 — see product workbook v015 Traceability row ST-047 for module/test detail | 100% x4</t>
  </si>
  <si>
    <t xml:space="preserve">ST-048</t>
  </si>
  <si>
    <t xml:space="preserve">As a Office manager, I can pause/disable Form-triggered generation without data loss</t>
  </si>
  <si>
    <t xml:space="preserve">v015 13 Sep 10:22 — see product workbook v015 Traceability row ST-048 for module/test detail | 100% x4</t>
  </si>
  <si>
    <t xml:space="preserve">ST-049</t>
  </si>
  <si>
    <t xml:space="preserve">As a Workspace admin, I can import/migrate existing data into Form-triggered generation (CSV + competitor importer)</t>
  </si>
  <si>
    <t xml:space="preserve">v015 13 Sep 10:22 — see product workbook v015 Traceability row ST-049 for module/test detail | 100% x4</t>
  </si>
  <si>
    <t xml:space="preserve">ST-050</t>
  </si>
  <si>
    <t xml:space="preserve">As a user, I get notifications (in-app + email) for key Form-triggered generation events with per-type mute</t>
  </si>
  <si>
    <t xml:space="preserve">v015 13 Sep 10:22 — see product workbook v015 Traceability row ST-050 for module/test detail | 100% x4</t>
  </si>
  <si>
    <t xml:space="preserve">E1</t>
  </si>
  <si>
    <t xml:space="preserve">Install lifecycle</t>
  </si>
  <si>
    <t xml:space="preserve">Marketplace OAuth install completes and lands on welcome state in &lt;2 min</t>
  </si>
  <si>
    <t xml:space="preserve">SCR-1 Onboarding</t>
  </si>
  <si>
    <t xml:space="preserve">v008 22:17 — docmerge-pro-s1/src/oauth.ts (exchangeCode); src/install.ts (InstallService, INSTALL_BUDGET_MS, MemoryAccountRepo) | tests/oauth.test.ts (exchange + missing-refresh-token error); tests/install.test.ts (welcome state, 2-min budget pass/fail, default source, repo behaviours) | 100% stmt/branch/func/line</t>
  </si>
  <si>
    <t xml:space="preserve">Uninstall webhook removes tokens, schedules data deletion per policy</t>
  </si>
  <si>
    <t xml:space="preserve">v008 22:17 — src/oauth.ts (revoke); src/uninstall.ts (UninstallService, RETENTION_WINDOW_MS 30d, MemoryDeletionScheduler) | tests/uninstall.test.ts (revoke + delete + schedule at retention boundary, partial-install path, webhook-replay idempotency); tests/oauth.test.ts (revoke endpoint) | 100% stmt/branch/func/line</t>
  </si>
  <si>
    <t xml:space="preserve">Re-install restores account within retention window</t>
  </si>
  <si>
    <t xml:space="preserve">v009 22:23 — src/reinstall.ts (ReinstallService: pending_deletion + unexpired job -&gt; cancel deletion, reactivate, re-issue tokens, app_reinstalled; else fresh install; MemoryCancellableDeletionScheduler) | tests/reinstall.test.ts (restore within window, window expired, no job, active account, brand-new, default attribution, default clock, scheduler ops) | 100% stmt/branch/func/line</t>
  </si>
  <si>
    <t xml:space="preserve">Multi-user roles: owner/admin/member permission matrix enforced</t>
  </si>
  <si>
    <t xml:space="preserve">v009 22:23 — src/permissions.ts (PERMISSION_MATRIX owner/admin/member x 7 actions; assertPermission -&gt; PermissionError); enforced in templates.ts guard() | tests/permissions.test.ts (all 21 matrix cells pinned, matrix/isAllowed parity, allow + typed deny); tests/templates.test.ts (denials at create/setRules) | 100% stmt/branch/func/line</t>
  </si>
  <si>
    <t xml:space="preserve">Session/token refresh survives platform token rotation</t>
  </si>
  <si>
    <t xml:space="preserve">v008 22:17 — src/oauth.ts (refresh, rotation adoption); src/tokenRefresh.ts (TokenRefreshManager, EXPIRY_SKEW_MS, invalid_grant → re-auth, single retry) | tests/tokenRefresh.test.ts (fresh/skew, non-rotated + rotated refresh persisted, invalid_grant clears credential, transient retry succeed/fail); tests/oauth.test.ts (rotation) | 100% stmt/branch/func/line</t>
  </si>
  <si>
    <t xml:space="preserve">Install telemetry: source attribution (listing/search/referral) captured</t>
  </si>
  <si>
    <t xml:space="preserve">v008 22:17 — src/telemetry.ts (normaliseSource, Telemetry.trackInstall, sink-failure isolation) | tests/telemetry.test.ts (all 3 valid sources, unknown/undefined fallback, event envelope, dropped-event counting); tests/install.test.ts (attribution through install flow) | 100% stmt/branch/func/line</t>
  </si>
  <si>
    <t xml:space="preserve">E5</t>
  </si>
  <si>
    <t xml:space="preserve">Billing</t>
  </si>
  <si>
    <t xml:space="preserve">14-day trial without card; banner shows days remaining</t>
  </si>
  <si>
    <t xml:space="preserve">SCR-7 Billing</t>
  </si>
  <si>
    <t xml:space="preserve">v013 08:20 — startTrial/trialBanner | 14-&gt;1-&gt;ended-&gt;hidden, zero charges | 100% x4</t>
  </si>
  <si>
    <t xml:space="preserve">Upgrade/downgrade mid-cycle prorates correctly</t>
  </si>
  <si>
    <t xml:space="preserve">v013 08:20 — prorate/changePlan | $11.33/-$8.50 to the cent, declined unchanged | 100% x4</t>
  </si>
  <si>
    <t xml:space="preserve">Marketplace billing API used where mandated; external Stripe fallback elsewhere</t>
  </si>
  <si>
    <t xml:space="preserve">v013 08:20 — pickProvider + dunning 1/3/7 -&gt; grace -&gt; downgrade-with-data | full walk + recovery | 100% x4</t>
  </si>
  <si>
    <t xml:space="preserve">Failed payment: 7-day grace, 3 dunning emails, then read-only mode</t>
  </si>
  <si>
    <t xml:space="preserve">v014 13 Sep 09:55 — DunningNotifier (1/3/7 emails, catch-up, grace, read-only + assertWritable) | schedule walk, 3-email cap, block/resolve, guards | 100% x4. Supersedes ST-059 downgrade (E019).</t>
  </si>
  <si>
    <t xml:space="preserve">Plan limits enforced with upgrade prompts at 80%/100%</t>
  </si>
  <si>
    <t xml:space="preserve">v014 13 Sep 09:55 — PLAN_LIMITS + PlanLimitEnforcer (none/warning/blocking at 80%/100%) | all keys, plan scaling, monthly reset isolation | 100% x4</t>
  </si>
  <si>
    <t xml:space="preserve">Invoices/receipts downloadable; GST/VAT fields supported</t>
  </si>
  <si>
    <t xml:space="preserve">v014 13 Sep 09:55 — InvoiceBook (GST/VAT, tax IDs, reverse charge, rounding, CSV receipts) | VAT/GST/reverse/multi-line/empty/copies/CSV tests | 100% x4. Closes S6 tax flag.</t>
  </si>
  <si>
    <t xml:space="preserve">Cancellation flow with save-offer and exit survey</t>
  </si>
  <si>
    <t xml:space="preserve">v014 13 Sep 09:55 — CancellationFlow (reason-matched offers, once-only, survey + counts, access to period end) | 5 reasons, saved/declined/exhausted paths | 100% x4</t>
  </si>
  <si>
    <t xml:space="preserve">E6</t>
  </si>
  <si>
    <t xml:space="preserve">Compliance &amp; security</t>
  </si>
  <si>
    <t xml:space="preserve">Scopes requested map 1:1 to shipped features (least privilege doc)</t>
  </si>
  <si>
    <t xml:space="preserve">SCR-6 Settings &amp; team</t>
  </si>
  <si>
    <t xml:space="preserve">v014 13 Sep 09:55 — SCOPE_MANIFEST + auditScopes + renderScopeNarrative; SCOPE_NARRATIVE.md | manifest passes audit, all failure modes, no broad scopes | 100% x4. LC-2 evidence.</t>
  </si>
  <si>
    <t xml:space="preserve">Data-flow diagram + retention policy published</t>
  </si>
  <si>
    <t xml:space="preserve">v015 13 Sep 10:22 — src/security.ts data-flow + retention VALIDATED in tests, published as DATA_FLOW_AND_RETENTION.md | LC-7 evidence | 100% x4</t>
  </si>
  <si>
    <t xml:space="preserve">Encryption at rest + in transit verified; secrets in vault</t>
  </si>
  <si>
    <t xml:space="preserve">v015 13 Sep 10:22 — see product workbook v015 Traceability row ST-066 for module/test detail | 100% x4</t>
  </si>
  <si>
    <t xml:space="preserve">Audit log for admin-sensitive actions</t>
  </si>
  <si>
    <t xml:space="preserve">v015 13 Sep 10:22 — src/security.ts AdminAuditLog hash chain; edit and deletion both detected in tests | 100% x4</t>
  </si>
  <si>
    <t xml:space="preserve">Pen-test (or platform-required evidence) completed and archived</t>
  </si>
  <si>
    <t xml:space="preserve">In progress</t>
  </si>
  <si>
    <t xml:space="preserve">v016 13 Sep 10:35 — src/reviewPrep.ts evidence pack + SECURITY_EVIDENCE_PACK.md; 6 of 9 controls verified in code. NOT DONE: SC-08 third-party pen test not started (E026).</t>
  </si>
  <si>
    <t xml:space="preserve">Data export + delete-my-data self-serve</t>
  </si>
  <si>
    <t xml:space="preserve">v016 13 Sep 10:35 — SelfServeDataRights export (stated exclusions) + owner-only deletion with cancellable grace | 100% x4</t>
  </si>
  <si>
    <t xml:space="preserve">Rate-limit backoff + circuit breaker on platform APIs</t>
  </si>
  <si>
    <t xml:space="preserve">v015 13 Sep 10:22 — src/security.ts CircuitBreaker closed/open/half-open + re-trip; fast-fail proven not to call the failing service | 100% x4</t>
  </si>
  <si>
    <t xml:space="preserve">E7</t>
  </si>
  <si>
    <t xml:space="preserve">Telemetry &amp; analytics</t>
  </si>
  <si>
    <t xml:space="preserve">Activation funnel events (install-&gt;setup-&gt;aha-&gt;habit) in one dashboard</t>
  </si>
  <si>
    <t xml:space="preserve">SCR-8 Analytics</t>
  </si>
  <si>
    <t xml:space="preserve">v011 22:52 — src/observability.ts (ActivationFunnel: reach with implied earlier stages, idempotent; dashboard counts + stage-to-stage conversions) | tests/observability.test.ts (implication/idempotence, conversion rates, empty funnel zero rates, stage order); e2e.smoke.test.ts funnel checks | 100% stmt/branch/func/line</t>
  </si>
  <si>
    <t xml:space="preserve">Error tracking with release tagging; alert on error-rate spike</t>
  </si>
  <si>
    <t xml:space="preserve">v011 22:52 — src/observability.ts (ErrorTracker: release-tagged capture, countsByRelease, spike alert current &gt; factor x previous with min floor, one-shot until acknowledge) | tests/observability.test.ts (counts, floor silence, spike alert once, within-factor silence, per-release independence, acknowledge re-arm, default clock) | 100% stmt/branch/func/line</t>
  </si>
  <si>
    <t xml:space="preserve">ST-073</t>
  </si>
  <si>
    <t xml:space="preserve">Feature-usage heatmap for roadmap decisions</t>
  </si>
  <si>
    <t xml:space="preserve">v015 13 Sep 10:22 — see product workbook v015 Traceability row ST-073 for module/test detail | 100% x4</t>
  </si>
  <si>
    <t xml:space="preserve">ST-074</t>
  </si>
  <si>
    <t xml:space="preserve">Weekly automated metrics email to team</t>
  </si>
  <si>
    <t xml:space="preserve">v015 13 Sep 10:22 — see product workbook v015 Traceability row ST-074 for module/test detail | 100% x4</t>
  </si>
  <si>
    <t xml:space="preserve">ST-075</t>
  </si>
  <si>
    <t xml:space="preserve">Health score computed per account (usage+billing+support)</t>
  </si>
  <si>
    <t xml:space="preserve">v015 13 Sep 10:22 — see product workbook v015 Traceability row ST-075 for module/test detail | 100% x4</t>
  </si>
  <si>
    <t xml:space="preserve">ST-076</t>
  </si>
  <si>
    <t xml:space="preserve">Metrics export to CSV/warehouse for founder analysis</t>
  </si>
  <si>
    <t xml:space="preserve">v015 13 Sep 10:22 — see product workbook v015 Traceability row ST-076 for module/test detail | 100% x4</t>
  </si>
  <si>
    <t xml:space="preserve">ST-077</t>
  </si>
  <si>
    <t xml:space="preserve">Alert thresholds configurable (activation drop, error spike, churn signal)</t>
  </si>
  <si>
    <t xml:space="preserve">v015 13 Sep 10:22 — see product workbook v015 Traceability row ST-077 for module/test detail | 100% x4</t>
  </si>
  <si>
    <t xml:space="preserve">E8</t>
  </si>
  <si>
    <t xml:space="preserve">Onboarding/docs/support</t>
  </si>
  <si>
    <t xml:space="preserve">First-run checklist reaches aha-moment in &lt;1 day</t>
  </si>
  <si>
    <t xml:space="preserve">SCR-1 / SCR-9</t>
  </si>
  <si>
    <t xml:space="preserve">v012 23:03 — src/esignOps.ts (FirstRunChecklist: 4 ordered steps, aha = generate_first_document, &lt;1-day budget verdict, idempotent first-completion-wins) | tests/esignOps.test.ts (step order + hints, aha within budget, over-budget honesty, idempotence, default clock) | 100% stmt/branch/func/line</t>
  </si>
  <si>
    <t xml:space="preserve">Empty states teach next action on every screen</t>
  </si>
  <si>
    <t xml:space="preserve">v012 23:03 — src/esignOps.ts (EMPTY_STATES registry: all 9 Screens_Wireframes screens with message + actionLabel; getEmptyState copy) | tests/esignOps.test.ts (all 9 screens asserted non-trivial, defensive copy) | 100% stmt/branch/func/line</t>
  </si>
  <si>
    <t xml:space="preserve">Help center with 15 launch articles + search</t>
  </si>
  <si>
    <t xml:space="preserve">v017 13 Sep 10:43 — src/helpCenter.ts 15 articles + weighted search + coverage report | 100% x4</t>
  </si>
  <si>
    <t xml:space="preserve">In-app chat with &lt;4 business-hr first response</t>
  </si>
  <si>
    <t xml:space="preserve">v017 13 Sep 10:43 — SupportInbox, business-hours SLA (weekend-safe), urgent tier, breach queue | 100% x4. Staffing (CL-15) owed.</t>
  </si>
  <si>
    <t xml:space="preserve">In-app review ask after aha-moment (marketplace rating engine)</t>
  </si>
  <si>
    <t xml:space="preserve">v018 13 Sep 10:58 — src/launchOps.ts shouldAskForReview + ReviewPrompter; every suppression rule tested | 100% x4</t>
  </si>
  <si>
    <t xml:space="preserve">Demo video (2 min) + interactive sandbox/demo data mode</t>
  </si>
  <si>
    <t xml:space="preserve">v017 13 Sep 10:43 — SandboxMode + DEMO_DATASET complete | 100% x4. NOT DONE: 2-minute demo video needs a running app (S10-05).</t>
  </si>
  <si>
    <t xml:space="preserve">Status page + incident comms template</t>
  </si>
  <si>
    <t xml:space="preserve">v017 13 Sep 10:43 — StatusPage worst-wins + incident templates + overdue chasing | 100% x4. Hosting (CL-17) owed.</t>
  </si>
  <si>
    <t xml:space="preserve">EQ</t>
  </si>
  <si>
    <t xml:space="preserve">Quality engineering</t>
  </si>
  <si>
    <t xml:space="preserve">Unit+integration test coverage gate ≥70% on core modules</t>
  </si>
  <si>
    <t xml:space="preserve">CI / all screens</t>
  </si>
  <si>
    <t xml:space="preserve">v010 22:29 — SUPERSEDED by D13: coverage gate pinned at 100% (not ≥70%) in package.json jest coverageThreshold — build fails below 100 | Every suite runs under the gate; evidence: 150/150 tests, 100/100/100/100 all 15 modules | 100% stmt/branch/func/line</t>
  </si>
  <si>
    <t xml:space="preserve">E2E smoke suite runs on every deploy</t>
  </si>
  <si>
    <t xml:space="preserve">v011 22:52 — tests/e2e.smoke.test.ts (10-step full product loop) + .github/workflows/ci.yml (deploy job needs smoke job; smoke runs npm run test:smoke; test job runs 100%-gated jest first) + package.json test:smoke script | Smoke suite green standalone (npm run test:smoke) and inside the full 180-test run | 100% stmt/branch/func/line</t>
  </si>
  <si>
    <t xml:space="preserve">p95 latency budgets defined and monitored per surface</t>
  </si>
  <si>
    <t xml:space="preserve">v015 13 Sep 10:22 — see product workbook v015 Traceability row ST-087 for module/test detail | 100% x4</t>
  </si>
  <si>
    <t xml:space="preserve">Load test at 5x expected launch traffic</t>
  </si>
  <si>
    <t xml:space="preserve">v015 13 Sep 10:22 — src/performance.ts runLoadTest, deterministic so it runs every commit; p95 + error-ceiling judgement | 100% x4</t>
  </si>
  <si>
    <t xml:space="preserve">Accessibility WCAG AA pass on primary flows</t>
  </si>
  <si>
    <t xml:space="preserve">v016 13 Sep 10:35 — WCAG AA audit, real contrast maths, shipped palette passes | 100% x4</t>
  </si>
  <si>
    <t xml:space="preserve">Backup + restore drill executed</t>
  </si>
  <si>
    <t xml:space="preserve">v016 13 Sep 10:35 — runRestoreDrill verifies contents + RTO/RPO; omitted-table case | 100% x4. Harness only (R-D9 class).</t>
  </si>
  <si>
    <t xml:space="preserve">Chaos test: platform API outage degrades gracefully with user comms</t>
  </si>
  <si>
    <t xml:space="preserve">v016 13 Sep 10:35 — simulateOutage across 5 dependencies; guards injectable so they can fire | 100% x4</t>
  </si>
  <si>
    <t xml:space="preserve">Zero-downtime deploy verified (blue/green or rolling)</t>
  </si>
  <si>
    <t xml:space="preserve">v015 13 Sep 10:22 — src/performance.ts BlueGreenDeployer; pre-cutover abort, both rollback colour paths, droppedRequests measured | 100% x4</t>
  </si>
  <si>
    <t xml:space="preserve">EL</t>
  </si>
  <si>
    <t xml:space="preserve">Listing &amp; launch</t>
  </si>
  <si>
    <t xml:space="preserve">Marketplace listing copy A + B variants drafted and reviewed</t>
  </si>
  <si>
    <t xml:space="preserve">Marketplace listing</t>
  </si>
  <si>
    <t xml:space="preserve">v016 13 Sep 10:35 — two distinct-angle variants + risky-claim reviewer; LISTING_PACK.md | 100% x4</t>
  </si>
  <si>
    <t xml:space="preserve">5 screenshots + 2-min demo video meet platform asset specs</t>
  </si>
  <si>
    <t xml:space="preserve">v016 13 Sep 10:35 — validateAssets + 5-screenshot plan | 100% x4. Assets themselves still to be produced (S9-10).</t>
  </si>
  <si>
    <t xml:space="preserve">Pricing page/plan matrix published with FAQ</t>
  </si>
  <si>
    <t xml:space="preserve">v017 13 Sep 10:43 — buildPlanMatrix from billing code + PRICING_FAQ + drift validator | 100% x4</t>
  </si>
  <si>
    <t xml:space="preserve">Security/trust page (data handling, subprocessors) live</t>
  </si>
  <si>
    <t xml:space="preserve">v017 13 Sep 10:43 — buildTrustPage from scope manifest/subprocessors/retention + validator | 100% x4. Hosting (CL-06) owed.</t>
  </si>
  <si>
    <t xml:space="preserve">Submission dry-run against platform checklist by second reviewer</t>
  </si>
  <si>
    <t xml:space="preserve">v017 13 Sep 10:43 — runSubmissionDryRun + SUBMISSION_DRY_RUN.md | VERDICT NOT READY: 10/20 satisfied, 10 blocking | 100% x4</t>
  </si>
  <si>
    <t xml:space="preserve">Launch-day runbook: monitoring, rollback, comms tree</t>
  </si>
  <si>
    <t xml:space="preserve">v018 13 Sep 10:58 — evaluateGoNoGo + watchlist/rollback/comms + LAUNCH_RUNBOOK.md | verdict NO-GO, 8 blocking | 100% x4</t>
  </si>
  <si>
    <t xml:space="preserve">Post-launch listing SEO iteration 1 from search-term data</t>
  </si>
  <si>
    <t xml:space="preserve">v018 13 Sep 10:58 — findSeoOpportunities + planSeoIteration, one change per iteration | 100% x4</t>
  </si>
  <si>
    <t xml:space="preserve">First 10 design-partner reviews scheduled</t>
  </si>
  <si>
    <t xml:space="preserve">v018 13 Sep 10:58 — PartnerReviewPipeline, at-risk refusal + stale-invite warnings | 100% x4</t>
  </si>
  <si>
    <t xml:space="preserve">SPRINT STATUS ROLLUP — live formulas over Traceability_Matrix</t>
  </si>
  <si>
    <t xml:space="preserve">Do not edit computed cells. 'Done' counts Done-in-code + Done. Exit criteria from v012 Sprint_Board.</t>
  </si>
  <si>
    <t xml:space="preserve">Focus</t>
  </si>
  <si>
    <t xml:space="preserve">Stories</t>
  </si>
  <si>
    <t xml:space="preserve">Done points</t>
  </si>
  <si>
    <t xml:space="preserve">% points done</t>
  </si>
  <si>
    <t xml:space="preserve">RAG (manual)</t>
  </si>
  <si>
    <t xml:space="preserve">Discovery &amp; Design (parked per D13)</t>
  </si>
  <si>
    <t xml:space="preserve">PARKED — interviews owed; PRD baseline = Product_Spec</t>
  </si>
  <si>
    <t xml:space="preserve">Foundation</t>
  </si>
  <si>
    <t xml:space="preserve">GREEN — 4/4 done-in-code; live install pending LC-1</t>
  </si>
  <si>
    <t xml:space="preserve">Template designer pt 1</t>
  </si>
  <si>
    <t xml:space="preserve">GREEN — 6/6 done-in-code</t>
  </si>
  <si>
    <t xml:space="preserve">Designer pt 2 + Batch skeleton</t>
  </si>
  <si>
    <t xml:space="preserve">GREEN — 11/11 done-in-code (DF-1 found+fixed)</t>
  </si>
  <si>
    <t xml:space="preserve">Batch pt 2 + observability + smoke</t>
  </si>
  <si>
    <t xml:space="preserve">GREEN — 9/9 done-in-code; MVP loop demonstrated in code</t>
  </si>
  <si>
    <t xml:space="preserve">E-sign + alpha hardening</t>
  </si>
  <si>
    <t xml:space="preserve">GREEN-code — 12/12 done-in-code; live dogfooding needs LC-1</t>
  </si>
  <si>
    <t xml:space="preserve">Billing + Auto-file to Drive</t>
  </si>
  <si>
    <t xml:space="preserve">GREEN-code — 13/13 done-in-code; live charge + CASA booking = Senthil actions</t>
  </si>
  <si>
    <t xml:space="preserve">Private beta (design partners)</t>
  </si>
  <si>
    <t xml:space="preserve">GREEN-code — 5/5 done-in-code; partner recruitment + NPS blocked on LC-1</t>
  </si>
  <si>
    <t xml:space="preserve">Beta iteration + Form-triggered generation</t>
  </si>
  <si>
    <t xml:space="preserve">GREEN-code — 22/22 done-in-code (largest sprint); beta cohort retention needs live users</t>
  </si>
  <si>
    <t xml:space="preserve">Marketplace review prep</t>
  </si>
  <si>
    <t xml:space="preserve">AMBER — 6/7 done-in-code; ST-068 blocked on a third-party pen test, submission blocked on LC-1</t>
  </si>
  <si>
    <t xml:space="preserve">Review remediation + docs</t>
  </si>
  <si>
    <t xml:space="preserve">AMBER — 6/7 done-in-code; approval is 10 dry-run blockers away, none of them code</t>
  </si>
  <si>
    <t xml:space="preserve">Launch</t>
  </si>
  <si>
    <t xml:space="preserve">Code done (3/3); LIVE GATED — runbook verdict NO-GO, 8 blocking checks</t>
  </si>
  <si>
    <t xml:space="preserve">Iterate &amp; scale decision</t>
  </si>
  <si>
    <t xml:space="preserve">Code done (1/1); growth model FRAME built (GROWTH_MODEL.md) — exit needs measured CAC/LTV from a real cohort</t>
  </si>
  <si>
    <t xml:space="preserve">TOTAL</t>
  </si>
  <si>
    <t xml:space="preserve">(S0-S12)</t>
  </si>
  <si>
    <t xml:space="preserve">RAID — seeded from v007 Risk_Register + build findings</t>
  </si>
  <si>
    <t xml:space="preserve">Type</t>
  </si>
  <si>
    <t xml:space="preserve">Raised</t>
  </si>
  <si>
    <t xml:space="preserve">Notes / Mitigation</t>
  </si>
  <si>
    <t xml:space="preserve">R-D1</t>
  </si>
  <si>
    <t xml:space="preserve">Risk</t>
  </si>
  <si>
    <t xml:space="preserve">CASA Tier 2 assessment delays listing 4-8 weeks (Medium/High)</t>
  </si>
  <si>
    <t xml:space="preserve">Open</t>
  </si>
  <si>
    <t xml:space="preserve">Per Risk_Register: schedule CASA at S6 (NOW — next sprint); scope austerity practised from S1 (least-privilege matrix already in code for ST-064 narrative).</t>
  </si>
  <si>
    <t xml:space="preserve">R-D2</t>
  </si>
  <si>
    <t xml:space="preserve">Google ships native doc-gen improvements (High/Medium)</t>
  </si>
  <si>
    <t xml:space="preserve">Depth on batch + e-sign + filing; template-gallery moat (LC-9: 20 launch templates owed).</t>
  </si>
  <si>
    <t xml:space="preserve">R-D3</t>
  </si>
  <si>
    <t xml:space="preserve">Low ARPU demands volume; listing SEO may underperform (High/Medium)</t>
  </si>
  <si>
    <t xml:space="preserve">Template-gallery SEO + freelancer channel + comparison pages (GTM S8/S9).</t>
  </si>
  <si>
    <t xml:space="preserve">R-D4</t>
  </si>
  <si>
    <t xml:space="preserve">Constraint</t>
  </si>
  <si>
    <t xml:space="preserve">22:17</t>
  </si>
  <si>
    <t xml:space="preserve">Sandbox has no Postgres / live Workspace — all persistence and platform boundaries are in-memory/injected behind typed interfaces (DM-D2)</t>
  </si>
  <si>
    <t xml:space="preserve">CLOSED</t>
  </si>
  <si>
    <t xml:space="preserve">Closed 13 Sep 16:25 by src/postgres.ts: PostgresTokenStore, PostgresAccountRepo and PostgresTemplateRepo implement the existing interfaces against the migrations, plus purge targets for all 18 tables. The client is injected so there is no pg dependency and the adapter is testable without a database. BIGINT expiries are converted explicitly (the driver returns strings), template+rules write in one transaction with rollback, and every value is parameterised — proven by a test that purges with a SQL-injection string and asserts it never reaches the statement text. The migrations are no longer decorative.</t>
  </si>
  <si>
    <t xml:space="preserve">R-D5</t>
  </si>
  <si>
    <t xml:space="preserve">Workspace add-on sidebar contract assumed (SidebarHost interface) pending real Apps Script verification; actual card/HTML surface may constrain UX</t>
  </si>
  <si>
    <t xml:space="preserve">Host boundary isolated in src/sidebar.ts + batchOps/esignOps controllers — a contract change is controller-level, not domain-level. Verify at LC-1.</t>
  </si>
  <si>
    <t xml:space="preserve">R-D6</t>
  </si>
  <si>
    <t xml:space="preserve">23:03</t>
  </si>
  <si>
    <t xml:space="preserve">E-sign legal validity requirements (eIDAS/ESIGN/IT Act depending on market) not yet verified — current module is workflow-grade, not certified-signature-grade</t>
  </si>
  <si>
    <t xml:space="preserve">Decide at S6/S7: integrate a qualified provider vs position as approval workflow. Affects listing claims (EL stories).</t>
  </si>
  <si>
    <t xml:space="preserve">A-D1</t>
  </si>
  <si>
    <t xml:space="preserve">Assumption</t>
  </si>
  <si>
    <t xml:space="preserve">D13 applies to DocMerge (interviews parked, 100% coverage) per portfolio-wide instruction</t>
  </si>
  <si>
    <t xml:space="preserve">S0 activities remain owed and are NOT marked done (E002).</t>
  </si>
  <si>
    <t xml:space="preserve">A-D2</t>
  </si>
  <si>
    <t xml:space="preserve">D15 mode (parallel vs swap) still pending while three+ builds run concurrently</t>
  </si>
  <si>
    <t xml:space="preserve">Senthil to ratify; sessions ran on explicit continue instructions.</t>
  </si>
  <si>
    <t xml:space="preserve">DF-1</t>
  </si>
  <si>
    <t xml:space="preserve">Defect (closed)</t>
  </si>
  <si>
    <t xml:space="preserve">22:29</t>
  </si>
  <si>
    <t xml:space="preserve">withRetry masked validation errors behind generic platform message</t>
  </si>
  <si>
    <t xml:space="preserve">Closed</t>
  </si>
  <si>
    <t xml:space="preserve">Caught by 100% branch gate + failing test pre-merge; fixed same session (E008).</t>
  </si>
  <si>
    <t xml:space="preserve">DF-2</t>
  </si>
  <si>
    <t xml:space="preserve">22:52</t>
  </si>
  <si>
    <t xml:space="preserve">Test fixture: all-empty row treated as validation failure; is skipped_empty by design</t>
  </si>
  <si>
    <t xml:space="preserve">Fixture corrected (E010).</t>
  </si>
  <si>
    <t xml:space="preserve">R-D7</t>
  </si>
  <si>
    <t xml:space="preserve">13 Sep</t>
  </si>
  <si>
    <t xml:space="preserve">Tax rate table per market is a BUSINESS input, not code: ST-062 computes correctly from a TaxProfile but the rates/registration thresholds per market are unset. Charging the wrong VAT/GST is a legal exposure.</t>
  </si>
  <si>
    <t xml:space="preserve">Needs Senthil decision on markets + registration; Omshakti accountant input. Code side is complete and test-covered.</t>
  </si>
  <si>
    <t xml:space="preserve">R-D8</t>
  </si>
  <si>
    <t xml:space="preserve">LC-1 (GCP project + OAuth consent) has now blocked live evidence for 7 consecutive sprints; S7 exit criterion (3+ design partners active weekly, NPS &gt;30) cannot be attempted without it. Code is 62% complete with zero live validation.</t>
  </si>
  <si>
    <t xml:space="preserve">Open — escalating</t>
  </si>
  <si>
    <t xml:space="preserve">Single highest-leverage unblock in the project. Everything downstream (beta, CASA, listing, first revenue) queues behind it.</t>
  </si>
  <si>
    <t xml:space="preserve">R-D9</t>
  </si>
  <si>
    <t xml:space="preserve">Load-test numbers (ST-088) come from injected workers, not real infrastructure. They prove the harness and the judgement logic, NOT that the deployed system survives 5x launch traffic. Reading them as capacity evidence would be a mistake.</t>
  </si>
  <si>
    <t xml:space="preserve">Re-run against staging once LC-1 + hosting exist; treat current result as a CI regression guard only.</t>
  </si>
  <si>
    <t xml:space="preserve">A-D3</t>
  </si>
  <si>
    <t xml:space="preserve">Google Forms webhook/trigger contract assumed (submissionId, formId, answers-by-title). Real Apps Script form triggers may differ in shape and delivery guarantees.</t>
  </si>
  <si>
    <t xml:space="preserve">Dedupe and mapping are isolated in src/formTrigger.ts; a contract change is one module. Verify at LC-1.</t>
  </si>
  <si>
    <t xml:space="preserve">R-D10</t>
  </si>
  <si>
    <t xml:space="preserve">ST-068 pen test is unbooked with no budget line, and it gates the marketplace review submission. Lead times for a booked third-party test are typically weeks; CASA (LC-3) has similar lead time and is already two sprints overdue. These two are the long poles for launch and both sit behind LC-1.</t>
  </si>
  <si>
    <t xml:space="preserve">Sequence: LC-1 (GCP project) -&gt; deploy to staging -&gt; book pen test + CASA in parallel. Booking can begin as soon as a target exists.</t>
  </si>
  <si>
    <t xml:space="preserve">R-D11</t>
  </si>
  <si>
    <t xml:space="preserve">Listing assets (5 screenshots, 2-min demo video) cannot be produced without a running app. The validator and the screenshot plan exist, but S9 exit ("submission accepted into queue") needs real assets plus the pen test plus LC-1.</t>
  </si>
  <si>
    <t xml:space="preserve">Asset capture becomes a same-day task once the app runs; plan and spec already locked so there is no rework.</t>
  </si>
  <si>
    <t xml:space="preserve">R-D12</t>
  </si>
  <si>
    <t xml:space="preserve">SUBMISSION DRY-RUN VERDICT: NOT READY — 10 of 20 checklist items blocking, 8 owned by Senthil and 2 by third parties. ZERO are code. The code-side backlog is 94% complete while the launch-side checklist is 50% complete; further sprints cannot close this gap.</t>
  </si>
  <si>
    <t xml:space="preserve">Open — critical</t>
  </si>
  <si>
    <t xml:space="preserve">Critical path published in SUBMISSION_DRY_RUN.md: LC-1 GCP project first (unblocks deployment, assets, live quota test, and gives CASA/pen-test a target), then book CASA + pen test in parallel, then hosting for policy/status pages, then the support staffing decision.</t>
  </si>
  <si>
    <t xml:space="preserve">R-D13</t>
  </si>
  <si>
    <t xml:space="preserve">The published first-response SLA (4 business hours) is a promise nobody is currently rostered to keep. Publishing an SLA with no staffing behind it damages trust more than publishing no SLA.</t>
  </si>
  <si>
    <t xml:space="preserve">Decide before launch: staff the stated hours, widen the SLA to what a solo founder can honour, or publish response expectations without an SLA.</t>
  </si>
  <si>
    <t xml:space="preserve">R-D14</t>
  </si>
  <si>
    <t xml:space="preserve">BUILD PHASE IS OVER AND THE LAUNCH PHASE HAS NOT STARTED. Code is 98% complete with 516 passing tests; the launch checklist is 50% complete and the go/no-go gate reads NO-GO with 8 blocking failures. Continuing to build adds nothing — there are only 2 stories left and neither is a coding task. The project now sits entirely on Senthil-owned and third-party actions.</t>
  </si>
  <si>
    <t xml:space="preserve">Single sequence that unblocks everything: create the GCP project + OAuth consent screen (LC-1). That unblocks deployment, rollback verification, listing assets, live quota testing, and gives CASA and the pen test a target to assess. Then book CASA and the pen test in parallel (multi-week lead times), host the policy and status pages, wire monitoring sinks, and settle the support staffing question.</t>
  </si>
  <si>
    <t xml:space="preserve">R-D15</t>
  </si>
  <si>
    <t xml:space="preserve">Finding</t>
  </si>
  <si>
    <t xml:space="preserve">SEQUENCING CORRECTION: the OAuth consent screen requires authorised domains that are live and verified, which means the privacy policy and status page must be HOSTED BEFORE the consent screen can be completed. Earlier plans (R-D12 critical path) treated hosting as parallel to LC-1; it is actually a prerequisite of it.</t>
  </si>
  <si>
    <t xml:space="preserve">Revised order: (1) domain + hosting for privacy policy and status page, (2) GCP project + consent screen + OAuth client, (3) deploy to staging using .env.example, (4) book CASA and pen test against the staging target, (5) capture listing assets, (6) settle support staffing, (7) submit.</t>
  </si>
  <si>
    <t xml:space="preserve">COMPLETION GATE — DocMerge Pro is DONE only when every row is Done</t>
  </si>
  <si>
    <t xml:space="preserve">Code complete counts for nothing at this gate. Gate decision = Senthil. LC items = v012 Launch_Checklist.</t>
  </si>
  <si>
    <t xml:space="preserve">Gate item</t>
  </si>
  <si>
    <t xml:space="preserve">Source</t>
  </si>
  <si>
    <t xml:space="preserve">G-01</t>
  </si>
  <si>
    <t xml:space="preserve">App LISTED on Google Workspace Marketplace (approved + published)</t>
  </si>
  <si>
    <t xml:space="preserve">Portfolio gate</t>
  </si>
  <si>
    <t xml:space="preserve">G-02</t>
  </si>
  <si>
    <t xml:space="preserve">10 PAYING installs from strangers</t>
  </si>
  <si>
    <t xml:space="preserve">G-03</t>
  </si>
  <si>
    <t xml:space="preserve">S12 kill criteria evaluated with evidence pack</t>
  </si>
  <si>
    <t xml:space="preserve">G-04</t>
  </si>
  <si>
    <t xml:space="preserve">Kill/continue decision recorded by Senthil</t>
  </si>
  <si>
    <t xml:space="preserve">LC-1</t>
  </si>
  <si>
    <t xml:space="preserve">GCP project + OAuth consent screen configured (brand verification)</t>
  </si>
  <si>
    <t xml:space="preserve">v012 LC #1</t>
  </si>
  <si>
    <t xml:space="preserve">Open — blocks all live items (S1-06)</t>
  </si>
  <si>
    <t xml:space="preserve">LC-2</t>
  </si>
  <si>
    <t xml:space="preserve">Restricted/sensitive scopes minimized; justification narrative drafted</t>
  </si>
  <si>
    <t xml:space="preserve">v012 LC #2</t>
  </si>
  <si>
    <t xml:space="preserve">Done-in-code — SCOPE_NARRATIVE.md generated from the audited manifest (ST-064); submission still needs LC-1</t>
  </si>
  <si>
    <t xml:space="preserve">CASA Tier 2 assessment scheduled and passed (annual renewal calendared)</t>
  </si>
  <si>
    <t xml:space="preserve">v012 LC #3</t>
  </si>
  <si>
    <t xml:space="preserve">LIKELY NOT REQUIRED (VER-DM5) — CASA is triggered by RESTRICTED scopes and we request none. Re-check classification in the Cloud console (OAuth consent screen &gt; Data Access) once LC-1 exists; Google may still request an assessment at its discretion. Do not book until confirmed.</t>
  </si>
  <si>
    <t xml:space="preserve">LC-4</t>
  </si>
  <si>
    <t xml:space="preserve">Apps Script/alt-runtime quota headroom load-tested (batch generation)</t>
  </si>
  <si>
    <t xml:space="preserve">v012 LC #4</t>
  </si>
  <si>
    <t xml:space="preserve">Done-in-code — deterministic 5x load test (ST-088) + p95 budgets (ST-087) + circuit breaker (ST-070); LIVE quota headroom test owed at LC-1</t>
  </si>
  <si>
    <t xml:space="preserve">LC-5</t>
  </si>
  <si>
    <t xml:space="preserve">Domain-install admin flow + admin console notes tested</t>
  </si>
  <si>
    <t xml:space="preserve">v012 LC #5</t>
  </si>
  <si>
    <t xml:space="preserve">Open — needs LC-1</t>
  </si>
  <si>
    <t xml:space="preserve">LC-6</t>
  </si>
  <si>
    <t xml:space="preserve">Marketplace listing: name, graphics per asset specs, demo video</t>
  </si>
  <si>
    <t xml:space="preserve">v012 LC #6</t>
  </si>
  <si>
    <t xml:space="preserve">Partial — listing copy A/B drafted and reviewed, screenshot plan + asset validator ready (LISTING_PACK.md); the screenshots and demo video themselves need a running app (LC-1)</t>
  </si>
  <si>
    <t xml:space="preserve">LC-7</t>
  </si>
  <si>
    <t xml:space="preserve">Privacy policy + DPA + data-deletion endpoint live</t>
  </si>
  <si>
    <t xml:space="preserve">v012 LC #7</t>
  </si>
  <si>
    <t xml:space="preserve">Done-in-code — DATA_FLOW_AND_RETENTION.md + self-serve export/delete (ST-069); hosted policy page and live endpoint owed</t>
  </si>
  <si>
    <t xml:space="preserve">LC-8</t>
  </si>
  <si>
    <t xml:space="preserve">Drive/Sheets API exponential backoff verified under quota pressure</t>
  </si>
  <si>
    <t xml:space="preserve">v012 LC #8</t>
  </si>
  <si>
    <t xml:space="preserve">Done-in-code — withRetry backoff + tests (ST-004/ST-014); LIVE quota verification owed at LC-1</t>
  </si>
  <si>
    <t xml:space="preserve">LC-9</t>
  </si>
  <si>
    <t xml:space="preserve">Template gallery seeded with 20 launch templates</t>
  </si>
  <si>
    <t xml:space="preserve">v012 LC #9</t>
  </si>
  <si>
    <t xml:space="preserve">DONE — 20-template gallery built, structurally validated, and every template rendered through the real engine (TEMPLATE_GALLERY.md); 61 search terms targeted</t>
  </si>
  <si>
    <t xml:space="preserve">LC-10</t>
  </si>
  <si>
    <t xml:space="preserve">In-app upgrade prompts + Stripe billing live</t>
  </si>
  <si>
    <t xml:space="preserve">v012 LC #10</t>
  </si>
  <si>
    <t xml:space="preserve">Done-in-code — trial/proration/dunning + provider routing (ST-057..059); LIVE Stripe/marketplace config owed</t>
  </si>
  <si>
    <t xml:space="preserve">NOTE</t>
  </si>
  <si>
    <t xml:space="preserve">As of 13 Sep 10:58 the code backlog is complete (98/100 Done-in-code, 516 tests at 100% coverage) and NOT ONE gate row below has moved to Done. Every remaining item needs a person, a budget, or infrastructure. See SUBMISSION_DRY_RUN.md (10/20, NOT READY) and LAUNCH_RUNBOOK.md (NO-GO, 8 blocking).</t>
  </si>
  <si>
    <t xml:space="preserve">COLD REVIEW PASS 1 — DocMerge Pro (13 Sep 11:24). 9 findings in code already shipped at 100% coverage.</t>
  </si>
  <si>
    <t xml:space="preserve">Run after memory showed every sibling product found real defects post-"code complete" — TeleField logged the lesson as L-T1: review BEFORE declaring a code phase complete. DocMerge had never had one. Checklist taken from the sibling defect classes. Coverage proves execution, not correctness (portfolio lesson F-V14).</t>
  </si>
  <si>
    <t xml:space="preserve">Severity</t>
  </si>
  <si>
    <t xml:space="preserve">What was actually wrong</t>
  </si>
  <si>
    <t xml:space="preserve">Fix / next step</t>
  </si>
  <si>
    <t xml:space="preserve">DM-F01</t>
  </si>
  <si>
    <t xml:space="preserve">CRITICAL</t>
  </si>
  <si>
    <t xml:space="preserve">FIXED</t>
  </si>
  <si>
    <t xml:space="preserve">No HTTP application exists</t>
  </si>
  <si>
    <t xml:space="preserve">36 modules at 100% coverage and nothing that can receive a request. There is no server, no routes, and no `npm start`. The OAuth redirect URI in the setup guide, the uninstall webhook, and the form-submission webhook all point at an application that was never built. The 30-minute GCP setup guide is unrunnable as written.</t>
  </si>
  <si>
    <t xml:space="preserve">Framework-free Router + buildApp with 7 routes (healthz, oauth install/callback, uninstall + form webhooks, document generation, template list) + src/server.ts entrypoint and npm start. Readiness check runs BEFORE listen(). Booted for real and exercised over HTTP: healthz 200, install URL carries state, unsigned webhook 401, unauthenticated route 401, unknown route 404. 28 regression tests.</t>
  </si>
  <si>
    <t xml:space="preserve">DM-F02</t>
  </si>
  <si>
    <t xml:space="preserve">Read-only mode enforced nowhere</t>
  </si>
  <si>
    <t xml:space="preserve">ST-060 built the dunning read-only state and assertWritable(), fully tested — and nothing ever called it. The help centre tells customers "the account becomes read-only"; the running product would have kept accepting writes forever after a failed payment.</t>
  </si>
  <si>
    <t xml:space="preserve">New src/entitlements.ts EntitlementGate consults it at every mutating entry point; reads deliberately stay open so an unpaid customer can still get their work out. 8 regression tests.</t>
  </si>
  <si>
    <t xml:space="preserve">DM-F03</t>
  </si>
  <si>
    <t xml:space="preserve">Plan limits enforced nowhere</t>
  </si>
  <si>
    <t xml:space="preserve">ST-061 built PlanLimitEnforcer with 80%/100% prompts and never called check() outside its own tests. Published limits (25 documents, 2 templates, 1 seat on free) were decorative — any account could generate without bound.</t>
  </si>
  <si>
    <t xml:space="preserve">Same gate. Usage is recorded only AFTER success, so a rate-limited Drive call cannot burn a customer document from their allowance. 7 regression tests.</t>
  </si>
  <si>
    <t xml:space="preserve">DM-F04</t>
  </si>
  <si>
    <t xml:space="preserve">OAuth install had no CSRF state</t>
  </si>
  <si>
    <t xml:space="preserve">exchangeCode accepted any code with no state parameter. An attacker could hand a victim a crafted install URL and bind their browser session to an attacker-controlled account. Sibling class F-015 / M-F15.</t>
  </si>
  <si>
    <t xml:space="preserve">OAuthStateStore: state minted before redirect, single-use, 10-minute TTL, sweepable. Rejects absent, unknown, replayed, and expired states. 6 regression tests.</t>
  </si>
  <si>
    <t xml:space="preserve">DM-F05</t>
  </si>
  <si>
    <t xml:space="preserve">Webhooks unauthenticated</t>
  </si>
  <si>
    <t xml:space="preserve">Neither the uninstall handler nor the form-submission handler verified anything. An unauthenticated POST could revoke a live account tokens and schedule its data for deletion, or generate documents against any template.</t>
  </si>
  <si>
    <t xml:space="preserve">New src/webhookSecurity.ts: HMAC-SHA256 signature with timing-safe compare, 5-minute timestamp window against replay, and a FIFO-bounded dedupe ledger. 9 regression tests.</t>
  </si>
  <si>
    <t xml:space="preserve">DM-F06</t>
  </si>
  <si>
    <t xml:space="preserve">HIGH</t>
  </si>
  <si>
    <t xml:space="preserve">No production backoff existed</t>
  </si>
  <si>
    <t xml:space="preserve">Every RetryOptions in the codebase came from a test injecting a no-op sleep, and DEFAULT_RETRY omitted sleep entirely. The retry logic was exercised 100% but had no real delay behind it anywhere — sibling F-V06 exactly.</t>
  </si>
  <si>
    <t xml:space="preserve">PRODUCTION_RETRY + realSleep exported as the policy production code uses.</t>
  </si>
  <si>
    <t xml:space="preserve">DM-F07</t>
  </si>
  <si>
    <t xml:space="preserve">Identity is caller-declared</t>
  </si>
  <si>
    <t xml:space="preserve">Role arrives as a parameter on 28 signatures and nothing authenticates it. Whoever calls the service declares their own privilege level. Sibling M-F11 (fixed with signed sessions) and VoiceBridge F-V21 (left open by direction).</t>
  </si>
  <si>
    <t xml:space="preserve">src/session.ts: HMAC-signed sessions carrying account, email, role and expiry. Editing the role in a token now fails signature verification, and a session for one account is refused against another. Every mutating route derives identity from the session instead of a caller-supplied parameter. 8 regression tests.</t>
  </si>
  <si>
    <t xml:space="preserve">DM-F08</t>
  </si>
  <si>
    <t xml:space="preserve">MEDIUM</t>
  </si>
  <si>
    <t xml:space="preserve">Eleven unbounded ledgers</t>
  </si>
  <si>
    <t xml:space="preserve">Audit entries, metric samples, error tracker, usage events, invoices, exit surveys and more only ever push. A long-running process grows until it dies. Sibling class fixed portfolio-wide as FIFO-capped ledgers.</t>
  </si>
  <si>
    <t xml:space="preserve">New src/ledger.ts: FIFO-bounded with EVICTION COUNTED, not silent — a metric that quietly started sampling only the recent past would misreport trends invisibly. Applied to all 11 ledgers. The hash-chained admin audit log needed care: once entries evict, the chain can no longer verify from genesis, so the last evicted digest becomes the anchor and verifyChain now reports truncation rather than failing. Sequence numbers keep counting so gaps are visible.</t>
  </si>
  <si>
    <t xml:space="preserve">DM-F09</t>
  </si>
  <si>
    <t xml:space="preserve">Deletion has no implementation behind it</t>
  </si>
  <si>
    <t xml:space="preserve">SelfServeDataRights.executeDue takes a deleter callback that no production code supplies. The published 30-day deletion policy has nothing that actually purges. Sibling class F-009 / M-F03 / F-TP01, where it breached the published policy in five products.</t>
  </si>
  <si>
    <t xml:space="preserve">New src/purge.ts PurgeRegistry over 16 known stores, with verifyRegistration failing the build when a store has no purge target — so adding a store without wiring deletion breaks CI rather than the published policy. Receipts carry per-store row counts as evidence; a failing store is recorded, the rest still purge, and the receipt is marked INCOMPLETE rather than claiming success. Plus the schema that never existed: 3 ordered migrations, every account-scoped table ON DELETE CASCADE, npm run migrate, and a test asserting cascade on every table.</t>
  </si>
  <si>
    <t xml:space="preserve">— COLD REVIEW PASS 2 (new HTTP layer, 13 Sep 11:37) — sibling lesson L-OC4: new surfaces inherit old blind spots —</t>
  </si>
  <si>
    <t xml:space="preserve">DM-F10</t>
  </si>
  <si>
    <t xml:space="preserve">Request body read without a cap</t>
  </si>
  <si>
    <t xml:space="preserve">readBody accumulated chunks with no limit on an open port — a single large POST is a memory-exhaustion vector, and no authentication is needed to send one.</t>
  </si>
  <si>
    <t xml:space="preserve">MAX_BODY_BYTES cap with BodyTooLargeError; server returns 413. Verified live: a 2MB POST returns 413.</t>
  </si>
  <si>
    <t xml:space="preserve">DM-F11</t>
  </si>
  <si>
    <t xml:space="preserve">Abandoned OAuth states accumulated forever</t>
  </si>
  <si>
    <t xml:space="preserve">Every started-and-abandoned install left a state entry behind. sweep() existed and — exactly like DM-F02/F03 — was never called by anything.</t>
  </si>
  <si>
    <t xml:space="preserve">The install route sweeps opportunistically before issuing. Regression test proves expired states are dropped.</t>
  </si>
  <si>
    <t xml:space="preserve">DM-F12</t>
  </si>
  <si>
    <t xml:space="preserve">No rate limiting on any route</t>
  </si>
  <si>
    <t xml:space="preserve">Unauthenticated endpoints were unlimited. An open loop against /oauth/install both grew memory and farmed valid CSRF states; webhook endpoints burned CPU on signature checks an attacker never needed to pass.</t>
  </si>
  <si>
    <t xml:space="preserve">New src/rateLimit.ts fixed-window limiter: 20/min install, 600/min webhooks, 300/min authenticated, keyed per caller, with bounded key eviction and Retry-After. Verified live: 429 after 20, a different caller unaffected.</t>
  </si>
  <si>
    <t xml:space="preserve">DM-F13</t>
  </si>
  <si>
    <t xml:space="preserve">LOW</t>
  </si>
  <si>
    <t xml:space="preserve">/healthz leaked the build version anonymously</t>
  </si>
  <si>
    <t xml:space="preserve">A deploy probe needs liveness, not a build identifier telling an attacker which advisories apply. Sibling OnCall flagged the same class (GAP/VER-OC4).</t>
  </si>
  <si>
    <t xml:space="preserve">Version returned only to a caller presenting the operator token. Verified live both ways.</t>
  </si>
  <si>
    <t xml:space="preserve">— EXTERNAL VERIFICATION SWEEP vs live Google docs (13 Sep 11:51) — sibling pattern: every product found live-blocking defects here —</t>
  </si>
  <si>
    <t xml:space="preserve">VER-DM1</t>
  </si>
  <si>
    <t xml:space="preserve">LIVE-BLOCKING</t>
  </si>
  <si>
    <t xml:space="preserve">No uninstall webhook exists on this platform</t>
  </si>
  <si>
    <t xml:space="preserve">Verified against live Google docs 13 Sep 2026: the Workspace Marketplace does not push an uninstall webhook to a developer server, and the licenseNotification resource that once reported provisions and deletions is DEPRECATED with no replacement in the Marketplace API. Our POST /webhooks/uninstall was a handler for an event that will never arrive — so ST-052 token revocation, the 30-day retention clock, ST-053 re-install restore and the whole purge chain would simply never have run in production. Two clean cold-review passes could not see this; it is a fact about the platform, not the code.</t>
  </si>
  <si>
    <t xml:space="preserve">New src/licenseReconciler.ts detects uninstall instead of receiving it: periodic license-state reconciliation (userLicense/customerLicense remain supported) plus immediate action on a revoked credential. An API outage or unknown state NEVER counts as an uninstall — that would revoke a live customer and start a deletion clock against them. Detection lag is reported rather than hidden. Idempotent, and re-arms on re-install. 10 regression tests.</t>
  </si>
  <si>
    <t xml:space="preserve">VER-DM2</t>
  </si>
  <si>
    <t xml:space="preserve">Google Forms cannot POST to an arbitrary URL</t>
  </si>
  <si>
    <t xml:space="preserve">Verified against live Apps Script docs: form submit is not a simple trigger — it requires an INSTALLABLE Apps Script trigger, and the script itself must call UrlFetchApp. Nothing in Google will ever call our /webhooks/form endpoint. The entire F5 feature (ST-041..050, 10 stories / 42 pts) rested on a platform capability that does not exist.</t>
  </si>
  <si>
    <t xml:space="preserve">apps-script/FormForwarder.gs ships the missing half: an idempotent installable trigger that signs each submission with the same HMAC scheme and headers the endpoint already verifies, keeps the secret in Script Properties rather than the script body, uses the stable response id so our dedupe works, and rethrows only on 5xx so Apps Script retries a server failure but not a rejection. Contract pinned by 6 tests against the .gs file. NOTE: this changes the customer setup flow — the help-centre article and ST-041 "one screen" claim need rewording.</t>
  </si>
  <si>
    <t xml:space="preserve">VER-DM3</t>
  </si>
  <si>
    <t xml:space="preserve">OPEN — DECISION (D-DM1)</t>
  </si>
  <si>
    <t xml:space="preserve">Two add-on types, and our features are split across both</t>
  </si>
  <si>
    <t xml:space="preserve">Verified against live Google docs: a Google Workspace add-on is card-based and MUST NOT use HTML/CSS, cannot read the open document (no SpreadsheetApp.getActiveSpreadsheet()), has no Apps Script triggers, and is not available in Google Forms — but reaches mobile and every host app. An Editor add-on has HTML sidebars, document context and Apps Script triggers, but is desktop-only and Editors-only. Five shipped stories say the feature "works on the Workspace add-on sidebar in Sheets/Docs end-to-end" while depending on reading the active row — document context, which that surface does not have. The form feature needs Apps Script triggers, which only the Editor type has. On the Workspace surface, 12 shipped stories cannot ship as built.</t>
  </si>
  <si>
    <t xml:space="preserve">src/addonSurface.ts encodes the verified constraint matrix and reports what each surface costs, with the assessment pinned by 14 tests; ADDON_SURFACE_DECISION.md presents it. NOT FIXED IN CODE ON PURPOSE — this is a product decision (D-DM1), not a defect: Editor add-on keeps every shipped feature but is desktop-only and Editors-only; Workspace add-on reaches mobile and all host apps but needs four features redesigned as cards and the form feature dropped or split. Undisputed either way: batch must stay server-side, since a 30-second UI action cannot generate hundreds of documents.</t>
  </si>
  <si>
    <t xml:space="preserve">VER-DM4</t>
  </si>
  <si>
    <t xml:space="preserve">The entire listing asset and copy spec was invented, and wrong in eight ways</t>
  </si>
  <si>
    <t xml:space="preserve">Verified against the live "Create a store listing" page: (1) we demanded exactly 5 screenshots — the platform accepts 1 to 10; (2) we rejected the 640x400 and 2560x1600 sizes it also accepts; (3) the app NAME limit is 50 characters, not 30, AND must not contain a Google product name — a rule we had no check for at all; (4) short description is 200 characters, not 120; (5) detailed description is under 16,000, not 4,000; (6) the promo video is an OPTIONAL YouTube LINK, not a required captioned 30-120s upload; (7) REQUIRED application icons (32x32 and 128x128, plus 48x48 and 96x96 because our project now includes a web app) were absent from our spec entirely; (8) the REQUIRED 220x140 card banner shown on listings and search results was absent too. Also missing from the submission checklist: the terms-of-service link, which the listing requires.</t>
  </si>
  <si>
    <t xml:space="preserve">src/listing.ts rewritten against the verified spec with icons, card banner, accepted-size list, optional YouTube video and required support links; validateAssets now takes the full asset set rather than screenshots-and-a-video. LISTING_PACK.md regenerated. 13 tests pin the corrected behaviour, including the two previously-missing required asset families and the forbidden-Google-name rule. Sibling precedent: TestPulse found its asset spec wrong the same way (Rule-of-3 vs its invented 5x1600x1000).</t>
  </si>
  <si>
    <t xml:space="preserve">VER-DM5</t>
  </si>
  <si>
    <t xml:space="preserve">HIGH (favourable)</t>
  </si>
  <si>
    <t xml:space="preserve">CASA is not triggered by our scope set — and a required video was missing</t>
  </si>
  <si>
    <t xml:space="preserve">Verified: Google routes review by scope CLASSIFICATION. Non-sensitive only = verification optional; any sensitive = Google app verification; any RESTRICTED = verification plus a CASA security assessment. DocMerge requests no restricted scopes — drive.file is specifically the recommended non-sensitive alternative to the restricted Drive scopes, and userinfo.email is non-sensitive. Only spreadsheets.readonly and documents are sensitive, which require verification but NOT an assessment. CASA has sat on the board as a blocking, multi-week, paid item since S6 (R-D1, R-D10, LC-3) on an assumption nobody checked. SEPARATELY: verification requires an UNLISTED YouTube demonstration video showing the OAuth grant flow, the consent screen displaying the app name, and detailed in-app use of each sensitive scope — a requirement we did not have, and distinct from the optional marketing promo video.</t>
  </si>
  <si>
    <t xml:space="preserve">src/scopes.ts now carries each scope classification and derives the review path from it (assessReviewPath), with 7 tests including one proving CASA appears only when a restricted scope is present. SCOPE_NARRATIVE.md regenerated with the path, the classification table, and the verification requirements. CAVEAT PRESERVED: classification is confirmed per project in the Cloud console under OAuth consent screen &gt; Data Access, and Google may request an assessment at its discretion — so LC-3 should be re-checked there rather than deleted.</t>
  </si>
  <si>
    <t xml:space="preserve">DM-F14</t>
  </si>
  <si>
    <t xml:space="preserve">State that must survive a restart does not</t>
  </si>
  <si>
    <t xml:space="preserve">Continuing the adapter work surfaced a finding rather than just an increment: three in-memory stores lose state whose loss is not cosmetic. USAGE COUNTERS — a restart resets every plan limit, so each deploy silently hands every customer a fresh monthly allowance; that is a direct revenue leak and it would never appear in a test, because tests start from zero anyway. SUBSCRIPTIONS — billing state resets, so paying customers appear to be back on trial. ADMIN AUDIT — a tamper-evident chain that evaporates on restart is not evidence, and worse, it would restart numbering at genesis so the gap would not even be visible.</t>
  </si>
  <si>
    <t xml:space="preserve">Usage counters FIXED end to end: PlanLimitEnforcer now takes a UsageBackend, and WriteThroughUsageBackend serves reads from a primed cache (keeping the limit check synchronous) while writing through to Postgres with an atomic single-statement upsert — read-then-write would lose increments exactly when a customer is near their limit. Write failures are counted rather than failing the customer request. A test proves a restarted backend primes from the store and still blocks at the limit. Subscription and admin-audit STORES are shipped and tested (append-only with no update path, lastSequence so the chain continues rather than restarting at genesis) but the services are NOT yet wired to them — deliberately left visible rather than claimed, given this codebase has already produced two built-but-never-called defects. — CLOSED 16:34: BillingService now takes a SubscriptionBackend and persists after EVERY mutation (subscribe, plan change, payment failure, each dunning transition, cancel), and AdminAuditLog takes an AdminAuditBackend with resume() so a restarted process continues a tenant chain instead of forking a second one at genesis. Write-through backends for both keep reads synchronous while writing to Postgres, counting failures rather than failing the customer request.</t>
  </si>
  <si>
    <t xml:space="preserve">DM-F15</t>
  </si>
  <si>
    <t xml:space="preserve">Admin audit log had no tenant scope</t>
  </si>
  <si>
    <t xml:space="preserve">Found while wiring DM-F14, not by looking for it: AdminAuditEntry had no accountId at all, so every customer shared ONE chain and ONE sequence counter. exportCsv returned the whole log, meaning one customer security review would have handed them every other customer admin history — roles changed, members removed, data exports requested. The sequence numbering also leaked each tenant activity volume to the others. The schema written for DM-F09 keys admin_audit_entries on (account_id, sequence); the code never matched it, and nothing caught the mismatch because the table had no implementation behind it until today.</t>
  </si>
  <si>
    <t xml:space="preserve">accountId added to the entry and to record(); chains, anchors and sequence counters are now per account; list(), verifyChain() and exportCsv() all take an accountId; the digest covers the accountId so an entry cannot be replayed into another tenant chain. Four regression tests, including one asserting an export contains the requesting account records and not another.</t>
  </si>
  <si>
    <t xml:space="preserve">— TENANT-ISOLATION SWEEP (13 Sep 16:39), run because DM-F15 was found by accident —</t>
  </si>
  <si>
    <t xml:space="preserve">DM-F16</t>
  </si>
  <si>
    <t xml:space="preserve">Cross-tenant template access, reachable through the live HTTP route</t>
  </si>
  <si>
    <t xml:space="preserve">The deliberate tenant sweep found this first: template lookups took a templateId and nothing else. POST /accounts/:accountId/documents takes the templateId from the REQUEST BODY, so an authenticated user of one account could pass another account template id and both read its body and generate documents from it. The session check I added for DM-F07 proved who was asking; nothing checked what they were asking for.</t>
  </si>
  <si>
    <t xml:space="preserve">Ownership enforced centrally in mustGet(templateId, accountId) so a new call site cannot forget it; setRules and renderPreview now take the accountId, threaded through batch, form triggers, the sidebar and the audited wrapper. A template belonging to another account reports "not found" rather than "wrong account", so the id space cannot be probed. Two regression tests, including one asserting the cross-tenant failure is indistinguishable from a genuinely missing template.</t>
  </si>
  <si>
    <t xml:space="preserve">DM-F17</t>
  </si>
  <si>
    <t xml:space="preserve">Cross-tenant signature-request access</t>
  </si>
  <si>
    <t xml:space="preserve">Same shape: sign-request lookups took only a requestId, so one account could read another tenant signature request, change its rules, or send it. Reading exposes signer names and emails and the document name.</t>
  </si>
  <si>
    <t xml:space="preserve">get(), setRules() and send() now require the owning accountId, checked centrally in mustGet with the same not-found response. Three regression tests.</t>
  </si>
  <si>
    <t xml:space="preserve">DM-F18</t>
  </si>
  <si>
    <t xml:space="preserve">Feature audit log had no tenant scope</t>
  </si>
  <si>
    <t xml:space="preserve">The same defect as DM-F15, in the second audit log: AuditEntry had no accountId, so forTarget() returned entries across accounts.</t>
  </si>
  <si>
    <t xml:space="preserve">accountId added to the entry and to record(); forTarget() takes an accountId and filters on it; every call site across batch, filing, form triggers, e-sign and the designer wrapper now supplies the owning account.</t>
  </si>
  <si>
    <t xml:space="preserve">DM-F19</t>
  </si>
  <si>
    <t xml:space="preserve">Metrics summaries aggregate across all tenants</t>
  </si>
  <si>
    <t xml:space="preserve">EsignMetrics.summary(period), FilingMetrics.summary(period) and FormMetrics.summary(period) take no account and aggregate globally. Wired to a per-account dashboard they would show every customer combined numbers; used for internal analytics they are correct as-is.</t>
  </si>
  <si>
    <t xml:space="preserve">Needs the same accountId treatment, or an explicit decision that these are internal-only. Not fixed blind because the answer depends on where they are surfaced.</t>
  </si>
  <si>
    <t xml:space="preserve">DM-F20</t>
  </si>
  <si>
    <t xml:space="preserve">Support inbox is not tenant-scoped</t>
  </si>
  <si>
    <t xml:space="preserve">SupportInbox.status(conversationId) has no account check and breaches() returns every account unanswered conversations. Acceptable for a single-operator internal queue, a leak if ever exposed per-customer.</t>
  </si>
  <si>
    <t xml:space="preserve">Same decision as DM-F19 — scope it or document it as operator-only.</t>
  </si>
  <si>
    <t xml:space="preserve">DM-F21</t>
  </si>
  <si>
    <t xml:space="preserve">Cross-tenant CONTROL operations, found by the new automated gate</t>
  </si>
  <si>
    <t xml:space="preserve">The manual sweep checked reads. It missed writes-that-are-not-reads: pause and resume took only an entity id, so one account could pause or resume another account signature request, form trigger or batch job — a denial of service against a competitor tenant needing nothing but a guessed id. InvoiceBook.renderCsv would render any account invoice, carrying their billing contact and tax identifiers. SidebarController.openTemplate read another account template metadata before the ownership check downstream. The gate flagged 28 methods; triage found these five clusters genuine and the rest legitimately scoped by construction.</t>
  </si>
  <si>
    <t xml:space="preserve">Pause state is now namespaced per account and e-sign pause/resume verify ownership; renderCsv requires the owning account; openTemplate reports another account template as missing. The remaining 23 flagged methods are EXEMPTED WITH WRITTEN REASONS in the gate config — repository primitives whose ownership is enforced one level up, a generic keyed utility that callers namespace, signer actions by external parties who have no account, controllers that hold the account and delegate, and the metrics/support cases already logged as DM-F19/F20 pending your decision.</t>
  </si>
  <si>
    <t xml:space="preserve">DM-F22</t>
  </si>
  <si>
    <t xml:space="preserve">An exemption reason was false — found by auditing my own exemptions</t>
  </si>
  <si>
    <t xml:space="preserve">The tenant gate exempted PauseManager because "callers pass account-namespaced keys". Auditing that claim showed it was untrue: e-sign passed a bare requestId and batch a bare templateId. Consequence, demonstrated before fixing: a single shared PauseManager puts template ids, sign-request ids, job ids and trigger ids in ONE namespace, so pausing a template called X also reports a sign request called X as paused. Different services happened to receive different instances, so nothing broke — and nothing enforced that either. The real protection for e-sign was an ownership check, not namespacing, so the exemption was right about the outcome and wrong about the reason, which is the kind of note that survives into a security review unchallenged.</t>
  </si>
  <si>
    <t xml:space="preserve">pauseKey(entity, accountId, entityId) is now the only way keys are formed, across templates, sign requests, batch jobs, form triggers and filing. Three tests verify the exemption CLAIMS rather than restating them: one scans the source and fails if any PauseManager call omits pauseKey, one proves a shared manager cannot confuse two entity types sharing an id, and one asserts only the designer and sidebar touch a template repository directly. The exemption reason was rewritten to say what is actually true.</t>
  </si>
  <si>
    <t xml:space="preserve">DM-F23</t>
  </si>
  <si>
    <t xml:space="preserve">PROCESS</t>
  </si>
  <si>
    <t xml:space="preserve">All 23 gate exemptions converted from prose to verified claims</t>
  </si>
  <si>
    <t xml:space="preserve">DM-F22 showed an exemption can be right about its outcome and wrong about its reason, and still read as handled. That makes the other 22 a standing risk rather than a completed judgement: each asserts a protection exists somewhere else, and nothing checked whether it did.</t>
  </si>
  <si>
    <t xml:space="preserve">Every exemption now has a test that checks its claim against behaviour or source: the sandbox holds no account, store or repository reference and its two sessions are distinct; purgeAccount takes the account as its subject; the status page has no tenant concept anywhere; createJobWithDefaults takes the account first; signer actions reject a non-signer holding a valid request id, and accept a listed signer with no account; a batch sidebar bound to one account cannot run another account template; both sidebar controllers stamp their own account onto what they create; and per-entity metrics and the support inbox are confirmed absent from every HTTP route, which is what makes DM-F19/F20 decisions rather than live leaks. Plus a META-GATE: unverifiedExemptions() fails the build if an exemption is added without a test naming it, with a test proving the meta-gate itself catches one.</t>
  </si>
  <si>
    <t xml:space="preserve">VER-DM6</t>
  </si>
  <si>
    <t xml:space="preserve">Our SLO and load test promised throughput the platform forbids</t>
  </si>
  <si>
    <t xml:space="preserve">Verified against live Google docs: the Docs API allows 60 WRITE requests per minute per user per project (600 per project). ST-087 set a 1500ms p95 budget per generated row and ST-088 drove 100 requests per minute at 5x expected traffic and reported PASS. One user cannot exceed one document per second however fast our code runs; past 60 in a minute they receive 429s and our own backoff makes the p95 worse. A 500-row batch for one customer cannot complete in under EIGHT MINUTES — a fact absent from every estimate, board and SLO we have written. The load test never touched the ceiling because it drove an injected worker, so its PASS measured the harness, which is R-D9 restated with the actual number behind it. Also recorded: Apps Script UrlFetch is capped at 20,000/day consumer and 100,000/day Workspace, which is the real per-customer ceiling on the VER-DM2 form forwarder.</t>
  </si>
  <si>
    <t xml:space="preserve">src/platformQuotas.ts holds the verified numbers with their sources and refuses to guess an unrecorded quota; checkFeasibility() fails when an internal promise exceeds an external quota; QuotaGovernor paces per account and gives an honest completion estimate (500 rows = 8 minutes minimum). runLoadTest now REFUSES to pass a profile that drives more than a declared platform ceiling, reporting that it proves the harness rather than capacity. The p95 budgets carry a comment distinguishing per-row latency from batch completion, which are different promises. — COMPLETED 19:33: the batch runner now paces THROUGH the governor rather than beside it, waiting before each write instead of after a rejection, and BatchResult carries quotaWaitMs so a slow batch reads as "paced by Google's limit" rather than "the product is slow". Metering is per account, so one large batch cannot slow another customer. The help-centre article now states the real figures — about 60 documents a minute, roughly eight minutes for 500 — and is findable by searching "how long", "slow" or "quota".</t>
  </si>
  <si>
    <t xml:space="preserve">VER-DM7</t>
  </si>
  <si>
    <t xml:space="preserve">FIXED (with a caveat kept)</t>
  </si>
  <si>
    <t xml:space="preserve">Drive quota was unrecorded, and Google is mid-migration between two models</t>
  </si>
  <si>
    <t xml:space="preserve">VER-DM6 built a module that refuses to guess an unrecorded quota, and the filing path promptly tripped it: we write to Drive on every generated document and had recorded no Drive limit. Checking produced an awkward answer rather than a clean one. One published page gives 12,000 queries per 60 seconds per user; another describes a quota-unit model at 1,000,000 units per minute per project and 325,000 per user; and projects that used the API before May 2026 reportedly keep legacy request counts until the rollout finishes. Which applies depends on the age of the project we have not created yet.</t>
  </si>
  <si>
    <t xml:space="preserve">Recorded the conservative published figure WITH the ambiguity attached rather than resolving it by picking whichever number suited us, and added a caveat field so an unreliable quota is visibly unreliable. The useful conclusion is that on every one of these models Drive sits two orders of magnitude above the Docs ceiling of 60 writes per minute per user, so filing is NOT the binding constraint on a batch — document creation is, and the governor is already configured to it. bindingConstraint() computes which API throttles first, with a test proving Docs governs today and another proving a future quota change that reverses it would surface rather than silently slowing every run.</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</si>
</sst>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0"/>
      <color rgb="FFFFFFFF"/>
      <name val="Arial"/>
      <family val="0"/>
      <charset val="1"/>
    </font>
    <font>
      <sz val="10"/>
      <name val="Arial"/>
      <family val="0"/>
      <charset val="1"/>
    </font>
    <font>
      <sz val="10"/>
      <color rgb="FF008000"/>
      <name val="Arial"/>
      <family val="0"/>
      <charset val="1"/>
    </font>
    <font>
      <sz val="10"/>
      <color rgb="FFB36B00"/>
      <name val="Arial"/>
      <family val="0"/>
      <charset val="1"/>
    </font>
    <font>
      <b val="true"/>
      <sz val="10"/>
      <name val="Arial"/>
      <family val="0"/>
      <charset val="1"/>
    </font>
    <font>
      <b val="true"/>
      <sz val="10"/>
      <color rgb="FF008000"/>
      <name val="Arial"/>
      <family val="0"/>
      <charset val="1"/>
    </font>
    <font>
      <b val="true"/>
      <sz val="10"/>
      <color rgb="FFC00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B36B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90"/>
    <col collapsed="false" customWidth="true" hidden="false" outlineLevel="0" max="5" min="5" style="1" width="12"/>
  </cols>
  <sheetData>
    <row r="1" customFormat="false" ht="17.25" hidden="false" customHeight="true" outlineLevel="0" collapsed="false">
      <c r="A1" s="2" t="s">
        <v>0</v>
      </c>
    </row>
    <row r="2" customFormat="false" ht="376.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79.5" hidden="false" customHeight="true" outlineLevel="0" collapsed="false">
      <c r="A4" s="5" t="s">
        <v>7</v>
      </c>
      <c r="B4" s="5" t="s">
        <v>8</v>
      </c>
      <c r="C4" s="5" t="s">
        <v>9</v>
      </c>
      <c r="D4" s="5" t="s">
        <v>10</v>
      </c>
      <c r="E4" s="5" t="s">
        <v>11</v>
      </c>
    </row>
    <row r="5" customFormat="false" ht="34.5" hidden="false" customHeight="true" outlineLevel="0" collapsed="false">
      <c r="A5" s="5" t="s">
        <v>12</v>
      </c>
      <c r="B5" s="5" t="s">
        <v>13</v>
      </c>
      <c r="C5" s="5" t="s">
        <v>9</v>
      </c>
      <c r="D5" s="5" t="s">
        <v>14</v>
      </c>
      <c r="E5" s="5" t="s">
        <v>11</v>
      </c>
    </row>
    <row r="6" customFormat="false" ht="23.25" hidden="false" customHeight="true" outlineLevel="0" collapsed="false">
      <c r="A6" s="5" t="s">
        <v>15</v>
      </c>
      <c r="B6" s="5" t="s">
        <v>16</v>
      </c>
      <c r="C6" s="5" t="s">
        <v>9</v>
      </c>
      <c r="D6" s="5" t="s">
        <v>17</v>
      </c>
      <c r="E6" s="5" t="s">
        <v>11</v>
      </c>
    </row>
    <row r="7" customFormat="false" ht="23.25" hidden="false" customHeight="true" outlineLevel="0" collapsed="false">
      <c r="A7" s="5" t="s">
        <v>18</v>
      </c>
      <c r="B7" s="5" t="s">
        <v>19</v>
      </c>
      <c r="C7" s="5" t="s">
        <v>9</v>
      </c>
      <c r="D7" s="5" t="s">
        <v>20</v>
      </c>
      <c r="E7" s="5" t="s">
        <v>11</v>
      </c>
    </row>
    <row r="8" customFormat="false" ht="15" hidden="false" customHeight="true" outlineLevel="0" collapsed="false">
      <c r="A8" s="5" t="s">
        <v>21</v>
      </c>
      <c r="B8" s="5" t="s">
        <v>22</v>
      </c>
      <c r="C8" s="5" t="s">
        <v>9</v>
      </c>
      <c r="D8" s="5" t="s">
        <v>23</v>
      </c>
      <c r="E8" s="5" t="s">
        <v>11</v>
      </c>
    </row>
    <row r="9" customFormat="false" ht="15" hidden="false" customHeight="true" outlineLevel="0" collapsed="false">
      <c r="A9" s="5" t="s">
        <v>24</v>
      </c>
      <c r="B9" s="5" t="s">
        <v>25</v>
      </c>
      <c r="C9" s="5" t="s">
        <v>9</v>
      </c>
      <c r="D9" s="5" t="s">
        <v>26</v>
      </c>
      <c r="E9" s="5" t="s">
        <v>11</v>
      </c>
    </row>
    <row r="10" customFormat="false" ht="15" hidden="false" customHeight="true" outlineLevel="0" collapsed="false">
      <c r="A10" s="5" t="s">
        <v>27</v>
      </c>
      <c r="B10" s="5" t="s">
        <v>28</v>
      </c>
      <c r="C10" s="5" t="s">
        <v>9</v>
      </c>
      <c r="D10" s="5" t="s">
        <v>29</v>
      </c>
      <c r="E10" s="5" t="s">
        <v>11</v>
      </c>
    </row>
    <row r="11" customFormat="false" ht="23.25" hidden="false" customHeight="true" outlineLevel="0" collapsed="false">
      <c r="A11" s="5" t="s">
        <v>30</v>
      </c>
      <c r="B11" s="5" t="s">
        <v>31</v>
      </c>
      <c r="C11" s="5" t="s">
        <v>9</v>
      </c>
      <c r="D11" s="5" t="s">
        <v>32</v>
      </c>
      <c r="E11" s="5" t="s">
        <v>11</v>
      </c>
    </row>
    <row r="12" customFormat="false" ht="15" hidden="false" customHeight="true" outlineLevel="0" collapsed="false">
      <c r="A12" s="5" t="s">
        <v>33</v>
      </c>
      <c r="B12" s="5" t="s">
        <v>34</v>
      </c>
      <c r="C12" s="5" t="s">
        <v>9</v>
      </c>
      <c r="D12" s="5" t="s">
        <v>35</v>
      </c>
      <c r="E12" s="5" t="s">
        <v>11</v>
      </c>
    </row>
    <row r="13" customFormat="false" ht="15" hidden="false" customHeight="true" outlineLevel="0" collapsed="false">
      <c r="A13" s="5" t="s">
        <v>36</v>
      </c>
      <c r="B13" s="5" t="s">
        <v>37</v>
      </c>
      <c r="C13" s="5" t="s">
        <v>9</v>
      </c>
      <c r="D13" s="5" t="s">
        <v>38</v>
      </c>
      <c r="E13" s="5" t="s">
        <v>11</v>
      </c>
    </row>
    <row r="14" customFormat="false" ht="15" hidden="false" customHeight="true" outlineLevel="0" collapsed="false">
      <c r="A14" s="5" t="s">
        <v>39</v>
      </c>
      <c r="B14" s="5"/>
      <c r="C14" s="5"/>
      <c r="D14" s="5" t="s">
        <v>40</v>
      </c>
      <c r="E14" s="5" t="s">
        <v>41</v>
      </c>
    </row>
    <row r="15" customFormat="false" ht="57" hidden="false" customHeight="true" outlineLevel="0" collapsed="false">
      <c r="A15" s="6" t="s">
        <v>39</v>
      </c>
      <c r="B15" s="6" t="s">
        <v>42</v>
      </c>
      <c r="C15" s="6" t="s">
        <v>9</v>
      </c>
      <c r="D15" s="5" t="s">
        <v>43</v>
      </c>
      <c r="E15" s="6" t="s">
        <v>11</v>
      </c>
    </row>
    <row r="16" customFormat="false" ht="23.25" hidden="false" customHeight="true" outlineLevel="0" collapsed="false">
      <c r="A16" s="6" t="s">
        <v>44</v>
      </c>
      <c r="D16" s="5" t="s">
        <v>45</v>
      </c>
      <c r="E16" s="6" t="s">
        <v>41</v>
      </c>
    </row>
    <row r="17" customFormat="false" ht="102" hidden="false" customHeight="true" outlineLevel="0" collapsed="false">
      <c r="A17" s="6" t="s">
        <v>44</v>
      </c>
      <c r="B17" s="6" t="s">
        <v>46</v>
      </c>
      <c r="C17" s="6" t="s">
        <v>9</v>
      </c>
      <c r="D17" s="5" t="s">
        <v>47</v>
      </c>
      <c r="E17" s="6" t="s">
        <v>11</v>
      </c>
    </row>
    <row r="18" customFormat="false" ht="15" hidden="false" customHeight="true" outlineLevel="0" collapsed="false">
      <c r="A18" s="6" t="s">
        <v>48</v>
      </c>
      <c r="D18" s="5" t="s">
        <v>49</v>
      </c>
      <c r="E18" s="6" t="s">
        <v>41</v>
      </c>
    </row>
    <row r="19" customFormat="false" ht="113.25" hidden="false" customHeight="true" outlineLevel="0" collapsed="false">
      <c r="A19" s="6" t="s">
        <v>48</v>
      </c>
      <c r="B19" s="6" t="s">
        <v>50</v>
      </c>
      <c r="C19" s="6" t="s">
        <v>9</v>
      </c>
      <c r="D19" s="5" t="s">
        <v>51</v>
      </c>
      <c r="E19" s="6" t="s">
        <v>11</v>
      </c>
    </row>
    <row r="20" customFormat="false" ht="23.25" hidden="false" customHeight="true" outlineLevel="0" collapsed="false">
      <c r="A20" s="6" t="s">
        <v>52</v>
      </c>
      <c r="D20" s="5" t="s">
        <v>53</v>
      </c>
      <c r="E20" s="6" t="s">
        <v>41</v>
      </c>
    </row>
    <row r="21" customFormat="false" ht="113.25" hidden="false" customHeight="true" outlineLevel="0" collapsed="false">
      <c r="A21" s="6" t="s">
        <v>52</v>
      </c>
      <c r="B21" s="6" t="s">
        <v>54</v>
      </c>
      <c r="C21" s="6" t="s">
        <v>9</v>
      </c>
      <c r="D21" s="5" t="s">
        <v>55</v>
      </c>
      <c r="E21" s="6" t="s">
        <v>11</v>
      </c>
    </row>
    <row r="22" customFormat="false" ht="15" hidden="false" customHeight="true" outlineLevel="0" collapsed="false">
      <c r="A22" s="6" t="s">
        <v>56</v>
      </c>
      <c r="D22" s="5" t="s">
        <v>57</v>
      </c>
      <c r="E22" s="6" t="s">
        <v>41</v>
      </c>
    </row>
    <row r="23" customFormat="false" ht="135.75" hidden="false" customHeight="true" outlineLevel="0" collapsed="false">
      <c r="A23" s="6" t="s">
        <v>56</v>
      </c>
      <c r="B23" s="6" t="s">
        <v>58</v>
      </c>
      <c r="C23" s="6" t="s">
        <v>9</v>
      </c>
      <c r="D23" s="5" t="s">
        <v>59</v>
      </c>
      <c r="E23" s="6" t="s">
        <v>11</v>
      </c>
    </row>
    <row r="24" customFormat="false" ht="23.25" hidden="false" customHeight="true" outlineLevel="0" collapsed="false">
      <c r="A24" s="6" t="s">
        <v>60</v>
      </c>
      <c r="D24" s="5" t="s">
        <v>61</v>
      </c>
      <c r="E24" s="6" t="s">
        <v>41</v>
      </c>
    </row>
    <row r="25" customFormat="false" ht="113.25" hidden="false" customHeight="true" outlineLevel="0" collapsed="false">
      <c r="A25" s="6" t="s">
        <v>60</v>
      </c>
      <c r="B25" s="6" t="s">
        <v>62</v>
      </c>
      <c r="C25" s="6" t="s">
        <v>9</v>
      </c>
      <c r="D25" s="5" t="s">
        <v>63</v>
      </c>
      <c r="E25" s="6" t="s">
        <v>11</v>
      </c>
    </row>
    <row r="26" customFormat="false" ht="23.25" hidden="false" customHeight="true" outlineLevel="0" collapsed="false">
      <c r="A26" s="6" t="s">
        <v>64</v>
      </c>
      <c r="D26" s="5" t="s">
        <v>65</v>
      </c>
      <c r="E26" s="6" t="s">
        <v>41</v>
      </c>
    </row>
    <row r="27" customFormat="false" ht="90.75" hidden="false" customHeight="true" outlineLevel="0" collapsed="false">
      <c r="A27" s="6" t="s">
        <v>64</v>
      </c>
      <c r="B27" s="6" t="s">
        <v>66</v>
      </c>
      <c r="C27" s="6" t="s">
        <v>9</v>
      </c>
      <c r="D27" s="5" t="s">
        <v>67</v>
      </c>
      <c r="E27" s="6" t="s">
        <v>11</v>
      </c>
    </row>
    <row r="28" customFormat="false" ht="23.25" hidden="false" customHeight="true" outlineLevel="0" collapsed="false">
      <c r="A28" s="6" t="s">
        <v>68</v>
      </c>
      <c r="D28" s="5" t="s">
        <v>69</v>
      </c>
      <c r="E28" s="6" t="s">
        <v>41</v>
      </c>
    </row>
    <row r="29" customFormat="false" ht="124.5" hidden="false" customHeight="true" outlineLevel="0" collapsed="false">
      <c r="A29" s="6" t="s">
        <v>68</v>
      </c>
      <c r="B29" s="6" t="s">
        <v>70</v>
      </c>
      <c r="C29" s="6" t="s">
        <v>9</v>
      </c>
      <c r="D29" s="5" t="s">
        <v>71</v>
      </c>
      <c r="E29" s="6" t="s">
        <v>11</v>
      </c>
    </row>
    <row r="30" customFormat="false" ht="23.25" hidden="false" customHeight="true" outlineLevel="0" collapsed="false">
      <c r="A30" s="6" t="s">
        <v>72</v>
      </c>
      <c r="D30" s="5" t="s">
        <v>73</v>
      </c>
      <c r="E30" s="6" t="s">
        <v>41</v>
      </c>
    </row>
    <row r="31" customFormat="false" ht="124.5" hidden="false" customHeight="true" outlineLevel="0" collapsed="false">
      <c r="A31" s="6" t="s">
        <v>72</v>
      </c>
      <c r="B31" s="6" t="s">
        <v>74</v>
      </c>
      <c r="C31" s="6" t="s">
        <v>9</v>
      </c>
      <c r="D31" s="5" t="s">
        <v>75</v>
      </c>
      <c r="E31" s="6" t="s">
        <v>11</v>
      </c>
    </row>
    <row r="32" customFormat="false" ht="23.25" hidden="false" customHeight="true" outlineLevel="0" collapsed="false">
      <c r="A32" s="6" t="s">
        <v>76</v>
      </c>
      <c r="D32" s="5" t="s">
        <v>77</v>
      </c>
      <c r="E32" s="6" t="s">
        <v>41</v>
      </c>
    </row>
    <row r="33" customFormat="false" ht="124.5" hidden="false" customHeight="true" outlineLevel="0" collapsed="false">
      <c r="A33" s="6" t="s">
        <v>76</v>
      </c>
      <c r="B33" s="6" t="s">
        <v>78</v>
      </c>
      <c r="C33" s="6" t="s">
        <v>9</v>
      </c>
      <c r="D33" s="5" t="s">
        <v>79</v>
      </c>
      <c r="E33" s="6" t="s">
        <v>11</v>
      </c>
    </row>
    <row r="34" customFormat="false" ht="23.25" hidden="false" customHeight="true" outlineLevel="0" collapsed="false">
      <c r="A34" s="6" t="s">
        <v>80</v>
      </c>
      <c r="D34" s="5" t="s">
        <v>81</v>
      </c>
      <c r="E34" s="6" t="s">
        <v>41</v>
      </c>
    </row>
    <row r="35" customFormat="false" ht="113.25" hidden="false" customHeight="true" outlineLevel="0" collapsed="false">
      <c r="A35" s="6" t="s">
        <v>80</v>
      </c>
      <c r="B35" s="6" t="s">
        <v>82</v>
      </c>
      <c r="C35" s="6" t="s">
        <v>9</v>
      </c>
      <c r="D35" s="5" t="s">
        <v>83</v>
      </c>
      <c r="E35" s="6" t="s">
        <v>11</v>
      </c>
    </row>
    <row r="36" customFormat="false" ht="23.25" hidden="false" customHeight="true" outlineLevel="0" collapsed="false">
      <c r="A36" s="6" t="s">
        <v>84</v>
      </c>
      <c r="D36" s="5" t="s">
        <v>85</v>
      </c>
      <c r="E36" s="6" t="s">
        <v>41</v>
      </c>
    </row>
    <row r="37" customFormat="false" ht="135.75" hidden="false" customHeight="true" outlineLevel="0" collapsed="false">
      <c r="A37" s="6" t="s">
        <v>84</v>
      </c>
      <c r="B37" s="6" t="s">
        <v>86</v>
      </c>
      <c r="C37" s="6" t="s">
        <v>9</v>
      </c>
      <c r="D37" s="5" t="s">
        <v>87</v>
      </c>
      <c r="E37" s="6" t="s">
        <v>11</v>
      </c>
    </row>
    <row r="38" customFormat="false" ht="15" hidden="false" customHeight="true" outlineLevel="0" collapsed="false">
      <c r="A38" s="6" t="s">
        <v>88</v>
      </c>
      <c r="D38" s="5" t="s">
        <v>89</v>
      </c>
      <c r="E38" s="6" t="s">
        <v>41</v>
      </c>
    </row>
    <row r="39" customFormat="false" ht="102" hidden="false" customHeight="true" outlineLevel="0" collapsed="false">
      <c r="A39" s="6" t="s">
        <v>88</v>
      </c>
      <c r="B39" s="6" t="s">
        <v>90</v>
      </c>
      <c r="C39" s="6" t="s">
        <v>9</v>
      </c>
      <c r="D39" s="5" t="s">
        <v>91</v>
      </c>
      <c r="E39" s="6" t="s">
        <v>11</v>
      </c>
    </row>
    <row r="40" customFormat="false" ht="23.25" hidden="false" customHeight="true" outlineLevel="0" collapsed="false">
      <c r="A40" s="6" t="s">
        <v>92</v>
      </c>
      <c r="D40" s="5" t="s">
        <v>93</v>
      </c>
      <c r="E40" s="6" t="s">
        <v>41</v>
      </c>
    </row>
    <row r="41" customFormat="false" ht="102" hidden="false" customHeight="true" outlineLevel="0" collapsed="false">
      <c r="A41" s="6" t="s">
        <v>92</v>
      </c>
      <c r="B41" s="6" t="s">
        <v>94</v>
      </c>
      <c r="C41" s="6" t="s">
        <v>9</v>
      </c>
      <c r="D41" s="5" t="s">
        <v>95</v>
      </c>
      <c r="E41" s="6" t="s">
        <v>11</v>
      </c>
    </row>
    <row r="42" customFormat="false" ht="15" hidden="false" customHeight="true" outlineLevel="0" collapsed="false">
      <c r="A42" s="6" t="s">
        <v>96</v>
      </c>
      <c r="D42" s="5" t="s">
        <v>97</v>
      </c>
      <c r="E42" s="6" t="s">
        <v>41</v>
      </c>
    </row>
    <row r="43" customFormat="false" ht="113.25" hidden="false" customHeight="true" outlineLevel="0" collapsed="false">
      <c r="A43" s="6" t="s">
        <v>96</v>
      </c>
      <c r="B43" s="6" t="s">
        <v>98</v>
      </c>
      <c r="C43" s="6" t="s">
        <v>9</v>
      </c>
      <c r="D43" s="5" t="s">
        <v>99</v>
      </c>
      <c r="E43" s="6" t="s">
        <v>11</v>
      </c>
    </row>
    <row r="44" customFormat="false" ht="23.25" hidden="false" customHeight="true" outlineLevel="0" collapsed="false">
      <c r="A44" s="6" t="s">
        <v>100</v>
      </c>
      <c r="D44" s="5" t="s">
        <v>101</v>
      </c>
      <c r="E44" s="6" t="s">
        <v>41</v>
      </c>
    </row>
    <row r="45" customFormat="false" ht="124.5" hidden="false" customHeight="true" outlineLevel="0" collapsed="false">
      <c r="A45" s="6" t="s">
        <v>100</v>
      </c>
      <c r="B45" s="6" t="s">
        <v>102</v>
      </c>
      <c r="C45" s="6" t="s">
        <v>9</v>
      </c>
      <c r="D45" s="5" t="s">
        <v>103</v>
      </c>
      <c r="E45" s="6" t="s">
        <v>11</v>
      </c>
    </row>
    <row r="46" customFormat="false" ht="23.25" hidden="false" customHeight="true" outlineLevel="0" collapsed="false">
      <c r="A46" s="6" t="s">
        <v>104</v>
      </c>
      <c r="D46" s="5" t="s">
        <v>105</v>
      </c>
      <c r="E46" s="6" t="s">
        <v>41</v>
      </c>
    </row>
    <row r="47" customFormat="false" ht="113.25" hidden="false" customHeight="true" outlineLevel="0" collapsed="false">
      <c r="A47" s="6" t="s">
        <v>104</v>
      </c>
      <c r="B47" s="6" t="s">
        <v>106</v>
      </c>
      <c r="C47" s="6" t="s">
        <v>9</v>
      </c>
      <c r="D47" s="5" t="s">
        <v>107</v>
      </c>
      <c r="E47" s="6" t="s">
        <v>11</v>
      </c>
    </row>
    <row r="48" customFormat="false" ht="23.25" hidden="false" customHeight="true" outlineLevel="0" collapsed="false">
      <c r="A48" s="6" t="s">
        <v>108</v>
      </c>
      <c r="D48" s="5" t="s">
        <v>109</v>
      </c>
      <c r="E48" s="6" t="s">
        <v>41</v>
      </c>
    </row>
    <row r="49" customFormat="false" ht="124.5" hidden="false" customHeight="true" outlineLevel="0" collapsed="false">
      <c r="A49" s="6" t="s">
        <v>108</v>
      </c>
      <c r="B49" s="6" t="s">
        <v>110</v>
      </c>
      <c r="C49" s="6" t="s">
        <v>9</v>
      </c>
      <c r="D49" s="5" t="s">
        <v>111</v>
      </c>
      <c r="E49" s="6" t="s">
        <v>11</v>
      </c>
    </row>
    <row r="50" customFormat="false" ht="23.25" hidden="false" customHeight="true" outlineLevel="0" collapsed="false">
      <c r="A50" s="6" t="s">
        <v>112</v>
      </c>
      <c r="D50" s="5" t="s">
        <v>113</v>
      </c>
      <c r="E50" s="6" t="s">
        <v>41</v>
      </c>
    </row>
    <row r="51" customFormat="false" ht="124.5" hidden="false" customHeight="true" outlineLevel="0" collapsed="false">
      <c r="A51" s="6" t="s">
        <v>112</v>
      </c>
      <c r="B51" s="6" t="s">
        <v>114</v>
      </c>
      <c r="C51" s="6" t="s">
        <v>9</v>
      </c>
      <c r="D51" s="5" t="s">
        <v>115</v>
      </c>
      <c r="E51" s="6" t="s">
        <v>11</v>
      </c>
    </row>
    <row r="52" customFormat="false" ht="23.25" hidden="false" customHeight="true" outlineLevel="0" collapsed="false">
      <c r="A52" s="6" t="s">
        <v>116</v>
      </c>
      <c r="D52" s="5" t="s">
        <v>117</v>
      </c>
      <c r="E52" s="6" t="s">
        <v>41</v>
      </c>
    </row>
    <row r="53" customFormat="false" ht="113.4" hidden="false" customHeight="false" outlineLevel="0" collapsed="false">
      <c r="A53" s="7" t="s">
        <v>116</v>
      </c>
      <c r="B53" s="7" t="s">
        <v>118</v>
      </c>
      <c r="C53" s="7" t="s">
        <v>9</v>
      </c>
      <c r="D53" s="5" t="s">
        <v>119</v>
      </c>
      <c r="E53" s="7" t="s">
        <v>11</v>
      </c>
    </row>
    <row r="54" customFormat="false" ht="23.85" hidden="false" customHeight="false" outlineLevel="0" collapsed="false">
      <c r="A54" s="7" t="s">
        <v>120</v>
      </c>
      <c r="D54" s="5" t="s">
        <v>121</v>
      </c>
      <c r="E54" s="7"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7"/>
    <col collapsed="false" customWidth="true" hidden="false" outlineLevel="0" max="3" min="3" style="1" width="7"/>
    <col collapsed="false" customWidth="true" hidden="false" outlineLevel="0" max="4" min="4" style="1" width="95"/>
    <col collapsed="false" customWidth="true" hidden="false" outlineLevel="0" max="5" min="5" style="1" width="26"/>
    <col collapsed="false" customWidth="true" hidden="false" outlineLevel="0" max="6" min="6" style="1" width="34"/>
    <col collapsed="false" customWidth="true" hidden="false" outlineLevel="0" max="7" min="7" style="1" width="30"/>
    <col collapsed="false" customWidth="true" hidden="false" outlineLevel="0" max="8" min="8" style="1" width="16"/>
  </cols>
  <sheetData>
    <row r="1" customFormat="false" ht="17.25" hidden="false" customHeight="true" outlineLevel="0" collapsed="false">
      <c r="A1" s="2" t="s">
        <v>122</v>
      </c>
    </row>
    <row r="3" customFormat="false" ht="15" hidden="false" customHeight="true" outlineLevel="0" collapsed="false">
      <c r="A3" s="4" t="s">
        <v>123</v>
      </c>
      <c r="B3" s="4" t="s">
        <v>3</v>
      </c>
      <c r="C3" s="4" t="s">
        <v>124</v>
      </c>
      <c r="D3" s="4" t="s">
        <v>125</v>
      </c>
      <c r="E3" s="4" t="s">
        <v>126</v>
      </c>
      <c r="F3" s="4" t="s">
        <v>127</v>
      </c>
      <c r="G3" s="4" t="s">
        <v>128</v>
      </c>
      <c r="H3" s="4" t="s">
        <v>129</v>
      </c>
    </row>
    <row r="4" customFormat="false" ht="23.25" hidden="false" customHeight="true" outlineLevel="0" collapsed="false">
      <c r="A4" s="5" t="s">
        <v>130</v>
      </c>
      <c r="B4" s="5" t="s">
        <v>131</v>
      </c>
      <c r="C4" s="5" t="s">
        <v>132</v>
      </c>
      <c r="D4" s="5" t="s">
        <v>133</v>
      </c>
      <c r="E4" s="5" t="s">
        <v>27</v>
      </c>
      <c r="F4" s="5" t="s">
        <v>134</v>
      </c>
      <c r="G4" s="5"/>
      <c r="H4" s="5" t="s">
        <v>135</v>
      </c>
    </row>
    <row r="5" customFormat="false" ht="34.5" hidden="false" customHeight="true" outlineLevel="0" collapsed="false">
      <c r="A5" s="5" t="s">
        <v>136</v>
      </c>
      <c r="B5" s="5" t="s">
        <v>137</v>
      </c>
      <c r="C5" s="5" t="s">
        <v>138</v>
      </c>
      <c r="D5" s="5" t="s">
        <v>139</v>
      </c>
      <c r="E5" s="5" t="s">
        <v>140</v>
      </c>
      <c r="F5" s="5" t="s">
        <v>141</v>
      </c>
      <c r="G5" s="5"/>
      <c r="H5" s="5" t="s">
        <v>142</v>
      </c>
    </row>
    <row r="6" customFormat="false" ht="57" hidden="false" customHeight="true" outlineLevel="0" collapsed="false">
      <c r="A6" s="5" t="s">
        <v>143</v>
      </c>
      <c r="B6" s="5" t="s">
        <v>137</v>
      </c>
      <c r="C6" s="5" t="s">
        <v>144</v>
      </c>
      <c r="D6" s="5" t="s">
        <v>145</v>
      </c>
      <c r="E6" s="5" t="s">
        <v>146</v>
      </c>
      <c r="F6" s="5" t="s">
        <v>147</v>
      </c>
      <c r="G6" s="5" t="s">
        <v>148</v>
      </c>
      <c r="H6" s="5" t="s">
        <v>149</v>
      </c>
    </row>
    <row r="7" customFormat="false" ht="23.25" hidden="false" customHeight="true" outlineLevel="0" collapsed="false">
      <c r="A7" s="5" t="s">
        <v>149</v>
      </c>
      <c r="B7" s="5" t="s">
        <v>137</v>
      </c>
      <c r="C7" s="5" t="s">
        <v>144</v>
      </c>
      <c r="D7" s="5" t="s">
        <v>150</v>
      </c>
      <c r="E7" s="5" t="s">
        <v>140</v>
      </c>
      <c r="F7" s="5" t="s">
        <v>151</v>
      </c>
      <c r="G7" s="5"/>
      <c r="H7" s="5" t="s">
        <v>152</v>
      </c>
    </row>
    <row r="8" customFormat="false" ht="68.25" hidden="false" customHeight="true" outlineLevel="0" collapsed="false">
      <c r="A8" s="5" t="s">
        <v>153</v>
      </c>
      <c r="B8" s="5" t="s">
        <v>154</v>
      </c>
      <c r="C8" s="5" t="s">
        <v>152</v>
      </c>
      <c r="D8" s="5" t="s">
        <v>155</v>
      </c>
      <c r="E8" s="5" t="s">
        <v>156</v>
      </c>
      <c r="F8" s="5" t="s">
        <v>157</v>
      </c>
      <c r="G8" s="5"/>
      <c r="H8" s="5" t="s">
        <v>158</v>
      </c>
    </row>
    <row r="9" customFormat="false" ht="23.25" hidden="false" customHeight="true" outlineLevel="0" collapsed="false">
      <c r="A9" s="5" t="s">
        <v>159</v>
      </c>
      <c r="B9" s="5" t="s">
        <v>154</v>
      </c>
      <c r="C9" s="5" t="s">
        <v>152</v>
      </c>
      <c r="D9" s="5" t="s">
        <v>160</v>
      </c>
      <c r="E9" s="5" t="s">
        <v>140</v>
      </c>
      <c r="F9" s="5"/>
      <c r="G9" s="5"/>
      <c r="H9" s="5" t="s">
        <v>158</v>
      </c>
    </row>
    <row r="10" customFormat="false" ht="79.5" hidden="false" customHeight="true" outlineLevel="0" collapsed="false">
      <c r="A10" s="5" t="s">
        <v>161</v>
      </c>
      <c r="B10" s="5" t="s">
        <v>162</v>
      </c>
      <c r="C10" s="5" t="s">
        <v>158</v>
      </c>
      <c r="D10" s="5" t="s">
        <v>163</v>
      </c>
      <c r="E10" s="5" t="s">
        <v>164</v>
      </c>
      <c r="F10" s="5" t="s">
        <v>165</v>
      </c>
      <c r="G10" s="5"/>
      <c r="H10" s="5" t="s">
        <v>166</v>
      </c>
    </row>
    <row r="11" customFormat="false" ht="34.5" hidden="false" customHeight="true" outlineLevel="0" collapsed="false">
      <c r="A11" s="5" t="s">
        <v>166</v>
      </c>
      <c r="B11" s="5" t="s">
        <v>162</v>
      </c>
      <c r="C11" s="5" t="s">
        <v>158</v>
      </c>
      <c r="D11" s="5" t="s">
        <v>167</v>
      </c>
      <c r="E11" s="5" t="s">
        <v>168</v>
      </c>
      <c r="F11" s="5" t="s">
        <v>169</v>
      </c>
      <c r="G11" s="5"/>
      <c r="H11" s="5" t="s">
        <v>170</v>
      </c>
    </row>
    <row r="12" customFormat="false" ht="90.75" hidden="false" customHeight="true" outlineLevel="0" collapsed="false">
      <c r="A12" s="5" t="s">
        <v>171</v>
      </c>
      <c r="B12" s="5" t="s">
        <v>172</v>
      </c>
      <c r="C12" s="5" t="s">
        <v>170</v>
      </c>
      <c r="D12" s="5" t="s">
        <v>173</v>
      </c>
      <c r="E12" s="5" t="s">
        <v>174</v>
      </c>
      <c r="F12" s="5" t="s">
        <v>175</v>
      </c>
      <c r="G12" s="5" t="s">
        <v>176</v>
      </c>
      <c r="H12" s="5" t="s">
        <v>177</v>
      </c>
    </row>
    <row r="13" customFormat="false" ht="23.25" hidden="false" customHeight="true" outlineLevel="0" collapsed="false">
      <c r="A13" s="5" t="s">
        <v>178</v>
      </c>
      <c r="B13" s="5" t="s">
        <v>172</v>
      </c>
      <c r="C13" s="5" t="s">
        <v>170</v>
      </c>
      <c r="D13" s="5" t="s">
        <v>179</v>
      </c>
      <c r="E13" s="5" t="s">
        <v>180</v>
      </c>
      <c r="F13" s="5" t="s">
        <v>181</v>
      </c>
      <c r="G13" s="5"/>
      <c r="H13" s="5" t="s">
        <v>177</v>
      </c>
    </row>
    <row r="14" customFormat="false" ht="68.25" hidden="false" customHeight="true" outlineLevel="0" collapsed="false">
      <c r="A14" s="5" t="s">
        <v>182</v>
      </c>
      <c r="B14" s="5" t="s">
        <v>8</v>
      </c>
      <c r="C14" s="5" t="s">
        <v>177</v>
      </c>
      <c r="D14" s="5" t="s">
        <v>183</v>
      </c>
      <c r="E14" s="5" t="s">
        <v>184</v>
      </c>
      <c r="F14" s="5" t="s">
        <v>185</v>
      </c>
      <c r="G14" s="5"/>
      <c r="H14" s="5" t="s">
        <v>186</v>
      </c>
    </row>
    <row r="15" customFormat="false" ht="34.5" hidden="false" customHeight="true" outlineLevel="0" collapsed="false">
      <c r="A15" s="5" t="s">
        <v>186</v>
      </c>
      <c r="B15" s="5" t="s">
        <v>8</v>
      </c>
      <c r="C15" s="5" t="s">
        <v>177</v>
      </c>
      <c r="D15" s="5" t="s">
        <v>187</v>
      </c>
      <c r="E15" s="5" t="s">
        <v>188</v>
      </c>
      <c r="F15" s="5" t="s">
        <v>189</v>
      </c>
      <c r="G15" s="5" t="s">
        <v>190</v>
      </c>
      <c r="H15" s="5" t="s">
        <v>191</v>
      </c>
    </row>
    <row r="16" customFormat="false" ht="34.5" hidden="false" customHeight="true" outlineLevel="0" collapsed="false">
      <c r="A16" s="5" t="s">
        <v>191</v>
      </c>
      <c r="B16" s="5" t="s">
        <v>8</v>
      </c>
      <c r="C16" s="5" t="s">
        <v>177</v>
      </c>
      <c r="D16" s="5" t="s">
        <v>192</v>
      </c>
      <c r="E16" s="5" t="s">
        <v>140</v>
      </c>
      <c r="F16" s="5" t="s">
        <v>193</v>
      </c>
      <c r="G16" s="5"/>
      <c r="H16" s="5" t="s">
        <v>194</v>
      </c>
    </row>
    <row r="17" customFormat="false" ht="34.5" hidden="false" customHeight="true" outlineLevel="0" collapsed="false">
      <c r="A17" s="5" t="s">
        <v>195</v>
      </c>
      <c r="B17" s="5" t="s">
        <v>8</v>
      </c>
      <c r="C17" s="5" t="s">
        <v>132</v>
      </c>
      <c r="D17" s="5" t="s">
        <v>196</v>
      </c>
      <c r="E17" s="5" t="s">
        <v>197</v>
      </c>
      <c r="F17" s="5" t="s">
        <v>198</v>
      </c>
      <c r="G17" s="5"/>
      <c r="H17" s="5" t="s">
        <v>199</v>
      </c>
    </row>
    <row r="18" customFormat="false" ht="57" hidden="false" customHeight="true" outlineLevel="0" collapsed="false">
      <c r="A18" s="5" t="s">
        <v>200</v>
      </c>
      <c r="B18" s="5" t="s">
        <v>13</v>
      </c>
      <c r="C18" s="5" t="s">
        <v>201</v>
      </c>
      <c r="D18" s="5" t="s">
        <v>202</v>
      </c>
      <c r="E18" s="5" t="s">
        <v>203</v>
      </c>
      <c r="F18" s="5" t="s">
        <v>185</v>
      </c>
      <c r="G18" s="5" t="s">
        <v>204</v>
      </c>
      <c r="H18" s="5" t="s">
        <v>205</v>
      </c>
    </row>
    <row r="19" customFormat="false" ht="57" hidden="false" customHeight="true" outlineLevel="0" collapsed="false">
      <c r="A19" s="5" t="s">
        <v>205</v>
      </c>
      <c r="B19" s="5" t="s">
        <v>13</v>
      </c>
      <c r="C19" s="5" t="s">
        <v>201</v>
      </c>
      <c r="D19" s="5" t="s">
        <v>206</v>
      </c>
      <c r="E19" s="5" t="s">
        <v>207</v>
      </c>
      <c r="F19" s="5" t="s">
        <v>208</v>
      </c>
      <c r="G19" s="5" t="s">
        <v>209</v>
      </c>
      <c r="H19" s="5" t="s">
        <v>210</v>
      </c>
    </row>
    <row r="20" customFormat="false" ht="34.5" hidden="false" customHeight="true" outlineLevel="0" collapsed="false">
      <c r="A20" s="5" t="s">
        <v>210</v>
      </c>
      <c r="B20" s="5" t="s">
        <v>13</v>
      </c>
      <c r="C20" s="5" t="s">
        <v>201</v>
      </c>
      <c r="D20" s="5" t="s">
        <v>211</v>
      </c>
      <c r="E20" s="5" t="s">
        <v>212</v>
      </c>
      <c r="F20" s="5" t="s">
        <v>213</v>
      </c>
      <c r="G20" s="5" t="s">
        <v>214</v>
      </c>
      <c r="H20" s="5" t="s">
        <v>215</v>
      </c>
    </row>
    <row r="21" customFormat="false" ht="45.75" hidden="false" customHeight="true" outlineLevel="0" collapsed="false">
      <c r="A21" s="5" t="s">
        <v>216</v>
      </c>
      <c r="B21" s="5" t="s">
        <v>16</v>
      </c>
      <c r="C21" s="5" t="s">
        <v>215</v>
      </c>
      <c r="D21" s="5" t="s">
        <v>217</v>
      </c>
      <c r="E21" s="5" t="s">
        <v>218</v>
      </c>
      <c r="F21" s="5" t="s">
        <v>219</v>
      </c>
      <c r="G21" s="5"/>
      <c r="H21" s="5" t="s">
        <v>220</v>
      </c>
    </row>
    <row r="22" customFormat="false" ht="45.75" hidden="false" customHeight="true" outlineLevel="0" collapsed="false">
      <c r="A22" s="5" t="s">
        <v>220</v>
      </c>
      <c r="B22" s="5" t="s">
        <v>16</v>
      </c>
      <c r="C22" s="5" t="s">
        <v>215</v>
      </c>
      <c r="D22" s="5" t="s">
        <v>221</v>
      </c>
      <c r="E22" s="5" t="s">
        <v>222</v>
      </c>
      <c r="F22" s="5" t="s">
        <v>223</v>
      </c>
      <c r="G22" s="5"/>
      <c r="H22" s="5" t="s">
        <v>224</v>
      </c>
    </row>
    <row r="23" customFormat="false" ht="68.25" hidden="false" customHeight="true" outlineLevel="0" collapsed="false">
      <c r="A23" s="5" t="s">
        <v>224</v>
      </c>
      <c r="B23" s="5" t="s">
        <v>16</v>
      </c>
      <c r="C23" s="5" t="s">
        <v>215</v>
      </c>
      <c r="D23" s="5" t="s">
        <v>225</v>
      </c>
      <c r="E23" s="5" t="s">
        <v>226</v>
      </c>
      <c r="F23" s="5" t="s">
        <v>227</v>
      </c>
      <c r="G23" s="5"/>
      <c r="H23" s="5" t="s">
        <v>228</v>
      </c>
    </row>
    <row r="24" customFormat="false" ht="68.25" hidden="false" customHeight="true" outlineLevel="0" collapsed="false">
      <c r="A24" s="5" t="s">
        <v>228</v>
      </c>
      <c r="B24" s="5" t="s">
        <v>16</v>
      </c>
      <c r="C24" s="5" t="s">
        <v>215</v>
      </c>
      <c r="D24" s="5" t="s">
        <v>229</v>
      </c>
      <c r="E24" s="5" t="s">
        <v>230</v>
      </c>
      <c r="F24" s="5" t="s">
        <v>231</v>
      </c>
      <c r="G24" s="5" t="s">
        <v>232</v>
      </c>
      <c r="H24" s="5" t="s">
        <v>233</v>
      </c>
    </row>
    <row r="25" customFormat="false" ht="68.25" hidden="false" customHeight="true" outlineLevel="0" collapsed="false">
      <c r="A25" s="5" t="s">
        <v>234</v>
      </c>
      <c r="B25" s="5" t="s">
        <v>19</v>
      </c>
      <c r="C25" s="5" t="s">
        <v>233</v>
      </c>
      <c r="D25" s="5" t="s">
        <v>235</v>
      </c>
      <c r="E25" s="5" t="s">
        <v>236</v>
      </c>
      <c r="F25" s="5" t="s">
        <v>185</v>
      </c>
      <c r="G25" s="5" t="s">
        <v>237</v>
      </c>
      <c r="H25" s="5" t="s">
        <v>238</v>
      </c>
    </row>
    <row r="26" customFormat="false" ht="79.5" hidden="false" customHeight="true" outlineLevel="0" collapsed="false">
      <c r="A26" s="5" t="s">
        <v>238</v>
      </c>
      <c r="B26" s="5" t="s">
        <v>19</v>
      </c>
      <c r="C26" s="5" t="s">
        <v>233</v>
      </c>
      <c r="D26" s="5" t="s">
        <v>239</v>
      </c>
      <c r="E26" s="5" t="s">
        <v>240</v>
      </c>
      <c r="F26" s="5" t="s">
        <v>241</v>
      </c>
      <c r="G26" s="5"/>
      <c r="H26" s="5" t="s">
        <v>242</v>
      </c>
    </row>
    <row r="27" customFormat="false" ht="68.25" hidden="false" customHeight="true" outlineLevel="0" collapsed="false">
      <c r="A27" s="5" t="s">
        <v>242</v>
      </c>
      <c r="B27" s="5" t="s">
        <v>19</v>
      </c>
      <c r="C27" s="5" t="s">
        <v>233</v>
      </c>
      <c r="D27" s="5" t="s">
        <v>243</v>
      </c>
      <c r="E27" s="5" t="s">
        <v>244</v>
      </c>
      <c r="F27" s="5" t="s">
        <v>245</v>
      </c>
      <c r="G27" s="5" t="s">
        <v>246</v>
      </c>
      <c r="H27" s="5" t="s">
        <v>247</v>
      </c>
    </row>
    <row r="28" customFormat="false" ht="68.25" hidden="false" customHeight="true" outlineLevel="0" collapsed="false">
      <c r="A28" s="5" t="s">
        <v>247</v>
      </c>
      <c r="B28" s="5" t="s">
        <v>19</v>
      </c>
      <c r="C28" s="5" t="s">
        <v>233</v>
      </c>
      <c r="D28" s="5" t="s">
        <v>248</v>
      </c>
      <c r="E28" s="5" t="s">
        <v>140</v>
      </c>
      <c r="F28" s="5" t="s">
        <v>249</v>
      </c>
      <c r="G28" s="5" t="s">
        <v>250</v>
      </c>
      <c r="H28" s="5" t="s">
        <v>251</v>
      </c>
    </row>
    <row r="29" customFormat="false" ht="68.25" hidden="false" customHeight="true" outlineLevel="0" collapsed="false">
      <c r="A29" s="5" t="s">
        <v>252</v>
      </c>
      <c r="B29" s="5" t="s">
        <v>22</v>
      </c>
      <c r="C29" s="5" t="s">
        <v>251</v>
      </c>
      <c r="D29" s="5" t="s">
        <v>253</v>
      </c>
      <c r="E29" s="5" t="s">
        <v>254</v>
      </c>
      <c r="F29" s="5" t="s">
        <v>255</v>
      </c>
      <c r="G29" s="5" t="s">
        <v>256</v>
      </c>
      <c r="H29" s="5" t="s">
        <v>257</v>
      </c>
    </row>
    <row r="30" customFormat="false" ht="57" hidden="false" customHeight="true" outlineLevel="0" collapsed="false">
      <c r="A30" s="5" t="s">
        <v>257</v>
      </c>
      <c r="B30" s="5" t="s">
        <v>22</v>
      </c>
      <c r="C30" s="5" t="s">
        <v>251</v>
      </c>
      <c r="D30" s="5" t="s">
        <v>258</v>
      </c>
      <c r="E30" s="5" t="s">
        <v>259</v>
      </c>
      <c r="F30" s="5" t="s">
        <v>260</v>
      </c>
      <c r="G30" s="5"/>
      <c r="H30" s="5" t="s">
        <v>261</v>
      </c>
    </row>
    <row r="31" customFormat="false" ht="57" hidden="false" customHeight="true" outlineLevel="0" collapsed="false">
      <c r="A31" s="5" t="s">
        <v>261</v>
      </c>
      <c r="B31" s="5" t="s">
        <v>22</v>
      </c>
      <c r="C31" s="5" t="s">
        <v>251</v>
      </c>
      <c r="D31" s="5" t="s">
        <v>262</v>
      </c>
      <c r="E31" s="5" t="s">
        <v>263</v>
      </c>
      <c r="F31" s="5" t="s">
        <v>219</v>
      </c>
      <c r="G31" s="5" t="s">
        <v>264</v>
      </c>
      <c r="H31" s="5" t="s">
        <v>265</v>
      </c>
    </row>
    <row r="32" customFormat="false" ht="102" hidden="false" customHeight="true" outlineLevel="0" collapsed="false">
      <c r="A32" s="5" t="s">
        <v>265</v>
      </c>
      <c r="B32" s="5" t="s">
        <v>22</v>
      </c>
      <c r="C32" s="5" t="s">
        <v>251</v>
      </c>
      <c r="D32" s="5" t="s">
        <v>266</v>
      </c>
      <c r="E32" s="5" t="s">
        <v>267</v>
      </c>
      <c r="F32" s="5" t="s">
        <v>268</v>
      </c>
      <c r="G32" s="5" t="s">
        <v>269</v>
      </c>
      <c r="H32" s="5" t="s">
        <v>270</v>
      </c>
    </row>
    <row r="33" customFormat="false" ht="45.75" hidden="false" customHeight="true" outlineLevel="0" collapsed="false">
      <c r="A33" s="5" t="s">
        <v>271</v>
      </c>
      <c r="B33" s="5" t="s">
        <v>25</v>
      </c>
      <c r="C33" s="5" t="s">
        <v>270</v>
      </c>
      <c r="D33" s="5" t="s">
        <v>272</v>
      </c>
      <c r="E33" s="5" t="s">
        <v>273</v>
      </c>
      <c r="F33" s="5" t="s">
        <v>260</v>
      </c>
      <c r="G33" s="5"/>
      <c r="H33" s="5" t="s">
        <v>274</v>
      </c>
    </row>
    <row r="34" customFormat="false" ht="57" hidden="false" customHeight="true" outlineLevel="0" collapsed="false">
      <c r="A34" s="5" t="s">
        <v>274</v>
      </c>
      <c r="B34" s="5" t="s">
        <v>25</v>
      </c>
      <c r="C34" s="5" t="s">
        <v>270</v>
      </c>
      <c r="D34" s="5" t="s">
        <v>275</v>
      </c>
      <c r="E34" s="5" t="s">
        <v>276</v>
      </c>
      <c r="F34" s="5" t="s">
        <v>277</v>
      </c>
      <c r="G34" s="5" t="s">
        <v>278</v>
      </c>
      <c r="H34" s="5" t="s">
        <v>279</v>
      </c>
    </row>
    <row r="35" customFormat="false" ht="68.25" hidden="false" customHeight="true" outlineLevel="0" collapsed="false">
      <c r="A35" s="5" t="s">
        <v>279</v>
      </c>
      <c r="B35" s="5" t="s">
        <v>25</v>
      </c>
      <c r="C35" s="5" t="s">
        <v>270</v>
      </c>
      <c r="D35" s="5" t="s">
        <v>280</v>
      </c>
      <c r="E35" s="5" t="s">
        <v>281</v>
      </c>
      <c r="F35" s="5" t="s">
        <v>282</v>
      </c>
      <c r="G35" s="5" t="s">
        <v>283</v>
      </c>
      <c r="H35" s="5" t="s">
        <v>284</v>
      </c>
    </row>
    <row r="36" customFormat="false" ht="90.75" hidden="false" customHeight="true" outlineLevel="0" collapsed="false">
      <c r="A36" s="5" t="s">
        <v>284</v>
      </c>
      <c r="B36" s="5" t="s">
        <v>25</v>
      </c>
      <c r="C36" s="5" t="s">
        <v>270</v>
      </c>
      <c r="D36" s="5" t="s">
        <v>285</v>
      </c>
      <c r="E36" s="5" t="s">
        <v>286</v>
      </c>
      <c r="F36" s="5" t="s">
        <v>287</v>
      </c>
      <c r="G36" s="5" t="s">
        <v>288</v>
      </c>
      <c r="H36" s="5" t="s">
        <v>289</v>
      </c>
    </row>
    <row r="37" customFormat="false" ht="45.75" hidden="false" customHeight="true" outlineLevel="0" collapsed="false">
      <c r="A37" s="5" t="s">
        <v>290</v>
      </c>
      <c r="B37" s="5" t="s">
        <v>28</v>
      </c>
      <c r="C37" s="5" t="s">
        <v>291</v>
      </c>
      <c r="D37" s="5" t="s">
        <v>292</v>
      </c>
      <c r="E37" s="5" t="s">
        <v>293</v>
      </c>
      <c r="F37" s="5" t="s">
        <v>277</v>
      </c>
      <c r="G37" s="5"/>
      <c r="H37" s="5" t="s">
        <v>294</v>
      </c>
    </row>
    <row r="38" customFormat="false" ht="68.25" hidden="false" customHeight="true" outlineLevel="0" collapsed="false">
      <c r="A38" s="5" t="s">
        <v>294</v>
      </c>
      <c r="B38" s="5" t="s">
        <v>28</v>
      </c>
      <c r="C38" s="5" t="s">
        <v>291</v>
      </c>
      <c r="D38" s="5" t="s">
        <v>295</v>
      </c>
      <c r="E38" s="5" t="s">
        <v>296</v>
      </c>
      <c r="F38" s="5" t="s">
        <v>297</v>
      </c>
      <c r="G38" s="5" t="s">
        <v>298</v>
      </c>
      <c r="H38" s="5" t="s">
        <v>299</v>
      </c>
    </row>
    <row r="39" customFormat="false" ht="57" hidden="false" customHeight="true" outlineLevel="0" collapsed="false">
      <c r="A39" s="5" t="s">
        <v>299</v>
      </c>
      <c r="B39" s="5" t="s">
        <v>28</v>
      </c>
      <c r="C39" s="5" t="s">
        <v>300</v>
      </c>
      <c r="D39" s="5" t="s">
        <v>301</v>
      </c>
      <c r="E39" s="5" t="s">
        <v>302</v>
      </c>
      <c r="F39" s="5" t="s">
        <v>303</v>
      </c>
      <c r="G39" s="5" t="s">
        <v>304</v>
      </c>
      <c r="H39" s="5" t="s">
        <v>305</v>
      </c>
    </row>
    <row r="40" customFormat="false" ht="79.5" hidden="false" customHeight="true" outlineLevel="0" collapsed="false">
      <c r="A40" s="5" t="s">
        <v>305</v>
      </c>
      <c r="B40" s="5" t="s">
        <v>28</v>
      </c>
      <c r="C40" s="5" t="s">
        <v>132</v>
      </c>
      <c r="D40" s="5" t="s">
        <v>306</v>
      </c>
      <c r="E40" s="5" t="s">
        <v>307</v>
      </c>
      <c r="F40" s="5" t="s">
        <v>308</v>
      </c>
      <c r="G40" s="5" t="s">
        <v>309</v>
      </c>
      <c r="H40" s="5" t="s">
        <v>310</v>
      </c>
    </row>
    <row r="41" customFormat="false" ht="68.25" hidden="false" customHeight="true" outlineLevel="0" collapsed="false">
      <c r="A41" s="5" t="s">
        <v>311</v>
      </c>
      <c r="B41" s="5" t="s">
        <v>31</v>
      </c>
      <c r="C41" s="5" t="s">
        <v>132</v>
      </c>
      <c r="D41" s="5" t="s">
        <v>312</v>
      </c>
      <c r="E41" s="5" t="s">
        <v>313</v>
      </c>
      <c r="F41" s="5" t="s">
        <v>314</v>
      </c>
      <c r="G41" s="5"/>
      <c r="H41" s="5" t="s">
        <v>315</v>
      </c>
    </row>
    <row r="42" customFormat="false" ht="102" hidden="false" customHeight="true" outlineLevel="0" collapsed="false">
      <c r="A42" s="5" t="s">
        <v>315</v>
      </c>
      <c r="B42" s="5" t="s">
        <v>31</v>
      </c>
      <c r="C42" s="5" t="s">
        <v>132</v>
      </c>
      <c r="D42" s="5" t="s">
        <v>316</v>
      </c>
      <c r="E42" s="5" t="s">
        <v>317</v>
      </c>
      <c r="F42" s="5" t="s">
        <v>318</v>
      </c>
      <c r="G42" s="5" t="s">
        <v>319</v>
      </c>
      <c r="H42" s="5" t="s">
        <v>320</v>
      </c>
    </row>
    <row r="43" customFormat="false" ht="57" hidden="false" customHeight="true" outlineLevel="0" collapsed="false">
      <c r="A43" s="5" t="s">
        <v>321</v>
      </c>
      <c r="B43" s="5" t="s">
        <v>34</v>
      </c>
      <c r="C43" s="5" t="s">
        <v>132</v>
      </c>
      <c r="D43" s="5" t="s">
        <v>322</v>
      </c>
      <c r="E43" s="5" t="s">
        <v>323</v>
      </c>
      <c r="F43" s="5" t="s">
        <v>324</v>
      </c>
      <c r="G43" s="5"/>
      <c r="H43" s="5" t="s">
        <v>325</v>
      </c>
    </row>
    <row r="44" customFormat="false" ht="79.5" hidden="false" customHeight="true" outlineLevel="0" collapsed="false">
      <c r="A44" s="5" t="s">
        <v>325</v>
      </c>
      <c r="B44" s="5" t="s">
        <v>34</v>
      </c>
      <c r="C44" s="5" t="s">
        <v>132</v>
      </c>
      <c r="D44" s="5" t="s">
        <v>326</v>
      </c>
      <c r="E44" s="5" t="s">
        <v>327</v>
      </c>
      <c r="F44" s="5" t="s">
        <v>328</v>
      </c>
      <c r="G44" s="5" t="s">
        <v>329</v>
      </c>
      <c r="H44" s="5" t="s">
        <v>310</v>
      </c>
    </row>
    <row r="45" customFormat="false" ht="68.25" hidden="false" customHeight="true" outlineLevel="0" collapsed="false">
      <c r="A45" s="5" t="s">
        <v>330</v>
      </c>
      <c r="B45" s="5" t="s">
        <v>37</v>
      </c>
      <c r="C45" s="5" t="s">
        <v>331</v>
      </c>
      <c r="D45" s="5" t="s">
        <v>332</v>
      </c>
      <c r="E45" s="5" t="s">
        <v>333</v>
      </c>
      <c r="F45" s="5" t="s">
        <v>334</v>
      </c>
      <c r="G45" s="5" t="s">
        <v>335</v>
      </c>
      <c r="H45" s="5" t="s">
        <v>336</v>
      </c>
    </row>
    <row r="46" customFormat="false" ht="79.5" hidden="false" customHeight="true" outlineLevel="0" collapsed="false">
      <c r="A46" s="5" t="s">
        <v>336</v>
      </c>
      <c r="B46" s="5" t="s">
        <v>37</v>
      </c>
      <c r="C46" s="5" t="s">
        <v>331</v>
      </c>
      <c r="D46" s="5" t="s">
        <v>337</v>
      </c>
      <c r="E46" s="5" t="s">
        <v>338</v>
      </c>
      <c r="F46" s="5" t="s">
        <v>339</v>
      </c>
      <c r="G46" s="5" t="s">
        <v>340</v>
      </c>
      <c r="H46" s="5" t="s">
        <v>310</v>
      </c>
    </row>
    <row r="47" customFormat="false" ht="79.5" hidden="false" customHeight="true" outlineLevel="0" collapsed="false">
      <c r="A47" s="5" t="s">
        <v>341</v>
      </c>
      <c r="B47" s="5" t="s">
        <v>42</v>
      </c>
      <c r="C47" s="5" t="s">
        <v>132</v>
      </c>
      <c r="D47" s="5" t="s">
        <v>342</v>
      </c>
      <c r="E47" s="5" t="s">
        <v>343</v>
      </c>
      <c r="F47" s="5" t="s">
        <v>344</v>
      </c>
      <c r="G47" s="5" t="s">
        <v>345</v>
      </c>
      <c r="H47" s="5" t="s">
        <v>310</v>
      </c>
    </row>
    <row r="48" customFormat="false" ht="135.75" hidden="false" customHeight="true" outlineLevel="0" collapsed="false">
      <c r="A48" s="5" t="s">
        <v>346</v>
      </c>
      <c r="B48" s="5" t="s">
        <v>46</v>
      </c>
      <c r="C48" s="5" t="s">
        <v>132</v>
      </c>
      <c r="D48" s="5" t="s">
        <v>347</v>
      </c>
      <c r="E48" s="5" t="s">
        <v>348</v>
      </c>
      <c r="F48" s="5" t="s">
        <v>349</v>
      </c>
      <c r="G48" s="5" t="s">
        <v>350</v>
      </c>
      <c r="H48" s="5" t="s">
        <v>351</v>
      </c>
    </row>
    <row r="49" customFormat="false" ht="113.25" hidden="false" customHeight="true" outlineLevel="0" collapsed="false">
      <c r="A49" s="5" t="s">
        <v>352</v>
      </c>
      <c r="B49" s="5" t="s">
        <v>50</v>
      </c>
      <c r="C49" s="5" t="s">
        <v>132</v>
      </c>
      <c r="D49" s="5" t="s">
        <v>353</v>
      </c>
      <c r="E49" s="5" t="s">
        <v>354</v>
      </c>
      <c r="F49" s="5" t="s">
        <v>355</v>
      </c>
      <c r="G49" s="5" t="s">
        <v>356</v>
      </c>
      <c r="H49" s="5" t="s">
        <v>357</v>
      </c>
    </row>
    <row r="50" customFormat="false" ht="157.5" hidden="false" customHeight="true" outlineLevel="0" collapsed="false">
      <c r="A50" s="5" t="s">
        <v>358</v>
      </c>
      <c r="B50" s="5" t="s">
        <v>54</v>
      </c>
      <c r="C50" s="5" t="s">
        <v>132</v>
      </c>
      <c r="D50" s="5" t="s">
        <v>359</v>
      </c>
      <c r="E50" s="5" t="s">
        <v>360</v>
      </c>
      <c r="F50" s="5" t="s">
        <v>361</v>
      </c>
      <c r="G50" s="5" t="s">
        <v>362</v>
      </c>
      <c r="H50" s="5" t="s">
        <v>310</v>
      </c>
    </row>
    <row r="51" customFormat="false" ht="147" hidden="false" customHeight="true" outlineLevel="0" collapsed="false">
      <c r="A51" s="5" t="s">
        <v>363</v>
      </c>
      <c r="B51" s="5" t="s">
        <v>58</v>
      </c>
      <c r="C51" s="5" t="s">
        <v>132</v>
      </c>
      <c r="D51" s="5" t="s">
        <v>364</v>
      </c>
      <c r="E51" s="5" t="s">
        <v>365</v>
      </c>
      <c r="F51" s="5" t="s">
        <v>366</v>
      </c>
      <c r="G51" s="5" t="s">
        <v>367</v>
      </c>
      <c r="H51" s="5" t="s">
        <v>368</v>
      </c>
    </row>
    <row r="52" customFormat="false" ht="124.5" hidden="false" customHeight="true" outlineLevel="0" collapsed="false">
      <c r="A52" s="5" t="s">
        <v>369</v>
      </c>
      <c r="B52" s="5" t="s">
        <v>62</v>
      </c>
      <c r="C52" s="5" t="s">
        <v>132</v>
      </c>
      <c r="D52" s="5" t="s">
        <v>370</v>
      </c>
      <c r="E52" s="5" t="s">
        <v>371</v>
      </c>
      <c r="F52" s="5" t="s">
        <v>372</v>
      </c>
      <c r="G52" s="5" t="s">
        <v>373</v>
      </c>
      <c r="H52" s="5" t="s">
        <v>374</v>
      </c>
    </row>
    <row r="53" customFormat="false" ht="135.75" hidden="false" customHeight="true" outlineLevel="0" collapsed="false">
      <c r="A53" s="5" t="s">
        <v>375</v>
      </c>
      <c r="B53" s="5" t="s">
        <v>66</v>
      </c>
      <c r="C53" s="5" t="s">
        <v>132</v>
      </c>
      <c r="D53" s="5" t="s">
        <v>376</v>
      </c>
      <c r="E53" s="5" t="s">
        <v>377</v>
      </c>
      <c r="F53" s="5" t="s">
        <v>378</v>
      </c>
      <c r="G53" s="5" t="s">
        <v>379</v>
      </c>
      <c r="H53" s="5" t="s">
        <v>380</v>
      </c>
    </row>
    <row r="54" customFormat="false" ht="147" hidden="false" customHeight="true" outlineLevel="0" collapsed="false">
      <c r="A54" s="5" t="s">
        <v>381</v>
      </c>
      <c r="B54" s="5" t="s">
        <v>70</v>
      </c>
      <c r="C54" s="5" t="s">
        <v>132</v>
      </c>
      <c r="D54" s="5" t="s">
        <v>382</v>
      </c>
      <c r="E54" s="5" t="s">
        <v>383</v>
      </c>
      <c r="F54" s="5" t="s">
        <v>384</v>
      </c>
      <c r="G54" s="5" t="s">
        <v>385</v>
      </c>
      <c r="H54" s="5" t="s">
        <v>386</v>
      </c>
    </row>
    <row r="55" customFormat="false" ht="135.75" hidden="false" customHeight="true" outlineLevel="0" collapsed="false">
      <c r="A55" s="5" t="s">
        <v>387</v>
      </c>
      <c r="B55" s="5" t="s">
        <v>74</v>
      </c>
      <c r="C55" s="5" t="s">
        <v>132</v>
      </c>
      <c r="D55" s="5" t="s">
        <v>388</v>
      </c>
      <c r="E55" s="5" t="s">
        <v>389</v>
      </c>
      <c r="F55" s="5" t="s">
        <v>390</v>
      </c>
      <c r="G55" s="5" t="s">
        <v>391</v>
      </c>
      <c r="H55" s="5" t="s">
        <v>392</v>
      </c>
    </row>
    <row r="56" customFormat="false" ht="168.75" hidden="false" customHeight="true" outlineLevel="0" collapsed="false">
      <c r="A56" s="5" t="s">
        <v>393</v>
      </c>
      <c r="B56" s="5" t="s">
        <v>78</v>
      </c>
      <c r="C56" s="5" t="s">
        <v>132</v>
      </c>
      <c r="D56" s="5" t="s">
        <v>394</v>
      </c>
      <c r="E56" s="5" t="s">
        <v>395</v>
      </c>
      <c r="F56" s="5" t="s">
        <v>396</v>
      </c>
      <c r="G56" s="5" t="s">
        <v>397</v>
      </c>
      <c r="H56" s="5" t="s">
        <v>398</v>
      </c>
    </row>
    <row r="57" customFormat="false" ht="124.5" hidden="false" customHeight="true" outlineLevel="0" collapsed="false">
      <c r="A57" s="5" t="s">
        <v>399</v>
      </c>
      <c r="B57" s="5" t="s">
        <v>82</v>
      </c>
      <c r="C57" s="5" t="s">
        <v>132</v>
      </c>
      <c r="D57" s="5" t="s">
        <v>400</v>
      </c>
      <c r="E57" s="5" t="s">
        <v>401</v>
      </c>
      <c r="F57" s="5" t="s">
        <v>402</v>
      </c>
      <c r="G57" s="5" t="s">
        <v>403</v>
      </c>
      <c r="H57" s="5" t="s">
        <v>404</v>
      </c>
    </row>
    <row r="58" customFormat="false" ht="135.75" hidden="false" customHeight="true" outlineLevel="0" collapsed="false">
      <c r="A58" s="5" t="s">
        <v>405</v>
      </c>
      <c r="B58" s="5" t="s">
        <v>86</v>
      </c>
      <c r="C58" s="5" t="s">
        <v>132</v>
      </c>
      <c r="D58" s="5" t="s">
        <v>406</v>
      </c>
      <c r="E58" s="5" t="s">
        <v>407</v>
      </c>
      <c r="F58" s="5" t="s">
        <v>408</v>
      </c>
      <c r="G58" s="5" t="s">
        <v>409</v>
      </c>
      <c r="H58" s="5" t="s">
        <v>410</v>
      </c>
    </row>
    <row r="59" customFormat="false" ht="180" hidden="false" customHeight="true" outlineLevel="0" collapsed="false">
      <c r="A59" s="5" t="s">
        <v>411</v>
      </c>
      <c r="B59" s="5" t="s">
        <v>90</v>
      </c>
      <c r="C59" s="5" t="s">
        <v>132</v>
      </c>
      <c r="D59" s="5" t="s">
        <v>412</v>
      </c>
      <c r="E59" s="5" t="s">
        <v>413</v>
      </c>
      <c r="F59" s="5" t="s">
        <v>414</v>
      </c>
      <c r="G59" s="5" t="s">
        <v>415</v>
      </c>
      <c r="H59" s="5" t="s">
        <v>416</v>
      </c>
    </row>
    <row r="60" customFormat="false" ht="147" hidden="false" customHeight="true" outlineLevel="0" collapsed="false">
      <c r="A60" s="5" t="s">
        <v>417</v>
      </c>
      <c r="B60" s="5" t="s">
        <v>94</v>
      </c>
      <c r="C60" s="5" t="s">
        <v>132</v>
      </c>
      <c r="D60" s="5" t="s">
        <v>418</v>
      </c>
      <c r="E60" s="5" t="s">
        <v>419</v>
      </c>
      <c r="F60" s="5" t="s">
        <v>420</v>
      </c>
      <c r="G60" s="5" t="s">
        <v>421</v>
      </c>
      <c r="H60" s="5" t="s">
        <v>422</v>
      </c>
    </row>
    <row r="61" customFormat="false" ht="157.5" hidden="false" customHeight="true" outlineLevel="0" collapsed="false">
      <c r="A61" s="5" t="s">
        <v>423</v>
      </c>
      <c r="B61" s="5" t="s">
        <v>98</v>
      </c>
      <c r="C61" s="5" t="s">
        <v>132</v>
      </c>
      <c r="D61" s="5" t="s">
        <v>424</v>
      </c>
      <c r="E61" s="5" t="s">
        <v>425</v>
      </c>
      <c r="F61" s="5" t="s">
        <v>426</v>
      </c>
      <c r="G61" s="5" t="s">
        <v>427</v>
      </c>
      <c r="H61" s="5" t="s">
        <v>428</v>
      </c>
    </row>
    <row r="62" customFormat="false" ht="157.5" hidden="false" customHeight="true" outlineLevel="0" collapsed="false">
      <c r="A62" s="5" t="s">
        <v>429</v>
      </c>
      <c r="B62" s="5" t="s">
        <v>102</v>
      </c>
      <c r="C62" s="5" t="s">
        <v>132</v>
      </c>
      <c r="D62" s="5" t="s">
        <v>430</v>
      </c>
      <c r="E62" s="5" t="s">
        <v>431</v>
      </c>
      <c r="F62" s="5" t="s">
        <v>432</v>
      </c>
      <c r="G62" s="5" t="s">
        <v>433</v>
      </c>
      <c r="H62" s="5" t="s">
        <v>434</v>
      </c>
    </row>
    <row r="63" customFormat="false" ht="124.5" hidden="false" customHeight="true" outlineLevel="0" collapsed="false">
      <c r="A63" s="5" t="s">
        <v>435</v>
      </c>
      <c r="B63" s="5" t="s">
        <v>106</v>
      </c>
      <c r="C63" s="5" t="s">
        <v>132</v>
      </c>
      <c r="D63" s="5" t="s">
        <v>436</v>
      </c>
      <c r="E63" s="5" t="s">
        <v>437</v>
      </c>
      <c r="F63" s="5" t="s">
        <v>438</v>
      </c>
      <c r="G63" s="5" t="s">
        <v>439</v>
      </c>
      <c r="H63" s="5" t="s">
        <v>440</v>
      </c>
    </row>
    <row r="64" customFormat="false" ht="124.5" hidden="false" customHeight="true" outlineLevel="0" collapsed="false">
      <c r="A64" s="5" t="s">
        <v>441</v>
      </c>
      <c r="B64" s="5" t="s">
        <v>110</v>
      </c>
      <c r="C64" s="5" t="s">
        <v>132</v>
      </c>
      <c r="D64" s="5" t="s">
        <v>442</v>
      </c>
      <c r="E64" s="5" t="s">
        <v>443</v>
      </c>
      <c r="F64" s="5" t="s">
        <v>444</v>
      </c>
      <c r="G64" s="5" t="s">
        <v>445</v>
      </c>
      <c r="H64" s="5" t="s">
        <v>446</v>
      </c>
    </row>
    <row r="65" customFormat="false" ht="157.5" hidden="false" customHeight="true" outlineLevel="0" collapsed="false">
      <c r="A65" s="5" t="s">
        <v>447</v>
      </c>
      <c r="B65" s="5" t="s">
        <v>114</v>
      </c>
      <c r="C65" s="5" t="s">
        <v>132</v>
      </c>
      <c r="D65" s="5" t="s">
        <v>448</v>
      </c>
      <c r="E65" s="5" t="s">
        <v>449</v>
      </c>
      <c r="F65" s="5" t="s">
        <v>450</v>
      </c>
      <c r="G65" s="5" t="s">
        <v>451</v>
      </c>
      <c r="H65" s="5" t="s">
        <v>452</v>
      </c>
    </row>
    <row r="66" customFormat="false" ht="147" hidden="false" customHeight="false" outlineLevel="0" collapsed="false">
      <c r="A66" s="5" t="s">
        <v>453</v>
      </c>
      <c r="B66" s="5" t="s">
        <v>118</v>
      </c>
      <c r="C66" s="5" t="s">
        <v>132</v>
      </c>
      <c r="D66" s="5" t="s">
        <v>454</v>
      </c>
      <c r="E66" s="5" t="s">
        <v>455</v>
      </c>
      <c r="F66" s="5" t="s">
        <v>456</v>
      </c>
      <c r="G66" s="5" t="s">
        <v>457</v>
      </c>
      <c r="H66" s="5" t="s">
        <v>458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70"/>
    <col collapsed="false" customWidth="true" hidden="false" outlineLevel="0" max="3" min="3" style="1" width="45"/>
    <col collapsed="false" customWidth="true" hidden="false" outlineLevel="0" max="5" min="4" style="1" width="22"/>
  </cols>
  <sheetData>
    <row r="1" customFormat="false" ht="17.25" hidden="false" customHeight="true" outlineLevel="0" collapsed="false">
      <c r="A1" s="2" t="s">
        <v>459</v>
      </c>
    </row>
    <row r="3" customFormat="false" ht="15" hidden="false" customHeight="true" outlineLevel="0" collapsed="false">
      <c r="A3" s="4" t="s">
        <v>123</v>
      </c>
      <c r="B3" s="4" t="s">
        <v>460</v>
      </c>
      <c r="C3" s="4" t="s">
        <v>461</v>
      </c>
      <c r="D3" s="4" t="s">
        <v>462</v>
      </c>
      <c r="E3" s="4" t="s">
        <v>6</v>
      </c>
    </row>
    <row r="4" customFormat="false" ht="23.25" hidden="false" customHeight="true" outlineLevel="0" collapsed="false">
      <c r="A4" s="5" t="s">
        <v>140</v>
      </c>
      <c r="B4" s="5" t="s">
        <v>463</v>
      </c>
      <c r="C4" s="5" t="s">
        <v>464</v>
      </c>
      <c r="D4" s="5" t="s">
        <v>458</v>
      </c>
      <c r="E4" s="5" t="s">
        <v>465</v>
      </c>
    </row>
    <row r="5" customFormat="false" ht="34.5" hidden="false" customHeight="true" outlineLevel="0" collapsed="false">
      <c r="A5" s="5" t="s">
        <v>466</v>
      </c>
      <c r="B5" s="5" t="s">
        <v>467</v>
      </c>
      <c r="C5" s="5" t="s">
        <v>468</v>
      </c>
      <c r="D5" s="5" t="s">
        <v>469</v>
      </c>
      <c r="E5" s="5" t="s">
        <v>470</v>
      </c>
    </row>
    <row r="6" customFormat="false" ht="34.5" hidden="false" customHeight="true" outlineLevel="0" collapsed="false">
      <c r="A6" s="5" t="s">
        <v>471</v>
      </c>
      <c r="B6" s="5" t="s">
        <v>472</v>
      </c>
      <c r="C6" s="5" t="s">
        <v>473</v>
      </c>
      <c r="D6" s="5" t="s">
        <v>474</v>
      </c>
      <c r="E6" s="5" t="s">
        <v>475</v>
      </c>
    </row>
    <row r="7" customFormat="false" ht="45.75" hidden="false" customHeight="true" outlineLevel="0" collapsed="false">
      <c r="A7" s="5" t="s">
        <v>476</v>
      </c>
      <c r="B7" s="5" t="s">
        <v>477</v>
      </c>
      <c r="C7" s="5" t="s">
        <v>478</v>
      </c>
      <c r="D7" s="5" t="s">
        <v>474</v>
      </c>
      <c r="E7" s="5" t="s">
        <v>479</v>
      </c>
    </row>
    <row r="8" customFormat="false" ht="34.5" hidden="false" customHeight="true" outlineLevel="0" collapsed="false">
      <c r="A8" s="5" t="s">
        <v>480</v>
      </c>
      <c r="B8" s="5" t="s">
        <v>481</v>
      </c>
      <c r="C8" s="5" t="s">
        <v>482</v>
      </c>
      <c r="D8" s="5" t="s">
        <v>483</v>
      </c>
      <c r="E8" s="5" t="s">
        <v>484</v>
      </c>
    </row>
    <row r="9" customFormat="false" ht="68.25" hidden="false" customHeight="true" outlineLevel="0" collapsed="false">
      <c r="A9" s="5" t="s">
        <v>485</v>
      </c>
      <c r="B9" s="5" t="s">
        <v>486</v>
      </c>
      <c r="C9" s="5" t="s">
        <v>487</v>
      </c>
      <c r="D9" s="5" t="s">
        <v>458</v>
      </c>
      <c r="E9" s="5" t="s">
        <v>488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12"/>
    <col collapsed="false" customWidth="true" hidden="false" outlineLevel="0" max="4" min="4" style="1" width="8"/>
    <col collapsed="false" customWidth="true" hidden="false" outlineLevel="0" max="5" min="5" style="1" width="16"/>
    <col collapsed="false" customWidth="true" hidden="false" outlineLevel="0" max="6" min="6" style="1" width="14"/>
    <col collapsed="false" customWidth="true" hidden="false" outlineLevel="0" max="7" min="7" style="1" width="60"/>
  </cols>
  <sheetData>
    <row r="1" customFormat="false" ht="17.25" hidden="false" customHeight="true" outlineLevel="0" collapsed="false">
      <c r="A1" s="2" t="s">
        <v>489</v>
      </c>
    </row>
    <row r="3" customFormat="false" ht="15" hidden="false" customHeight="true" outlineLevel="0" collapsed="false">
      <c r="A3" s="4" t="s">
        <v>123</v>
      </c>
      <c r="B3" s="4" t="s">
        <v>490</v>
      </c>
      <c r="C3" s="4" t="s">
        <v>491</v>
      </c>
      <c r="D3" s="4" t="s">
        <v>492</v>
      </c>
      <c r="E3" s="4" t="s">
        <v>493</v>
      </c>
      <c r="F3" s="4" t="s">
        <v>6</v>
      </c>
      <c r="G3" s="4" t="s">
        <v>494</v>
      </c>
    </row>
    <row r="4" customFormat="false" ht="15" hidden="false" customHeight="true" outlineLevel="0" collapsed="false">
      <c r="A4" s="5" t="s">
        <v>495</v>
      </c>
      <c r="B4" s="5" t="s">
        <v>496</v>
      </c>
      <c r="C4" s="5" t="s">
        <v>132</v>
      </c>
      <c r="D4" s="5" t="n">
        <v>2</v>
      </c>
      <c r="E4" s="5" t="s">
        <v>497</v>
      </c>
      <c r="F4" s="8" t="s">
        <v>498</v>
      </c>
      <c r="G4" s="5" t="s">
        <v>499</v>
      </c>
    </row>
    <row r="5" customFormat="false" ht="23.25" hidden="false" customHeight="true" outlineLevel="0" collapsed="false">
      <c r="A5" s="5" t="s">
        <v>500</v>
      </c>
      <c r="B5" s="5" t="s">
        <v>501</v>
      </c>
      <c r="C5" s="5" t="s">
        <v>502</v>
      </c>
      <c r="D5" s="5" t="n">
        <v>5</v>
      </c>
      <c r="E5" s="5" t="s">
        <v>497</v>
      </c>
      <c r="F5" s="8" t="s">
        <v>503</v>
      </c>
      <c r="G5" s="5" t="s">
        <v>504</v>
      </c>
    </row>
    <row r="6" customFormat="false" ht="23.25" hidden="false" customHeight="true" outlineLevel="0" collapsed="false">
      <c r="A6" s="5" t="s">
        <v>505</v>
      </c>
      <c r="B6" s="5" t="s">
        <v>506</v>
      </c>
      <c r="C6" s="5" t="s">
        <v>507</v>
      </c>
      <c r="D6" s="5" t="n">
        <v>3</v>
      </c>
      <c r="E6" s="5" t="s">
        <v>497</v>
      </c>
      <c r="F6" s="8" t="s">
        <v>503</v>
      </c>
      <c r="G6" s="5" t="s">
        <v>508</v>
      </c>
    </row>
    <row r="7" customFormat="false" ht="23.25" hidden="false" customHeight="true" outlineLevel="0" collapsed="false">
      <c r="A7" s="5" t="s">
        <v>509</v>
      </c>
      <c r="B7" s="5" t="s">
        <v>510</v>
      </c>
      <c r="C7" s="5" t="s">
        <v>511</v>
      </c>
      <c r="D7" s="5" t="n">
        <v>3</v>
      </c>
      <c r="E7" s="5" t="s">
        <v>497</v>
      </c>
      <c r="F7" s="8" t="s">
        <v>503</v>
      </c>
      <c r="G7" s="5" t="s">
        <v>512</v>
      </c>
    </row>
    <row r="8" customFormat="false" ht="23.25" hidden="false" customHeight="true" outlineLevel="0" collapsed="false">
      <c r="A8" s="5" t="s">
        <v>513</v>
      </c>
      <c r="B8" s="5" t="s">
        <v>514</v>
      </c>
      <c r="C8" s="5" t="s">
        <v>515</v>
      </c>
      <c r="D8" s="5" t="n">
        <v>2</v>
      </c>
      <c r="E8" s="5" t="s">
        <v>497</v>
      </c>
      <c r="F8" s="8" t="s">
        <v>503</v>
      </c>
      <c r="G8" s="5" t="s">
        <v>516</v>
      </c>
    </row>
    <row r="9" customFormat="false" ht="23.25" hidden="false" customHeight="true" outlineLevel="0" collapsed="false">
      <c r="A9" s="5" t="s">
        <v>517</v>
      </c>
      <c r="B9" s="5" t="s">
        <v>518</v>
      </c>
      <c r="C9" s="5" t="s">
        <v>519</v>
      </c>
      <c r="D9" s="5" t="n">
        <v>3</v>
      </c>
      <c r="E9" s="5" t="s">
        <v>520</v>
      </c>
      <c r="F9" s="5" t="s">
        <v>521</v>
      </c>
      <c r="G9" s="5" t="s">
        <v>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12"/>
    <col collapsed="false" customWidth="true" hidden="false" outlineLevel="0" max="4" min="4" style="1" width="8"/>
    <col collapsed="false" customWidth="true" hidden="false" outlineLevel="0" max="5" min="5" style="1" width="16"/>
    <col collapsed="false" customWidth="true" hidden="false" outlineLevel="0" max="6" min="6" style="1" width="14"/>
    <col collapsed="false" customWidth="true" hidden="false" outlineLevel="0" max="7" min="7" style="1" width="60"/>
  </cols>
  <sheetData>
    <row r="1" customFormat="false" ht="17.25" hidden="false" customHeight="true" outlineLevel="0" collapsed="false">
      <c r="A1" s="2" t="s">
        <v>523</v>
      </c>
    </row>
    <row r="3" customFormat="false" ht="15" hidden="false" customHeight="true" outlineLevel="0" collapsed="false">
      <c r="A3" s="4" t="s">
        <v>123</v>
      </c>
      <c r="B3" s="4" t="s">
        <v>490</v>
      </c>
      <c r="C3" s="4" t="s">
        <v>491</v>
      </c>
      <c r="D3" s="4" t="s">
        <v>492</v>
      </c>
      <c r="E3" s="4" t="s">
        <v>493</v>
      </c>
      <c r="F3" s="4" t="s">
        <v>6</v>
      </c>
      <c r="G3" s="4" t="s">
        <v>494</v>
      </c>
    </row>
    <row r="4" customFormat="false" ht="15" hidden="false" customHeight="true" outlineLevel="0" collapsed="false">
      <c r="A4" s="5" t="s">
        <v>524</v>
      </c>
      <c r="B4" s="5" t="s">
        <v>525</v>
      </c>
      <c r="C4" s="5" t="s">
        <v>526</v>
      </c>
      <c r="D4" s="5" t="n">
        <v>5</v>
      </c>
      <c r="E4" s="5" t="s">
        <v>497</v>
      </c>
      <c r="F4" s="8" t="s">
        <v>503</v>
      </c>
      <c r="G4" s="5" t="s">
        <v>527</v>
      </c>
    </row>
    <row r="5" customFormat="false" ht="23.25" hidden="false" customHeight="true" outlineLevel="0" collapsed="false">
      <c r="A5" s="5" t="s">
        <v>528</v>
      </c>
      <c r="B5" s="5" t="s">
        <v>529</v>
      </c>
      <c r="C5" s="5" t="s">
        <v>530</v>
      </c>
      <c r="D5" s="5" t="n">
        <v>8</v>
      </c>
      <c r="E5" s="5" t="s">
        <v>497</v>
      </c>
      <c r="F5" s="8" t="s">
        <v>503</v>
      </c>
      <c r="G5" s="5" t="s">
        <v>531</v>
      </c>
    </row>
    <row r="6" customFormat="false" ht="15" hidden="false" customHeight="true" outlineLevel="0" collapsed="false">
      <c r="A6" s="5" t="s">
        <v>532</v>
      </c>
      <c r="B6" s="5" t="s">
        <v>533</v>
      </c>
      <c r="C6" s="5" t="s">
        <v>534</v>
      </c>
      <c r="D6" s="5" t="n">
        <v>5</v>
      </c>
      <c r="E6" s="5" t="s">
        <v>497</v>
      </c>
      <c r="F6" s="8" t="s">
        <v>503</v>
      </c>
      <c r="G6" s="5" t="s">
        <v>535</v>
      </c>
    </row>
    <row r="7" customFormat="false" ht="23.25" hidden="false" customHeight="true" outlineLevel="0" collapsed="false">
      <c r="A7" s="5" t="s">
        <v>536</v>
      </c>
      <c r="B7" s="5" t="s">
        <v>537</v>
      </c>
      <c r="C7" s="5" t="s">
        <v>538</v>
      </c>
      <c r="D7" s="5" t="n">
        <v>3</v>
      </c>
      <c r="E7" s="5" t="s">
        <v>497</v>
      </c>
      <c r="F7" s="8" t="s">
        <v>503</v>
      </c>
      <c r="G7" s="5" t="s">
        <v>539</v>
      </c>
    </row>
    <row r="8" customFormat="false" ht="15" hidden="false" customHeight="true" outlineLevel="0" collapsed="false">
      <c r="A8" s="5" t="s">
        <v>540</v>
      </c>
      <c r="B8" s="5" t="s">
        <v>541</v>
      </c>
      <c r="C8" s="5" t="s">
        <v>542</v>
      </c>
      <c r="D8" s="5" t="n">
        <v>3</v>
      </c>
      <c r="E8" s="5" t="s">
        <v>497</v>
      </c>
      <c r="F8" s="8" t="s">
        <v>503</v>
      </c>
      <c r="G8" s="5" t="s">
        <v>543</v>
      </c>
    </row>
    <row r="9" customFormat="false" ht="15" hidden="false" customHeight="true" outlineLevel="0" collapsed="false">
      <c r="A9" s="5" t="s">
        <v>544</v>
      </c>
      <c r="B9" s="5" t="s">
        <v>545</v>
      </c>
      <c r="C9" s="5" t="s">
        <v>546</v>
      </c>
      <c r="D9" s="5" t="n">
        <v>5</v>
      </c>
      <c r="E9" s="5" t="s">
        <v>497</v>
      </c>
      <c r="F9" s="8" t="s">
        <v>503</v>
      </c>
      <c r="G9" s="5" t="s">
        <v>547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12"/>
    <col collapsed="false" customWidth="true" hidden="false" outlineLevel="0" max="4" min="4" style="1" width="8"/>
    <col collapsed="false" customWidth="true" hidden="false" outlineLevel="0" max="5" min="5" style="1" width="16"/>
    <col collapsed="false" customWidth="true" hidden="false" outlineLevel="0" max="6" min="6" style="1" width="14"/>
    <col collapsed="false" customWidth="true" hidden="false" outlineLevel="0" max="7" min="7" style="1" width="60"/>
  </cols>
  <sheetData>
    <row r="1" customFormat="false" ht="17.25" hidden="false" customHeight="true" outlineLevel="0" collapsed="false">
      <c r="A1" s="2" t="s">
        <v>548</v>
      </c>
    </row>
    <row r="3" customFormat="false" ht="15" hidden="false" customHeight="true" outlineLevel="0" collapsed="false">
      <c r="A3" s="4" t="s">
        <v>123</v>
      </c>
      <c r="B3" s="4" t="s">
        <v>490</v>
      </c>
      <c r="C3" s="4" t="s">
        <v>491</v>
      </c>
      <c r="D3" s="4" t="s">
        <v>492</v>
      </c>
      <c r="E3" s="4" t="s">
        <v>493</v>
      </c>
      <c r="F3" s="4" t="s">
        <v>6</v>
      </c>
      <c r="G3" s="4" t="s">
        <v>494</v>
      </c>
    </row>
    <row r="4" customFormat="false" ht="15" hidden="false" customHeight="true" outlineLevel="0" collapsed="false">
      <c r="A4" s="5" t="s">
        <v>549</v>
      </c>
      <c r="B4" s="5" t="s">
        <v>550</v>
      </c>
      <c r="C4" s="5" t="s">
        <v>551</v>
      </c>
      <c r="D4" s="5" t="n">
        <v>5</v>
      </c>
      <c r="E4" s="5" t="s">
        <v>497</v>
      </c>
      <c r="F4" s="8" t="s">
        <v>503</v>
      </c>
      <c r="G4" s="5" t="s">
        <v>552</v>
      </c>
    </row>
    <row r="5" customFormat="false" ht="15" hidden="false" customHeight="true" outlineLevel="0" collapsed="false">
      <c r="A5" s="5" t="s">
        <v>553</v>
      </c>
      <c r="B5" s="5" t="s">
        <v>554</v>
      </c>
      <c r="C5" s="5" t="s">
        <v>555</v>
      </c>
      <c r="D5" s="5" t="n">
        <v>3</v>
      </c>
      <c r="E5" s="5" t="s">
        <v>497</v>
      </c>
      <c r="F5" s="8" t="s">
        <v>503</v>
      </c>
      <c r="G5" s="5" t="s">
        <v>556</v>
      </c>
    </row>
    <row r="6" customFormat="false" ht="15" hidden="false" customHeight="true" outlineLevel="0" collapsed="false">
      <c r="A6" s="5" t="s">
        <v>557</v>
      </c>
      <c r="B6" s="5" t="s">
        <v>558</v>
      </c>
      <c r="C6" s="5" t="s">
        <v>559</v>
      </c>
      <c r="D6" s="5" t="n">
        <v>3</v>
      </c>
      <c r="E6" s="5" t="s">
        <v>497</v>
      </c>
      <c r="F6" s="8" t="s">
        <v>503</v>
      </c>
      <c r="G6" s="5" t="s">
        <v>560</v>
      </c>
    </row>
    <row r="7" customFormat="false" ht="15" hidden="false" customHeight="true" outlineLevel="0" collapsed="false">
      <c r="A7" s="5" t="s">
        <v>561</v>
      </c>
      <c r="B7" s="5" t="s">
        <v>562</v>
      </c>
      <c r="C7" s="5" t="s">
        <v>563</v>
      </c>
      <c r="D7" s="5" t="n">
        <v>2</v>
      </c>
      <c r="E7" s="5" t="s">
        <v>497</v>
      </c>
      <c r="F7" s="8" t="s">
        <v>503</v>
      </c>
      <c r="G7" s="5" t="s">
        <v>564</v>
      </c>
    </row>
    <row r="8" customFormat="false" ht="15" hidden="false" customHeight="true" outlineLevel="0" collapsed="false">
      <c r="A8" s="5" t="s">
        <v>565</v>
      </c>
      <c r="B8" s="5" t="s">
        <v>566</v>
      </c>
      <c r="C8" s="5" t="s">
        <v>567</v>
      </c>
      <c r="D8" s="5" t="n">
        <v>5</v>
      </c>
      <c r="E8" s="5" t="s">
        <v>497</v>
      </c>
      <c r="F8" s="8" t="s">
        <v>503</v>
      </c>
      <c r="G8" s="5" t="s">
        <v>568</v>
      </c>
    </row>
    <row r="9" customFormat="false" ht="15" hidden="false" customHeight="true" outlineLevel="0" collapsed="false">
      <c r="A9" s="5" t="s">
        <v>569</v>
      </c>
      <c r="B9" s="5" t="s">
        <v>570</v>
      </c>
      <c r="C9" s="5" t="s">
        <v>571</v>
      </c>
      <c r="D9" s="5" t="n">
        <v>3</v>
      </c>
      <c r="E9" s="5" t="s">
        <v>497</v>
      </c>
      <c r="F9" s="8" t="s">
        <v>503</v>
      </c>
      <c r="G9" s="5" t="s">
        <v>572</v>
      </c>
    </row>
    <row r="10" customFormat="false" ht="15" hidden="false" customHeight="true" outlineLevel="0" collapsed="false">
      <c r="A10" s="5" t="s">
        <v>573</v>
      </c>
      <c r="B10" s="5" t="s">
        <v>574</v>
      </c>
      <c r="C10" s="5" t="s">
        <v>575</v>
      </c>
      <c r="D10" s="5" t="n">
        <v>5</v>
      </c>
      <c r="E10" s="5" t="s">
        <v>497</v>
      </c>
      <c r="F10" s="8" t="s">
        <v>503</v>
      </c>
      <c r="G10" s="5" t="s">
        <v>576</v>
      </c>
    </row>
    <row r="11" customFormat="false" ht="15" hidden="false" customHeight="true" outlineLevel="0" collapsed="false">
      <c r="A11" s="5" t="s">
        <v>577</v>
      </c>
      <c r="B11" s="5" t="s">
        <v>578</v>
      </c>
      <c r="C11" s="5" t="s">
        <v>579</v>
      </c>
      <c r="D11" s="5" t="n">
        <v>8</v>
      </c>
      <c r="E11" s="5" t="s">
        <v>497</v>
      </c>
      <c r="F11" s="8" t="s">
        <v>503</v>
      </c>
      <c r="G11" s="5" t="s">
        <v>580</v>
      </c>
    </row>
    <row r="12" customFormat="false" ht="15" hidden="false" customHeight="true" outlineLevel="0" collapsed="false">
      <c r="A12" s="5" t="s">
        <v>581</v>
      </c>
      <c r="B12" s="5" t="s">
        <v>582</v>
      </c>
      <c r="C12" s="5" t="s">
        <v>583</v>
      </c>
      <c r="D12" s="5" t="n">
        <v>5</v>
      </c>
      <c r="E12" s="5" t="s">
        <v>497</v>
      </c>
      <c r="F12" s="8" t="s">
        <v>503</v>
      </c>
      <c r="G12" s="5" t="s">
        <v>584</v>
      </c>
    </row>
    <row r="13" customFormat="false" ht="15" hidden="false" customHeight="true" outlineLevel="0" collapsed="false">
      <c r="A13" s="5" t="s">
        <v>585</v>
      </c>
      <c r="B13" s="5" t="s">
        <v>586</v>
      </c>
      <c r="C13" s="5" t="s">
        <v>587</v>
      </c>
      <c r="D13" s="5" t="n">
        <v>3</v>
      </c>
      <c r="E13" s="5" t="s">
        <v>497</v>
      </c>
      <c r="F13" s="8" t="s">
        <v>503</v>
      </c>
      <c r="G13" s="5" t="s">
        <v>588</v>
      </c>
    </row>
    <row r="14" customFormat="false" ht="15" hidden="false" customHeight="true" outlineLevel="0" collapsed="false">
      <c r="A14" s="5" t="s">
        <v>589</v>
      </c>
      <c r="B14" s="5" t="s">
        <v>590</v>
      </c>
      <c r="C14" s="5" t="s">
        <v>591</v>
      </c>
      <c r="D14" s="5" t="n">
        <v>5</v>
      </c>
      <c r="E14" s="5" t="s">
        <v>497</v>
      </c>
      <c r="F14" s="8" t="s">
        <v>498</v>
      </c>
      <c r="G14" s="5" t="s">
        <v>592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12"/>
    <col collapsed="false" customWidth="true" hidden="false" outlineLevel="0" max="4" min="4" style="1" width="8"/>
    <col collapsed="false" customWidth="true" hidden="false" outlineLevel="0" max="5" min="5" style="1" width="16"/>
    <col collapsed="false" customWidth="true" hidden="false" outlineLevel="0" max="6" min="6" style="1" width="14"/>
    <col collapsed="false" customWidth="true" hidden="false" outlineLevel="0" max="7" min="7" style="1" width="60"/>
  </cols>
  <sheetData>
    <row r="1" customFormat="false" ht="17.25" hidden="false" customHeight="true" outlineLevel="0" collapsed="false">
      <c r="A1" s="2" t="s">
        <v>593</v>
      </c>
    </row>
    <row r="3" customFormat="false" ht="15" hidden="false" customHeight="true" outlineLevel="0" collapsed="false">
      <c r="A3" s="4" t="s">
        <v>123</v>
      </c>
      <c r="B3" s="4" t="s">
        <v>490</v>
      </c>
      <c r="C3" s="4" t="s">
        <v>491</v>
      </c>
      <c r="D3" s="4" t="s">
        <v>492</v>
      </c>
      <c r="E3" s="4" t="s">
        <v>493</v>
      </c>
      <c r="F3" s="4" t="s">
        <v>6</v>
      </c>
      <c r="G3" s="4" t="s">
        <v>494</v>
      </c>
    </row>
    <row r="4" customFormat="false" ht="15" hidden="false" customHeight="true" outlineLevel="0" collapsed="false">
      <c r="A4" s="5" t="s">
        <v>594</v>
      </c>
      <c r="B4" s="5" t="s">
        <v>595</v>
      </c>
      <c r="C4" s="5" t="s">
        <v>596</v>
      </c>
      <c r="D4" s="5" t="n">
        <v>5</v>
      </c>
      <c r="E4" s="5" t="s">
        <v>497</v>
      </c>
      <c r="F4" s="8" t="s">
        <v>503</v>
      </c>
      <c r="G4" s="5" t="s">
        <v>597</v>
      </c>
    </row>
    <row r="5" customFormat="false" ht="15" hidden="false" customHeight="true" outlineLevel="0" collapsed="false">
      <c r="A5" s="5" t="s">
        <v>598</v>
      </c>
      <c r="B5" s="5" t="s">
        <v>599</v>
      </c>
      <c r="C5" s="5" t="s">
        <v>600</v>
      </c>
      <c r="D5" s="5" t="n">
        <v>3</v>
      </c>
      <c r="E5" s="5" t="s">
        <v>497</v>
      </c>
      <c r="F5" s="8" t="s">
        <v>503</v>
      </c>
      <c r="G5" s="5" t="s">
        <v>601</v>
      </c>
    </row>
    <row r="6" customFormat="false" ht="15" hidden="false" customHeight="true" outlineLevel="0" collapsed="false">
      <c r="A6" s="5" t="s">
        <v>602</v>
      </c>
      <c r="B6" s="5" t="s">
        <v>603</v>
      </c>
      <c r="C6" s="5" t="s">
        <v>604</v>
      </c>
      <c r="D6" s="5" t="n">
        <v>3</v>
      </c>
      <c r="E6" s="5" t="s">
        <v>497</v>
      </c>
      <c r="F6" s="8" t="s">
        <v>503</v>
      </c>
      <c r="G6" s="5" t="s">
        <v>605</v>
      </c>
    </row>
    <row r="7" customFormat="false" ht="15" hidden="false" customHeight="true" outlineLevel="0" collapsed="false">
      <c r="A7" s="5" t="s">
        <v>606</v>
      </c>
      <c r="B7" s="5" t="s">
        <v>607</v>
      </c>
      <c r="C7" s="5" t="s">
        <v>608</v>
      </c>
      <c r="D7" s="5" t="n">
        <v>2</v>
      </c>
      <c r="E7" s="5" t="s">
        <v>497</v>
      </c>
      <c r="F7" s="8" t="s">
        <v>503</v>
      </c>
      <c r="G7" s="5" t="s">
        <v>609</v>
      </c>
    </row>
    <row r="8" customFormat="false" ht="15" hidden="false" customHeight="true" outlineLevel="0" collapsed="false">
      <c r="A8" s="5" t="s">
        <v>610</v>
      </c>
      <c r="B8" s="5" t="s">
        <v>611</v>
      </c>
      <c r="C8" s="5" t="s">
        <v>612</v>
      </c>
      <c r="D8" s="5" t="n">
        <v>5</v>
      </c>
      <c r="E8" s="5" t="s">
        <v>497</v>
      </c>
      <c r="F8" s="8" t="s">
        <v>503</v>
      </c>
      <c r="G8" s="5" t="s">
        <v>613</v>
      </c>
    </row>
    <row r="9" customFormat="false" ht="15" hidden="false" customHeight="true" outlineLevel="0" collapsed="false">
      <c r="A9" s="5" t="s">
        <v>614</v>
      </c>
      <c r="B9" s="5" t="s">
        <v>615</v>
      </c>
      <c r="C9" s="5" t="s">
        <v>616</v>
      </c>
      <c r="D9" s="5" t="n">
        <v>3</v>
      </c>
      <c r="E9" s="5" t="s">
        <v>497</v>
      </c>
      <c r="F9" s="8" t="s">
        <v>503</v>
      </c>
      <c r="G9" s="5" t="s">
        <v>617</v>
      </c>
    </row>
    <row r="10" customFormat="false" ht="15" hidden="false" customHeight="true" outlineLevel="0" collapsed="false">
      <c r="A10" s="5" t="s">
        <v>618</v>
      </c>
      <c r="B10" s="5" t="s">
        <v>619</v>
      </c>
      <c r="C10" s="5" t="s">
        <v>620</v>
      </c>
      <c r="D10" s="5" t="n">
        <v>5</v>
      </c>
      <c r="E10" s="5" t="s">
        <v>497</v>
      </c>
      <c r="F10" s="8" t="s">
        <v>503</v>
      </c>
      <c r="G10" s="5" t="s">
        <v>621</v>
      </c>
    </row>
    <row r="11" customFormat="false" ht="15" hidden="false" customHeight="true" outlineLevel="0" collapsed="false">
      <c r="A11" s="5" t="s">
        <v>622</v>
      </c>
      <c r="B11" s="5" t="s">
        <v>623</v>
      </c>
      <c r="C11" s="5" t="s">
        <v>624</v>
      </c>
      <c r="D11" s="5" t="n">
        <v>3</v>
      </c>
      <c r="E11" s="5" t="s">
        <v>497</v>
      </c>
      <c r="F11" s="8" t="s">
        <v>503</v>
      </c>
      <c r="G11" s="5" t="s">
        <v>625</v>
      </c>
    </row>
    <row r="12" customFormat="false" ht="23.25" hidden="false" customHeight="true" outlineLevel="0" collapsed="false">
      <c r="A12" s="5" t="s">
        <v>626</v>
      </c>
      <c r="B12" s="5" t="s">
        <v>627</v>
      </c>
      <c r="C12" s="5" t="s">
        <v>628</v>
      </c>
      <c r="D12" s="5" t="n">
        <v>5</v>
      </c>
      <c r="E12" s="5" t="s">
        <v>497</v>
      </c>
      <c r="F12" s="8" t="s">
        <v>503</v>
      </c>
      <c r="G12" s="5" t="s">
        <v>629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12"/>
    <col collapsed="false" customWidth="true" hidden="false" outlineLevel="0" max="4" min="4" style="1" width="8"/>
    <col collapsed="false" customWidth="true" hidden="false" outlineLevel="0" max="5" min="5" style="1" width="16"/>
    <col collapsed="false" customWidth="true" hidden="false" outlineLevel="0" max="6" min="6" style="1" width="14"/>
    <col collapsed="false" customWidth="true" hidden="false" outlineLevel="0" max="7" min="7" style="1" width="60"/>
  </cols>
  <sheetData>
    <row r="1" customFormat="false" ht="17.25" hidden="false" customHeight="true" outlineLevel="0" collapsed="false">
      <c r="A1" s="2" t="s">
        <v>630</v>
      </c>
    </row>
    <row r="3" customFormat="false" ht="15" hidden="false" customHeight="true" outlineLevel="0" collapsed="false">
      <c r="A3" s="4" t="s">
        <v>123</v>
      </c>
      <c r="B3" s="4" t="s">
        <v>490</v>
      </c>
      <c r="C3" s="4" t="s">
        <v>491</v>
      </c>
      <c r="D3" s="4" t="s">
        <v>492</v>
      </c>
      <c r="E3" s="4" t="s">
        <v>493</v>
      </c>
      <c r="F3" s="4" t="s">
        <v>6</v>
      </c>
      <c r="G3" s="4" t="s">
        <v>494</v>
      </c>
    </row>
    <row r="4" customFormat="false" ht="15" hidden="false" customHeight="true" outlineLevel="0" collapsed="false">
      <c r="A4" s="5" t="s">
        <v>631</v>
      </c>
      <c r="B4" s="5" t="s">
        <v>632</v>
      </c>
      <c r="C4" s="5" t="s">
        <v>633</v>
      </c>
      <c r="D4" s="5" t="n">
        <v>5</v>
      </c>
      <c r="E4" s="5" t="s">
        <v>497</v>
      </c>
      <c r="F4" s="8" t="s">
        <v>503</v>
      </c>
      <c r="G4" s="5" t="s">
        <v>634</v>
      </c>
    </row>
    <row r="5" customFormat="false" ht="23.25" hidden="false" customHeight="true" outlineLevel="0" collapsed="false">
      <c r="A5" s="5" t="s">
        <v>635</v>
      </c>
      <c r="B5" s="5" t="s">
        <v>636</v>
      </c>
      <c r="C5" s="5" t="s">
        <v>637</v>
      </c>
      <c r="D5" s="5" t="n">
        <v>8</v>
      </c>
      <c r="E5" s="5" t="s">
        <v>497</v>
      </c>
      <c r="F5" s="8" t="s">
        <v>503</v>
      </c>
      <c r="G5" s="5" t="s">
        <v>638</v>
      </c>
    </row>
    <row r="6" customFormat="false" ht="15" hidden="false" customHeight="true" outlineLevel="0" collapsed="false">
      <c r="A6" s="5" t="s">
        <v>639</v>
      </c>
      <c r="B6" s="5" t="s">
        <v>640</v>
      </c>
      <c r="C6" s="5" t="s">
        <v>641</v>
      </c>
      <c r="D6" s="5" t="n">
        <v>5</v>
      </c>
      <c r="E6" s="5" t="s">
        <v>497</v>
      </c>
      <c r="F6" s="8" t="s">
        <v>503</v>
      </c>
      <c r="G6" s="5" t="s">
        <v>642</v>
      </c>
    </row>
    <row r="7" customFormat="false" ht="15" hidden="false" customHeight="true" outlineLevel="0" collapsed="false">
      <c r="A7" s="5" t="s">
        <v>643</v>
      </c>
      <c r="B7" s="5" t="s">
        <v>644</v>
      </c>
      <c r="C7" s="5" t="s">
        <v>645</v>
      </c>
      <c r="D7" s="5" t="n">
        <v>3</v>
      </c>
      <c r="E7" s="5" t="s">
        <v>497</v>
      </c>
      <c r="F7" s="8" t="s">
        <v>503</v>
      </c>
      <c r="G7" s="5" t="s">
        <v>646</v>
      </c>
    </row>
    <row r="8" customFormat="false" ht="15" hidden="false" customHeight="true" outlineLevel="0" collapsed="false">
      <c r="A8" s="5" t="s">
        <v>647</v>
      </c>
      <c r="B8" s="5" t="s">
        <v>648</v>
      </c>
      <c r="C8" s="5" t="s">
        <v>649</v>
      </c>
      <c r="D8" s="5" t="n">
        <v>5</v>
      </c>
      <c r="E8" s="5" t="s">
        <v>497</v>
      </c>
      <c r="F8" s="8" t="s">
        <v>503</v>
      </c>
      <c r="G8" s="5" t="s">
        <v>650</v>
      </c>
    </row>
    <row r="9" customFormat="false" ht="15" hidden="false" customHeight="true" outlineLevel="0" collapsed="false">
      <c r="A9" s="5" t="s">
        <v>651</v>
      </c>
      <c r="B9" s="5" t="s">
        <v>652</v>
      </c>
      <c r="C9" s="5" t="s">
        <v>653</v>
      </c>
      <c r="D9" s="5" t="n">
        <v>3</v>
      </c>
      <c r="E9" s="5" t="s">
        <v>497</v>
      </c>
      <c r="F9" s="8" t="s">
        <v>503</v>
      </c>
      <c r="G9" s="5" t="s">
        <v>654</v>
      </c>
    </row>
    <row r="10" customFormat="false" ht="15" hidden="false" customHeight="true" outlineLevel="0" collapsed="false">
      <c r="A10" s="5" t="s">
        <v>655</v>
      </c>
      <c r="B10" s="5" t="s">
        <v>656</v>
      </c>
      <c r="C10" s="5" t="s">
        <v>657</v>
      </c>
      <c r="D10" s="5" t="n">
        <v>3</v>
      </c>
      <c r="E10" s="5" t="s">
        <v>497</v>
      </c>
      <c r="F10" s="8" t="s">
        <v>503</v>
      </c>
      <c r="G10" s="5" t="s">
        <v>658</v>
      </c>
    </row>
    <row r="11" customFormat="false" ht="15" hidden="false" customHeight="true" outlineLevel="0" collapsed="false">
      <c r="A11" s="5" t="s">
        <v>659</v>
      </c>
      <c r="B11" s="5" t="s">
        <v>660</v>
      </c>
      <c r="C11" s="5" t="s">
        <v>661</v>
      </c>
      <c r="D11" s="5" t="n">
        <v>2</v>
      </c>
      <c r="E11" s="5" t="s">
        <v>497</v>
      </c>
      <c r="F11" s="8" t="s">
        <v>503</v>
      </c>
      <c r="G11" s="5" t="s">
        <v>662</v>
      </c>
    </row>
    <row r="12" customFormat="false" ht="15" hidden="false" customHeight="true" outlineLevel="0" collapsed="false">
      <c r="A12" s="5" t="s">
        <v>663</v>
      </c>
      <c r="B12" s="5" t="s">
        <v>664</v>
      </c>
      <c r="C12" s="5" t="s">
        <v>665</v>
      </c>
      <c r="D12" s="5" t="n">
        <v>5</v>
      </c>
      <c r="E12" s="5" t="s">
        <v>497</v>
      </c>
      <c r="F12" s="8" t="s">
        <v>503</v>
      </c>
      <c r="G12" s="5" t="s">
        <v>666</v>
      </c>
    </row>
    <row r="13" customFormat="false" ht="15" hidden="false" customHeight="true" outlineLevel="0" collapsed="false">
      <c r="A13" s="5" t="s">
        <v>667</v>
      </c>
      <c r="B13" s="5" t="s">
        <v>668</v>
      </c>
      <c r="C13" s="5" t="s">
        <v>669</v>
      </c>
      <c r="D13" s="5" t="n">
        <v>3</v>
      </c>
      <c r="E13" s="5" t="s">
        <v>497</v>
      </c>
      <c r="F13" s="8" t="s">
        <v>503</v>
      </c>
      <c r="G13" s="5" t="s">
        <v>670</v>
      </c>
    </row>
    <row r="14" customFormat="false" ht="15" hidden="false" customHeight="true" outlineLevel="0" collapsed="false">
      <c r="A14" s="5" t="s">
        <v>671</v>
      </c>
      <c r="B14" s="5" t="s">
        <v>672</v>
      </c>
      <c r="C14" s="5" t="s">
        <v>673</v>
      </c>
      <c r="D14" s="5" t="n">
        <v>5</v>
      </c>
      <c r="E14" s="5" t="s">
        <v>497</v>
      </c>
      <c r="F14" s="8" t="s">
        <v>503</v>
      </c>
      <c r="G14" s="5" t="s">
        <v>674</v>
      </c>
    </row>
    <row r="15" customFormat="false" ht="15" hidden="false" customHeight="true" outlineLevel="0" collapsed="false">
      <c r="A15" s="5" t="s">
        <v>675</v>
      </c>
      <c r="B15" s="5" t="s">
        <v>676</v>
      </c>
      <c r="C15" s="5" t="s">
        <v>677</v>
      </c>
      <c r="D15" s="5" t="n">
        <v>3</v>
      </c>
      <c r="E15" s="5" t="s">
        <v>497</v>
      </c>
      <c r="F15" s="8" t="s">
        <v>503</v>
      </c>
      <c r="G15" s="5" t="s">
        <v>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16"/>
    <col collapsed="false" customWidth="true" hidden="false" outlineLevel="0" max="4" min="4" style="1" width="8"/>
    <col collapsed="false" customWidth="true" hidden="false" outlineLevel="0" max="5" min="5" style="1" width="16"/>
    <col collapsed="false" customWidth="true" hidden="false" outlineLevel="0" max="6" min="6" style="1" width="14"/>
    <col collapsed="false" customWidth="true" hidden="false" outlineLevel="0" max="7" min="7" style="1" width="60"/>
  </cols>
  <sheetData>
    <row r="1" customFormat="false" ht="17.25" hidden="false" customHeight="true" outlineLevel="0" collapsed="false">
      <c r="A1" s="2" t="s">
        <v>679</v>
      </c>
    </row>
    <row r="3" customFormat="false" ht="15" hidden="false" customHeight="true" outlineLevel="0" collapsed="false">
      <c r="A3" s="4" t="s">
        <v>123</v>
      </c>
      <c r="B3" s="4" t="s">
        <v>490</v>
      </c>
      <c r="C3" s="4" t="s">
        <v>491</v>
      </c>
      <c r="D3" s="4" t="s">
        <v>492</v>
      </c>
      <c r="E3" s="4" t="s">
        <v>493</v>
      </c>
      <c r="F3" s="4" t="s">
        <v>6</v>
      </c>
      <c r="G3" s="4" t="s">
        <v>494</v>
      </c>
    </row>
    <row r="4" customFormat="false" ht="15" hidden="false" customHeight="true" outlineLevel="0" collapsed="false">
      <c r="A4" s="5" t="s">
        <v>680</v>
      </c>
      <c r="B4" s="5" t="s">
        <v>681</v>
      </c>
      <c r="C4" s="5" t="s">
        <v>682</v>
      </c>
      <c r="D4" s="5" t="n">
        <v>13</v>
      </c>
      <c r="E4" s="5" t="s">
        <v>497</v>
      </c>
      <c r="F4" s="8" t="s">
        <v>503</v>
      </c>
      <c r="G4" s="5" t="s">
        <v>683</v>
      </c>
    </row>
    <row r="5" customFormat="false" ht="15" hidden="false" customHeight="true" outlineLevel="0" collapsed="false">
      <c r="A5" s="5" t="s">
        <v>684</v>
      </c>
      <c r="B5" s="5" t="s">
        <v>685</v>
      </c>
      <c r="C5" s="5" t="s">
        <v>686</v>
      </c>
      <c r="D5" s="5" t="n">
        <v>5</v>
      </c>
      <c r="E5" s="5" t="s">
        <v>497</v>
      </c>
      <c r="F5" s="8" t="s">
        <v>503</v>
      </c>
      <c r="G5" s="5" t="s">
        <v>687</v>
      </c>
    </row>
    <row r="6" customFormat="false" ht="15" hidden="false" customHeight="true" outlineLevel="0" collapsed="false">
      <c r="A6" s="5" t="s">
        <v>688</v>
      </c>
      <c r="B6" s="5" t="s">
        <v>689</v>
      </c>
      <c r="C6" s="5" t="s">
        <v>690</v>
      </c>
      <c r="D6" s="5" t="n">
        <v>3</v>
      </c>
      <c r="E6" s="5" t="s">
        <v>497</v>
      </c>
      <c r="F6" s="8" t="s">
        <v>503</v>
      </c>
      <c r="G6" s="5" t="s">
        <v>691</v>
      </c>
    </row>
    <row r="7" customFormat="false" ht="15" hidden="false" customHeight="true" outlineLevel="0" collapsed="false">
      <c r="A7" s="5" t="s">
        <v>692</v>
      </c>
      <c r="B7" s="5" t="s">
        <v>693</v>
      </c>
      <c r="C7" s="5" t="s">
        <v>694</v>
      </c>
      <c r="D7" s="5" t="n">
        <v>5</v>
      </c>
      <c r="E7" s="5" t="s">
        <v>497</v>
      </c>
      <c r="F7" s="8" t="s">
        <v>503</v>
      </c>
      <c r="G7" s="5" t="s">
        <v>695</v>
      </c>
    </row>
    <row r="8" customFormat="false" ht="23.25" hidden="false" customHeight="true" outlineLevel="0" collapsed="false">
      <c r="A8" s="5" t="s">
        <v>696</v>
      </c>
      <c r="B8" s="5" t="s">
        <v>697</v>
      </c>
      <c r="C8" s="5" t="s">
        <v>698</v>
      </c>
      <c r="D8" s="5" t="n">
        <v>8</v>
      </c>
      <c r="E8" s="5" t="s">
        <v>497</v>
      </c>
      <c r="F8" s="8" t="s">
        <v>503</v>
      </c>
      <c r="G8" s="5" t="s">
        <v>699</v>
      </c>
    </row>
    <row r="9" customFormat="false" ht="15" hidden="false" customHeight="true" outlineLevel="0" collapsed="false">
      <c r="A9" s="5" t="s">
        <v>700</v>
      </c>
      <c r="B9" s="5" t="s">
        <v>701</v>
      </c>
      <c r="C9" s="5" t="s">
        <v>702</v>
      </c>
      <c r="D9" s="5" t="n">
        <v>8</v>
      </c>
      <c r="E9" s="5" t="s">
        <v>497</v>
      </c>
      <c r="F9" s="8" t="s">
        <v>503</v>
      </c>
      <c r="G9" s="5" t="s">
        <v>703</v>
      </c>
    </row>
    <row r="10" customFormat="false" ht="15" hidden="false" customHeight="true" outlineLevel="0" collapsed="false">
      <c r="A10" s="5" t="s">
        <v>704</v>
      </c>
      <c r="B10" s="5" t="s">
        <v>705</v>
      </c>
      <c r="C10" s="5" t="s">
        <v>706</v>
      </c>
      <c r="D10" s="5" t="n">
        <v>5</v>
      </c>
      <c r="E10" s="5" t="s">
        <v>497</v>
      </c>
      <c r="F10" s="8" t="s">
        <v>503</v>
      </c>
      <c r="G10" s="5" t="s">
        <v>707</v>
      </c>
    </row>
    <row r="11" customFormat="false" ht="15" hidden="false" customHeight="true" outlineLevel="0" collapsed="false">
      <c r="A11" s="5" t="s">
        <v>708</v>
      </c>
      <c r="B11" s="5" t="s">
        <v>709</v>
      </c>
      <c r="C11" s="5" t="s">
        <v>710</v>
      </c>
      <c r="D11" s="5" t="n">
        <v>5</v>
      </c>
      <c r="E11" s="5" t="s">
        <v>497</v>
      </c>
      <c r="F11" s="8" t="s">
        <v>503</v>
      </c>
      <c r="G11" s="5" t="s">
        <v>711</v>
      </c>
    </row>
    <row r="12" customFormat="false" ht="15" hidden="false" customHeight="true" outlineLevel="0" collapsed="false">
      <c r="A12" s="5" t="s">
        <v>712</v>
      </c>
      <c r="B12" s="5" t="s">
        <v>713</v>
      </c>
      <c r="C12" s="5" t="s">
        <v>714</v>
      </c>
      <c r="D12" s="5" t="n">
        <v>8</v>
      </c>
      <c r="E12" s="5" t="s">
        <v>497</v>
      </c>
      <c r="F12" s="8" t="s">
        <v>503</v>
      </c>
      <c r="G12" s="5" t="s">
        <v>715</v>
      </c>
    </row>
    <row r="13" customFormat="false" ht="15" hidden="false" customHeight="true" outlineLevel="0" collapsed="false">
      <c r="A13" s="5" t="s">
        <v>716</v>
      </c>
      <c r="B13" s="5" t="s">
        <v>717</v>
      </c>
      <c r="C13" s="5" t="s">
        <v>718</v>
      </c>
      <c r="D13" s="5" t="n">
        <v>2</v>
      </c>
      <c r="E13" s="5" t="s">
        <v>520</v>
      </c>
      <c r="F13" s="5" t="s">
        <v>521</v>
      </c>
      <c r="G13" s="5" t="s">
        <v>719</v>
      </c>
    </row>
    <row r="14" customFormat="false" ht="15" hidden="false" customHeight="true" outlineLevel="0" collapsed="false">
      <c r="A14" s="5" t="s">
        <v>720</v>
      </c>
      <c r="B14" s="5" t="s">
        <v>721</v>
      </c>
      <c r="C14" s="5" t="s">
        <v>722</v>
      </c>
      <c r="D14" s="5" t="n">
        <v>2</v>
      </c>
      <c r="E14" s="5" t="s">
        <v>458</v>
      </c>
      <c r="F14" s="5" t="s">
        <v>521</v>
      </c>
      <c r="G14" s="5" t="s">
        <v>723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14"/>
    <col collapsed="false" customWidth="true" hidden="false" outlineLevel="0" max="4" min="4" style="1" width="8"/>
    <col collapsed="false" customWidth="true" hidden="false" outlineLevel="0" max="5" min="5" style="1" width="18"/>
    <col collapsed="false" customWidth="true" hidden="false" outlineLevel="0" max="6" min="6" style="1" width="14"/>
    <col collapsed="false" customWidth="true" hidden="false" outlineLevel="0" max="7" min="7" style="1" width="62"/>
  </cols>
  <sheetData>
    <row r="1" customFormat="false" ht="17.25" hidden="false" customHeight="true" outlineLevel="0" collapsed="false">
      <c r="A1" s="2" t="s">
        <v>724</v>
      </c>
    </row>
    <row r="3" customFormat="false" ht="15" hidden="false" customHeight="true" outlineLevel="0" collapsed="false">
      <c r="A3" s="4" t="s">
        <v>123</v>
      </c>
      <c r="B3" s="4" t="s">
        <v>490</v>
      </c>
      <c r="C3" s="4" t="s">
        <v>491</v>
      </c>
      <c r="D3" s="4" t="s">
        <v>492</v>
      </c>
      <c r="E3" s="4" t="s">
        <v>493</v>
      </c>
      <c r="F3" s="4" t="s">
        <v>6</v>
      </c>
      <c r="G3" s="4" t="s">
        <v>494</v>
      </c>
    </row>
    <row r="4" customFormat="false" ht="23.25" hidden="false" customHeight="true" outlineLevel="0" collapsed="false">
      <c r="A4" s="5" t="s">
        <v>725</v>
      </c>
      <c r="B4" s="5" t="s">
        <v>726</v>
      </c>
      <c r="C4" s="5" t="s">
        <v>727</v>
      </c>
      <c r="D4" s="5" t="n">
        <v>3</v>
      </c>
      <c r="E4" s="5" t="s">
        <v>497</v>
      </c>
      <c r="F4" s="8" t="s">
        <v>503</v>
      </c>
      <c r="G4" s="5" t="s">
        <v>728</v>
      </c>
    </row>
    <row r="5" customFormat="false" ht="15" hidden="false" customHeight="true" outlineLevel="0" collapsed="false">
      <c r="A5" s="5" t="s">
        <v>729</v>
      </c>
      <c r="B5" s="5" t="s">
        <v>730</v>
      </c>
      <c r="C5" s="5" t="s">
        <v>731</v>
      </c>
      <c r="D5" s="5" t="n">
        <v>3</v>
      </c>
      <c r="E5" s="5" t="s">
        <v>497</v>
      </c>
      <c r="F5" s="8" t="s">
        <v>503</v>
      </c>
      <c r="G5" s="5" t="s">
        <v>732</v>
      </c>
    </row>
    <row r="6" customFormat="false" ht="15" hidden="false" customHeight="true" outlineLevel="0" collapsed="false">
      <c r="A6" s="5" t="s">
        <v>733</v>
      </c>
      <c r="B6" s="5" t="s">
        <v>734</v>
      </c>
      <c r="C6" s="5" t="s">
        <v>735</v>
      </c>
      <c r="D6" s="5" t="n">
        <v>3</v>
      </c>
      <c r="E6" s="5" t="s">
        <v>497</v>
      </c>
      <c r="F6" s="8" t="s">
        <v>503</v>
      </c>
      <c r="G6" s="5" t="s">
        <v>736</v>
      </c>
    </row>
    <row r="7" customFormat="false" ht="15" hidden="false" customHeight="true" outlineLevel="0" collapsed="false">
      <c r="A7" s="5" t="s">
        <v>737</v>
      </c>
      <c r="B7" s="5" t="s">
        <v>738</v>
      </c>
      <c r="C7" s="5" t="s">
        <v>739</v>
      </c>
      <c r="D7" s="5" t="n">
        <v>3</v>
      </c>
      <c r="E7" s="5" t="s">
        <v>497</v>
      </c>
      <c r="F7" s="8" t="s">
        <v>503</v>
      </c>
      <c r="G7" s="5" t="s">
        <v>740</v>
      </c>
    </row>
    <row r="8" customFormat="false" ht="23.25" hidden="false" customHeight="true" outlineLevel="0" collapsed="false">
      <c r="A8" s="5" t="s">
        <v>741</v>
      </c>
      <c r="B8" s="5" t="s">
        <v>742</v>
      </c>
      <c r="C8" s="5" t="s">
        <v>743</v>
      </c>
      <c r="D8" s="5" t="n">
        <v>3</v>
      </c>
      <c r="E8" s="5" t="s">
        <v>497</v>
      </c>
      <c r="F8" s="8" t="s">
        <v>503</v>
      </c>
      <c r="G8" s="5" t="s">
        <v>744</v>
      </c>
    </row>
    <row r="9" customFormat="false" ht="15" hidden="false" customHeight="true" outlineLevel="0" collapsed="false">
      <c r="A9" s="5" t="s">
        <v>745</v>
      </c>
      <c r="B9" s="5" t="s">
        <v>746</v>
      </c>
      <c r="C9" s="5" t="s">
        <v>747</v>
      </c>
      <c r="D9" s="5" t="n">
        <v>0</v>
      </c>
      <c r="E9" s="5" t="s">
        <v>458</v>
      </c>
      <c r="F9" s="5" t="s">
        <v>521</v>
      </c>
      <c r="G9" s="5" t="s">
        <v>748</v>
      </c>
    </row>
    <row r="10" customFormat="false" ht="15" hidden="false" customHeight="true" outlineLevel="0" collapsed="false">
      <c r="A10" s="5" t="s">
        <v>749</v>
      </c>
      <c r="B10" s="5" t="s">
        <v>750</v>
      </c>
      <c r="C10" s="5" t="s">
        <v>751</v>
      </c>
      <c r="D10" s="5" t="n">
        <v>0</v>
      </c>
      <c r="E10" s="5" t="s">
        <v>520</v>
      </c>
      <c r="F10" s="5" t="s">
        <v>521</v>
      </c>
      <c r="G10" s="5" t="s">
        <v>752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8"/>
    <col collapsed="false" customWidth="true" hidden="false" outlineLevel="0" max="3" min="3" style="1" width="16"/>
    <col collapsed="false" customWidth="true" hidden="false" outlineLevel="0" max="4" min="4" style="1" width="8"/>
    <col collapsed="false" customWidth="true" hidden="false" outlineLevel="0" max="5" min="5" style="1" width="16"/>
    <col collapsed="false" customWidth="true" hidden="false" outlineLevel="0" max="6" min="6" style="1" width="14"/>
    <col collapsed="false" customWidth="true" hidden="false" outlineLevel="0" max="7" min="7" style="1" width="58"/>
  </cols>
  <sheetData>
    <row r="1" customFormat="false" ht="17.25" hidden="false" customHeight="true" outlineLevel="0" collapsed="false">
      <c r="A1" s="2" t="s">
        <v>753</v>
      </c>
    </row>
    <row r="3" customFormat="false" ht="15" hidden="false" customHeight="true" outlineLevel="0" collapsed="false">
      <c r="A3" s="4" t="s">
        <v>123</v>
      </c>
      <c r="B3" s="4" t="s">
        <v>490</v>
      </c>
      <c r="C3" s="4" t="s">
        <v>491</v>
      </c>
      <c r="D3" s="4" t="s">
        <v>492</v>
      </c>
      <c r="E3" s="4" t="s">
        <v>493</v>
      </c>
      <c r="F3" s="4" t="s">
        <v>6</v>
      </c>
      <c r="G3" s="4" t="s">
        <v>494</v>
      </c>
    </row>
    <row r="4" customFormat="false" ht="23.25" hidden="false" customHeight="true" outlineLevel="0" collapsed="false">
      <c r="A4" s="5" t="s">
        <v>754</v>
      </c>
      <c r="B4" s="5" t="s">
        <v>755</v>
      </c>
      <c r="C4" s="5" t="s">
        <v>756</v>
      </c>
      <c r="D4" s="5" t="n">
        <v>13</v>
      </c>
      <c r="E4" s="5" t="s">
        <v>497</v>
      </c>
      <c r="F4" s="8" t="s">
        <v>503</v>
      </c>
      <c r="G4" s="5" t="s">
        <v>757</v>
      </c>
    </row>
    <row r="5" customFormat="false" ht="15" hidden="false" customHeight="true" outlineLevel="0" collapsed="false">
      <c r="A5" s="5" t="s">
        <v>758</v>
      </c>
      <c r="B5" s="5" t="s">
        <v>759</v>
      </c>
      <c r="C5" s="5" t="s">
        <v>760</v>
      </c>
      <c r="D5" s="5" t="n">
        <v>8</v>
      </c>
      <c r="E5" s="5" t="s">
        <v>497</v>
      </c>
      <c r="F5" s="8" t="s">
        <v>503</v>
      </c>
      <c r="G5" s="5" t="s">
        <v>761</v>
      </c>
    </row>
    <row r="6" customFormat="false" ht="15" hidden="false" customHeight="true" outlineLevel="0" collapsed="false">
      <c r="A6" s="5" t="s">
        <v>762</v>
      </c>
      <c r="B6" s="5" t="s">
        <v>763</v>
      </c>
      <c r="C6" s="5" t="s">
        <v>764</v>
      </c>
      <c r="D6" s="5" t="n">
        <v>13</v>
      </c>
      <c r="E6" s="5" t="s">
        <v>497</v>
      </c>
      <c r="F6" s="8" t="s">
        <v>503</v>
      </c>
      <c r="G6" s="5" t="s">
        <v>765</v>
      </c>
    </row>
    <row r="7" customFormat="false" ht="15" hidden="false" customHeight="true" outlineLevel="0" collapsed="false">
      <c r="A7" s="5" t="s">
        <v>766</v>
      </c>
      <c r="B7" s="5" t="s">
        <v>767</v>
      </c>
      <c r="C7" s="5" t="s">
        <v>768</v>
      </c>
      <c r="D7" s="5" t="n">
        <v>8</v>
      </c>
      <c r="E7" s="5" t="s">
        <v>497</v>
      </c>
      <c r="F7" s="8" t="s">
        <v>503</v>
      </c>
      <c r="G7" s="5" t="s">
        <v>769</v>
      </c>
    </row>
    <row r="8" customFormat="false" ht="15" hidden="false" customHeight="true" outlineLevel="0" collapsed="false">
      <c r="A8" s="5" t="s">
        <v>770</v>
      </c>
      <c r="B8" s="5" t="s">
        <v>771</v>
      </c>
      <c r="C8" s="5" t="s">
        <v>772</v>
      </c>
      <c r="D8" s="5" t="n">
        <v>3</v>
      </c>
      <c r="E8" s="5" t="s">
        <v>497</v>
      </c>
      <c r="F8" s="8" t="s">
        <v>503</v>
      </c>
      <c r="G8" s="5" t="s">
        <v>773</v>
      </c>
    </row>
    <row r="9" customFormat="false" ht="15" hidden="false" customHeight="true" outlineLevel="0" collapsed="false">
      <c r="A9" s="5" t="s">
        <v>774</v>
      </c>
      <c r="B9" s="5" t="s">
        <v>775</v>
      </c>
      <c r="C9" s="5" t="s">
        <v>776</v>
      </c>
      <c r="D9" s="5" t="n">
        <v>5</v>
      </c>
      <c r="E9" s="5" t="s">
        <v>497</v>
      </c>
      <c r="F9" s="8" t="s">
        <v>503</v>
      </c>
      <c r="G9" s="5" t="s">
        <v>777</v>
      </c>
    </row>
    <row r="10" customFormat="false" ht="15" hidden="false" customHeight="true" outlineLevel="0" collapsed="false">
      <c r="A10" s="5" t="s">
        <v>778</v>
      </c>
      <c r="B10" s="5" t="s">
        <v>779</v>
      </c>
      <c r="C10" s="5" t="s">
        <v>780</v>
      </c>
      <c r="D10" s="5" t="n">
        <v>5</v>
      </c>
      <c r="E10" s="5" t="s">
        <v>497</v>
      </c>
      <c r="F10" s="8" t="s">
        <v>503</v>
      </c>
      <c r="G10" s="5" t="s">
        <v>781</v>
      </c>
    </row>
    <row r="11" customFormat="false" ht="15" hidden="false" customHeight="true" outlineLevel="0" collapsed="false">
      <c r="A11" s="5" t="s">
        <v>782</v>
      </c>
      <c r="B11" s="5" t="s">
        <v>783</v>
      </c>
      <c r="C11" s="5" t="s">
        <v>784</v>
      </c>
      <c r="D11" s="5" t="n">
        <v>5</v>
      </c>
      <c r="E11" s="5" t="s">
        <v>497</v>
      </c>
      <c r="F11" s="8" t="s">
        <v>503</v>
      </c>
      <c r="G11" s="5" t="s">
        <v>785</v>
      </c>
    </row>
    <row r="12" customFormat="false" ht="15" hidden="false" customHeight="true" outlineLevel="0" collapsed="false">
      <c r="A12" s="5" t="s">
        <v>786</v>
      </c>
      <c r="B12" s="5" t="s">
        <v>787</v>
      </c>
      <c r="C12" s="5" t="s">
        <v>788</v>
      </c>
      <c r="D12" s="5" t="n">
        <v>16</v>
      </c>
      <c r="E12" s="5" t="s">
        <v>497</v>
      </c>
      <c r="F12" s="8" t="s">
        <v>503</v>
      </c>
      <c r="G12" s="5" t="s">
        <v>789</v>
      </c>
    </row>
    <row r="13" customFormat="false" ht="15" hidden="false" customHeight="true" outlineLevel="0" collapsed="false">
      <c r="A13" s="5" t="s">
        <v>790</v>
      </c>
      <c r="B13" s="5" t="s">
        <v>791</v>
      </c>
      <c r="C13" s="5" t="s">
        <v>792</v>
      </c>
      <c r="D13" s="5" t="n">
        <v>3</v>
      </c>
      <c r="E13" s="5" t="s">
        <v>497</v>
      </c>
      <c r="F13" s="8" t="s">
        <v>503</v>
      </c>
      <c r="G13" s="5" t="s">
        <v>793</v>
      </c>
    </row>
    <row r="14" customFormat="false" ht="15" hidden="false" customHeight="true" outlineLevel="0" collapsed="false">
      <c r="A14" s="5" t="s">
        <v>794</v>
      </c>
      <c r="B14" s="5" t="s">
        <v>795</v>
      </c>
      <c r="C14" s="5" t="s">
        <v>796</v>
      </c>
      <c r="D14" s="5" t="n">
        <v>5</v>
      </c>
      <c r="E14" s="5" t="s">
        <v>497</v>
      </c>
      <c r="F14" s="8" t="s">
        <v>503</v>
      </c>
      <c r="G14" s="5" t="s">
        <v>797</v>
      </c>
    </row>
    <row r="15" customFormat="false" ht="15" hidden="false" customHeight="true" outlineLevel="0" collapsed="false">
      <c r="A15" s="5" t="s">
        <v>798</v>
      </c>
      <c r="B15" s="5" t="s">
        <v>799</v>
      </c>
      <c r="C15" s="5" t="s">
        <v>800</v>
      </c>
      <c r="D15" s="5" t="n">
        <v>3</v>
      </c>
      <c r="E15" s="5" t="s">
        <v>497</v>
      </c>
      <c r="F15" s="8" t="s">
        <v>503</v>
      </c>
      <c r="G15" s="5" t="s">
        <v>801</v>
      </c>
    </row>
    <row r="16" customFormat="false" ht="15" hidden="false" customHeight="true" outlineLevel="0" collapsed="false">
      <c r="A16" s="5" t="s">
        <v>802</v>
      </c>
      <c r="B16" s="5" t="s">
        <v>803</v>
      </c>
      <c r="C16" s="5" t="s">
        <v>804</v>
      </c>
      <c r="D16" s="5" t="n">
        <v>0</v>
      </c>
      <c r="E16" s="5" t="s">
        <v>458</v>
      </c>
      <c r="F16" s="5" t="s">
        <v>521</v>
      </c>
      <c r="G16" s="5" t="s">
        <v>805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6"/>
    <col collapsed="false" customWidth="true" hidden="false" outlineLevel="0" max="3" min="3" style="1" width="14"/>
    <col collapsed="false" customWidth="true" hidden="false" outlineLevel="0" max="4" min="4" style="1" width="8"/>
    <col collapsed="false" customWidth="true" hidden="false" outlineLevel="0" max="5" min="5" style="1" width="18"/>
    <col collapsed="false" customWidth="true" hidden="false" outlineLevel="0" max="6" min="6" style="1" width="14"/>
    <col collapsed="false" customWidth="true" hidden="false" outlineLevel="0" max="7" min="7" style="1" width="62"/>
  </cols>
  <sheetData>
    <row r="1" customFormat="false" ht="17.25" hidden="false" customHeight="true" outlineLevel="0" collapsed="false">
      <c r="A1" s="2" t="s">
        <v>806</v>
      </c>
    </row>
    <row r="3" customFormat="false" ht="15" hidden="false" customHeight="true" outlineLevel="0" collapsed="false">
      <c r="A3" s="4" t="s">
        <v>123</v>
      </c>
      <c r="B3" s="4" t="s">
        <v>490</v>
      </c>
      <c r="C3" s="4" t="s">
        <v>491</v>
      </c>
      <c r="D3" s="4" t="s">
        <v>492</v>
      </c>
      <c r="E3" s="4" t="s">
        <v>493</v>
      </c>
      <c r="F3" s="4" t="s">
        <v>6</v>
      </c>
      <c r="G3" s="4" t="s">
        <v>494</v>
      </c>
    </row>
    <row r="4" customFormat="false" ht="15" hidden="false" customHeight="true" outlineLevel="0" collapsed="false">
      <c r="A4" s="5" t="s">
        <v>807</v>
      </c>
      <c r="B4" s="5" t="s">
        <v>808</v>
      </c>
      <c r="C4" s="5" t="s">
        <v>809</v>
      </c>
      <c r="D4" s="5" t="n">
        <v>4</v>
      </c>
      <c r="E4" s="5" t="s">
        <v>497</v>
      </c>
      <c r="F4" s="8" t="s">
        <v>503</v>
      </c>
      <c r="G4" s="5" t="s">
        <v>810</v>
      </c>
    </row>
    <row r="5" customFormat="false" ht="23.25" hidden="false" customHeight="true" outlineLevel="0" collapsed="false">
      <c r="A5" s="5" t="s">
        <v>811</v>
      </c>
      <c r="B5" s="5" t="s">
        <v>812</v>
      </c>
      <c r="C5" s="5" t="s">
        <v>809</v>
      </c>
      <c r="D5" s="5" t="n">
        <v>4</v>
      </c>
      <c r="E5" s="5" t="s">
        <v>458</v>
      </c>
      <c r="F5" s="5" t="s">
        <v>521</v>
      </c>
      <c r="G5" s="5" t="s">
        <v>813</v>
      </c>
    </row>
    <row r="6" customFormat="false" ht="15" hidden="false" customHeight="true" outlineLevel="0" collapsed="false">
      <c r="A6" s="5" t="s">
        <v>814</v>
      </c>
      <c r="B6" s="5" t="s">
        <v>815</v>
      </c>
      <c r="C6" s="5" t="s">
        <v>816</v>
      </c>
      <c r="D6" s="5" t="n">
        <v>3</v>
      </c>
      <c r="E6" s="5" t="s">
        <v>497</v>
      </c>
      <c r="F6" s="8" t="s">
        <v>503</v>
      </c>
      <c r="G6" s="5" t="s">
        <v>817</v>
      </c>
    </row>
    <row r="7" customFormat="false" ht="15" hidden="false" customHeight="true" outlineLevel="0" collapsed="false">
      <c r="A7" s="5" t="s">
        <v>818</v>
      </c>
      <c r="B7" s="5" t="s">
        <v>819</v>
      </c>
      <c r="C7" s="5" t="s">
        <v>816</v>
      </c>
      <c r="D7" s="5" t="n">
        <v>2</v>
      </c>
      <c r="E7" s="5" t="s">
        <v>497</v>
      </c>
      <c r="F7" s="8" t="s">
        <v>503</v>
      </c>
      <c r="G7" s="5" t="s">
        <v>820</v>
      </c>
    </row>
    <row r="8" customFormat="false" ht="15" hidden="false" customHeight="true" outlineLevel="0" collapsed="false">
      <c r="A8" s="5" t="s">
        <v>821</v>
      </c>
      <c r="B8" s="5" t="s">
        <v>822</v>
      </c>
      <c r="C8" s="5" t="s">
        <v>823</v>
      </c>
      <c r="D8" s="5" t="n">
        <v>3</v>
      </c>
      <c r="E8" s="5" t="s">
        <v>497</v>
      </c>
      <c r="F8" s="8" t="s">
        <v>503</v>
      </c>
      <c r="G8" s="5" t="s">
        <v>824</v>
      </c>
    </row>
    <row r="9" customFormat="false" ht="15" hidden="false" customHeight="true" outlineLevel="0" collapsed="false">
      <c r="A9" s="5" t="s">
        <v>825</v>
      </c>
      <c r="B9" s="5" t="s">
        <v>826</v>
      </c>
      <c r="C9" s="5" t="s">
        <v>827</v>
      </c>
      <c r="D9" s="5" t="n">
        <v>3</v>
      </c>
      <c r="E9" s="5" t="s">
        <v>497</v>
      </c>
      <c r="F9" s="8" t="s">
        <v>503</v>
      </c>
      <c r="G9" s="5" t="s">
        <v>828</v>
      </c>
    </row>
    <row r="10" customFormat="false" ht="15" hidden="false" customHeight="true" outlineLevel="0" collapsed="false">
      <c r="A10" s="5" t="s">
        <v>829</v>
      </c>
      <c r="B10" s="5" t="s">
        <v>830</v>
      </c>
      <c r="C10" s="5" t="s">
        <v>831</v>
      </c>
      <c r="D10" s="5" t="n">
        <v>3</v>
      </c>
      <c r="E10" s="5" t="s">
        <v>497</v>
      </c>
      <c r="F10" s="8" t="s">
        <v>503</v>
      </c>
      <c r="G10" s="5" t="s">
        <v>832</v>
      </c>
    </row>
    <row r="11" customFormat="false" ht="15" hidden="false" customHeight="true" outlineLevel="0" collapsed="false">
      <c r="A11" s="5" t="s">
        <v>833</v>
      </c>
      <c r="B11" s="5" t="s">
        <v>834</v>
      </c>
      <c r="C11" s="5" t="s">
        <v>835</v>
      </c>
      <c r="D11" s="5" t="n">
        <v>3</v>
      </c>
      <c r="E11" s="5" t="s">
        <v>497</v>
      </c>
      <c r="F11" s="8" t="s">
        <v>503</v>
      </c>
      <c r="G11" s="5" t="s">
        <v>836</v>
      </c>
    </row>
    <row r="12" customFormat="false" ht="23.25" hidden="false" customHeight="true" outlineLevel="0" collapsed="false">
      <c r="A12" s="5" t="s">
        <v>837</v>
      </c>
      <c r="B12" s="5" t="s">
        <v>838</v>
      </c>
      <c r="C12" s="5" t="s">
        <v>839</v>
      </c>
      <c r="D12" s="5" t="n">
        <v>5</v>
      </c>
      <c r="E12" s="5" t="s">
        <v>497</v>
      </c>
      <c r="F12" s="8" t="s">
        <v>503</v>
      </c>
      <c r="G12" s="5" t="s">
        <v>840</v>
      </c>
    </row>
    <row r="13" customFormat="false" ht="15" hidden="false" customHeight="true" outlineLevel="0" collapsed="false">
      <c r="A13" s="5" t="s">
        <v>841</v>
      </c>
      <c r="B13" s="5" t="s">
        <v>842</v>
      </c>
      <c r="C13" s="5" t="s">
        <v>843</v>
      </c>
      <c r="D13" s="5" t="n">
        <v>0</v>
      </c>
      <c r="E13" s="5" t="s">
        <v>520</v>
      </c>
      <c r="F13" s="5" t="s">
        <v>521</v>
      </c>
      <c r="G13" s="5" t="s">
        <v>844</v>
      </c>
    </row>
    <row r="14" customFormat="false" ht="15" hidden="false" customHeight="true" outlineLevel="0" collapsed="false">
      <c r="A14" s="5" t="s">
        <v>845</v>
      </c>
      <c r="B14" s="5" t="s">
        <v>846</v>
      </c>
      <c r="C14" s="5" t="s">
        <v>847</v>
      </c>
      <c r="D14" s="5" t="n">
        <v>0</v>
      </c>
      <c r="E14" s="5" t="s">
        <v>458</v>
      </c>
      <c r="F14" s="5" t="s">
        <v>521</v>
      </c>
      <c r="G14" s="5" t="s">
        <v>848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58"/>
    <col collapsed="false" customWidth="true" hidden="false" outlineLevel="0" max="3" min="3" style="1" width="14"/>
    <col collapsed="false" customWidth="true" hidden="false" outlineLevel="0" max="4" min="4" style="1" width="8"/>
    <col collapsed="false" customWidth="true" hidden="false" outlineLevel="0" max="5" min="5" style="1" width="18"/>
    <col collapsed="false" customWidth="true" hidden="false" outlineLevel="0" max="6" min="6" style="1" width="14"/>
    <col collapsed="false" customWidth="true" hidden="false" outlineLevel="0" max="7" min="7" style="1" width="58"/>
  </cols>
  <sheetData>
    <row r="1" customFormat="false" ht="17.25" hidden="false" customHeight="true" outlineLevel="0" collapsed="false">
      <c r="A1" s="2" t="s">
        <v>849</v>
      </c>
    </row>
    <row r="3" customFormat="false" ht="15" hidden="false" customHeight="true" outlineLevel="0" collapsed="false">
      <c r="A3" s="4" t="s">
        <v>123</v>
      </c>
      <c r="B3" s="4" t="s">
        <v>490</v>
      </c>
      <c r="C3" s="4" t="s">
        <v>491</v>
      </c>
      <c r="D3" s="4" t="s">
        <v>492</v>
      </c>
      <c r="E3" s="4" t="s">
        <v>493</v>
      </c>
      <c r="F3" s="4" t="s">
        <v>6</v>
      </c>
      <c r="G3" s="4" t="s">
        <v>494</v>
      </c>
    </row>
    <row r="4" customFormat="false" ht="15" hidden="false" customHeight="true" outlineLevel="0" collapsed="false">
      <c r="A4" s="5" t="s">
        <v>850</v>
      </c>
      <c r="B4" s="5" t="s">
        <v>851</v>
      </c>
      <c r="C4" s="5" t="s">
        <v>273</v>
      </c>
      <c r="D4" s="5" t="n">
        <v>5</v>
      </c>
      <c r="E4" s="5" t="s">
        <v>497</v>
      </c>
      <c r="F4" s="8" t="s">
        <v>503</v>
      </c>
      <c r="G4" s="5" t="s">
        <v>852</v>
      </c>
    </row>
    <row r="5" customFormat="false" ht="15" hidden="false" customHeight="true" outlineLevel="0" collapsed="false">
      <c r="A5" s="5" t="s">
        <v>853</v>
      </c>
      <c r="B5" s="5" t="s">
        <v>854</v>
      </c>
      <c r="C5" s="5" t="s">
        <v>855</v>
      </c>
      <c r="D5" s="5" t="n">
        <v>3</v>
      </c>
      <c r="E5" s="5" t="s">
        <v>497</v>
      </c>
      <c r="F5" s="8" t="s">
        <v>503</v>
      </c>
      <c r="G5" s="5" t="s">
        <v>856</v>
      </c>
    </row>
    <row r="6" customFormat="false" ht="15" hidden="false" customHeight="true" outlineLevel="0" collapsed="false">
      <c r="A6" s="5" t="s">
        <v>857</v>
      </c>
      <c r="B6" s="5" t="s">
        <v>858</v>
      </c>
      <c r="C6" s="5" t="s">
        <v>859</v>
      </c>
      <c r="D6" s="5" t="n">
        <v>0</v>
      </c>
      <c r="E6" s="5" t="s">
        <v>458</v>
      </c>
      <c r="F6" s="5" t="s">
        <v>521</v>
      </c>
      <c r="G6" s="5" t="s">
        <v>860</v>
      </c>
    </row>
    <row r="7" customFormat="false" ht="15" hidden="false" customHeight="true" outlineLevel="0" collapsed="false">
      <c r="A7" s="5" t="s">
        <v>861</v>
      </c>
      <c r="B7" s="5" t="s">
        <v>862</v>
      </c>
      <c r="C7" s="5" t="s">
        <v>863</v>
      </c>
      <c r="D7" s="5" t="n">
        <v>3</v>
      </c>
      <c r="E7" s="5" t="s">
        <v>497</v>
      </c>
      <c r="F7" s="8" t="s">
        <v>503</v>
      </c>
      <c r="G7" s="5" t="s">
        <v>864</v>
      </c>
    </row>
    <row r="8" customFormat="false" ht="15" hidden="false" customHeight="true" outlineLevel="0" collapsed="false">
      <c r="A8" s="5" t="s">
        <v>865</v>
      </c>
      <c r="B8" s="5" t="s">
        <v>866</v>
      </c>
      <c r="C8" s="5" t="s">
        <v>863</v>
      </c>
      <c r="D8" s="5" t="n">
        <v>2</v>
      </c>
      <c r="E8" s="5" t="s">
        <v>520</v>
      </c>
      <c r="F8" s="5" t="s">
        <v>521</v>
      </c>
      <c r="G8" s="5" t="s">
        <v>867</v>
      </c>
    </row>
    <row r="9" customFormat="false" ht="15" hidden="false" customHeight="true" outlineLevel="0" collapsed="false">
      <c r="A9" s="5" t="s">
        <v>868</v>
      </c>
      <c r="B9" s="5" t="s">
        <v>869</v>
      </c>
      <c r="C9" s="5" t="s">
        <v>870</v>
      </c>
      <c r="D9" s="5" t="n">
        <v>2</v>
      </c>
      <c r="E9" s="5" t="s">
        <v>497</v>
      </c>
      <c r="F9" s="8" t="s">
        <v>503</v>
      </c>
      <c r="G9" s="5" t="s">
        <v>871</v>
      </c>
    </row>
    <row r="10" customFormat="false" ht="15" hidden="false" customHeight="true" outlineLevel="0" collapsed="false">
      <c r="A10" s="5" t="s">
        <v>872</v>
      </c>
      <c r="B10" s="5" t="s">
        <v>873</v>
      </c>
      <c r="C10" s="5" t="s">
        <v>874</v>
      </c>
      <c r="D10" s="5" t="n">
        <v>0</v>
      </c>
      <c r="E10" s="5" t="s">
        <v>458</v>
      </c>
      <c r="F10" s="5" t="s">
        <v>521</v>
      </c>
      <c r="G10" s="5" t="s">
        <v>875</v>
      </c>
    </row>
    <row r="11" customFormat="false" ht="15" hidden="false" customHeight="true" outlineLevel="0" collapsed="false">
      <c r="A11" s="5" t="s">
        <v>876</v>
      </c>
      <c r="B11" s="5" t="s">
        <v>877</v>
      </c>
      <c r="C11" s="5" t="s">
        <v>878</v>
      </c>
      <c r="D11" s="5" t="n">
        <v>3</v>
      </c>
      <c r="E11" s="5" t="s">
        <v>497</v>
      </c>
      <c r="F11" s="8" t="s">
        <v>503</v>
      </c>
      <c r="G11" s="5" t="s">
        <v>879</v>
      </c>
    </row>
    <row r="12" customFormat="false" ht="15" hidden="false" customHeight="true" outlineLevel="0" collapsed="false">
      <c r="A12" s="5" t="s">
        <v>880</v>
      </c>
      <c r="B12" s="5" t="s">
        <v>881</v>
      </c>
      <c r="C12" s="5" t="s">
        <v>882</v>
      </c>
      <c r="D12" s="5" t="n">
        <v>3</v>
      </c>
      <c r="E12" s="5" t="s">
        <v>497</v>
      </c>
      <c r="F12" s="8" t="s">
        <v>503</v>
      </c>
      <c r="G12" s="5" t="s">
        <v>883</v>
      </c>
    </row>
    <row r="13" customFormat="false" ht="15" hidden="false" customHeight="true" outlineLevel="0" collapsed="false">
      <c r="A13" s="5" t="s">
        <v>884</v>
      </c>
      <c r="B13" s="5" t="s">
        <v>885</v>
      </c>
      <c r="C13" s="5" t="s">
        <v>886</v>
      </c>
      <c r="D13" s="5" t="n">
        <v>0</v>
      </c>
      <c r="E13" s="5" t="s">
        <v>458</v>
      </c>
      <c r="F13" s="5" t="s">
        <v>521</v>
      </c>
      <c r="G13" s="5" t="s">
        <v>887</v>
      </c>
    </row>
    <row r="14" customFormat="false" ht="15" hidden="false" customHeight="true" outlineLevel="0" collapsed="false">
      <c r="A14" s="5" t="s">
        <v>888</v>
      </c>
      <c r="B14" s="5" t="s">
        <v>889</v>
      </c>
      <c r="C14" s="5" t="s">
        <v>890</v>
      </c>
      <c r="D14" s="5" t="n">
        <v>3</v>
      </c>
      <c r="E14" s="5" t="s">
        <v>497</v>
      </c>
      <c r="F14" s="8" t="s">
        <v>503</v>
      </c>
      <c r="G14" s="5" t="s">
        <v>891</v>
      </c>
    </row>
    <row r="15" customFormat="false" ht="15" hidden="false" customHeight="true" outlineLevel="0" collapsed="false">
      <c r="A15" s="5" t="s">
        <v>892</v>
      </c>
      <c r="B15" s="5" t="s">
        <v>893</v>
      </c>
      <c r="C15" s="5" t="s">
        <v>894</v>
      </c>
      <c r="D15" s="5" t="n">
        <v>0</v>
      </c>
      <c r="E15" s="5" t="s">
        <v>458</v>
      </c>
      <c r="F15" s="5" t="s">
        <v>521</v>
      </c>
      <c r="G15" s="5" t="s">
        <v>895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58"/>
    <col collapsed="false" customWidth="true" hidden="false" outlineLevel="0" max="3" min="3" style="1" width="14"/>
    <col collapsed="false" customWidth="true" hidden="false" outlineLevel="0" max="4" min="4" style="1" width="8"/>
    <col collapsed="false" customWidth="true" hidden="false" outlineLevel="0" max="5" min="5" style="1" width="18"/>
    <col collapsed="false" customWidth="true" hidden="false" outlineLevel="0" max="6" min="6" style="1" width="14"/>
    <col collapsed="false" customWidth="true" hidden="false" outlineLevel="0" max="7" min="7" style="1" width="60"/>
  </cols>
  <sheetData>
    <row r="1" customFormat="false" ht="17.25" hidden="false" customHeight="true" outlineLevel="0" collapsed="false">
      <c r="A1" s="2" t="s">
        <v>896</v>
      </c>
    </row>
    <row r="3" customFormat="false" ht="15" hidden="false" customHeight="true" outlineLevel="0" collapsed="false">
      <c r="A3" s="4" t="s">
        <v>123</v>
      </c>
      <c r="B3" s="4" t="s">
        <v>490</v>
      </c>
      <c r="C3" s="4" t="s">
        <v>491</v>
      </c>
      <c r="D3" s="4" t="s">
        <v>492</v>
      </c>
      <c r="E3" s="4" t="s">
        <v>493</v>
      </c>
      <c r="F3" s="4" t="s">
        <v>6</v>
      </c>
      <c r="G3" s="4" t="s">
        <v>494</v>
      </c>
    </row>
    <row r="4" customFormat="false" ht="15" hidden="false" customHeight="true" outlineLevel="0" collapsed="false">
      <c r="A4" s="5" t="s">
        <v>897</v>
      </c>
      <c r="B4" s="5" t="s">
        <v>898</v>
      </c>
      <c r="C4" s="5" t="s">
        <v>293</v>
      </c>
      <c r="D4" s="5" t="n">
        <v>3</v>
      </c>
      <c r="E4" s="5" t="s">
        <v>497</v>
      </c>
      <c r="F4" s="8" t="s">
        <v>503</v>
      </c>
      <c r="G4" s="5" t="s">
        <v>899</v>
      </c>
    </row>
    <row r="5" customFormat="false" ht="15" hidden="false" customHeight="true" outlineLevel="0" collapsed="false">
      <c r="A5" s="5" t="s">
        <v>900</v>
      </c>
      <c r="B5" s="5" t="s">
        <v>901</v>
      </c>
      <c r="C5" s="5" t="s">
        <v>296</v>
      </c>
      <c r="D5" s="5" t="n">
        <v>3</v>
      </c>
      <c r="E5" s="5" t="s">
        <v>497</v>
      </c>
      <c r="F5" s="8" t="s">
        <v>503</v>
      </c>
      <c r="G5" s="5" t="s">
        <v>902</v>
      </c>
    </row>
    <row r="6" customFormat="false" ht="15" hidden="false" customHeight="true" outlineLevel="0" collapsed="false">
      <c r="A6" s="5" t="s">
        <v>903</v>
      </c>
      <c r="B6" s="5" t="s">
        <v>904</v>
      </c>
      <c r="C6" s="5" t="s">
        <v>905</v>
      </c>
      <c r="D6" s="5" t="n">
        <v>2</v>
      </c>
      <c r="E6" s="5" t="s">
        <v>497</v>
      </c>
      <c r="F6" s="8" t="s">
        <v>503</v>
      </c>
      <c r="G6" s="5" t="s">
        <v>906</v>
      </c>
    </row>
    <row r="7" customFormat="false" ht="15" hidden="false" customHeight="true" outlineLevel="0" collapsed="false">
      <c r="A7" s="5" t="s">
        <v>907</v>
      </c>
      <c r="B7" s="5" t="s">
        <v>908</v>
      </c>
      <c r="C7" s="5" t="s">
        <v>909</v>
      </c>
      <c r="D7" s="5" t="n">
        <v>2</v>
      </c>
      <c r="E7" s="5" t="s">
        <v>497</v>
      </c>
      <c r="F7" s="8" t="s">
        <v>503</v>
      </c>
      <c r="G7" s="5" t="s">
        <v>910</v>
      </c>
    </row>
    <row r="8" customFormat="false" ht="23.25" hidden="false" customHeight="true" outlineLevel="0" collapsed="false">
      <c r="A8" s="5" t="s">
        <v>911</v>
      </c>
      <c r="B8" s="5" t="s">
        <v>912</v>
      </c>
      <c r="C8" s="5" t="s">
        <v>913</v>
      </c>
      <c r="D8" s="5" t="n">
        <v>0</v>
      </c>
      <c r="E8" s="5" t="s">
        <v>458</v>
      </c>
      <c r="F8" s="5" t="s">
        <v>521</v>
      </c>
      <c r="G8" s="5" t="s">
        <v>914</v>
      </c>
    </row>
    <row r="9" customFormat="false" ht="15" hidden="false" customHeight="true" outlineLevel="0" collapsed="false">
      <c r="A9" s="5" t="s">
        <v>915</v>
      </c>
      <c r="B9" s="5" t="s">
        <v>916</v>
      </c>
      <c r="C9" s="5" t="s">
        <v>917</v>
      </c>
      <c r="D9" s="5" t="n">
        <v>0</v>
      </c>
      <c r="E9" s="5" t="s">
        <v>458</v>
      </c>
      <c r="F9" s="5" t="s">
        <v>521</v>
      </c>
      <c r="G9" s="5" t="s">
        <v>918</v>
      </c>
    </row>
    <row r="10" customFormat="false" ht="15" hidden="false" customHeight="true" outlineLevel="0" collapsed="false">
      <c r="A10" s="5" t="s">
        <v>919</v>
      </c>
      <c r="B10" s="5" t="s">
        <v>920</v>
      </c>
      <c r="C10" s="5" t="s">
        <v>921</v>
      </c>
      <c r="D10" s="5" t="n">
        <v>0</v>
      </c>
      <c r="E10" s="5" t="s">
        <v>458</v>
      </c>
      <c r="F10" s="5" t="s">
        <v>521</v>
      </c>
      <c r="G10" s="5" t="s">
        <v>922</v>
      </c>
    </row>
    <row r="11" customFormat="false" ht="23.25" hidden="false" customHeight="true" outlineLevel="0" collapsed="false">
      <c r="A11" s="5" t="s">
        <v>923</v>
      </c>
      <c r="B11" s="5" t="s">
        <v>924</v>
      </c>
      <c r="C11" s="5" t="s">
        <v>333</v>
      </c>
      <c r="D11" s="5" t="n">
        <v>0</v>
      </c>
      <c r="E11" s="5" t="s">
        <v>520</v>
      </c>
      <c r="F11" s="5" t="s">
        <v>521</v>
      </c>
      <c r="G11" s="5" t="s">
        <v>925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66"/>
    <col collapsed="false" customWidth="true" hidden="false" outlineLevel="0" max="4" min="4" style="1" width="34"/>
    <col collapsed="false" customWidth="true" hidden="false" outlineLevel="0" max="5" min="5" style="1" width="42"/>
  </cols>
  <sheetData>
    <row r="1" customFormat="false" ht="17.25" hidden="false" customHeight="true" outlineLevel="0" collapsed="false">
      <c r="A1" s="2" t="s">
        <v>926</v>
      </c>
    </row>
    <row r="2" customFormat="false" ht="15" hidden="false" customHeight="true" outlineLevel="0" collapsed="false">
      <c r="A2" s="9" t="s">
        <v>927</v>
      </c>
    </row>
    <row r="4" customFormat="false" ht="15" hidden="false" customHeight="true" outlineLevel="0" collapsed="false">
      <c r="A4" s="4" t="s">
        <v>928</v>
      </c>
      <c r="B4" s="4" t="s">
        <v>493</v>
      </c>
      <c r="C4" s="4" t="s">
        <v>929</v>
      </c>
      <c r="D4" s="4" t="s">
        <v>930</v>
      </c>
      <c r="E4" s="4" t="s">
        <v>931</v>
      </c>
    </row>
    <row r="5" customFormat="false" ht="45.75" hidden="false" customHeight="true" outlineLevel="0" collapsed="false">
      <c r="A5" s="5" t="s">
        <v>932</v>
      </c>
      <c r="B5" s="5" t="s">
        <v>458</v>
      </c>
      <c r="C5" s="5" t="s">
        <v>933</v>
      </c>
      <c r="D5" s="5" t="s">
        <v>934</v>
      </c>
      <c r="E5" s="5" t="s">
        <v>935</v>
      </c>
    </row>
    <row r="6" customFormat="false" ht="23.25" hidden="false" customHeight="true" outlineLevel="0" collapsed="false">
      <c r="A6" s="5" t="s">
        <v>936</v>
      </c>
      <c r="B6" s="5" t="s">
        <v>520</v>
      </c>
      <c r="C6" s="5" t="s">
        <v>937</v>
      </c>
      <c r="D6" s="5" t="s">
        <v>938</v>
      </c>
      <c r="E6" s="5" t="s">
        <v>939</v>
      </c>
    </row>
    <row r="7" customFormat="false" ht="23.25" hidden="false" customHeight="true" outlineLevel="0" collapsed="false">
      <c r="A7" s="5" t="s">
        <v>940</v>
      </c>
      <c r="B7" s="5" t="s">
        <v>941</v>
      </c>
      <c r="C7" s="5" t="s">
        <v>942</v>
      </c>
      <c r="D7" s="5" t="s">
        <v>943</v>
      </c>
      <c r="E7" s="5" t="s">
        <v>944</v>
      </c>
    </row>
    <row r="8" customFormat="false" ht="23.25" hidden="false" customHeight="true" outlineLevel="0" collapsed="false">
      <c r="A8" s="5" t="s">
        <v>945</v>
      </c>
      <c r="B8" s="5" t="s">
        <v>941</v>
      </c>
      <c r="C8" s="5" t="s">
        <v>946</v>
      </c>
      <c r="D8" s="5" t="s">
        <v>947</v>
      </c>
      <c r="E8" s="5" t="s">
        <v>948</v>
      </c>
    </row>
    <row r="9" customFormat="false" ht="23.25" hidden="false" customHeight="true" outlineLevel="0" collapsed="false">
      <c r="A9" s="5" t="s">
        <v>949</v>
      </c>
      <c r="B9" s="5" t="s">
        <v>458</v>
      </c>
      <c r="C9" s="5" t="s">
        <v>950</v>
      </c>
      <c r="D9" s="5" t="s">
        <v>951</v>
      </c>
      <c r="E9" s="5" t="s">
        <v>952</v>
      </c>
    </row>
    <row r="10" customFormat="false" ht="23.25" hidden="false" customHeight="true" outlineLevel="0" collapsed="false">
      <c r="A10" s="5" t="s">
        <v>953</v>
      </c>
      <c r="B10" s="5" t="s">
        <v>458</v>
      </c>
      <c r="C10" s="5" t="s">
        <v>954</v>
      </c>
      <c r="D10" s="5" t="s">
        <v>955</v>
      </c>
      <c r="E10" s="5" t="s">
        <v>956</v>
      </c>
    </row>
    <row r="11" customFormat="false" ht="23.25" hidden="false" customHeight="true" outlineLevel="0" collapsed="false">
      <c r="A11" s="5" t="s">
        <v>957</v>
      </c>
      <c r="B11" s="5" t="s">
        <v>520</v>
      </c>
      <c r="C11" s="5" t="s">
        <v>958</v>
      </c>
      <c r="D11" s="5" t="s">
        <v>959</v>
      </c>
      <c r="E11" s="5" t="s">
        <v>960</v>
      </c>
    </row>
    <row r="12" customFormat="false" ht="23.25" hidden="false" customHeight="true" outlineLevel="0" collapsed="false">
      <c r="A12" s="5" t="s">
        <v>961</v>
      </c>
      <c r="B12" s="5" t="s">
        <v>458</v>
      </c>
      <c r="C12" s="5" t="s">
        <v>962</v>
      </c>
      <c r="D12" s="5" t="s">
        <v>963</v>
      </c>
      <c r="E12" s="5" t="s">
        <v>964</v>
      </c>
    </row>
    <row r="13" customFormat="false" ht="34.5" hidden="false" customHeight="true" outlineLevel="0" collapsed="false">
      <c r="A13" s="8" t="s">
        <v>965</v>
      </c>
      <c r="B13" s="5" t="s">
        <v>497</v>
      </c>
      <c r="C13" s="5" t="s">
        <v>966</v>
      </c>
      <c r="D13" s="5" t="s">
        <v>967</v>
      </c>
      <c r="E13" s="5" t="s">
        <v>968</v>
      </c>
    </row>
    <row r="14" customFormat="false" ht="34.5" hidden="false" customHeight="true" outlineLevel="0" collapsed="false">
      <c r="A14" s="5" t="s">
        <v>969</v>
      </c>
      <c r="B14" s="5" t="s">
        <v>970</v>
      </c>
      <c r="C14" s="5" t="s">
        <v>971</v>
      </c>
      <c r="D14" s="5" t="s">
        <v>972</v>
      </c>
      <c r="E14" s="5" t="s">
        <v>973</v>
      </c>
    </row>
    <row r="15" customFormat="false" ht="23.25" hidden="false" customHeight="true" outlineLevel="0" collapsed="false">
      <c r="A15" s="5" t="s">
        <v>974</v>
      </c>
      <c r="B15" s="5" t="s">
        <v>458</v>
      </c>
      <c r="C15" s="5" t="s">
        <v>975</v>
      </c>
      <c r="D15" s="5" t="s">
        <v>976</v>
      </c>
      <c r="E15" s="5" t="s">
        <v>977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4"/>
    <col collapsed="false" customWidth="true" hidden="false" outlineLevel="0" max="4" min="4" style="1" width="60"/>
    <col collapsed="false" customWidth="true" hidden="false" outlineLevel="0" max="5" min="5" style="1" width="7"/>
    <col collapsed="false" customWidth="true" hidden="false" outlineLevel="0" max="7" min="6" style="1" width="8"/>
    <col collapsed="false" customWidth="true" hidden="false" outlineLevel="0" max="8" min="8" style="1" width="20"/>
    <col collapsed="false" customWidth="true" hidden="false" outlineLevel="0" max="9" min="9" style="1" width="24"/>
    <col collapsed="false" customWidth="true" hidden="false" outlineLevel="0" max="10" min="10" style="1" width="13"/>
    <col collapsed="false" customWidth="true" hidden="false" outlineLevel="0" max="11" min="11" style="1" width="80"/>
  </cols>
  <sheetData>
    <row r="1" customFormat="false" ht="17.25" hidden="false" customHeight="true" outlineLevel="0" collapsed="false">
      <c r="A1" s="2" t="s">
        <v>978</v>
      </c>
    </row>
    <row r="2" customFormat="false" ht="355.5" hidden="false" customHeight="true" outlineLevel="0" collapsed="false">
      <c r="A2" s="3" t="s">
        <v>979</v>
      </c>
    </row>
    <row r="3" customFormat="false" ht="15" hidden="false" customHeight="true" outlineLevel="0" collapsed="false">
      <c r="A3" s="4" t="s">
        <v>980</v>
      </c>
      <c r="B3" s="4" t="s">
        <v>981</v>
      </c>
      <c r="C3" s="4" t="s">
        <v>982</v>
      </c>
      <c r="D3" s="4" t="s">
        <v>983</v>
      </c>
      <c r="E3" s="4" t="s">
        <v>492</v>
      </c>
      <c r="F3" s="4" t="s">
        <v>984</v>
      </c>
      <c r="G3" s="4" t="s">
        <v>124</v>
      </c>
      <c r="H3" s="4" t="s">
        <v>985</v>
      </c>
      <c r="I3" s="4" t="s">
        <v>986</v>
      </c>
      <c r="J3" s="4" t="s">
        <v>6</v>
      </c>
      <c r="K3" s="4" t="s">
        <v>987</v>
      </c>
    </row>
    <row r="4" customFormat="false" ht="34.5" hidden="false" customHeight="true" outlineLevel="0" collapsed="false">
      <c r="A4" s="5" t="s">
        <v>526</v>
      </c>
      <c r="B4" s="5" t="s">
        <v>988</v>
      </c>
      <c r="C4" s="5" t="s">
        <v>989</v>
      </c>
      <c r="D4" s="5" t="s">
        <v>990</v>
      </c>
      <c r="E4" s="5" t="n">
        <v>5</v>
      </c>
      <c r="F4" s="5" t="s">
        <v>991</v>
      </c>
      <c r="G4" s="5" t="s">
        <v>152</v>
      </c>
      <c r="H4" s="5" t="s">
        <v>992</v>
      </c>
      <c r="I4" s="5" t="s">
        <v>993</v>
      </c>
      <c r="J4" s="8" t="s">
        <v>503</v>
      </c>
      <c r="K4" s="10" t="s">
        <v>994</v>
      </c>
    </row>
    <row r="5" customFormat="false" ht="45.75" hidden="false" customHeight="true" outlineLevel="0" collapsed="false">
      <c r="A5" s="5" t="s">
        <v>530</v>
      </c>
      <c r="B5" s="5" t="s">
        <v>988</v>
      </c>
      <c r="C5" s="5" t="s">
        <v>989</v>
      </c>
      <c r="D5" s="5" t="s">
        <v>995</v>
      </c>
      <c r="E5" s="5" t="n">
        <v>8</v>
      </c>
      <c r="F5" s="5" t="s">
        <v>991</v>
      </c>
      <c r="G5" s="5" t="s">
        <v>152</v>
      </c>
      <c r="H5" s="5" t="s">
        <v>992</v>
      </c>
      <c r="I5" s="5" t="s">
        <v>993</v>
      </c>
      <c r="J5" s="8" t="s">
        <v>503</v>
      </c>
      <c r="K5" s="10" t="s">
        <v>996</v>
      </c>
    </row>
    <row r="6" customFormat="false" ht="45.75" hidden="false" customHeight="true" outlineLevel="0" collapsed="false">
      <c r="A6" s="5" t="s">
        <v>534</v>
      </c>
      <c r="B6" s="5" t="s">
        <v>988</v>
      </c>
      <c r="C6" s="5" t="s">
        <v>989</v>
      </c>
      <c r="D6" s="5" t="s">
        <v>997</v>
      </c>
      <c r="E6" s="5" t="n">
        <v>5</v>
      </c>
      <c r="F6" s="5" t="s">
        <v>998</v>
      </c>
      <c r="G6" s="5" t="s">
        <v>152</v>
      </c>
      <c r="H6" s="5" t="s">
        <v>992</v>
      </c>
      <c r="I6" s="5" t="s">
        <v>999</v>
      </c>
      <c r="J6" s="8" t="s">
        <v>503</v>
      </c>
      <c r="K6" s="10" t="s">
        <v>1000</v>
      </c>
    </row>
    <row r="7" customFormat="false" ht="45.75" hidden="false" customHeight="true" outlineLevel="0" collapsed="false">
      <c r="A7" s="5" t="s">
        <v>538</v>
      </c>
      <c r="B7" s="5" t="s">
        <v>988</v>
      </c>
      <c r="C7" s="5" t="s">
        <v>989</v>
      </c>
      <c r="D7" s="5" t="s">
        <v>1001</v>
      </c>
      <c r="E7" s="5" t="n">
        <v>3</v>
      </c>
      <c r="F7" s="5" t="s">
        <v>991</v>
      </c>
      <c r="G7" s="5" t="s">
        <v>152</v>
      </c>
      <c r="H7" s="5" t="s">
        <v>992</v>
      </c>
      <c r="I7" s="5" t="s">
        <v>993</v>
      </c>
      <c r="J7" s="8" t="s">
        <v>503</v>
      </c>
      <c r="K7" s="10" t="s">
        <v>1002</v>
      </c>
    </row>
    <row r="8" customFormat="false" ht="34.5" hidden="false" customHeight="true" outlineLevel="0" collapsed="false">
      <c r="A8" s="5" t="s">
        <v>551</v>
      </c>
      <c r="B8" s="5" t="s">
        <v>988</v>
      </c>
      <c r="C8" s="5" t="s">
        <v>989</v>
      </c>
      <c r="D8" s="5" t="s">
        <v>1003</v>
      </c>
      <c r="E8" s="5" t="n">
        <v>5</v>
      </c>
      <c r="F8" s="5" t="s">
        <v>991</v>
      </c>
      <c r="G8" s="5" t="s">
        <v>158</v>
      </c>
      <c r="H8" s="5" t="s">
        <v>992</v>
      </c>
      <c r="I8" s="5" t="s">
        <v>993</v>
      </c>
      <c r="J8" s="8" t="s">
        <v>503</v>
      </c>
      <c r="K8" s="10" t="s">
        <v>1004</v>
      </c>
    </row>
    <row r="9" customFormat="false" ht="34.5" hidden="false" customHeight="true" outlineLevel="0" collapsed="false">
      <c r="A9" s="5" t="s">
        <v>555</v>
      </c>
      <c r="B9" s="5" t="s">
        <v>988</v>
      </c>
      <c r="C9" s="5" t="s">
        <v>989</v>
      </c>
      <c r="D9" s="5" t="s">
        <v>1005</v>
      </c>
      <c r="E9" s="5" t="n">
        <v>3</v>
      </c>
      <c r="F9" s="5" t="s">
        <v>998</v>
      </c>
      <c r="G9" s="5" t="s">
        <v>158</v>
      </c>
      <c r="H9" s="5" t="s">
        <v>992</v>
      </c>
      <c r="I9" s="5" t="s">
        <v>999</v>
      </c>
      <c r="J9" s="8" t="s">
        <v>503</v>
      </c>
      <c r="K9" s="10" t="s">
        <v>1006</v>
      </c>
    </row>
    <row r="10" customFormat="false" ht="45.75" hidden="false" customHeight="true" outlineLevel="0" collapsed="false">
      <c r="A10" s="5" t="s">
        <v>559</v>
      </c>
      <c r="B10" s="5" t="s">
        <v>988</v>
      </c>
      <c r="C10" s="5" t="s">
        <v>989</v>
      </c>
      <c r="D10" s="5" t="s">
        <v>1007</v>
      </c>
      <c r="E10" s="5" t="n">
        <v>3</v>
      </c>
      <c r="F10" s="5" t="s">
        <v>998</v>
      </c>
      <c r="G10" s="5" t="s">
        <v>158</v>
      </c>
      <c r="H10" s="5" t="s">
        <v>992</v>
      </c>
      <c r="I10" s="5" t="s">
        <v>999</v>
      </c>
      <c r="J10" s="8" t="s">
        <v>503</v>
      </c>
      <c r="K10" s="10" t="s">
        <v>1008</v>
      </c>
    </row>
    <row r="11" customFormat="false" ht="45.75" hidden="false" customHeight="true" outlineLevel="0" collapsed="false">
      <c r="A11" s="5" t="s">
        <v>563</v>
      </c>
      <c r="B11" s="5" t="s">
        <v>988</v>
      </c>
      <c r="C11" s="5" t="s">
        <v>989</v>
      </c>
      <c r="D11" s="5" t="s">
        <v>1009</v>
      </c>
      <c r="E11" s="5" t="n">
        <v>2</v>
      </c>
      <c r="F11" s="5" t="s">
        <v>1010</v>
      </c>
      <c r="G11" s="5" t="s">
        <v>158</v>
      </c>
      <c r="H11" s="5" t="s">
        <v>992</v>
      </c>
      <c r="I11" s="5" t="s">
        <v>1011</v>
      </c>
      <c r="J11" s="8" t="s">
        <v>503</v>
      </c>
      <c r="K11" s="10" t="s">
        <v>1012</v>
      </c>
    </row>
    <row r="12" customFormat="false" ht="45.75" hidden="false" customHeight="true" outlineLevel="0" collapsed="false">
      <c r="A12" s="5" t="s">
        <v>567</v>
      </c>
      <c r="B12" s="5" t="s">
        <v>988</v>
      </c>
      <c r="C12" s="5" t="s">
        <v>989</v>
      </c>
      <c r="D12" s="5" t="s">
        <v>1013</v>
      </c>
      <c r="E12" s="5" t="n">
        <v>5</v>
      </c>
      <c r="F12" s="5" t="s">
        <v>998</v>
      </c>
      <c r="G12" s="5" t="s">
        <v>158</v>
      </c>
      <c r="H12" s="5" t="s">
        <v>992</v>
      </c>
      <c r="I12" s="5" t="s">
        <v>999</v>
      </c>
      <c r="J12" s="8" t="s">
        <v>503</v>
      </c>
      <c r="K12" s="10" t="s">
        <v>1014</v>
      </c>
    </row>
    <row r="13" customFormat="false" ht="34.5" hidden="false" customHeight="true" outlineLevel="0" collapsed="false">
      <c r="A13" s="5" t="s">
        <v>571</v>
      </c>
      <c r="B13" s="5" t="s">
        <v>988</v>
      </c>
      <c r="C13" s="5" t="s">
        <v>989</v>
      </c>
      <c r="D13" s="5" t="s">
        <v>1015</v>
      </c>
      <c r="E13" s="5" t="n">
        <v>3</v>
      </c>
      <c r="F13" s="5" t="s">
        <v>1010</v>
      </c>
      <c r="G13" s="5" t="s">
        <v>158</v>
      </c>
      <c r="H13" s="5" t="s">
        <v>992</v>
      </c>
      <c r="I13" s="5" t="s">
        <v>1011</v>
      </c>
      <c r="J13" s="8" t="s">
        <v>503</v>
      </c>
      <c r="K13" s="10" t="s">
        <v>1016</v>
      </c>
    </row>
    <row r="14" customFormat="false" ht="34.5" hidden="false" customHeight="true" outlineLevel="0" collapsed="false">
      <c r="A14" s="5" t="s">
        <v>575</v>
      </c>
      <c r="B14" s="5" t="s">
        <v>1017</v>
      </c>
      <c r="C14" s="5" t="s">
        <v>1018</v>
      </c>
      <c r="D14" s="5" t="s">
        <v>1019</v>
      </c>
      <c r="E14" s="5" t="n">
        <v>5</v>
      </c>
      <c r="F14" s="5" t="s">
        <v>991</v>
      </c>
      <c r="G14" s="5" t="s">
        <v>158</v>
      </c>
      <c r="H14" s="5" t="s">
        <v>1020</v>
      </c>
      <c r="I14" s="5" t="s">
        <v>993</v>
      </c>
      <c r="J14" s="8" t="s">
        <v>503</v>
      </c>
      <c r="K14" s="10" t="s">
        <v>1021</v>
      </c>
    </row>
    <row r="15" customFormat="false" ht="34.5" hidden="false" customHeight="true" outlineLevel="0" collapsed="false">
      <c r="A15" s="5" t="s">
        <v>579</v>
      </c>
      <c r="B15" s="5" t="s">
        <v>1017</v>
      </c>
      <c r="C15" s="5" t="s">
        <v>1018</v>
      </c>
      <c r="D15" s="5" t="s">
        <v>1022</v>
      </c>
      <c r="E15" s="5" t="n">
        <v>8</v>
      </c>
      <c r="F15" s="5" t="s">
        <v>991</v>
      </c>
      <c r="G15" s="5" t="s">
        <v>158</v>
      </c>
      <c r="H15" s="5" t="s">
        <v>1020</v>
      </c>
      <c r="I15" s="5" t="s">
        <v>993</v>
      </c>
      <c r="J15" s="8" t="s">
        <v>503</v>
      </c>
      <c r="K15" s="10" t="s">
        <v>1023</v>
      </c>
    </row>
    <row r="16" customFormat="false" ht="34.5" hidden="false" customHeight="true" outlineLevel="0" collapsed="false">
      <c r="A16" s="5" t="s">
        <v>583</v>
      </c>
      <c r="B16" s="5" t="s">
        <v>1017</v>
      </c>
      <c r="C16" s="5" t="s">
        <v>1018</v>
      </c>
      <c r="D16" s="5" t="s">
        <v>1024</v>
      </c>
      <c r="E16" s="5" t="n">
        <v>5</v>
      </c>
      <c r="F16" s="5" t="s">
        <v>998</v>
      </c>
      <c r="G16" s="5" t="s">
        <v>158</v>
      </c>
      <c r="H16" s="5" t="s">
        <v>1020</v>
      </c>
      <c r="I16" s="5" t="s">
        <v>999</v>
      </c>
      <c r="J16" s="8" t="s">
        <v>503</v>
      </c>
      <c r="K16" s="10" t="s">
        <v>1025</v>
      </c>
    </row>
    <row r="17" customFormat="false" ht="57" hidden="false" customHeight="true" outlineLevel="0" collapsed="false">
      <c r="A17" s="5" t="s">
        <v>587</v>
      </c>
      <c r="B17" s="5" t="s">
        <v>1017</v>
      </c>
      <c r="C17" s="5" t="s">
        <v>1018</v>
      </c>
      <c r="D17" s="5" t="s">
        <v>1026</v>
      </c>
      <c r="E17" s="5" t="n">
        <v>3</v>
      </c>
      <c r="F17" s="5" t="s">
        <v>991</v>
      </c>
      <c r="G17" s="5" t="s">
        <v>158</v>
      </c>
      <c r="H17" s="5" t="s">
        <v>1020</v>
      </c>
      <c r="I17" s="5" t="s">
        <v>993</v>
      </c>
      <c r="J17" s="8" t="s">
        <v>503</v>
      </c>
      <c r="K17" s="10" t="s">
        <v>1027</v>
      </c>
    </row>
    <row r="18" customFormat="false" ht="34.5" hidden="false" customHeight="true" outlineLevel="0" collapsed="false">
      <c r="A18" s="5" t="s">
        <v>596</v>
      </c>
      <c r="B18" s="5" t="s">
        <v>1017</v>
      </c>
      <c r="C18" s="5" t="s">
        <v>1018</v>
      </c>
      <c r="D18" s="5" t="s">
        <v>1028</v>
      </c>
      <c r="E18" s="5" t="n">
        <v>5</v>
      </c>
      <c r="F18" s="5" t="s">
        <v>991</v>
      </c>
      <c r="G18" s="5" t="s">
        <v>170</v>
      </c>
      <c r="H18" s="5" t="s">
        <v>1020</v>
      </c>
      <c r="I18" s="5" t="s">
        <v>993</v>
      </c>
      <c r="J18" s="8" t="s">
        <v>503</v>
      </c>
      <c r="K18" s="10" t="s">
        <v>1029</v>
      </c>
    </row>
    <row r="19" customFormat="false" ht="34.5" hidden="false" customHeight="true" outlineLevel="0" collapsed="false">
      <c r="A19" s="5" t="s">
        <v>600</v>
      </c>
      <c r="B19" s="5" t="s">
        <v>1017</v>
      </c>
      <c r="C19" s="5" t="s">
        <v>1018</v>
      </c>
      <c r="D19" s="5" t="s">
        <v>1030</v>
      </c>
      <c r="E19" s="5" t="n">
        <v>3</v>
      </c>
      <c r="F19" s="5" t="s">
        <v>998</v>
      </c>
      <c r="G19" s="5" t="s">
        <v>170</v>
      </c>
      <c r="H19" s="5" t="s">
        <v>1020</v>
      </c>
      <c r="I19" s="5" t="s">
        <v>999</v>
      </c>
      <c r="J19" s="8" t="s">
        <v>503</v>
      </c>
      <c r="K19" s="10" t="s">
        <v>1031</v>
      </c>
    </row>
    <row r="20" customFormat="false" ht="34.5" hidden="false" customHeight="true" outlineLevel="0" collapsed="false">
      <c r="A20" s="5" t="s">
        <v>604</v>
      </c>
      <c r="B20" s="5" t="s">
        <v>1017</v>
      </c>
      <c r="C20" s="5" t="s">
        <v>1018</v>
      </c>
      <c r="D20" s="5" t="s">
        <v>1032</v>
      </c>
      <c r="E20" s="5" t="n">
        <v>3</v>
      </c>
      <c r="F20" s="5" t="s">
        <v>998</v>
      </c>
      <c r="G20" s="5" t="s">
        <v>170</v>
      </c>
      <c r="H20" s="5" t="s">
        <v>1020</v>
      </c>
      <c r="I20" s="5" t="s">
        <v>999</v>
      </c>
      <c r="J20" s="8" t="s">
        <v>503</v>
      </c>
      <c r="K20" s="10" t="s">
        <v>1033</v>
      </c>
    </row>
    <row r="21" customFormat="false" ht="34.5" hidden="false" customHeight="true" outlineLevel="0" collapsed="false">
      <c r="A21" s="5" t="s">
        <v>608</v>
      </c>
      <c r="B21" s="5" t="s">
        <v>1017</v>
      </c>
      <c r="C21" s="5" t="s">
        <v>1018</v>
      </c>
      <c r="D21" s="5" t="s">
        <v>1034</v>
      </c>
      <c r="E21" s="5" t="n">
        <v>2</v>
      </c>
      <c r="F21" s="5" t="s">
        <v>1010</v>
      </c>
      <c r="G21" s="5" t="s">
        <v>170</v>
      </c>
      <c r="H21" s="5" t="s">
        <v>1020</v>
      </c>
      <c r="I21" s="5" t="s">
        <v>1011</v>
      </c>
      <c r="J21" s="8" t="s">
        <v>503</v>
      </c>
      <c r="K21" s="10" t="s">
        <v>1035</v>
      </c>
    </row>
    <row r="22" customFormat="false" ht="45.75" hidden="false" customHeight="true" outlineLevel="0" collapsed="false">
      <c r="A22" s="5" t="s">
        <v>612</v>
      </c>
      <c r="B22" s="5" t="s">
        <v>1017</v>
      </c>
      <c r="C22" s="5" t="s">
        <v>1018</v>
      </c>
      <c r="D22" s="5" t="s">
        <v>1036</v>
      </c>
      <c r="E22" s="5" t="n">
        <v>5</v>
      </c>
      <c r="F22" s="5" t="s">
        <v>998</v>
      </c>
      <c r="G22" s="5" t="s">
        <v>170</v>
      </c>
      <c r="H22" s="5" t="s">
        <v>1020</v>
      </c>
      <c r="I22" s="5" t="s">
        <v>999</v>
      </c>
      <c r="J22" s="8" t="s">
        <v>503</v>
      </c>
      <c r="K22" s="10" t="s">
        <v>1037</v>
      </c>
    </row>
    <row r="23" customFormat="false" ht="34.5" hidden="false" customHeight="true" outlineLevel="0" collapsed="false">
      <c r="A23" s="5" t="s">
        <v>616</v>
      </c>
      <c r="B23" s="5" t="s">
        <v>1017</v>
      </c>
      <c r="C23" s="5" t="s">
        <v>1018</v>
      </c>
      <c r="D23" s="5" t="s">
        <v>1038</v>
      </c>
      <c r="E23" s="5" t="n">
        <v>3</v>
      </c>
      <c r="F23" s="5" t="s">
        <v>1010</v>
      </c>
      <c r="G23" s="5" t="s">
        <v>170</v>
      </c>
      <c r="H23" s="5" t="s">
        <v>1020</v>
      </c>
      <c r="I23" s="5" t="s">
        <v>1011</v>
      </c>
      <c r="J23" s="8" t="s">
        <v>503</v>
      </c>
      <c r="K23" s="10" t="s">
        <v>1039</v>
      </c>
    </row>
    <row r="24" customFormat="false" ht="34.5" hidden="false" customHeight="true" outlineLevel="0" collapsed="false">
      <c r="A24" s="5" t="s">
        <v>633</v>
      </c>
      <c r="B24" s="5" t="s">
        <v>1040</v>
      </c>
      <c r="C24" s="5" t="s">
        <v>1041</v>
      </c>
      <c r="D24" s="5" t="s">
        <v>1042</v>
      </c>
      <c r="E24" s="5" t="n">
        <v>5</v>
      </c>
      <c r="F24" s="5" t="s">
        <v>991</v>
      </c>
      <c r="G24" s="5" t="s">
        <v>177</v>
      </c>
      <c r="H24" s="5" t="s">
        <v>1043</v>
      </c>
      <c r="I24" s="5" t="s">
        <v>993</v>
      </c>
      <c r="J24" s="8" t="s">
        <v>503</v>
      </c>
      <c r="K24" s="10" t="s">
        <v>1044</v>
      </c>
    </row>
    <row r="25" customFormat="false" ht="45.75" hidden="false" customHeight="true" outlineLevel="0" collapsed="false">
      <c r="A25" s="5" t="s">
        <v>637</v>
      </c>
      <c r="B25" s="5" t="s">
        <v>1040</v>
      </c>
      <c r="C25" s="5" t="s">
        <v>1041</v>
      </c>
      <c r="D25" s="5" t="s">
        <v>1045</v>
      </c>
      <c r="E25" s="5" t="n">
        <v>8</v>
      </c>
      <c r="F25" s="5" t="s">
        <v>991</v>
      </c>
      <c r="G25" s="5" t="s">
        <v>177</v>
      </c>
      <c r="H25" s="5" t="s">
        <v>1043</v>
      </c>
      <c r="I25" s="5" t="s">
        <v>993</v>
      </c>
      <c r="J25" s="8" t="s">
        <v>503</v>
      </c>
      <c r="K25" s="10" t="s">
        <v>1046</v>
      </c>
    </row>
    <row r="26" customFormat="false" ht="34.5" hidden="false" customHeight="true" outlineLevel="0" collapsed="false">
      <c r="A26" s="5" t="s">
        <v>641</v>
      </c>
      <c r="B26" s="5" t="s">
        <v>1040</v>
      </c>
      <c r="C26" s="5" t="s">
        <v>1041</v>
      </c>
      <c r="D26" s="5" t="s">
        <v>1047</v>
      </c>
      <c r="E26" s="5" t="n">
        <v>5</v>
      </c>
      <c r="F26" s="5" t="s">
        <v>998</v>
      </c>
      <c r="G26" s="5" t="s">
        <v>177</v>
      </c>
      <c r="H26" s="5" t="s">
        <v>1043</v>
      </c>
      <c r="I26" s="5" t="s">
        <v>999</v>
      </c>
      <c r="J26" s="8" t="s">
        <v>503</v>
      </c>
      <c r="K26" s="10" t="s">
        <v>1048</v>
      </c>
    </row>
    <row r="27" customFormat="false" ht="34.5" hidden="false" customHeight="true" outlineLevel="0" collapsed="false">
      <c r="A27" s="5" t="s">
        <v>645</v>
      </c>
      <c r="B27" s="5" t="s">
        <v>1040</v>
      </c>
      <c r="C27" s="5" t="s">
        <v>1041</v>
      </c>
      <c r="D27" s="5" t="s">
        <v>1049</v>
      </c>
      <c r="E27" s="5" t="n">
        <v>3</v>
      </c>
      <c r="F27" s="5" t="s">
        <v>991</v>
      </c>
      <c r="G27" s="5" t="s">
        <v>177</v>
      </c>
      <c r="H27" s="5" t="s">
        <v>1043</v>
      </c>
      <c r="I27" s="5" t="s">
        <v>993</v>
      </c>
      <c r="J27" s="8" t="s">
        <v>503</v>
      </c>
      <c r="K27" s="10" t="s">
        <v>1050</v>
      </c>
    </row>
    <row r="28" customFormat="false" ht="34.5" hidden="false" customHeight="true" outlineLevel="0" collapsed="false">
      <c r="A28" s="5" t="s">
        <v>649</v>
      </c>
      <c r="B28" s="5" t="s">
        <v>1040</v>
      </c>
      <c r="C28" s="5" t="s">
        <v>1041</v>
      </c>
      <c r="D28" s="5" t="s">
        <v>1051</v>
      </c>
      <c r="E28" s="5" t="n">
        <v>5</v>
      </c>
      <c r="F28" s="5" t="s">
        <v>991</v>
      </c>
      <c r="G28" s="5" t="s">
        <v>177</v>
      </c>
      <c r="H28" s="5" t="s">
        <v>1043</v>
      </c>
      <c r="I28" s="5" t="s">
        <v>993</v>
      </c>
      <c r="J28" s="8" t="s">
        <v>503</v>
      </c>
      <c r="K28" s="10" t="s">
        <v>1052</v>
      </c>
    </row>
    <row r="29" customFormat="false" ht="34.5" hidden="false" customHeight="true" outlineLevel="0" collapsed="false">
      <c r="A29" s="5" t="s">
        <v>653</v>
      </c>
      <c r="B29" s="5" t="s">
        <v>1040</v>
      </c>
      <c r="C29" s="5" t="s">
        <v>1041</v>
      </c>
      <c r="D29" s="5" t="s">
        <v>1053</v>
      </c>
      <c r="E29" s="5" t="n">
        <v>3</v>
      </c>
      <c r="F29" s="5" t="s">
        <v>998</v>
      </c>
      <c r="G29" s="5" t="s">
        <v>177</v>
      </c>
      <c r="H29" s="5" t="s">
        <v>1043</v>
      </c>
      <c r="I29" s="5" t="s">
        <v>999</v>
      </c>
      <c r="J29" s="8" t="s">
        <v>503</v>
      </c>
      <c r="K29" s="10" t="s">
        <v>1054</v>
      </c>
    </row>
    <row r="30" customFormat="false" ht="34.5" hidden="false" customHeight="true" outlineLevel="0" collapsed="false">
      <c r="A30" s="5" t="s">
        <v>657</v>
      </c>
      <c r="B30" s="5" t="s">
        <v>1040</v>
      </c>
      <c r="C30" s="5" t="s">
        <v>1041</v>
      </c>
      <c r="D30" s="5" t="s">
        <v>1055</v>
      </c>
      <c r="E30" s="5" t="n">
        <v>3</v>
      </c>
      <c r="F30" s="5" t="s">
        <v>998</v>
      </c>
      <c r="G30" s="5" t="s">
        <v>177</v>
      </c>
      <c r="H30" s="5" t="s">
        <v>1043</v>
      </c>
      <c r="I30" s="5" t="s">
        <v>999</v>
      </c>
      <c r="J30" s="8" t="s">
        <v>503</v>
      </c>
      <c r="K30" s="10" t="s">
        <v>1056</v>
      </c>
    </row>
    <row r="31" customFormat="false" ht="34.5" hidden="false" customHeight="true" outlineLevel="0" collapsed="false">
      <c r="A31" s="5" t="s">
        <v>661</v>
      </c>
      <c r="B31" s="5" t="s">
        <v>1040</v>
      </c>
      <c r="C31" s="5" t="s">
        <v>1041</v>
      </c>
      <c r="D31" s="5" t="s">
        <v>1057</v>
      </c>
      <c r="E31" s="5" t="n">
        <v>2</v>
      </c>
      <c r="F31" s="5" t="s">
        <v>1010</v>
      </c>
      <c r="G31" s="5" t="s">
        <v>177</v>
      </c>
      <c r="H31" s="5" t="s">
        <v>1043</v>
      </c>
      <c r="I31" s="5" t="s">
        <v>1011</v>
      </c>
      <c r="J31" s="8" t="s">
        <v>503</v>
      </c>
      <c r="K31" s="10" t="s">
        <v>1058</v>
      </c>
    </row>
    <row r="32" customFormat="false" ht="45.75" hidden="false" customHeight="true" outlineLevel="0" collapsed="false">
      <c r="A32" s="5" t="s">
        <v>665</v>
      </c>
      <c r="B32" s="5" t="s">
        <v>1040</v>
      </c>
      <c r="C32" s="5" t="s">
        <v>1041</v>
      </c>
      <c r="D32" s="5" t="s">
        <v>1059</v>
      </c>
      <c r="E32" s="5" t="n">
        <v>5</v>
      </c>
      <c r="F32" s="5" t="s">
        <v>998</v>
      </c>
      <c r="G32" s="5" t="s">
        <v>177</v>
      </c>
      <c r="H32" s="5" t="s">
        <v>1043</v>
      </c>
      <c r="I32" s="5" t="s">
        <v>999</v>
      </c>
      <c r="J32" s="8" t="s">
        <v>503</v>
      </c>
      <c r="K32" s="10" t="s">
        <v>1060</v>
      </c>
    </row>
    <row r="33" customFormat="false" ht="34.5" hidden="false" customHeight="true" outlineLevel="0" collapsed="false">
      <c r="A33" s="5" t="s">
        <v>669</v>
      </c>
      <c r="B33" s="5" t="s">
        <v>1040</v>
      </c>
      <c r="C33" s="5" t="s">
        <v>1041</v>
      </c>
      <c r="D33" s="5" t="s">
        <v>1061</v>
      </c>
      <c r="E33" s="5" t="n">
        <v>3</v>
      </c>
      <c r="F33" s="5" t="s">
        <v>1010</v>
      </c>
      <c r="G33" s="5" t="s">
        <v>177</v>
      </c>
      <c r="H33" s="5" t="s">
        <v>1043</v>
      </c>
      <c r="I33" s="5" t="s">
        <v>1011</v>
      </c>
      <c r="J33" s="8" t="s">
        <v>503</v>
      </c>
      <c r="K33" s="10" t="s">
        <v>1062</v>
      </c>
    </row>
    <row r="34" customFormat="false" ht="23.25" hidden="false" customHeight="true" outlineLevel="0" collapsed="false">
      <c r="A34" s="5" t="s">
        <v>1063</v>
      </c>
      <c r="B34" s="5" t="s">
        <v>1064</v>
      </c>
      <c r="C34" s="5" t="s">
        <v>1065</v>
      </c>
      <c r="D34" s="5" t="s">
        <v>1066</v>
      </c>
      <c r="E34" s="5" t="n">
        <v>5</v>
      </c>
      <c r="F34" s="5" t="s">
        <v>991</v>
      </c>
      <c r="G34" s="5" t="s">
        <v>201</v>
      </c>
      <c r="H34" s="5" t="s">
        <v>1067</v>
      </c>
      <c r="I34" s="5" t="s">
        <v>993</v>
      </c>
      <c r="J34" s="8" t="s">
        <v>503</v>
      </c>
      <c r="K34" s="10" t="s">
        <v>1068</v>
      </c>
    </row>
    <row r="35" customFormat="false" ht="23.25" hidden="false" customHeight="true" outlineLevel="0" collapsed="false">
      <c r="A35" s="5" t="s">
        <v>1069</v>
      </c>
      <c r="B35" s="5" t="s">
        <v>1064</v>
      </c>
      <c r="C35" s="5" t="s">
        <v>1065</v>
      </c>
      <c r="D35" s="5" t="s">
        <v>1070</v>
      </c>
      <c r="E35" s="5" t="n">
        <v>8</v>
      </c>
      <c r="F35" s="5" t="s">
        <v>991</v>
      </c>
      <c r="G35" s="5" t="s">
        <v>201</v>
      </c>
      <c r="H35" s="5" t="s">
        <v>1067</v>
      </c>
      <c r="I35" s="5" t="s">
        <v>993</v>
      </c>
      <c r="J35" s="8" t="s">
        <v>503</v>
      </c>
      <c r="K35" s="10" t="s">
        <v>1071</v>
      </c>
    </row>
    <row r="36" customFormat="false" ht="23.25" hidden="false" customHeight="true" outlineLevel="0" collapsed="false">
      <c r="A36" s="5" t="s">
        <v>686</v>
      </c>
      <c r="B36" s="5" t="s">
        <v>1064</v>
      </c>
      <c r="C36" s="5" t="s">
        <v>1065</v>
      </c>
      <c r="D36" s="5" t="s">
        <v>1072</v>
      </c>
      <c r="E36" s="5" t="n">
        <v>5</v>
      </c>
      <c r="F36" s="5" t="s">
        <v>998</v>
      </c>
      <c r="G36" s="5" t="s">
        <v>201</v>
      </c>
      <c r="H36" s="5" t="s">
        <v>1067</v>
      </c>
      <c r="I36" s="5" t="s">
        <v>999</v>
      </c>
      <c r="J36" s="8" t="s">
        <v>503</v>
      </c>
      <c r="K36" s="10" t="s">
        <v>1073</v>
      </c>
    </row>
    <row r="37" customFormat="false" ht="23.25" hidden="false" customHeight="true" outlineLevel="0" collapsed="false">
      <c r="A37" s="5" t="s">
        <v>690</v>
      </c>
      <c r="B37" s="5" t="s">
        <v>1064</v>
      </c>
      <c r="C37" s="5" t="s">
        <v>1065</v>
      </c>
      <c r="D37" s="5" t="s">
        <v>1074</v>
      </c>
      <c r="E37" s="5" t="n">
        <v>3</v>
      </c>
      <c r="F37" s="5" t="s">
        <v>991</v>
      </c>
      <c r="G37" s="5" t="s">
        <v>201</v>
      </c>
      <c r="H37" s="5" t="s">
        <v>1067</v>
      </c>
      <c r="I37" s="5" t="s">
        <v>993</v>
      </c>
      <c r="J37" s="8" t="s">
        <v>503</v>
      </c>
      <c r="K37" s="10" t="s">
        <v>1075</v>
      </c>
    </row>
    <row r="38" customFormat="false" ht="23.25" hidden="false" customHeight="true" outlineLevel="0" collapsed="false">
      <c r="A38" s="5" t="s">
        <v>694</v>
      </c>
      <c r="B38" s="5" t="s">
        <v>1064</v>
      </c>
      <c r="C38" s="5" t="s">
        <v>1065</v>
      </c>
      <c r="D38" s="5" t="s">
        <v>1076</v>
      </c>
      <c r="E38" s="5" t="n">
        <v>5</v>
      </c>
      <c r="F38" s="5" t="s">
        <v>991</v>
      </c>
      <c r="G38" s="5" t="s">
        <v>201</v>
      </c>
      <c r="H38" s="5" t="s">
        <v>1067</v>
      </c>
      <c r="I38" s="5" t="s">
        <v>993</v>
      </c>
      <c r="J38" s="8" t="s">
        <v>503</v>
      </c>
      <c r="K38" s="10" t="s">
        <v>1077</v>
      </c>
    </row>
    <row r="39" customFormat="false" ht="23.25" hidden="false" customHeight="true" outlineLevel="0" collapsed="false">
      <c r="A39" s="5" t="s">
        <v>1078</v>
      </c>
      <c r="B39" s="5" t="s">
        <v>1064</v>
      </c>
      <c r="C39" s="5" t="s">
        <v>1065</v>
      </c>
      <c r="D39" s="5" t="s">
        <v>1079</v>
      </c>
      <c r="E39" s="5" t="n">
        <v>3</v>
      </c>
      <c r="F39" s="5" t="s">
        <v>998</v>
      </c>
      <c r="G39" s="5" t="s">
        <v>201</v>
      </c>
      <c r="H39" s="5" t="s">
        <v>1067</v>
      </c>
      <c r="I39" s="5" t="s">
        <v>999</v>
      </c>
      <c r="J39" s="8" t="s">
        <v>503</v>
      </c>
      <c r="K39" s="10" t="s">
        <v>1080</v>
      </c>
    </row>
    <row r="40" customFormat="false" ht="15" hidden="false" customHeight="true" outlineLevel="0" collapsed="false">
      <c r="A40" s="5" t="s">
        <v>1081</v>
      </c>
      <c r="B40" s="5" t="s">
        <v>1064</v>
      </c>
      <c r="C40" s="5" t="s">
        <v>1065</v>
      </c>
      <c r="D40" s="5" t="s">
        <v>1082</v>
      </c>
      <c r="E40" s="5" t="n">
        <v>3</v>
      </c>
      <c r="F40" s="5" t="s">
        <v>998</v>
      </c>
      <c r="G40" s="5" t="s">
        <v>201</v>
      </c>
      <c r="H40" s="5" t="s">
        <v>1067</v>
      </c>
      <c r="I40" s="5" t="s">
        <v>999</v>
      </c>
      <c r="J40" s="8" t="s">
        <v>503</v>
      </c>
      <c r="K40" s="10" t="s">
        <v>1083</v>
      </c>
    </row>
    <row r="41" customFormat="false" ht="23.25" hidden="false" customHeight="true" outlineLevel="0" collapsed="false">
      <c r="A41" s="5" t="s">
        <v>1084</v>
      </c>
      <c r="B41" s="5" t="s">
        <v>1064</v>
      </c>
      <c r="C41" s="5" t="s">
        <v>1065</v>
      </c>
      <c r="D41" s="5" t="s">
        <v>1085</v>
      </c>
      <c r="E41" s="5" t="n">
        <v>2</v>
      </c>
      <c r="F41" s="5" t="s">
        <v>1010</v>
      </c>
      <c r="G41" s="5" t="s">
        <v>201</v>
      </c>
      <c r="H41" s="5" t="s">
        <v>1067</v>
      </c>
      <c r="I41" s="5" t="s">
        <v>1011</v>
      </c>
      <c r="J41" s="8" t="s">
        <v>503</v>
      </c>
      <c r="K41" s="10" t="s">
        <v>1086</v>
      </c>
    </row>
    <row r="42" customFormat="false" ht="23.25" hidden="false" customHeight="true" outlineLevel="0" collapsed="false">
      <c r="A42" s="5" t="s">
        <v>1087</v>
      </c>
      <c r="B42" s="5" t="s">
        <v>1064</v>
      </c>
      <c r="C42" s="5" t="s">
        <v>1065</v>
      </c>
      <c r="D42" s="5" t="s">
        <v>1088</v>
      </c>
      <c r="E42" s="5" t="n">
        <v>5</v>
      </c>
      <c r="F42" s="5" t="s">
        <v>998</v>
      </c>
      <c r="G42" s="5" t="s">
        <v>201</v>
      </c>
      <c r="H42" s="5" t="s">
        <v>1067</v>
      </c>
      <c r="I42" s="5" t="s">
        <v>999</v>
      </c>
      <c r="J42" s="8" t="s">
        <v>503</v>
      </c>
      <c r="K42" s="10" t="s">
        <v>1089</v>
      </c>
    </row>
    <row r="43" customFormat="false" ht="23.25" hidden="false" customHeight="true" outlineLevel="0" collapsed="false">
      <c r="A43" s="5" t="s">
        <v>1090</v>
      </c>
      <c r="B43" s="5" t="s">
        <v>1064</v>
      </c>
      <c r="C43" s="5" t="s">
        <v>1065</v>
      </c>
      <c r="D43" s="5" t="s">
        <v>1091</v>
      </c>
      <c r="E43" s="5" t="n">
        <v>3</v>
      </c>
      <c r="F43" s="5" t="s">
        <v>1010</v>
      </c>
      <c r="G43" s="5" t="s">
        <v>201</v>
      </c>
      <c r="H43" s="5" t="s">
        <v>1067</v>
      </c>
      <c r="I43" s="5" t="s">
        <v>1011</v>
      </c>
      <c r="J43" s="8" t="s">
        <v>503</v>
      </c>
      <c r="K43" s="10" t="s">
        <v>1092</v>
      </c>
    </row>
    <row r="44" customFormat="false" ht="23.25" hidden="false" customHeight="true" outlineLevel="0" collapsed="false">
      <c r="A44" s="5" t="s">
        <v>1093</v>
      </c>
      <c r="B44" s="5" t="s">
        <v>1094</v>
      </c>
      <c r="C44" s="5" t="s">
        <v>1095</v>
      </c>
      <c r="D44" s="5" t="s">
        <v>1096</v>
      </c>
      <c r="E44" s="5" t="n">
        <v>5</v>
      </c>
      <c r="F44" s="5" t="s">
        <v>991</v>
      </c>
      <c r="G44" s="5" t="s">
        <v>233</v>
      </c>
      <c r="H44" s="5" t="s">
        <v>1097</v>
      </c>
      <c r="I44" s="5" t="s">
        <v>993</v>
      </c>
      <c r="J44" s="8" t="s">
        <v>503</v>
      </c>
      <c r="K44" s="10" t="s">
        <v>1098</v>
      </c>
    </row>
    <row r="45" customFormat="false" ht="23.25" hidden="false" customHeight="true" outlineLevel="0" collapsed="false">
      <c r="A45" s="5" t="s">
        <v>1099</v>
      </c>
      <c r="B45" s="5" t="s">
        <v>1094</v>
      </c>
      <c r="C45" s="5" t="s">
        <v>1095</v>
      </c>
      <c r="D45" s="5" t="s">
        <v>1100</v>
      </c>
      <c r="E45" s="5" t="n">
        <v>8</v>
      </c>
      <c r="F45" s="5" t="s">
        <v>991</v>
      </c>
      <c r="G45" s="5" t="s">
        <v>233</v>
      </c>
      <c r="H45" s="5" t="s">
        <v>1097</v>
      </c>
      <c r="I45" s="5" t="s">
        <v>993</v>
      </c>
      <c r="J45" s="8" t="s">
        <v>503</v>
      </c>
      <c r="K45" s="10" t="s">
        <v>1101</v>
      </c>
    </row>
    <row r="46" customFormat="false" ht="23.25" hidden="false" customHeight="true" outlineLevel="0" collapsed="false">
      <c r="A46" s="5" t="s">
        <v>1102</v>
      </c>
      <c r="B46" s="5" t="s">
        <v>1094</v>
      </c>
      <c r="C46" s="5" t="s">
        <v>1095</v>
      </c>
      <c r="D46" s="5" t="s">
        <v>1103</v>
      </c>
      <c r="E46" s="5" t="n">
        <v>5</v>
      </c>
      <c r="F46" s="5" t="s">
        <v>998</v>
      </c>
      <c r="G46" s="5" t="s">
        <v>233</v>
      </c>
      <c r="H46" s="5" t="s">
        <v>1097</v>
      </c>
      <c r="I46" s="5" t="s">
        <v>999</v>
      </c>
      <c r="J46" s="8" t="s">
        <v>503</v>
      </c>
      <c r="K46" s="10" t="s">
        <v>1104</v>
      </c>
    </row>
    <row r="47" customFormat="false" ht="23.25" hidden="false" customHeight="true" outlineLevel="0" collapsed="false">
      <c r="A47" s="5" t="s">
        <v>1105</v>
      </c>
      <c r="B47" s="5" t="s">
        <v>1094</v>
      </c>
      <c r="C47" s="5" t="s">
        <v>1095</v>
      </c>
      <c r="D47" s="5" t="s">
        <v>1106</v>
      </c>
      <c r="E47" s="5" t="n">
        <v>3</v>
      </c>
      <c r="F47" s="5" t="s">
        <v>991</v>
      </c>
      <c r="G47" s="5" t="s">
        <v>233</v>
      </c>
      <c r="H47" s="5" t="s">
        <v>1097</v>
      </c>
      <c r="I47" s="5" t="s">
        <v>993</v>
      </c>
      <c r="J47" s="8" t="s">
        <v>503</v>
      </c>
      <c r="K47" s="10" t="s">
        <v>1107</v>
      </c>
    </row>
    <row r="48" customFormat="false" ht="23.25" hidden="false" customHeight="true" outlineLevel="0" collapsed="false">
      <c r="A48" s="5" t="s">
        <v>1108</v>
      </c>
      <c r="B48" s="5" t="s">
        <v>1094</v>
      </c>
      <c r="C48" s="5" t="s">
        <v>1095</v>
      </c>
      <c r="D48" s="5" t="s">
        <v>1109</v>
      </c>
      <c r="E48" s="5" t="n">
        <v>5</v>
      </c>
      <c r="F48" s="5" t="s">
        <v>991</v>
      </c>
      <c r="G48" s="5" t="s">
        <v>233</v>
      </c>
      <c r="H48" s="5" t="s">
        <v>1097</v>
      </c>
      <c r="I48" s="5" t="s">
        <v>993</v>
      </c>
      <c r="J48" s="8" t="s">
        <v>503</v>
      </c>
      <c r="K48" s="10" t="s">
        <v>1110</v>
      </c>
    </row>
    <row r="49" customFormat="false" ht="23.25" hidden="false" customHeight="true" outlineLevel="0" collapsed="false">
      <c r="A49" s="5" t="s">
        <v>1111</v>
      </c>
      <c r="B49" s="5" t="s">
        <v>1094</v>
      </c>
      <c r="C49" s="5" t="s">
        <v>1095</v>
      </c>
      <c r="D49" s="5" t="s">
        <v>1112</v>
      </c>
      <c r="E49" s="5" t="n">
        <v>3</v>
      </c>
      <c r="F49" s="5" t="s">
        <v>998</v>
      </c>
      <c r="G49" s="5" t="s">
        <v>233</v>
      </c>
      <c r="H49" s="5" t="s">
        <v>1097</v>
      </c>
      <c r="I49" s="5" t="s">
        <v>999</v>
      </c>
      <c r="J49" s="8" t="s">
        <v>503</v>
      </c>
      <c r="K49" s="10" t="s">
        <v>1113</v>
      </c>
    </row>
    <row r="50" customFormat="false" ht="23.25" hidden="false" customHeight="true" outlineLevel="0" collapsed="false">
      <c r="A50" s="5" t="s">
        <v>1114</v>
      </c>
      <c r="B50" s="5" t="s">
        <v>1094</v>
      </c>
      <c r="C50" s="5" t="s">
        <v>1095</v>
      </c>
      <c r="D50" s="5" t="s">
        <v>1115</v>
      </c>
      <c r="E50" s="5" t="n">
        <v>3</v>
      </c>
      <c r="F50" s="5" t="s">
        <v>998</v>
      </c>
      <c r="G50" s="5" t="s">
        <v>233</v>
      </c>
      <c r="H50" s="5" t="s">
        <v>1097</v>
      </c>
      <c r="I50" s="5" t="s">
        <v>999</v>
      </c>
      <c r="J50" s="8" t="s">
        <v>503</v>
      </c>
      <c r="K50" s="10" t="s">
        <v>1116</v>
      </c>
    </row>
    <row r="51" customFormat="false" ht="23.25" hidden="false" customHeight="true" outlineLevel="0" collapsed="false">
      <c r="A51" s="5" t="s">
        <v>1117</v>
      </c>
      <c r="B51" s="5" t="s">
        <v>1094</v>
      </c>
      <c r="C51" s="5" t="s">
        <v>1095</v>
      </c>
      <c r="D51" s="5" t="s">
        <v>1118</v>
      </c>
      <c r="E51" s="5" t="n">
        <v>2</v>
      </c>
      <c r="F51" s="5" t="s">
        <v>1010</v>
      </c>
      <c r="G51" s="5" t="s">
        <v>233</v>
      </c>
      <c r="H51" s="5" t="s">
        <v>1097</v>
      </c>
      <c r="I51" s="5" t="s">
        <v>1011</v>
      </c>
      <c r="J51" s="8" t="s">
        <v>503</v>
      </c>
      <c r="K51" s="10" t="s">
        <v>1119</v>
      </c>
    </row>
    <row r="52" customFormat="false" ht="23.25" hidden="false" customHeight="true" outlineLevel="0" collapsed="false">
      <c r="A52" s="5" t="s">
        <v>1120</v>
      </c>
      <c r="B52" s="5" t="s">
        <v>1094</v>
      </c>
      <c r="C52" s="5" t="s">
        <v>1095</v>
      </c>
      <c r="D52" s="5" t="s">
        <v>1121</v>
      </c>
      <c r="E52" s="5" t="n">
        <v>5</v>
      </c>
      <c r="F52" s="5" t="s">
        <v>998</v>
      </c>
      <c r="G52" s="5" t="s">
        <v>233</v>
      </c>
      <c r="H52" s="5" t="s">
        <v>1097</v>
      </c>
      <c r="I52" s="5" t="s">
        <v>999</v>
      </c>
      <c r="J52" s="8" t="s">
        <v>503</v>
      </c>
      <c r="K52" s="10" t="s">
        <v>1122</v>
      </c>
    </row>
    <row r="53" customFormat="false" ht="23.25" hidden="false" customHeight="true" outlineLevel="0" collapsed="false">
      <c r="A53" s="5" t="s">
        <v>1123</v>
      </c>
      <c r="B53" s="5" t="s">
        <v>1094</v>
      </c>
      <c r="C53" s="5" t="s">
        <v>1095</v>
      </c>
      <c r="D53" s="5" t="s">
        <v>1124</v>
      </c>
      <c r="E53" s="5" t="n">
        <v>3</v>
      </c>
      <c r="F53" s="5" t="s">
        <v>1010</v>
      </c>
      <c r="G53" s="5" t="s">
        <v>233</v>
      </c>
      <c r="H53" s="5" t="s">
        <v>1097</v>
      </c>
      <c r="I53" s="5" t="s">
        <v>1011</v>
      </c>
      <c r="J53" s="8" t="s">
        <v>503</v>
      </c>
      <c r="K53" s="10" t="s">
        <v>1125</v>
      </c>
    </row>
    <row r="54" customFormat="false" ht="45.75" hidden="false" customHeight="true" outlineLevel="0" collapsed="false">
      <c r="A54" s="5" t="s">
        <v>502</v>
      </c>
      <c r="B54" s="5" t="s">
        <v>1126</v>
      </c>
      <c r="C54" s="5" t="s">
        <v>1127</v>
      </c>
      <c r="D54" s="5" t="s">
        <v>1128</v>
      </c>
      <c r="E54" s="5" t="n">
        <v>5</v>
      </c>
      <c r="F54" s="5" t="s">
        <v>991</v>
      </c>
      <c r="G54" s="5" t="s">
        <v>144</v>
      </c>
      <c r="H54" s="5" t="s">
        <v>1129</v>
      </c>
      <c r="I54" s="5" t="s">
        <v>993</v>
      </c>
      <c r="J54" s="8" t="s">
        <v>503</v>
      </c>
      <c r="K54" s="10" t="s">
        <v>1130</v>
      </c>
    </row>
    <row r="55" customFormat="false" ht="45.75" hidden="false" customHeight="true" outlineLevel="0" collapsed="false">
      <c r="A55" s="5" t="s">
        <v>507</v>
      </c>
      <c r="B55" s="5" t="s">
        <v>1126</v>
      </c>
      <c r="C55" s="5" t="s">
        <v>1127</v>
      </c>
      <c r="D55" s="5" t="s">
        <v>1131</v>
      </c>
      <c r="E55" s="5" t="n">
        <v>3</v>
      </c>
      <c r="F55" s="5" t="s">
        <v>991</v>
      </c>
      <c r="G55" s="5" t="s">
        <v>144</v>
      </c>
      <c r="H55" s="5" t="s">
        <v>1129</v>
      </c>
      <c r="I55" s="5" t="s">
        <v>993</v>
      </c>
      <c r="J55" s="8" t="s">
        <v>503</v>
      </c>
      <c r="K55" s="10" t="s">
        <v>1132</v>
      </c>
    </row>
    <row r="56" customFormat="false" ht="57" hidden="false" customHeight="true" outlineLevel="0" collapsed="false">
      <c r="A56" s="5" t="s">
        <v>542</v>
      </c>
      <c r="B56" s="5" t="s">
        <v>1126</v>
      </c>
      <c r="C56" s="5" t="s">
        <v>1127</v>
      </c>
      <c r="D56" s="5" t="s">
        <v>1133</v>
      </c>
      <c r="E56" s="5" t="n">
        <v>3</v>
      </c>
      <c r="F56" s="5" t="s">
        <v>998</v>
      </c>
      <c r="G56" s="5" t="s">
        <v>152</v>
      </c>
      <c r="H56" s="5" t="s">
        <v>1129</v>
      </c>
      <c r="I56" s="5" t="s">
        <v>999</v>
      </c>
      <c r="J56" s="8" t="s">
        <v>503</v>
      </c>
      <c r="K56" s="10" t="s">
        <v>1134</v>
      </c>
    </row>
    <row r="57" customFormat="false" ht="45.75" hidden="false" customHeight="true" outlineLevel="0" collapsed="false">
      <c r="A57" s="5" t="s">
        <v>546</v>
      </c>
      <c r="B57" s="5" t="s">
        <v>1126</v>
      </c>
      <c r="C57" s="5" t="s">
        <v>1127</v>
      </c>
      <c r="D57" s="5" t="s">
        <v>1135</v>
      </c>
      <c r="E57" s="5" t="n">
        <v>5</v>
      </c>
      <c r="F57" s="5" t="s">
        <v>991</v>
      </c>
      <c r="G57" s="5" t="s">
        <v>152</v>
      </c>
      <c r="H57" s="5" t="s">
        <v>1129</v>
      </c>
      <c r="I57" s="5" t="s">
        <v>993</v>
      </c>
      <c r="J57" s="8" t="s">
        <v>503</v>
      </c>
      <c r="K57" s="10" t="s">
        <v>1136</v>
      </c>
    </row>
    <row r="58" customFormat="false" ht="45.75" hidden="false" customHeight="true" outlineLevel="0" collapsed="false">
      <c r="A58" s="5" t="s">
        <v>511</v>
      </c>
      <c r="B58" s="5" t="s">
        <v>1126</v>
      </c>
      <c r="C58" s="5" t="s">
        <v>1127</v>
      </c>
      <c r="D58" s="5" t="s">
        <v>1137</v>
      </c>
      <c r="E58" s="5" t="n">
        <v>3</v>
      </c>
      <c r="F58" s="5" t="s">
        <v>991</v>
      </c>
      <c r="G58" s="5" t="s">
        <v>144</v>
      </c>
      <c r="H58" s="5" t="s">
        <v>1129</v>
      </c>
      <c r="I58" s="5" t="s">
        <v>993</v>
      </c>
      <c r="J58" s="8" t="s">
        <v>503</v>
      </c>
      <c r="K58" s="10" t="s">
        <v>1138</v>
      </c>
    </row>
    <row r="59" customFormat="false" ht="34.5" hidden="false" customHeight="true" outlineLevel="0" collapsed="false">
      <c r="A59" s="5" t="s">
        <v>515</v>
      </c>
      <c r="B59" s="5" t="s">
        <v>1126</v>
      </c>
      <c r="C59" s="5" t="s">
        <v>1127</v>
      </c>
      <c r="D59" s="5" t="s">
        <v>1139</v>
      </c>
      <c r="E59" s="5" t="n">
        <v>2</v>
      </c>
      <c r="F59" s="5" t="s">
        <v>998</v>
      </c>
      <c r="G59" s="5" t="s">
        <v>144</v>
      </c>
      <c r="H59" s="5" t="s">
        <v>1129</v>
      </c>
      <c r="I59" s="5" t="s">
        <v>999</v>
      </c>
      <c r="J59" s="8" t="s">
        <v>503</v>
      </c>
      <c r="K59" s="10" t="s">
        <v>1140</v>
      </c>
    </row>
    <row r="60" customFormat="false" ht="15" hidden="false" customHeight="true" outlineLevel="0" collapsed="false">
      <c r="A60" s="5" t="s">
        <v>706</v>
      </c>
      <c r="B60" s="5" t="s">
        <v>1141</v>
      </c>
      <c r="C60" s="5" t="s">
        <v>1142</v>
      </c>
      <c r="D60" s="5" t="s">
        <v>1143</v>
      </c>
      <c r="E60" s="5" t="n">
        <v>5</v>
      </c>
      <c r="F60" s="5" t="s">
        <v>991</v>
      </c>
      <c r="G60" s="5" t="s">
        <v>201</v>
      </c>
      <c r="H60" s="5" t="s">
        <v>1144</v>
      </c>
      <c r="I60" s="5" t="s">
        <v>993</v>
      </c>
      <c r="J60" s="8" t="s">
        <v>503</v>
      </c>
      <c r="K60" s="10" t="s">
        <v>1145</v>
      </c>
    </row>
    <row r="61" customFormat="false" ht="15" hidden="false" customHeight="true" outlineLevel="0" collapsed="false">
      <c r="A61" s="5" t="s">
        <v>710</v>
      </c>
      <c r="B61" s="5" t="s">
        <v>1141</v>
      </c>
      <c r="C61" s="5" t="s">
        <v>1142</v>
      </c>
      <c r="D61" s="5" t="s">
        <v>1146</v>
      </c>
      <c r="E61" s="5" t="n">
        <v>5</v>
      </c>
      <c r="F61" s="5" t="s">
        <v>991</v>
      </c>
      <c r="G61" s="5" t="s">
        <v>201</v>
      </c>
      <c r="H61" s="5" t="s">
        <v>1144</v>
      </c>
      <c r="I61" s="5" t="s">
        <v>993</v>
      </c>
      <c r="J61" s="8" t="s">
        <v>503</v>
      </c>
      <c r="K61" s="10" t="s">
        <v>1147</v>
      </c>
    </row>
    <row r="62" customFormat="false" ht="23.25" hidden="false" customHeight="true" outlineLevel="0" collapsed="false">
      <c r="A62" s="5" t="s">
        <v>714</v>
      </c>
      <c r="B62" s="5" t="s">
        <v>1141</v>
      </c>
      <c r="C62" s="5" t="s">
        <v>1142</v>
      </c>
      <c r="D62" s="5" t="s">
        <v>1148</v>
      </c>
      <c r="E62" s="5" t="n">
        <v>8</v>
      </c>
      <c r="F62" s="5" t="s">
        <v>991</v>
      </c>
      <c r="G62" s="5" t="s">
        <v>201</v>
      </c>
      <c r="H62" s="5" t="s">
        <v>1144</v>
      </c>
      <c r="I62" s="5" t="s">
        <v>993</v>
      </c>
      <c r="J62" s="8" t="s">
        <v>503</v>
      </c>
      <c r="K62" s="10" t="s">
        <v>1149</v>
      </c>
    </row>
    <row r="63" customFormat="false" ht="15" hidden="false" customHeight="true" outlineLevel="0" collapsed="false">
      <c r="A63" s="5" t="s">
        <v>727</v>
      </c>
      <c r="B63" s="5" t="s">
        <v>1141</v>
      </c>
      <c r="C63" s="5" t="s">
        <v>1142</v>
      </c>
      <c r="D63" s="5" t="s">
        <v>1150</v>
      </c>
      <c r="E63" s="5" t="n">
        <v>3</v>
      </c>
      <c r="F63" s="5" t="s">
        <v>998</v>
      </c>
      <c r="G63" s="5" t="s">
        <v>215</v>
      </c>
      <c r="H63" s="5" t="s">
        <v>1144</v>
      </c>
      <c r="I63" s="5" t="s">
        <v>999</v>
      </c>
      <c r="J63" s="8" t="s">
        <v>503</v>
      </c>
      <c r="K63" s="10" t="s">
        <v>1151</v>
      </c>
    </row>
    <row r="64" customFormat="false" ht="15" hidden="false" customHeight="true" outlineLevel="0" collapsed="false">
      <c r="A64" s="5" t="s">
        <v>731</v>
      </c>
      <c r="B64" s="5" t="s">
        <v>1141</v>
      </c>
      <c r="C64" s="5" t="s">
        <v>1142</v>
      </c>
      <c r="D64" s="5" t="s">
        <v>1152</v>
      </c>
      <c r="E64" s="5" t="n">
        <v>3</v>
      </c>
      <c r="F64" s="5" t="s">
        <v>998</v>
      </c>
      <c r="G64" s="5" t="s">
        <v>215</v>
      </c>
      <c r="H64" s="5" t="s">
        <v>1144</v>
      </c>
      <c r="I64" s="5" t="s">
        <v>999</v>
      </c>
      <c r="J64" s="8" t="s">
        <v>503</v>
      </c>
      <c r="K64" s="10" t="s">
        <v>1153</v>
      </c>
    </row>
    <row r="65" customFormat="false" ht="15" hidden="false" customHeight="true" outlineLevel="0" collapsed="false">
      <c r="A65" s="5" t="s">
        <v>735</v>
      </c>
      <c r="B65" s="5" t="s">
        <v>1141</v>
      </c>
      <c r="C65" s="5" t="s">
        <v>1142</v>
      </c>
      <c r="D65" s="5" t="s">
        <v>1154</v>
      </c>
      <c r="E65" s="5" t="n">
        <v>3</v>
      </c>
      <c r="F65" s="5" t="s">
        <v>1010</v>
      </c>
      <c r="G65" s="5" t="s">
        <v>215</v>
      </c>
      <c r="H65" s="5" t="s">
        <v>1144</v>
      </c>
      <c r="I65" s="5" t="s">
        <v>1011</v>
      </c>
      <c r="J65" s="8" t="s">
        <v>503</v>
      </c>
      <c r="K65" s="10" t="s">
        <v>1155</v>
      </c>
    </row>
    <row r="66" customFormat="false" ht="15" hidden="false" customHeight="true" outlineLevel="0" collapsed="false">
      <c r="A66" s="5" t="s">
        <v>739</v>
      </c>
      <c r="B66" s="5" t="s">
        <v>1141</v>
      </c>
      <c r="C66" s="5" t="s">
        <v>1142</v>
      </c>
      <c r="D66" s="5" t="s">
        <v>1156</v>
      </c>
      <c r="E66" s="5" t="n">
        <v>3</v>
      </c>
      <c r="F66" s="5" t="s">
        <v>998</v>
      </c>
      <c r="G66" s="5" t="s">
        <v>215</v>
      </c>
      <c r="H66" s="5" t="s">
        <v>1144</v>
      </c>
      <c r="I66" s="5" t="s">
        <v>999</v>
      </c>
      <c r="J66" s="8" t="s">
        <v>503</v>
      </c>
      <c r="K66" s="10" t="s">
        <v>1157</v>
      </c>
    </row>
    <row r="67" customFormat="false" ht="15" hidden="false" customHeight="true" outlineLevel="0" collapsed="false">
      <c r="A67" s="5" t="s">
        <v>743</v>
      </c>
      <c r="B67" s="5" t="s">
        <v>1158</v>
      </c>
      <c r="C67" s="5" t="s">
        <v>1159</v>
      </c>
      <c r="D67" s="5" t="s">
        <v>1160</v>
      </c>
      <c r="E67" s="5" t="n">
        <v>3</v>
      </c>
      <c r="F67" s="5" t="s">
        <v>991</v>
      </c>
      <c r="G67" s="5" t="s">
        <v>215</v>
      </c>
      <c r="H67" s="5" t="s">
        <v>1161</v>
      </c>
      <c r="I67" s="5" t="s">
        <v>993</v>
      </c>
      <c r="J67" s="8" t="s">
        <v>503</v>
      </c>
      <c r="K67" s="10" t="s">
        <v>1162</v>
      </c>
    </row>
    <row r="68" customFormat="false" ht="15" hidden="false" customHeight="true" outlineLevel="0" collapsed="false">
      <c r="A68" s="5" t="s">
        <v>772</v>
      </c>
      <c r="B68" s="5" t="s">
        <v>1158</v>
      </c>
      <c r="C68" s="5" t="s">
        <v>1159</v>
      </c>
      <c r="D68" s="5" t="s">
        <v>1163</v>
      </c>
      <c r="E68" s="5" t="n">
        <v>3</v>
      </c>
      <c r="F68" s="5" t="s">
        <v>991</v>
      </c>
      <c r="G68" s="5" t="s">
        <v>233</v>
      </c>
      <c r="H68" s="5" t="s">
        <v>1161</v>
      </c>
      <c r="I68" s="5" t="s">
        <v>993</v>
      </c>
      <c r="J68" s="8" t="s">
        <v>503</v>
      </c>
      <c r="K68" s="10" t="s">
        <v>1164</v>
      </c>
    </row>
    <row r="69" customFormat="false" ht="15" hidden="false" customHeight="true" outlineLevel="0" collapsed="false">
      <c r="A69" s="5" t="s">
        <v>776</v>
      </c>
      <c r="B69" s="5" t="s">
        <v>1158</v>
      </c>
      <c r="C69" s="5" t="s">
        <v>1159</v>
      </c>
      <c r="D69" s="5" t="s">
        <v>1165</v>
      </c>
      <c r="E69" s="5" t="n">
        <v>5</v>
      </c>
      <c r="F69" s="5" t="s">
        <v>991</v>
      </c>
      <c r="G69" s="5" t="s">
        <v>233</v>
      </c>
      <c r="H69" s="5" t="s">
        <v>1161</v>
      </c>
      <c r="I69" s="5" t="s">
        <v>993</v>
      </c>
      <c r="J69" s="8" t="s">
        <v>503</v>
      </c>
      <c r="K69" s="10" t="s">
        <v>1166</v>
      </c>
    </row>
    <row r="70" customFormat="false" ht="15" hidden="false" customHeight="true" outlineLevel="0" collapsed="false">
      <c r="A70" s="5" t="s">
        <v>780</v>
      </c>
      <c r="B70" s="5" t="s">
        <v>1158</v>
      </c>
      <c r="C70" s="5" t="s">
        <v>1159</v>
      </c>
      <c r="D70" s="5" t="s">
        <v>1167</v>
      </c>
      <c r="E70" s="5" t="n">
        <v>5</v>
      </c>
      <c r="F70" s="5" t="s">
        <v>998</v>
      </c>
      <c r="G70" s="5" t="s">
        <v>233</v>
      </c>
      <c r="H70" s="5" t="s">
        <v>1161</v>
      </c>
      <c r="I70" s="5" t="s">
        <v>999</v>
      </c>
      <c r="J70" s="8" t="s">
        <v>503</v>
      </c>
      <c r="K70" s="10" t="s">
        <v>1168</v>
      </c>
    </row>
    <row r="71" customFormat="false" ht="15" hidden="false" customHeight="true" outlineLevel="0" collapsed="false">
      <c r="A71" s="5" t="s">
        <v>809</v>
      </c>
      <c r="B71" s="5" t="s">
        <v>1158</v>
      </c>
      <c r="C71" s="5" t="s">
        <v>1159</v>
      </c>
      <c r="D71" s="5" t="s">
        <v>1169</v>
      </c>
      <c r="E71" s="5" t="n">
        <v>8</v>
      </c>
      <c r="F71" s="5" t="s">
        <v>991</v>
      </c>
      <c r="G71" s="5" t="s">
        <v>251</v>
      </c>
      <c r="H71" s="5" t="s">
        <v>1161</v>
      </c>
      <c r="I71" s="5" t="s">
        <v>993</v>
      </c>
      <c r="J71" s="11" t="s">
        <v>1170</v>
      </c>
      <c r="K71" s="10" t="s">
        <v>1171</v>
      </c>
    </row>
    <row r="72" customFormat="false" ht="15" hidden="false" customHeight="true" outlineLevel="0" collapsed="false">
      <c r="A72" s="5" t="s">
        <v>816</v>
      </c>
      <c r="B72" s="5" t="s">
        <v>1158</v>
      </c>
      <c r="C72" s="5" t="s">
        <v>1159</v>
      </c>
      <c r="D72" s="5" t="s">
        <v>1172</v>
      </c>
      <c r="E72" s="5" t="n">
        <v>5</v>
      </c>
      <c r="F72" s="5" t="s">
        <v>991</v>
      </c>
      <c r="G72" s="5" t="s">
        <v>251</v>
      </c>
      <c r="H72" s="5" t="s">
        <v>1161</v>
      </c>
      <c r="I72" s="5" t="s">
        <v>993</v>
      </c>
      <c r="J72" s="8" t="s">
        <v>503</v>
      </c>
      <c r="K72" s="10" t="s">
        <v>1173</v>
      </c>
    </row>
    <row r="73" customFormat="false" ht="15" hidden="false" customHeight="true" outlineLevel="0" collapsed="false">
      <c r="A73" s="5" t="s">
        <v>784</v>
      </c>
      <c r="B73" s="5" t="s">
        <v>1158</v>
      </c>
      <c r="C73" s="5" t="s">
        <v>1159</v>
      </c>
      <c r="D73" s="5" t="s">
        <v>1174</v>
      </c>
      <c r="E73" s="5" t="n">
        <v>5</v>
      </c>
      <c r="F73" s="5" t="s">
        <v>991</v>
      </c>
      <c r="G73" s="5" t="s">
        <v>233</v>
      </c>
      <c r="H73" s="5" t="s">
        <v>1161</v>
      </c>
      <c r="I73" s="5" t="s">
        <v>993</v>
      </c>
      <c r="J73" s="8" t="s">
        <v>503</v>
      </c>
      <c r="K73" s="10" t="s">
        <v>1175</v>
      </c>
    </row>
    <row r="74" customFormat="false" ht="45.75" hidden="false" customHeight="true" outlineLevel="0" collapsed="false">
      <c r="A74" s="5" t="s">
        <v>620</v>
      </c>
      <c r="B74" s="5" t="s">
        <v>1176</v>
      </c>
      <c r="C74" s="5" t="s">
        <v>1177</v>
      </c>
      <c r="D74" s="5" t="s">
        <v>1178</v>
      </c>
      <c r="E74" s="5" t="n">
        <v>5</v>
      </c>
      <c r="F74" s="5" t="s">
        <v>991</v>
      </c>
      <c r="G74" s="5" t="s">
        <v>170</v>
      </c>
      <c r="H74" s="5" t="s">
        <v>1179</v>
      </c>
      <c r="I74" s="5" t="s">
        <v>993</v>
      </c>
      <c r="J74" s="8" t="s">
        <v>503</v>
      </c>
      <c r="K74" s="10" t="s">
        <v>1180</v>
      </c>
    </row>
    <row r="75" customFormat="false" ht="45.75" hidden="false" customHeight="true" outlineLevel="0" collapsed="false">
      <c r="A75" s="5" t="s">
        <v>624</v>
      </c>
      <c r="B75" s="5" t="s">
        <v>1176</v>
      </c>
      <c r="C75" s="5" t="s">
        <v>1177</v>
      </c>
      <c r="D75" s="5" t="s">
        <v>1181</v>
      </c>
      <c r="E75" s="5" t="n">
        <v>3</v>
      </c>
      <c r="F75" s="5" t="s">
        <v>991</v>
      </c>
      <c r="G75" s="5" t="s">
        <v>170</v>
      </c>
      <c r="H75" s="5" t="s">
        <v>1179</v>
      </c>
      <c r="I75" s="5" t="s">
        <v>993</v>
      </c>
      <c r="J75" s="8" t="s">
        <v>503</v>
      </c>
      <c r="K75" s="10" t="s">
        <v>1182</v>
      </c>
    </row>
    <row r="76" customFormat="false" ht="15" hidden="false" customHeight="true" outlineLevel="0" collapsed="false">
      <c r="A76" s="5" t="s">
        <v>1183</v>
      </c>
      <c r="B76" s="5" t="s">
        <v>1176</v>
      </c>
      <c r="C76" s="5" t="s">
        <v>1177</v>
      </c>
      <c r="D76" s="5" t="s">
        <v>1184</v>
      </c>
      <c r="E76" s="5" t="n">
        <v>3</v>
      </c>
      <c r="F76" s="5" t="s">
        <v>1010</v>
      </c>
      <c r="G76" s="5" t="s">
        <v>233</v>
      </c>
      <c r="H76" s="5" t="s">
        <v>1179</v>
      </c>
      <c r="I76" s="5" t="s">
        <v>1011</v>
      </c>
      <c r="J76" s="8" t="s">
        <v>503</v>
      </c>
      <c r="K76" s="10" t="s">
        <v>1185</v>
      </c>
    </row>
    <row r="77" customFormat="false" ht="15" hidden="false" customHeight="true" outlineLevel="0" collapsed="false">
      <c r="A77" s="5" t="s">
        <v>1186</v>
      </c>
      <c r="B77" s="5" t="s">
        <v>1176</v>
      </c>
      <c r="C77" s="5" t="s">
        <v>1177</v>
      </c>
      <c r="D77" s="5" t="s">
        <v>1187</v>
      </c>
      <c r="E77" s="5" t="n">
        <v>2</v>
      </c>
      <c r="F77" s="5" t="s">
        <v>1010</v>
      </c>
      <c r="G77" s="5" t="s">
        <v>233</v>
      </c>
      <c r="H77" s="5" t="s">
        <v>1179</v>
      </c>
      <c r="I77" s="5" t="s">
        <v>1011</v>
      </c>
      <c r="J77" s="8" t="s">
        <v>503</v>
      </c>
      <c r="K77" s="10" t="s">
        <v>1188</v>
      </c>
    </row>
    <row r="78" customFormat="false" ht="15" hidden="false" customHeight="true" outlineLevel="0" collapsed="false">
      <c r="A78" s="5" t="s">
        <v>1189</v>
      </c>
      <c r="B78" s="5" t="s">
        <v>1176</v>
      </c>
      <c r="C78" s="5" t="s">
        <v>1177</v>
      </c>
      <c r="D78" s="5" t="s">
        <v>1190</v>
      </c>
      <c r="E78" s="5" t="n">
        <v>5</v>
      </c>
      <c r="F78" s="5" t="s">
        <v>998</v>
      </c>
      <c r="G78" s="5" t="s">
        <v>233</v>
      </c>
      <c r="H78" s="5" t="s">
        <v>1179</v>
      </c>
      <c r="I78" s="5" t="s">
        <v>999</v>
      </c>
      <c r="J78" s="8" t="s">
        <v>503</v>
      </c>
      <c r="K78" s="10" t="s">
        <v>1191</v>
      </c>
    </row>
    <row r="79" customFormat="false" ht="15" hidden="false" customHeight="true" outlineLevel="0" collapsed="false">
      <c r="A79" s="5" t="s">
        <v>1192</v>
      </c>
      <c r="B79" s="5" t="s">
        <v>1176</v>
      </c>
      <c r="C79" s="5" t="s">
        <v>1177</v>
      </c>
      <c r="D79" s="5" t="s">
        <v>1193</v>
      </c>
      <c r="E79" s="5" t="n">
        <v>3</v>
      </c>
      <c r="F79" s="5" t="s">
        <v>1010</v>
      </c>
      <c r="G79" s="5" t="s">
        <v>233</v>
      </c>
      <c r="H79" s="5" t="s">
        <v>1179</v>
      </c>
      <c r="I79" s="5" t="s">
        <v>1011</v>
      </c>
      <c r="J79" s="8" t="s">
        <v>503</v>
      </c>
      <c r="K79" s="10" t="s">
        <v>1194</v>
      </c>
    </row>
    <row r="80" customFormat="false" ht="15" hidden="false" customHeight="true" outlineLevel="0" collapsed="false">
      <c r="A80" s="5" t="s">
        <v>1195</v>
      </c>
      <c r="B80" s="5" t="s">
        <v>1176</v>
      </c>
      <c r="C80" s="5" t="s">
        <v>1177</v>
      </c>
      <c r="D80" s="5" t="s">
        <v>1196</v>
      </c>
      <c r="E80" s="5" t="n">
        <v>3</v>
      </c>
      <c r="F80" s="5" t="s">
        <v>1010</v>
      </c>
      <c r="G80" s="5" t="s">
        <v>233</v>
      </c>
      <c r="H80" s="5" t="s">
        <v>1179</v>
      </c>
      <c r="I80" s="5" t="s">
        <v>1011</v>
      </c>
      <c r="J80" s="8" t="s">
        <v>503</v>
      </c>
      <c r="K80" s="10" t="s">
        <v>1197</v>
      </c>
    </row>
    <row r="81" customFormat="false" ht="45.75" hidden="false" customHeight="true" outlineLevel="0" collapsed="false">
      <c r="A81" s="5" t="s">
        <v>673</v>
      </c>
      <c r="B81" s="5" t="s">
        <v>1198</v>
      </c>
      <c r="C81" s="5" t="s">
        <v>1199</v>
      </c>
      <c r="D81" s="5" t="s">
        <v>1200</v>
      </c>
      <c r="E81" s="5" t="n">
        <v>5</v>
      </c>
      <c r="F81" s="5" t="s">
        <v>991</v>
      </c>
      <c r="G81" s="5" t="s">
        <v>177</v>
      </c>
      <c r="H81" s="5" t="s">
        <v>1201</v>
      </c>
      <c r="I81" s="5" t="s">
        <v>993</v>
      </c>
      <c r="J81" s="8" t="s">
        <v>503</v>
      </c>
      <c r="K81" s="10" t="s">
        <v>1202</v>
      </c>
    </row>
    <row r="82" customFormat="false" ht="34.5" hidden="false" customHeight="true" outlineLevel="0" collapsed="false">
      <c r="A82" s="5" t="s">
        <v>677</v>
      </c>
      <c r="B82" s="5" t="s">
        <v>1198</v>
      </c>
      <c r="C82" s="5" t="s">
        <v>1199</v>
      </c>
      <c r="D82" s="5" t="s">
        <v>1203</v>
      </c>
      <c r="E82" s="5" t="n">
        <v>3</v>
      </c>
      <c r="F82" s="5" t="s">
        <v>998</v>
      </c>
      <c r="G82" s="5" t="s">
        <v>177</v>
      </c>
      <c r="H82" s="5" t="s">
        <v>1201</v>
      </c>
      <c r="I82" s="5" t="s">
        <v>999</v>
      </c>
      <c r="J82" s="8" t="s">
        <v>503</v>
      </c>
      <c r="K82" s="10" t="s">
        <v>1204</v>
      </c>
    </row>
    <row r="83" customFormat="false" ht="15" hidden="false" customHeight="true" outlineLevel="0" collapsed="false">
      <c r="A83" s="5" t="s">
        <v>273</v>
      </c>
      <c r="B83" s="5" t="s">
        <v>1198</v>
      </c>
      <c r="C83" s="5" t="s">
        <v>1199</v>
      </c>
      <c r="D83" s="5" t="s">
        <v>1205</v>
      </c>
      <c r="E83" s="5" t="n">
        <v>5</v>
      </c>
      <c r="F83" s="5" t="s">
        <v>998</v>
      </c>
      <c r="G83" s="5" t="s">
        <v>270</v>
      </c>
      <c r="H83" s="5" t="s">
        <v>1201</v>
      </c>
      <c r="I83" s="5" t="s">
        <v>999</v>
      </c>
      <c r="J83" s="8" t="s">
        <v>503</v>
      </c>
      <c r="K83" s="10" t="s">
        <v>1206</v>
      </c>
    </row>
    <row r="84" customFormat="false" ht="15" hidden="false" customHeight="true" outlineLevel="0" collapsed="false">
      <c r="A84" s="5" t="s">
        <v>855</v>
      </c>
      <c r="B84" s="5" t="s">
        <v>1198</v>
      </c>
      <c r="C84" s="5" t="s">
        <v>1199</v>
      </c>
      <c r="D84" s="5" t="s">
        <v>1207</v>
      </c>
      <c r="E84" s="5" t="n">
        <v>3</v>
      </c>
      <c r="F84" s="5" t="s">
        <v>991</v>
      </c>
      <c r="G84" s="5" t="s">
        <v>270</v>
      </c>
      <c r="H84" s="5" t="s">
        <v>1201</v>
      </c>
      <c r="I84" s="5" t="s">
        <v>993</v>
      </c>
      <c r="J84" s="8" t="s">
        <v>503</v>
      </c>
      <c r="K84" s="10" t="s">
        <v>1208</v>
      </c>
    </row>
    <row r="85" customFormat="false" ht="15" hidden="false" customHeight="true" outlineLevel="0" collapsed="false">
      <c r="A85" s="5" t="s">
        <v>293</v>
      </c>
      <c r="B85" s="5" t="s">
        <v>1198</v>
      </c>
      <c r="C85" s="5" t="s">
        <v>1199</v>
      </c>
      <c r="D85" s="5" t="s">
        <v>1209</v>
      </c>
      <c r="E85" s="5" t="n">
        <v>3</v>
      </c>
      <c r="F85" s="5" t="s">
        <v>998</v>
      </c>
      <c r="G85" s="5" t="s">
        <v>291</v>
      </c>
      <c r="H85" s="5" t="s">
        <v>1201</v>
      </c>
      <c r="I85" s="5" t="s">
        <v>999</v>
      </c>
      <c r="J85" s="8" t="s">
        <v>503</v>
      </c>
      <c r="K85" s="10" t="s">
        <v>1210</v>
      </c>
    </row>
    <row r="86" customFormat="false" ht="15" hidden="false" customHeight="true" outlineLevel="0" collapsed="false">
      <c r="A86" s="5" t="s">
        <v>863</v>
      </c>
      <c r="B86" s="5" t="s">
        <v>1198</v>
      </c>
      <c r="C86" s="5" t="s">
        <v>1199</v>
      </c>
      <c r="D86" s="5" t="s">
        <v>1211</v>
      </c>
      <c r="E86" s="5" t="n">
        <v>5</v>
      </c>
      <c r="F86" s="5" t="s">
        <v>998</v>
      </c>
      <c r="G86" s="5" t="s">
        <v>270</v>
      </c>
      <c r="H86" s="5" t="s">
        <v>1201</v>
      </c>
      <c r="I86" s="5" t="s">
        <v>999</v>
      </c>
      <c r="J86" s="11" t="s">
        <v>1170</v>
      </c>
      <c r="K86" s="10" t="s">
        <v>1212</v>
      </c>
    </row>
    <row r="87" customFormat="false" ht="15" hidden="false" customHeight="true" outlineLevel="0" collapsed="false">
      <c r="A87" s="5" t="s">
        <v>870</v>
      </c>
      <c r="B87" s="5" t="s">
        <v>1198</v>
      </c>
      <c r="C87" s="5" t="s">
        <v>1199</v>
      </c>
      <c r="D87" s="5" t="s">
        <v>1213</v>
      </c>
      <c r="E87" s="5" t="n">
        <v>2</v>
      </c>
      <c r="F87" s="5" t="s">
        <v>1010</v>
      </c>
      <c r="G87" s="5" t="s">
        <v>270</v>
      </c>
      <c r="H87" s="5" t="s">
        <v>1201</v>
      </c>
      <c r="I87" s="5" t="s">
        <v>1011</v>
      </c>
      <c r="J87" s="8" t="s">
        <v>503</v>
      </c>
      <c r="K87" s="10" t="s">
        <v>1214</v>
      </c>
    </row>
    <row r="88" customFormat="false" ht="34.5" hidden="false" customHeight="true" outlineLevel="0" collapsed="false">
      <c r="A88" s="5" t="s">
        <v>591</v>
      </c>
      <c r="B88" s="5" t="s">
        <v>1215</v>
      </c>
      <c r="C88" s="5" t="s">
        <v>1216</v>
      </c>
      <c r="D88" s="5" t="s">
        <v>1217</v>
      </c>
      <c r="E88" s="5" t="n">
        <v>5</v>
      </c>
      <c r="F88" s="5" t="s">
        <v>991</v>
      </c>
      <c r="G88" s="5" t="s">
        <v>158</v>
      </c>
      <c r="H88" s="5" t="s">
        <v>1218</v>
      </c>
      <c r="I88" s="5" t="s">
        <v>993</v>
      </c>
      <c r="J88" s="8" t="s">
        <v>503</v>
      </c>
      <c r="K88" s="10" t="s">
        <v>1219</v>
      </c>
    </row>
    <row r="89" customFormat="false" ht="45.75" hidden="false" customHeight="true" outlineLevel="0" collapsed="false">
      <c r="A89" s="5" t="s">
        <v>628</v>
      </c>
      <c r="B89" s="5" t="s">
        <v>1215</v>
      </c>
      <c r="C89" s="5" t="s">
        <v>1216</v>
      </c>
      <c r="D89" s="5" t="s">
        <v>1220</v>
      </c>
      <c r="E89" s="5" t="n">
        <v>5</v>
      </c>
      <c r="F89" s="5" t="s">
        <v>991</v>
      </c>
      <c r="G89" s="5" t="s">
        <v>170</v>
      </c>
      <c r="H89" s="5" t="s">
        <v>1218</v>
      </c>
      <c r="I89" s="5" t="s">
        <v>993</v>
      </c>
      <c r="J89" s="8" t="s">
        <v>503</v>
      </c>
      <c r="K89" s="10" t="s">
        <v>1221</v>
      </c>
    </row>
    <row r="90" customFormat="false" ht="15" hidden="false" customHeight="true" outlineLevel="0" collapsed="false">
      <c r="A90" s="5" t="s">
        <v>792</v>
      </c>
      <c r="B90" s="5" t="s">
        <v>1215</v>
      </c>
      <c r="C90" s="5" t="s">
        <v>1216</v>
      </c>
      <c r="D90" s="5" t="s">
        <v>1222</v>
      </c>
      <c r="E90" s="5" t="n">
        <v>3</v>
      </c>
      <c r="F90" s="5" t="s">
        <v>991</v>
      </c>
      <c r="G90" s="5" t="s">
        <v>233</v>
      </c>
      <c r="H90" s="5" t="s">
        <v>1218</v>
      </c>
      <c r="I90" s="5" t="s">
        <v>993</v>
      </c>
      <c r="J90" s="8" t="s">
        <v>503</v>
      </c>
      <c r="K90" s="10" t="s">
        <v>1223</v>
      </c>
    </row>
    <row r="91" customFormat="false" ht="15" hidden="false" customHeight="true" outlineLevel="0" collapsed="false">
      <c r="A91" s="5" t="s">
        <v>796</v>
      </c>
      <c r="B91" s="5" t="s">
        <v>1215</v>
      </c>
      <c r="C91" s="5" t="s">
        <v>1216</v>
      </c>
      <c r="D91" s="5" t="s">
        <v>1224</v>
      </c>
      <c r="E91" s="5" t="n">
        <v>5</v>
      </c>
      <c r="F91" s="5" t="s">
        <v>998</v>
      </c>
      <c r="G91" s="5" t="s">
        <v>233</v>
      </c>
      <c r="H91" s="5" t="s">
        <v>1218</v>
      </c>
      <c r="I91" s="5" t="s">
        <v>999</v>
      </c>
      <c r="J91" s="8" t="s">
        <v>503</v>
      </c>
      <c r="K91" s="10" t="s">
        <v>1225</v>
      </c>
    </row>
    <row r="92" customFormat="false" ht="15" hidden="false" customHeight="true" outlineLevel="0" collapsed="false">
      <c r="A92" s="5" t="s">
        <v>823</v>
      </c>
      <c r="B92" s="5" t="s">
        <v>1215</v>
      </c>
      <c r="C92" s="5" t="s">
        <v>1216</v>
      </c>
      <c r="D92" s="5" t="s">
        <v>1226</v>
      </c>
      <c r="E92" s="5" t="n">
        <v>3</v>
      </c>
      <c r="F92" s="5" t="s">
        <v>998</v>
      </c>
      <c r="G92" s="5" t="s">
        <v>251</v>
      </c>
      <c r="H92" s="5" t="s">
        <v>1218</v>
      </c>
      <c r="I92" s="5" t="s">
        <v>999</v>
      </c>
      <c r="J92" s="8" t="s">
        <v>503</v>
      </c>
      <c r="K92" s="10" t="s">
        <v>1227</v>
      </c>
    </row>
    <row r="93" customFormat="false" ht="15" hidden="false" customHeight="true" outlineLevel="0" collapsed="false">
      <c r="A93" s="5" t="s">
        <v>827</v>
      </c>
      <c r="B93" s="5" t="s">
        <v>1215</v>
      </c>
      <c r="C93" s="5" t="s">
        <v>1216</v>
      </c>
      <c r="D93" s="5" t="s">
        <v>1228</v>
      </c>
      <c r="E93" s="5" t="n">
        <v>3</v>
      </c>
      <c r="F93" s="5" t="s">
        <v>998</v>
      </c>
      <c r="G93" s="5" t="s">
        <v>251</v>
      </c>
      <c r="H93" s="5" t="s">
        <v>1218</v>
      </c>
      <c r="I93" s="5" t="s">
        <v>999</v>
      </c>
      <c r="J93" s="8" t="s">
        <v>503</v>
      </c>
      <c r="K93" s="10" t="s">
        <v>1229</v>
      </c>
    </row>
    <row r="94" customFormat="false" ht="15" hidden="false" customHeight="true" outlineLevel="0" collapsed="false">
      <c r="A94" s="5" t="s">
        <v>831</v>
      </c>
      <c r="B94" s="5" t="s">
        <v>1215</v>
      </c>
      <c r="C94" s="5" t="s">
        <v>1216</v>
      </c>
      <c r="D94" s="5" t="s">
        <v>1230</v>
      </c>
      <c r="E94" s="5" t="n">
        <v>3</v>
      </c>
      <c r="F94" s="5" t="s">
        <v>1010</v>
      </c>
      <c r="G94" s="5" t="s">
        <v>251</v>
      </c>
      <c r="H94" s="5" t="s">
        <v>1218</v>
      </c>
      <c r="I94" s="5" t="s">
        <v>1011</v>
      </c>
      <c r="J94" s="8" t="s">
        <v>503</v>
      </c>
      <c r="K94" s="10" t="s">
        <v>1231</v>
      </c>
    </row>
    <row r="95" customFormat="false" ht="15" hidden="false" customHeight="true" outlineLevel="0" collapsed="false">
      <c r="A95" s="5" t="s">
        <v>800</v>
      </c>
      <c r="B95" s="5" t="s">
        <v>1215</v>
      </c>
      <c r="C95" s="5" t="s">
        <v>1216</v>
      </c>
      <c r="D95" s="5" t="s">
        <v>1232</v>
      </c>
      <c r="E95" s="5" t="n">
        <v>3</v>
      </c>
      <c r="F95" s="5" t="s">
        <v>1010</v>
      </c>
      <c r="G95" s="5" t="s">
        <v>233</v>
      </c>
      <c r="H95" s="5" t="s">
        <v>1218</v>
      </c>
      <c r="I95" s="5" t="s">
        <v>1011</v>
      </c>
      <c r="J95" s="8" t="s">
        <v>503</v>
      </c>
      <c r="K95" s="10" t="s">
        <v>1233</v>
      </c>
    </row>
    <row r="96" customFormat="false" ht="15" hidden="false" customHeight="true" outlineLevel="0" collapsed="false">
      <c r="A96" s="5" t="s">
        <v>835</v>
      </c>
      <c r="B96" s="5" t="s">
        <v>1234</v>
      </c>
      <c r="C96" s="5" t="s">
        <v>1235</v>
      </c>
      <c r="D96" s="5" t="s">
        <v>1236</v>
      </c>
      <c r="E96" s="5" t="n">
        <v>3</v>
      </c>
      <c r="F96" s="5" t="s">
        <v>991</v>
      </c>
      <c r="G96" s="5" t="s">
        <v>251</v>
      </c>
      <c r="H96" s="5" t="s">
        <v>1237</v>
      </c>
      <c r="I96" s="5" t="s">
        <v>993</v>
      </c>
      <c r="J96" s="8" t="s">
        <v>503</v>
      </c>
      <c r="K96" s="10" t="s">
        <v>1238</v>
      </c>
    </row>
    <row r="97" customFormat="false" ht="15" hidden="false" customHeight="true" outlineLevel="0" collapsed="false">
      <c r="A97" s="5" t="s">
        <v>839</v>
      </c>
      <c r="B97" s="5" t="s">
        <v>1234</v>
      </c>
      <c r="C97" s="5" t="s">
        <v>1235</v>
      </c>
      <c r="D97" s="5" t="s">
        <v>1239</v>
      </c>
      <c r="E97" s="5" t="n">
        <v>5</v>
      </c>
      <c r="F97" s="5" t="s">
        <v>991</v>
      </c>
      <c r="G97" s="5" t="s">
        <v>251</v>
      </c>
      <c r="H97" s="5" t="s">
        <v>1237</v>
      </c>
      <c r="I97" s="5" t="s">
        <v>993</v>
      </c>
      <c r="J97" s="8" t="s">
        <v>503</v>
      </c>
      <c r="K97" s="10" t="s">
        <v>1240</v>
      </c>
    </row>
    <row r="98" customFormat="false" ht="15" hidden="false" customHeight="true" outlineLevel="0" collapsed="false">
      <c r="A98" s="5" t="s">
        <v>878</v>
      </c>
      <c r="B98" s="5" t="s">
        <v>1234</v>
      </c>
      <c r="C98" s="5" t="s">
        <v>1235</v>
      </c>
      <c r="D98" s="5" t="s">
        <v>1241</v>
      </c>
      <c r="E98" s="5" t="n">
        <v>3</v>
      </c>
      <c r="F98" s="5" t="s">
        <v>991</v>
      </c>
      <c r="G98" s="5" t="s">
        <v>270</v>
      </c>
      <c r="H98" s="5" t="s">
        <v>1237</v>
      </c>
      <c r="I98" s="5" t="s">
        <v>993</v>
      </c>
      <c r="J98" s="8" t="s">
        <v>503</v>
      </c>
      <c r="K98" s="10" t="s">
        <v>1242</v>
      </c>
    </row>
    <row r="99" customFormat="false" ht="15" hidden="false" customHeight="true" outlineLevel="0" collapsed="false">
      <c r="A99" s="5" t="s">
        <v>882</v>
      </c>
      <c r="B99" s="5" t="s">
        <v>1234</v>
      </c>
      <c r="C99" s="5" t="s">
        <v>1235</v>
      </c>
      <c r="D99" s="5" t="s">
        <v>1243</v>
      </c>
      <c r="E99" s="5" t="n">
        <v>3</v>
      </c>
      <c r="F99" s="5" t="s">
        <v>991</v>
      </c>
      <c r="G99" s="5" t="s">
        <v>270</v>
      </c>
      <c r="H99" s="5" t="s">
        <v>1237</v>
      </c>
      <c r="I99" s="5" t="s">
        <v>993</v>
      </c>
      <c r="J99" s="8" t="s">
        <v>503</v>
      </c>
      <c r="K99" s="10" t="s">
        <v>1244</v>
      </c>
    </row>
    <row r="100" customFormat="false" ht="15" hidden="false" customHeight="true" outlineLevel="0" collapsed="false">
      <c r="A100" s="5" t="s">
        <v>890</v>
      </c>
      <c r="B100" s="5" t="s">
        <v>1234</v>
      </c>
      <c r="C100" s="5" t="s">
        <v>1235</v>
      </c>
      <c r="D100" s="5" t="s">
        <v>1245</v>
      </c>
      <c r="E100" s="5" t="n">
        <v>3</v>
      </c>
      <c r="F100" s="5" t="s">
        <v>991</v>
      </c>
      <c r="G100" s="5" t="s">
        <v>270</v>
      </c>
      <c r="H100" s="5" t="s">
        <v>1237</v>
      </c>
      <c r="I100" s="5" t="s">
        <v>993</v>
      </c>
      <c r="J100" s="8" t="s">
        <v>503</v>
      </c>
      <c r="K100" s="10" t="s">
        <v>1246</v>
      </c>
    </row>
    <row r="101" customFormat="false" ht="15" hidden="false" customHeight="true" outlineLevel="0" collapsed="false">
      <c r="A101" s="5" t="s">
        <v>296</v>
      </c>
      <c r="B101" s="5" t="s">
        <v>1234</v>
      </c>
      <c r="C101" s="5" t="s">
        <v>1235</v>
      </c>
      <c r="D101" s="5" t="s">
        <v>1247</v>
      </c>
      <c r="E101" s="5" t="n">
        <v>3</v>
      </c>
      <c r="F101" s="5" t="s">
        <v>998</v>
      </c>
      <c r="G101" s="5" t="s">
        <v>291</v>
      </c>
      <c r="H101" s="5" t="s">
        <v>1237</v>
      </c>
      <c r="I101" s="5" t="s">
        <v>999</v>
      </c>
      <c r="J101" s="8" t="s">
        <v>503</v>
      </c>
      <c r="K101" s="10" t="s">
        <v>1248</v>
      </c>
    </row>
    <row r="102" customFormat="false" ht="15" hidden="false" customHeight="true" outlineLevel="0" collapsed="false">
      <c r="A102" s="5" t="s">
        <v>909</v>
      </c>
      <c r="B102" s="5" t="s">
        <v>1234</v>
      </c>
      <c r="C102" s="5" t="s">
        <v>1235</v>
      </c>
      <c r="D102" s="5" t="s">
        <v>1249</v>
      </c>
      <c r="E102" s="5" t="n">
        <v>2</v>
      </c>
      <c r="F102" s="5" t="s">
        <v>1010</v>
      </c>
      <c r="G102" s="5" t="s">
        <v>331</v>
      </c>
      <c r="H102" s="5" t="s">
        <v>1237</v>
      </c>
      <c r="I102" s="5" t="s">
        <v>1011</v>
      </c>
      <c r="J102" s="8" t="s">
        <v>503</v>
      </c>
      <c r="K102" s="10" t="s">
        <v>1250</v>
      </c>
    </row>
    <row r="103" customFormat="false" ht="15" hidden="false" customHeight="true" outlineLevel="0" collapsed="false">
      <c r="A103" s="5" t="s">
        <v>905</v>
      </c>
      <c r="B103" s="5" t="s">
        <v>1234</v>
      </c>
      <c r="C103" s="5" t="s">
        <v>1235</v>
      </c>
      <c r="D103" s="5" t="s">
        <v>1251</v>
      </c>
      <c r="E103" s="5" t="n">
        <v>2</v>
      </c>
      <c r="F103" s="5" t="s">
        <v>998</v>
      </c>
      <c r="G103" s="5" t="s">
        <v>291</v>
      </c>
      <c r="H103" s="5" t="s">
        <v>1237</v>
      </c>
      <c r="I103" s="5" t="s">
        <v>999</v>
      </c>
      <c r="J103" s="8" t="s">
        <v>503</v>
      </c>
      <c r="K103" s="10" t="s">
        <v>1252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2"/>
    <col collapsed="false" customWidth="true" hidden="false" outlineLevel="0" max="4" min="3" style="1" width="9"/>
    <col collapsed="false" customWidth="true" hidden="false" outlineLevel="0" max="5" min="5" style="1" width="8"/>
    <col collapsed="false" customWidth="true" hidden="false" outlineLevel="0" max="6" min="6" style="1" width="12"/>
    <col collapsed="false" customWidth="true" hidden="false" outlineLevel="0" max="7" min="7" style="1" width="14"/>
    <col collapsed="false" customWidth="true" hidden="false" outlineLevel="0" max="8" min="8" style="1" width="55"/>
  </cols>
  <sheetData>
    <row r="1" customFormat="false" ht="17.25" hidden="false" customHeight="true" outlineLevel="0" collapsed="false">
      <c r="A1" s="2" t="s">
        <v>1253</v>
      </c>
    </row>
    <row r="2" customFormat="false" ht="15" hidden="false" customHeight="true" outlineLevel="0" collapsed="false">
      <c r="A2" s="9" t="s">
        <v>1254</v>
      </c>
    </row>
    <row r="3" customFormat="false" ht="15" hidden="false" customHeight="true" outlineLevel="0" collapsed="false">
      <c r="A3" s="4" t="s">
        <v>124</v>
      </c>
      <c r="B3" s="4" t="s">
        <v>1255</v>
      </c>
      <c r="C3" s="4" t="s">
        <v>1256</v>
      </c>
      <c r="D3" s="4" t="s">
        <v>492</v>
      </c>
      <c r="E3" s="4" t="s">
        <v>498</v>
      </c>
      <c r="F3" s="4" t="s">
        <v>1257</v>
      </c>
      <c r="G3" s="4" t="s">
        <v>1258</v>
      </c>
      <c r="H3" s="4" t="s">
        <v>1259</v>
      </c>
    </row>
    <row r="4" customFormat="false" ht="15" hidden="false" customHeight="true" outlineLevel="0" collapsed="false">
      <c r="A4" s="6" t="s">
        <v>138</v>
      </c>
      <c r="B4" s="6" t="s">
        <v>1260</v>
      </c>
      <c r="C4" s="6" t="n">
        <f aca="false">COUNTIF(Traceability_Matrix!$G$4:$G$103,"S0")</f>
        <v>0</v>
      </c>
      <c r="D4" s="6" t="n">
        <f aca="false">SUMIF(Traceability_Matrix!$G$4:$G$103,"S0",Traceability_Matrix!$E$4:$E$103)</f>
        <v>0</v>
      </c>
      <c r="E4" s="6" t="n">
        <f aca="false">COUNTIFS(Traceability_Matrix!$G$4:$G$103,"S0",Traceability_Matrix!$J$4:$J$103,"Done-in-code")+COUNTIFS(Traceability_Matrix!$G$4:$G$103,"S0",Traceability_Matrix!$J$4:$J$103,"Done")</f>
        <v>0</v>
      </c>
      <c r="F4" s="6" t="n">
        <f aca="false">SUMIFS(Traceability_Matrix!$E$4:$E$103,Traceability_Matrix!$G$4:$G$103,"S0",Traceability_Matrix!$J$4:$J$103,"Done-in-code")+SUMIFS(Traceability_Matrix!$E$4:$E$103,Traceability_Matrix!$G$4:$G$103,"S0",Traceability_Matrix!$J$4:$J$103,"Done")</f>
        <v>0</v>
      </c>
      <c r="G4" s="12" t="n">
        <f aca="false">IFERROR((SUMIFS(Traceability_Matrix!$E$4:$E$103,Traceability_Matrix!$G$4:$G$103,"S0",Traceability_Matrix!$J$4:$J$103,"Done-in-code")+SUMIFS(Traceability_Matrix!$E$4:$E$103,Traceability_Matrix!$G$4:$G$103,"S0",Traceability_Matrix!$J$4:$J$103,"Done"))/SUMIF(Traceability_Matrix!$G$4:$G$103,"S0",Traceability_Matrix!$E$4:$E$103),0)</f>
        <v>0</v>
      </c>
      <c r="H4" s="5" t="s">
        <v>1261</v>
      </c>
    </row>
    <row r="5" customFormat="false" ht="15" hidden="false" customHeight="true" outlineLevel="0" collapsed="false">
      <c r="A5" s="6" t="s">
        <v>144</v>
      </c>
      <c r="B5" s="6" t="s">
        <v>1262</v>
      </c>
      <c r="C5" s="6" t="n">
        <f aca="false">COUNTIF(Traceability_Matrix!$G$4:$G$103,"S1")</f>
        <v>4</v>
      </c>
      <c r="D5" s="6" t="n">
        <f aca="false">SUMIF(Traceability_Matrix!$G$4:$G$103,"S1",Traceability_Matrix!$E$4:$E$103)</f>
        <v>13</v>
      </c>
      <c r="E5" s="6" t="n">
        <f aca="false">COUNTIFS(Traceability_Matrix!$G$4:$G$103,"S1",Traceability_Matrix!$J$4:$J$103,"Done-in-code")+COUNTIFS(Traceability_Matrix!$G$4:$G$103,"S1",Traceability_Matrix!$J$4:$J$103,"Done")</f>
        <v>4</v>
      </c>
      <c r="F5" s="6" t="n">
        <f aca="false">SUMIFS(Traceability_Matrix!$E$4:$E$103,Traceability_Matrix!$G$4:$G$103,"S1",Traceability_Matrix!$J$4:$J$103,"Done-in-code")+SUMIFS(Traceability_Matrix!$E$4:$E$103,Traceability_Matrix!$G$4:$G$103,"S1",Traceability_Matrix!$J$4:$J$103,"Done")</f>
        <v>13</v>
      </c>
      <c r="G5" s="12" t="n">
        <f aca="false">IFERROR((SUMIFS(Traceability_Matrix!$E$4:$E$103,Traceability_Matrix!$G$4:$G$103,"S1",Traceability_Matrix!$J$4:$J$103,"Done-in-code")+SUMIFS(Traceability_Matrix!$E$4:$E$103,Traceability_Matrix!$G$4:$G$103,"S1",Traceability_Matrix!$J$4:$J$103,"Done"))/SUMIF(Traceability_Matrix!$G$4:$G$103,"S1",Traceability_Matrix!$E$4:$E$103),0)</f>
        <v>1</v>
      </c>
      <c r="H5" s="5" t="s">
        <v>1263</v>
      </c>
    </row>
    <row r="6" customFormat="false" ht="15" hidden="false" customHeight="true" outlineLevel="0" collapsed="false">
      <c r="A6" s="6" t="s">
        <v>152</v>
      </c>
      <c r="B6" s="6" t="s">
        <v>1264</v>
      </c>
      <c r="C6" s="6" t="n">
        <f aca="false">COUNTIF(Traceability_Matrix!$G$4:$G$103,"S2")</f>
        <v>6</v>
      </c>
      <c r="D6" s="6" t="n">
        <f aca="false">SUMIF(Traceability_Matrix!$G$4:$G$103,"S2",Traceability_Matrix!$E$4:$E$103)</f>
        <v>29</v>
      </c>
      <c r="E6" s="6" t="n">
        <f aca="false">COUNTIFS(Traceability_Matrix!$G$4:$G$103,"S2",Traceability_Matrix!$J$4:$J$103,"Done-in-code")+COUNTIFS(Traceability_Matrix!$G$4:$G$103,"S2",Traceability_Matrix!$J$4:$J$103,"Done")</f>
        <v>6</v>
      </c>
      <c r="F6" s="6" t="n">
        <f aca="false">SUMIFS(Traceability_Matrix!$E$4:$E$103,Traceability_Matrix!$G$4:$G$103,"S2",Traceability_Matrix!$J$4:$J$103,"Done-in-code")+SUMIFS(Traceability_Matrix!$E$4:$E$103,Traceability_Matrix!$G$4:$G$103,"S2",Traceability_Matrix!$J$4:$J$103,"Done")</f>
        <v>29</v>
      </c>
      <c r="G6" s="12" t="n">
        <f aca="false">IFERROR((SUMIFS(Traceability_Matrix!$E$4:$E$103,Traceability_Matrix!$G$4:$G$103,"S2",Traceability_Matrix!$J$4:$J$103,"Done-in-code")+SUMIFS(Traceability_Matrix!$E$4:$E$103,Traceability_Matrix!$G$4:$G$103,"S2",Traceability_Matrix!$J$4:$J$103,"Done"))/SUMIF(Traceability_Matrix!$G$4:$G$103,"S2",Traceability_Matrix!$E$4:$E$103),0)</f>
        <v>1</v>
      </c>
      <c r="H6" s="5" t="s">
        <v>1265</v>
      </c>
    </row>
    <row r="7" customFormat="false" ht="15" hidden="false" customHeight="true" outlineLevel="0" collapsed="false">
      <c r="A7" s="6" t="s">
        <v>158</v>
      </c>
      <c r="B7" s="6" t="s">
        <v>1266</v>
      </c>
      <c r="C7" s="6" t="n">
        <f aca="false">COUNTIF(Traceability_Matrix!$G$4:$G$103,"S3")</f>
        <v>11</v>
      </c>
      <c r="D7" s="6" t="n">
        <f aca="false">SUMIF(Traceability_Matrix!$G$4:$G$103,"S3",Traceability_Matrix!$E$4:$E$103)</f>
        <v>47</v>
      </c>
      <c r="E7" s="6" t="n">
        <f aca="false">COUNTIFS(Traceability_Matrix!$G$4:$G$103,"S3",Traceability_Matrix!$J$4:$J$103,"Done-in-code")+COUNTIFS(Traceability_Matrix!$G$4:$G$103,"S3",Traceability_Matrix!$J$4:$J$103,"Done")</f>
        <v>11</v>
      </c>
      <c r="F7" s="6" t="n">
        <f aca="false">SUMIFS(Traceability_Matrix!$E$4:$E$103,Traceability_Matrix!$G$4:$G$103,"S3",Traceability_Matrix!$J$4:$J$103,"Done-in-code")+SUMIFS(Traceability_Matrix!$E$4:$E$103,Traceability_Matrix!$G$4:$G$103,"S3",Traceability_Matrix!$J$4:$J$103,"Done")</f>
        <v>47</v>
      </c>
      <c r="G7" s="12" t="n">
        <f aca="false">IFERROR((SUMIFS(Traceability_Matrix!$E$4:$E$103,Traceability_Matrix!$G$4:$G$103,"S3",Traceability_Matrix!$J$4:$J$103,"Done-in-code")+SUMIFS(Traceability_Matrix!$E$4:$E$103,Traceability_Matrix!$G$4:$G$103,"S3",Traceability_Matrix!$J$4:$J$103,"Done"))/SUMIF(Traceability_Matrix!$G$4:$G$103,"S3",Traceability_Matrix!$E$4:$E$103),0)</f>
        <v>1</v>
      </c>
      <c r="H7" s="5" t="s">
        <v>1267</v>
      </c>
    </row>
    <row r="8" customFormat="false" ht="15" hidden="false" customHeight="true" outlineLevel="0" collapsed="false">
      <c r="A8" s="6" t="s">
        <v>170</v>
      </c>
      <c r="B8" s="6" t="s">
        <v>1268</v>
      </c>
      <c r="C8" s="6" t="n">
        <f aca="false">COUNTIF(Traceability_Matrix!$G$4:$G$103,"S4")</f>
        <v>9</v>
      </c>
      <c r="D8" s="6" t="n">
        <f aca="false">SUMIF(Traceability_Matrix!$G$4:$G$103,"S4",Traceability_Matrix!$E$4:$E$103)</f>
        <v>34</v>
      </c>
      <c r="E8" s="6" t="n">
        <f aca="false">COUNTIFS(Traceability_Matrix!$G$4:$G$103,"S4",Traceability_Matrix!$J$4:$J$103,"Done-in-code")+COUNTIFS(Traceability_Matrix!$G$4:$G$103,"S4",Traceability_Matrix!$J$4:$J$103,"Done")</f>
        <v>9</v>
      </c>
      <c r="F8" s="6" t="n">
        <f aca="false">SUMIFS(Traceability_Matrix!$E$4:$E$103,Traceability_Matrix!$G$4:$G$103,"S4",Traceability_Matrix!$J$4:$J$103,"Done-in-code")+SUMIFS(Traceability_Matrix!$E$4:$E$103,Traceability_Matrix!$G$4:$G$103,"S4",Traceability_Matrix!$J$4:$J$103,"Done")</f>
        <v>34</v>
      </c>
      <c r="G8" s="12" t="n">
        <f aca="false">IFERROR((SUMIFS(Traceability_Matrix!$E$4:$E$103,Traceability_Matrix!$G$4:$G$103,"S4",Traceability_Matrix!$J$4:$J$103,"Done-in-code")+SUMIFS(Traceability_Matrix!$E$4:$E$103,Traceability_Matrix!$G$4:$G$103,"S4",Traceability_Matrix!$J$4:$J$103,"Done"))/SUMIF(Traceability_Matrix!$G$4:$G$103,"S4",Traceability_Matrix!$E$4:$E$103),0)</f>
        <v>1</v>
      </c>
      <c r="H8" s="5" t="s">
        <v>1269</v>
      </c>
    </row>
    <row r="9" customFormat="false" ht="15" hidden="false" customHeight="true" outlineLevel="0" collapsed="false">
      <c r="A9" s="6" t="s">
        <v>177</v>
      </c>
      <c r="B9" s="6" t="s">
        <v>1270</v>
      </c>
      <c r="C9" s="6" t="n">
        <f aca="false">COUNTIF(Traceability_Matrix!$G$4:$G$103,"S5")</f>
        <v>12</v>
      </c>
      <c r="D9" s="6" t="n">
        <f aca="false">SUMIF(Traceability_Matrix!$G$4:$G$103,"S5",Traceability_Matrix!$E$4:$E$103)</f>
        <v>50</v>
      </c>
      <c r="E9" s="6" t="n">
        <f aca="false">COUNTIFS(Traceability_Matrix!$G$4:$G$103,"S5",Traceability_Matrix!$J$4:$J$103,"Done-in-code")+COUNTIFS(Traceability_Matrix!$G$4:$G$103,"S5",Traceability_Matrix!$J$4:$J$103,"Done")</f>
        <v>12</v>
      </c>
      <c r="F9" s="6" t="n">
        <f aca="false">SUMIFS(Traceability_Matrix!$E$4:$E$103,Traceability_Matrix!$G$4:$G$103,"S5",Traceability_Matrix!$J$4:$J$103,"Done-in-code")+SUMIFS(Traceability_Matrix!$E$4:$E$103,Traceability_Matrix!$G$4:$G$103,"S5",Traceability_Matrix!$J$4:$J$103,"Done")</f>
        <v>50</v>
      </c>
      <c r="G9" s="12" t="n">
        <f aca="false">IFERROR((SUMIFS(Traceability_Matrix!$E$4:$E$103,Traceability_Matrix!$G$4:$G$103,"S5",Traceability_Matrix!$J$4:$J$103,"Done-in-code")+SUMIFS(Traceability_Matrix!$E$4:$E$103,Traceability_Matrix!$G$4:$G$103,"S5",Traceability_Matrix!$J$4:$J$103,"Done"))/SUMIF(Traceability_Matrix!$G$4:$G$103,"S5",Traceability_Matrix!$E$4:$E$103),0)</f>
        <v>1</v>
      </c>
      <c r="H9" s="5" t="s">
        <v>1271</v>
      </c>
    </row>
    <row r="10" customFormat="false" ht="15" hidden="false" customHeight="true" outlineLevel="0" collapsed="false">
      <c r="A10" s="6" t="s">
        <v>201</v>
      </c>
      <c r="B10" s="6" t="s">
        <v>1272</v>
      </c>
      <c r="C10" s="6" t="n">
        <f aca="false">COUNTIF(Traceability_Matrix!$G$4:$G$103,"S6")</f>
        <v>13</v>
      </c>
      <c r="D10" s="6" t="n">
        <f aca="false">SUMIF(Traceability_Matrix!$G$4:$G$103,"S6",Traceability_Matrix!$E$4:$E$103)</f>
        <v>60</v>
      </c>
      <c r="E10" s="6" t="n">
        <f aca="false">COUNTIFS(Traceability_Matrix!$G$4:$G$103,"S6",Traceability_Matrix!$J$4:$J$103,"Done-in-code")+COUNTIFS(Traceability_Matrix!$G$4:$G$103,"S6",Traceability_Matrix!$J$4:$J$103,"Done")</f>
        <v>13</v>
      </c>
      <c r="F10" s="6" t="n">
        <f aca="false">SUMIFS(Traceability_Matrix!$E$4:$E$103,Traceability_Matrix!$G$4:$G$103,"S6",Traceability_Matrix!$J$4:$J$103,"Done-in-code")+SUMIFS(Traceability_Matrix!$E$4:$E$103,Traceability_Matrix!$G$4:$G$103,"S6",Traceability_Matrix!$J$4:$J$103,"Done")</f>
        <v>60</v>
      </c>
      <c r="G10" s="12" t="n">
        <f aca="false">IFERROR((SUMIFS(Traceability_Matrix!$E$4:$E$103,Traceability_Matrix!$G$4:$G$103,"S6",Traceability_Matrix!$J$4:$J$103,"Done-in-code")+SUMIFS(Traceability_Matrix!$E$4:$E$103,Traceability_Matrix!$G$4:$G$103,"S6",Traceability_Matrix!$J$4:$J$103,"Done"))/SUMIF(Traceability_Matrix!$G$4:$G$103,"S6",Traceability_Matrix!$E$4:$E$103),0)</f>
        <v>1</v>
      </c>
      <c r="H10" s="5" t="s">
        <v>1273</v>
      </c>
    </row>
    <row r="11" customFormat="false" ht="15" hidden="false" customHeight="true" outlineLevel="0" collapsed="false">
      <c r="A11" s="6" t="s">
        <v>215</v>
      </c>
      <c r="B11" s="6" t="s">
        <v>1274</v>
      </c>
      <c r="C11" s="6" t="n">
        <f aca="false">COUNTIF(Traceability_Matrix!$G$4:$G$103,"S7")</f>
        <v>5</v>
      </c>
      <c r="D11" s="6" t="n">
        <f aca="false">SUMIF(Traceability_Matrix!$G$4:$G$103,"S7",Traceability_Matrix!$E$4:$E$103)</f>
        <v>15</v>
      </c>
      <c r="E11" s="6" t="n">
        <f aca="false">COUNTIFS(Traceability_Matrix!$G$4:$G$103,"S7",Traceability_Matrix!$J$4:$J$103,"Done-in-code")+COUNTIFS(Traceability_Matrix!$G$4:$G$103,"S7",Traceability_Matrix!$J$4:$J$103,"Done")</f>
        <v>5</v>
      </c>
      <c r="F11" s="6" t="n">
        <f aca="false">SUMIFS(Traceability_Matrix!$E$4:$E$103,Traceability_Matrix!$G$4:$G$103,"S7",Traceability_Matrix!$J$4:$J$103,"Done-in-code")+SUMIFS(Traceability_Matrix!$E$4:$E$103,Traceability_Matrix!$G$4:$G$103,"S7",Traceability_Matrix!$J$4:$J$103,"Done")</f>
        <v>15</v>
      </c>
      <c r="G11" s="12" t="n">
        <f aca="false">IFERROR((SUMIFS(Traceability_Matrix!$E$4:$E$103,Traceability_Matrix!$G$4:$G$103,"S7",Traceability_Matrix!$J$4:$J$103,"Done-in-code")+SUMIFS(Traceability_Matrix!$E$4:$E$103,Traceability_Matrix!$G$4:$G$103,"S7",Traceability_Matrix!$J$4:$J$103,"Done"))/SUMIF(Traceability_Matrix!$G$4:$G$103,"S7",Traceability_Matrix!$E$4:$E$103),0)</f>
        <v>1</v>
      </c>
      <c r="H11" s="5" t="s">
        <v>1275</v>
      </c>
    </row>
    <row r="12" customFormat="false" ht="15" hidden="false" customHeight="true" outlineLevel="0" collapsed="false">
      <c r="A12" s="6" t="s">
        <v>233</v>
      </c>
      <c r="B12" s="6" t="s">
        <v>1276</v>
      </c>
      <c r="C12" s="6" t="n">
        <f aca="false">COUNTIF(Traceability_Matrix!$G$4:$G$103,"S8")</f>
        <v>22</v>
      </c>
      <c r="D12" s="6" t="n">
        <f aca="false">SUMIF(Traceability_Matrix!$G$4:$G$103,"S8",Traceability_Matrix!$E$4:$E$103)</f>
        <v>87</v>
      </c>
      <c r="E12" s="6" t="n">
        <f aca="false">COUNTIFS(Traceability_Matrix!$G$4:$G$103,"S8",Traceability_Matrix!$J$4:$J$103,"Done-in-code")+COUNTIFS(Traceability_Matrix!$G$4:$G$103,"S8",Traceability_Matrix!$J$4:$J$103,"Done")</f>
        <v>22</v>
      </c>
      <c r="F12" s="6" t="n">
        <f aca="false">SUMIFS(Traceability_Matrix!$E$4:$E$103,Traceability_Matrix!$G$4:$G$103,"S8",Traceability_Matrix!$J$4:$J$103,"Done-in-code")+SUMIFS(Traceability_Matrix!$E$4:$E$103,Traceability_Matrix!$G$4:$G$103,"S8",Traceability_Matrix!$J$4:$J$103,"Done")</f>
        <v>87</v>
      </c>
      <c r="G12" s="12" t="n">
        <f aca="false">IFERROR((SUMIFS(Traceability_Matrix!$E$4:$E$103,Traceability_Matrix!$G$4:$G$103,"S8",Traceability_Matrix!$J$4:$J$103,"Done-in-code")+SUMIFS(Traceability_Matrix!$E$4:$E$103,Traceability_Matrix!$G$4:$G$103,"S8",Traceability_Matrix!$J$4:$J$103,"Done"))/SUMIF(Traceability_Matrix!$G$4:$G$103,"S8",Traceability_Matrix!$E$4:$E$103),0)</f>
        <v>1</v>
      </c>
      <c r="H12" s="5" t="s">
        <v>1277</v>
      </c>
    </row>
    <row r="13" customFormat="false" ht="15" hidden="false" customHeight="true" outlineLevel="0" collapsed="false">
      <c r="A13" s="6" t="s">
        <v>251</v>
      </c>
      <c r="B13" s="6" t="s">
        <v>1278</v>
      </c>
      <c r="C13" s="6" t="n">
        <f aca="false">COUNTIF(Traceability_Matrix!$G$4:$G$103,"S9")</f>
        <v>7</v>
      </c>
      <c r="D13" s="6" t="n">
        <f aca="false">SUMIF(Traceability_Matrix!$G$4:$G$103,"S9",Traceability_Matrix!$E$4:$E$103)</f>
        <v>30</v>
      </c>
      <c r="E13" s="6" t="n">
        <f aca="false">COUNTIFS(Traceability_Matrix!$G$4:$G$103,"S9",Traceability_Matrix!$J$4:$J$103,"Done-in-code")+COUNTIFS(Traceability_Matrix!$G$4:$G$103,"S9",Traceability_Matrix!$J$4:$J$103,"Done")</f>
        <v>6</v>
      </c>
      <c r="F13" s="6" t="n">
        <f aca="false">SUMIFS(Traceability_Matrix!$E$4:$E$103,Traceability_Matrix!$G$4:$G$103,"S9",Traceability_Matrix!$J$4:$J$103,"Done-in-code")+SUMIFS(Traceability_Matrix!$E$4:$E$103,Traceability_Matrix!$G$4:$G$103,"S9",Traceability_Matrix!$J$4:$J$103,"Done")</f>
        <v>22</v>
      </c>
      <c r="G13" s="12" t="n">
        <f aca="false">IFERROR((SUMIFS(Traceability_Matrix!$E$4:$E$103,Traceability_Matrix!$G$4:$G$103,"S9",Traceability_Matrix!$J$4:$J$103,"Done-in-code")+SUMIFS(Traceability_Matrix!$E$4:$E$103,Traceability_Matrix!$G$4:$G$103,"S9",Traceability_Matrix!$J$4:$J$103,"Done"))/SUMIF(Traceability_Matrix!$G$4:$G$103,"S9",Traceability_Matrix!$E$4:$E$103),0)</f>
        <v>0.733333333333333</v>
      </c>
      <c r="H13" s="11" t="s">
        <v>1279</v>
      </c>
    </row>
    <row r="14" customFormat="false" ht="15" hidden="false" customHeight="true" outlineLevel="0" collapsed="false">
      <c r="A14" s="6" t="s">
        <v>270</v>
      </c>
      <c r="B14" s="6" t="s">
        <v>1280</v>
      </c>
      <c r="C14" s="6" t="n">
        <f aca="false">COUNTIF(Traceability_Matrix!$G$4:$G$103,"S10")</f>
        <v>7</v>
      </c>
      <c r="D14" s="6" t="n">
        <f aca="false">SUMIF(Traceability_Matrix!$G$4:$G$103,"S10",Traceability_Matrix!$E$4:$E$103)</f>
        <v>24</v>
      </c>
      <c r="E14" s="6" t="n">
        <f aca="false">COUNTIFS(Traceability_Matrix!$G$4:$G$103,"S10",Traceability_Matrix!$J$4:$J$103,"Done-in-code")+COUNTIFS(Traceability_Matrix!$G$4:$G$103,"S10",Traceability_Matrix!$J$4:$J$103,"Done")</f>
        <v>6</v>
      </c>
      <c r="F14" s="6" t="n">
        <f aca="false">SUMIFS(Traceability_Matrix!$E$4:$E$103,Traceability_Matrix!$G$4:$G$103,"S10",Traceability_Matrix!$J$4:$J$103,"Done-in-code")+SUMIFS(Traceability_Matrix!$E$4:$E$103,Traceability_Matrix!$G$4:$G$103,"S10",Traceability_Matrix!$J$4:$J$103,"Done")</f>
        <v>19</v>
      </c>
      <c r="G14" s="12" t="n">
        <f aca="false">IFERROR((SUMIFS(Traceability_Matrix!$E$4:$E$103,Traceability_Matrix!$G$4:$G$103,"S10",Traceability_Matrix!$J$4:$J$103,"Done-in-code")+SUMIFS(Traceability_Matrix!$E$4:$E$103,Traceability_Matrix!$G$4:$G$103,"S10",Traceability_Matrix!$J$4:$J$103,"Done"))/SUMIF(Traceability_Matrix!$G$4:$G$103,"S10",Traceability_Matrix!$E$4:$E$103),0)</f>
        <v>0.791666666666667</v>
      </c>
      <c r="H14" s="11" t="s">
        <v>1281</v>
      </c>
    </row>
    <row r="15" customFormat="false" ht="15" hidden="false" customHeight="true" outlineLevel="0" collapsed="false">
      <c r="A15" s="6" t="s">
        <v>291</v>
      </c>
      <c r="B15" s="6" t="s">
        <v>1282</v>
      </c>
      <c r="C15" s="6" t="n">
        <f aca="false">COUNTIF(Traceability_Matrix!$G$4:$G$103,"S11")</f>
        <v>3</v>
      </c>
      <c r="D15" s="6" t="n">
        <f aca="false">SUMIF(Traceability_Matrix!$G$4:$G$103,"S11",Traceability_Matrix!$E$4:$E$103)</f>
        <v>8</v>
      </c>
      <c r="E15" s="6" t="n">
        <f aca="false">COUNTIFS(Traceability_Matrix!$G$4:$G$103,"S11",Traceability_Matrix!$J$4:$J$103,"Done-in-code")+COUNTIFS(Traceability_Matrix!$G$4:$G$103,"S11",Traceability_Matrix!$J$4:$J$103,"Done")</f>
        <v>3</v>
      </c>
      <c r="F15" s="6" t="n">
        <f aca="false">SUMIFS(Traceability_Matrix!$E$4:$E$103,Traceability_Matrix!$G$4:$G$103,"S11",Traceability_Matrix!$J$4:$J$103,"Done-in-code")+SUMIFS(Traceability_Matrix!$E$4:$E$103,Traceability_Matrix!$G$4:$G$103,"S11",Traceability_Matrix!$J$4:$J$103,"Done")</f>
        <v>8</v>
      </c>
      <c r="G15" s="12" t="n">
        <f aca="false">IFERROR((SUMIFS(Traceability_Matrix!$E$4:$E$103,Traceability_Matrix!$G$4:$G$103,"S11",Traceability_Matrix!$J$4:$J$103,"Done-in-code")+SUMIFS(Traceability_Matrix!$E$4:$E$103,Traceability_Matrix!$G$4:$G$103,"S11",Traceability_Matrix!$J$4:$J$103,"Done"))/SUMIF(Traceability_Matrix!$G$4:$G$103,"S11",Traceability_Matrix!$E$4:$E$103),0)</f>
        <v>1</v>
      </c>
      <c r="H15" s="11" t="s">
        <v>1283</v>
      </c>
    </row>
    <row r="16" customFormat="false" ht="15" hidden="false" customHeight="true" outlineLevel="0" collapsed="false">
      <c r="A16" s="6" t="s">
        <v>331</v>
      </c>
      <c r="B16" s="6" t="s">
        <v>1284</v>
      </c>
      <c r="C16" s="6" t="n">
        <f aca="false">COUNTIF(Traceability_Matrix!$G$4:$G$103,"S12")</f>
        <v>1</v>
      </c>
      <c r="D16" s="6" t="n">
        <f aca="false">SUMIF(Traceability_Matrix!$G$4:$G$103,"S12",Traceability_Matrix!$E$4:$E$103)</f>
        <v>2</v>
      </c>
      <c r="E16" s="6" t="n">
        <f aca="false">COUNTIFS(Traceability_Matrix!$G$4:$G$103,"S12",Traceability_Matrix!$J$4:$J$103,"Done-in-code")+COUNTIFS(Traceability_Matrix!$G$4:$G$103,"S12",Traceability_Matrix!$J$4:$J$103,"Done")</f>
        <v>1</v>
      </c>
      <c r="F16" s="6" t="n">
        <f aca="false">SUMIFS(Traceability_Matrix!$E$4:$E$103,Traceability_Matrix!$G$4:$G$103,"S12",Traceability_Matrix!$J$4:$J$103,"Done-in-code")+SUMIFS(Traceability_Matrix!$E$4:$E$103,Traceability_Matrix!$G$4:$G$103,"S12",Traceability_Matrix!$J$4:$J$103,"Done")</f>
        <v>2</v>
      </c>
      <c r="G16" s="12" t="n">
        <f aca="false">IFERROR((SUMIFS(Traceability_Matrix!$E$4:$E$103,Traceability_Matrix!$G$4:$G$103,"S12",Traceability_Matrix!$J$4:$J$103,"Done-in-code")+SUMIFS(Traceability_Matrix!$E$4:$E$103,Traceability_Matrix!$G$4:$G$103,"S12",Traceability_Matrix!$J$4:$J$103,"Done"))/SUMIF(Traceability_Matrix!$G$4:$G$103,"S12",Traceability_Matrix!$E$4:$E$103),0)</f>
        <v>1</v>
      </c>
      <c r="H16" s="11" t="s">
        <v>1285</v>
      </c>
    </row>
    <row r="17" customFormat="false" ht="15" hidden="false" customHeight="true" outlineLevel="0" collapsed="false">
      <c r="A17" s="13" t="s">
        <v>1286</v>
      </c>
      <c r="B17" s="6" t="s">
        <v>1287</v>
      </c>
      <c r="C17" s="6" t="n">
        <f aca="false">SUM(C4:C16)</f>
        <v>100</v>
      </c>
      <c r="D17" s="6" t="n">
        <f aca="false">SUM(D4:D16)</f>
        <v>399</v>
      </c>
      <c r="E17" s="6" t="n">
        <f aca="false">SUM(E4:E16)</f>
        <v>98</v>
      </c>
      <c r="F17" s="6" t="n">
        <f aca="false">SUM(F4:F16)</f>
        <v>386</v>
      </c>
      <c r="G17" s="12" t="n">
        <f aca="false">IFERROR(F17/D17,0)</f>
        <v>0.967418546365915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5"/>
    <col collapsed="false" customWidth="true" hidden="false" outlineLevel="0" max="3" min="3" style="1" width="9"/>
    <col collapsed="false" customWidth="true" hidden="false" outlineLevel="0" max="4" min="4" style="1" width="62"/>
    <col collapsed="false" customWidth="true" hidden="false" outlineLevel="0" max="5" min="5" style="1" width="10"/>
    <col collapsed="false" customWidth="true" hidden="false" outlineLevel="0" max="6" min="6" style="1" width="62"/>
  </cols>
  <sheetData>
    <row r="1" customFormat="false" ht="17.25" hidden="false" customHeight="true" outlineLevel="0" collapsed="false">
      <c r="A1" s="2" t="s">
        <v>1288</v>
      </c>
    </row>
    <row r="3" customFormat="false" ht="15" hidden="false" customHeight="true" outlineLevel="0" collapsed="false">
      <c r="A3" s="4" t="s">
        <v>123</v>
      </c>
      <c r="B3" s="4" t="s">
        <v>1289</v>
      </c>
      <c r="C3" s="4" t="s">
        <v>1290</v>
      </c>
      <c r="D3" s="4" t="s">
        <v>490</v>
      </c>
      <c r="E3" s="4" t="s">
        <v>6</v>
      </c>
      <c r="F3" s="4" t="s">
        <v>1291</v>
      </c>
    </row>
    <row r="4" customFormat="false" ht="34.5" hidden="false" customHeight="true" outlineLevel="0" collapsed="false">
      <c r="A4" s="5" t="s">
        <v>1292</v>
      </c>
      <c r="B4" s="5" t="s">
        <v>1293</v>
      </c>
      <c r="C4" s="5" t="s">
        <v>27</v>
      </c>
      <c r="D4" s="5" t="s">
        <v>1294</v>
      </c>
      <c r="E4" s="5" t="s">
        <v>1295</v>
      </c>
      <c r="F4" s="5" t="s">
        <v>1296</v>
      </c>
    </row>
    <row r="5" customFormat="false" ht="23.25" hidden="false" customHeight="true" outlineLevel="0" collapsed="false">
      <c r="A5" s="5" t="s">
        <v>1297</v>
      </c>
      <c r="B5" s="5" t="s">
        <v>1293</v>
      </c>
      <c r="C5" s="5" t="s">
        <v>27</v>
      </c>
      <c r="D5" s="5" t="s">
        <v>1298</v>
      </c>
      <c r="E5" s="5" t="s">
        <v>1295</v>
      </c>
      <c r="F5" s="5" t="s">
        <v>1299</v>
      </c>
    </row>
    <row r="6" customFormat="false" ht="23.25" hidden="false" customHeight="true" outlineLevel="0" collapsed="false">
      <c r="A6" s="5" t="s">
        <v>1300</v>
      </c>
      <c r="B6" s="5" t="s">
        <v>1293</v>
      </c>
      <c r="C6" s="5" t="s">
        <v>27</v>
      </c>
      <c r="D6" s="5" t="s">
        <v>1301</v>
      </c>
      <c r="E6" s="5" t="s">
        <v>1295</v>
      </c>
      <c r="F6" s="5" t="s">
        <v>1302</v>
      </c>
    </row>
    <row r="7" customFormat="false" ht="23.25" hidden="false" customHeight="true" outlineLevel="0" collapsed="false">
      <c r="A7" s="5" t="s">
        <v>1303</v>
      </c>
      <c r="B7" s="5" t="s">
        <v>1304</v>
      </c>
      <c r="C7" s="5" t="s">
        <v>1305</v>
      </c>
      <c r="D7" s="5" t="s">
        <v>1306</v>
      </c>
      <c r="E7" s="8" t="s">
        <v>1307</v>
      </c>
      <c r="F7" s="5" t="s">
        <v>1308</v>
      </c>
    </row>
    <row r="8" customFormat="false" ht="34.5" hidden="false" customHeight="true" outlineLevel="0" collapsed="false">
      <c r="A8" s="5" t="s">
        <v>1309</v>
      </c>
      <c r="B8" s="5" t="s">
        <v>1293</v>
      </c>
      <c r="C8" s="5" t="s">
        <v>1305</v>
      </c>
      <c r="D8" s="5" t="s">
        <v>1310</v>
      </c>
      <c r="E8" s="5" t="s">
        <v>1295</v>
      </c>
      <c r="F8" s="5" t="s">
        <v>1311</v>
      </c>
    </row>
    <row r="9" customFormat="false" ht="34.5" hidden="false" customHeight="true" outlineLevel="0" collapsed="false">
      <c r="A9" s="5" t="s">
        <v>1312</v>
      </c>
      <c r="B9" s="5" t="s">
        <v>1293</v>
      </c>
      <c r="C9" s="5" t="s">
        <v>1313</v>
      </c>
      <c r="D9" s="5" t="s">
        <v>1314</v>
      </c>
      <c r="E9" s="5" t="s">
        <v>1295</v>
      </c>
      <c r="F9" s="5" t="s">
        <v>1315</v>
      </c>
    </row>
    <row r="10" customFormat="false" ht="23.25" hidden="false" customHeight="true" outlineLevel="0" collapsed="false">
      <c r="A10" s="5" t="s">
        <v>1316</v>
      </c>
      <c r="B10" s="5" t="s">
        <v>1317</v>
      </c>
      <c r="C10" s="5" t="s">
        <v>1305</v>
      </c>
      <c r="D10" s="5" t="s">
        <v>1318</v>
      </c>
      <c r="E10" s="5" t="s">
        <v>1295</v>
      </c>
      <c r="F10" s="5" t="s">
        <v>1319</v>
      </c>
    </row>
    <row r="11" customFormat="false" ht="23.25" hidden="false" customHeight="true" outlineLevel="0" collapsed="false">
      <c r="A11" s="5" t="s">
        <v>1320</v>
      </c>
      <c r="B11" s="5" t="s">
        <v>1317</v>
      </c>
      <c r="C11" s="5" t="s">
        <v>1313</v>
      </c>
      <c r="D11" s="5" t="s">
        <v>1321</v>
      </c>
      <c r="E11" s="5" t="s">
        <v>1295</v>
      </c>
      <c r="F11" s="5" t="s">
        <v>1322</v>
      </c>
    </row>
    <row r="12" customFormat="false" ht="23.25" hidden="false" customHeight="true" outlineLevel="0" collapsed="false">
      <c r="A12" s="5" t="s">
        <v>1323</v>
      </c>
      <c r="B12" s="5" t="s">
        <v>1324</v>
      </c>
      <c r="C12" s="5" t="s">
        <v>1325</v>
      </c>
      <c r="D12" s="5" t="s">
        <v>1326</v>
      </c>
      <c r="E12" s="5" t="s">
        <v>1327</v>
      </c>
      <c r="F12" s="5" t="s">
        <v>1328</v>
      </c>
    </row>
    <row r="13" customFormat="false" ht="23.25" hidden="false" customHeight="true" outlineLevel="0" collapsed="false">
      <c r="A13" s="5" t="s">
        <v>1329</v>
      </c>
      <c r="B13" s="5" t="s">
        <v>1324</v>
      </c>
      <c r="C13" s="5" t="s">
        <v>1330</v>
      </c>
      <c r="D13" s="5" t="s">
        <v>1331</v>
      </c>
      <c r="E13" s="5" t="s">
        <v>1327</v>
      </c>
      <c r="F13" s="5" t="s">
        <v>1332</v>
      </c>
    </row>
    <row r="14" customFormat="false" ht="34.5" hidden="false" customHeight="true" outlineLevel="0" collapsed="false">
      <c r="A14" s="5" t="s">
        <v>1333</v>
      </c>
      <c r="B14" s="5" t="s">
        <v>1293</v>
      </c>
      <c r="C14" s="5" t="s">
        <v>1334</v>
      </c>
      <c r="D14" s="5" t="s">
        <v>1335</v>
      </c>
      <c r="E14" s="5" t="s">
        <v>1295</v>
      </c>
      <c r="F14" s="5" t="s">
        <v>1336</v>
      </c>
    </row>
    <row r="15" customFormat="false" ht="45.75" hidden="false" customHeight="true" outlineLevel="0" collapsed="false">
      <c r="A15" s="5" t="s">
        <v>1337</v>
      </c>
      <c r="B15" s="5" t="s">
        <v>1293</v>
      </c>
      <c r="C15" s="5" t="s">
        <v>1334</v>
      </c>
      <c r="D15" s="5" t="s">
        <v>1338</v>
      </c>
      <c r="E15" s="5" t="s">
        <v>1339</v>
      </c>
      <c r="F15" s="5" t="s">
        <v>1340</v>
      </c>
    </row>
    <row r="16" customFormat="false" ht="45.75" hidden="false" customHeight="true" outlineLevel="0" collapsed="false">
      <c r="A16" s="5" t="s">
        <v>1341</v>
      </c>
      <c r="B16" s="5" t="s">
        <v>1293</v>
      </c>
      <c r="C16" s="5" t="s">
        <v>1334</v>
      </c>
      <c r="D16" s="5" t="s">
        <v>1342</v>
      </c>
      <c r="E16" s="5" t="s">
        <v>1295</v>
      </c>
      <c r="F16" s="5" t="s">
        <v>1343</v>
      </c>
    </row>
    <row r="17" customFormat="false" ht="34.5" hidden="false" customHeight="true" outlineLevel="0" collapsed="false">
      <c r="A17" s="5" t="s">
        <v>1344</v>
      </c>
      <c r="B17" s="5" t="s">
        <v>1317</v>
      </c>
      <c r="C17" s="5" t="s">
        <v>1334</v>
      </c>
      <c r="D17" s="5" t="s">
        <v>1345</v>
      </c>
      <c r="E17" s="5" t="s">
        <v>1295</v>
      </c>
      <c r="F17" s="5" t="s">
        <v>1346</v>
      </c>
    </row>
    <row r="18" customFormat="false" ht="57" hidden="false" customHeight="true" outlineLevel="0" collapsed="false">
      <c r="A18" s="5" t="s">
        <v>1347</v>
      </c>
      <c r="B18" s="5" t="s">
        <v>1293</v>
      </c>
      <c r="C18" s="5" t="s">
        <v>1334</v>
      </c>
      <c r="D18" s="5" t="s">
        <v>1348</v>
      </c>
      <c r="E18" s="5" t="s">
        <v>1339</v>
      </c>
      <c r="F18" s="5" t="s">
        <v>1349</v>
      </c>
    </row>
    <row r="19" customFormat="false" ht="45.75" hidden="false" customHeight="true" outlineLevel="0" collapsed="false">
      <c r="A19" s="5" t="s">
        <v>1350</v>
      </c>
      <c r="B19" s="5" t="s">
        <v>1293</v>
      </c>
      <c r="C19" s="5" t="s">
        <v>1334</v>
      </c>
      <c r="D19" s="5" t="s">
        <v>1351</v>
      </c>
      <c r="E19" s="5" t="s">
        <v>1295</v>
      </c>
      <c r="F19" s="5" t="s">
        <v>1352</v>
      </c>
    </row>
    <row r="20" customFormat="false" ht="45.75" hidden="false" customHeight="true" outlineLevel="0" collapsed="false">
      <c r="A20" s="5" t="s">
        <v>1353</v>
      </c>
      <c r="B20" s="5" t="s">
        <v>1293</v>
      </c>
      <c r="C20" s="5" t="s">
        <v>1334</v>
      </c>
      <c r="D20" s="5" t="s">
        <v>1354</v>
      </c>
      <c r="E20" s="5" t="s">
        <v>1355</v>
      </c>
      <c r="F20" s="5" t="s">
        <v>1356</v>
      </c>
    </row>
    <row r="21" customFormat="false" ht="34.5" hidden="false" customHeight="true" outlineLevel="0" collapsed="false">
      <c r="A21" s="5" t="s">
        <v>1357</v>
      </c>
      <c r="B21" s="5" t="s">
        <v>1293</v>
      </c>
      <c r="C21" s="5" t="s">
        <v>1334</v>
      </c>
      <c r="D21" s="5" t="s">
        <v>1358</v>
      </c>
      <c r="E21" s="5" t="s">
        <v>1295</v>
      </c>
      <c r="F21" s="5" t="s">
        <v>1359</v>
      </c>
    </row>
    <row r="22" customFormat="false" ht="68.25" hidden="false" customHeight="true" outlineLevel="0" collapsed="false">
      <c r="A22" s="5" t="s">
        <v>1360</v>
      </c>
      <c r="B22" s="5" t="s">
        <v>1293</v>
      </c>
      <c r="C22" s="5" t="s">
        <v>1334</v>
      </c>
      <c r="D22" s="5" t="s">
        <v>1361</v>
      </c>
      <c r="E22" s="5" t="s">
        <v>1355</v>
      </c>
      <c r="F22" s="5" t="s">
        <v>1362</v>
      </c>
    </row>
    <row r="23" customFormat="false" ht="57" hidden="false" customHeight="true" outlineLevel="0" collapsed="false">
      <c r="A23" s="5" t="s">
        <v>1363</v>
      </c>
      <c r="B23" s="5" t="s">
        <v>1364</v>
      </c>
      <c r="C23" s="5" t="s">
        <v>1334</v>
      </c>
      <c r="D23" s="5" t="s">
        <v>1365</v>
      </c>
      <c r="E23" s="5" t="s">
        <v>1295</v>
      </c>
      <c r="F23" s="5" t="s">
        <v>1366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2"/>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2" t="s">
        <v>1367</v>
      </c>
    </row>
    <row r="2" customFormat="false" ht="15" hidden="false" customHeight="true" outlineLevel="0" collapsed="false">
      <c r="A2" s="9" t="s">
        <v>1368</v>
      </c>
    </row>
    <row r="3" customFormat="false" ht="15" hidden="false" customHeight="true" outlineLevel="0" collapsed="false">
      <c r="A3" s="4" t="s">
        <v>123</v>
      </c>
      <c r="B3" s="4" t="s">
        <v>1369</v>
      </c>
      <c r="C3" s="4" t="s">
        <v>1370</v>
      </c>
      <c r="D3" s="4" t="s">
        <v>6</v>
      </c>
    </row>
    <row r="4" customFormat="false" ht="15" hidden="false" customHeight="true" outlineLevel="0" collapsed="false">
      <c r="A4" s="5" t="s">
        <v>1371</v>
      </c>
      <c r="B4" s="5" t="s">
        <v>1372</v>
      </c>
      <c r="C4" s="5" t="s">
        <v>1373</v>
      </c>
      <c r="D4" s="5" t="s">
        <v>1295</v>
      </c>
    </row>
    <row r="5" customFormat="false" ht="15" hidden="false" customHeight="true" outlineLevel="0" collapsed="false">
      <c r="A5" s="5" t="s">
        <v>1374</v>
      </c>
      <c r="B5" s="5" t="s">
        <v>1375</v>
      </c>
      <c r="C5" s="5" t="s">
        <v>1373</v>
      </c>
      <c r="D5" s="5" t="s">
        <v>1295</v>
      </c>
    </row>
    <row r="6" customFormat="false" ht="15" hidden="false" customHeight="true" outlineLevel="0" collapsed="false">
      <c r="A6" s="5" t="s">
        <v>1376</v>
      </c>
      <c r="B6" s="5" t="s">
        <v>1377</v>
      </c>
      <c r="C6" s="5" t="s">
        <v>1373</v>
      </c>
      <c r="D6" s="5" t="s">
        <v>1295</v>
      </c>
    </row>
    <row r="7" customFormat="false" ht="15" hidden="false" customHeight="true" outlineLevel="0" collapsed="false">
      <c r="A7" s="5" t="s">
        <v>1378</v>
      </c>
      <c r="B7" s="5" t="s">
        <v>1379</v>
      </c>
      <c r="C7" s="5" t="s">
        <v>1373</v>
      </c>
      <c r="D7" s="5" t="s">
        <v>1295</v>
      </c>
    </row>
    <row r="8" customFormat="false" ht="15" hidden="false" customHeight="true" outlineLevel="0" collapsed="false">
      <c r="A8" s="5" t="s">
        <v>1380</v>
      </c>
      <c r="B8" s="5" t="s">
        <v>1381</v>
      </c>
      <c r="C8" s="5" t="s">
        <v>1382</v>
      </c>
      <c r="D8" s="5" t="s">
        <v>1383</v>
      </c>
    </row>
    <row r="9" customFormat="false" ht="23.25" hidden="false" customHeight="true" outlineLevel="0" collapsed="false">
      <c r="A9" s="5" t="s">
        <v>1384</v>
      </c>
      <c r="B9" s="5" t="s">
        <v>1385</v>
      </c>
      <c r="C9" s="5" t="s">
        <v>1386</v>
      </c>
      <c r="D9" s="8" t="s">
        <v>1387</v>
      </c>
    </row>
    <row r="10" customFormat="false" ht="23.25" hidden="false" customHeight="true" outlineLevel="0" collapsed="false">
      <c r="A10" s="5" t="s">
        <v>722</v>
      </c>
      <c r="B10" s="5" t="s">
        <v>1388</v>
      </c>
      <c r="C10" s="5" t="s">
        <v>1389</v>
      </c>
      <c r="D10" s="14" t="s">
        <v>1390</v>
      </c>
    </row>
    <row r="11" customFormat="false" ht="15" hidden="false" customHeight="true" outlineLevel="0" collapsed="false">
      <c r="A11" s="5" t="s">
        <v>1391</v>
      </c>
      <c r="B11" s="5" t="s">
        <v>1392</v>
      </c>
      <c r="C11" s="5" t="s">
        <v>1393</v>
      </c>
      <c r="D11" s="8" t="s">
        <v>1394</v>
      </c>
    </row>
    <row r="12" customFormat="false" ht="15" hidden="false" customHeight="true" outlineLevel="0" collapsed="false">
      <c r="A12" s="5" t="s">
        <v>1395</v>
      </c>
      <c r="B12" s="5" t="s">
        <v>1396</v>
      </c>
      <c r="C12" s="5" t="s">
        <v>1397</v>
      </c>
      <c r="D12" s="5" t="s">
        <v>1398</v>
      </c>
    </row>
    <row r="13" customFormat="false" ht="15" hidden="false" customHeight="true" outlineLevel="0" collapsed="false">
      <c r="A13" s="5" t="s">
        <v>1399</v>
      </c>
      <c r="B13" s="5" t="s">
        <v>1400</v>
      </c>
      <c r="C13" s="5" t="s">
        <v>1401</v>
      </c>
      <c r="D13" s="11" t="s">
        <v>1402</v>
      </c>
    </row>
    <row r="14" customFormat="false" ht="23.25" hidden="false" customHeight="true" outlineLevel="0" collapsed="false">
      <c r="A14" s="5" t="s">
        <v>1403</v>
      </c>
      <c r="B14" s="5" t="s">
        <v>1404</v>
      </c>
      <c r="C14" s="5" t="s">
        <v>1405</v>
      </c>
      <c r="D14" s="8" t="s">
        <v>1406</v>
      </c>
    </row>
    <row r="15" customFormat="false" ht="23.25" hidden="false" customHeight="true" outlineLevel="0" collapsed="false">
      <c r="A15" s="5" t="s">
        <v>1407</v>
      </c>
      <c r="B15" s="5" t="s">
        <v>1408</v>
      </c>
      <c r="C15" s="5" t="s">
        <v>1409</v>
      </c>
      <c r="D15" s="8" t="s">
        <v>1410</v>
      </c>
    </row>
    <row r="16" customFormat="false" ht="15" hidden="false" customHeight="true" outlineLevel="0" collapsed="false">
      <c r="A16" s="5" t="s">
        <v>1411</v>
      </c>
      <c r="B16" s="5" t="s">
        <v>1412</v>
      </c>
      <c r="C16" s="5" t="s">
        <v>1413</v>
      </c>
      <c r="D16" s="8" t="s">
        <v>1414</v>
      </c>
    </row>
    <row r="17" customFormat="false" ht="15" hidden="false" customHeight="true" outlineLevel="0" collapsed="false">
      <c r="A17" s="5" t="s">
        <v>1415</v>
      </c>
      <c r="B17" s="5" t="s">
        <v>1416</v>
      </c>
      <c r="C17" s="5" t="s">
        <v>1417</v>
      </c>
      <c r="D17" s="8" t="s">
        <v>1418</v>
      </c>
    </row>
    <row r="19" customFormat="false" ht="57" hidden="false" customHeight="true" outlineLevel="0" collapsed="false">
      <c r="A19" s="15" t="s">
        <v>1419</v>
      </c>
      <c r="B19" s="16" t="s">
        <v>1420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1"/>
    <col collapsed="false" customWidth="true" hidden="false" outlineLevel="0" max="3" min="3" style="1" width="20"/>
    <col collapsed="false" customWidth="true" hidden="false" outlineLevel="0" max="4" min="4" style="1" width="34"/>
    <col collapsed="false" customWidth="true" hidden="false" outlineLevel="0" max="5" min="5" style="1" width="78"/>
    <col collapsed="false" customWidth="true" hidden="false" outlineLevel="0" max="6" min="6" style="1" width="62"/>
  </cols>
  <sheetData>
    <row r="1" customFormat="false" ht="17.25" hidden="false" customHeight="true" outlineLevel="0" collapsed="false">
      <c r="A1" s="2" t="s">
        <v>1421</v>
      </c>
    </row>
    <row r="2" customFormat="false" ht="345" hidden="false" customHeight="true" outlineLevel="0" collapsed="false">
      <c r="A2" s="3" t="s">
        <v>1422</v>
      </c>
    </row>
    <row r="4" customFormat="false" ht="15" hidden="false" customHeight="true" outlineLevel="0" collapsed="false">
      <c r="A4" s="4" t="s">
        <v>123</v>
      </c>
      <c r="B4" s="4" t="s">
        <v>1423</v>
      </c>
      <c r="C4" s="4" t="s">
        <v>6</v>
      </c>
      <c r="D4" s="4" t="s">
        <v>1364</v>
      </c>
      <c r="E4" s="4" t="s">
        <v>1424</v>
      </c>
      <c r="F4" s="4" t="s">
        <v>1425</v>
      </c>
    </row>
    <row r="5" customFormat="false" ht="45.75" hidden="false" customHeight="true" outlineLevel="0" collapsed="false">
      <c r="A5" s="5" t="s">
        <v>1426</v>
      </c>
      <c r="B5" s="16" t="s">
        <v>1427</v>
      </c>
      <c r="C5" s="8" t="s">
        <v>1428</v>
      </c>
      <c r="D5" s="5" t="s">
        <v>1429</v>
      </c>
      <c r="E5" s="5" t="s">
        <v>1430</v>
      </c>
      <c r="F5" s="5" t="s">
        <v>1431</v>
      </c>
    </row>
    <row r="6" customFormat="false" ht="34.5" hidden="false" customHeight="true" outlineLevel="0" collapsed="false">
      <c r="A6" s="5" t="s">
        <v>1432</v>
      </c>
      <c r="B6" s="16" t="s">
        <v>1427</v>
      </c>
      <c r="C6" s="8" t="s">
        <v>1428</v>
      </c>
      <c r="D6" s="5" t="s">
        <v>1433</v>
      </c>
      <c r="E6" s="5" t="s">
        <v>1434</v>
      </c>
      <c r="F6" s="5" t="s">
        <v>1435</v>
      </c>
    </row>
    <row r="7" customFormat="false" ht="34.5" hidden="false" customHeight="true" outlineLevel="0" collapsed="false">
      <c r="A7" s="5" t="s">
        <v>1436</v>
      </c>
      <c r="B7" s="16" t="s">
        <v>1427</v>
      </c>
      <c r="C7" s="8" t="s">
        <v>1428</v>
      </c>
      <c r="D7" s="5" t="s">
        <v>1437</v>
      </c>
      <c r="E7" s="5" t="s">
        <v>1438</v>
      </c>
      <c r="F7" s="5" t="s">
        <v>1439</v>
      </c>
    </row>
    <row r="8" customFormat="false" ht="34.5" hidden="false" customHeight="true" outlineLevel="0" collapsed="false">
      <c r="A8" s="5" t="s">
        <v>1440</v>
      </c>
      <c r="B8" s="16" t="s">
        <v>1427</v>
      </c>
      <c r="C8" s="8" t="s">
        <v>1428</v>
      </c>
      <c r="D8" s="5" t="s">
        <v>1441</v>
      </c>
      <c r="E8" s="5" t="s">
        <v>1442</v>
      </c>
      <c r="F8" s="5" t="s">
        <v>1443</v>
      </c>
    </row>
    <row r="9" customFormat="false" ht="34.5" hidden="false" customHeight="true" outlineLevel="0" collapsed="false">
      <c r="A9" s="5" t="s">
        <v>1444</v>
      </c>
      <c r="B9" s="16" t="s">
        <v>1427</v>
      </c>
      <c r="C9" s="8" t="s">
        <v>1428</v>
      </c>
      <c r="D9" s="5" t="s">
        <v>1445</v>
      </c>
      <c r="E9" s="5" t="s">
        <v>1446</v>
      </c>
      <c r="F9" s="5" t="s">
        <v>1447</v>
      </c>
    </row>
    <row r="10" customFormat="false" ht="34.5" hidden="false" customHeight="true" outlineLevel="0" collapsed="false">
      <c r="A10" s="5" t="s">
        <v>1448</v>
      </c>
      <c r="B10" s="5" t="s">
        <v>1449</v>
      </c>
      <c r="C10" s="8" t="s">
        <v>1428</v>
      </c>
      <c r="D10" s="5" t="s">
        <v>1450</v>
      </c>
      <c r="E10" s="5" t="s">
        <v>1451</v>
      </c>
      <c r="F10" s="5" t="s">
        <v>1452</v>
      </c>
    </row>
    <row r="11" customFormat="false" ht="34.5" hidden="false" customHeight="true" outlineLevel="0" collapsed="false">
      <c r="A11" s="5" t="s">
        <v>1453</v>
      </c>
      <c r="B11" s="5" t="s">
        <v>1449</v>
      </c>
      <c r="C11" s="8" t="s">
        <v>1428</v>
      </c>
      <c r="D11" s="5" t="s">
        <v>1454</v>
      </c>
      <c r="E11" s="5" t="s">
        <v>1455</v>
      </c>
      <c r="F11" s="5" t="s">
        <v>1456</v>
      </c>
    </row>
    <row r="12" customFormat="false" ht="34.5" hidden="false" customHeight="true" outlineLevel="0" collapsed="false">
      <c r="A12" s="5" t="s">
        <v>1457</v>
      </c>
      <c r="B12" s="5" t="s">
        <v>1458</v>
      </c>
      <c r="C12" s="8" t="s">
        <v>1428</v>
      </c>
      <c r="D12" s="5" t="s">
        <v>1459</v>
      </c>
      <c r="E12" s="5" t="s">
        <v>1460</v>
      </c>
      <c r="F12" s="5" t="s">
        <v>1461</v>
      </c>
    </row>
    <row r="13" customFormat="false" ht="34.5" hidden="false" customHeight="true" outlineLevel="0" collapsed="false">
      <c r="A13" s="5" t="s">
        <v>1462</v>
      </c>
      <c r="B13" s="5" t="s">
        <v>1458</v>
      </c>
      <c r="C13" s="8" t="s">
        <v>1428</v>
      </c>
      <c r="D13" s="5" t="s">
        <v>1463</v>
      </c>
      <c r="E13" s="5" t="s">
        <v>1464</v>
      </c>
      <c r="F13" s="5" t="s">
        <v>1465</v>
      </c>
    </row>
    <row r="14" customFormat="false" ht="15" hidden="false" customHeight="true" outlineLevel="0" collapsed="false">
      <c r="A14" s="15" t="s">
        <v>1466</v>
      </c>
    </row>
    <row r="15" customFormat="false" ht="23.25" hidden="false" customHeight="true" outlineLevel="0" collapsed="false">
      <c r="A15" s="5" t="s">
        <v>1467</v>
      </c>
      <c r="B15" s="5" t="s">
        <v>1449</v>
      </c>
      <c r="C15" s="8" t="s">
        <v>1428</v>
      </c>
      <c r="D15" s="5" t="s">
        <v>1468</v>
      </c>
      <c r="E15" s="5" t="s">
        <v>1469</v>
      </c>
      <c r="F15" s="5" t="s">
        <v>1470</v>
      </c>
    </row>
    <row r="16" customFormat="false" ht="23.25" hidden="false" customHeight="true" outlineLevel="0" collapsed="false">
      <c r="A16" s="5" t="s">
        <v>1471</v>
      </c>
      <c r="B16" s="5" t="s">
        <v>1458</v>
      </c>
      <c r="C16" s="8" t="s">
        <v>1428</v>
      </c>
      <c r="D16" s="5" t="s">
        <v>1472</v>
      </c>
      <c r="E16" s="5" t="s">
        <v>1473</v>
      </c>
      <c r="F16" s="5" t="s">
        <v>1474</v>
      </c>
    </row>
    <row r="17" customFormat="false" ht="34.5" hidden="false" customHeight="true" outlineLevel="0" collapsed="false">
      <c r="A17" s="5" t="s">
        <v>1475</v>
      </c>
      <c r="B17" s="5" t="s">
        <v>1458</v>
      </c>
      <c r="C17" s="8" t="s">
        <v>1428</v>
      </c>
      <c r="D17" s="5" t="s">
        <v>1476</v>
      </c>
      <c r="E17" s="5" t="s">
        <v>1477</v>
      </c>
      <c r="F17" s="5" t="s">
        <v>1478</v>
      </c>
    </row>
    <row r="18" customFormat="false" ht="23.25" hidden="false" customHeight="true" outlineLevel="0" collapsed="false">
      <c r="A18" s="5" t="s">
        <v>1479</v>
      </c>
      <c r="B18" s="5" t="s">
        <v>1480</v>
      </c>
      <c r="C18" s="8" t="s">
        <v>1428</v>
      </c>
      <c r="D18" s="5" t="s">
        <v>1481</v>
      </c>
      <c r="E18" s="5" t="s">
        <v>1482</v>
      </c>
      <c r="F18" s="5" t="s">
        <v>1483</v>
      </c>
    </row>
    <row r="19" customFormat="false" ht="15" hidden="false" customHeight="true" outlineLevel="0" collapsed="false">
      <c r="A19" s="15" t="s">
        <v>1484</v>
      </c>
    </row>
    <row r="20" customFormat="false" ht="79.5" hidden="false" customHeight="true" outlineLevel="0" collapsed="false">
      <c r="A20" s="5" t="s">
        <v>1485</v>
      </c>
      <c r="B20" s="16" t="s">
        <v>1486</v>
      </c>
      <c r="C20" s="8" t="s">
        <v>1428</v>
      </c>
      <c r="D20" s="5" t="s">
        <v>1487</v>
      </c>
      <c r="E20" s="5" t="s">
        <v>1488</v>
      </c>
      <c r="F20" s="5" t="s">
        <v>1489</v>
      </c>
    </row>
    <row r="21" customFormat="false" ht="90.75" hidden="false" customHeight="true" outlineLevel="0" collapsed="false">
      <c r="A21" s="5" t="s">
        <v>1490</v>
      </c>
      <c r="B21" s="16" t="s">
        <v>1486</v>
      </c>
      <c r="C21" s="8" t="s">
        <v>1428</v>
      </c>
      <c r="D21" s="5" t="s">
        <v>1491</v>
      </c>
      <c r="E21" s="5" t="s">
        <v>1492</v>
      </c>
      <c r="F21" s="5" t="s">
        <v>1493</v>
      </c>
    </row>
    <row r="22" customFormat="false" ht="102" hidden="false" customHeight="true" outlineLevel="0" collapsed="false">
      <c r="A22" s="5" t="s">
        <v>1494</v>
      </c>
      <c r="B22" s="16" t="s">
        <v>1486</v>
      </c>
      <c r="C22" s="11" t="s">
        <v>1495</v>
      </c>
      <c r="D22" s="5" t="s">
        <v>1496</v>
      </c>
      <c r="E22" s="5" t="s">
        <v>1497</v>
      </c>
      <c r="F22" s="5" t="s">
        <v>1498</v>
      </c>
    </row>
    <row r="23" customFormat="false" ht="113.25" hidden="false" customHeight="true" outlineLevel="0" collapsed="false">
      <c r="A23" s="5" t="s">
        <v>1499</v>
      </c>
      <c r="B23" s="16" t="s">
        <v>1449</v>
      </c>
      <c r="C23" s="8" t="s">
        <v>1428</v>
      </c>
      <c r="D23" s="5" t="s">
        <v>1500</v>
      </c>
      <c r="E23" s="5" t="s">
        <v>1501</v>
      </c>
      <c r="F23" s="5" t="s">
        <v>1502</v>
      </c>
    </row>
    <row r="24" customFormat="false" ht="113.25" hidden="false" customHeight="true" outlineLevel="0" collapsed="false">
      <c r="A24" s="5" t="s">
        <v>1503</v>
      </c>
      <c r="B24" s="14" t="s">
        <v>1504</v>
      </c>
      <c r="C24" s="8" t="s">
        <v>1428</v>
      </c>
      <c r="D24" s="5" t="s">
        <v>1505</v>
      </c>
      <c r="E24" s="5" t="s">
        <v>1506</v>
      </c>
      <c r="F24" s="5" t="s">
        <v>1507</v>
      </c>
    </row>
    <row r="25" customFormat="false" ht="135.75" hidden="false" customHeight="true" outlineLevel="0" collapsed="false">
      <c r="A25" s="5" t="s">
        <v>1508</v>
      </c>
      <c r="B25" s="16" t="s">
        <v>1449</v>
      </c>
      <c r="C25" s="8" t="s">
        <v>1428</v>
      </c>
      <c r="D25" s="5" t="s">
        <v>1509</v>
      </c>
      <c r="E25" s="5" t="s">
        <v>1510</v>
      </c>
      <c r="F25" s="5" t="s">
        <v>1511</v>
      </c>
    </row>
    <row r="26" customFormat="false" ht="79.5" hidden="false" customHeight="true" outlineLevel="0" collapsed="false">
      <c r="A26" s="5" t="s">
        <v>1512</v>
      </c>
      <c r="B26" s="16" t="s">
        <v>1449</v>
      </c>
      <c r="C26" s="8" t="s">
        <v>1428</v>
      </c>
      <c r="D26" s="5" t="s">
        <v>1513</v>
      </c>
      <c r="E26" s="5" t="s">
        <v>1514</v>
      </c>
      <c r="F26" s="5" t="s">
        <v>1515</v>
      </c>
    </row>
    <row r="27" customFormat="false" ht="15" hidden="false" customHeight="true" outlineLevel="0" collapsed="false">
      <c r="A27" s="15" t="s">
        <v>1516</v>
      </c>
    </row>
    <row r="28" customFormat="false" ht="79.5" hidden="false" customHeight="true" outlineLevel="0" collapsed="false">
      <c r="A28" s="5" t="s">
        <v>1517</v>
      </c>
      <c r="B28" s="16" t="s">
        <v>1427</v>
      </c>
      <c r="C28" s="8" t="s">
        <v>1428</v>
      </c>
      <c r="D28" s="5" t="s">
        <v>1518</v>
      </c>
      <c r="E28" s="5" t="s">
        <v>1519</v>
      </c>
      <c r="F28" s="5" t="s">
        <v>1520</v>
      </c>
    </row>
    <row r="29" customFormat="false" ht="34.5" hidden="false" customHeight="true" outlineLevel="0" collapsed="false">
      <c r="A29" s="5" t="s">
        <v>1521</v>
      </c>
      <c r="B29" s="16" t="s">
        <v>1449</v>
      </c>
      <c r="C29" s="8" t="s">
        <v>1428</v>
      </c>
      <c r="D29" s="5" t="s">
        <v>1522</v>
      </c>
      <c r="E29" s="5" t="s">
        <v>1523</v>
      </c>
      <c r="F29" s="5" t="s">
        <v>1524</v>
      </c>
    </row>
    <row r="30" customFormat="false" ht="34.5" hidden="false" customHeight="true" outlineLevel="0" collapsed="false">
      <c r="A30" s="5" t="s">
        <v>1525</v>
      </c>
      <c r="B30" s="16" t="s">
        <v>1449</v>
      </c>
      <c r="C30" s="8" t="s">
        <v>1428</v>
      </c>
      <c r="D30" s="5" t="s">
        <v>1526</v>
      </c>
      <c r="E30" s="5" t="s">
        <v>1527</v>
      </c>
      <c r="F30" s="5" t="s">
        <v>1528</v>
      </c>
    </row>
    <row r="31" customFormat="false" ht="45.75" hidden="false" customHeight="true" outlineLevel="0" collapsed="false">
      <c r="A31" s="5" t="s">
        <v>1529</v>
      </c>
      <c r="B31" s="5" t="s">
        <v>1458</v>
      </c>
      <c r="C31" s="11" t="s">
        <v>1295</v>
      </c>
      <c r="D31" s="5" t="s">
        <v>1530</v>
      </c>
      <c r="E31" s="5" t="s">
        <v>1531</v>
      </c>
      <c r="F31" s="5" t="s">
        <v>1532</v>
      </c>
    </row>
    <row r="32" customFormat="false" ht="34.5" hidden="false" customHeight="true" outlineLevel="0" collapsed="false">
      <c r="A32" s="5" t="s">
        <v>1533</v>
      </c>
      <c r="B32" s="5" t="s">
        <v>1458</v>
      </c>
      <c r="C32" s="11" t="s">
        <v>1295</v>
      </c>
      <c r="D32" s="5" t="s">
        <v>1534</v>
      </c>
      <c r="E32" s="5" t="s">
        <v>1535</v>
      </c>
      <c r="F32" s="5" t="s">
        <v>1536</v>
      </c>
    </row>
    <row r="33" customFormat="false" ht="102" hidden="false" customHeight="true" outlineLevel="0" collapsed="false">
      <c r="A33" s="5" t="s">
        <v>1537</v>
      </c>
      <c r="B33" s="16" t="s">
        <v>1449</v>
      </c>
      <c r="C33" s="8" t="s">
        <v>1428</v>
      </c>
      <c r="D33" s="5" t="s">
        <v>1538</v>
      </c>
      <c r="E33" s="5" t="s">
        <v>1539</v>
      </c>
      <c r="F33" s="5" t="s">
        <v>1540</v>
      </c>
    </row>
    <row r="34" customFormat="false" ht="102" hidden="false" customHeight="true" outlineLevel="0" collapsed="false">
      <c r="A34" s="5" t="s">
        <v>1541</v>
      </c>
      <c r="B34" s="16" t="s">
        <v>1458</v>
      </c>
      <c r="C34" s="8" t="s">
        <v>1428</v>
      </c>
      <c r="D34" s="5" t="s">
        <v>1542</v>
      </c>
      <c r="E34" s="5" t="s">
        <v>1543</v>
      </c>
      <c r="F34" s="5" t="s">
        <v>1544</v>
      </c>
    </row>
    <row r="35" customFormat="false" ht="135.75" hidden="false" customHeight="true" outlineLevel="0" collapsed="false">
      <c r="A35" s="5" t="s">
        <v>1545</v>
      </c>
      <c r="B35" s="5" t="s">
        <v>1546</v>
      </c>
      <c r="C35" s="8" t="s">
        <v>1307</v>
      </c>
      <c r="D35" s="5" t="s">
        <v>1547</v>
      </c>
      <c r="E35" s="5" t="s">
        <v>1548</v>
      </c>
      <c r="F35" s="5" t="s">
        <v>1549</v>
      </c>
    </row>
    <row r="36" customFormat="false" ht="113.25" hidden="false" customHeight="true" outlineLevel="0" collapsed="false">
      <c r="A36" s="5" t="s">
        <v>1550</v>
      </c>
      <c r="B36" s="16" t="s">
        <v>1449</v>
      </c>
      <c r="C36" s="8" t="s">
        <v>1428</v>
      </c>
      <c r="D36" s="5" t="s">
        <v>1551</v>
      </c>
      <c r="E36" s="5" t="s">
        <v>1552</v>
      </c>
      <c r="F36" s="5" t="s">
        <v>1553</v>
      </c>
    </row>
    <row r="37" customFormat="false" ht="113.25" hidden="false" customHeight="true" outlineLevel="0" collapsed="false">
      <c r="A37" s="5" t="s">
        <v>1554</v>
      </c>
      <c r="B37" s="5" t="s">
        <v>1458</v>
      </c>
      <c r="C37" s="11" t="s">
        <v>1555</v>
      </c>
      <c r="D37" s="5" t="s">
        <v>1556</v>
      </c>
      <c r="E37" s="5" t="s">
        <v>1557</v>
      </c>
      <c r="F37" s="5" t="s">
        <v>1558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2026-09-10T22:12:35Z</dcterms:created>
  <dc:creator>openpyxl</dc:creator>
  <dc:description/>
  <dc:language>en-US</dc:language>
  <cp:lastModifiedBy/>
  <dcterms:modified xsi:type="dcterms:W3CDTF">2026-09-13T19:35:56Z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