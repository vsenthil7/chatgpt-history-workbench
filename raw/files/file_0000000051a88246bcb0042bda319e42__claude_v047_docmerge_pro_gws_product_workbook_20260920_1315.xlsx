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Version_Control" sheetId="1" state="visible" r:id="rId1"/>
    <sheet xmlns:r="http://schemas.openxmlformats.org/officeDocument/2006/relationships" name="ReadMe_Scope" sheetId="2" state="visible" r:id="rId2"/>
    <sheet xmlns:r="http://schemas.openxmlformats.org/officeDocument/2006/relationships" name="Product_Spec" sheetId="3" state="visible" r:id="rId3"/>
    <sheet xmlns:r="http://schemas.openxmlformats.org/officeDocument/2006/relationships" name="Screens_Wireframes" sheetId="4" state="visible" r:id="rId4"/>
    <sheet xmlns:r="http://schemas.openxmlformats.org/officeDocument/2006/relationships" name="Full_Backlog" sheetId="5" state="visible" r:id="rId5"/>
    <sheet xmlns:r="http://schemas.openxmlformats.org/officeDocument/2006/relationships" name="Review_Response_Backlog" sheetId="6" state="visible" r:id="rId6"/>
    <sheet xmlns:r="http://schemas.openxmlformats.org/officeDocument/2006/relationships" name="Sprint_Board" sheetId="7" state="visible" r:id="rId7"/>
    <sheet xmlns:r="http://schemas.openxmlformats.org/officeDocument/2006/relationships" name="Sprint_Tracker_Log" sheetId="8" state="visible" r:id="rId8"/>
    <sheet xmlns:r="http://schemas.openxmlformats.org/officeDocument/2006/relationships" name="Traceability_Matrix" sheetId="9" state="visible" r:id="rId9"/>
    <sheet xmlns:r="http://schemas.openxmlformats.org/officeDocument/2006/relationships" name="Module_Traceability" sheetId="10" state="visible" r:id="rId10"/>
    <sheet xmlns:r="http://schemas.openxmlformats.org/officeDocument/2006/relationships" name="Financial_Model" sheetId="11" state="visible" r:id="rId11"/>
    <sheet xmlns:r="http://schemas.openxmlformats.org/officeDocument/2006/relationships" name="Financial_Model_v2" sheetId="12" state="visible" r:id="rId12"/>
    <sheet xmlns:r="http://schemas.openxmlformats.org/officeDocument/2006/relationships" name="GTM_Execution" sheetId="13" state="visible" r:id="rId13"/>
    <sheet xmlns:r="http://schemas.openxmlformats.org/officeDocument/2006/relationships" name="Launch_Checklist" sheetId="14" state="visible" r:id="rId14"/>
    <sheet xmlns:r="http://schemas.openxmlformats.org/officeDocument/2006/relationships" name="Metrics_Targets" sheetId="15" state="visible" r:id="rId15"/>
    <sheet xmlns:r="http://schemas.openxmlformats.org/officeDocument/2006/relationships" name="Risk_Register" sheetId="16" state="visible" r:id="rId16"/>
    <sheet xmlns:r="http://schemas.openxmlformats.org/officeDocument/2006/relationships" name="Review_Findings" sheetId="17" state="visible" r:id="rId17"/>
    <sheet xmlns:r="http://schemas.openxmlformats.org/officeDocument/2006/relationships" name="External_Review_CGPT_V001" sheetId="18" state="visible" r:id="rId18"/>
    <sheet xmlns:r="http://schemas.openxmlformats.org/officeDocument/2006/relationships" name="External_Review_PPLX_V001" sheetId="19" state="visible" r:id="rId19"/>
    <sheet xmlns:r="http://schemas.openxmlformats.org/officeDocument/2006/relationships" name="Enterprise_Scorecard" sheetId="20" state="visible" r:id="rId20"/>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0.0"/>
    <numFmt numFmtId="166" formatCode="&quot;$&quot;#,##0"/>
  </numFmts>
  <fonts count="25">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b val="1"/>
      <color rgb="FFFFFFFF"/>
      <sz val="10"/>
    </font>
    <font>
      <name val="Arial"/>
      <charset val="1"/>
      <family val="0"/>
      <sz val="10"/>
    </font>
    <font>
      <name val="Arial"/>
      <charset val="1"/>
      <family val="0"/>
      <sz val="9"/>
    </font>
    <font>
      <name val="Arial"/>
      <charset val="1"/>
      <family val="0"/>
      <b val="1"/>
      <sz val="9"/>
    </font>
    <font>
      <name val="Arial"/>
      <charset val="1"/>
      <family val="0"/>
      <color rgb="FF008000"/>
      <sz val="10"/>
    </font>
    <font>
      <name val="Arial"/>
      <charset val="1"/>
      <family val="0"/>
      <color rgb="FFB36B00"/>
      <sz val="10"/>
    </font>
    <font>
      <name val="Arial"/>
      <charset val="1"/>
      <family val="0"/>
      <color rgb="FF555555"/>
      <sz val="9"/>
    </font>
    <font>
      <name val="Arial"/>
      <charset val="1"/>
      <family val="0"/>
      <b val="1"/>
      <sz val="10"/>
    </font>
    <font>
      <name val="Arial"/>
      <charset val="1"/>
      <family val="0"/>
      <i val="1"/>
      <color rgb="FF555555"/>
      <sz val="9"/>
    </font>
    <font>
      <name val="Arial"/>
      <charset val="1"/>
      <family val="0"/>
      <b val="1"/>
      <color rgb="FF1F3864"/>
      <sz val="9"/>
    </font>
    <font>
      <name val="Arial"/>
      <charset val="1"/>
      <family val="0"/>
      <b val="1"/>
      <color rgb="FFC00000"/>
      <sz val="10"/>
    </font>
    <font>
      <name val="Arial"/>
      <charset val="1"/>
      <family val="0"/>
      <b val="1"/>
      <color rgb="FF008000"/>
      <sz val="10"/>
    </font>
    <font>
      <b val="1"/>
      <color rgb="FF1F3864"/>
      <sz val="14"/>
    </font>
    <font>
      <i val="1"/>
      <sz val="10"/>
    </font>
    <font>
      <b val="1"/>
      <color rgb="FF1F3864"/>
      <sz val="10"/>
    </font>
    <font>
      <sz val="10"/>
    </font>
    <font>
      <b val="1"/>
      <color rgb="FFFFFFFF"/>
      <sz val="10"/>
    </font>
    <font>
      <b val="1"/>
      <sz val="10"/>
    </font>
    <font>
      <b val="1"/>
      <color rgb="FF9C0006"/>
      <sz val="10"/>
    </font>
    <font>
      <b val="1"/>
      <color rgb="FF9C0006"/>
      <sz val="11"/>
    </font>
  </fonts>
  <fills count="9">
    <fill>
      <patternFill/>
    </fill>
    <fill>
      <patternFill patternType="gray125"/>
    </fill>
    <fill>
      <patternFill patternType="solid">
        <fgColor rgb="FF1F3864"/>
        <bgColor rgb="FF333333"/>
      </patternFill>
    </fill>
    <fill>
      <patternFill patternType="solid">
        <fgColor rgb="FFFFF2CC"/>
        <bgColor rgb="FFFFFFFF"/>
      </patternFill>
    </fill>
    <fill>
      <patternFill patternType="solid">
        <fgColor rgb="FFFFFF00"/>
      </patternFill>
    </fill>
    <fill>
      <patternFill patternType="solid">
        <fgColor rgb="FF1F3864"/>
      </patternFill>
    </fill>
    <fill>
      <patternFill patternType="solid">
        <fgColor rgb="FFC6EFCE"/>
      </patternFill>
    </fill>
    <fill>
      <patternFill patternType="solid">
        <fgColor rgb="FFFFC7CE"/>
      </patternFill>
    </fill>
    <fill>
      <patternFill patternType="solid">
        <fgColor rgb="FFFFEB9C"/>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general" vertical="top"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6"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5" fillId="2" borderId="0" applyAlignment="1" pivotButton="0" quotePrefix="0" xfId="0">
      <alignment horizontal="general" vertical="center" wrapText="1"/>
    </xf>
    <xf numFmtId="0" fontId="12" fillId="0" borderId="0" applyAlignment="1" pivotButton="0" quotePrefix="0" xfId="0">
      <alignment horizontal="general" vertical="bottom"/>
    </xf>
    <xf numFmtId="0" fontId="5" fillId="2" borderId="0" applyAlignment="1" pivotButton="0" quotePrefix="0" xfId="0">
      <alignment horizontal="general" vertical="bottom"/>
    </xf>
    <xf numFmtId="0" fontId="13" fillId="0" borderId="0" applyAlignment="1" pivotButton="0" quotePrefix="0" xfId="0">
      <alignment horizontal="general" vertical="bottom"/>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15" fillId="0" borderId="0" applyAlignment="1" pivotButton="0" quotePrefix="0" xfId="0">
      <alignment horizontal="general"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general" vertical="top"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0" fillId="0" borderId="4" pivotButton="0" quotePrefix="0" xfId="0"/>
    <xf numFmtId="0" fontId="0" fillId="0" borderId="5" pivotButton="0" quotePrefix="0" xfId="0"/>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1" fillId="0" borderId="0" applyAlignment="1" pivotButton="0" quotePrefix="0" xfId="0">
      <alignment horizontal="general" vertical="top" wrapText="1"/>
    </xf>
    <xf numFmtId="0" fontId="5" fillId="2" borderId="0" applyAlignment="1" pivotButton="0" quotePrefix="0" xfId="0">
      <alignment horizontal="general" vertical="center" wrapText="1"/>
    </xf>
    <xf numFmtId="0" fontId="12" fillId="0" borderId="0" applyAlignment="1" pivotButton="0" quotePrefix="0" xfId="0">
      <alignment horizontal="general" vertical="bottom"/>
    </xf>
    <xf numFmtId="0" fontId="5" fillId="2" borderId="0" applyAlignment="1" pivotButton="0" quotePrefix="0" xfId="0">
      <alignment horizontal="general" vertical="bottom"/>
    </xf>
    <xf numFmtId="0" fontId="13" fillId="0" borderId="0" applyAlignment="1" pivotButton="0" quotePrefix="0" xfId="0">
      <alignment horizontal="general" vertical="bottom"/>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23" fillId="0" borderId="0" applyAlignment="1" pivotButton="0" quotePrefix="0" xfId="0">
      <alignment vertical="top" wrapText="1"/>
    </xf>
    <xf numFmtId="0" fontId="17" fillId="0" borderId="0" pivotButton="0" quotePrefix="0" xfId="0"/>
    <xf numFmtId="0" fontId="18" fillId="0" borderId="0" applyAlignment="1" pivotButton="0" quotePrefix="0" xfId="0">
      <alignment vertical="top" wrapText="1"/>
    </xf>
    <xf numFmtId="0" fontId="19" fillId="0" borderId="0" pivotButton="0" quotePrefix="0" xfId="0"/>
    <xf numFmtId="0" fontId="20" fillId="0" borderId="0" pivotButton="0" quotePrefix="0" xfId="0"/>
    <xf numFmtId="0" fontId="20" fillId="4" borderId="0" pivotButton="0" quotePrefix="0" xfId="0"/>
    <xf numFmtId="164" fontId="20" fillId="4" borderId="0" pivotButton="0" quotePrefix="0" xfId="0"/>
    <xf numFmtId="0" fontId="21" fillId="5" borderId="0" pivotButton="0" quotePrefix="0" xfId="0"/>
    <xf numFmtId="0" fontId="21" fillId="5" borderId="0" applyAlignment="1" pivotButton="0" quotePrefix="0" xfId="0">
      <alignment horizontal="center"/>
    </xf>
    <xf numFmtId="0" fontId="20" fillId="0" borderId="0" applyAlignment="1" pivotButton="0" quotePrefix="0" xfId="0">
      <alignment vertical="top" wrapText="1"/>
    </xf>
    <xf numFmtId="3" fontId="20" fillId="0" borderId="0" pivotButton="0" quotePrefix="0" xfId="0"/>
    <xf numFmtId="165" fontId="20" fillId="0" borderId="0" pivotButton="0" quotePrefix="0" xfId="0"/>
    <xf numFmtId="0" fontId="22" fillId="0" borderId="0" applyAlignment="1" pivotButton="0" quotePrefix="0" xfId="0">
      <alignment vertical="top" wrapText="1"/>
    </xf>
    <xf numFmtId="166" fontId="22" fillId="0" borderId="0" pivotButton="0" quotePrefix="0" xfId="0"/>
    <xf numFmtId="166" fontId="20" fillId="0" borderId="0" pivotButton="0" quotePrefix="0" xfId="0"/>
    <xf numFmtId="0" fontId="22" fillId="0" borderId="0" pivotButton="0" quotePrefix="0" xfId="0"/>
    <xf numFmtId="0" fontId="22" fillId="6" borderId="0" pivotButton="0" quotePrefix="0" xfId="0"/>
    <xf numFmtId="0" fontId="21" fillId="5" borderId="0" applyAlignment="1" pivotButton="0" quotePrefix="0" xfId="0">
      <alignment vertical="top" wrapText="1"/>
    </xf>
    <xf numFmtId="0" fontId="20" fillId="6" borderId="0" applyAlignment="1" pivotButton="0" quotePrefix="0" xfId="0">
      <alignment vertical="top" wrapText="1"/>
    </xf>
    <xf numFmtId="0" fontId="20" fillId="7" borderId="0" applyAlignment="1" pivotButton="0" quotePrefix="0" xfId="0">
      <alignment vertical="top" wrapText="1"/>
    </xf>
    <xf numFmtId="0" fontId="13" fillId="0" borderId="0" applyAlignment="1" pivotButton="0" quotePrefix="0" xfId="0">
      <alignment horizontal="general" vertical="top" wrapText="1"/>
    </xf>
    <xf numFmtId="0" fontId="15" fillId="0" borderId="0" applyAlignment="1" pivotButton="0" quotePrefix="0" xfId="0">
      <alignment horizontal="general"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top" wrapText="1"/>
    </xf>
    <xf numFmtId="0" fontId="20" fillId="4"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19" fillId="0" borderId="0" applyAlignment="1" pivotButton="0" quotePrefix="0" xfId="0">
      <alignment vertical="top" wrapText="1"/>
    </xf>
    <xf numFmtId="0" fontId="6" fillId="7" borderId="1" applyAlignment="1" pivotButton="0" quotePrefix="0" xfId="0">
      <alignment horizontal="general" vertical="top" wrapText="1"/>
    </xf>
    <xf numFmtId="0" fontId="20" fillId="8" borderId="0" applyAlignment="1" pivotButton="0" quotePrefix="0" xfId="0">
      <alignment vertical="top" wrapText="1"/>
    </xf>
    <xf numFmtId="0" fontId="24"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B36B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6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25" min="1" max="1"/>
    <col width="18" customWidth="1" style="25" min="2" max="2"/>
    <col width="24" customWidth="1" style="25" min="3" max="3"/>
    <col width="80" customWidth="1" style="25" min="4" max="4"/>
    <col width="12" customWidth="1" style="25" min="5" max="5"/>
  </cols>
  <sheetData>
    <row r="1" ht="17.25" customHeight="1" s="26">
      <c r="A1" s="27" t="inlineStr">
        <is>
          <t>VERSION CONTROL — DocMerge Pro</t>
        </is>
      </c>
    </row>
    <row r="2"/>
    <row r="3" ht="15" customHeight="1" s="26">
      <c r="A3" s="28" t="inlineStr">
        <is>
          <t>Version</t>
        </is>
      </c>
      <c r="B3" s="28" t="inlineStr">
        <is>
          <t>Date</t>
        </is>
      </c>
      <c r="C3" s="28" t="inlineStr">
        <is>
          <t>Author</t>
        </is>
      </c>
      <c r="D3" s="28" t="inlineStr">
        <is>
          <t>Change</t>
        </is>
      </c>
      <c r="E3" s="28" t="inlineStr">
        <is>
          <t>Status</t>
        </is>
      </c>
    </row>
    <row r="4" ht="23.25" customHeight="1" s="26">
      <c r="A4" s="29" t="inlineStr">
        <is>
          <t>v001-v004</t>
        </is>
      </c>
      <c r="B4" s="29" t="inlineStr">
        <is>
          <t>2026-09-05</t>
        </is>
      </c>
      <c r="C4" s="29" t="inlineStr">
        <is>
          <t>Claude for Senthil/KP</t>
        </is>
      </c>
      <c r="D4" s="29" t="inlineStr">
        <is>
          <t>Lineage: marketplace master (868 entries) -&gt; portfolio plan (12 products) -&gt; wave-1 (RetainKit/ShiftDesk/EngageOS, v005) -&gt; this product selected for wave-3</t>
        </is>
      </c>
      <c r="E4" s="29" t="inlineStr">
        <is>
          <t>Released</t>
        </is>
      </c>
    </row>
    <row r="5" ht="34.5" customHeight="1" s="26">
      <c r="A5" s="29" t="inlineStr">
        <is>
          <t>v007</t>
        </is>
      </c>
      <c r="B5" s="29" t="inlineStr">
        <is>
          <t>2026-09-05 19:50</t>
        </is>
      </c>
      <c r="C5" s="29" t="inlineStr">
        <is>
          <t>Claude for Senthil/KP</t>
        </is>
      </c>
      <c r="D5" s="29" t="inlineStr">
        <is>
          <t>Full product workbook for DocMerge Pro on Google Workspace Marketplace: spec, screen inventory, 100+ story backlog, live sprint board, 18-month financial model (editable assumptions), GTM execution tasks, platform launch checklist, metric targets, risk register</t>
        </is>
      </c>
      <c r="E5" s="29" t="inlineStr">
        <is>
          <t>Released</t>
        </is>
      </c>
    </row>
    <row r="6" ht="23.25" customHeight="1" s="26">
      <c r="A6" s="30" t="inlineStr">
        <is>
          <t>v008</t>
        </is>
      </c>
      <c r="B6" s="30" t="inlineStr">
        <is>
          <t>2026-09-10 22:17</t>
        </is>
      </c>
      <c r="C6" s="30" t="inlineStr">
        <is>
          <t>Claude for Senthil/KP</t>
        </is>
      </c>
      <c r="D6" s="30" t="inlineStr">
        <is>
          <t>Sprint_Tracker_Log + Traceability_Matrix sheets added. S1 Foundation executed under D13 (100% automation coverage gate; S0 discovery interviews parked): ST-051/052/055/056 built in TypeScript (docmerge-pro-s1), 37 automated tests, 100% stmt/branch/func/line coverage, tsc strict clean. Backlog statuses updated; Sprint_Board live counts reflect S1 Done=4.</t>
        </is>
      </c>
      <c r="E6" s="30" t="inlineStr">
        <is>
          <t>Released</t>
        </is>
      </c>
    </row>
    <row r="7" ht="34.5" customHeight="1" s="26">
      <c r="A7" s="31" t="inlineStr">
        <is>
          <t>v009</t>
        </is>
      </c>
      <c r="B7" s="31" t="inlineStr">
        <is>
          <t>2026-09-10 22:23</t>
        </is>
      </c>
      <c r="C7" s="31" t="inlineStr">
        <is>
          <t>Claude for Senthil/KP</t>
        </is>
      </c>
      <c r="D7" s="31" t="inlineStr">
        <is>
          <t>S2 executed under D13: ST-001/002/003/004 (Template designer part 1 — defaults, happy-path render, rules/conditions, platform-error mapping + retry/backoff) + ST-053 (re-install restore within retention window) + ST-054 (owner/admin/member permission matrix enforced). Suite now 9 test files / 101 tests, 100% stmt/branch/func/line, tsc strict clean. Sprint_Board S2 Done=6.</t>
        </is>
      </c>
      <c r="E7" s="31" t="inlineStr">
        <is>
          <t>Released</t>
        </is>
      </c>
    </row>
    <row r="8" ht="34.5" customHeight="1" s="26">
      <c r="A8" s="31" t="inlineStr">
        <is>
          <t>v010</t>
        </is>
      </c>
      <c r="B8" s="31" t="inlineStr">
        <is>
          <t>2026-09-10 22:29</t>
        </is>
      </c>
      <c r="C8" s="31" t="inlineStr">
        <is>
          <t>Claude for Senthil/KP</t>
        </is>
      </c>
      <c r="D8" s="31" t="inlineStr">
        <is>
          <t>S3 executed under D13: Template designer part 2 (ST-005 sidebar surface end-to-end, ST-006 metrics/trends, ST-007 audit logging incl. denied attempts, ST-008 pause without data loss, ST-009 CSV + competitor importer, ST-010 notifications with per-type mute) + Batch generate skeleton (ST-011..014: defaults, per-row happy path, row rules, error/retry paths) + ST-085 closed as superseded by D13 at 100%. Defect found by the gate and fixed: withRetry was masking validation errors behind a generic platform message. Suite 13 files / 150 tests, 100% all metrics.</t>
        </is>
      </c>
      <c r="E8" s="31" t="inlineStr">
        <is>
          <t>Released</t>
        </is>
      </c>
    </row>
    <row r="9" ht="23.25" customHeight="1" s="26">
      <c r="A9" s="31" t="inlineStr">
        <is>
          <t>v011</t>
        </is>
      </c>
      <c r="B9" s="31" t="inlineStr">
        <is>
          <t>2026-09-10 22:52</t>
        </is>
      </c>
      <c r="C9" s="31" t="inlineStr">
        <is>
          <t>Claude for Senthil/KP</t>
        </is>
      </c>
      <c r="D9" s="31" t="inlineStr">
        <is>
          <t>S4 executed under D13: Batch part 2 (ST-015 batch sidebar end-to-end, ST-016 batch metrics/trends, ST-017 governed runner with allow/deny audit, ST-018 job pause without data loss, ST-019 row-data CSV + competitor import, ST-020 batch notifications with mute) + ST-071 activation funnel dashboard (install-&gt;setup-&gt;aha-&gt;habit with conversions) + ST-072 error tracking with release tagging and spike alerts (re-armable) + ST-086 E2E smoke suite gating the deploy job in .github/workflows/ci.yml. Suite 16 files / 180 tests, 100% all metrics, tsc strict clean. Sprint_Board S4 Done=9.</t>
        </is>
      </c>
      <c r="E9" s="31" t="inlineStr">
        <is>
          <t>Released</t>
        </is>
      </c>
    </row>
    <row r="10" ht="23.25" customHeight="1" s="26">
      <c r="A10" s="31" t="inlineStr">
        <is>
          <t>v012</t>
        </is>
      </c>
      <c r="B10" s="31" t="inlineStr">
        <is>
          <t>2026-09-10 23:03</t>
        </is>
      </c>
      <c r="C10" s="31" t="inlineStr">
        <is>
          <t>Claude for Senthil/KP</t>
        </is>
      </c>
      <c r="D10" s="31" t="inlineStr">
        <is>
          <t>S5 executed under D13: E-sign requests full module (ST-021 defaults, ST-022 sequential/parallel lifecycle draft-&gt;sent-&gt;partially_signed-&gt;completed/declined/expired, ST-023 validated rules incl. domain allow-lists, ST-024 delivery retry with mapped errors and no half-sent state, ST-025 sidebar create-&gt;send-&gt;track, ST-026 metrics, ST-027 allow/deny audit, ST-028 pause preserving signatures, ST-029 signer CSV + competitor import, ST-030 mute-aware notifications) + ST-078 first-run checklist with &lt;1-day aha budget + ST-079 empty states for all 9 screens. Suite 18 files / 217 tests, 100% all metrics. Companion tracker file v001 opened (claude_v001_docmerge_pro_sprint_tracker_traceability_20260910_2303.xlsx).</t>
        </is>
      </c>
      <c r="E10" s="31" t="inlineStr">
        <is>
          <t>Released</t>
        </is>
      </c>
    </row>
    <row r="11" ht="23.25" customHeight="1" s="26">
      <c r="A11" s="31" t="inlineStr">
        <is>
          <t>v013</t>
        </is>
      </c>
      <c r="B11" s="31" t="inlineStr">
        <is>
          <t>2026-09-11 08:20</t>
        </is>
      </c>
      <c r="C11" s="31" t="inlineStr">
        <is>
          <t>Claude for Senthil/KP</t>
        </is>
      </c>
      <c r="D11" s="31" t="inlineStr">
        <is>
          <t>S6 executed under D13: Auto-file to Drive full module (ST-031 one-screen defaults, ST-032 pattern-driven filing with built-in {{template}}/{{row}}/{{yyyy}}/{{mm}} tokens and named missing-token errors, ST-033 first-match routing rules, ST-034 retry/backoff with mapped errors, ST-035 sidebar file-last-batch flow, ST-036 filing metrics, ST-037 allow/deny audit, ST-038 pause, ST-039 routing-rule CSV + competitor import, ST-040 filing notifications; conflict policies rename/overwrite/skip with first-free-number rename) + Billing (ST-057 no-card 14-day trial with honest banner, ST-058 mid-cycle proration charge/credit verified to the cent, ST-059 marketplace-vs-Stripe provider routing + 1/3/7-day dunning, grace, downgrade-with-data). Suite 21 files / 264 tests, 100% all metrics. Tracker rolled to v002.</t>
        </is>
      </c>
      <c r="E11" s="31" t="inlineStr">
        <is>
          <t>Released</t>
        </is>
      </c>
    </row>
    <row r="12" ht="23.25" customHeight="1" s="26">
      <c r="A12" s="31" t="inlineStr">
        <is>
          <t>v014</t>
        </is>
      </c>
      <c r="B12" s="31" t="inlineStr">
        <is>
          <t>2026-09-13 09:55</t>
        </is>
      </c>
      <c r="C12" s="31" t="inlineStr">
        <is>
          <t>Claude for Senthil/KP</t>
        </is>
      </c>
      <c r="D12" s="31" t="inlineStr">
        <is>
          <t>S7 executed under D13: ST-060 dunning UX (3 emails on 1/3/7-day schedule, 7-day grace, then READ-ONLY mode — corrects S6 ST-059 which ended in downgrade-to-free; read-only retains plan and data, strictly less destructive), ST-061 plan limits with 80%/100% upgrade prompts across documents/templates/seats, ST-062 invoices with GST/VAT incl. B2B reverse charge and downloadable CSV receipts (closes the tax gap flagged at S6), ST-063 cancellation with reason-matched save-offer (offered once) + exit survey + access to period end, ST-064 machine-audited scope-to-feature least-privilege mapping + generated SCOPE_NARRATIVE.md for the OAuth/CASA pack. Suite 23 files / 305 tests, 100% all metrics. Tracker v003.</t>
        </is>
      </c>
      <c r="E12" s="31" t="inlineStr">
        <is>
          <t>Released</t>
        </is>
      </c>
    </row>
    <row r="13" ht="23.25" customHeight="1" s="26">
      <c r="A13" s="31" t="inlineStr">
        <is>
          <t>v015</t>
        </is>
      </c>
      <c r="B13" s="31" t="inlineStr">
        <is>
          <t>2026-09-13 10:22</t>
        </is>
      </c>
      <c r="C13" s="31" t="inlineStr">
        <is>
          <t>Claude for Senthil/KP</t>
        </is>
      </c>
      <c r="D13" s="31" t="inlineStr">
        <is>
          <t>S8 executed under D13 — largest sprint, 22 stories / 87 pts: Form-triggered generation ST-041..050 (submission pipeline with built-in redelivery dedupe, conditions, failure-as-result so the webhook stays up, sidebar activity feed, metrics, audit, pause, field-map import, notifications); Compliance ST-065 validated data-flow + retention policy (DATA_FLOW_AND_RETENTION.md published), ST-066 deployment posture verifier (encryption at rest, TLS floor, vault-only secrets), ST-067 hash-chained admin audit log detecting edits and deletions, ST-070 circuit breaker with half-open recovery; Analytics ST-073..077 (heatmap with unused-feature list, weekly digest, explained health score, CSV/warehouse export, configurable alert thresholds); QE ST-087 p95 budgets per surface, ST-088 deterministic 5x load test in CI, ST-092 blue/green deploy with pre-cutover health gate and verified rollback. Suite 26 files / 385 tests, 100% all metrics. Tracker v004.</t>
        </is>
      </c>
      <c r="E13" s="31" t="inlineStr">
        <is>
          <t>Released</t>
        </is>
      </c>
    </row>
    <row r="14" ht="23.25" customHeight="1" s="26">
      <c r="A14" s="31" t="inlineStr">
        <is>
          <t>v016</t>
        </is>
      </c>
      <c r="B14" s="31" t="inlineStr">
        <is>
          <t>2026-09-13 10:35</t>
        </is>
      </c>
      <c r="C14" s="31" t="inlineStr">
        <is>
          <t>Claude for Senthil/KP</t>
        </is>
      </c>
      <c r="D14" s="31" t="inlineStr">
        <is>
          <t>S9 executed under D13: ST-069 self-serve export + owner-only deletion with cancellable 7-day grace, ST-089 WCAG AA audit (contrast maths, accessible names, keyboard, focus, target size) with the shipped palette passing, ST-090 restore-drill harness verifying contents as well as RTO/RPO, ST-091 chaos degradation proving every dependency outage leaves the product usable with an explaining message, ST-093 two listing variants on genuinely different angles + a copy reviewer that flags risky claims, ST-094 asset-spec validator + 5-screenshot plan. ST-068 is PARTIAL, not Done: the evidence pack is built and published (SECURITY_EVIDENCE_PACK.md, 6 of 9 controls verified in code) but a penetration test is a third-party activity — readyForSubmission stays false until the external report is attached. Suite 28 files / 432 tests, 100% all metrics. Tracker v005.</t>
        </is>
      </c>
      <c r="E14" s="31" t="inlineStr">
        <is>
          <t>Released</t>
        </is>
      </c>
    </row>
    <row r="15" ht="23.25" customHeight="1" s="26">
      <c r="A15" s="31" t="inlineStr">
        <is>
          <t>v017</t>
        </is>
      </c>
      <c r="B15" s="31" t="inlineStr">
        <is>
          <t>2026-09-13 10:43</t>
        </is>
      </c>
      <c r="C15" s="31" t="inlineStr">
        <is>
          <t>Claude for Senthil/KP</t>
        </is>
      </c>
      <c r="D15" s="31" t="inlineStr">
        <is>
          <t>S10 executed under D13: ST-080 help centre — 15 launch articles documenting SHIPPED behaviour with weighted search and a doc-coverage report; ST-081 in-app support with first-response SLA measured in BUSINESS hours (a Friday-evening message does not burn SLA over the weekend); ST-084 status page with worst-component-wins overall status and incident comms templates that chase overdue updates; ST-095 plan matrix + FAQ built from the billing code itself, with a validator that catches published prices drifting from enforced ones; ST-096 trust page built from the scope manifest and retention policy so it cannot drift; ST-097 submission dry-run published (SUBMISSION_DRY_RUN.md) — verdict 10 of 20 items satisfied, NOT READY. ST-083 PARTIAL: sandbox/demo-data mode complete, 2-minute video needs a running app. Suite 30 files / 484 tests, 100% all metrics. Tracker v006.</t>
        </is>
      </c>
      <c r="E15" s="31" t="inlineStr">
        <is>
          <t>Released</t>
        </is>
      </c>
    </row>
    <row r="16" ht="23.25" customHeight="1" s="26">
      <c r="A16" s="31" t="inlineStr">
        <is>
          <t>v018</t>
        </is>
      </c>
      <c r="B16" s="31" t="inlineStr">
        <is>
          <t>2026-09-13 10:58</t>
        </is>
      </c>
      <c r="C16" s="31" t="inlineStr">
        <is>
          <t>Claude for Senthil/KP</t>
        </is>
      </c>
      <c r="D16" s="31" t="inlineStr">
        <is>
          <t>S11 + S12 executed under D13 — CODE BACKLOG COMPLETE. ST-082 review-ask engine whose rules are all about NOT asking (not before aha, not within 3 days of a failure, not inside a 30-day cooldown, never after two dismissals); ST-098 launch runbook with a go/no-go gate, monitoring watchlist where every item carries an action, a 35-minute rollback plan with per-step verification, and a comms tree with owners and deadlines (LAUNCH_RUNBOOK.md — current verdict NO-GO, 8 blocking); ST-100 partner-review pipeline that REFUSES to invite an at-risk account and warns on stale invitations; ST-099 SEO iteration that ignores sub-100-impression noise and recommends exactly one change so the effect is attributable. Suite 31 files / 516 tests, 100% all metrics across 33 modules. All 100 stories now Done or In progress; the two In progress (ST-068 pen test, ST-083 demo video) need a third party and a running app respectively. Tracker v007.</t>
        </is>
      </c>
      <c r="E16" s="31" t="inlineStr">
        <is>
          <t>Released</t>
        </is>
      </c>
    </row>
    <row r="17" ht="34.5" customHeight="1" s="26">
      <c r="A17" s="31" t="inlineStr">
        <is>
          <t>v019</t>
        </is>
      </c>
      <c r="B17" s="31" t="inlineStr">
        <is>
          <t>2026-09-13 11:05</t>
        </is>
      </c>
      <c r="C17" s="31" t="inlineStr">
        <is>
          <t>Claude for Senthil/KP</t>
        </is>
      </c>
      <c r="D17" s="31" t="inlineStr">
        <is>
          <t>BLOCKER-PREPARATION PASS (no new backlog stories — the code backlog was completed at v018). Built everything that can be built ahead of the launch blockers so each becomes hours rather than days: src/deployment.ts — full environment-variable spec (16 values with sources), validator, and a checkDeploymentReadiness gate that REFUSES to serve traffic on a misconfigured instance rather than failing on a customer request; .env.example generated from the spec. Three documents: GCP_SETUP_GUIDE.md (ordered LC-1 procedure with prerequisites and what each step unblocks), PENTEST_SCOPING_BRIEF.md (scope/out-of-scope/design decisions to probe, written from the shipped code so a tester can quote without a discovery call), CASA_PREFILL.md (questionnaire answered from evidence, with three controls marked NOT YET rather than answered aspirationally). Suite 32 files / 531 tests, 100% all metrics. Tracker v008.</t>
        </is>
      </c>
      <c r="E17" s="31" t="inlineStr">
        <is>
          <t>Released</t>
        </is>
      </c>
    </row>
    <row r="18" ht="23.25" customHeight="1" s="26">
      <c r="A18" s="31" t="inlineStr">
        <is>
          <t>v020</t>
        </is>
      </c>
      <c r="B18" s="31" t="inlineStr">
        <is>
          <t>2026-09-13 11:10</t>
        </is>
      </c>
      <c r="C18" s="31" t="inlineStr">
        <is>
          <t>Claude for Senthil/KP</t>
        </is>
      </c>
      <c r="D18" s="31" t="inlineStr">
        <is>
          <t>LC-9 CLOSED (content, not a backlog story): the 20-template launch gallery is built and published as TEMPLATE_GALLERY.md — 20 templates across finance, HR, legal, education, operations, and client services, each using at least one conditional section, each shipping sample data, and EVERY ONE rendered through the real template engine in tests rather than merely written. Structural validator catches duplicate slugs, rules pointing at missing placeholders or sections, sections with no rule, and sample rows that cannot fill the body. 61 search terms targeted — the gallery is the listing's organic-search surface per the GTM plan. Two defects found during the build: I had written 22 templates rather than 20, and two rules tested control fields that never render, which the real engine rejects. Suite 33 files / 567 tests, 100% all metrics.</t>
        </is>
      </c>
      <c r="E18" s="31" t="inlineStr">
        <is>
          <t>Released</t>
        </is>
      </c>
    </row>
    <row r="19" ht="15" customHeight="1" s="26">
      <c r="A19" s="31" t="inlineStr">
        <is>
          <t>v021</t>
        </is>
      </c>
      <c r="B19" s="31" t="inlineStr">
        <is>
          <t>2026-09-13 11:16</t>
        </is>
      </c>
      <c r="C19" s="31" t="inlineStr">
        <is>
          <t>Claude for Senthil/KP</t>
        </is>
      </c>
      <c r="D19" s="31" t="inlineStr">
        <is>
          <t>S12 growth model FRAME built (ST-095-adjacent; the S12 exit criterion, marked In progress not Done because the exit asks for CAC/LTV ESTIMATES and estimates without a cohort are assumptions): src/growthModel.ts restates the 18-month model as unit economics — lifetime, LTV, fully-loaded CAC that charges free-tier support against each conversion (~17 installs served per paying customer at 6%), payback, and a verdict that distinguishes a healthy ratio with slow payback from a marginal one. Three scenarios, sensitivity ranking, and a measurement plan pointing each assumption at instrumentation that already exists. FINDING: churn outranks conversion as the lever to measure first — intuition usually reaches for conversion. Published as GROWTH_MODEL.md. Suite 34 files / 589 tests, 100% all metrics.</t>
        </is>
      </c>
      <c r="E19" s="31" t="inlineStr">
        <is>
          <t>Released</t>
        </is>
      </c>
    </row>
    <row r="20" ht="15" customHeight="1" s="26">
      <c r="A20" s="31" t="inlineStr">
        <is>
          <t>v022</t>
        </is>
      </c>
      <c r="B20" s="31" t="n"/>
      <c r="C20" s="31" t="n"/>
      <c r="D20" s="31" t="inlineStr">
        <is>
          <t>PLANNED: live-evidence log only. No unblocked work remains.</t>
        </is>
      </c>
      <c r="E20" s="31" t="inlineStr">
        <is>
          <t>Planned</t>
        </is>
      </c>
    </row>
    <row r="21" ht="68.25" customHeight="1" s="26">
      <c r="A21" s="32" t="inlineStr">
        <is>
          <t>v022</t>
        </is>
      </c>
      <c r="B21" s="32" t="inlineStr">
        <is>
          <t>2026-09-13 11:21</t>
        </is>
      </c>
      <c r="C21" s="32" t="inlineStr">
        <is>
          <t>Claude for Senthil/KP</t>
        </is>
      </c>
      <c r="D21" s="31" t="inlineStr">
        <is>
          <t>ST-068 vendor outreach pack written (PENTEST_OUTREACH.md): a ready-to-send email that quotes from the written brief rather than requiring a discovery call, vendor shortlist criteria, and a quote-comparison rubric. External-facing copy is company-agnostic per standing instruction. FINDING carried into the pack: LEAD TIME, not price, is the binding constraint — it sits on the critical path beside CASA and the two waits can run in parallel, so both should be booked in the same week. No code change; suite unchanged at 589 tests / 100%.</t>
        </is>
      </c>
      <c r="E21" s="32" t="inlineStr">
        <is>
          <t>Released</t>
        </is>
      </c>
    </row>
    <row r="22" ht="23.25" customHeight="1" s="26">
      <c r="A22" s="32" t="inlineStr">
        <is>
          <t>v023</t>
        </is>
      </c>
      <c r="D22" s="31" t="inlineStr">
        <is>
          <t>PLANNED: live-evidence log only. All preparable work is complete; every remaining item needs Senthil or a third party.</t>
        </is>
      </c>
      <c r="E22" s="32" t="inlineStr">
        <is>
          <t>Planned</t>
        </is>
      </c>
    </row>
    <row r="23" ht="113.25" customHeight="1" s="26">
      <c r="A23" s="32" t="inlineStr">
        <is>
          <t>v023</t>
        </is>
      </c>
      <c r="B23" s="32" t="inlineStr">
        <is>
          <t>2026-09-13 11:24</t>
        </is>
      </c>
      <c r="C23" s="32" t="inlineStr">
        <is>
          <t>Claude for Senthil/KP</t>
        </is>
      </c>
      <c r="D23" s="31" t="inlineStr">
        <is>
          <t>COLD REVIEW PASS 1 — DocMerge first adversarial review, run because portfolio memory shows every sibling found real defects after declaring code-complete (TeleField L-T1). NINE findings in code already at 100% coverage, five CRITICAL. FIXED with regressions: DM-F02 read-only mode enforced nowhere (published behaviour absent from the product), DM-F03 plan limits enforced nowhere (published limits decorative), DM-F04 OAuth install had no CSRF state, DM-F05 webhooks entirely unauthenticated (a forged POST could revoke tokens and schedule deletion for any account), DM-F06 no production backoff existed at all. OPEN: DM-F01 CRITICAL no HTTP app exists behind any route, DM-F07 caller-declared identity, DM-F08 eleven unbounded ledgers, DM-F09 deletion has no implementation behind it. New Review_Findings sheet. 35 suites / 616 tests at 100%. The previous "code phase complete" claim was premature.</t>
        </is>
      </c>
      <c r="E23" s="32" t="inlineStr">
        <is>
          <t>Released</t>
        </is>
      </c>
    </row>
    <row r="24" ht="23.25" customHeight="1" s="26">
      <c r="A24" s="32" t="inlineStr">
        <is>
          <t>v024</t>
        </is>
      </c>
      <c r="D24" s="31" t="inlineStr">
        <is>
          <t>PLANNED: cold-review pass 2 — build the HTTP app (DM-F01), close DM-F07/F08/F09, then re-sweep.</t>
        </is>
      </c>
      <c r="E24" s="32" t="inlineStr">
        <is>
          <t>Planned</t>
        </is>
      </c>
    </row>
    <row r="25" ht="124.5" customHeight="1" s="26">
      <c r="A25" s="32" t="inlineStr">
        <is>
          <t>v024</t>
        </is>
      </c>
      <c r="B25" s="32" t="inlineStr">
        <is>
          <t>2026-09-13 11:31</t>
        </is>
      </c>
      <c r="C25" s="32" t="inlineStr">
        <is>
          <t>Claude for Senthil/KP</t>
        </is>
      </c>
      <c r="D25" s="31" t="inlineStr">
        <is>
          <t>DM-F01 and DM-F07 CLOSED — the two critical findings left open by cold-review pass 1. A real HTTP application now exists: framework-free router, 7 routes wired to the existing services, src/server.ts with npm start, and a readiness check that refuses to listen on a misconfigured environment. Identity is no longer caller-declared: HMAC-signed sessions carry account and role, so editing a role in a token fails verification and a session for one account is refused against another. Every mutating route is authenticated AND passes the entitlement gate, so read-only mode and plan limits are enforced on the wire rather than in principle; reads stay open in read-only mode. Server BOOTED FOR REAL and exercised over HTTP (healthz 200, unsigned webhook 401, unauthenticated route 401, unknown route 404) — the siblings taught that compiling is not running. 36 suites / 650 tests at 100%. Remaining from pass 1: DM-F08 unbounded ledgers, DM-F09 deletion has no implementation.</t>
        </is>
      </c>
      <c r="E25" s="32" t="inlineStr">
        <is>
          <t>Released</t>
        </is>
      </c>
    </row>
    <row r="26" ht="34.5" customHeight="1" s="26">
      <c r="A26" s="32" t="inlineStr">
        <is>
          <t>v025</t>
        </is>
      </c>
      <c r="D26" s="31" t="inlineStr">
        <is>
          <t>PLANNED: close DM-F08 (bounded ledgers) and DM-F09 (purge registry + schema), then cold-review pass 2 over the new HTTP layer — siblings found new surfaces inherit old blind spots (L-OC4).</t>
        </is>
      </c>
      <c r="E26" s="32" t="inlineStr">
        <is>
          <t>Planned</t>
        </is>
      </c>
    </row>
    <row r="27" ht="124.5" customHeight="1" s="26">
      <c r="A27" s="32" t="inlineStr">
        <is>
          <t>v025</t>
        </is>
      </c>
      <c r="B27" s="32" t="inlineStr">
        <is>
          <t>2026-09-13 11:37</t>
        </is>
      </c>
      <c r="C27" s="32" t="inlineStr">
        <is>
          <t>Claude for Senthil/KP</t>
        </is>
      </c>
      <c r="D27" s="31" t="inlineStr">
        <is>
          <t>PASS 1 CLOSED + PASS 2 COMPLETE. DM-F08 fixed: all 11 unbounded ledgers now FIFO-bounded with eviction counted rather than silent; the hash-chained admin audit needed a post-eviction chain anchor so verifyChain reports truncation instead of breaking. DM-F09 fixed: PurgeRegistry over 16 stores with a build-failing registration check, evidence receipts, incomplete-purge honesty — plus the database schema that never existed (3 migrations, ON DELETE CASCADE on every account-scoped table, npm run migrate). PASS 2 over the new HTTP layer found four more, all fixed: DM-F10 uncapped request body (memory exhaustion on an open port), DM-F11 abandoned OAuth states accumulating because sweep() was never called — the same built-but-never-wired class as F02/F03, DM-F12 no rate limiting anywhere, DM-F13 /healthz leaking the build version anonymously. Server booted and all four verified over real HTTP. 40 suites / 691 tests at 100%. All 13 cold-review findings now closed.</t>
        </is>
      </c>
      <c r="E27" s="32" t="inlineStr">
        <is>
          <t>Released</t>
        </is>
      </c>
    </row>
    <row r="28" ht="23.25" customHeight="1" s="26">
      <c r="A28" s="32" t="inlineStr">
        <is>
          <t>v026</t>
        </is>
      </c>
      <c r="D28" s="31" t="inlineStr">
        <is>
          <t>PLANNED: live-evidence log. Cold review complete across both passes; remaining work is Senthil/third-party.</t>
        </is>
      </c>
      <c r="E28" s="32" t="inlineStr">
        <is>
          <t>Planned</t>
        </is>
      </c>
    </row>
    <row r="29" ht="157.5" customHeight="1" s="26">
      <c r="A29" s="32" t="inlineStr">
        <is>
          <t>v026</t>
        </is>
      </c>
      <c r="B29" s="32" t="inlineStr">
        <is>
          <t>2026-09-13 11:51</t>
        </is>
      </c>
      <c r="C29" s="32" t="inlineStr">
        <is>
          <t>Claude for Senthil/KP</t>
        </is>
      </c>
      <c r="D29" s="31" t="inlineStr">
        <is>
          <t>EXTERNAL VERIFICATION SWEEP against live Google documentation — the step every sibling product ran after its cold review, and the step that found live-blocking defects in all of them. TWO LIVE-BLOCKING findings, both invisible to two clean internal passes because they are facts about the platform rather than the code. VER-DM1: the Workspace Marketplace does NOT push uninstall webhooks and the licenseNotification API is deprecated with no replacement — our uninstall endpoint was a handler for an event that never arrives, so token revocation, the retention clock, re-install restore and the purge chain would never have run. Fixed with a license reconciler that DETECTS uninstall (license state + revoked credential) and refuses to treat an API outage as one. VER-DM2: Google Forms cannot POST to an arbitrary URL — form submit needs an installable Apps Script trigger that calls UrlFetch itself, so the entire F5 feature (10 stories / 42 pts) rested on a capability that does not exist. Fixed by shipping the Apps Script forwarder that signs with the scheme our endpoint already verifies. 41 suites / 707 tests at 100%. CONSEQUENCE FOR SENTHIL: the form-trigger setup flow changes — ST-041 "one screen" and the help-centre article need rewording.</t>
        </is>
      </c>
      <c r="E29" s="32" t="inlineStr">
        <is>
          <t>Released</t>
        </is>
      </c>
    </row>
    <row r="30" ht="34.5" customHeight="1" s="26">
      <c r="A30" s="32" t="inlineStr">
        <is>
          <t>v027</t>
        </is>
      </c>
      <c r="D30" s="31" t="inlineStr">
        <is>
          <t>PLANNED: verification sweep part 2 (add-on surface, scopes, asset spec, CASA requirements) — the sweep found two blockers in its first two checks, so the remaining assumptions deserve the same treatment.</t>
        </is>
      </c>
      <c r="E30" s="32" t="inlineStr">
        <is>
          <t>Planned</t>
        </is>
      </c>
    </row>
    <row r="31" ht="124.5" customHeight="1" s="26">
      <c r="A31" s="32" t="inlineStr">
        <is>
          <t>v027</t>
        </is>
      </c>
      <c r="B31" s="32" t="inlineStr">
        <is>
          <t>2026-09-13 11:56</t>
        </is>
      </c>
      <c r="C31" s="32" t="inlineStr">
        <is>
          <t>Claude for Senthil/KP</t>
        </is>
      </c>
      <c r="D31" s="31" t="inlineStr">
        <is>
          <t>VERIFICATION SWEEP PART 2 — VER-DM3, the third live-blocking finding and the first that is a DECISION rather than a defect. Google has two add-on types with incompatible UI models and our features sit across both: the Workspace type is card-only (HTML forbidden), cannot read the open document, has no Apps Script triggers and is absent from Forms, but reaches mobile and every host app; the Editor type has HTML sidebars, document context and triggers, but is desktop-only and Editors-only. Twelve shipped stories cannot run on the Workspace surface as built, and the form feature cannot run there at all. Encoded as a test-pinned constraint matrix (src/addonSurface.ts) and presented as ADDON_SURFACE_DECISION.md; logged as D-DM1 for Senthil rather than decided unilaterally. 42 suites / 721 tests at 100%. Three live-blocking findings in four verification checks — the sweep is finding roughly one blocker per check, which says something about how far internal review can reach.</t>
        </is>
      </c>
      <c r="E31" s="32" t="inlineStr">
        <is>
          <t>Released</t>
        </is>
      </c>
    </row>
    <row r="32" ht="34.5" customHeight="1" s="26">
      <c r="A32" s="32" t="inlineStr">
        <is>
          <t>v028</t>
        </is>
      </c>
      <c r="D32" s="31" t="inlineStr">
        <is>
          <t>PLANNED: sweep part 3 (listing asset spec — TestPulse found theirs wrong; scope behaviour; CASA requirements) once D-DM1 is decided, since the surface choice changes the scope narrative.</t>
        </is>
      </c>
      <c r="E32" s="32" t="inlineStr">
        <is>
          <t>Planned</t>
        </is>
      </c>
    </row>
    <row r="33" ht="102" customHeight="1" s="26">
      <c r="A33" s="32" t="inlineStr">
        <is>
          <t>v028</t>
        </is>
      </c>
      <c r="B33" s="32" t="inlineStr">
        <is>
          <t>2026-09-13 12:01</t>
        </is>
      </c>
      <c r="C33" s="32" t="inlineStr">
        <is>
          <t>Claude for Senthil/KP</t>
        </is>
      </c>
      <c r="D33" s="31" t="inlineStr">
        <is>
          <t>VERIFICATION SWEEP PART 3 — VER-DM4: the listing asset and copy spec was invented and wrong in eight ways, including TWO REQUIRED ASSET FAMILIES that were absent entirely (application icons at 32/128 plus 48/96 because we now have a web app, and the 220x140 card banner), a forbidden-Google-name rule on the app name we had no check for, and the terms-of-service link missing from the submission checklist. Every copy limit was wrong in the strict direction, so the drafted variants were being held to tighter constraints than the platform applies. The promo video is an optional YouTube link, not the captioned upload we had specified. src/listing.ts rewritten against the live spec, LISTING_PACK.md regenerated, 13 tests pin the corrections. 42 suites / 729 tests at 100%. Four live findings in five verification checks.</t>
        </is>
      </c>
      <c r="E33" s="32" t="inlineStr">
        <is>
          <t>Released</t>
        </is>
      </c>
    </row>
    <row r="34" ht="23.25" customHeight="1" s="26">
      <c r="A34" s="32" t="inlineStr">
        <is>
          <t>v029</t>
        </is>
      </c>
      <c r="D34" s="31" t="inlineStr">
        <is>
          <t>PLANNED: sweep part 4 (OAuth verification + CASA requirements, scope behaviour) — the last unchecked assumptions; then D-DM1 gates the rest.</t>
        </is>
      </c>
      <c r="E34" s="32" t="inlineStr">
        <is>
          <t>Planned</t>
        </is>
      </c>
    </row>
    <row r="35" ht="135.75" customHeight="1" s="26">
      <c r="A35" s="32" t="inlineStr">
        <is>
          <t>v029</t>
        </is>
      </c>
      <c r="B35" s="32" t="inlineStr">
        <is>
          <t>2026-09-13 12:06</t>
        </is>
      </c>
      <c r="C35" s="32" t="inlineStr">
        <is>
          <t>Claude for Senthil/KP</t>
        </is>
      </c>
      <c r="D35" s="31" t="inlineStr">
        <is>
          <t>VERIFICATION SWEEP PART 4 — VER-DM5, the first finding that REMOVES work. Google routes app review by scope classification, and CASA is triggered only by RESTRICTED scopes. DocMerge requests none: drive.file is the recommended non-sensitive alternative to the restricted Drive scopes, userinfo.email is non-sensitive, and only spreadsheets.readonly and documents are sensitive — requiring Google app verification but not an assessment. CASA has been carried as a blocking multi-week paid item since S6 (R-D1, R-D10, LC-3) on an assumption nobody had checked. LC-3 downgraded to "likely not required, confirm in console" rather than deleted, because classification is per-project and Google may still ask. Found in the same pass: verification requires an unlisted YouTube DEMONSTRATION video (OAuth grant flow, consent screen showing the app name, detailed use of each sensitive scope) — a requirement we did not have, and separate from the optional marketing promo video. scopes.ts derives the review path from classifications with 7 pinning tests; SCOPE_NARRATIVE.md regenerated. 42 suites / 736 tests at 100%.</t>
        </is>
      </c>
      <c r="E35" s="32" t="inlineStr">
        <is>
          <t>Released</t>
        </is>
      </c>
    </row>
    <row r="36" ht="23.25" customHeight="1" s="26">
      <c r="A36" s="32" t="inlineStr">
        <is>
          <t>v030</t>
        </is>
      </c>
      <c r="D36" s="31" t="inlineStr">
        <is>
          <t>PLANNED: verification sweep COMPLETE across the five checkable assumption areas. Next work is D-DM1 (Senthil) and then live execution.</t>
        </is>
      </c>
      <c r="E36" s="32" t="inlineStr">
        <is>
          <t>Planned</t>
        </is>
      </c>
    </row>
    <row r="37" ht="147" customHeight="1" s="26">
      <c r="A37" s="32" t="inlineStr">
        <is>
          <t>v030</t>
        </is>
      </c>
      <c r="B37" s="32" t="inlineStr">
        <is>
          <t>2026-09-13 16:25</t>
        </is>
      </c>
      <c r="C37" s="32" t="inlineStr">
        <is>
          <t>Claude for Senthil/KP</t>
        </is>
      </c>
      <c r="D37" s="31" t="inlineStr">
        <is>
          <t>R-D4 CLOSED — Postgres adapter shipped. Every store had been an in-memory Map behind a typed interface, which was correct while no schema existed but left the interfaces never once implemented against a real database; the DM-F09 migrations were decorative until now. src/postgres.ts implements TokenStore, AccountRepo and TemplateRepo against the schema, plus purge targets for all 18 tables ordered children-before-parents so the row counts are real evidence rather than zero-because-already-cascaded. The SQL client is injected, so there is no pg dependency and the adapter is fully testable without a database. Details that would have bitten in production: BIGINT expiries are converted explicitly because the driver returns them as strings, template and rules write inside one transaction with rollback (a half-replaced rule set renders wrong output rather than failing), an absent rule value is stored as NULL not the string "undefined", and indirect tables are reached through their parent rather than a column they do not have. A test purges with a SQL-injection string and asserts it never reaches the statement text. 43 suites / 753 tests at 100%.</t>
        </is>
      </c>
      <c r="E37" s="32" t="inlineStr">
        <is>
          <t>Released</t>
        </is>
      </c>
    </row>
    <row r="38" ht="23.25" customHeight="1" s="26">
      <c r="A38" s="32" t="inlineStr">
        <is>
          <t>v031</t>
        </is>
      </c>
      <c r="D38" s="31" t="inlineStr">
        <is>
          <t>PLANNED: remaining in-memory stores (subscriptions, invoices, audit, telemetry, support) onto the adapter pattern; D-DM1 still gates the surface work.</t>
        </is>
      </c>
      <c r="E38" s="32" t="inlineStr">
        <is>
          <t>Planned</t>
        </is>
      </c>
    </row>
    <row r="39" ht="135.75" customHeight="1" s="26">
      <c r="A39" s="32" t="inlineStr">
        <is>
          <t>v031</t>
        </is>
      </c>
      <c r="B39" s="32" t="inlineStr">
        <is>
          <t>2026-09-13 16:29</t>
        </is>
      </c>
      <c r="C39" s="32" t="inlineStr">
        <is>
          <t>Claude for Senthil/KP</t>
        </is>
      </c>
      <c r="D39" s="31" t="inlineStr">
        <is>
          <t>DM-F14 — the remaining in-memory stores are a DURABILITY GAP, not merely unconverted. A restart resets every plan limit (each deploy silently grants every customer a fresh monthly allowance — a revenue leak invisible to tests, which start from zero anyway), resets billing state so paying customers look like trials, and evaporates the tamper-evident audit chain while restarting its numbering at genesis so the gap is not even visible. Usage counters fixed end to end: PlanLimitEnforcer now takes a UsageBackend; WriteThroughUsageBackend serves reads from a primed cache so the limit check stays synchronous, writes through with an atomic single-statement upsert (read-then-write loses increments exactly when a customer is near the limit), and counts write failures rather than failing the request. Subscription and admin-audit stores are built and tested — append-only with no update path, and lastSequence so the chain continues across restarts — but their services are NOT yet wired, which is stated rather than glossed because this codebase has already produced two built-but-never-called defects. 43 suites / 770 tests at 100%.</t>
        </is>
      </c>
      <c r="E39" s="32" t="inlineStr">
        <is>
          <t>Released</t>
        </is>
      </c>
    </row>
    <row r="40" ht="23.25" customHeight="1" s="26">
      <c r="A40" s="32" t="inlineStr">
        <is>
          <t>v032</t>
        </is>
      </c>
      <c r="D40" s="31" t="inlineStr">
        <is>
          <t>PLANNED: wire BillingService and AdminAuditLog to their stores (closing DM-F14), then telemetry/support persistence. D-DM1 still open.</t>
        </is>
      </c>
      <c r="E40" s="32" t="inlineStr">
        <is>
          <t>Planned</t>
        </is>
      </c>
    </row>
    <row r="41" ht="124.5" customHeight="1" s="26">
      <c r="A41" s="32" t="inlineStr">
        <is>
          <t>v032</t>
        </is>
      </c>
      <c r="B41" s="32" t="inlineStr">
        <is>
          <t>2026-09-13 16:34</t>
        </is>
      </c>
      <c r="C41" s="32" t="inlineStr">
        <is>
          <t>Claude for Senthil/KP</t>
        </is>
      </c>
      <c r="D41" s="31" t="inlineStr">
        <is>
          <t>DM-F14 CLOSED and DM-F15 found and fixed. BillingService now persists after every mutation through a SubscriptionBackend, and AdminAuditLog through an AdminAuditBackend with resume(), so a restart no longer resets a paying customer to trial or forks a second audit chain at genesis. Write-through Postgres backends keep reads synchronous and count write failures rather than failing the customer request. DM-F15 surfaced DURING that wiring: the admin audit log had no accountId at all — every customer shared one chain and one sequence counter, and exportCsv would have handed one customer every other customer admin history. The schema had keyed the table on (account_id, sequence) since DM-F09; the code never matched it, and nothing caught the mismatch because the table had no implementation behind it until today. Now scoped per account, with the accountId inside the digest so an entry cannot be replayed into another tenant chain. 43 suites / 781 tests at 100%.</t>
        </is>
      </c>
      <c r="E41" s="32" t="inlineStr">
        <is>
          <t>Released</t>
        </is>
      </c>
    </row>
    <row r="42" ht="23.25" customHeight="1" s="26">
      <c r="A42" s="32" t="inlineStr">
        <is>
          <t>v033</t>
        </is>
      </c>
      <c r="D42" s="31" t="inlineStr">
        <is>
          <t>PLANNED: telemetry/support persistence, then a tenant-isolation sweep across the remaining services — DM-F15 suggests the audit log may not be the only thing lacking a tenant boundary.</t>
        </is>
      </c>
      <c r="E42" s="32" t="inlineStr">
        <is>
          <t>Planned</t>
        </is>
      </c>
    </row>
    <row r="43" ht="147" customHeight="1" s="26">
      <c r="A43" s="32" t="inlineStr">
        <is>
          <t>v033</t>
        </is>
      </c>
      <c r="B43" s="32" t="inlineStr">
        <is>
          <t>2026-09-13 16:39</t>
        </is>
      </c>
      <c r="C43" s="32" t="inlineStr">
        <is>
          <t>Claude for Senthil/KP</t>
        </is>
      </c>
      <c r="D43" s="31" t="inlineStr">
        <is>
          <t>TENANT-ISOLATION SWEEP — run deliberately because DM-F15 was found by accident, and it found five more. DM-F16 (CRITICAL): template lookups took a templateId and nothing else, and POST /accounts/:id/documents takes that id from the request body — so an authenticated user of one account could read another account template and generate documents from it. The session check added for DM-F07 proved WHO was asking; nothing checked WHAT they asked for. DM-F17: the same shape on signature requests, exposing signer names and emails. DM-F18: the feature audit log had no accountId either, the same defect as DM-F15 in a second log. All three fixed with ownership enforced centrally, cross-tenant access reported as "not found" so the id space cannot be probed, and regression tests asserting the cross-tenant failure is indistinguishable from a missing record. DM-F19 and DM-F20 (metrics summaries and the support inbox aggregate across tenants) are logged OPEN rather than fixed blind, because whether they are defects depends on whether they are surfaced per-customer or internally — a decision, not a bug. 43 suites / 786 tests at 100%, smoke green.</t>
        </is>
      </c>
      <c r="E43" s="32" t="inlineStr">
        <is>
          <t>Released</t>
        </is>
      </c>
    </row>
    <row r="44" ht="15" customHeight="1" s="26">
      <c r="A44" s="32" t="inlineStr">
        <is>
          <t>v034</t>
        </is>
      </c>
      <c r="D44" s="31" t="inlineStr">
        <is>
          <t>PLANNED: decide DM-F19/F20 surfacing, then telemetry/support persistence. D-DM1 still open.</t>
        </is>
      </c>
      <c r="E44" s="32" t="inlineStr">
        <is>
          <t>Planned</t>
        </is>
      </c>
    </row>
    <row r="45" ht="113.25" customHeight="1" s="26">
      <c r="A45" s="32" t="inlineStr">
        <is>
          <t>v034</t>
        </is>
      </c>
      <c r="B45" s="32" t="inlineStr">
        <is>
          <t>2026-09-13 17:23</t>
        </is>
      </c>
      <c r="C45" s="32" t="inlineStr">
        <is>
          <t>Claude for Senthil/KP</t>
        </is>
      </c>
      <c r="D45" s="31" t="inlineStr">
        <is>
          <t>PORTABLE TENANT-ISOLATION GATE built and wired into CI, then it immediately found DM-F21. A sweep finds this class of defect once; the gate finds it every commit, and it is written to be copied into the sibling products — the tenant parameter names and entity-id suffixes are configuration, not hard-coded. It flagged 28 methods on first run. Triage: five clusters genuine (DM-F21) — pause and resume on signature requests, form triggers and batch jobs took only an entity id, so one tenant could pause another tenant work with nothing but a guessed id; renderCsv would render any account invoice with its billing contact and tax identifiers; openTemplate read another account template metadata. The manual sweep had checked READS and missed writes-that-are-not-reads. The other 23 are exempted with written reasons rather than silenced, and a test asserts every exemption carries one. 44 suites / 797 tests at 100%, smoke green.</t>
        </is>
      </c>
      <c r="E45" s="32" t="inlineStr">
        <is>
          <t>Released</t>
        </is>
      </c>
    </row>
    <row r="46" ht="23.25" customHeight="1" s="26">
      <c r="A46" s="32" t="inlineStr">
        <is>
          <t>v035</t>
        </is>
      </c>
      <c r="D46" s="31" t="inlineStr">
        <is>
          <t>PLANNED: copy the gate to the sibling products (the pattern is identical); decide DM-F19/F20; D-DM1 still open.</t>
        </is>
      </c>
      <c r="E46" s="32" t="inlineStr">
        <is>
          <t>Planned</t>
        </is>
      </c>
    </row>
    <row r="47" ht="124.5" customHeight="1" s="26">
      <c r="A47" s="32" t="inlineStr">
        <is>
          <t>v035</t>
        </is>
      </c>
      <c r="B47" s="32" t="inlineStr">
        <is>
          <t>2026-09-13 18:48</t>
        </is>
      </c>
      <c r="C47" s="32" t="inlineStr">
        <is>
          <t>Claude for Senthil/KP</t>
        </is>
      </c>
      <c r="D47" s="31" t="inlineStr">
        <is>
          <t>AUDITED THE 23 GATE EXEMPTIONS I wrote an hour ago, having flagged them as judgement calls. One was false. The PauseManager exemption claimed callers passed account-namespaced keys; e-sign passed a bare requestId and batch a bare templateId, so a shared PauseManager would put template ids, sign-request ids, job ids and trigger ids in one namespace — pausing a template called X would also report a sign request called X as paused. Demonstrated before fixing. Nothing broke only because each service happened to get its own instance, which nothing enforced. pauseKey(entity, accountId, entityId) is now the only way keys are formed anywhere. Crucially the exemptions are no longer prose: three tests VERIFY the claims — one fails the build if any PauseManager call omits pauseKey, one proves two entity types sharing an id cannot collide, one asserts only the designer and sidebar touch a template repository. 44 suites / 801 tests at 100%, smoke green.</t>
        </is>
      </c>
      <c r="E47" s="32" t="inlineStr">
        <is>
          <t>Released</t>
        </is>
      </c>
    </row>
    <row r="48" ht="15" customHeight="1" s="26">
      <c r="A48" s="32" t="inlineStr">
        <is>
          <t>v036</t>
        </is>
      </c>
      <c r="D48" s="31" t="inlineStr">
        <is>
          <t>PLANNED: copy the gate to the sibling products; decide DM-F19/F20; D-DM1 still open.</t>
        </is>
      </c>
      <c r="E48" s="32" t="inlineStr">
        <is>
          <t>Planned</t>
        </is>
      </c>
    </row>
    <row r="49" ht="124.5" customHeight="1" s="26">
      <c r="A49" s="32" t="inlineStr">
        <is>
          <t>v036</t>
        </is>
      </c>
      <c r="B49" s="32" t="inlineStr">
        <is>
          <t>2026-09-13 18:53</t>
        </is>
      </c>
      <c r="C49" s="32" t="inlineStr">
        <is>
          <t>Claude for Senthil/KP</t>
        </is>
      </c>
      <c r="D49" s="31" t="inlineStr">
        <is>
          <t>ALL 23 TENANT-GATE EXEMPTIONS now carry a test that verifies their claim, and a meta-gate makes that permanent: unverifiedExemptions() fails the build if an exemption is added without a test naming it, and a test proves the meta-gate catches such an addition. This closes the gap DM-F22 exposed — an exemption that was right about its outcome and wrong about its reason, which read as handled. The claims are now checked against behaviour or source: the sandbox holds no account, store or repository reference; signer actions reject a non-signer holding a valid request id while accepting a listed signer who has no account at all; a batch sidebar bound to one account cannot run another account template; both sidebar controllers stamp their own account onto what they create; and per-entity metrics and the support inbox are confirmed absent from every HTTP route, which is precisely what keeps DM-F19/F20 product decisions rather than live leaks. 44 suites / 812 tests at 100%.</t>
        </is>
      </c>
      <c r="E49" s="32" t="inlineStr">
        <is>
          <t>Released</t>
        </is>
      </c>
    </row>
    <row r="50" ht="23.25" customHeight="1" s="26">
      <c r="A50" s="32" t="inlineStr">
        <is>
          <t>v037</t>
        </is>
      </c>
      <c r="D50" s="31" t="inlineStr">
        <is>
          <t>PLANNED: copy the gate and meta-gate to the sibling products; DM-F19/F20 and D-DM1 remain your decisions.</t>
        </is>
      </c>
      <c r="E50" s="32" t="inlineStr">
        <is>
          <t>Planned</t>
        </is>
      </c>
    </row>
    <row r="51" ht="135.75" customHeight="1" s="26">
      <c r="A51" s="32" t="inlineStr">
        <is>
          <t>v037</t>
        </is>
      </c>
      <c r="B51" s="32" t="inlineStr">
        <is>
          <t>2026-09-13 18:58</t>
        </is>
      </c>
      <c r="C51" s="32" t="inlineStr">
        <is>
          <t>Claude for Senthil/KP</t>
        </is>
      </c>
      <c r="D51" s="31" t="inlineStr">
        <is>
          <t>VER-DM6 — the sixth verification finding, and the first that contradicts our own published targets. The Docs API allows 60 writes per minute per user; ST-087 promised a generated document every 1500ms and ST-088 drove 100 per minute and reported PASS. One user cannot exceed one document per second however fast our code runs, and a 500-row batch for one customer cannot finish in under EIGHT MINUTES — a fact absent from every estimate and SLO written so far. The load test never reached the ceiling because it drove an injected worker, so its PASS measured the harness. Now: verified quotas with sources and a refusal to guess unrecorded ones; a feasibility check that fails when an internal promise exceeds an external quota; a per-account governor that paces rather than earning 429s and gives an honest completion estimate; and a load test that refuses to pass a profile exceeding a declared ceiling. Also recorded: Apps Script UrlFetch caps at 20,000/day consumer and 100,000/day Workspace, the real per-customer limit on the form forwarder. 45 suites / 827 tests at 100%.</t>
        </is>
      </c>
      <c r="E51" s="32" t="inlineStr">
        <is>
          <t>Released</t>
        </is>
      </c>
    </row>
    <row r="52" ht="23.25" customHeight="1" s="26">
      <c r="A52" s="32" t="inlineStr">
        <is>
          <t>v038</t>
        </is>
      </c>
      <c r="D52" s="31" t="inlineStr">
        <is>
          <t>PLANNED: pace the batch runner through QuotaGovernor and restate batch timing in the help centre; gate + meta-gate ready to copy to siblings.</t>
        </is>
      </c>
      <c r="E52" s="32" t="inlineStr">
        <is>
          <t>Planned</t>
        </is>
      </c>
    </row>
    <row r="53" ht="124.5" customHeight="1" s="26">
      <c r="A53" s="32" t="inlineStr">
        <is>
          <t>v038</t>
        </is>
      </c>
      <c r="B53" s="32" t="inlineStr">
        <is>
          <t>2026-09-13 19:33</t>
        </is>
      </c>
      <c r="C53" s="32" t="inlineStr">
        <is>
          <t>Claude for Senthil/KP</t>
        </is>
      </c>
      <c r="D53" s="31" t="inlineStr">
        <is>
          <t>VER-DM6 CLOSED — both owed items done. The batch runner now paces through the QuotaGovernor, waiting BEFORE each write rather than after a rejection: waiting on our side costs only the wait, while being throttled costs a round trip, a backoff, and a slice of the customer's remaining quota for their other tools. BatchResult reports quotaWaitMs, so a long batch reads as "paced by Google's limit" rather than "the product is slow" — the difference between an understood wait and a support ticket. Metering is per account, proven by a test where one customer exhausting their allowance leaves another unaffected. The help-centre article now carries the real numbers (about 60 documents a minute, roughly eight minutes for 500, sixteen for 1,000) and is findable by searching "how long", "slow" or "quota". One test expectation of mine was wrong and the code was right: rows run in bursts because a wait clears the whole minute-window, so seven rows at a ceiling of three cost two waits, not four. 45 suites / 830 tests at 100%, smoke green.</t>
        </is>
      </c>
      <c r="E53" s="32" t="inlineStr">
        <is>
          <t>Released</t>
        </is>
      </c>
    </row>
    <row r="54" ht="23.25" customHeight="1" s="26">
      <c r="A54" s="32" t="inlineStr">
        <is>
          <t>v039</t>
        </is>
      </c>
      <c r="D54" s="31" t="inlineStr">
        <is>
          <t>PLANNED: copy tenantGate + meta-gate + quota feasibility check to the sibling products. DM-F19/F20 and D-DM1 remain your decisions.</t>
        </is>
      </c>
      <c r="E54" s="32" t="inlineStr">
        <is>
          <t>Planned</t>
        </is>
      </c>
    </row>
    <row r="55" ht="135.75" customHeight="1" s="26">
      <c r="A55" s="32" t="inlineStr">
        <is>
          <t>v039</t>
        </is>
      </c>
      <c r="B55" s="32" t="inlineStr">
        <is>
          <t>2026-09-13 19:39</t>
        </is>
      </c>
      <c r="C55" s="32" t="inlineStr">
        <is>
          <t>Claude for Senthil/KP</t>
        </is>
      </c>
      <c r="D55" s="31" t="inlineStr">
        <is>
          <t>PORTFOLIO GUARD KIT extracted for the sibling products — four modules with no imports at all, so nothing else travels with them: tenantGate (authorisation, plus the meta-gate requiring every exemption to carry a test), ledger (bounded append with counted evictions, including the hash-chain anchor subtlety), purge (registry that fails the build when a store has no deletion target, with per-store row counts as evidence), platformQuotas (verified numbers with sources, a refusal to guess an unrecorded one, and a feasibility check). platformQuotas was PARAMETERISED first — the mechanism ports but Google numbers do not belong in a Zoho or Xero product. A product-specific test file was extracted and then REPLACED: the original imported DocMerge modules throughout and would not have compiled anywhere else, so the kit ships a template with no product imports. README records what each gate caught here as evidence; TRIAGE.md gives the five questions to ask on a first run, since DocMerge flagged 28 methods and exempting without triage turns a gate into decoration. 45 suites / 832 tests at 100%.</t>
        </is>
      </c>
      <c r="E55" s="32" t="inlineStr">
        <is>
          <t>Released</t>
        </is>
      </c>
    </row>
    <row r="56" ht="23.25" customHeight="1" s="26">
      <c r="A56" s="32" t="inlineStr">
        <is>
          <t>v040</t>
        </is>
      </c>
      <c r="D56" s="31" t="inlineStr">
        <is>
          <t>PLANNED: run the kit against a sibling codebase when one is available. DM-F19/F20 and D-DM1 remain your decisions.</t>
        </is>
      </c>
      <c r="E56" s="32" t="inlineStr">
        <is>
          <t>Planned</t>
        </is>
      </c>
    </row>
    <row r="57" ht="135.75" customHeight="1" s="26">
      <c r="A57" s="32" t="inlineStr">
        <is>
          <t>v040</t>
        </is>
      </c>
      <c r="B57" s="32" t="inlineStr">
        <is>
          <t>2026-09-13 20:27</t>
        </is>
      </c>
      <c r="C57" s="32" t="inlineStr">
        <is>
          <t>Claude for Senthil/KP</t>
        </is>
      </c>
      <c r="D57" s="31" t="inlineStr">
        <is>
          <t>VER-DM7 — the quota module caught a gap in itself. It refuses to guess an unrecorded quota, and the filing path tripped that refusal: we write to Drive on every generated document and had recorded no Drive limit. The answer turned out to be awkward rather than clean — Google is mid-migration between a request-count model and a quota-unit model, legacy projects keep the old counts, and which applies depends on the age of a project we have not created yet. Recorded the conservative figure WITH the ambiguity attached and added a caveat field so an unreliable quota is visibly unreliable, rather than resolving it by picking whichever number suited us. The useful conclusion: on every published model Drive sits two orders of magnitude above the Docs ceiling of 60 writes per minute per user, so filing is not the binding constraint — document creation is, and the governor is already set to it. bindingConstraint() now computes which API throttles first, with tests proving Docs governs today and that a future change reversing it would surface rather than silently slowing every run. Guard kit refreshed. 45 suites / 836 tests at 100%.</t>
        </is>
      </c>
      <c r="E57" s="32" t="inlineStr">
        <is>
          <t>Released</t>
        </is>
      </c>
    </row>
    <row r="58" ht="23.25" customHeight="1" s="26">
      <c r="A58" s="32" t="inlineStr">
        <is>
          <t>v041</t>
        </is>
      </c>
      <c r="D58" s="31" t="inlineStr">
        <is>
          <t>PLANNED: re-verify the Drive quota against the real project once it exists (LC-1). DM-F19/F20 and D-DM1 remain your decisions.</t>
        </is>
      </c>
      <c r="E58" s="32" t="inlineStr">
        <is>
          <t>Planned</t>
        </is>
      </c>
    </row>
    <row r="59" ht="135.75" customHeight="1" s="26">
      <c r="A59" s="32" t="inlineStr">
        <is>
          <t>v041</t>
        </is>
      </c>
      <c r="B59" s="32" t="inlineStr">
        <is>
          <t>2026-09-13 20:34</t>
        </is>
      </c>
      <c r="C59" s="32" t="inlineStr">
        <is>
          <t>Claude for Senthil/KP</t>
        </is>
      </c>
      <c r="D59" s="31" t="inlineStr">
        <is>
          <t>STATE_OF_DOCMERGE.md — a single readable synthesis, written because the detail now spans 40 workbook versions and 62 log entries and none of that is usable when deciding what to do next. Covers: the three decisions owed (D-DM1 add-on type, open since 11:56 and blocking the scope narrative, listing copy and five story descriptions; DM-F19/F20 surfacing; support staffing), the eight external actions in their CORRECTED order (hosting BEFORE the consent screen, per R-D15), and the five lessons worth more than the individual fixes — coverage proves execution not correctness; authentication is not authorisation; internal review cannot see platform reality; a plausible reason survives review indefinitely; sweeps find a class once while gates find it every commit. Closes with the assessment I would want stated plainly: the product has been code-complete since roughly 11:00 and has not moved one step closer to a customer since, because every remaining step needs a domain, a project, a budget or a decision. 45 suites / 836 tests at 100%.</t>
        </is>
      </c>
      <c r="E59" s="32" t="inlineStr">
        <is>
          <t>Released</t>
        </is>
      </c>
    </row>
    <row r="60" ht="23.25" customHeight="1" s="26">
      <c r="A60" s="32" t="inlineStr">
        <is>
          <t>v042</t>
        </is>
      </c>
      <c r="D60" s="31" t="inlineStr">
        <is>
          <t>PLANNED: nothing further on this codebase without a decision, a sibling codebase to check, or live infrastructure.</t>
        </is>
      </c>
      <c r="E60" s="32" t="inlineStr">
        <is>
          <t>Planned</t>
        </is>
      </c>
    </row>
    <row r="61" ht="84.75" customHeight="1" s="26">
      <c r="A61" s="33" t="inlineStr">
        <is>
          <t>v042</t>
        </is>
      </c>
      <c r="B61" s="33" t="inlineStr">
        <is>
          <t>2026-09-13 22:53</t>
        </is>
      </c>
      <c r="C61" s="33" t="inlineStr">
        <is>
          <t>Claude for Senthil/KP</t>
        </is>
      </c>
      <c r="D61" s="33" t="inlineStr">
        <is>
          <t>EXTERNAL REVIEW CGPT V001 INCORPORATED (6.4/10 BUILD; engineering 8/10, launch readiness 4/10). 12 findings dispositioned: 3 accepted and fixed, 5 cross-referenced to existing IDs rather than re-raised, 4 valid and deferred behind new decision D-DM2. New sheets: External_Review_CGPT_V001, Enterprise_Scorecard, Review_Response_Backlog (RR-01..RR-10, kept out of Full_Backlog so the 100-story baseline and Sprint_Board counts stay intact), Module_Traceability (all 49 modules — 18 of them had appeared in no traceability matrix at all). Code evidence line corrected: the v018 figure of 516 tests / 33 modules is preserved and superseded by 836 tests / 45 suites / 49 modules, reproduced from a clean npm ci rather than quoted. Launch checklist gains items 11-13. Nothing here moves the launch gate.</t>
        </is>
      </c>
      <c r="E61" s="33" t="inlineStr">
        <is>
          <t>Released</t>
        </is>
      </c>
    </row>
    <row r="62" ht="21.75" customHeight="1" s="26">
      <c r="A62" s="33" t="inlineStr">
        <is>
          <t>v043</t>
        </is>
      </c>
      <c r="B62" s="33" t="inlineStr">
        <is>
          <t>2026-09-13 23:04</t>
        </is>
      </c>
      <c r="C62" s="33" t="inlineStr">
        <is>
          <t>Claude for Senthil/KP</t>
        </is>
      </c>
      <c r="D62" s="33" t="inlineStr">
        <is>
          <t>RELEASE-INTEGRITY GATE (releaseGate.ts) — the three external findings are now a standing check rather than a fixed incident. Four rules over workflow text plus the files that actually exist: RG-01 an install command requiring a lockfile that is not in the repo (CRITICAL — the job cannot ever have completed); RG-02 a job implying an external action whose steps only echo and exit 0 (HIGH — a false green; a placeholder that exits 1 naming its blocker is accepted); RG-03 no audit, secret scan, SBOM or static analysis in any workflow (MEDIUM); RG-04 coverage computed and never uploaded (LOW). The test suite carries this repo's PRE-REVIEW ci.yml as a fixture and asserts it produces all four findings, and runs the gate against the live .github/workflows. 26 tests, 100% coverage on the module. Wired into CI as its own step. Also added to the portfolio guard kit as a fifth module, with README and TRIAGE sections. Launch checklist gains item 14; RR-11 added to the Review_Response_Backlog; code evidence now 862 tests / 46 suites / 50 modules at 100%. Nothing here moves the launch gate.</t>
        </is>
      </c>
      <c r="E62" s="33" t="inlineStr">
        <is>
          <t>Released</t>
        </is>
      </c>
    </row>
    <row r="63" ht="21.75" customHeight="1" s="26">
      <c r="A63" s="33" t="inlineStr">
        <is>
          <t>v044</t>
        </is>
      </c>
      <c r="B63" s="33" t="inlineStr">
        <is>
          <t>2026-09-13 23:13</t>
        </is>
      </c>
      <c r="C63" s="33" t="inlineStr">
        <is>
          <t>Claude for Senthil/KP</t>
        </is>
      </c>
      <c r="D63" s="33" t="inlineStr">
        <is>
          <t>LAUNCH ASSETS — first work in three sessions that moves the LAUNCH rather than the codebase. Two of the eight external actions needed neither a GCP project nor a running application, and both are now done. (1) The icon family (32/48/96/128) and the 220x140 card banner that VER-DM4 revealed were REQUIRED and missing are generated as real PNGs by scripts/make-listing-assets.js — dependency-free, one mark definition, all five sizes regenerated together. (2) The pages that must be HOSTED BEFORE the OAuth consent screen (R-D15) are generated into site/ as five static files: privacy, terms, status, support and index. The privacy page is generated from buildTrustPage(), i.e. from SCOPE_MANIFEST, DATA_FLOW_NODES and RETENTION_POLICY, so it cannot drift from what the code enforces. Terms of service — absent from the submission checklist entirely until VER-DM4 — now exists as a structural draft marked for legal review, with warranty and liability left as an explicit placeholder. site.config.json holds six placeholders; the build exits non-zero and prints each unresolved value on the page itself while any remain. HOSTING.md gives the ordered path: fill six values, register a domain, upload site/ to any static host, verify the domain in Search Console, then LC-1. Launch checklist gains items 15-16; RR-12/RR-13/RR-14 added; new Risk_Register entry for the unreviewed legal text.</t>
        </is>
      </c>
      <c r="E63" s="33" t="inlineStr">
        <is>
          <t>Released</t>
        </is>
      </c>
    </row>
    <row r="64" ht="21.75" customHeight="1" s="26">
      <c r="A64" s="33" t="inlineStr">
        <is>
          <t>v045</t>
        </is>
      </c>
      <c r="B64" s="33" t="inlineStr">
        <is>
          <t>2026-09-14 13:59</t>
        </is>
      </c>
      <c r="C64" s="33" t="inlineStr">
        <is>
          <t>Claude for Senthil/KP</t>
        </is>
      </c>
      <c r="D64" s="33" t="inlineStr">
        <is>
          <t>DECISION PACK + CORRECTED SUBMISSION DRY RUN. No code changed; the suite is unchanged at 882 tests / 47 suites / 100% across 51 modules. (1) DECISION_PACK.md gives each of the seven open items a recommendation with the reasoning exposed, because "logged as an open decision" had started to function as a way of not making one — D-DM1 has been open since 13 Sep 11:56 and blocks the listing copy, the scope narrative and five story descriptions. (2) SUBMISSION_DRY_RUN.md re-measured: the old 10-of-20 was counted against a checklist that OMITTED TWO REQUIRED ITEMS — the icon family and card banner, and the terms-of-service link, both found by VER-DM4. A dry run cannot fail on an item it does not count. Three further items were stale: CL-11 demanded exactly 5 screenshots (1-10 accepted), CL-12 described the promo video as required and captioned (it is an optional YouTube link; the REQUIRED video is the separate OAuth verification demo), and CL-03 treated CASA as a certain multi-week paid item when it is triggered by restricted scopes we do not request. Now 11 of 22 satisfied: 10 blocking (9 Senthil, 1 third party) plus CASA applicability to verify. Nine of the eleven outstanding items sit behind hosting the three pages and then LC-1. Launch checklist gains items 17-18; RR-15/RR-16 added; Risk_Register records decision latency as the binding constraint.</t>
        </is>
      </c>
      <c r="E64" s="33" t="inlineStr">
        <is>
          <t>Released</t>
        </is>
      </c>
    </row>
    <row r="65" ht="21.75" customHeight="1" s="26">
      <c r="A65" s="33" t="inlineStr">
        <is>
          <t>v046</t>
        </is>
      </c>
      <c r="B65" s="33" t="inlineStr">
        <is>
          <t>2026-09-15 09:09</t>
        </is>
      </c>
      <c r="C65" s="33" t="inlineStr">
        <is>
          <t>Claude for Senthil/KP</t>
        </is>
      </c>
      <c r="D65" s="33" t="inlineStr">
        <is>
          <t>POSTGRES CONTRACT SUITE — the adapter proved against a REAL engine for the first time. src/postgres.ts opens by admitting the interfaces "had never been implemented against a real database, so nobody knew whether they could be", and the existing suite then tested them against a FakeClient that returns whatever the test says. Two siblings found real defects the moment that fake was swapped for a real engine and neither was visible at 100% coverage: RevRescue L-RR9 (multi-statement DDL rejected by the prepared-statement path, so every migration would have failed on first contact with a live server; BYTEA rejecting the sealed JSON envelope) and TeleField R-T4 (a DATE column rehydrated as "Tue Sep 01"; the flush wired into one code path only). DocMerge now runs 10 contract tests against PGlite — real Postgres in-process, no server or container, so it runs in CI on a clean checkout. RESULT: CLEAN. Migrations apply, every purge table and column exists, accounts/tokens/templates round-trip, the cascade purge completes with row counts, and BIGINT coercion is proved through a wrapper that reproduces node-postgres returning int8 as a STRING (PGlite returns a number, so asserting typeof alone would have passed for the wrong reason — class C-07). A regression test pins the migration protocol: parameterising that call would break every migration, which is exactly the sibling defect. New CI job; deploy now also needs it. Unit suite unchanged at 882 / 47 suites / 100%; contract suite 10 tests, tracked separately as siblings do. Launch checklist gains item 19; RR-17/RR-18 added.</t>
        </is>
      </c>
      <c r="E65" s="33" t="inlineStr">
        <is>
          <t>Released</t>
        </is>
      </c>
    </row>
    <row r="66" ht="15" customHeight="1" s="26">
      <c r="A66" s="34" t="inlineStr">
        <is>
          <t>v047</t>
        </is>
      </c>
      <c r="B66" s="33" t="n"/>
      <c r="C66" s="33" t="n"/>
      <c r="D66" s="33" t="inlineStr">
        <is>
          <t>PLANNED: blocked on Senthil.</t>
        </is>
      </c>
      <c r="E66" s="33" t="inlineStr">
        <is>
          <t>Planned</t>
        </is>
      </c>
    </row>
    <row r="67">
      <c r="A67" s="56" t="inlineStr">
        <is>
          <t>v047</t>
        </is>
      </c>
      <c r="B67" s="56" t="inlineStr">
        <is>
          <t>2026-09-20 13:15</t>
        </is>
      </c>
      <c r="C67" s="56" t="inlineStr">
        <is>
          <t>Claude for Senthil/KP</t>
        </is>
      </c>
      <c r="D67" s="71" t="inlineStr">
        <is>
          <t>EXTERNAL REVIEW PPLX V001 (5.9/10 BUILD) INCORPORATED — the review that executed the code instead of reading it. New sheets: External_Review_PPLX_V001 (the seven-dimension score and the §5 strategic finding), Financial_Model_v2 (P-DM-008: the free tier's cost modelled for the first time, an explicit breakeven row, and the three structural exits with the status quo included). v046's Financial_Model is KEPT UNALTERED and annotated — its arithmetic is correct and was reproduced independently here to the dollar; what it lacked was a free-tier cost and a row stating the breakeven month, while its reading note implied one existed. ReadMe_Scope differentiation and ICP rewritten per §5. Review_Response_Backlog gains PR-01..PR-18. Risk_Register regraded. Enterprise_Scorecard re-assessed. Launch_Checklist +11 items. Nothing removed.</t>
        </is>
      </c>
      <c r="E67" s="56" t="inlineStr">
        <is>
          <t>Released</t>
        </is>
      </c>
    </row>
    <row r="68">
      <c r="A68" s="56" t="inlineStr">
        <is>
          <t>v048</t>
        </is>
      </c>
      <c r="D68" s="56" t="inlineStr">
        <is>
          <t>PLANNED: the pricing decision (D-DM5) applied to the listing copy and the ICP, and the first measured figures from real installs replacing the modelled ones.</t>
        </is>
      </c>
      <c r="E68" s="56" t="inlineStr">
        <is>
          <t>Planned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8" customWidth="1" style="25" min="1" max="1"/>
  </cols>
  <sheetData>
    <row r="1" ht="17.25" customHeight="1" s="26">
      <c r="A1" s="27" t="inlineStr">
        <is>
          <t>DocMerge Pro — Template-based document generation from Sheets/Forms with e-sign and Drive filing</t>
        </is>
      </c>
    </row>
    <row r="2"/>
    <row r="3" ht="27.75" customHeight="1" s="26">
      <c r="A3" s="31" t="inlineStr">
        <is>
          <t>PLATFORM: Google Workspace Marketplace | CATEGORY: Document Automation</t>
        </is>
      </c>
    </row>
    <row r="4" ht="27.75" customHeight="1" s="26">
      <c r="A4" s="72" t="inlineStr">
        <is>
          <t>PROBLEM: Mail-merge add-ons are dated; SMBs want doc-gen + sign without Zapier chains  [20 Sep: 'doc-gen + sign without Zapier chains' is NO LONGER ACCURATE and must not be reused in copy — P-DM-007 established the product produces no signature. The feature is Approval requests, and a repository gate now fails the build on any signature claim in user-facing copy.]</t>
        </is>
      </c>
    </row>
    <row r="5" ht="27.75" customHeight="1" s="26">
      <c r="A5" s="73" t="inlineStr">
        <is>
          <t>DIFFERENTIATION (REWRITTEN 20 Sep 2026, external review §5): Governed document operations — a tamper-evident audit chain a customer can verify themselves, enforced tenant isolation, honest quota-aware batch timing, and deletion with per-store receipts. THE PREVIOUS THREE ARE DEAD AND ARE RECORDED AS SUCH: a native Sheets sidebar is what all ten competitors already are (table stakes, not differentiation); the CASA badge is NOT AVAILABLE TO US because we request no restricted scopes — our own SCOPE_NARRATIVE.md established that, so the differentiator was deleted by our own verification work and never replaced; and per-doc pricing is a pricing model, not a reason to switch.</t>
        </is>
      </c>
    </row>
    <row r="6" ht="27.75" customHeight="1" s="26">
      <c r="A6" s="73" t="inlineStr">
        <is>
          <t>ICP (UNDER REVIEW — D-DM5): as written, SMBs/schools/agencies of 5-200 staff at $19/mo. The external review's §5 finding is that this ICP and the product that was actually built are two different things, and that the arithmetic does not close for the former at any reachable volume. The recommended ICP is an operations or compliance owner running regulated document flows, buying a 3-10 seat team plan. NOT YET CHANGED IN THE BACKLOG: changing the ICP changes the listing copy and five story descriptions, so it waits on D-DM5 rather than being applied unilaterally.</t>
        </is>
      </c>
    </row>
    <row r="7" ht="27.75" customHeight="1" s="26">
      <c r="A7" s="31" t="n"/>
    </row>
    <row r="8" ht="55.5" customHeight="1" s="26">
      <c r="A8" s="31" t="inlineStr">
        <is>
          <t>HOW TO USE: Full_Backlog is the single source of truth (edit Status column during execution). Sprint_Board recalculates points per sprint automatically. Financial_Model assumptions (yellow) are editable — the 18-month build recalculates. Launch_Checklist is the platform-specific gate before submission. All costs/timelines are market-standard estimates; verify platform terms (fees/review rules) during S0.</t>
        </is>
      </c>
    </row>
    <row r="9" ht="27.75" customHeight="1" s="26">
      <c r="A9" s="31" t="n"/>
    </row>
    <row r="10" ht="27.75" customHeight="1" s="26">
      <c r="A10" s="31" t="inlineStr">
        <is>
          <t>STACK ASSUMPTION (market standard): TypeScript/Node or platform-mandated runtime, React frontends, Postgres, hosted on AWS/GCP/platform FaaS as required, GitHub Actions CI, PostHog + Sentry telemetry, Intercom-class support.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5" min="1" max="1"/>
    <col width="44" customWidth="1" style="25" min="2" max="2"/>
    <col width="34" customWidth="1" style="25" min="3" max="3"/>
    <col width="40" customWidth="1" style="25" min="4" max="4"/>
  </cols>
  <sheetData>
    <row r="1" ht="17.25" customHeight="1" s="26">
      <c r="A1" s="27" t="inlineStr">
        <is>
          <t>PRODUCT SPEC</t>
        </is>
      </c>
    </row>
    <row r="2"/>
    <row r="3" ht="15" customHeight="1" s="26">
      <c r="A3" s="28" t="inlineStr">
        <is>
          <t>Module (feature)</t>
        </is>
      </c>
      <c r="B3" s="28" t="inlineStr">
        <is>
          <t>Scope in MVP</t>
        </is>
      </c>
      <c r="C3" s="28" t="inlineStr">
        <is>
          <t>Out of scope (v1)</t>
        </is>
      </c>
      <c r="D3" s="28" t="inlineStr">
        <is>
          <t>Non-functional requirements</t>
        </is>
      </c>
    </row>
    <row r="4" ht="30" customHeight="1" s="26">
      <c r="A4" s="29" t="inlineStr">
        <is>
          <t>Template designer</t>
        </is>
      </c>
      <c r="B4" s="29" t="inlineStr">
        <is>
          <t>Template designer: end-to-end happy path + edge cases + permissions</t>
        </is>
      </c>
      <c r="C4" s="29" t="inlineStr">
        <is>
          <t>Advanced automation, AI beyond listed, multi-language beyond launch set</t>
        </is>
      </c>
      <c r="D4" s="29" t="inlineStr">
        <is>
          <t>p95 &lt;500ms API / &lt;2s UI loads</t>
        </is>
      </c>
    </row>
    <row r="5" ht="30" customHeight="1" s="26">
      <c r="A5" s="29" t="inlineStr">
        <is>
          <t>Batch generate from Sheets</t>
        </is>
      </c>
      <c r="B5" s="29" t="inlineStr">
        <is>
          <t>Batch generate from Sheets: end-to-end happy path + edge cases + permissions</t>
        </is>
      </c>
      <c r="C5" s="29" t="inlineStr">
        <is>
          <t>Advanced automation, AI beyond listed, multi-language beyond launch set</t>
        </is>
      </c>
      <c r="D5" s="29" t="inlineStr">
        <is>
          <t>99.5% monthly uptime</t>
        </is>
      </c>
    </row>
    <row r="6" ht="30" customHeight="1" s="26">
      <c r="A6" s="29" t="inlineStr">
        <is>
          <t>E-sign requests</t>
        </is>
      </c>
      <c r="B6" s="29" t="inlineStr">
        <is>
          <t>E-sign requests: end-to-end happy path + edge cases + permissions</t>
        </is>
      </c>
      <c r="C6" s="29" t="inlineStr">
        <is>
          <t>Advanced automation, AI beyond listed, multi-language beyond launch set</t>
        </is>
      </c>
      <c r="D6" s="29" t="inlineStr">
        <is>
          <t>WCAG AA</t>
        </is>
      </c>
    </row>
    <row r="7" ht="30" customHeight="1" s="26">
      <c r="A7" s="29" t="inlineStr">
        <is>
          <t>Auto-file to Drive</t>
        </is>
      </c>
      <c r="B7" s="29" t="inlineStr">
        <is>
          <t>Auto-file to Drive: end-to-end happy path + edge cases + permissions</t>
        </is>
      </c>
      <c r="C7" s="29" t="inlineStr">
        <is>
          <t>Advanced automation, AI beyond listed, multi-language beyond launch set</t>
        </is>
      </c>
      <c r="D7" s="29" t="inlineStr">
        <is>
          <t>SOC2-track controls</t>
        </is>
      </c>
    </row>
    <row r="8" ht="30" customHeight="1" s="26">
      <c r="A8" s="29" t="inlineStr">
        <is>
          <t>Form-triggered generation</t>
        </is>
      </c>
      <c r="B8" s="29" t="inlineStr">
        <is>
          <t>Form-triggered generation: end-to-end happy path + edge cases + permissions</t>
        </is>
      </c>
      <c r="C8" s="29" t="inlineStr">
        <is>
          <t>Advanced automation, AI beyond listed, multi-language beyond launch set</t>
        </is>
      </c>
      <c r="D8" s="29" t="inlineStr">
        <is>
          <t>Rate-limit safe (backoff+queue)</t>
        </is>
      </c>
    </row>
    <row r="9"/>
    <row r="10" ht="15" customHeight="1" s="26">
      <c r="A10" s="28" t="inlineStr">
        <is>
          <t>Persona</t>
        </is>
      </c>
      <c r="B10" s="28" t="inlineStr">
        <is>
          <t>Jobs-to-be-done</t>
        </is>
      </c>
      <c r="C10" s="28" t="n"/>
      <c r="D10" s="28" t="n"/>
    </row>
    <row r="11" ht="25.5" customHeight="1" s="26">
      <c r="A11" s="29" t="inlineStr">
        <is>
          <t>Office manager</t>
        </is>
      </c>
      <c r="B11" s="29" t="inlineStr">
        <is>
          <t>Buys from marketplace search; needs zero-code setup</t>
        </is>
      </c>
      <c r="C11" s="35" t="n"/>
      <c r="D11" s="36" t="n"/>
    </row>
    <row r="12" ht="25.5" customHeight="1" s="26">
      <c r="A12" s="29" t="inlineStr">
        <is>
          <t>Workspace admin</t>
        </is>
      </c>
      <c r="B12" s="29" t="inlineStr">
        <is>
          <t>Approves domain install; CASA tier + data policy decide</t>
        </is>
      </c>
      <c r="C12" s="35" t="n"/>
      <c r="D12" s="36" t="n"/>
    </row>
    <row r="13" ht="25.5" customHeight="1" s="26">
      <c r="A13" s="29" t="inlineStr">
        <is>
          <t>Ops freelancer</t>
        </is>
      </c>
      <c r="B13" s="29" t="inlineStr">
        <is>
          <t>Recommends across clients</t>
        </is>
      </c>
      <c r="C13" s="35" t="n"/>
      <c r="D13" s="36" t="n"/>
    </row>
  </sheetData>
  <mergeCells count="3">
    <mergeCell ref="B12:D12"/>
    <mergeCell ref="B11:D11"/>
    <mergeCell ref="B13:D1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25" min="1" max="1"/>
    <col width="28" customWidth="1" style="25" min="2" max="2"/>
    <col width="40" customWidth="1" style="25" min="3" max="3"/>
    <col width="44" customWidth="1" style="25" min="4" max="4"/>
    <col width="24" customWidth="1" style="25" min="5" max="5"/>
  </cols>
  <sheetData>
    <row r="1" ht="17.25" customHeight="1" s="26">
      <c r="A1" s="27" t="inlineStr">
        <is>
          <t>SCREEN INVENTORY (attach Figma links in col E during S0)</t>
        </is>
      </c>
    </row>
    <row r="2"/>
    <row r="3" ht="15" customHeight="1" s="26">
      <c r="A3" s="28" t="inlineStr">
        <is>
          <t>#</t>
        </is>
      </c>
      <c r="B3" s="28" t="inlineStr">
        <is>
          <t>Screen</t>
        </is>
      </c>
      <c r="C3" s="28" t="inlineStr">
        <is>
          <t>Purpose</t>
        </is>
      </c>
      <c r="D3" s="28" t="inlineStr">
        <is>
          <t>Key elements</t>
        </is>
      </c>
      <c r="E3" s="28" t="inlineStr">
        <is>
          <t>Wireframe link</t>
        </is>
      </c>
    </row>
    <row r="4" ht="25.5" customHeight="1" s="26">
      <c r="A4" s="29" t="n">
        <v>1</v>
      </c>
      <c r="B4" s="29" t="inlineStr">
        <is>
          <t>Onboarding / first-run</t>
        </is>
      </c>
      <c r="C4" s="29" t="inlineStr">
        <is>
          <t>Reach aha in &lt;1 day</t>
        </is>
      </c>
      <c r="D4" s="29" t="inlineStr">
        <is>
          <t>Checklist, sample data toggle, connect steps</t>
        </is>
      </c>
      <c r="E4" s="30" t="n"/>
    </row>
    <row r="5" ht="25.5" customHeight="1" s="26">
      <c r="A5" s="29" t="n">
        <v>2</v>
      </c>
      <c r="B5" s="29" t="inlineStr">
        <is>
          <t>Home dashboard</t>
        </is>
      </c>
      <c r="C5" s="29" t="inlineStr">
        <is>
          <t>Daily habit surface</t>
        </is>
      </c>
      <c r="D5" s="29" t="inlineStr">
        <is>
          <t>KPI cards, activity feed, alerts</t>
        </is>
      </c>
      <c r="E5" s="30" t="n"/>
    </row>
    <row r="6" ht="25.5" customHeight="1" s="26">
      <c r="A6" s="29" t="n">
        <v>3</v>
      </c>
      <c r="B6" s="29" t="inlineStr">
        <is>
          <t>Template designer workspace</t>
        </is>
      </c>
      <c r="C6" s="29" t="inlineStr">
        <is>
          <t>Core value surface</t>
        </is>
      </c>
      <c r="D6" s="29" t="inlineStr">
        <is>
          <t>List+detail, bulk actions, status chips</t>
        </is>
      </c>
      <c r="E6" s="30" t="n"/>
    </row>
    <row r="7" ht="25.5" customHeight="1" s="26">
      <c r="A7" s="29" t="n">
        <v>4</v>
      </c>
      <c r="B7" s="29" t="inlineStr">
        <is>
          <t>Batch generate from Sheets builder</t>
        </is>
      </c>
      <c r="C7" s="29" t="inlineStr">
        <is>
          <t>Configure second pillar</t>
        </is>
      </c>
      <c r="D7" s="29" t="inlineStr">
        <is>
          <t>Rule builder, preview, test mode</t>
        </is>
      </c>
      <c r="E7" s="30" t="n"/>
    </row>
    <row r="8" ht="25.5" customHeight="1" s="26">
      <c r="A8" s="29" t="n">
        <v>5</v>
      </c>
      <c r="B8" s="29" t="inlineStr">
        <is>
          <t>E-sign requests view</t>
        </is>
      </c>
      <c r="C8" s="29" t="inlineStr">
        <is>
          <t>Differentiator surface</t>
        </is>
      </c>
      <c r="D8" s="29" t="inlineStr">
        <is>
          <t>Timeline/visual, export</t>
        </is>
      </c>
      <c r="E8" s="30" t="n"/>
    </row>
    <row r="9" ht="25.5" customHeight="1" s="26">
      <c r="A9" s="29" t="n">
        <v>6</v>
      </c>
      <c r="B9" s="29" t="inlineStr">
        <is>
          <t>Settings &amp; team</t>
        </is>
      </c>
      <c r="C9" s="29" t="inlineStr">
        <is>
          <t>Roles, notifications, data</t>
        </is>
      </c>
      <c r="D9" s="29" t="inlineStr">
        <is>
          <t>Role matrix, API keys, danger zone</t>
        </is>
      </c>
      <c r="E9" s="30" t="n"/>
    </row>
    <row r="10" ht="25.5" customHeight="1" s="26">
      <c r="A10" s="29" t="n">
        <v>7</v>
      </c>
      <c r="B10" s="29" t="inlineStr">
        <is>
          <t>Billing</t>
        </is>
      </c>
      <c r="C10" s="29" t="inlineStr">
        <is>
          <t>Plan/trial/invoices</t>
        </is>
      </c>
      <c r="D10" s="29" t="inlineStr">
        <is>
          <t>Plan cards, usage meter, invoices</t>
        </is>
      </c>
      <c r="E10" s="30" t="n"/>
    </row>
    <row r="11" ht="25.5" customHeight="1" s="26">
      <c r="A11" s="29" t="n">
        <v>8</v>
      </c>
      <c r="B11" s="29" t="inlineStr">
        <is>
          <t>Analytics</t>
        </is>
      </c>
      <c r="C11" s="29" t="inlineStr">
        <is>
          <t>Prove ROI</t>
        </is>
      </c>
      <c r="D11" s="29" t="inlineStr">
        <is>
          <t>Funnel, cohort, export</t>
        </is>
      </c>
      <c r="E11" s="30" t="n"/>
    </row>
    <row r="12" ht="25.5" customHeight="1" s="26">
      <c r="A12" s="29" t="n">
        <v>9</v>
      </c>
      <c r="B12" s="29" t="inlineStr">
        <is>
          <t>Help &amp; support</t>
        </is>
      </c>
      <c r="C12" s="29" t="inlineStr">
        <is>
          <t>Deflect + assist</t>
        </is>
      </c>
      <c r="D12" s="29" t="inlineStr">
        <is>
          <t>Search, chat, status</t>
        </is>
      </c>
      <c r="E12" s="30"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0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25" min="1" max="1"/>
    <col width="8" customWidth="1" style="25" min="2" max="2"/>
    <col width="84" customWidth="1" style="25" min="3" max="3"/>
    <col width="8" customWidth="1" style="25" min="4" max="4"/>
    <col width="9" customWidth="1" style="25" min="5" max="5"/>
    <col width="8" customWidth="1" style="25" min="6" max="6"/>
    <col width="12" customWidth="1" style="25" min="7" max="7"/>
  </cols>
  <sheetData>
    <row r="1" ht="17.25" customHeight="1" s="26">
      <c r="A1" s="27" t="inlineStr">
        <is>
          <t>FULL BACKLOG</t>
        </is>
      </c>
    </row>
    <row r="2"/>
    <row r="3" ht="15" customHeight="1" s="26">
      <c r="A3" s="28" t="inlineStr">
        <is>
          <t>ID</t>
        </is>
      </c>
      <c r="B3" s="28" t="inlineStr">
        <is>
          <t>Epic</t>
        </is>
      </c>
      <c r="C3" s="28" t="inlineStr">
        <is>
          <t>Story</t>
        </is>
      </c>
      <c r="D3" s="28" t="inlineStr">
        <is>
          <t>Points</t>
        </is>
      </c>
      <c r="E3" s="28" t="inlineStr">
        <is>
          <t>Priority</t>
        </is>
      </c>
      <c r="F3" s="28" t="inlineStr">
        <is>
          <t>Sprint</t>
        </is>
      </c>
      <c r="G3" s="28" t="inlineStr">
        <is>
          <t>Status</t>
        </is>
      </c>
    </row>
    <row r="4" ht="25.5" customHeight="1" s="26">
      <c r="A4" s="29" t="inlineStr">
        <is>
          <t>ST-001</t>
        </is>
      </c>
      <c r="B4" s="29" t="inlineStr">
        <is>
          <t>F1</t>
        </is>
      </c>
      <c r="C4" s="29" t="inlineStr">
        <is>
          <t>As a Office manager, I can set up Template designer with sensible defaults in one screen</t>
        </is>
      </c>
      <c r="D4" s="29" t="n">
        <v>5</v>
      </c>
      <c r="E4" s="29" t="inlineStr">
        <is>
          <t>P0</t>
        </is>
      </c>
      <c r="F4" s="29" t="inlineStr">
        <is>
          <t>S2</t>
        </is>
      </c>
      <c r="G4" s="37" t="inlineStr">
        <is>
          <t>Done</t>
        </is>
      </c>
    </row>
    <row r="5" ht="25.5" customHeight="1" s="26">
      <c r="A5" s="29" t="inlineStr">
        <is>
          <t>ST-002</t>
        </is>
      </c>
      <c r="B5" s="29" t="inlineStr">
        <is>
          <t>F1</t>
        </is>
      </c>
      <c r="C5" s="29" t="inlineStr">
        <is>
          <t>As a Office manager, the Template designer happy path completes without documentation</t>
        </is>
      </c>
      <c r="D5" s="29" t="n">
        <v>8</v>
      </c>
      <c r="E5" s="29" t="inlineStr">
        <is>
          <t>P0</t>
        </is>
      </c>
      <c r="F5" s="29" t="inlineStr">
        <is>
          <t>S2</t>
        </is>
      </c>
      <c r="G5" s="37" t="inlineStr">
        <is>
          <t>Done</t>
        </is>
      </c>
    </row>
    <row r="6" ht="25.5" customHeight="1" s="26">
      <c r="A6" s="29" t="inlineStr">
        <is>
          <t>ST-003</t>
        </is>
      </c>
      <c r="B6" s="29" t="inlineStr">
        <is>
          <t>F1</t>
        </is>
      </c>
      <c r="C6" s="29" t="inlineStr">
        <is>
          <t>As a Workspace admin, I can customise Template designer rules/conditions for my workflow</t>
        </is>
      </c>
      <c r="D6" s="29" t="n">
        <v>5</v>
      </c>
      <c r="E6" s="29" t="inlineStr">
        <is>
          <t>P1</t>
        </is>
      </c>
      <c r="F6" s="29" t="inlineStr">
        <is>
          <t>S2</t>
        </is>
      </c>
      <c r="G6" s="37" t="inlineStr">
        <is>
          <t>Done</t>
        </is>
      </c>
    </row>
    <row r="7" ht="25.5" customHeight="1" s="26">
      <c r="A7" s="29" t="inlineStr">
        <is>
          <t>ST-004</t>
        </is>
      </c>
      <c r="B7" s="29" t="inlineStr">
        <is>
          <t>F1</t>
        </is>
      </c>
      <c r="C7" s="29" t="inlineStr">
        <is>
          <t>As a user, Template designer shows clear errors and retry paths on platform API failures</t>
        </is>
      </c>
      <c r="D7" s="29" t="n">
        <v>3</v>
      </c>
      <c r="E7" s="29" t="inlineStr">
        <is>
          <t>P0</t>
        </is>
      </c>
      <c r="F7" s="29" t="inlineStr">
        <is>
          <t>S2</t>
        </is>
      </c>
      <c r="G7" s="37" t="inlineStr">
        <is>
          <t>Done</t>
        </is>
      </c>
    </row>
    <row r="8" ht="25.5" customHeight="1" s="26">
      <c r="A8" s="29" t="inlineStr">
        <is>
          <t>ST-005</t>
        </is>
      </c>
      <c r="B8" s="29" t="inlineStr">
        <is>
          <t>F1</t>
        </is>
      </c>
      <c r="C8" s="29" t="inlineStr">
        <is>
          <t>As a Ops freelancer, Template designer works on the Workspace add-on sidebar in Sheets/Docs surface end-to-end</t>
        </is>
      </c>
      <c r="D8" s="29" t="n">
        <v>5</v>
      </c>
      <c r="E8" s="29" t="inlineStr">
        <is>
          <t>P0</t>
        </is>
      </c>
      <c r="F8" s="29" t="inlineStr">
        <is>
          <t>S3</t>
        </is>
      </c>
      <c r="G8" s="37" t="inlineStr">
        <is>
          <t>Done</t>
        </is>
      </c>
    </row>
    <row r="9" ht="25.5" customHeight="1" s="26">
      <c r="A9" s="29" t="inlineStr">
        <is>
          <t>ST-006</t>
        </is>
      </c>
      <c r="B9" s="29" t="inlineStr">
        <is>
          <t>F1</t>
        </is>
      </c>
      <c r="C9" s="29" t="inlineStr">
        <is>
          <t>As a Workspace admin, I can see Template designer performance metrics and trends</t>
        </is>
      </c>
      <c r="D9" s="29" t="n">
        <v>3</v>
      </c>
      <c r="E9" s="29" t="inlineStr">
        <is>
          <t>P1</t>
        </is>
      </c>
      <c r="F9" s="29" t="inlineStr">
        <is>
          <t>S3</t>
        </is>
      </c>
      <c r="G9" s="37" t="inlineStr">
        <is>
          <t>Done</t>
        </is>
      </c>
    </row>
    <row r="10" ht="25.5" customHeight="1" s="26">
      <c r="A10" s="29" t="inlineStr">
        <is>
          <t>ST-007</t>
        </is>
      </c>
      <c r="B10" s="29" t="inlineStr">
        <is>
          <t>F1</t>
        </is>
      </c>
      <c r="C10" s="29" t="inlineStr">
        <is>
          <t>As a user, Template designer respects role permissions and audit logging</t>
        </is>
      </c>
      <c r="D10" s="29" t="n">
        <v>3</v>
      </c>
      <c r="E10" s="29" t="inlineStr">
        <is>
          <t>P1</t>
        </is>
      </c>
      <c r="F10" s="29" t="inlineStr">
        <is>
          <t>S3</t>
        </is>
      </c>
      <c r="G10" s="37" t="inlineStr">
        <is>
          <t>Done</t>
        </is>
      </c>
    </row>
    <row r="11" ht="25.5" customHeight="1" s="26">
      <c r="A11" s="29" t="inlineStr">
        <is>
          <t>ST-008</t>
        </is>
      </c>
      <c r="B11" s="29" t="inlineStr">
        <is>
          <t>F1</t>
        </is>
      </c>
      <c r="C11" s="29" t="inlineStr">
        <is>
          <t>As a Office manager, I can pause/disable Template designer without data loss</t>
        </is>
      </c>
      <c r="D11" s="29" t="n">
        <v>2</v>
      </c>
      <c r="E11" s="29" t="inlineStr">
        <is>
          <t>P2</t>
        </is>
      </c>
      <c r="F11" s="29" t="inlineStr">
        <is>
          <t>S3</t>
        </is>
      </c>
      <c r="G11" s="37" t="inlineStr">
        <is>
          <t>Done</t>
        </is>
      </c>
    </row>
    <row r="12" ht="25.5" customHeight="1" s="26">
      <c r="A12" s="29" t="inlineStr">
        <is>
          <t>ST-009</t>
        </is>
      </c>
      <c r="B12" s="29" t="inlineStr">
        <is>
          <t>F1</t>
        </is>
      </c>
      <c r="C12" s="29" t="inlineStr">
        <is>
          <t>As a Workspace admin, I can import/migrate existing data into Template designer (CSV + competitor importer)</t>
        </is>
      </c>
      <c r="D12" s="29" t="n">
        <v>5</v>
      </c>
      <c r="E12" s="29" t="inlineStr">
        <is>
          <t>P1</t>
        </is>
      </c>
      <c r="F12" s="29" t="inlineStr">
        <is>
          <t>S3</t>
        </is>
      </c>
      <c r="G12" s="37" t="inlineStr">
        <is>
          <t>Done</t>
        </is>
      </c>
    </row>
    <row r="13" ht="25.5" customHeight="1" s="26">
      <c r="A13" s="29" t="inlineStr">
        <is>
          <t>ST-010</t>
        </is>
      </c>
      <c r="B13" s="29" t="inlineStr">
        <is>
          <t>F1</t>
        </is>
      </c>
      <c r="C13" s="29" t="inlineStr">
        <is>
          <t>As a user, I get notifications (in-app + email) for key Template designer events with per-type mute</t>
        </is>
      </c>
      <c r="D13" s="29" t="n">
        <v>3</v>
      </c>
      <c r="E13" s="29" t="inlineStr">
        <is>
          <t>P2</t>
        </is>
      </c>
      <c r="F13" s="29" t="inlineStr">
        <is>
          <t>S3</t>
        </is>
      </c>
      <c r="G13" s="37" t="inlineStr">
        <is>
          <t>Done</t>
        </is>
      </c>
    </row>
    <row r="14" ht="25.5" customHeight="1" s="26">
      <c r="A14" s="29" t="inlineStr">
        <is>
          <t>ST-011</t>
        </is>
      </c>
      <c r="B14" s="29" t="inlineStr">
        <is>
          <t>F2</t>
        </is>
      </c>
      <c r="C14" s="29" t="inlineStr">
        <is>
          <t>As a Office manager, I can set up Batch generate from Sheets with sensible defaults in one screen</t>
        </is>
      </c>
      <c r="D14" s="29" t="n">
        <v>5</v>
      </c>
      <c r="E14" s="29" t="inlineStr">
        <is>
          <t>P0</t>
        </is>
      </c>
      <c r="F14" s="29" t="inlineStr">
        <is>
          <t>S3</t>
        </is>
      </c>
      <c r="G14" s="37" t="inlineStr">
        <is>
          <t>Done</t>
        </is>
      </c>
    </row>
    <row r="15" ht="25.5" customHeight="1" s="26">
      <c r="A15" s="29" t="inlineStr">
        <is>
          <t>ST-012</t>
        </is>
      </c>
      <c r="B15" s="29" t="inlineStr">
        <is>
          <t>F2</t>
        </is>
      </c>
      <c r="C15" s="29" t="inlineStr">
        <is>
          <t>As a Office manager, the Batch generate from Sheets happy path completes without documentation</t>
        </is>
      </c>
      <c r="D15" s="29" t="n">
        <v>8</v>
      </c>
      <c r="E15" s="29" t="inlineStr">
        <is>
          <t>P0</t>
        </is>
      </c>
      <c r="F15" s="29" t="inlineStr">
        <is>
          <t>S3</t>
        </is>
      </c>
      <c r="G15" s="37" t="inlineStr">
        <is>
          <t>Done</t>
        </is>
      </c>
    </row>
    <row r="16" ht="25.5" customHeight="1" s="26">
      <c r="A16" s="29" t="inlineStr">
        <is>
          <t>ST-013</t>
        </is>
      </c>
      <c r="B16" s="29" t="inlineStr">
        <is>
          <t>F2</t>
        </is>
      </c>
      <c r="C16" s="29" t="inlineStr">
        <is>
          <t>As a Workspace admin, I can customise Batch generate from Sheets rules/conditions for my workflow</t>
        </is>
      </c>
      <c r="D16" s="29" t="n">
        <v>5</v>
      </c>
      <c r="E16" s="29" t="inlineStr">
        <is>
          <t>P1</t>
        </is>
      </c>
      <c r="F16" s="29" t="inlineStr">
        <is>
          <t>S3</t>
        </is>
      </c>
      <c r="G16" s="37" t="inlineStr">
        <is>
          <t>Done</t>
        </is>
      </c>
    </row>
    <row r="17" ht="25.5" customHeight="1" s="26">
      <c r="A17" s="29" t="inlineStr">
        <is>
          <t>ST-014</t>
        </is>
      </c>
      <c r="B17" s="29" t="inlineStr">
        <is>
          <t>F2</t>
        </is>
      </c>
      <c r="C17" s="29" t="inlineStr">
        <is>
          <t>As a user, Batch generate from Sheets shows clear errors and retry paths on platform API failures</t>
        </is>
      </c>
      <c r="D17" s="29" t="n">
        <v>3</v>
      </c>
      <c r="E17" s="29" t="inlineStr">
        <is>
          <t>P0</t>
        </is>
      </c>
      <c r="F17" s="29" t="inlineStr">
        <is>
          <t>S3</t>
        </is>
      </c>
      <c r="G17" s="37" t="inlineStr">
        <is>
          <t>Done</t>
        </is>
      </c>
    </row>
    <row r="18" ht="25.5" customHeight="1" s="26">
      <c r="A18" s="29" t="inlineStr">
        <is>
          <t>ST-015</t>
        </is>
      </c>
      <c r="B18" s="29" t="inlineStr">
        <is>
          <t>F2</t>
        </is>
      </c>
      <c r="C18" s="29" t="inlineStr">
        <is>
          <t>As a Ops freelancer, Batch generate from Sheets works on the Workspace add-on sidebar in Sheets/Docs surface end-to-end</t>
        </is>
      </c>
      <c r="D18" s="29" t="n">
        <v>5</v>
      </c>
      <c r="E18" s="29" t="inlineStr">
        <is>
          <t>P0</t>
        </is>
      </c>
      <c r="F18" s="29" t="inlineStr">
        <is>
          <t>S4</t>
        </is>
      </c>
      <c r="G18" s="37" t="inlineStr">
        <is>
          <t>Done</t>
        </is>
      </c>
    </row>
    <row r="19" ht="25.5" customHeight="1" s="26">
      <c r="A19" s="29" t="inlineStr">
        <is>
          <t>ST-016</t>
        </is>
      </c>
      <c r="B19" s="29" t="inlineStr">
        <is>
          <t>F2</t>
        </is>
      </c>
      <c r="C19" s="29" t="inlineStr">
        <is>
          <t>As a Workspace admin, I can see Batch generate from Sheets performance metrics and trends</t>
        </is>
      </c>
      <c r="D19" s="29" t="n">
        <v>3</v>
      </c>
      <c r="E19" s="29" t="inlineStr">
        <is>
          <t>P1</t>
        </is>
      </c>
      <c r="F19" s="29" t="inlineStr">
        <is>
          <t>S4</t>
        </is>
      </c>
      <c r="G19" s="37" t="inlineStr">
        <is>
          <t>Done</t>
        </is>
      </c>
    </row>
    <row r="20" ht="25.5" customHeight="1" s="26">
      <c r="A20" s="29" t="inlineStr">
        <is>
          <t>ST-017</t>
        </is>
      </c>
      <c r="B20" s="29" t="inlineStr">
        <is>
          <t>F2</t>
        </is>
      </c>
      <c r="C20" s="29" t="inlineStr">
        <is>
          <t>As a user, Batch generate from Sheets respects role permissions and audit logging</t>
        </is>
      </c>
      <c r="D20" s="29" t="n">
        <v>3</v>
      </c>
      <c r="E20" s="29" t="inlineStr">
        <is>
          <t>P1</t>
        </is>
      </c>
      <c r="F20" s="29" t="inlineStr">
        <is>
          <t>S4</t>
        </is>
      </c>
      <c r="G20" s="37" t="inlineStr">
        <is>
          <t>Done</t>
        </is>
      </c>
    </row>
    <row r="21" ht="25.5" customHeight="1" s="26">
      <c r="A21" s="29" t="inlineStr">
        <is>
          <t>ST-018</t>
        </is>
      </c>
      <c r="B21" s="29" t="inlineStr">
        <is>
          <t>F2</t>
        </is>
      </c>
      <c r="C21" s="29" t="inlineStr">
        <is>
          <t>As a Office manager, I can pause/disable Batch generate from Sheets without data loss</t>
        </is>
      </c>
      <c r="D21" s="29" t="n">
        <v>2</v>
      </c>
      <c r="E21" s="29" t="inlineStr">
        <is>
          <t>P2</t>
        </is>
      </c>
      <c r="F21" s="29" t="inlineStr">
        <is>
          <t>S4</t>
        </is>
      </c>
      <c r="G21" s="37" t="inlineStr">
        <is>
          <t>Done</t>
        </is>
      </c>
    </row>
    <row r="22" ht="25.5" customHeight="1" s="26">
      <c r="A22" s="29" t="inlineStr">
        <is>
          <t>ST-019</t>
        </is>
      </c>
      <c r="B22" s="29" t="inlineStr">
        <is>
          <t>F2</t>
        </is>
      </c>
      <c r="C22" s="29" t="inlineStr">
        <is>
          <t>As a Workspace admin, I can import/migrate existing data into Batch generate from Sheets (CSV + competitor importer)</t>
        </is>
      </c>
      <c r="D22" s="29" t="n">
        <v>5</v>
      </c>
      <c r="E22" s="29" t="inlineStr">
        <is>
          <t>P1</t>
        </is>
      </c>
      <c r="F22" s="29" t="inlineStr">
        <is>
          <t>S4</t>
        </is>
      </c>
      <c r="G22" s="37" t="inlineStr">
        <is>
          <t>Done</t>
        </is>
      </c>
    </row>
    <row r="23" ht="25.5" customHeight="1" s="26">
      <c r="A23" s="29" t="inlineStr">
        <is>
          <t>ST-020</t>
        </is>
      </c>
      <c r="B23" s="29" t="inlineStr">
        <is>
          <t>F2</t>
        </is>
      </c>
      <c r="C23" s="29" t="inlineStr">
        <is>
          <t>As a user, I get notifications (in-app + email) for key Batch generate from Sheets events with per-type mute</t>
        </is>
      </c>
      <c r="D23" s="29" t="n">
        <v>3</v>
      </c>
      <c r="E23" s="29" t="inlineStr">
        <is>
          <t>P2</t>
        </is>
      </c>
      <c r="F23" s="29" t="inlineStr">
        <is>
          <t>S4</t>
        </is>
      </c>
      <c r="G23" s="37" t="inlineStr">
        <is>
          <t>Done</t>
        </is>
      </c>
    </row>
    <row r="24" ht="25.5" customHeight="1" s="26">
      <c r="A24" s="29" t="inlineStr">
        <is>
          <t>ST-021</t>
        </is>
      </c>
      <c r="B24" s="29" t="inlineStr">
        <is>
          <t>F3</t>
        </is>
      </c>
      <c r="C24" s="29" t="inlineStr">
        <is>
          <t>As a Office manager, I can set up E-sign requests with sensible defaults in one screen</t>
        </is>
      </c>
      <c r="D24" s="29" t="n">
        <v>5</v>
      </c>
      <c r="E24" s="29" t="inlineStr">
        <is>
          <t>P0</t>
        </is>
      </c>
      <c r="F24" s="29" t="inlineStr">
        <is>
          <t>S5</t>
        </is>
      </c>
      <c r="G24" s="37" t="inlineStr">
        <is>
          <t>Done</t>
        </is>
      </c>
    </row>
    <row r="25" ht="25.5" customHeight="1" s="26">
      <c r="A25" s="29" t="inlineStr">
        <is>
          <t>ST-022</t>
        </is>
      </c>
      <c r="B25" s="29" t="inlineStr">
        <is>
          <t>F3</t>
        </is>
      </c>
      <c r="C25" s="29" t="inlineStr">
        <is>
          <t>As a Office manager, the E-sign requests happy path completes without documentation</t>
        </is>
      </c>
      <c r="D25" s="29" t="n">
        <v>8</v>
      </c>
      <c r="E25" s="29" t="inlineStr">
        <is>
          <t>P0</t>
        </is>
      </c>
      <c r="F25" s="29" t="inlineStr">
        <is>
          <t>S5</t>
        </is>
      </c>
      <c r="G25" s="37" t="inlineStr">
        <is>
          <t>Done</t>
        </is>
      </c>
    </row>
    <row r="26" ht="25.5" customHeight="1" s="26">
      <c r="A26" s="29" t="inlineStr">
        <is>
          <t>ST-023</t>
        </is>
      </c>
      <c r="B26" s="29" t="inlineStr">
        <is>
          <t>F3</t>
        </is>
      </c>
      <c r="C26" s="29" t="inlineStr">
        <is>
          <t>As a Workspace admin, I can customise E-sign requests rules/conditions for my workflow</t>
        </is>
      </c>
      <c r="D26" s="29" t="n">
        <v>5</v>
      </c>
      <c r="E26" s="29" t="inlineStr">
        <is>
          <t>P1</t>
        </is>
      </c>
      <c r="F26" s="29" t="inlineStr">
        <is>
          <t>S5</t>
        </is>
      </c>
      <c r="G26" s="37" t="inlineStr">
        <is>
          <t>Done</t>
        </is>
      </c>
    </row>
    <row r="27" ht="25.5" customHeight="1" s="26">
      <c r="A27" s="29" t="inlineStr">
        <is>
          <t>ST-024</t>
        </is>
      </c>
      <c r="B27" s="29" t="inlineStr">
        <is>
          <t>F3</t>
        </is>
      </c>
      <c r="C27" s="29" t="inlineStr">
        <is>
          <t>As a user, E-sign requests shows clear errors and retry paths on platform API failures</t>
        </is>
      </c>
      <c r="D27" s="29" t="n">
        <v>3</v>
      </c>
      <c r="E27" s="29" t="inlineStr">
        <is>
          <t>P0</t>
        </is>
      </c>
      <c r="F27" s="29" t="inlineStr">
        <is>
          <t>S5</t>
        </is>
      </c>
      <c r="G27" s="37" t="inlineStr">
        <is>
          <t>Done</t>
        </is>
      </c>
    </row>
    <row r="28" ht="25.5" customHeight="1" s="26">
      <c r="A28" s="29" t="inlineStr">
        <is>
          <t>ST-025</t>
        </is>
      </c>
      <c r="B28" s="29" t="inlineStr">
        <is>
          <t>F3</t>
        </is>
      </c>
      <c r="C28" s="29" t="inlineStr">
        <is>
          <t>As a Ops freelancer, E-sign requests works on the Workspace add-on sidebar in Sheets/Docs surface end-to-end</t>
        </is>
      </c>
      <c r="D28" s="29" t="n">
        <v>5</v>
      </c>
      <c r="E28" s="29" t="inlineStr">
        <is>
          <t>P0</t>
        </is>
      </c>
      <c r="F28" s="29" t="inlineStr">
        <is>
          <t>S5</t>
        </is>
      </c>
      <c r="G28" s="37" t="inlineStr">
        <is>
          <t>Done</t>
        </is>
      </c>
    </row>
    <row r="29" ht="25.5" customHeight="1" s="26">
      <c r="A29" s="29" t="inlineStr">
        <is>
          <t>ST-026</t>
        </is>
      </c>
      <c r="B29" s="29" t="inlineStr">
        <is>
          <t>F3</t>
        </is>
      </c>
      <c r="C29" s="29" t="inlineStr">
        <is>
          <t>As a Workspace admin, I can see E-sign requests performance metrics and trends</t>
        </is>
      </c>
      <c r="D29" s="29" t="n">
        <v>3</v>
      </c>
      <c r="E29" s="29" t="inlineStr">
        <is>
          <t>P1</t>
        </is>
      </c>
      <c r="F29" s="29" t="inlineStr">
        <is>
          <t>S5</t>
        </is>
      </c>
      <c r="G29" s="37" t="inlineStr">
        <is>
          <t>Done</t>
        </is>
      </c>
    </row>
    <row r="30" ht="25.5" customHeight="1" s="26">
      <c r="A30" s="29" t="inlineStr">
        <is>
          <t>ST-027</t>
        </is>
      </c>
      <c r="B30" s="29" t="inlineStr">
        <is>
          <t>F3</t>
        </is>
      </c>
      <c r="C30" s="29" t="inlineStr">
        <is>
          <t>As a user, E-sign requests respects role permissions and audit logging</t>
        </is>
      </c>
      <c r="D30" s="29" t="n">
        <v>3</v>
      </c>
      <c r="E30" s="29" t="inlineStr">
        <is>
          <t>P1</t>
        </is>
      </c>
      <c r="F30" s="29" t="inlineStr">
        <is>
          <t>S5</t>
        </is>
      </c>
      <c r="G30" s="37" t="inlineStr">
        <is>
          <t>Done</t>
        </is>
      </c>
    </row>
    <row r="31" ht="25.5" customHeight="1" s="26">
      <c r="A31" s="29" t="inlineStr">
        <is>
          <t>ST-028</t>
        </is>
      </c>
      <c r="B31" s="29" t="inlineStr">
        <is>
          <t>F3</t>
        </is>
      </c>
      <c r="C31" s="29" t="inlineStr">
        <is>
          <t>As a Office manager, I can pause/disable E-sign requests without data loss</t>
        </is>
      </c>
      <c r="D31" s="29" t="n">
        <v>2</v>
      </c>
      <c r="E31" s="29" t="inlineStr">
        <is>
          <t>P2</t>
        </is>
      </c>
      <c r="F31" s="29" t="inlineStr">
        <is>
          <t>S5</t>
        </is>
      </c>
      <c r="G31" s="37" t="inlineStr">
        <is>
          <t>Done</t>
        </is>
      </c>
    </row>
    <row r="32" ht="25.5" customHeight="1" s="26">
      <c r="A32" s="29" t="inlineStr">
        <is>
          <t>ST-029</t>
        </is>
      </c>
      <c r="B32" s="29" t="inlineStr">
        <is>
          <t>F3</t>
        </is>
      </c>
      <c r="C32" s="29" t="inlineStr">
        <is>
          <t>As a Workspace admin, I can import/migrate existing data into E-sign requests (CSV + competitor importer)</t>
        </is>
      </c>
      <c r="D32" s="29" t="n">
        <v>5</v>
      </c>
      <c r="E32" s="29" t="inlineStr">
        <is>
          <t>P1</t>
        </is>
      </c>
      <c r="F32" s="29" t="inlineStr">
        <is>
          <t>S5</t>
        </is>
      </c>
      <c r="G32" s="37" t="inlineStr">
        <is>
          <t>Done</t>
        </is>
      </c>
    </row>
    <row r="33" ht="25.5" customHeight="1" s="26">
      <c r="A33" s="29" t="inlineStr">
        <is>
          <t>ST-030</t>
        </is>
      </c>
      <c r="B33" s="29" t="inlineStr">
        <is>
          <t>F3</t>
        </is>
      </c>
      <c r="C33" s="29" t="inlineStr">
        <is>
          <t>As a user, I get notifications (in-app + email) for key E-sign requests events with per-type mute</t>
        </is>
      </c>
      <c r="D33" s="29" t="n">
        <v>3</v>
      </c>
      <c r="E33" s="29" t="inlineStr">
        <is>
          <t>P2</t>
        </is>
      </c>
      <c r="F33" s="29" t="inlineStr">
        <is>
          <t>S5</t>
        </is>
      </c>
      <c r="G33" s="37" t="inlineStr">
        <is>
          <t>Done</t>
        </is>
      </c>
    </row>
    <row r="34" ht="25.5" customHeight="1" s="26">
      <c r="A34" s="29" t="inlineStr">
        <is>
          <t>ST-031</t>
        </is>
      </c>
      <c r="B34" s="29" t="inlineStr">
        <is>
          <t>F4</t>
        </is>
      </c>
      <c r="C34" s="29" t="inlineStr">
        <is>
          <t>As a Office manager, I can set up Auto-file to Drive with sensible defaults in one screen</t>
        </is>
      </c>
      <c r="D34" s="29" t="n">
        <v>5</v>
      </c>
      <c r="E34" s="29" t="inlineStr">
        <is>
          <t>P0</t>
        </is>
      </c>
      <c r="F34" s="29" t="inlineStr">
        <is>
          <t>S6</t>
        </is>
      </c>
      <c r="G34" s="37" t="inlineStr">
        <is>
          <t>Done</t>
        </is>
      </c>
    </row>
    <row r="35" ht="25.5" customHeight="1" s="26">
      <c r="A35" s="29" t="inlineStr">
        <is>
          <t>ST-032</t>
        </is>
      </c>
      <c r="B35" s="29" t="inlineStr">
        <is>
          <t>F4</t>
        </is>
      </c>
      <c r="C35" s="29" t="inlineStr">
        <is>
          <t>As a Office manager, the Auto-file to Drive happy path completes without documentation</t>
        </is>
      </c>
      <c r="D35" s="29" t="n">
        <v>8</v>
      </c>
      <c r="E35" s="29" t="inlineStr">
        <is>
          <t>P0</t>
        </is>
      </c>
      <c r="F35" s="29" t="inlineStr">
        <is>
          <t>S6</t>
        </is>
      </c>
      <c r="G35" s="37" t="inlineStr">
        <is>
          <t>Done</t>
        </is>
      </c>
    </row>
    <row r="36" ht="25.5" customHeight="1" s="26">
      <c r="A36" s="29" t="inlineStr">
        <is>
          <t>ST-033</t>
        </is>
      </c>
      <c r="B36" s="29" t="inlineStr">
        <is>
          <t>F4</t>
        </is>
      </c>
      <c r="C36" s="29" t="inlineStr">
        <is>
          <t>As a Workspace admin, I can customise Auto-file to Drive rules/conditions for my workflow</t>
        </is>
      </c>
      <c r="D36" s="29" t="n">
        <v>5</v>
      </c>
      <c r="E36" s="29" t="inlineStr">
        <is>
          <t>P1</t>
        </is>
      </c>
      <c r="F36" s="29" t="inlineStr">
        <is>
          <t>S6</t>
        </is>
      </c>
      <c r="G36" s="37" t="inlineStr">
        <is>
          <t>Done</t>
        </is>
      </c>
    </row>
    <row r="37" ht="25.5" customHeight="1" s="26">
      <c r="A37" s="29" t="inlineStr">
        <is>
          <t>ST-034</t>
        </is>
      </c>
      <c r="B37" s="29" t="inlineStr">
        <is>
          <t>F4</t>
        </is>
      </c>
      <c r="C37" s="29" t="inlineStr">
        <is>
          <t>As a user, Auto-file to Drive shows clear errors and retry paths on platform API failures</t>
        </is>
      </c>
      <c r="D37" s="29" t="n">
        <v>3</v>
      </c>
      <c r="E37" s="29" t="inlineStr">
        <is>
          <t>P0</t>
        </is>
      </c>
      <c r="F37" s="29" t="inlineStr">
        <is>
          <t>S6</t>
        </is>
      </c>
      <c r="G37" s="37" t="inlineStr">
        <is>
          <t>Done</t>
        </is>
      </c>
    </row>
    <row r="38" ht="25.5" customHeight="1" s="26">
      <c r="A38" s="29" t="inlineStr">
        <is>
          <t>ST-035</t>
        </is>
      </c>
      <c r="B38" s="29" t="inlineStr">
        <is>
          <t>F4</t>
        </is>
      </c>
      <c r="C38" s="29" t="inlineStr">
        <is>
          <t>As a Ops freelancer, Auto-file to Drive works on the Workspace add-on sidebar in Sheets/Docs surface end-to-end</t>
        </is>
      </c>
      <c r="D38" s="29" t="n">
        <v>5</v>
      </c>
      <c r="E38" s="29" t="inlineStr">
        <is>
          <t>P0</t>
        </is>
      </c>
      <c r="F38" s="29" t="inlineStr">
        <is>
          <t>S6</t>
        </is>
      </c>
      <c r="G38" s="37" t="inlineStr">
        <is>
          <t>Done</t>
        </is>
      </c>
    </row>
    <row r="39" ht="25.5" customHeight="1" s="26">
      <c r="A39" s="29" t="inlineStr">
        <is>
          <t>ST-036</t>
        </is>
      </c>
      <c r="B39" s="29" t="inlineStr">
        <is>
          <t>F4</t>
        </is>
      </c>
      <c r="C39" s="29" t="inlineStr">
        <is>
          <t>As a Workspace admin, I can see Auto-file to Drive performance metrics and trends</t>
        </is>
      </c>
      <c r="D39" s="29" t="n">
        <v>3</v>
      </c>
      <c r="E39" s="29" t="inlineStr">
        <is>
          <t>P1</t>
        </is>
      </c>
      <c r="F39" s="29" t="inlineStr">
        <is>
          <t>S6</t>
        </is>
      </c>
      <c r="G39" s="37" t="inlineStr">
        <is>
          <t>Done</t>
        </is>
      </c>
    </row>
    <row r="40" ht="25.5" customHeight="1" s="26">
      <c r="A40" s="29" t="inlineStr">
        <is>
          <t>ST-037</t>
        </is>
      </c>
      <c r="B40" s="29" t="inlineStr">
        <is>
          <t>F4</t>
        </is>
      </c>
      <c r="C40" s="29" t="inlineStr">
        <is>
          <t>As a user, Auto-file to Drive respects role permissions and audit logging</t>
        </is>
      </c>
      <c r="D40" s="29" t="n">
        <v>3</v>
      </c>
      <c r="E40" s="29" t="inlineStr">
        <is>
          <t>P1</t>
        </is>
      </c>
      <c r="F40" s="29" t="inlineStr">
        <is>
          <t>S6</t>
        </is>
      </c>
      <c r="G40" s="37" t="inlineStr">
        <is>
          <t>Done</t>
        </is>
      </c>
    </row>
    <row r="41" ht="25.5" customHeight="1" s="26">
      <c r="A41" s="29" t="inlineStr">
        <is>
          <t>ST-038</t>
        </is>
      </c>
      <c r="B41" s="29" t="inlineStr">
        <is>
          <t>F4</t>
        </is>
      </c>
      <c r="C41" s="29" t="inlineStr">
        <is>
          <t>As a Office manager, I can pause/disable Auto-file to Drive without data loss</t>
        </is>
      </c>
      <c r="D41" s="29" t="n">
        <v>2</v>
      </c>
      <c r="E41" s="29" t="inlineStr">
        <is>
          <t>P2</t>
        </is>
      </c>
      <c r="F41" s="29" t="inlineStr">
        <is>
          <t>S6</t>
        </is>
      </c>
      <c r="G41" s="37" t="inlineStr">
        <is>
          <t>Done</t>
        </is>
      </c>
    </row>
    <row r="42" ht="25.5" customHeight="1" s="26">
      <c r="A42" s="29" t="inlineStr">
        <is>
          <t>ST-039</t>
        </is>
      </c>
      <c r="B42" s="29" t="inlineStr">
        <is>
          <t>F4</t>
        </is>
      </c>
      <c r="C42" s="29" t="inlineStr">
        <is>
          <t>As a Workspace admin, I can import/migrate existing data into Auto-file to Drive (CSV + competitor importer)</t>
        </is>
      </c>
      <c r="D42" s="29" t="n">
        <v>5</v>
      </c>
      <c r="E42" s="29" t="inlineStr">
        <is>
          <t>P1</t>
        </is>
      </c>
      <c r="F42" s="29" t="inlineStr">
        <is>
          <t>S6</t>
        </is>
      </c>
      <c r="G42" s="37" t="inlineStr">
        <is>
          <t>Done</t>
        </is>
      </c>
    </row>
    <row r="43" ht="25.5" customHeight="1" s="26">
      <c r="A43" s="29" t="inlineStr">
        <is>
          <t>ST-040</t>
        </is>
      </c>
      <c r="B43" s="29" t="inlineStr">
        <is>
          <t>F4</t>
        </is>
      </c>
      <c r="C43" s="29" t="inlineStr">
        <is>
          <t>As a user, I get notifications (in-app + email) for key Auto-file to Drive events with per-type mute</t>
        </is>
      </c>
      <c r="D43" s="29" t="n">
        <v>3</v>
      </c>
      <c r="E43" s="29" t="inlineStr">
        <is>
          <t>P2</t>
        </is>
      </c>
      <c r="F43" s="29" t="inlineStr">
        <is>
          <t>S6</t>
        </is>
      </c>
      <c r="G43" s="37" t="inlineStr">
        <is>
          <t>Done</t>
        </is>
      </c>
    </row>
    <row r="44" ht="25.5" customHeight="1" s="26">
      <c r="A44" s="29" t="inlineStr">
        <is>
          <t>ST-041</t>
        </is>
      </c>
      <c r="B44" s="29" t="inlineStr">
        <is>
          <t>F5</t>
        </is>
      </c>
      <c r="C44" s="29" t="inlineStr">
        <is>
          <t>As a Office manager, I can set up Form-triggered generation with sensible defaults in one screen</t>
        </is>
      </c>
      <c r="D44" s="29" t="n">
        <v>5</v>
      </c>
      <c r="E44" s="29" t="inlineStr">
        <is>
          <t>P0</t>
        </is>
      </c>
      <c r="F44" s="29" t="inlineStr">
        <is>
          <t>S8</t>
        </is>
      </c>
      <c r="G44" s="37" t="inlineStr">
        <is>
          <t>Done</t>
        </is>
      </c>
    </row>
    <row r="45" ht="25.5" customHeight="1" s="26">
      <c r="A45" s="29" t="inlineStr">
        <is>
          <t>ST-042</t>
        </is>
      </c>
      <c r="B45" s="29" t="inlineStr">
        <is>
          <t>F5</t>
        </is>
      </c>
      <c r="C45" s="29" t="inlineStr">
        <is>
          <t>As a Office manager, the Form-triggered generation happy path completes without documentation</t>
        </is>
      </c>
      <c r="D45" s="29" t="n">
        <v>8</v>
      </c>
      <c r="E45" s="29" t="inlineStr">
        <is>
          <t>P0</t>
        </is>
      </c>
      <c r="F45" s="29" t="inlineStr">
        <is>
          <t>S8</t>
        </is>
      </c>
      <c r="G45" s="37" t="inlineStr">
        <is>
          <t>Done</t>
        </is>
      </c>
    </row>
    <row r="46" ht="25.5" customHeight="1" s="26">
      <c r="A46" s="29" t="inlineStr">
        <is>
          <t>ST-043</t>
        </is>
      </c>
      <c r="B46" s="29" t="inlineStr">
        <is>
          <t>F5</t>
        </is>
      </c>
      <c r="C46" s="29" t="inlineStr">
        <is>
          <t>As a Workspace admin, I can customise Form-triggered generation rules/conditions for my workflow</t>
        </is>
      </c>
      <c r="D46" s="29" t="n">
        <v>5</v>
      </c>
      <c r="E46" s="29" t="inlineStr">
        <is>
          <t>P1</t>
        </is>
      </c>
      <c r="F46" s="29" t="inlineStr">
        <is>
          <t>S8</t>
        </is>
      </c>
      <c r="G46" s="37" t="inlineStr">
        <is>
          <t>Done</t>
        </is>
      </c>
    </row>
    <row r="47" ht="25.5" customHeight="1" s="26">
      <c r="A47" s="29" t="inlineStr">
        <is>
          <t>ST-044</t>
        </is>
      </c>
      <c r="B47" s="29" t="inlineStr">
        <is>
          <t>F5</t>
        </is>
      </c>
      <c r="C47" s="29" t="inlineStr">
        <is>
          <t>As a user, Form-triggered generation shows clear errors and retry paths on platform API failures</t>
        </is>
      </c>
      <c r="D47" s="29" t="n">
        <v>3</v>
      </c>
      <c r="E47" s="29" t="inlineStr">
        <is>
          <t>P0</t>
        </is>
      </c>
      <c r="F47" s="29" t="inlineStr">
        <is>
          <t>S8</t>
        </is>
      </c>
      <c r="G47" s="37" t="inlineStr">
        <is>
          <t>Done</t>
        </is>
      </c>
    </row>
    <row r="48" ht="25.5" customHeight="1" s="26">
      <c r="A48" s="29" t="inlineStr">
        <is>
          <t>ST-045</t>
        </is>
      </c>
      <c r="B48" s="29" t="inlineStr">
        <is>
          <t>F5</t>
        </is>
      </c>
      <c r="C48" s="29" t="inlineStr">
        <is>
          <t>As a Ops freelancer, Form-triggered generation works on the Workspace add-on sidebar in Sheets/Docs surface end-to-end</t>
        </is>
      </c>
      <c r="D48" s="29" t="n">
        <v>5</v>
      </c>
      <c r="E48" s="29" t="inlineStr">
        <is>
          <t>P0</t>
        </is>
      </c>
      <c r="F48" s="29" t="inlineStr">
        <is>
          <t>S8</t>
        </is>
      </c>
      <c r="G48" s="37" t="inlineStr">
        <is>
          <t>Done</t>
        </is>
      </c>
    </row>
    <row r="49" ht="25.5" customHeight="1" s="26">
      <c r="A49" s="29" t="inlineStr">
        <is>
          <t>ST-046</t>
        </is>
      </c>
      <c r="B49" s="29" t="inlineStr">
        <is>
          <t>F5</t>
        </is>
      </c>
      <c r="C49" s="29" t="inlineStr">
        <is>
          <t>As a Workspace admin, I can see Form-triggered generation performance metrics and trends</t>
        </is>
      </c>
      <c r="D49" s="29" t="n">
        <v>3</v>
      </c>
      <c r="E49" s="29" t="inlineStr">
        <is>
          <t>P1</t>
        </is>
      </c>
      <c r="F49" s="29" t="inlineStr">
        <is>
          <t>S8</t>
        </is>
      </c>
      <c r="G49" s="37" t="inlineStr">
        <is>
          <t>Done</t>
        </is>
      </c>
    </row>
    <row r="50" ht="25.5" customHeight="1" s="26">
      <c r="A50" s="29" t="inlineStr">
        <is>
          <t>ST-047</t>
        </is>
      </c>
      <c r="B50" s="29" t="inlineStr">
        <is>
          <t>F5</t>
        </is>
      </c>
      <c r="C50" s="29" t="inlineStr">
        <is>
          <t>As a user, Form-triggered generation respects role permissions and audit logging</t>
        </is>
      </c>
      <c r="D50" s="29" t="n">
        <v>3</v>
      </c>
      <c r="E50" s="29" t="inlineStr">
        <is>
          <t>P1</t>
        </is>
      </c>
      <c r="F50" s="29" t="inlineStr">
        <is>
          <t>S8</t>
        </is>
      </c>
      <c r="G50" s="37" t="inlineStr">
        <is>
          <t>Done</t>
        </is>
      </c>
    </row>
    <row r="51" ht="25.5" customHeight="1" s="26">
      <c r="A51" s="29" t="inlineStr">
        <is>
          <t>ST-048</t>
        </is>
      </c>
      <c r="B51" s="29" t="inlineStr">
        <is>
          <t>F5</t>
        </is>
      </c>
      <c r="C51" s="29" t="inlineStr">
        <is>
          <t>As a Office manager, I can pause/disable Form-triggered generation without data loss</t>
        </is>
      </c>
      <c r="D51" s="29" t="n">
        <v>2</v>
      </c>
      <c r="E51" s="29" t="inlineStr">
        <is>
          <t>P2</t>
        </is>
      </c>
      <c r="F51" s="29" t="inlineStr">
        <is>
          <t>S8</t>
        </is>
      </c>
      <c r="G51" s="37" t="inlineStr">
        <is>
          <t>Done</t>
        </is>
      </c>
    </row>
    <row r="52" ht="25.5" customHeight="1" s="26">
      <c r="A52" s="29" t="inlineStr">
        <is>
          <t>ST-049</t>
        </is>
      </c>
      <c r="B52" s="29" t="inlineStr">
        <is>
          <t>F5</t>
        </is>
      </c>
      <c r="C52" s="29" t="inlineStr">
        <is>
          <t>As a Workspace admin, I can import/migrate existing data into Form-triggered generation (CSV + competitor importer)</t>
        </is>
      </c>
      <c r="D52" s="29" t="n">
        <v>5</v>
      </c>
      <c r="E52" s="29" t="inlineStr">
        <is>
          <t>P1</t>
        </is>
      </c>
      <c r="F52" s="29" t="inlineStr">
        <is>
          <t>S8</t>
        </is>
      </c>
      <c r="G52" s="37" t="inlineStr">
        <is>
          <t>Done</t>
        </is>
      </c>
    </row>
    <row r="53" ht="25.5" customHeight="1" s="26">
      <c r="A53" s="29" t="inlineStr">
        <is>
          <t>ST-050</t>
        </is>
      </c>
      <c r="B53" s="29" t="inlineStr">
        <is>
          <t>F5</t>
        </is>
      </c>
      <c r="C53" s="29" t="inlineStr">
        <is>
          <t>As a user, I get notifications (in-app + email) for key Form-triggered generation events with per-type mute</t>
        </is>
      </c>
      <c r="D53" s="29" t="n">
        <v>3</v>
      </c>
      <c r="E53" s="29" t="inlineStr">
        <is>
          <t>P2</t>
        </is>
      </c>
      <c r="F53" s="29" t="inlineStr">
        <is>
          <t>S8</t>
        </is>
      </c>
      <c r="G53" s="37" t="inlineStr">
        <is>
          <t>Done</t>
        </is>
      </c>
    </row>
    <row r="54" ht="25.5" customHeight="1" s="26">
      <c r="A54" s="29" t="inlineStr">
        <is>
          <t>ST-051</t>
        </is>
      </c>
      <c r="B54" s="29" t="inlineStr">
        <is>
          <t>E1</t>
        </is>
      </c>
      <c r="C54" s="29" t="inlineStr">
        <is>
          <t>Marketplace OAuth install completes and lands on welcome state in &lt;2 min</t>
        </is>
      </c>
      <c r="D54" s="29" t="n">
        <v>5</v>
      </c>
      <c r="E54" s="29" t="inlineStr">
        <is>
          <t>P0</t>
        </is>
      </c>
      <c r="F54" s="29" t="inlineStr">
        <is>
          <t>S1</t>
        </is>
      </c>
      <c r="G54" s="37" t="inlineStr">
        <is>
          <t>Done</t>
        </is>
      </c>
    </row>
    <row r="55" ht="25.5" customHeight="1" s="26">
      <c r="A55" s="29" t="inlineStr">
        <is>
          <t>ST-052</t>
        </is>
      </c>
      <c r="B55" s="29" t="inlineStr">
        <is>
          <t>E1</t>
        </is>
      </c>
      <c r="C55" s="29" t="inlineStr">
        <is>
          <t>Uninstall webhook removes tokens, schedules data deletion per policy</t>
        </is>
      </c>
      <c r="D55" s="29" t="n">
        <v>3</v>
      </c>
      <c r="E55" s="29" t="inlineStr">
        <is>
          <t>P0</t>
        </is>
      </c>
      <c r="F55" s="29" t="inlineStr">
        <is>
          <t>S1</t>
        </is>
      </c>
      <c r="G55" s="37" t="inlineStr">
        <is>
          <t>Done</t>
        </is>
      </c>
    </row>
    <row r="56" ht="25.5" customHeight="1" s="26">
      <c r="A56" s="29" t="inlineStr">
        <is>
          <t>ST-053</t>
        </is>
      </c>
      <c r="B56" s="29" t="inlineStr">
        <is>
          <t>E1</t>
        </is>
      </c>
      <c r="C56" s="29" t="inlineStr">
        <is>
          <t>Re-install restores account within retention window</t>
        </is>
      </c>
      <c r="D56" s="29" t="n">
        <v>3</v>
      </c>
      <c r="E56" s="29" t="inlineStr">
        <is>
          <t>P1</t>
        </is>
      </c>
      <c r="F56" s="29" t="inlineStr">
        <is>
          <t>S2</t>
        </is>
      </c>
      <c r="G56" s="37" t="inlineStr">
        <is>
          <t>Done</t>
        </is>
      </c>
    </row>
    <row r="57" ht="25.5" customHeight="1" s="26">
      <c r="A57" s="29" t="inlineStr">
        <is>
          <t>ST-054</t>
        </is>
      </c>
      <c r="B57" s="29" t="inlineStr">
        <is>
          <t>E1</t>
        </is>
      </c>
      <c r="C57" s="29" t="inlineStr">
        <is>
          <t>Multi-user roles: owner/admin/member permission matrix enforced</t>
        </is>
      </c>
      <c r="D57" s="29" t="n">
        <v>5</v>
      </c>
      <c r="E57" s="29" t="inlineStr">
        <is>
          <t>P0</t>
        </is>
      </c>
      <c r="F57" s="29" t="inlineStr">
        <is>
          <t>S2</t>
        </is>
      </c>
      <c r="G57" s="37" t="inlineStr">
        <is>
          <t>Done</t>
        </is>
      </c>
    </row>
    <row r="58" ht="25.5" customHeight="1" s="26">
      <c r="A58" s="29" t="inlineStr">
        <is>
          <t>ST-055</t>
        </is>
      </c>
      <c r="B58" s="29" t="inlineStr">
        <is>
          <t>E1</t>
        </is>
      </c>
      <c r="C58" s="29" t="inlineStr">
        <is>
          <t>Session/token refresh survives platform token rotation</t>
        </is>
      </c>
      <c r="D58" s="29" t="n">
        <v>3</v>
      </c>
      <c r="E58" s="29" t="inlineStr">
        <is>
          <t>P0</t>
        </is>
      </c>
      <c r="F58" s="29" t="inlineStr">
        <is>
          <t>S1</t>
        </is>
      </c>
      <c r="G58" s="37" t="inlineStr">
        <is>
          <t>Done</t>
        </is>
      </c>
    </row>
    <row r="59" ht="25.5" customHeight="1" s="26">
      <c r="A59" s="29" t="inlineStr">
        <is>
          <t>ST-056</t>
        </is>
      </c>
      <c r="B59" s="29" t="inlineStr">
        <is>
          <t>E1</t>
        </is>
      </c>
      <c r="C59" s="29" t="inlineStr">
        <is>
          <t>Install telemetry: source attribution (listing/search/referral) captured</t>
        </is>
      </c>
      <c r="D59" s="29" t="n">
        <v>2</v>
      </c>
      <c r="E59" s="29" t="inlineStr">
        <is>
          <t>P1</t>
        </is>
      </c>
      <c r="F59" s="29" t="inlineStr">
        <is>
          <t>S1</t>
        </is>
      </c>
      <c r="G59" s="37" t="inlineStr">
        <is>
          <t>Done</t>
        </is>
      </c>
    </row>
    <row r="60" ht="25.5" customHeight="1" s="26">
      <c r="A60" s="29" t="inlineStr">
        <is>
          <t>ST-057</t>
        </is>
      </c>
      <c r="B60" s="29" t="inlineStr">
        <is>
          <t>E5</t>
        </is>
      </c>
      <c r="C60" s="29" t="inlineStr">
        <is>
          <t>14-day trial without card; banner shows days remaining</t>
        </is>
      </c>
      <c r="D60" s="29" t="n">
        <v>5</v>
      </c>
      <c r="E60" s="29" t="inlineStr">
        <is>
          <t>P0</t>
        </is>
      </c>
      <c r="F60" s="29" t="inlineStr">
        <is>
          <t>S6</t>
        </is>
      </c>
      <c r="G60" s="37" t="inlineStr">
        <is>
          <t>Done</t>
        </is>
      </c>
    </row>
    <row r="61" ht="25.5" customHeight="1" s="26">
      <c r="A61" s="29" t="inlineStr">
        <is>
          <t>ST-058</t>
        </is>
      </c>
      <c r="B61" s="29" t="inlineStr">
        <is>
          <t>E5</t>
        </is>
      </c>
      <c r="C61" s="29" t="inlineStr">
        <is>
          <t>Upgrade/downgrade mid-cycle prorates correctly</t>
        </is>
      </c>
      <c r="D61" s="29" t="n">
        <v>5</v>
      </c>
      <c r="E61" s="29" t="inlineStr">
        <is>
          <t>P0</t>
        </is>
      </c>
      <c r="F61" s="29" t="inlineStr">
        <is>
          <t>S6</t>
        </is>
      </c>
      <c r="G61" s="37" t="inlineStr">
        <is>
          <t>Done</t>
        </is>
      </c>
    </row>
    <row r="62" ht="25.5" customHeight="1" s="26">
      <c r="A62" s="29" t="inlineStr">
        <is>
          <t>ST-059</t>
        </is>
      </c>
      <c r="B62" s="29" t="inlineStr">
        <is>
          <t>E5</t>
        </is>
      </c>
      <c r="C62" s="29" t="inlineStr">
        <is>
          <t>Marketplace billing API used where mandated; external Stripe fallback elsewhere</t>
        </is>
      </c>
      <c r="D62" s="29" t="n">
        <v>8</v>
      </c>
      <c r="E62" s="29" t="inlineStr">
        <is>
          <t>P0</t>
        </is>
      </c>
      <c r="F62" s="29" t="inlineStr">
        <is>
          <t>S6</t>
        </is>
      </c>
      <c r="G62" s="37" t="inlineStr">
        <is>
          <t>Done</t>
        </is>
      </c>
    </row>
    <row r="63" ht="25.5" customHeight="1" s="26">
      <c r="A63" s="29" t="inlineStr">
        <is>
          <t>ST-060</t>
        </is>
      </c>
      <c r="B63" s="29" t="inlineStr">
        <is>
          <t>E5</t>
        </is>
      </c>
      <c r="C63" s="29" t="inlineStr">
        <is>
          <t>Failed payment: 7-day grace, 3 dunning emails, then read-only mode</t>
        </is>
      </c>
      <c r="D63" s="29" t="n">
        <v>3</v>
      </c>
      <c r="E63" s="29" t="inlineStr">
        <is>
          <t>P1</t>
        </is>
      </c>
      <c r="F63" s="29" t="inlineStr">
        <is>
          <t>S7</t>
        </is>
      </c>
      <c r="G63" s="37" t="inlineStr">
        <is>
          <t>Done</t>
        </is>
      </c>
    </row>
    <row r="64" ht="25.5" customHeight="1" s="26">
      <c r="A64" s="29" t="inlineStr">
        <is>
          <t>ST-061</t>
        </is>
      </c>
      <c r="B64" s="29" t="inlineStr">
        <is>
          <t>E5</t>
        </is>
      </c>
      <c r="C64" s="29" t="inlineStr">
        <is>
          <t>Plan limits enforced with upgrade prompts at 80%/100%</t>
        </is>
      </c>
      <c r="D64" s="29" t="n">
        <v>3</v>
      </c>
      <c r="E64" s="29" t="inlineStr">
        <is>
          <t>P1</t>
        </is>
      </c>
      <c r="F64" s="29" t="inlineStr">
        <is>
          <t>S7</t>
        </is>
      </c>
      <c r="G64" s="37" t="inlineStr">
        <is>
          <t>Done</t>
        </is>
      </c>
    </row>
    <row r="65" ht="25.5" customHeight="1" s="26">
      <c r="A65" s="29" t="inlineStr">
        <is>
          <t>ST-062</t>
        </is>
      </c>
      <c r="B65" s="29" t="inlineStr">
        <is>
          <t>E5</t>
        </is>
      </c>
      <c r="C65" s="29" t="inlineStr">
        <is>
          <t>Invoices/receipts downloadable; GST/VAT fields supported</t>
        </is>
      </c>
      <c r="D65" s="29" t="n">
        <v>3</v>
      </c>
      <c r="E65" s="29" t="inlineStr">
        <is>
          <t>P2</t>
        </is>
      </c>
      <c r="F65" s="29" t="inlineStr">
        <is>
          <t>S7</t>
        </is>
      </c>
      <c r="G65" s="37" t="inlineStr">
        <is>
          <t>Done</t>
        </is>
      </c>
    </row>
    <row r="66" ht="25.5" customHeight="1" s="26">
      <c r="A66" s="29" t="inlineStr">
        <is>
          <t>ST-063</t>
        </is>
      </c>
      <c r="B66" s="29" t="inlineStr">
        <is>
          <t>E5</t>
        </is>
      </c>
      <c r="C66" s="29" t="inlineStr">
        <is>
          <t>Cancellation flow with save-offer and exit survey</t>
        </is>
      </c>
      <c r="D66" s="29" t="n">
        <v>3</v>
      </c>
      <c r="E66" s="29" t="inlineStr">
        <is>
          <t>P1</t>
        </is>
      </c>
      <c r="F66" s="29" t="inlineStr">
        <is>
          <t>S7</t>
        </is>
      </c>
      <c r="G66" s="37" t="inlineStr">
        <is>
          <t>Done</t>
        </is>
      </c>
    </row>
    <row r="67" ht="25.5" customHeight="1" s="26">
      <c r="A67" s="29" t="inlineStr">
        <is>
          <t>ST-064</t>
        </is>
      </c>
      <c r="B67" s="29" t="inlineStr">
        <is>
          <t>E6</t>
        </is>
      </c>
      <c r="C67" s="29" t="inlineStr">
        <is>
          <t>Scopes requested map 1:1 to shipped features (least privilege doc)</t>
        </is>
      </c>
      <c r="D67" s="29" t="n">
        <v>3</v>
      </c>
      <c r="E67" s="29" t="inlineStr">
        <is>
          <t>P0</t>
        </is>
      </c>
      <c r="F67" s="29" t="inlineStr">
        <is>
          <t>S7</t>
        </is>
      </c>
      <c r="G67" s="37" t="inlineStr">
        <is>
          <t>Done</t>
        </is>
      </c>
    </row>
    <row r="68" ht="25.5" customHeight="1" s="26">
      <c r="A68" s="29" t="inlineStr">
        <is>
          <t>ST-065</t>
        </is>
      </c>
      <c r="B68" s="29" t="inlineStr">
        <is>
          <t>E6</t>
        </is>
      </c>
      <c r="C68" s="29" t="inlineStr">
        <is>
          <t>Data-flow diagram + retention policy published</t>
        </is>
      </c>
      <c r="D68" s="29" t="n">
        <v>3</v>
      </c>
      <c r="E68" s="29" t="inlineStr">
        <is>
          <t>P0</t>
        </is>
      </c>
      <c r="F68" s="29" t="inlineStr">
        <is>
          <t>S8</t>
        </is>
      </c>
      <c r="G68" s="37" t="inlineStr">
        <is>
          <t>Done</t>
        </is>
      </c>
    </row>
    <row r="69" ht="25.5" customHeight="1" s="26">
      <c r="A69" s="29" t="inlineStr">
        <is>
          <t>ST-066</t>
        </is>
      </c>
      <c r="B69" s="29" t="inlineStr">
        <is>
          <t>E6</t>
        </is>
      </c>
      <c r="C69" s="29" t="inlineStr">
        <is>
          <t>Encryption at rest + in transit verified; secrets in vault</t>
        </is>
      </c>
      <c r="D69" s="29" t="n">
        <v>5</v>
      </c>
      <c r="E69" s="29" t="inlineStr">
        <is>
          <t>P0</t>
        </is>
      </c>
      <c r="F69" s="29" t="inlineStr">
        <is>
          <t>S8</t>
        </is>
      </c>
      <c r="G69" s="37" t="inlineStr">
        <is>
          <t>Done</t>
        </is>
      </c>
    </row>
    <row r="70" ht="25.5" customHeight="1" s="26">
      <c r="A70" s="29" t="inlineStr">
        <is>
          <t>ST-067</t>
        </is>
      </c>
      <c r="B70" s="29" t="inlineStr">
        <is>
          <t>E6</t>
        </is>
      </c>
      <c r="C70" s="29" t="inlineStr">
        <is>
          <t>Audit log for admin-sensitive actions</t>
        </is>
      </c>
      <c r="D70" s="29" t="n">
        <v>5</v>
      </c>
      <c r="E70" s="29" t="inlineStr">
        <is>
          <t>P1</t>
        </is>
      </c>
      <c r="F70" s="29" t="inlineStr">
        <is>
          <t>S8</t>
        </is>
      </c>
      <c r="G70" s="37" t="inlineStr">
        <is>
          <t>Done</t>
        </is>
      </c>
    </row>
    <row r="71" ht="25.5" customHeight="1" s="26">
      <c r="A71" s="29" t="inlineStr">
        <is>
          <t>ST-068</t>
        </is>
      </c>
      <c r="B71" s="29" t="inlineStr">
        <is>
          <t>E6</t>
        </is>
      </c>
      <c r="C71" s="29" t="inlineStr">
        <is>
          <t>Pen-test (or platform-required evidence) completed and archived</t>
        </is>
      </c>
      <c r="D71" s="29" t="n">
        <v>8</v>
      </c>
      <c r="E71" s="29" t="inlineStr">
        <is>
          <t>P0</t>
        </is>
      </c>
      <c r="F71" s="29" t="inlineStr">
        <is>
          <t>S9</t>
        </is>
      </c>
      <c r="G71" s="38" t="inlineStr">
        <is>
          <t>In progress</t>
        </is>
      </c>
    </row>
    <row r="72" ht="25.5" customHeight="1" s="26">
      <c r="A72" s="29" t="inlineStr">
        <is>
          <t>ST-069</t>
        </is>
      </c>
      <c r="B72" s="29" t="inlineStr">
        <is>
          <t>E6</t>
        </is>
      </c>
      <c r="C72" s="29" t="inlineStr">
        <is>
          <t>Data export + delete-my-data self-serve</t>
        </is>
      </c>
      <c r="D72" s="29" t="n">
        <v>5</v>
      </c>
      <c r="E72" s="29" t="inlineStr">
        <is>
          <t>P0</t>
        </is>
      </c>
      <c r="F72" s="29" t="inlineStr">
        <is>
          <t>S9</t>
        </is>
      </c>
      <c r="G72" s="37" t="inlineStr">
        <is>
          <t>Done</t>
        </is>
      </c>
    </row>
    <row r="73" ht="25.5" customHeight="1" s="26">
      <c r="A73" s="29" t="inlineStr">
        <is>
          <t>ST-070</t>
        </is>
      </c>
      <c r="B73" s="29" t="inlineStr">
        <is>
          <t>E6</t>
        </is>
      </c>
      <c r="C73" s="29" t="inlineStr">
        <is>
          <t>Rate-limit backoff + circuit breaker on platform APIs</t>
        </is>
      </c>
      <c r="D73" s="29" t="n">
        <v>5</v>
      </c>
      <c r="E73" s="29" t="inlineStr">
        <is>
          <t>P0</t>
        </is>
      </c>
      <c r="F73" s="29" t="inlineStr">
        <is>
          <t>S8</t>
        </is>
      </c>
      <c r="G73" s="37" t="inlineStr">
        <is>
          <t>Done</t>
        </is>
      </c>
    </row>
    <row r="74" ht="25.5" customHeight="1" s="26">
      <c r="A74" s="29" t="inlineStr">
        <is>
          <t>ST-071</t>
        </is>
      </c>
      <c r="B74" s="29" t="inlineStr">
        <is>
          <t>E7</t>
        </is>
      </c>
      <c r="C74" s="29" t="inlineStr">
        <is>
          <t>Activation funnel events (install-&gt;setup-&gt;aha-&gt;habit) in one dashboard</t>
        </is>
      </c>
      <c r="D74" s="29" t="n">
        <v>5</v>
      </c>
      <c r="E74" s="29" t="inlineStr">
        <is>
          <t>P0</t>
        </is>
      </c>
      <c r="F74" s="29" t="inlineStr">
        <is>
          <t>S4</t>
        </is>
      </c>
      <c r="G74" s="37" t="inlineStr">
        <is>
          <t>Done</t>
        </is>
      </c>
    </row>
    <row r="75" ht="25.5" customHeight="1" s="26">
      <c r="A75" s="29" t="inlineStr">
        <is>
          <t>ST-072</t>
        </is>
      </c>
      <c r="B75" s="29" t="inlineStr">
        <is>
          <t>E7</t>
        </is>
      </c>
      <c r="C75" s="29" t="inlineStr">
        <is>
          <t>Error tracking with release tagging; alert on error-rate spike</t>
        </is>
      </c>
      <c r="D75" s="29" t="n">
        <v>3</v>
      </c>
      <c r="E75" s="29" t="inlineStr">
        <is>
          <t>P0</t>
        </is>
      </c>
      <c r="F75" s="29" t="inlineStr">
        <is>
          <t>S4</t>
        </is>
      </c>
      <c r="G75" s="37" t="inlineStr">
        <is>
          <t>Done</t>
        </is>
      </c>
    </row>
    <row r="76" ht="25.5" customHeight="1" s="26">
      <c r="A76" s="29" t="inlineStr">
        <is>
          <t>ST-073</t>
        </is>
      </c>
      <c r="B76" s="29" t="inlineStr">
        <is>
          <t>E7</t>
        </is>
      </c>
      <c r="C76" s="29" t="inlineStr">
        <is>
          <t>Feature-usage heatmap for roadmap decisions</t>
        </is>
      </c>
      <c r="D76" s="29" t="n">
        <v>3</v>
      </c>
      <c r="E76" s="29" t="inlineStr">
        <is>
          <t>P2</t>
        </is>
      </c>
      <c r="F76" s="29" t="inlineStr">
        <is>
          <t>S8</t>
        </is>
      </c>
      <c r="G76" s="37" t="inlineStr">
        <is>
          <t>Done</t>
        </is>
      </c>
    </row>
    <row r="77" ht="25.5" customHeight="1" s="26">
      <c r="A77" s="29" t="inlineStr">
        <is>
          <t>ST-074</t>
        </is>
      </c>
      <c r="B77" s="29" t="inlineStr">
        <is>
          <t>E7</t>
        </is>
      </c>
      <c r="C77" s="29" t="inlineStr">
        <is>
          <t>Weekly automated metrics email to team</t>
        </is>
      </c>
      <c r="D77" s="29" t="n">
        <v>2</v>
      </c>
      <c r="E77" s="29" t="inlineStr">
        <is>
          <t>P2</t>
        </is>
      </c>
      <c r="F77" s="29" t="inlineStr">
        <is>
          <t>S8</t>
        </is>
      </c>
      <c r="G77" s="37" t="inlineStr">
        <is>
          <t>Done</t>
        </is>
      </c>
    </row>
    <row r="78" ht="25.5" customHeight="1" s="26">
      <c r="A78" s="29" t="inlineStr">
        <is>
          <t>ST-075</t>
        </is>
      </c>
      <c r="B78" s="29" t="inlineStr">
        <is>
          <t>E7</t>
        </is>
      </c>
      <c r="C78" s="29" t="inlineStr">
        <is>
          <t>Health score computed per account (usage+billing+support)</t>
        </is>
      </c>
      <c r="D78" s="29" t="n">
        <v>5</v>
      </c>
      <c r="E78" s="29" t="inlineStr">
        <is>
          <t>P1</t>
        </is>
      </c>
      <c r="F78" s="29" t="inlineStr">
        <is>
          <t>S8</t>
        </is>
      </c>
      <c r="G78" s="37" t="inlineStr">
        <is>
          <t>Done</t>
        </is>
      </c>
    </row>
    <row r="79" ht="25.5" customHeight="1" s="26">
      <c r="A79" s="29" t="inlineStr">
        <is>
          <t>ST-076</t>
        </is>
      </c>
      <c r="B79" s="29" t="inlineStr">
        <is>
          <t>E7</t>
        </is>
      </c>
      <c r="C79" s="29" t="inlineStr">
        <is>
          <t>Metrics export to CSV/warehouse for founder analysis</t>
        </is>
      </c>
      <c r="D79" s="29" t="n">
        <v>3</v>
      </c>
      <c r="E79" s="29" t="inlineStr">
        <is>
          <t>P2</t>
        </is>
      </c>
      <c r="F79" s="29" t="inlineStr">
        <is>
          <t>S8</t>
        </is>
      </c>
      <c r="G79" s="37" t="inlineStr">
        <is>
          <t>Done</t>
        </is>
      </c>
    </row>
    <row r="80" ht="25.5" customHeight="1" s="26">
      <c r="A80" s="29" t="inlineStr">
        <is>
          <t>ST-077</t>
        </is>
      </c>
      <c r="B80" s="29" t="inlineStr">
        <is>
          <t>E7</t>
        </is>
      </c>
      <c r="C80" s="29" t="inlineStr">
        <is>
          <t>Alert thresholds configurable (activation drop, error spike, churn signal)</t>
        </is>
      </c>
      <c r="D80" s="29" t="n">
        <v>3</v>
      </c>
      <c r="E80" s="29" t="inlineStr">
        <is>
          <t>P2</t>
        </is>
      </c>
      <c r="F80" s="29" t="inlineStr">
        <is>
          <t>S8</t>
        </is>
      </c>
      <c r="G80" s="37" t="inlineStr">
        <is>
          <t>Done</t>
        </is>
      </c>
    </row>
    <row r="81" ht="25.5" customHeight="1" s="26">
      <c r="A81" s="29" t="inlineStr">
        <is>
          <t>ST-078</t>
        </is>
      </c>
      <c r="B81" s="29" t="inlineStr">
        <is>
          <t>E8</t>
        </is>
      </c>
      <c r="C81" s="29" t="inlineStr">
        <is>
          <t>First-run checklist reaches aha-moment in &lt;1 day</t>
        </is>
      </c>
      <c r="D81" s="29" t="n">
        <v>5</v>
      </c>
      <c r="E81" s="29" t="inlineStr">
        <is>
          <t>P0</t>
        </is>
      </c>
      <c r="F81" s="29" t="inlineStr">
        <is>
          <t>S5</t>
        </is>
      </c>
      <c r="G81" s="37" t="inlineStr">
        <is>
          <t>Done</t>
        </is>
      </c>
    </row>
    <row r="82" ht="25.5" customHeight="1" s="26">
      <c r="A82" s="29" t="inlineStr">
        <is>
          <t>ST-079</t>
        </is>
      </c>
      <c r="B82" s="29" t="inlineStr">
        <is>
          <t>E8</t>
        </is>
      </c>
      <c r="C82" s="29" t="inlineStr">
        <is>
          <t>Empty states teach next action on every screen</t>
        </is>
      </c>
      <c r="D82" s="29" t="n">
        <v>3</v>
      </c>
      <c r="E82" s="29" t="inlineStr">
        <is>
          <t>P1</t>
        </is>
      </c>
      <c r="F82" s="29" t="inlineStr">
        <is>
          <t>S5</t>
        </is>
      </c>
      <c r="G82" s="37" t="inlineStr">
        <is>
          <t>Done</t>
        </is>
      </c>
    </row>
    <row r="83" ht="25.5" customHeight="1" s="26">
      <c r="A83" s="29" t="inlineStr">
        <is>
          <t>ST-080</t>
        </is>
      </c>
      <c r="B83" s="29" t="inlineStr">
        <is>
          <t>E8</t>
        </is>
      </c>
      <c r="C83" s="29" t="inlineStr">
        <is>
          <t>Help center with 15 launch articles + search</t>
        </is>
      </c>
      <c r="D83" s="29" t="n">
        <v>5</v>
      </c>
      <c r="E83" s="29" t="inlineStr">
        <is>
          <t>P1</t>
        </is>
      </c>
      <c r="F83" s="29" t="inlineStr">
        <is>
          <t>S10</t>
        </is>
      </c>
      <c r="G83" s="37" t="inlineStr">
        <is>
          <t>Done</t>
        </is>
      </c>
    </row>
    <row r="84" ht="25.5" customHeight="1" s="26">
      <c r="A84" s="29" t="inlineStr">
        <is>
          <t>ST-081</t>
        </is>
      </c>
      <c r="B84" s="29" t="inlineStr">
        <is>
          <t>E8</t>
        </is>
      </c>
      <c r="C84" s="29" t="inlineStr">
        <is>
          <t>In-app chat with &lt;4 business-hr first response</t>
        </is>
      </c>
      <c r="D84" s="29" t="n">
        <v>3</v>
      </c>
      <c r="E84" s="29" t="inlineStr">
        <is>
          <t>P0</t>
        </is>
      </c>
      <c r="F84" s="29" t="inlineStr">
        <is>
          <t>S10</t>
        </is>
      </c>
      <c r="G84" s="37" t="inlineStr">
        <is>
          <t>Done</t>
        </is>
      </c>
    </row>
    <row r="85" ht="25.5" customHeight="1" s="26">
      <c r="A85" s="29" t="inlineStr">
        <is>
          <t>ST-082</t>
        </is>
      </c>
      <c r="B85" s="29" t="inlineStr">
        <is>
          <t>E8</t>
        </is>
      </c>
      <c r="C85" s="29" t="inlineStr">
        <is>
          <t>In-app review ask after aha-moment (marketplace rating engine)</t>
        </is>
      </c>
      <c r="D85" s="29" t="n">
        <v>3</v>
      </c>
      <c r="E85" s="29" t="inlineStr">
        <is>
          <t>P1</t>
        </is>
      </c>
      <c r="F85" s="29" t="inlineStr">
        <is>
          <t>S11</t>
        </is>
      </c>
      <c r="G85" s="37" t="inlineStr">
        <is>
          <t>Done</t>
        </is>
      </c>
    </row>
    <row r="86" ht="25.5" customHeight="1" s="26">
      <c r="A86" s="29" t="inlineStr">
        <is>
          <t>ST-083</t>
        </is>
      </c>
      <c r="B86" s="29" t="inlineStr">
        <is>
          <t>E8</t>
        </is>
      </c>
      <c r="C86" s="29" t="inlineStr">
        <is>
          <t>Demo video (2 min) + interactive sandbox/demo data mode</t>
        </is>
      </c>
      <c r="D86" s="29" t="n">
        <v>5</v>
      </c>
      <c r="E86" s="29" t="inlineStr">
        <is>
          <t>P1</t>
        </is>
      </c>
      <c r="F86" s="29" t="inlineStr">
        <is>
          <t>S10</t>
        </is>
      </c>
      <c r="G86" s="38" t="inlineStr">
        <is>
          <t>In progress</t>
        </is>
      </c>
    </row>
    <row r="87" ht="25.5" customHeight="1" s="26">
      <c r="A87" s="29" t="inlineStr">
        <is>
          <t>ST-084</t>
        </is>
      </c>
      <c r="B87" s="29" t="inlineStr">
        <is>
          <t>E8</t>
        </is>
      </c>
      <c r="C87" s="29" t="inlineStr">
        <is>
          <t>Status page + incident comms template</t>
        </is>
      </c>
      <c r="D87" s="29" t="n">
        <v>2</v>
      </c>
      <c r="E87" s="29" t="inlineStr">
        <is>
          <t>P2</t>
        </is>
      </c>
      <c r="F87" s="29" t="inlineStr">
        <is>
          <t>S10</t>
        </is>
      </c>
      <c r="G87" s="37" t="inlineStr">
        <is>
          <t>Done</t>
        </is>
      </c>
    </row>
    <row r="88" ht="25.5" customHeight="1" s="26">
      <c r="A88" s="29" t="inlineStr">
        <is>
          <t>ST-085</t>
        </is>
      </c>
      <c r="B88" s="29" t="inlineStr">
        <is>
          <t>EQ</t>
        </is>
      </c>
      <c r="C88" s="29" t="inlineStr">
        <is>
          <t>Unit+integration test coverage gate ≥70% on core modules</t>
        </is>
      </c>
      <c r="D88" s="29" t="n">
        <v>5</v>
      </c>
      <c r="E88" s="29" t="inlineStr">
        <is>
          <t>P0</t>
        </is>
      </c>
      <c r="F88" s="29" t="inlineStr">
        <is>
          <t>S3</t>
        </is>
      </c>
      <c r="G88" s="37" t="inlineStr">
        <is>
          <t>Done</t>
        </is>
      </c>
    </row>
    <row r="89" ht="25.5" customHeight="1" s="26">
      <c r="A89" s="29" t="inlineStr">
        <is>
          <t>ST-086</t>
        </is>
      </c>
      <c r="B89" s="29" t="inlineStr">
        <is>
          <t>EQ</t>
        </is>
      </c>
      <c r="C89" s="29" t="inlineStr">
        <is>
          <t>E2E smoke suite runs on every deploy</t>
        </is>
      </c>
      <c r="D89" s="29" t="n">
        <v>5</v>
      </c>
      <c r="E89" s="29" t="inlineStr">
        <is>
          <t>P0</t>
        </is>
      </c>
      <c r="F89" s="29" t="inlineStr">
        <is>
          <t>S4</t>
        </is>
      </c>
      <c r="G89" s="37" t="inlineStr">
        <is>
          <t>Done</t>
        </is>
      </c>
    </row>
    <row r="90" ht="25.5" customHeight="1" s="26">
      <c r="A90" s="29" t="inlineStr">
        <is>
          <t>ST-087</t>
        </is>
      </c>
      <c r="B90" s="29" t="inlineStr">
        <is>
          <t>EQ</t>
        </is>
      </c>
      <c r="C90" s="29" t="inlineStr">
        <is>
          <t>p95 latency budgets defined and monitored per surface</t>
        </is>
      </c>
      <c r="D90" s="29" t="n">
        <v>3</v>
      </c>
      <c r="E90" s="29" t="inlineStr">
        <is>
          <t>P0</t>
        </is>
      </c>
      <c r="F90" s="29" t="inlineStr">
        <is>
          <t>S8</t>
        </is>
      </c>
      <c r="G90" s="37" t="inlineStr">
        <is>
          <t>Done</t>
        </is>
      </c>
    </row>
    <row r="91" ht="25.5" customHeight="1" s="26">
      <c r="A91" s="29" t="inlineStr">
        <is>
          <t>ST-088</t>
        </is>
      </c>
      <c r="B91" s="29" t="inlineStr">
        <is>
          <t>EQ</t>
        </is>
      </c>
      <c r="C91" s="29" t="inlineStr">
        <is>
          <t>Load test at 5x expected launch traffic</t>
        </is>
      </c>
      <c r="D91" s="29" t="n">
        <v>5</v>
      </c>
      <c r="E91" s="29" t="inlineStr">
        <is>
          <t>P1</t>
        </is>
      </c>
      <c r="F91" s="29" t="inlineStr">
        <is>
          <t>S8</t>
        </is>
      </c>
      <c r="G91" s="37" t="inlineStr">
        <is>
          <t>Done</t>
        </is>
      </c>
    </row>
    <row r="92" ht="25.5" customHeight="1" s="26">
      <c r="A92" s="29" t="inlineStr">
        <is>
          <t>ST-089</t>
        </is>
      </c>
      <c r="B92" s="29" t="inlineStr">
        <is>
          <t>EQ</t>
        </is>
      </c>
      <c r="C92" s="29" t="inlineStr">
        <is>
          <t>Accessibility WCAG AA pass on primary flows</t>
        </is>
      </c>
      <c r="D92" s="29" t="n">
        <v>3</v>
      </c>
      <c r="E92" s="29" t="inlineStr">
        <is>
          <t>P1</t>
        </is>
      </c>
      <c r="F92" s="29" t="inlineStr">
        <is>
          <t>S9</t>
        </is>
      </c>
      <c r="G92" s="37" t="inlineStr">
        <is>
          <t>Done</t>
        </is>
      </c>
    </row>
    <row r="93" ht="25.5" customHeight="1" s="26">
      <c r="A93" s="29" t="inlineStr">
        <is>
          <t>ST-090</t>
        </is>
      </c>
      <c r="B93" s="29" t="inlineStr">
        <is>
          <t>EQ</t>
        </is>
      </c>
      <c r="C93" s="29" t="inlineStr">
        <is>
          <t>Backup + restore drill executed</t>
        </is>
      </c>
      <c r="D93" s="29" t="n">
        <v>3</v>
      </c>
      <c r="E93" s="29" t="inlineStr">
        <is>
          <t>P1</t>
        </is>
      </c>
      <c r="F93" s="29" t="inlineStr">
        <is>
          <t>S9</t>
        </is>
      </c>
      <c r="G93" s="37" t="inlineStr">
        <is>
          <t>Done</t>
        </is>
      </c>
    </row>
    <row r="94" ht="25.5" customHeight="1" s="26">
      <c r="A94" s="29" t="inlineStr">
        <is>
          <t>ST-091</t>
        </is>
      </c>
      <c r="B94" s="29" t="inlineStr">
        <is>
          <t>EQ</t>
        </is>
      </c>
      <c r="C94" s="29" t="inlineStr">
        <is>
          <t>Chaos test: platform API outage degrades gracefully with user comms</t>
        </is>
      </c>
      <c r="D94" s="29" t="n">
        <v>3</v>
      </c>
      <c r="E94" s="29" t="inlineStr">
        <is>
          <t>P2</t>
        </is>
      </c>
      <c r="F94" s="29" t="inlineStr">
        <is>
          <t>S9</t>
        </is>
      </c>
      <c r="G94" s="37" t="inlineStr">
        <is>
          <t>Done</t>
        </is>
      </c>
    </row>
    <row r="95" ht="25.5" customHeight="1" s="26">
      <c r="A95" s="29" t="inlineStr">
        <is>
          <t>ST-092</t>
        </is>
      </c>
      <c r="B95" s="29" t="inlineStr">
        <is>
          <t>EQ</t>
        </is>
      </c>
      <c r="C95" s="29" t="inlineStr">
        <is>
          <t>Zero-downtime deploy verified (blue/green or rolling)</t>
        </is>
      </c>
      <c r="D95" s="29" t="n">
        <v>3</v>
      </c>
      <c r="E95" s="29" t="inlineStr">
        <is>
          <t>P2</t>
        </is>
      </c>
      <c r="F95" s="29" t="inlineStr">
        <is>
          <t>S8</t>
        </is>
      </c>
      <c r="G95" s="37" t="inlineStr">
        <is>
          <t>Done</t>
        </is>
      </c>
    </row>
    <row r="96" ht="25.5" customHeight="1" s="26">
      <c r="A96" s="29" t="inlineStr">
        <is>
          <t>ST-093</t>
        </is>
      </c>
      <c r="B96" s="29" t="inlineStr">
        <is>
          <t>EL</t>
        </is>
      </c>
      <c r="C96" s="29" t="inlineStr">
        <is>
          <t>Marketplace listing copy A + B variants drafted and reviewed</t>
        </is>
      </c>
      <c r="D96" s="29" t="n">
        <v>3</v>
      </c>
      <c r="E96" s="29" t="inlineStr">
        <is>
          <t>P0</t>
        </is>
      </c>
      <c r="F96" s="29" t="inlineStr">
        <is>
          <t>S9</t>
        </is>
      </c>
      <c r="G96" s="37" t="inlineStr">
        <is>
          <t>Done</t>
        </is>
      </c>
    </row>
    <row r="97" ht="25.5" customHeight="1" s="26">
      <c r="A97" s="29" t="inlineStr">
        <is>
          <t>ST-094</t>
        </is>
      </c>
      <c r="B97" s="29" t="inlineStr">
        <is>
          <t>EL</t>
        </is>
      </c>
      <c r="C97" s="29" t="inlineStr">
        <is>
          <t>5 screenshots + 2-min demo video meet platform asset specs</t>
        </is>
      </c>
      <c r="D97" s="29" t="n">
        <v>5</v>
      </c>
      <c r="E97" s="29" t="inlineStr">
        <is>
          <t>P0</t>
        </is>
      </c>
      <c r="F97" s="29" t="inlineStr">
        <is>
          <t>S9</t>
        </is>
      </c>
      <c r="G97" s="37" t="inlineStr">
        <is>
          <t>Done</t>
        </is>
      </c>
    </row>
    <row r="98" ht="25.5" customHeight="1" s="26">
      <c r="A98" s="29" t="inlineStr">
        <is>
          <t>ST-095</t>
        </is>
      </c>
      <c r="B98" s="29" t="inlineStr">
        <is>
          <t>EL</t>
        </is>
      </c>
      <c r="C98" s="29" t="inlineStr">
        <is>
          <t>Pricing page/plan matrix published with FAQ</t>
        </is>
      </c>
      <c r="D98" s="29" t="n">
        <v>3</v>
      </c>
      <c r="E98" s="29" t="inlineStr">
        <is>
          <t>P0</t>
        </is>
      </c>
      <c r="F98" s="29" t="inlineStr">
        <is>
          <t>S10</t>
        </is>
      </c>
      <c r="G98" s="37" t="inlineStr">
        <is>
          <t>Done</t>
        </is>
      </c>
    </row>
    <row r="99" ht="25.5" customHeight="1" s="26">
      <c r="A99" s="29" t="inlineStr">
        <is>
          <t>ST-096</t>
        </is>
      </c>
      <c r="B99" s="29" t="inlineStr">
        <is>
          <t>EL</t>
        </is>
      </c>
      <c r="C99" s="29" t="inlineStr">
        <is>
          <t>Security/trust page (data handling, subprocessors) live</t>
        </is>
      </c>
      <c r="D99" s="29" t="n">
        <v>3</v>
      </c>
      <c r="E99" s="29" t="inlineStr">
        <is>
          <t>P0</t>
        </is>
      </c>
      <c r="F99" s="29" t="inlineStr">
        <is>
          <t>S10</t>
        </is>
      </c>
      <c r="G99" s="37" t="inlineStr">
        <is>
          <t>Done</t>
        </is>
      </c>
    </row>
    <row r="100" ht="25.5" customHeight="1" s="26">
      <c r="A100" s="29" t="inlineStr">
        <is>
          <t>ST-097</t>
        </is>
      </c>
      <c r="B100" s="29" t="inlineStr">
        <is>
          <t>EL</t>
        </is>
      </c>
      <c r="C100" s="29" t="inlineStr">
        <is>
          <t>Submission dry-run against platform checklist by second reviewer</t>
        </is>
      </c>
      <c r="D100" s="29" t="n">
        <v>3</v>
      </c>
      <c r="E100" s="29" t="inlineStr">
        <is>
          <t>P0</t>
        </is>
      </c>
      <c r="F100" s="29" t="inlineStr">
        <is>
          <t>S10</t>
        </is>
      </c>
      <c r="G100" s="37" t="inlineStr">
        <is>
          <t>Done</t>
        </is>
      </c>
    </row>
    <row r="101" ht="25.5" customHeight="1" s="26">
      <c r="A101" s="29" t="inlineStr">
        <is>
          <t>ST-098</t>
        </is>
      </c>
      <c r="B101" s="29" t="inlineStr">
        <is>
          <t>EL</t>
        </is>
      </c>
      <c r="C101" s="29" t="inlineStr">
        <is>
          <t>Launch-day runbook: monitoring, rollback, comms tree</t>
        </is>
      </c>
      <c r="D101" s="29" t="n">
        <v>3</v>
      </c>
      <c r="E101" s="29" t="inlineStr">
        <is>
          <t>P1</t>
        </is>
      </c>
      <c r="F101" s="29" t="inlineStr">
        <is>
          <t>S11</t>
        </is>
      </c>
      <c r="G101" s="37" t="inlineStr">
        <is>
          <t>Done</t>
        </is>
      </c>
    </row>
    <row r="102" ht="25.5" customHeight="1" s="26">
      <c r="A102" s="29" t="inlineStr">
        <is>
          <t>ST-099</t>
        </is>
      </c>
      <c r="B102" s="29" t="inlineStr">
        <is>
          <t>EL</t>
        </is>
      </c>
      <c r="C102" s="29" t="inlineStr">
        <is>
          <t>Post-launch listing SEO iteration 1 from search-term data</t>
        </is>
      </c>
      <c r="D102" s="29" t="n">
        <v>2</v>
      </c>
      <c r="E102" s="29" t="inlineStr">
        <is>
          <t>P2</t>
        </is>
      </c>
      <c r="F102" s="29" t="inlineStr">
        <is>
          <t>S12</t>
        </is>
      </c>
      <c r="G102" s="37" t="inlineStr">
        <is>
          <t>Done</t>
        </is>
      </c>
    </row>
    <row r="103" ht="25.5" customHeight="1" s="26">
      <c r="A103" s="29" t="inlineStr">
        <is>
          <t>ST-100</t>
        </is>
      </c>
      <c r="B103" s="29" t="inlineStr">
        <is>
          <t>EL</t>
        </is>
      </c>
      <c r="C103" s="29" t="inlineStr">
        <is>
          <t>First 10 design-partner reviews scheduled</t>
        </is>
      </c>
      <c r="D103" s="29" t="n">
        <v>2</v>
      </c>
      <c r="E103" s="29" t="inlineStr">
        <is>
          <t>P1</t>
        </is>
      </c>
      <c r="F103" s="29" t="inlineStr">
        <is>
          <t>S11</t>
        </is>
      </c>
      <c r="G103" s="37" t="inlineStr">
        <is>
          <t>Done</t>
        </is>
      </c>
    </row>
    <row r="104"/>
    <row r="105" ht="30" customHeight="1" s="26">
      <c r="A105" s="31" t="inlineStr">
        <is>
          <t>Total stories: 100. Epics: F1-F5 = product features; E1 install, E5 billing, E6 compliance, E7 telemetry, E8 onboarding/docs/support, EQ quality. Edit Status (Backlog/In progress/Done) during execution.</t>
        </is>
      </c>
    </row>
  </sheetData>
  <mergeCells count="1">
    <mergeCell ref="A105:G10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4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25" min="1" max="1"/>
    <col width="16" customWidth="1" style="25" min="2" max="2"/>
    <col width="62" customWidth="1" style="25" min="3" max="3"/>
    <col width="8" customWidth="1" style="25" min="4" max="4"/>
    <col width="9" customWidth="1" style="25" min="5" max="5"/>
    <col width="74" customWidth="1" style="25" min="6" max="6"/>
    <col width="14" customWidth="1" style="25" min="7" max="7"/>
  </cols>
  <sheetData>
    <row r="1" ht="17.25" customHeight="1" s="26">
      <c r="A1" s="27" t="inlineStr">
        <is>
          <t>REVIEW RESPONSE BACKLOG — work arising from external review CGPT V001</t>
        </is>
      </c>
    </row>
    <row r="2" ht="45.75" customHeight="1" s="26">
      <c r="A2" s="39" t="inlineStr">
        <is>
          <t>Kept separate from Full_Backlog on purpose. Full_Backlog is the 100-story baseline and Sprint_Board counts it over a fixed range; adding rows there would both break those counts and quietly restate a settled scope. Points are estimates and are deliberately absent where the work cannot be scoped before a decision.</t>
        </is>
      </c>
    </row>
    <row r="3"/>
    <row r="4" ht="15" customHeight="1" s="26">
      <c r="A4" s="40" t="inlineStr">
        <is>
          <t>ID</t>
        </is>
      </c>
      <c r="B4" s="40" t="inlineStr">
        <is>
          <t>Source finding</t>
        </is>
      </c>
      <c r="C4" s="40" t="inlineStr">
        <is>
          <t>Work item</t>
        </is>
      </c>
      <c r="D4" s="40" t="inlineStr">
        <is>
          <t>Points</t>
        </is>
      </c>
      <c r="E4" s="40" t="inlineStr">
        <is>
          <t>Priority</t>
        </is>
      </c>
      <c r="F4" s="40" t="inlineStr">
        <is>
          <t>Status</t>
        </is>
      </c>
      <c r="G4" s="40" t="inlineStr">
        <is>
          <t>Blocked by</t>
        </is>
      </c>
    </row>
    <row r="5" ht="21.75" customHeight="1" s="26">
      <c r="A5" s="34" t="inlineStr">
        <is>
          <t>RR-01</t>
        </is>
      </c>
      <c r="B5" s="33" t="inlineStr">
        <is>
          <t>CGPT-DM-004</t>
        </is>
      </c>
      <c r="C5" s="33" t="inlineStr">
        <is>
          <t>Commit package-lock.json; add `npm run verify` as the one-command clean gate; publish coverage as a CI artifact</t>
        </is>
      </c>
      <c r="D5" s="33" t="inlineStr">
        <is>
          <t>2</t>
        </is>
      </c>
      <c r="E5" s="33" t="inlineStr">
        <is>
          <t>P0</t>
        </is>
      </c>
      <c r="F5" s="33" t="inlineStr">
        <is>
          <t>DONE 13 Sep 22:53 — reproduced twice from wiped node_modules: 280 packages, tsc clean, 836/836 across 45 suites, 100/100/100/100</t>
        </is>
      </c>
      <c r="G5" s="33" t="inlineStr">
        <is>
          <t>—</t>
        </is>
      </c>
    </row>
    <row r="6" ht="21.75" customHeight="1" s="26">
      <c r="A6" s="34" t="inlineStr">
        <is>
          <t>RR-02</t>
        </is>
      </c>
      <c r="B6" s="33" t="inlineStr">
        <is>
          <t>CGPT-DM-012</t>
        </is>
      </c>
      <c r="C6" s="33" t="inlineStr">
        <is>
          <t>Supply-chain CI job: npm audit at --audit-level=high, repo-local secret scanner, CycloneDX SBOM as a retained artifact</t>
        </is>
      </c>
      <c r="D6" s="33" t="inlineStr">
        <is>
          <t>3</t>
        </is>
      </c>
      <c r="E6" s="33" t="inlineStr">
        <is>
          <t>P0</t>
        </is>
      </c>
      <c r="F6" s="33" t="inlineStr">
        <is>
          <t>DONE 13 Sep 22:53 — audit 0 vulnerabilities, secret-scan clean (8 rules, 3 reviewed allowlist entries), SBOM 280 components</t>
        </is>
      </c>
      <c r="G6" s="33" t="inlineStr">
        <is>
          <t>—</t>
        </is>
      </c>
    </row>
    <row r="7" ht="21.75" customHeight="1" s="26">
      <c r="A7" s="34" t="inlineStr">
        <is>
          <t>RR-03</t>
        </is>
      </c>
      <c r="B7" s="33" t="inlineStr">
        <is>
          <t>CGPT-DM-012</t>
        </is>
      </c>
      <c r="C7" s="33" t="inlineStr">
        <is>
          <t>CodeQL static analysis on push, PR and weekly schedule</t>
        </is>
      </c>
      <c r="D7" s="33" t="inlineStr">
        <is>
          <t>1</t>
        </is>
      </c>
      <c r="E7" s="33" t="inlineStr">
        <is>
          <t>P1</t>
        </is>
      </c>
      <c r="F7" s="33" t="inlineStr">
        <is>
          <t>CONFIGURED, UNVERIFIED — runs only on GitHub infrastructure. First green run there is the evidence, not the file (R-D17)</t>
        </is>
      </c>
      <c r="G7" s="33" t="inlineStr">
        <is>
          <t>GitHub run</t>
        </is>
      </c>
    </row>
    <row r="8" ht="21.75" customHeight="1" s="26">
      <c r="A8" s="34" t="inlineStr">
        <is>
          <t>RR-04</t>
        </is>
      </c>
      <c r="B8" s="33" t="inlineStr">
        <is>
          <t>CGPT-DM-002</t>
        </is>
      </c>
      <c r="C8" s="33" t="inlineStr">
        <is>
          <t>Remove the placeholder deploy job; fail closed naming the blocker; specify the real deployment work</t>
        </is>
      </c>
      <c r="D8" s="33" t="inlineStr">
        <is>
          <t>2</t>
        </is>
      </c>
      <c r="E8" s="33" t="inlineStr">
        <is>
          <t>P0</t>
        </is>
      </c>
      <c r="F8" s="33" t="inlineStr">
        <is>
          <t>DONE 13 Sep 22:53 — DEPLOY_PLAN.md written. Tradeoff (main now red) logged as D-DM4</t>
        </is>
      </c>
      <c r="G8" s="33" t="inlineStr">
        <is>
          <t>—</t>
        </is>
      </c>
    </row>
    <row r="9" ht="32.25" customHeight="1" s="26">
      <c r="A9" s="34" t="inlineStr">
        <is>
          <t>RR-05</t>
        </is>
      </c>
      <c r="B9" s="33" t="inlineStr">
        <is>
          <t>CGPT-DM-002</t>
        </is>
      </c>
      <c r="C9" s="33" t="inlineStr">
        <is>
          <t>Real staging: IaC, separate staging/prod projects, Secret Manager, migrations, probes, revision rollback. Exit criterion is destroy/recreate/deploy/migrate/smoke/rollback/redeploy run twice</t>
        </is>
      </c>
      <c r="D9" s="33" t="inlineStr">
        <is>
          <t>—</t>
        </is>
      </c>
      <c r="E9" s="33" t="inlineStr">
        <is>
          <t>P0</t>
        </is>
      </c>
      <c r="F9" s="33" t="inlineStr">
        <is>
          <t>NOT STARTED — cannot be built against a project that does not exist</t>
        </is>
      </c>
      <c r="G9" s="33" t="inlineStr">
        <is>
          <t>LC-1</t>
        </is>
      </c>
    </row>
    <row r="10" ht="21.75" customHeight="1" s="26">
      <c r="A10" s="34" t="inlineStr">
        <is>
          <t>RR-06</t>
        </is>
      </c>
      <c r="B10" s="33" t="inlineStr">
        <is>
          <t>CGPT-DM-008</t>
        </is>
      </c>
      <c r="C10" s="33" t="inlineStr">
        <is>
          <t>Distributed quota governor: shared budget across processes, fair queueing, jitter/backoff, DLQ, resumable jobs, cancellation</t>
        </is>
      </c>
      <c r="D10" s="33" t="inlineStr">
        <is>
          <t>—</t>
        </is>
      </c>
      <c r="E10" s="33" t="inlineStr">
        <is>
          <t>P1</t>
        </is>
      </c>
      <c r="F10" s="33" t="inlineStr">
        <is>
          <t>NOT STARTED — today's governor paces a single process, which is honest for a single process</t>
        </is>
      </c>
      <c r="G10" s="33" t="inlineStr">
        <is>
          <t>D-DM2</t>
        </is>
      </c>
    </row>
    <row r="11" ht="21.75" customHeight="1" s="26">
      <c r="A11" s="34" t="inlineStr">
        <is>
          <t>RR-07</t>
        </is>
      </c>
      <c r="B11" s="33" t="inlineStr">
        <is>
          <t>CGPT-DM-005</t>
        </is>
      </c>
      <c r="C11" s="33" t="inlineStr">
        <is>
          <t>Enterprise identity plane: OIDC/SAML federation, SCIM lifecycle, domain policy, break-glass, privileged audit</t>
        </is>
      </c>
      <c r="D11" s="33" t="inlineStr">
        <is>
          <t>—</t>
        </is>
      </c>
      <c r="E11" s="33" t="inlineStr">
        <is>
          <t>P1</t>
        </is>
      </c>
      <c r="F11" s="33" t="inlineStr">
        <is>
          <t>NOT STARTED — deferred as a bet on a buyer the product has never met</t>
        </is>
      </c>
      <c r="G11" s="33" t="inlineStr">
        <is>
          <t>D-DM2</t>
        </is>
      </c>
    </row>
    <row r="12" ht="21.75" customHeight="1" s="26">
      <c r="A12" s="34" t="inlineStr">
        <is>
          <t>RR-08</t>
        </is>
      </c>
      <c r="B12" s="33" t="inlineStr">
        <is>
          <t>CGPT-DM-009</t>
        </is>
      </c>
      <c r="C12" s="33" t="inlineStr">
        <is>
          <t>Enterprise data lifecycle: configurable retention, legal hold, export evidence, admin APIs</t>
        </is>
      </c>
      <c r="D12" s="33" t="inlineStr">
        <is>
          <t>—</t>
        </is>
      </c>
      <c r="E12" s="33" t="inlineStr">
        <is>
          <t>P1</t>
        </is>
      </c>
      <c r="F12" s="33" t="inlineStr">
        <is>
          <t>NOT STARTED — purge foundation exists (DM-F09); legal hold is a feature for an unvalidated customer type</t>
        </is>
      </c>
      <c r="G12" s="33" t="inlineStr">
        <is>
          <t>D-DM2</t>
        </is>
      </c>
    </row>
    <row r="13" ht="21.75" customHeight="1" s="26">
      <c r="A13" s="34" t="inlineStr">
        <is>
          <t>RR-09</t>
        </is>
      </c>
      <c r="B13" s="33" t="inlineStr">
        <is>
          <t>CGPT-DM-007</t>
        </is>
      </c>
      <c r="C13" s="33" t="inlineStr">
        <is>
          <t>DR: PITR, restore automation, measured RTO/RPO, dependency-outage and chaos drills</t>
        </is>
      </c>
      <c r="D13" s="33" t="inlineStr">
        <is>
          <t>—</t>
        </is>
      </c>
      <c r="E13" s="33" t="inlineStr">
        <is>
          <t>P1</t>
        </is>
      </c>
      <c r="F13" s="33" t="inlineStr">
        <is>
          <t>NOT STARTED — drill harness exists; a measured drill needs real backups</t>
        </is>
      </c>
      <c r="G13" s="33" t="inlineStr">
        <is>
          <t>LC-1</t>
        </is>
      </c>
    </row>
    <row r="14" ht="21.75" customHeight="1" s="26">
      <c r="A14" s="34" t="inlineStr">
        <is>
          <t>RR-10</t>
        </is>
      </c>
      <c r="B14" s="33" t="inlineStr">
        <is>
          <t>CGPT-DM-010</t>
        </is>
      </c>
      <c r="C14" s="33" t="inlineStr">
        <is>
          <t>Production SLO evidence: golden signals, traces, synthetics, burn alerts, 7-30 day history</t>
        </is>
      </c>
      <c r="D14" s="33" t="inlineStr">
        <is>
          <t>—</t>
        </is>
      </c>
      <c r="E14" s="33" t="inlineStr">
        <is>
          <t>P1</t>
        </is>
      </c>
      <c r="F14" s="33" t="inlineStr">
        <is>
          <t>NOT STARTED — history cannot be manufactured</t>
        </is>
      </c>
      <c r="G14" s="33" t="inlineStr">
        <is>
          <t>LC-1</t>
        </is>
      </c>
    </row>
    <row r="15"/>
    <row r="16" ht="42" customHeight="1" s="26">
      <c r="A16" s="39" t="inlineStr">
        <is>
          <t>Four of these ten (RR-06..RR-09) are deferred behind D-DM2 rather than scheduled. If D-DM2 resolves toward the enterprise bar they become four unscoped sprints — recorded as R-D19 in the tracker RAID so the cost of that decision is visible before it is taken rather than after.</t>
        </is>
      </c>
    </row>
    <row r="17" ht="32.25" customHeight="1" s="26">
      <c r="A17" s="34" t="inlineStr">
        <is>
          <t>RR-11</t>
        </is>
      </c>
      <c r="B17" s="33" t="inlineStr">
        <is>
          <t>CGPT-DM-002/004/012</t>
        </is>
      </c>
      <c r="C17" s="33" t="inlineStr">
        <is>
          <t>Release-integrity gate: convert the three accepted findings from fixed incidents into a standing CI check (RG-01 install cannot run, RG-02 action job reports false success, RG-03 no supply-chain step, RG-04 coverage never published)</t>
        </is>
      </c>
      <c r="D17" s="33" t="inlineStr">
        <is>
          <t>3</t>
        </is>
      </c>
      <c r="E17" s="33" t="inlineStr">
        <is>
          <t>P0</t>
        </is>
      </c>
      <c r="F17" s="33" t="inlineStr">
        <is>
          <t>DONE 13 Sep 23:04 — src/releaseGate.ts, 26 tests, 100% on the module, wired as its own CI step; the pre-review workflow kept as a regression fixture. Ported to the portfolio guard kit as its fifth module.</t>
        </is>
      </c>
      <c r="G17" s="33" t="inlineStr">
        <is>
          <t>—</t>
        </is>
      </c>
    </row>
    <row r="18" ht="32.25" customHeight="1" s="26">
      <c r="A18" s="34" t="inlineStr">
        <is>
          <t>RR-12</t>
        </is>
      </c>
      <c r="B18" s="33" t="inlineStr">
        <is>
          <t>VER-DM4</t>
        </is>
      </c>
      <c r="C18" s="33" t="inlineStr">
        <is>
          <t>Produce the required listing assets: icons 32/48/96/128 and the 220x140 card banner the corrected spec revealed were required and missing</t>
        </is>
      </c>
      <c r="D18" s="33" t="inlineStr">
        <is>
          <t>3</t>
        </is>
      </c>
      <c r="E18" s="33" t="inlineStr">
        <is>
          <t>P0</t>
        </is>
      </c>
      <c r="F18" s="33" t="inlineStr">
        <is>
          <t>DONE 13 Sep 23:13 — generated as real PNGs; tests read the dimensions from the file headers and run them through the product's own validateAssets, leaving screenshots as the only outstanding asset finding</t>
        </is>
      </c>
      <c r="G18" s="33" t="inlineStr">
        <is>
          <t>—</t>
        </is>
      </c>
    </row>
    <row r="19" ht="21.75" customHeight="1" s="26">
      <c r="A19" s="34" t="inlineStr">
        <is>
          <t>RR-13</t>
        </is>
      </c>
      <c r="B19" s="33" t="inlineStr">
        <is>
          <t>R-D15</t>
        </is>
      </c>
      <c r="C19" s="33" t="inlineStr">
        <is>
          <t>Generate the pages that must be hosted before the OAuth consent screen: privacy (from the enforcing code), terms of service, status, support, index</t>
        </is>
      </c>
      <c r="D19" s="33" t="inlineStr">
        <is>
          <t>5</t>
        </is>
      </c>
      <c r="E19" s="33" t="inlineStr">
        <is>
          <t>P0</t>
        </is>
      </c>
      <c r="F19" s="33" t="inlineStr">
        <is>
          <t>DONE 13 Sep 23:13 — five static files in site/, no runtime. Legal review of terms and of the privacy framing is owed (R-D22); six config values are owed (R-D23)</t>
        </is>
      </c>
      <c r="G19" s="33" t="inlineStr">
        <is>
          <t>—</t>
        </is>
      </c>
    </row>
    <row r="20" ht="21.75" customHeight="1" s="26">
      <c r="A20" s="34" t="inlineStr">
        <is>
          <t>RR-14</t>
        </is>
      </c>
      <c r="B20" s="33" t="inlineStr">
        <is>
          <t>R-D22</t>
        </is>
      </c>
      <c r="C20" s="33" t="inlineStr">
        <is>
          <t>Legal review of the terms of service and the privacy policy framing before publication</t>
        </is>
      </c>
      <c r="D20" s="33" t="inlineStr">
        <is>
          <t>—</t>
        </is>
      </c>
      <c r="E20" s="33" t="inlineStr">
        <is>
          <t>P0</t>
        </is>
      </c>
      <c r="F20" s="33" t="inlineStr">
        <is>
          <t>NOT STARTED — needs a lawyer. The warranty and liability clauses are an explicit placeholder.</t>
        </is>
      </c>
      <c r="G20" s="33" t="inlineStr">
        <is>
          <t>Senthil</t>
        </is>
      </c>
    </row>
    <row r="21" ht="42.75" customHeight="1" s="26">
      <c r="A21" s="34" t="inlineStr">
        <is>
          <t>RR-15</t>
        </is>
      </c>
      <c r="B21" s="33" t="inlineStr">
        <is>
          <t>R-D24</t>
        </is>
      </c>
      <c r="C21" s="33" t="inlineStr">
        <is>
          <t>Rebuild the submission dry run against the corrected listing spec (VER-DM4) — add the omitted icon/banner and terms-of-service items, correct the screenshot count, split the optional promo video from the required OAuth verification video, and downgrade CASA to an applicability check</t>
        </is>
      </c>
      <c r="D21" s="33" t="inlineStr">
        <is>
          <t>2</t>
        </is>
      </c>
      <c r="E21" s="33" t="inlineStr">
        <is>
          <t>P0</t>
        </is>
      </c>
      <c r="F21" s="33" t="inlineStr">
        <is>
          <t>DONE 14 Sep 13:59 — 22 items, 11 satisfied, 10 blocking, 1 to verify</t>
        </is>
      </c>
      <c r="G21" s="33" t="inlineStr">
        <is>
          <t>—</t>
        </is>
      </c>
    </row>
    <row r="22" ht="21.75" customHeight="1" s="26">
      <c r="A22" s="34" t="inlineStr">
        <is>
          <t>RR-16</t>
        </is>
      </c>
      <c r="B22" s="33" t="inlineStr">
        <is>
          <t>D-DM1..D-DM4, R-D13, R-D22</t>
        </is>
      </c>
      <c r="C22" s="33" t="inlineStr">
        <is>
          <t>Decision pack: give each open item a recommendation with its reasoning, so the blocking set can be closed in one sitting</t>
        </is>
      </c>
      <c r="D22" s="33" t="inlineStr">
        <is>
          <t>2</t>
        </is>
      </c>
      <c r="E22" s="33" t="inlineStr">
        <is>
          <t>P0</t>
        </is>
      </c>
      <c r="F22" s="33" t="inlineStr">
        <is>
          <t>DONE 14 Sep 13:59 — DECISION_PACK.md. Recommendations only; all seven remain OPEN until Senthil decides</t>
        </is>
      </c>
      <c r="G22" s="33" t="inlineStr">
        <is>
          <t>Senthil</t>
        </is>
      </c>
    </row>
    <row r="23" ht="22.35" customHeight="1" s="26">
      <c r="A23" s="34" t="inlineStr">
        <is>
          <t>RR-17</t>
        </is>
      </c>
      <c r="B23" s="33" t="inlineStr">
        <is>
          <t>Portfolio class C-14</t>
        </is>
      </c>
      <c r="C23" s="33" t="inlineStr">
        <is>
          <t>Prove the Postgres adapter against a real engine rather than a FakeClient</t>
        </is>
      </c>
      <c r="D23" s="33" t="inlineStr">
        <is>
          <t>3</t>
        </is>
      </c>
      <c r="E23" s="33" t="inlineStr">
        <is>
          <t>P0</t>
        </is>
      </c>
      <c r="F23" s="33" t="inlineStr">
        <is>
          <t>DONE 15 Sep 09:09 — 10 contract tests on PGlite, CI job added, deploy depends on it. Result clean.</t>
        </is>
      </c>
      <c r="G23" s="33" t="inlineStr">
        <is>
          <t>—</t>
        </is>
      </c>
    </row>
    <row r="24" ht="32.8" customHeight="1" s="26">
      <c r="A24" s="34" t="inlineStr">
        <is>
          <t>RR-18</t>
        </is>
      </c>
      <c r="B24" s="33" t="inlineStr">
        <is>
          <t>R-D26</t>
        </is>
      </c>
      <c r="C24" s="33" t="inlineStr">
        <is>
          <t>Merge the three portable gate packages (at-review-gates, TeleField REVIEW_GATES, portfolio-guard-kit) into one, adding reachability and published-claims</t>
        </is>
      </c>
      <c r="D24" s="33" t="inlineStr">
        <is>
          <t>—</t>
        </is>
      </c>
      <c r="E24" s="33" t="inlineStr">
        <is>
          <t>P1</t>
        </is>
      </c>
      <c r="F24" s="33" t="inlineStr">
        <is>
          <t>NOT STARTED — needs the other two packages. Highest-value portfolio task and it needs no live environment, decision or budget.</t>
        </is>
      </c>
      <c r="G24" s="33" t="inlineStr">
        <is>
          <t>Senthil</t>
        </is>
      </c>
    </row>
    <row r="25"/>
    <row r="26">
      <c r="A26" s="74" t="inlineStr">
        <is>
          <t>PPLX V001 RESPONSE — 20 September 2026. Unlike RR-01..RR-18 above, almost all of this was executable without Senthil, which was the review's central practical point.</t>
        </is>
      </c>
    </row>
    <row r="27">
      <c r="A27" s="56" t="inlineStr">
        <is>
          <t>PR-01</t>
        </is>
      </c>
      <c r="B27" s="56" t="inlineStr">
        <is>
          <t>P-DM-002</t>
        </is>
      </c>
      <c r="C27" s="56" t="inlineStr">
        <is>
          <t>Process bootstrap, /healthz, /readyz, graceful drain; point npm start at something that starts</t>
        </is>
      </c>
      <c r="D27" s="56" t="n">
        <v>13</v>
      </c>
      <c r="E27" s="56" t="inlineStr">
        <is>
          <t>P0</t>
        </is>
      </c>
      <c r="F27" s="71" t="inlineStr">
        <is>
          <t>DONE 20 Sep — proved by spawning the built artefact (EV-1)</t>
        </is>
      </c>
      <c r="G27" s="56" t="inlineStr">
        <is>
          <t>—</t>
        </is>
      </c>
    </row>
    <row r="28">
      <c r="A28" s="56" t="inlineStr">
        <is>
          <t>PR-02</t>
        </is>
      </c>
      <c r="B28" s="56" t="inlineStr">
        <is>
          <t>P-DM-003</t>
        </is>
      </c>
      <c r="C28" s="56" t="inlineStr">
        <is>
          <t>Declare pg; real pooled client with TLS; run the migration against a real Postgres</t>
        </is>
      </c>
      <c r="D28" s="56" t="n">
        <v>8</v>
      </c>
      <c r="E28" s="56" t="inlineStr">
        <is>
          <t>P0</t>
        </is>
      </c>
      <c r="F28" s="71" t="inlineStr">
        <is>
          <t>DONE 20 Sep — six migrations applied, re-run a clean no-op (EV-3)</t>
        </is>
      </c>
      <c r="G28" s="56" t="inlineStr">
        <is>
          <t>—</t>
        </is>
      </c>
    </row>
    <row r="29">
      <c r="A29" s="56" t="inlineStr">
        <is>
          <t>PR-03</t>
        </is>
      </c>
      <c r="B29" s="56" t="inlineStr">
        <is>
          <t>P-DM-010</t>
        </is>
      </c>
      <c r="C29" s="56" t="inlineStr">
        <is>
          <t>Remove the ungoverned coverage exemption; add RG-06 so every exemption of any gate names a test that exists</t>
        </is>
      </c>
      <c r="D29" s="56" t="n">
        <v>6</v>
      </c>
      <c r="E29" s="56" t="inlineStr">
        <is>
          <t>P0</t>
        </is>
      </c>
      <c r="F29" s="71" t="inlineStr">
        <is>
          <t>DONE 20 Sep</t>
        </is>
      </c>
      <c r="G29" s="56" t="inlineStr">
        <is>
          <t>—</t>
        </is>
      </c>
    </row>
    <row r="30">
      <c r="A30" s="56" t="inlineStr">
        <is>
          <t>PR-04</t>
        </is>
      </c>
      <c r="B30" s="56" t="inlineStr">
        <is>
          <t>P-DM-006</t>
        </is>
      </c>
      <c r="C30" s="56" t="inlineStr">
        <is>
          <t>Real Google Docs rendering: copy, batchUpdate, images, repeating tables, PDF/DOCX export</t>
        </is>
      </c>
      <c r="D30" s="56" t="n">
        <v>26</v>
      </c>
      <c r="E30" s="56" t="inlineStr">
        <is>
          <t>P0</t>
        </is>
      </c>
      <c r="F30" s="71" t="inlineStr">
        <is>
          <t>DONE-IN-CODE 20 Sep — against recorded contracts; live render owed</t>
        </is>
      </c>
      <c r="G30" s="56" t="inlineStr">
        <is>
          <t>LC-1 for the live half</t>
        </is>
      </c>
    </row>
    <row r="31">
      <c r="A31" s="56" t="inlineStr">
        <is>
          <t>PR-05</t>
        </is>
      </c>
      <c r="B31" s="56" t="inlineStr">
        <is>
          <t>P-DM-005</t>
        </is>
      </c>
      <c r="C31" s="56" t="inlineStr">
        <is>
          <t>The Editor add-on: generated manifest, Code.gs, sidebar, the SidebarHost shim</t>
        </is>
      </c>
      <c r="D31" s="56" t="n">
        <v>21</v>
      </c>
      <c r="E31" s="56" t="inlineStr">
        <is>
          <t>P0</t>
        </is>
      </c>
      <c r="F31" s="71" t="inlineStr">
        <is>
          <t>DONE-IN-CODE 20 Sep — never pushed with clasp</t>
        </is>
      </c>
      <c r="G31" s="56" t="inlineStr">
        <is>
          <t>LC-1; D-DM1 ratification</t>
        </is>
      </c>
    </row>
    <row r="32">
      <c r="A32" s="56" t="inlineStr">
        <is>
          <t>PR-06</t>
        </is>
      </c>
      <c r="B32" s="56" t="inlineStr">
        <is>
          <t>P-DM-001</t>
        </is>
      </c>
      <c r="C32" s="56" t="inlineStr">
        <is>
          <t>Drive, Sheets and OAuth adapters behind the existing interfaces</t>
        </is>
      </c>
      <c r="D32" s="56" t="n">
        <v>21</v>
      </c>
      <c r="E32" s="56" t="inlineStr">
        <is>
          <t>P0</t>
        </is>
      </c>
      <c r="F32" s="71" t="inlineStr">
        <is>
          <t>DONE-IN-CODE 20 Sep</t>
        </is>
      </c>
      <c r="G32" s="56" t="inlineStr">
        <is>
          <t>LC-1 for the live half</t>
        </is>
      </c>
    </row>
    <row r="33">
      <c r="A33" s="56" t="inlineStr">
        <is>
          <t>PR-07</t>
        </is>
      </c>
      <c r="B33" s="56" t="inlineStr">
        <is>
          <t>P-DM-004</t>
        </is>
      </c>
      <c r="C33" s="56" t="inlineStr">
        <is>
          <t>Re-baseline the SBOM on a runtime tree and assert the runtime count is non-zero</t>
        </is>
      </c>
      <c r="D33" s="56" t="n">
        <v>3</v>
      </c>
      <c r="E33" s="56" t="inlineStr">
        <is>
          <t>P0</t>
        </is>
      </c>
      <c r="F33" s="71" t="inlineStr">
        <is>
          <t>DONE 20 Sep — 13 runtime components of 296</t>
        </is>
      </c>
      <c r="G33" s="56" t="inlineStr">
        <is>
          <t>—</t>
        </is>
      </c>
    </row>
    <row r="34">
      <c r="A34" s="56" t="inlineStr">
        <is>
          <t>PR-08</t>
        </is>
      </c>
      <c r="B34" s="56" t="inlineStr">
        <is>
          <t>P-DM-009</t>
        </is>
      </c>
      <c r="C34" s="56" t="inlineStr">
        <is>
          <t>Seven RAM-only stores to Postgres, in the review's order; crash-restart invariant per store</t>
        </is>
      </c>
      <c r="D34" s="56" t="n">
        <v>34</v>
      </c>
      <c r="E34" s="56" t="inlineStr">
        <is>
          <t>P0</t>
        </is>
      </c>
      <c r="F34" s="71" t="inlineStr">
        <is>
          <t>DONE 20 Sep</t>
        </is>
      </c>
      <c r="G34" s="56" t="inlineStr">
        <is>
          <t>—</t>
        </is>
      </c>
    </row>
    <row r="35">
      <c r="A35" s="56" t="inlineStr">
        <is>
          <t>PR-09</t>
        </is>
      </c>
      <c r="B35" s="56" t="inlineStr">
        <is>
          <t>P-DM-007</t>
        </is>
      </c>
      <c r="C35" s="56" t="inlineStr">
        <is>
          <t>Rename e-sign to Approval requests everywhere; gate it; add the provider boundary</t>
        </is>
      </c>
      <c r="D35" s="56" t="n">
        <v>13</v>
      </c>
      <c r="E35" s="56" t="inlineStr">
        <is>
          <t>P0</t>
        </is>
      </c>
      <c r="F35" s="71" t="inlineStr">
        <is>
          <t>DONE 20 Sep — the exposure is closed independently of any vendor decision</t>
        </is>
      </c>
      <c r="G35" s="56" t="inlineStr">
        <is>
          <t>D-DM6 for the provider</t>
        </is>
      </c>
    </row>
    <row r="36">
      <c r="A36" s="56" t="inlineStr">
        <is>
          <t>PR-10</t>
        </is>
      </c>
      <c r="B36" s="56" t="inlineStr">
        <is>
          <t>P-DM-008</t>
        </is>
      </c>
      <c r="C36" s="56" t="inlineStr">
        <is>
          <t>Rebuild the financial model with the free tier's cost and an explicit breakeven row</t>
        </is>
      </c>
      <c r="D36" s="56" t="n">
        <v>5</v>
      </c>
      <c r="E36" s="56" t="inlineStr">
        <is>
          <t>P0</t>
        </is>
      </c>
      <c r="F36" s="71" t="inlineStr">
        <is>
          <t>DONE 20 Sep — Financial_Model_v2; breakeven M12 under stated assumptions</t>
        </is>
      </c>
      <c r="G36" s="56" t="inlineStr">
        <is>
          <t>D-DM5 for the decision</t>
        </is>
      </c>
    </row>
    <row r="37">
      <c r="A37" s="56" t="inlineStr">
        <is>
          <t>PR-11</t>
        </is>
      </c>
      <c r="B37" s="56" t="inlineStr">
        <is>
          <t>§5</t>
        </is>
      </c>
      <c r="C37" s="56" t="inlineStr">
        <is>
          <t>Turn the governance assets into buyer-facing artefacts: verifiable audit export, isolation statement, honest batch-SLO page</t>
        </is>
      </c>
      <c r="D37" s="56" t="n">
        <v>13</v>
      </c>
      <c r="E37" s="56" t="inlineStr">
        <is>
          <t>P0</t>
        </is>
      </c>
      <c r="F37" s="71" t="inlineStr">
        <is>
          <t>DONE 20 Sep — each generated from the enforcing code, each with a drift validator</t>
        </is>
      </c>
      <c r="G37" s="56" t="inlineStr">
        <is>
          <t>—</t>
        </is>
      </c>
    </row>
    <row r="38">
      <c r="A38" s="56" t="inlineStr">
        <is>
          <t>PR-12</t>
        </is>
      </c>
      <c r="B38" s="56" t="inlineStr">
        <is>
          <t>P-DM-012</t>
        </is>
      </c>
      <c r="C38" s="56" t="inlineStr">
        <is>
          <t>Replace the unverified autoCrat figure with the two confirmed install counts</t>
        </is>
      </c>
      <c r="D38" s="56" t="n">
        <v>1</v>
      </c>
      <c r="E38" s="56" t="inlineStr">
        <is>
          <t>P1</t>
        </is>
      </c>
      <c r="F38" s="71" t="inlineStr">
        <is>
          <t>DONE 20 Sep — retraction recorded in code so it cannot come back</t>
        </is>
      </c>
      <c r="G38" s="56" t="inlineStr">
        <is>
          <t>—</t>
        </is>
      </c>
    </row>
    <row r="39">
      <c r="A39" s="56" t="inlineStr">
        <is>
          <t>PR-13</t>
        </is>
      </c>
      <c r="B39" s="56" t="inlineStr">
        <is>
          <t>VER-DM6/7</t>
        </is>
      </c>
      <c r="C39" s="56" t="inlineStr">
        <is>
          <t>Re-verify every recorded platform quota against Google's current published limits</t>
        </is>
      </c>
      <c r="D39" s="56" t="n">
        <v>5</v>
      </c>
      <c r="E39" s="56" t="inlineStr">
        <is>
          <t>P1</t>
        </is>
      </c>
      <c r="F39" s="71" t="inlineStr">
        <is>
          <t>DONE 20 Sep — Docs and Sheets matched; DRIVE HAD CHANGED and VER-DM7's ambiguity has resolved</t>
        </is>
      </c>
      <c r="G39" s="56" t="inlineStr">
        <is>
          <t>—</t>
        </is>
      </c>
    </row>
    <row r="40">
      <c r="A40" s="56" t="inlineStr">
        <is>
          <t>PR-14</t>
        </is>
      </c>
      <c r="B40" s="56" t="inlineStr">
        <is>
          <t>S18</t>
        </is>
      </c>
      <c r="C40" s="56" t="inlineStr">
        <is>
          <t>Container, IaC, gated deploy, redacting logger, SLO budgets, synthetic monitor, one alert, restore drill</t>
        </is>
      </c>
      <c r="D40" s="56" t="n">
        <v>34</v>
      </c>
      <c r="E40" s="56" t="inlineStr">
        <is>
          <t>P0</t>
        </is>
      </c>
      <c r="F40" s="71" t="inlineStr">
        <is>
          <t>BUILT 20 Sep; drill RAN (RTO 95ms). The deploy sequence is owed</t>
        </is>
      </c>
      <c r="G40" s="56" t="inlineStr">
        <is>
          <t>LC-1</t>
        </is>
      </c>
    </row>
    <row r="41">
      <c r="A41" s="56" t="inlineStr">
        <is>
          <t>PR-15</t>
        </is>
      </c>
      <c r="B41" s="56" t="inlineStr">
        <is>
          <t>P-DM-001</t>
        </is>
      </c>
      <c r="C41" s="56" t="inlineStr">
        <is>
          <t>integrationGate: a standing check for the class, and run it against this repository</t>
        </is>
      </c>
      <c r="D41" s="56" t="n">
        <v>13</v>
      </c>
      <c r="E41" s="56" t="inlineStr">
        <is>
          <t>P0</t>
        </is>
      </c>
      <c r="F41" s="71" t="inlineStr">
        <is>
          <t>DONE 20 Sep — 16 findings on first run, two of them stubs written the same hour</t>
        </is>
      </c>
      <c r="G41" s="56" t="inlineStr">
        <is>
          <t>—</t>
        </is>
      </c>
    </row>
    <row r="42">
      <c r="A42" s="56" t="inlineStr">
        <is>
          <t>PR-16</t>
        </is>
      </c>
      <c r="B42" s="56" t="inlineStr">
        <is>
          <t>R-D18</t>
        </is>
      </c>
      <c r="C42" s="56" t="inlineStr">
        <is>
          <t>Run the guard kit (now v4) against ONE sibling product</t>
        </is>
      </c>
      <c r="D42" s="56" t="n">
        <v>3</v>
      </c>
      <c r="E42" s="56" t="inlineStr">
        <is>
          <t>P1</t>
        </is>
      </c>
      <c r="F42" s="71" t="inlineStr">
        <is>
          <t>NOT STARTED — still the cheapest item on the board, still never done</t>
        </is>
      </c>
      <c r="G42" s="56" t="inlineStr">
        <is>
          <t>Senthil / a sibling repo</t>
        </is>
      </c>
    </row>
    <row r="43">
      <c r="A43" s="56" t="inlineStr">
        <is>
          <t>PR-17</t>
        </is>
      </c>
      <c r="B43" s="56" t="inlineStr">
        <is>
          <t>P-DM-011</t>
        </is>
      </c>
      <c r="C43" s="56" t="inlineStr">
        <is>
          <t>Start the two slow external clocks and run them CONCURRENTLY with engineering</t>
        </is>
      </c>
      <c r="D43" s="56" t="n">
        <v>2</v>
      </c>
      <c r="E43" s="56" t="inlineStr">
        <is>
          <t>P0</t>
        </is>
      </c>
      <c r="F43" s="71" t="inlineStr">
        <is>
          <t>NOT STARTED</t>
        </is>
      </c>
      <c r="G43" s="56" t="inlineStr">
        <is>
          <t>Senthil — LC-1 and R-D22</t>
        </is>
      </c>
    </row>
    <row r="44">
      <c r="A44" s="56" t="inlineStr">
        <is>
          <t>PR-18</t>
        </is>
      </c>
      <c r="B44" s="56" t="inlineStr">
        <is>
          <t>§5 / D-DM5</t>
        </is>
      </c>
      <c r="C44" s="56" t="inlineStr">
        <is>
          <t>Make the pricing and positioning call; then align listing copy before submission</t>
        </is>
      </c>
      <c r="D44" s="56" t="n">
        <v>3</v>
      </c>
      <c r="E44" s="56" t="inlineStr">
        <is>
          <t>P0</t>
        </is>
      </c>
      <c r="F44" s="71" t="inlineStr">
        <is>
          <t>NOT STARTED — the one genuine new decision</t>
        </is>
      </c>
      <c r="G44" s="56" t="inlineStr">
        <is>
          <t>Senthil</t>
        </is>
      </c>
    </row>
    <row r="45"/>
    <row r="46">
      <c r="A46" s="49" t="inlineStr">
        <is>
          <t>Fourteen of these eighteen were executable with no decision, no budget and no external party — which is the measure of how wrong 'everything I can do alone on this product is done' was on 13 September.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5" min="1" max="1"/>
    <col width="44" customWidth="1" style="25" min="2" max="2"/>
    <col width="9" customWidth="1" style="25" min="3" max="4"/>
    <col width="8" customWidth="1" style="25" min="5" max="5"/>
    <col width="52" customWidth="1" style="25" min="6" max="6"/>
  </cols>
  <sheetData>
    <row r="1" ht="17.25" customHeight="1" s="26">
      <c r="A1" s="27" t="inlineStr">
        <is>
          <t>SPRINT BOARD — live counts from Full_Backlog</t>
        </is>
      </c>
    </row>
    <row r="2"/>
    <row r="3" ht="15" customHeight="1" s="26">
      <c r="A3" s="28" t="inlineStr">
        <is>
          <t>Sprint</t>
        </is>
      </c>
      <c r="B3" s="28" t="inlineStr">
        <is>
          <t>Focus</t>
        </is>
      </c>
      <c r="C3" s="28" t="inlineStr">
        <is>
          <t>Stories</t>
        </is>
      </c>
      <c r="D3" s="28" t="inlineStr">
        <is>
          <t>Points</t>
        </is>
      </c>
      <c r="E3" s="28" t="inlineStr">
        <is>
          <t>Done</t>
        </is>
      </c>
      <c r="F3" s="28" t="inlineStr">
        <is>
          <t>Exit criteria</t>
        </is>
      </c>
    </row>
    <row r="4" ht="31.5" customHeight="1" s="26">
      <c r="A4" s="29" t="inlineStr">
        <is>
          <t>S0</t>
        </is>
      </c>
      <c r="B4" s="29" t="inlineStr">
        <is>
          <t>Discovery &amp; Design (2 wks)</t>
        </is>
      </c>
      <c r="C4" s="29">
        <f>COUNTIF(Full_Backlog!F4:F103,"S0")</f>
        <v/>
      </c>
      <c r="D4" s="29">
        <f>SUMIF(Full_Backlog!F4:F103,"S0",Full_Backlog!D4:D103)</f>
        <v/>
      </c>
      <c r="E4" s="29">
        <f>COUNTIFS(Full_Backlog!F4:F103,"S0",Full_Backlog!G4:G103,"Done")</f>
        <v/>
      </c>
      <c r="F4" s="29" t="inlineStr">
        <is>
          <t>PRD signed off; prototype tested with 5 target users</t>
        </is>
      </c>
    </row>
    <row r="5" ht="31.5" customHeight="1" s="26">
      <c r="A5" s="29" t="inlineStr">
        <is>
          <t>S1</t>
        </is>
      </c>
      <c r="B5" s="29" t="inlineStr">
        <is>
          <t>Foundation (2 wks)</t>
        </is>
      </c>
      <c r="C5" s="29">
        <f>COUNTIF(Full_Backlog!F4:F103,"S1")</f>
        <v/>
      </c>
      <c r="D5" s="29">
        <f>SUMIF(Full_Backlog!F4:F103,"S1",Full_Backlog!D4:D103)</f>
        <v/>
      </c>
      <c r="E5" s="29">
        <f>COUNTIFS(Full_Backlog!F4:F103,"S1",Full_Backlog!G4:G103,"Done")</f>
        <v/>
      </c>
      <c r="F5" s="29" t="inlineStr">
        <is>
          <t>App installs cleanly in dev store/org; telemetry firing</t>
        </is>
      </c>
    </row>
    <row r="6" ht="31.5" customHeight="1" s="26">
      <c r="A6" s="29" t="inlineStr">
        <is>
          <t>S2</t>
        </is>
      </c>
      <c r="B6" s="29" t="inlineStr">
        <is>
          <t>Core feature Template designer - part 1</t>
        </is>
      </c>
      <c r="C6" s="29">
        <f>COUNTIF(Full_Backlog!F4:F103,"S2")</f>
        <v/>
      </c>
      <c r="D6" s="29">
        <f>SUMIF(Full_Backlog!F4:F103,"S2",Full_Backlog!D4:D103)</f>
        <v/>
      </c>
      <c r="E6" s="29">
        <f>COUNTIFS(Full_Backlog!F4:F103,"S2",Full_Backlog!G4:G103,"Done")</f>
        <v/>
      </c>
      <c r="F6" s="29" t="inlineStr">
        <is>
          <t>Template designer happy path demoable</t>
        </is>
      </c>
    </row>
    <row r="7" ht="31.5" customHeight="1" s="26">
      <c r="A7" s="29" t="inlineStr">
        <is>
          <t>S3</t>
        </is>
      </c>
      <c r="B7" s="29" t="inlineStr">
        <is>
          <t>Core feature Template designer - part 2 + Batch generate from Sheets start</t>
        </is>
      </c>
      <c r="C7" s="29">
        <f>COUNTIF(Full_Backlog!F4:F103,"S3")</f>
        <v/>
      </c>
      <c r="D7" s="29">
        <f>SUMIF(Full_Backlog!F4:F103,"S3",Full_Backlog!D4:D103)</f>
        <v/>
      </c>
      <c r="E7" s="29">
        <f>COUNTIFS(Full_Backlog!F4:F103,"S3",Full_Backlog!G4:G103,"Done")</f>
        <v/>
      </c>
      <c r="F7" s="29" t="inlineStr">
        <is>
          <t>Template designer complete with tests; Batch generate from Sheets skeleton</t>
        </is>
      </c>
    </row>
    <row r="8" ht="31.5" customHeight="1" s="26">
      <c r="A8" s="29" t="inlineStr">
        <is>
          <t>S4</t>
        </is>
      </c>
      <c r="B8" s="29" t="inlineStr">
        <is>
          <t>Core feature Batch generate from Sheets</t>
        </is>
      </c>
      <c r="C8" s="29">
        <f>COUNTIF(Full_Backlog!F4:F103,"S4")</f>
        <v/>
      </c>
      <c r="D8" s="29">
        <f>SUMIF(Full_Backlog!F4:F103,"S4",Full_Backlog!D4:D103)</f>
        <v/>
      </c>
      <c r="E8" s="29">
        <f>COUNTIFS(Full_Backlog!F4:F103,"S4",Full_Backlog!G4:G103,"Done")</f>
        <v/>
      </c>
      <c r="F8" s="29" t="inlineStr">
        <is>
          <t>MVP loop usable end-to-end internally</t>
        </is>
      </c>
    </row>
    <row r="9" ht="31.5" customHeight="1" s="26">
      <c r="A9" s="29" t="inlineStr">
        <is>
          <t>S5</t>
        </is>
      </c>
      <c r="B9" s="29" t="inlineStr">
        <is>
          <t>Feature E-sign requests + alpha hardening</t>
        </is>
      </c>
      <c r="C9" s="29">
        <f>COUNTIF(Full_Backlog!F4:F103,"S5")</f>
        <v/>
      </c>
      <c r="D9" s="29">
        <f>SUMIF(Full_Backlog!F4:F103,"S5",Full_Backlog!D4:D103)</f>
        <v/>
      </c>
      <c r="E9" s="29">
        <f>COUNTIFS(Full_Backlog!F4:F103,"S5",Full_Backlog!G4:G103,"Done")</f>
        <v/>
      </c>
      <c r="F9" s="29" t="inlineStr">
        <is>
          <t>Internal alpha: team dogfoods daily</t>
        </is>
      </c>
    </row>
    <row r="10" ht="31.5" customHeight="1" s="26">
      <c r="A10" s="29" t="inlineStr">
        <is>
          <t>S6</t>
        </is>
      </c>
      <c r="B10" s="29" t="inlineStr">
        <is>
          <t>Billing + Auto-file to Drive</t>
        </is>
      </c>
      <c r="C10" s="29">
        <f>COUNTIF(Full_Backlog!F4:F103,"S6")</f>
        <v/>
      </c>
      <c r="D10" s="29">
        <f>SUMIF(Full_Backlog!F4:F103,"S6",Full_Backlog!D4:D103)</f>
        <v/>
      </c>
      <c r="E10" s="29">
        <f>COUNTIFS(Full_Backlog!F4:F103,"S6",Full_Backlog!G4:G103,"Done")</f>
        <v/>
      </c>
      <c r="F10" s="29" t="inlineStr">
        <is>
          <t>Can charge a test customer; upgrade/downgrade paths work</t>
        </is>
      </c>
    </row>
    <row r="11" ht="31.5" customHeight="1" s="26">
      <c r="A11" s="29" t="inlineStr">
        <is>
          <t>S7</t>
        </is>
      </c>
      <c r="B11" s="29" t="inlineStr">
        <is>
          <t>Private beta (design partners)</t>
        </is>
      </c>
      <c r="C11" s="29">
        <f>COUNTIF(Full_Backlog!F4:F103,"S7")</f>
        <v/>
      </c>
      <c r="D11" s="29">
        <f>SUMIF(Full_Backlog!F4:F103,"S7",Full_Backlog!D4:D103)</f>
        <v/>
      </c>
      <c r="E11" s="29">
        <f>COUNTIFS(Full_Backlog!F4:F103,"S7",Full_Backlog!G4:G103,"Done")</f>
        <v/>
      </c>
      <c r="F11" s="29" t="inlineStr">
        <is>
          <t>3+ partners active weekly; NPS pulse &gt;30</t>
        </is>
      </c>
    </row>
    <row r="12" ht="31.5" customHeight="1" s="26">
      <c r="A12" s="29" t="inlineStr">
        <is>
          <t>S8</t>
        </is>
      </c>
      <c r="B12" s="29" t="inlineStr">
        <is>
          <t>Beta iteration + Form-triggered generation</t>
        </is>
      </c>
      <c r="C12" s="29">
        <f>COUNTIF(Full_Backlog!F4:F103,"S8")</f>
        <v/>
      </c>
      <c r="D12" s="29">
        <f>SUMIF(Full_Backlog!F4:F103,"S8",Full_Backlog!D4:D103)</f>
        <v/>
      </c>
      <c r="E12" s="29">
        <f>COUNTIFS(Full_Backlog!F4:F103,"S8",Full_Backlog!G4:G103,"Done")</f>
        <v/>
      </c>
      <c r="F12" s="29" t="inlineStr">
        <is>
          <t>Retention of beta cohort week-over-week &gt;60%</t>
        </is>
      </c>
    </row>
    <row r="13" ht="31.5" customHeight="1" s="26">
      <c r="A13" s="29" t="inlineStr">
        <is>
          <t>S9</t>
        </is>
      </c>
      <c r="B13" s="29" t="inlineStr">
        <is>
          <t>Marketplace review prep</t>
        </is>
      </c>
      <c r="C13" s="29">
        <f>COUNTIF(Full_Backlog!F4:F103,"S9")</f>
        <v/>
      </c>
      <c r="D13" s="29">
        <f>SUMIF(Full_Backlog!F4:F103,"S9",Full_Backlog!D4:D103)</f>
        <v/>
      </c>
      <c r="E13" s="29">
        <f>COUNTIFS(Full_Backlog!F4:F103,"S9",Full_Backlog!G4:G103,"Done")</f>
        <v/>
      </c>
      <c r="F13" s="29" t="inlineStr">
        <is>
          <t>Review submission accepted into queue</t>
        </is>
      </c>
    </row>
    <row r="14" ht="31.5" customHeight="1" s="26">
      <c r="A14" s="29" t="inlineStr">
        <is>
          <t>S10</t>
        </is>
      </c>
      <c r="B14" s="29" t="inlineStr">
        <is>
          <t>Review remediation + docs</t>
        </is>
      </c>
      <c r="C14" s="29">
        <f>COUNTIF(Full_Backlog!F4:F103,"S10")</f>
        <v/>
      </c>
      <c r="D14" s="29">
        <f>SUMIF(Full_Backlog!F4:F103,"S10",Full_Backlog!D4:D103)</f>
        <v/>
      </c>
      <c r="E14" s="29">
        <f>COUNTIFS(Full_Backlog!F4:F103,"S10",Full_Backlog!G4:G103,"Done")</f>
        <v/>
      </c>
      <c r="F14" s="29" t="inlineStr">
        <is>
          <t>Marketplace approval obtained (or final remediation cycle)</t>
        </is>
      </c>
    </row>
    <row r="15" ht="31.5" customHeight="1" s="26">
      <c r="A15" s="29" t="inlineStr">
        <is>
          <t>S11</t>
        </is>
      </c>
      <c r="B15" s="29" t="inlineStr">
        <is>
          <t>Launch</t>
        </is>
      </c>
      <c r="C15" s="29">
        <f>COUNTIF(Full_Backlog!F4:F103,"S11")</f>
        <v/>
      </c>
      <c r="D15" s="29">
        <f>SUMIF(Full_Backlog!F4:F103,"S11",Full_Backlog!D4:D103)</f>
        <v/>
      </c>
      <c r="E15" s="29">
        <f>COUNTIFS(Full_Backlog!F4:F103,"S11",Full_Backlog!G4:G103,"Done")</f>
        <v/>
      </c>
      <c r="F15" s="29" t="inlineStr">
        <is>
          <t>First 10 installs; first 3 reviews; activation &gt;40%</t>
        </is>
      </c>
    </row>
    <row r="16" ht="31.5" customHeight="1" s="26">
      <c r="A16" s="29" t="inlineStr">
        <is>
          <t>S12</t>
        </is>
      </c>
      <c r="B16" s="29" t="inlineStr">
        <is>
          <t>Iterate &amp; scale decision</t>
        </is>
      </c>
      <c r="C16" s="29">
        <f>COUNTIF(Full_Backlog!F4:F103,"S12")</f>
        <v/>
      </c>
      <c r="D16" s="29">
        <f>SUMIF(Full_Backlog!F4:F103,"S12",Full_Backlog!D4:D103)</f>
        <v/>
      </c>
      <c r="E16" s="29">
        <f>COUNTIFS(Full_Backlog!F4:F103,"S12",Full_Backlog!G4:G103,"Done")</f>
        <v/>
      </c>
      <c r="F16" s="29" t="inlineStr">
        <is>
          <t>Growth model doc with CAC/LTV first estimates</t>
        </is>
      </c>
    </row>
    <row r="17" ht="15" customHeight="1" s="26">
      <c r="B17" s="41" t="inlineStr">
        <is>
          <t>TOTAL</t>
        </is>
      </c>
      <c r="C17" s="41">
        <f>SUM(C4:C16)</f>
        <v/>
      </c>
      <c r="D17" s="41">
        <f>SUM(D4:D16)</f>
        <v/>
      </c>
    </row>
    <row r="18" ht="27.75" customHeight="1" s="26">
      <c r="B18" s="31" t="inlineStr">
        <is>
          <t>Velocity check: points/sprint S2-S8 should sit within 30-45 for a 4-6 person team; rebalance Sprint column in backlog if a sprint exceeds capacity.</t>
        </is>
      </c>
    </row>
  </sheetData>
  <mergeCells count="1">
    <mergeCell ref="B18:F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7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5" min="1" max="1"/>
    <col width="17" customWidth="1" style="25" min="2" max="2"/>
    <col width="8" customWidth="1" style="25" min="3" max="3"/>
    <col width="30" customWidth="1" style="25" min="4" max="4"/>
    <col width="60" customWidth="1" style="25" min="5" max="5"/>
    <col width="55" customWidth="1" style="25" min="6" max="6"/>
    <col width="28" customWidth="1" style="25" min="7" max="7"/>
  </cols>
  <sheetData>
    <row r="1" ht="17.25" customHeight="1" s="26">
      <c r="A1" s="27" t="inlineStr">
        <is>
          <t>SPRINT TRACKER LOG — session-by-session execution record</t>
        </is>
      </c>
    </row>
    <row r="2"/>
    <row r="3" ht="15" customHeight="1" s="26">
      <c r="A3" s="42" t="inlineStr">
        <is>
          <t>Entry</t>
        </is>
      </c>
      <c r="B3" s="42" t="inlineStr">
        <is>
          <t>Date/Time</t>
        </is>
      </c>
      <c r="C3" s="42" t="inlineStr">
        <is>
          <t>Sprint</t>
        </is>
      </c>
      <c r="D3" s="42" t="inlineStr">
        <is>
          <t>Stories</t>
        </is>
      </c>
      <c r="E3" s="42" t="inlineStr">
        <is>
          <t>Action</t>
        </is>
      </c>
      <c r="F3" s="42" t="inlineStr">
        <is>
          <t>Outcome</t>
        </is>
      </c>
      <c r="G3" s="42" t="inlineStr">
        <is>
          <t>Decision/Ref</t>
        </is>
      </c>
    </row>
    <row r="4" ht="23.25" customHeight="1" s="26">
      <c r="A4" s="31" t="inlineStr">
        <is>
          <t>L-001</t>
        </is>
      </c>
      <c r="B4" s="31" t="inlineStr">
        <is>
          <t>2026-09-05 19:50</t>
        </is>
      </c>
      <c r="C4" s="31" t="inlineStr">
        <is>
          <t>—</t>
        </is>
      </c>
      <c r="D4" s="31" t="inlineStr">
        <is>
          <t>—</t>
        </is>
      </c>
      <c r="E4" s="31" t="inlineStr">
        <is>
          <t>v007 full product workbook released (spec, 100-story backlog, sprint board, financial model, GTM, launch checklist)</t>
        </is>
      </c>
      <c r="F4" s="31" t="inlineStr">
        <is>
          <t>Baseline established; all 100 stories Backlog</t>
        </is>
      </c>
      <c r="G4" s="31" t="inlineStr">
        <is>
          <t>v007 Version_Control</t>
        </is>
      </c>
    </row>
    <row r="5" ht="23.25" customHeight="1" s="26">
      <c r="A5" s="31" t="inlineStr">
        <is>
          <t>L-002</t>
        </is>
      </c>
      <c r="B5" s="31" t="inlineStr">
        <is>
          <t>2026-09-10 22:17</t>
        </is>
      </c>
      <c r="C5" s="31" t="inlineStr">
        <is>
          <t>S0</t>
        </is>
      </c>
      <c r="D5" s="31" t="inlineStr">
        <is>
          <t>—</t>
        </is>
      </c>
      <c r="E5" s="31" t="inlineStr">
        <is>
          <t>S0 discovery interviews parked; development proceeds directly</t>
        </is>
      </c>
      <c r="F5" s="31" t="inlineStr">
        <is>
          <t>S0 closed as parked (0 stories carried); PRD baseline = Product_Spec sheet</t>
        </is>
      </c>
      <c r="G5" s="31" t="inlineStr">
        <is>
          <t>D13 (portfolio decision, 10 Sep 2026)</t>
        </is>
      </c>
    </row>
    <row r="6" ht="45.75" customHeight="1" s="26">
      <c r="A6" s="31" t="inlineStr">
        <is>
          <t>L-003</t>
        </is>
      </c>
      <c r="B6" s="31" t="inlineStr">
        <is>
          <t>2026-09-10 22:17</t>
        </is>
      </c>
      <c r="C6" s="31" t="inlineStr">
        <is>
          <t>S1</t>
        </is>
      </c>
      <c r="D6" s="31" t="inlineStr">
        <is>
          <t>ST-051, ST-052, ST-055, ST-056</t>
        </is>
      </c>
      <c r="E6" s="31" t="inlineStr">
        <is>
          <t>S1 Foundation opened and executed: docmerge-pro-s1 TypeScript package — OAuth install flow, uninstall webhook with token revocation + 30-day retention deletion scheduling, rotation-surviving token refresh, install telemetry with listing/search/referral attribution</t>
        </is>
      </c>
      <c r="F6" s="31" t="inlineStr">
        <is>
          <t>All 4 stories (13 pts) code-complete: 37 automated tests, 100% statements/branches/functions/lines, coverage gate pinned at 100% in CI config, tsc strict clean</t>
        </is>
      </c>
      <c r="G6" s="31" t="inlineStr">
        <is>
          <t>D13 100% coverage gate (supersedes ST-085 ≥70%)</t>
        </is>
      </c>
    </row>
    <row r="7" ht="34.5" customHeight="1" s="26">
      <c r="A7" s="31" t="inlineStr">
        <is>
          <t>L-004</t>
        </is>
      </c>
      <c r="B7" s="31" t="inlineStr">
        <is>
          <t>2026-09-10 22:17</t>
        </is>
      </c>
      <c r="C7" s="31" t="inlineStr">
        <is>
          <t>S1</t>
        </is>
      </c>
      <c r="D7" s="31" t="inlineStr">
        <is>
          <t>—</t>
        </is>
      </c>
      <c r="E7" s="31" t="inlineStr">
        <is>
          <t>S1 exit criteria review: "App installs cleanly in dev store/org; telemetry firing"</t>
        </is>
      </c>
      <c r="F7" s="31" t="inlineStr">
        <is>
          <t>Code-complete; LIVE dev-org install PENDING — requires GCP project + OAuth consent screen (Launch_Checklist #1), not yet created. Same gate pattern as RevRescue S1.</t>
        </is>
      </c>
      <c r="G7" s="31" t="inlineStr">
        <is>
          <t>Carry-over to v009</t>
        </is>
      </c>
    </row>
    <row r="8" ht="57" customHeight="1" s="26">
      <c r="A8" s="31" t="inlineStr">
        <is>
          <t>L-005</t>
        </is>
      </c>
      <c r="B8" s="31" t="inlineStr">
        <is>
          <t>2026-09-10 22:23</t>
        </is>
      </c>
      <c r="C8" s="31" t="inlineStr">
        <is>
          <t>S2</t>
        </is>
      </c>
      <c r="D8" s="31" t="inlineStr">
        <is>
          <t>ST-001, ST-002, ST-003, ST-004</t>
        </is>
      </c>
      <c r="E8" s="31" t="inlineStr">
        <is>
          <t>S2 opened and executed (Template designer part 1): createWithDefaults one-screen setup; happy-path placeholder/section render with actionable missing-field messages; validated rules/conditions (not_empty/equals/greater_than section toggles); platform API failure mapping (429/5xx/403/404/unknown) with exponential-backoff retry paths</t>
        </is>
      </c>
      <c r="F8" s="31" t="inlineStr">
        <is>
          <t>4 stories code-complete at 100% coverage; PlatformApiError messages carry explicit user retry guidance</t>
        </is>
      </c>
      <c r="G8" s="31" t="inlineStr">
        <is>
          <t>D13 100% gate</t>
        </is>
      </c>
    </row>
    <row r="9" ht="15" customHeight="1" s="26">
      <c r="A9" s="31" t="inlineStr">
        <is>
          <t>L-006</t>
        </is>
      </c>
      <c r="B9" s="31" t="inlineStr">
        <is>
          <t>2026-09-10 22:23</t>
        </is>
      </c>
      <c r="C9" s="31" t="inlineStr">
        <is>
          <t>S2</t>
        </is>
      </c>
      <c r="D9" s="31" t="inlineStr">
        <is>
          <t>ST-053, ST-054</t>
        </is>
      </c>
      <c r="E9" s="31" t="inlineStr">
        <is>
          <t>Re-install restore: pending_deletion accounts re-installing before the 30-day purge get deletion cancelled, data retained, tokens re-issued, app_reinstalled attributed. Permission matrix owner/admin/member pinned cell-by-cell and enforced at every privileged TemplateDesigner entry point</t>
        </is>
      </c>
      <c r="F9" s="31" t="inlineStr">
        <is>
          <t>S2 complete: 6/6 stories (29 pts). Suite 101 tests / 100% all metrics / tsc strict clean</t>
        </is>
      </c>
      <c r="G9" s="31" t="inlineStr">
        <is>
          <t>Matrix doc feeds ST-064 least-privilege narrative (S7)</t>
        </is>
      </c>
    </row>
    <row r="10" ht="79.5" customHeight="1" s="26">
      <c r="A10" s="31" t="inlineStr">
        <is>
          <t>L-007</t>
        </is>
      </c>
      <c r="B10" s="31" t="inlineStr">
        <is>
          <t>2026-09-10 22:29</t>
        </is>
      </c>
      <c r="C10" s="31" t="inlineStr">
        <is>
          <t>S3</t>
        </is>
      </c>
      <c r="D10" s="31" t="inlineStr">
        <is>
          <t>ST-005, ST-006, ST-007, ST-008, ST-009, ST-010</t>
        </is>
      </c>
      <c r="E10" s="31" t="inlineStr">
        <is>
          <t>Template designer part 2: SidebarController (Sheets/Docs host injected — list-&gt;designer-&gt;preview-from-active-row end-to-end, Docs sample-data fallback); TemplateMetrics (p95, success rate, period trend); AuditLog + AuditedTemplateDesigner (allowed AND denied attempts recorded); PauseManager (flag-only, zero data loss); CSV importer with partial success + row-numbered errors and &lt;&lt;legacy&gt;&gt; competitor conversion; NotificationCenter (in-app+email fan-out, per-type per-account mute)</t>
        </is>
      </c>
      <c r="F10" s="31" t="inlineStr">
        <is>
          <t>6 stories code-complete at 100% coverage</t>
        </is>
      </c>
      <c r="G10" s="31" t="inlineStr">
        <is>
          <t>D13</t>
        </is>
      </c>
    </row>
    <row r="11" ht="15" customHeight="1" s="26">
      <c r="A11" s="31" t="inlineStr">
        <is>
          <t>L-008</t>
        </is>
      </c>
      <c r="B11" s="31" t="inlineStr">
        <is>
          <t>2026-09-10 22:29</t>
        </is>
      </c>
      <c r="C11" s="31" t="inlineStr">
        <is>
          <t>S3</t>
        </is>
      </c>
      <c r="D11" s="31" t="inlineStr">
        <is>
          <t>ST-011, ST-012, ST-013, ST-014</t>
        </is>
      </c>
      <c r="E11" s="31" t="inlineStr">
        <is>
          <t>Batch generate skeleton: one-screen job defaults; per-row generation with named outputs; row rules reusing the designer rule evaluator (skip on fail); per-row platform error mapping with retry/backoff, retryableRows list, continueOnError stop, paused-template gate</t>
        </is>
      </c>
      <c r="F11" s="31" t="inlineStr">
        <is>
          <t>4 stories code-complete at 100% coverage</t>
        </is>
      </c>
      <c r="G11" s="31" t="inlineStr">
        <is>
          <t>D13</t>
        </is>
      </c>
    </row>
    <row r="12" ht="68.25" customHeight="1" s="26">
      <c r="A12" s="31" t="inlineStr">
        <is>
          <t>L-009</t>
        </is>
      </c>
      <c r="B12" s="31" t="inlineStr">
        <is>
          <t>2026-09-10 22:29</t>
        </is>
      </c>
      <c r="C12" s="31" t="inlineStr">
        <is>
          <t>S3</t>
        </is>
      </c>
      <c r="D12" s="31" t="inlineStr">
        <is>
          <t>ST-085</t>
        </is>
      </c>
      <c r="E12" s="31" t="inlineStr">
        <is>
          <t>DEFECT (caught by the 100% branch gate + failing test before merge): withRetry mapped ALL errors to a generic "unknown Google" message, burying actionable validation messages (e.g. missing Sheet column). Fixed: non-platform errors now pass through unmapped, no retry. ST-085 (≥70% coverage gate) closed as SUPERSEDED — D13 pins the gate at 100%, enforced in package.json thresholds (build fails below 100).</t>
        </is>
      </c>
      <c r="F12" s="31" t="inlineStr">
        <is>
          <t>S3 complete: 11/11 stories (47 pts). Suite 150 tests / 100% all metrics / tsc strict clean</t>
        </is>
      </c>
      <c r="G12" s="31" t="inlineStr">
        <is>
          <t>D13 supersedes ST-085</t>
        </is>
      </c>
    </row>
    <row r="13" ht="90.75" customHeight="1" s="26">
      <c r="A13" s="31" t="inlineStr">
        <is>
          <t>L-010</t>
        </is>
      </c>
      <c r="B13" s="31" t="inlineStr">
        <is>
          <t>2026-09-10 22:52</t>
        </is>
      </c>
      <c r="C13" s="31" t="inlineStr">
        <is>
          <t>S4</t>
        </is>
      </c>
      <c r="D13" s="31" t="inlineStr">
        <is>
          <t>ST-015, ST-016, ST-017, ST-018, ST-019, ST-020</t>
        </is>
      </c>
      <c r="E13" s="31" t="inlineStr">
        <is>
          <t>Batch part 2: BatchSidebarController (configure with defaults -&gt; rows from bound sheet -&gt; governed run -&gt; results, with guidance on unconfigured/empty-sheet paths); BatchMetrics (runs, row counts, failure rate, avg duration, trend); GovernedBatchRunner (permission asserted+audited up front incl. denials, job-level pause, run metrics, batch_completed/batch_failed notifications with retryable count, per-type mute honoured); row-data CSV importer with header validation, partial success, and &lt;&lt;legacy&gt;&gt; competitor conversion</t>
        </is>
      </c>
      <c r="F13" s="31" t="inlineStr">
        <is>
          <t>6 stories code-complete at 100% coverage</t>
        </is>
      </c>
      <c r="G13" s="31" t="inlineStr">
        <is>
          <t>D13</t>
        </is>
      </c>
    </row>
    <row r="14" ht="15" customHeight="1" s="26">
      <c r="A14" s="31" t="inlineStr">
        <is>
          <t>L-011</t>
        </is>
      </c>
      <c r="B14" s="31" t="inlineStr">
        <is>
          <t>2026-09-10 22:52</t>
        </is>
      </c>
      <c r="C14" s="31" t="inlineStr">
        <is>
          <t>S4</t>
        </is>
      </c>
      <c r="D14" s="31" t="inlineStr">
        <is>
          <t>ST-071, ST-072</t>
        </is>
      </c>
      <c r="E14" s="31" t="inlineStr">
        <is>
          <t>Observability: ActivationFunnel (install-&gt;setup-&gt;aha-&gt;habit, idempotent, earlier stages implied, one dashboard with counts + stage conversions); ErrorTracker (release-tagged capture, per-release counts, spike alert when current window &gt; factor x previous with a minimum floor, one alert per release until acknowledged)</t>
        </is>
      </c>
      <c r="F14" s="31" t="inlineStr">
        <is>
          <t>2 stories code-complete at 100% coverage</t>
        </is>
      </c>
      <c r="G14" s="31" t="inlineStr">
        <is>
          <t>D13</t>
        </is>
      </c>
    </row>
    <row r="15" ht="102" customHeight="1" s="26">
      <c r="A15" s="31" t="inlineStr">
        <is>
          <t>L-012</t>
        </is>
      </c>
      <c r="B15" s="31" t="inlineStr">
        <is>
          <t>2026-09-10 22:52</t>
        </is>
      </c>
      <c r="C15" s="31" t="inlineStr">
        <is>
          <t>S4</t>
        </is>
      </c>
      <c r="D15" s="31" t="inlineStr">
        <is>
          <t>ST-086</t>
        </is>
      </c>
      <c r="E15" s="31" t="inlineStr">
        <is>
          <t>E2E smoke suite: one flow through the whole product loop — install (attributed) -&gt; token rotation survival -&gt; template + rules -&gt; sidebar preview from active row -&gt; CSV row import -&gt; governed batch (3 generated, blank row skipped, rules applied) -&gt; notifications/metrics/audit/funnel checks -&gt; pause -&gt; uninstall (revoke + schedule) -&gt; re-install restore (template survives). .github/workflows/ci.yml added: deploy job REQUIRES the smoke job, smoke requires the full 100%-gated suite. Fixture defect fixed during S4: an all-empty row object is skipped_empty (vacuous truth), not a validation failure.</t>
        </is>
      </c>
      <c r="F15" s="31" t="inlineStr">
        <is>
          <t>S4 complete: 9/9 stories (34 pts). Suite 180 tests / 100% all metrics / tsc strict clean / npm run test:smoke green standalone</t>
        </is>
      </c>
      <c r="G15" s="31" t="inlineStr">
        <is>
          <t>D13; ST-086 gate lives in ci.yml</t>
        </is>
      </c>
    </row>
    <row r="16" ht="79.5" customHeight="1" s="26">
      <c r="A16" s="31" t="inlineStr">
        <is>
          <t>L-013</t>
        </is>
      </c>
      <c r="B16" s="31" t="inlineStr">
        <is>
          <t>2026-09-10 23:03</t>
        </is>
      </c>
      <c r="C16" s="31" t="inlineStr">
        <is>
          <t>S5</t>
        </is>
      </c>
      <c r="D16" s="31" t="inlineStr">
        <is>
          <t>ST-021..ST-024</t>
        </is>
      </c>
      <c r="E16" s="31" t="inlineStr">
        <is>
          <t>E-sign core: createWithDefaults (sequential + 14-day expiry, signer email validation with named problems); full lifecycle state machine draft-&gt;sent-&gt;partially_signed-&gt;completed/declined/expired with sequential-order enforcement naming whose turn it is; draft-only rule edits (expiry 1-90, domain allow-lists checked against actual signers); delivery through withRetry — transient failures retried, exhausted failures surface mapped user messages with NO half-sent state (status stays draft)</t>
        </is>
      </c>
      <c r="F16" s="31" t="inlineStr">
        <is>
          <t>4 stories code-complete at 100% coverage</t>
        </is>
      </c>
      <c r="G16" s="31" t="inlineStr">
        <is>
          <t>D13</t>
        </is>
      </c>
    </row>
    <row r="17" ht="15" customHeight="1" s="26">
      <c r="A17" s="31" t="inlineStr">
        <is>
          <t>L-014</t>
        </is>
      </c>
      <c r="B17" s="31" t="inlineStr">
        <is>
          <t>2026-09-10 23:03</t>
        </is>
      </c>
      <c r="C17" s="31" t="inlineStr">
        <is>
          <t>S5</t>
        </is>
      </c>
      <c r="D17" s="31" t="inlineStr">
        <is>
          <t>ST-025..ST-030</t>
        </is>
      </c>
      <c r="E17" s="31" t="inlineStr">
        <is>
          <t>E-sign ops: sidebar create-&gt;send-&gt;track with refresh detecting completion/decline/expiry transitions; EsignMetrics (sent/completed/declined, completion rate, avg turnaround, trend); allow AND deny audit on create/rules/send; pause preserves collected signatures; signer CSV import (partial success, row-numbered errors) + competitor variant; esign_sent/completed/declined notifications through the mute-aware center</t>
        </is>
      </c>
      <c r="F17" s="31" t="inlineStr">
        <is>
          <t>6 stories code-complete at 100% coverage</t>
        </is>
      </c>
      <c r="G17" s="31" t="inlineStr">
        <is>
          <t>D13</t>
        </is>
      </c>
    </row>
    <row r="18" ht="90.75" customHeight="1" s="26">
      <c r="A18" s="31" t="inlineStr">
        <is>
          <t>L-015</t>
        </is>
      </c>
      <c r="B18" s="31" t="inlineStr">
        <is>
          <t>2026-09-10 23:03</t>
        </is>
      </c>
      <c r="C18" s="31" t="inlineStr">
        <is>
          <t>S5</t>
        </is>
      </c>
      <c r="D18" s="31" t="inlineStr">
        <is>
          <t>ST-078, ST-079</t>
        </is>
      </c>
      <c r="E18" s="31" t="inlineStr">
        <is>
          <t>Alpha hardening: FirstRunChecklist (4 steps, aha = first generated document, honest &lt;1-day budget verdict incl. over-budget and idempotent-completion cases); EMPTY_STATES registry covering all 9 Screens_Wireframes screens, each with a message + next-action label, test-asserted complete. Companion tracker v001 created per Senthil 23:03 instruction (TeleField v001 pattern): full S1-S5 E-log, per-sprint build boards, 100-story traceability with Done-in-code statuses, formula rollup, RAID, gate checklist.</t>
        </is>
      </c>
      <c r="F18" s="31" t="inlineStr">
        <is>
          <t>S5 complete: 12/12 stories (50 pts). Suite 217 tests / 100% all metrics / tsc strict clean / smoke green</t>
        </is>
      </c>
      <c r="G18" s="31" t="inlineStr">
        <is>
          <t>D13; tracker v001</t>
        </is>
      </c>
    </row>
    <row r="19" ht="79.5" customHeight="1" s="26">
      <c r="A19" s="31" t="inlineStr">
        <is>
          <t>L-016</t>
        </is>
      </c>
      <c r="B19" s="31" t="inlineStr">
        <is>
          <t>2026-09-11 08:20</t>
        </is>
      </c>
      <c r="C19" s="31" t="inlineStr">
        <is>
          <t>S6</t>
        </is>
      </c>
      <c r="D19" s="31" t="inlineStr">
        <is>
          <t>ST-031..ST-035</t>
        </is>
      </c>
      <c r="E19" s="31" t="inlineStr">
        <is>
          <t>Auto-file core: defaults (rename policy, DocMerge Pro/Generated/{{template}}/{{yyyy}}-{{mm}}); pattern resolution with NAMED missing-token errors (no silent blanks); first-match routing rules reusing the rule evaluator; conflict policies rename (first free number)/overwrite/skip; every Drive call under withRetry; sidebar configure-&gt;file-last-batch-&gt;results with guidance on unconfigured/empty paths</t>
        </is>
      </c>
      <c r="F19" s="31" t="inlineStr">
        <is>
          <t>5 stories code-complete at 100% coverage</t>
        </is>
      </c>
      <c r="G19" s="31" t="inlineStr">
        <is>
          <t>D13</t>
        </is>
      </c>
    </row>
    <row r="20" ht="15" customHeight="1" s="26">
      <c r="A20" s="31" t="inlineStr">
        <is>
          <t>L-017</t>
        </is>
      </c>
      <c r="B20" s="31" t="inlineStr">
        <is>
          <t>2026-09-11 08:20</t>
        </is>
      </c>
      <c r="C20" s="31" t="inlineStr">
        <is>
          <t>S6</t>
        </is>
      </c>
      <c r="D20" s="31" t="inlineStr">
        <is>
          <t>ST-036..ST-040</t>
        </is>
      </c>
      <c r="E20" s="31" t="inlineStr">
        <is>
          <t>Filing ops: FilingMetrics (filed/renamed/skipped/failures, avg latency, trend); GovernedFilingRunner (permission + allow/deny audit on rules AND filing, account-scoped pause, per-document failure collection — one bad document never sinks the batch); routing-rule CSV import with operator validation + competitor &lt;&lt;x&gt;&gt; folder conversion; filing_completed/filing_failed notifications, mute-aware</t>
        </is>
      </c>
      <c r="F20" s="31" t="inlineStr">
        <is>
          <t>5 stories code-complete at 100% coverage</t>
        </is>
      </c>
      <c r="G20" s="31" t="inlineStr">
        <is>
          <t>D13</t>
        </is>
      </c>
    </row>
    <row r="21" ht="79.5" customHeight="1" s="26">
      <c r="A21" s="31" t="inlineStr">
        <is>
          <t>L-018</t>
        </is>
      </c>
      <c r="B21" s="31" t="inlineStr">
        <is>
          <t>2026-09-11 08:20</t>
        </is>
      </c>
      <c r="C21" s="31" t="inlineStr">
        <is>
          <t>S6</t>
        </is>
      </c>
      <c r="D21" s="31" t="inlineStr">
        <is>
          <t>ST-057, ST-058, ST-059</t>
        </is>
      </c>
      <c r="E21" s="31" t="inlineStr">
        <is>
          <t>Billing: no-card trial with honest day-count banner (14-&gt;1-&gt;ended, hides once subscribed); proration verified to the cent both directions ($11.33 upgrade charge, $8.50 downgrade credit cases) with declined-charge leaving plan unchanged; provider routing marketplace-where-mandated/Stripe-elsewhere; dunning walks the 1/3/7-day retry schedule with recovery-to-active on success, grace period, then downgrade to FREE with data intact (never deletion)</t>
        </is>
      </c>
      <c r="F21" s="31" t="inlineStr">
        <is>
          <t>S6 complete: 13/13 stories (60 pts). Suite 264 tests / 100% all metrics / smoke green. Total 55/100 stories (233/399 pts)</t>
        </is>
      </c>
      <c r="G21" s="31" t="inlineStr">
        <is>
          <t>D13; tracker v002</t>
        </is>
      </c>
    </row>
    <row r="22" ht="102" customHeight="1" s="26">
      <c r="A22" s="31" t="inlineStr">
        <is>
          <t>L-019</t>
        </is>
      </c>
      <c r="B22" s="31" t="inlineStr">
        <is>
          <t>2026-09-13 09:55</t>
        </is>
      </c>
      <c r="C22" s="31" t="inlineStr">
        <is>
          <t>S7</t>
        </is>
      </c>
      <c r="D22" s="31" t="inlineStr">
        <is>
          <t>ST-060, ST-061</t>
        </is>
      </c>
      <c r="E22" s="31" t="inlineStr">
        <is>
          <t>Dunning UX + limits: DunningNotifier sends exactly 3 emails on the 1/3/7-day schedule (catch-up in a single tick if ticks are missed), 7-day grace, then read-only mode whose error message states the data is intact. CORRECTION TO S6: ST-059 ended dunning in downgrade-to-free; ST-060 specifies read-only, which retains plan and data — read-only is now the terminal state. PlanLimitEnforcer: per-plan documents/templates/seats limits, no prompt below 80%, warning nudge 80-99%, blocking prompt at 100% that reassures nothing made is affected; monthly counter resets without touching other counters.</t>
        </is>
      </c>
      <c r="F22" s="31" t="inlineStr">
        <is>
          <t>2 stories code-complete at 100% coverage</t>
        </is>
      </c>
      <c r="G22" s="31" t="inlineStr">
        <is>
          <t>D13; corrects ST-059</t>
        </is>
      </c>
    </row>
    <row r="23" ht="15" customHeight="1" s="26">
      <c r="A23" s="31" t="inlineStr">
        <is>
          <t>L-020</t>
        </is>
      </c>
      <c r="B23" s="31" t="inlineStr">
        <is>
          <t>2026-09-13 09:55</t>
        </is>
      </c>
      <c r="C23" s="31" t="inlineStr">
        <is>
          <t>S7</t>
        </is>
      </c>
      <c r="D23" s="31" t="inlineStr">
        <is>
          <t>ST-062, ST-063</t>
        </is>
      </c>
      <c r="E23" s="31" t="inlineStr">
        <is>
          <t>Invoices + cancellation: InvoiceBook issues numbered invoices with GST/VAT computed, customer tax IDs recorded, B2B reverse charge at zero tax with the required note, multi-line rounding to cents, and CSV receipt rendering — this CLOSES the GST/tax gap flagged at S6 (E016). CancellationFlow matches the save-offer to the stated reason (discount/pause/downgrade), offers once only, records an exit survey with reason aggregation, and keeps access to period end when the offer is declined.</t>
        </is>
      </c>
      <c r="F23" s="31" t="inlineStr">
        <is>
          <t>2 stories code-complete at 100% coverage</t>
        </is>
      </c>
      <c r="G23" s="31" t="inlineStr">
        <is>
          <t>D13; closes S6 tax flag</t>
        </is>
      </c>
    </row>
    <row r="24" ht="90.75" customHeight="1" s="26">
      <c r="A24" s="31" t="inlineStr">
        <is>
          <t>L-021</t>
        </is>
      </c>
      <c r="B24" s="31" t="inlineStr">
        <is>
          <t>2026-09-13 09:55</t>
        </is>
      </c>
      <c r="C24" s="31" t="inlineStr">
        <is>
          <t>S7</t>
        </is>
      </c>
      <c r="D24" s="31" t="inlineStr">
        <is>
          <t>ST-064</t>
        </is>
      </c>
      <c r="E24" s="31" t="inlineStr">
        <is>
          <t>Least-privilege: SCOPE_MANIFEST maps each requested scope 1:1 to a shipped feature and its implementing stories, with an explicit why-not-narrower rationale. auditScopes() fails on unjustified scopes, scopes whose stories have not shipped, duplicates, or broad scopes where a narrower alternative exists — run as a test, so over-requesting breaks the build. Product requests only drive.file, spreadsheets.readonly, documents, userinfo.email; SCOPE_NARRATIVE.md generated for the OAuth verification / CASA pack (LC-2/LC-3 evidence).</t>
        </is>
      </c>
      <c r="F24" s="31" t="inlineStr">
        <is>
          <t>S7 complete: 5/5 stories (15 pts). Suite 305 tests / 100% all metrics / smoke green. Total 60/100 (248/399 pts)</t>
        </is>
      </c>
      <c r="G24" s="31" t="inlineStr">
        <is>
          <t>D13; LC-2 evidence</t>
        </is>
      </c>
    </row>
    <row r="25" ht="79.5" customHeight="1" s="26">
      <c r="A25" s="31" t="inlineStr">
        <is>
          <t>L-022</t>
        </is>
      </c>
      <c r="B25" s="31" t="inlineStr">
        <is>
          <t>2026-09-13 10:22</t>
        </is>
      </c>
      <c r="C25" s="31" t="inlineStr">
        <is>
          <t>S8</t>
        </is>
      </c>
      <c r="D25" s="31" t="inlineStr">
        <is>
          <t>ST-041..ST-050</t>
        </is>
      </c>
      <c r="E25" s="31" t="inlineStr">
        <is>
          <t>Form-triggered generation: a submission is an event, not a batch row — redelivery dedupe is in the core pipeline so a replayed webhook never generates a second document; failed submissions are deliberately NOT marked processed so redelivery retries them; failures return as results rather than throwing, keeping the webhook endpoint up. Plus field mapping, conditions with audit, sidebar activity feed capped at 20, metrics, pause, field-map CSV + competitor import, notifications.</t>
        </is>
      </c>
      <c r="F25" s="31" t="inlineStr">
        <is>
          <t>10 stories code-complete at 100% coverage</t>
        </is>
      </c>
      <c r="G25" s="31" t="inlineStr">
        <is>
          <t>D13</t>
        </is>
      </c>
    </row>
    <row r="26" ht="15" customHeight="1" s="26">
      <c r="A26" s="31" t="inlineStr">
        <is>
          <t>L-023</t>
        </is>
      </c>
      <c r="B26" s="31" t="inlineStr">
        <is>
          <t>2026-09-13 10:22</t>
        </is>
      </c>
      <c r="C26" s="31" t="inlineStr">
        <is>
          <t>S8</t>
        </is>
      </c>
      <c r="D26" s="31" t="inlineStr">
        <is>
          <t>ST-065, ST-066, ST-067, ST-070</t>
        </is>
      </c>
      <c r="E26" s="31" t="inlineStr">
        <is>
          <t>Compliance/security: data-flow diagram + retention policy VALIDATED in code (unknown endpoints, unencrypted hops, orphan nodes, and unimplemented retention rules all fail the test) and published as DATA_FLOW_AND_RETENTION.md; posture verifier blocking on unencrypted storage/no TLS/hard-coded or env secrets in production; admin audit log hash-chained so an edited or deleted entry is detectable, with its own export audited; circuit breaker (closed/open/half-open) so an outage stops amplifying load — backoff handles a blip, the breaker handles an outage.</t>
        </is>
      </c>
      <c r="F26" s="31" t="inlineStr">
        <is>
          <t>4 stories code-complete at 100% coverage; second LC evidence artefact produced (LC-7)</t>
        </is>
      </c>
      <c r="G26" s="31" t="inlineStr">
        <is>
          <t>D13; LC-7</t>
        </is>
      </c>
    </row>
    <row r="27" ht="102" customHeight="1" s="26">
      <c r="A27" s="31" t="inlineStr">
        <is>
          <t>L-024</t>
        </is>
      </c>
      <c r="B27" s="31" t="inlineStr">
        <is>
          <t>2026-09-13 10:22</t>
        </is>
      </c>
      <c r="C27" s="31" t="inlineStr">
        <is>
          <t>S8</t>
        </is>
      </c>
      <c r="D27" s="31" t="inlineStr">
        <is>
          <t>ST-073..ST-077, ST-087, ST-088, ST-092</t>
        </is>
      </c>
      <c r="E27" s="31" t="inlineStr">
        <is>
          <t>Analytics + QE: usage heatmap whose unused-feature list is the roadmap-relevant half; weekly digest with alert counts in the subject; health score that always explains its reasons (a score with no explanation cannot be acted on); CSV/warehouse export; configurable thresholds. p95 budgets defined per surface and monitored with headroom; 5x load test written deterministically so it runs on EVERY commit rather than once before launch; blue/green deploy that health-checks the idle colour BEFORE any traffic moves and verifies rollback — droppedRequests is measured, not claimed.</t>
        </is>
      </c>
      <c r="F27" s="31" t="inlineStr">
        <is>
          <t>S8 complete: 22/22 stories (87 pts). Suite 385 tests / 100% all metrics / smoke green. Total 82/100 (335/399 pts)</t>
        </is>
      </c>
      <c r="G27" s="31" t="inlineStr">
        <is>
          <t>D13; tracker v004</t>
        </is>
      </c>
    </row>
    <row r="28" ht="124.5" customHeight="1" s="26">
      <c r="A28" s="31" t="inlineStr">
        <is>
          <t>L-025</t>
        </is>
      </c>
      <c r="B28" s="31" t="inlineStr">
        <is>
          <t>2026-09-13 10:35</t>
        </is>
      </c>
      <c r="C28" s="31" t="inlineStr">
        <is>
          <t>S9</t>
        </is>
      </c>
      <c r="D28" s="31" t="inlineStr">
        <is>
          <t>ST-068 (PARTIAL)</t>
        </is>
      </c>
      <c r="E28" s="31" t="inlineStr">
        <is>
          <t>Security evidence pack built and published as SECURITY_EVIDENCE_PACK.md: 9 controls, 6 verified in code (auth, authorisation, least privilege, data handling, auditability, resilience), 3 outstanding (SC-07 encryption posture needs a real deployment, SC-08 third-party pen test NOT STARTED, SC-09 backup/restore needs real backups). NOT MARKED DONE. A penetration test is performed by a third party against running infrastructure; this pack is what the tester and reviewer are handed, not a substitute for the test. readyForSubmission is false by construction until the external report is attached.</t>
        </is>
      </c>
      <c r="F28" s="31" t="inlineStr">
        <is>
          <t>ST-068; LC-3</t>
        </is>
      </c>
      <c r="G28" s="31" t="inlineStr">
        <is>
          <t>ST-068 In progress (NOT Done)</t>
        </is>
      </c>
      <c r="H28" s="31" t="inlineStr">
        <is>
          <t>Pen test must be booked and paid for — Senthil action; needs deployed infra (LC-1)</t>
        </is>
      </c>
      <c r="I28" s="31" t="inlineStr">
        <is>
          <t>L-026</t>
        </is>
      </c>
    </row>
    <row r="29" ht="15" customHeight="1" s="26">
      <c r="A29" s="31" t="inlineStr">
        <is>
          <t>L-026</t>
        </is>
      </c>
      <c r="B29" s="31" t="inlineStr">
        <is>
          <t>2026-09-13 10:35</t>
        </is>
      </c>
      <c r="C29" s="31" t="inlineStr">
        <is>
          <t>S9</t>
        </is>
      </c>
      <c r="D29" s="31" t="inlineStr">
        <is>
          <t>ST-069, ST-090, ST-091</t>
        </is>
      </c>
      <c r="E29" s="31" t="inlineStr">
        <is>
          <t>Data rights + resilience: self-serve export (owner/admin) that STATES its exclusions rather than silently omitting them, and owner-only deletion with a cancellable 7-day grace window after which it is irreversible; restore-drill harness that verifies restored row counts against the backup manifest as part of the pass condition (a restore that "succeeds" without checking contents evidences nothing) plus RTO/RPO targets; chaos simulation proving every dependency outage leaves the product usable and every lost capability carries a message saying what is safe — the guards are injectable so they can actually fire, since a check that can never fail is not a check.</t>
        </is>
      </c>
      <c r="F29" s="31" t="inlineStr">
        <is>
          <t>ST-069, ST-090, ST-091</t>
        </is>
      </c>
      <c r="G29" s="31" t="inlineStr">
        <is>
          <t>3 stories code-complete at 100% coverage</t>
        </is>
      </c>
      <c r="H29" s="31" t="n"/>
      <c r="I29" s="31" t="inlineStr">
        <is>
          <t>L-027</t>
        </is>
      </c>
    </row>
    <row r="30" ht="102" customHeight="1" s="26">
      <c r="A30" s="31" t="inlineStr">
        <is>
          <t>L-027</t>
        </is>
      </c>
      <c r="B30" s="31" t="inlineStr">
        <is>
          <t>2026-09-13 10:35</t>
        </is>
      </c>
      <c r="C30" s="31" t="inlineStr">
        <is>
          <t>S9</t>
        </is>
      </c>
      <c r="D30" s="31" t="inlineStr">
        <is>
          <t>ST-089, ST-093, ST-094</t>
        </is>
      </c>
      <c r="E30" s="31" t="inlineStr">
        <is>
          <t>Listing + accessibility: WCAG AA audit with real contrast maths (shipped 6-pair palette passes; large-text threshold applied correctly), accessible-name/keyboard/focus failures and target-size warnings; two listing variants on genuinely different angles (problem-led vs outcome-led) with a reviewer that fails same-angle A/Bs and flags claims that invite rejection (implied Google endorsement, absolute security, guarantees, superlatives, "free forever"); asset validator for the 5x1280x800 screenshots and 30-120s captioned video, plus the screenshot plan. Published as LISTING_PACK.md.</t>
        </is>
      </c>
      <c r="F30" s="31" t="inlineStr">
        <is>
          <t>ST-089, ST-093, ST-094</t>
        </is>
      </c>
      <c r="G30" s="31" t="inlineStr">
        <is>
          <t>S9: 6/7 Done, 1 In progress. Suite 432 tests / 100% all metrics / smoke green. Total 88/100 (357/399 pts)</t>
        </is>
      </c>
      <c r="H30" s="31" t="inlineStr">
        <is>
          <t>D13; tracker v005</t>
        </is>
      </c>
    </row>
    <row r="31" ht="124.5" customHeight="1" s="26">
      <c r="A31" s="31" t="inlineStr">
        <is>
          <t>L-028</t>
        </is>
      </c>
      <c r="B31" s="31" t="inlineStr">
        <is>
          <t>2026-09-13 10:43</t>
        </is>
      </c>
      <c r="C31" s="31" t="inlineStr">
        <is>
          <t>S10</t>
        </is>
      </c>
      <c r="D31" s="31" t="inlineStr">
        <is>
          <t>ST-080, ST-081</t>
        </is>
      </c>
      <c r="E31" s="31" t="inlineStr">
        <is>
          <t>Support surfaces: 15 launch articles, each documenting shipped behaviour and naming the stories it covers so docs cannot silently drift from code; weighted search (exact keyword &gt; partial &gt; title &gt; summary &gt; body) so "vat" returns invoicing rather than every article containing the word; documentation-coverage report over launch-critical journeys. In-app chat measures first response in BUSINESS hours — a Friday 17:00 message is 2 business hours from a Monday 09:00 reply, not 64 — with a tighter 1-hour SLA for urgent, a breach queue worst-first, and a waiting message that sets expectations instead of going silent.</t>
        </is>
      </c>
      <c r="F31" s="31" t="inlineStr">
        <is>
          <t>ST-080, ST-081</t>
        </is>
      </c>
      <c r="G31" s="31" t="inlineStr">
        <is>
          <t>2 stories code-complete at 100% coverage</t>
        </is>
      </c>
      <c r="H31" s="31" t="inlineStr">
        <is>
          <t>Support must actually be STAFFED during the stated hours before the SLA is published</t>
        </is>
      </c>
      <c r="I31" s="31" t="inlineStr">
        <is>
          <t>L-029</t>
        </is>
      </c>
    </row>
    <row r="32" ht="15" customHeight="1" s="26">
      <c r="A32" s="31" t="inlineStr">
        <is>
          <t>L-029</t>
        </is>
      </c>
      <c r="B32" s="31" t="inlineStr">
        <is>
          <t>2026-09-13 10:43</t>
        </is>
      </c>
      <c r="C32" s="31" t="inlineStr">
        <is>
          <t>S10</t>
        </is>
      </c>
      <c r="D32" s="31" t="inlineStr">
        <is>
          <t>ST-083 (PARTIAL), ST-084</t>
        </is>
      </c>
      <c r="E32" s="31" t="inlineStr">
        <is>
          <t>ST-083 sandbox/demo-data mode: a no-account, no-OAuth, platform-read-only session with realistic sample data that exercises real template features including a conditional section, 60-minute TTL, and conversion-to-signup carrying the template across. The 2-minute demo VIDEO half is NOT done — it is a recording of a running app. ST-084 status page: worst-component-wins overall (never rounds up to green), incident templates that state data is unaffected, and an overdue-update check that chases incidents gone quiet past the 30-minute cadence.</t>
        </is>
      </c>
      <c r="F32" s="31" t="inlineStr">
        <is>
          <t>ST-083, ST-084</t>
        </is>
      </c>
      <c r="G32" s="31" t="inlineStr">
        <is>
          <t>ST-084 Done; ST-083 In progress (sandbox done, video pending)</t>
        </is>
      </c>
      <c r="H32" s="31" t="inlineStr">
        <is>
          <t>Demo video needs a running app (LC-1)</t>
        </is>
      </c>
      <c r="I32" s="31" t="inlineStr">
        <is>
          <t>L-030</t>
        </is>
      </c>
    </row>
    <row r="33" ht="102" customHeight="1" s="26">
      <c r="A33" s="31" t="inlineStr">
        <is>
          <t>L-030</t>
        </is>
      </c>
      <c r="B33" s="31" t="inlineStr">
        <is>
          <t>2026-09-13 10:43</t>
        </is>
      </c>
      <c r="C33" s="31" t="inlineStr">
        <is>
          <t>S10</t>
        </is>
      </c>
      <c r="D33" s="31" t="inlineStr">
        <is>
          <t>ST-095, ST-096, ST-097</t>
        </is>
      </c>
      <c r="E33" s="31" t="inlineStr">
        <is>
          <t>Public pages built FROM the code rather than alongside it: the plan matrix reads prices from the billing module and limits from the enforcer, with a validator that fails if the published page drifts; the trust page is generated from the scope manifest, subprocessor list, and retention policy. ST-097 submission dry-run run for real and published as SUBMISSION_DRY_RUN.md — VERDICT: 10 of 20 items satisfied, 10 blocking (8 Senthil, 2 third-party), NOT READY TO SUBMIT. The dry-run deliberately counts unmet items rather than explaining them away, and records an owner for each so the output is a work list.</t>
        </is>
      </c>
      <c r="F33" s="31" t="inlineStr">
        <is>
          <t>ST-095, ST-096, ST-097</t>
        </is>
      </c>
      <c r="G33" s="31" t="inlineStr">
        <is>
          <t>S10: 6 Done + 1 In progress. Suite 484 tests / 100% all metrics / smoke green. Total 94/100 (376/399 pts)</t>
        </is>
      </c>
      <c r="H33" s="31" t="inlineStr">
        <is>
          <t>D13; tracker v006</t>
        </is>
      </c>
    </row>
    <row r="34" ht="90.75" customHeight="1" s="26">
      <c r="A34" s="31" t="inlineStr">
        <is>
          <t>L-031</t>
        </is>
      </c>
      <c r="B34" s="31" t="inlineStr">
        <is>
          <t>2026-09-13 10:58</t>
        </is>
      </c>
      <c r="C34" s="31" t="inlineStr">
        <is>
          <t>S11</t>
        </is>
      </c>
      <c r="D34" s="31" t="inlineStr">
        <is>
          <t>ST-082, ST-100</t>
        </is>
      </c>
      <c r="E34" s="31" t="inlineStr">
        <is>
          <t>ST-082 review ask: every rule exists to prevent an ill-timed prompt — not before the aha-moment, not before 10 documents, not within 3 days of a failure, not inside a 30-day cooldown, and never again after two dismissals. A prompt at the wrong moment costs a rating rather than earning one. ST-100 partner-review pipeline REFUSES to invite an at-risk account (fix their experience first), refuses to reschedule a decline, excludes declines from the pipeline count, and warns on invitations unanswered for over a week.</t>
        </is>
      </c>
      <c r="F34" s="31" t="inlineStr">
        <is>
          <t>ST-082, ST-100</t>
        </is>
      </c>
      <c r="G34" s="31" t="inlineStr">
        <is>
          <t>2 stories code-complete at 100% coverage</t>
        </is>
      </c>
      <c r="H34" s="31" t="inlineStr">
        <is>
          <t>Real partners and a listed app needed to run it</t>
        </is>
      </c>
      <c r="I34" s="31" t="inlineStr">
        <is>
          <t>L-032</t>
        </is>
      </c>
    </row>
    <row r="35" ht="15" customHeight="1" s="26">
      <c r="A35" s="31" t="inlineStr">
        <is>
          <t>L-032</t>
        </is>
      </c>
      <c r="B35" s="31" t="inlineStr">
        <is>
          <t>2026-09-13 10:58</t>
        </is>
      </c>
      <c r="C35" s="31" t="inlineStr">
        <is>
          <t>S11</t>
        </is>
      </c>
      <c r="D35" s="31" t="inlineStr">
        <is>
          <t>ST-098</t>
        </is>
      </c>
      <c r="E35" s="31" t="inlineStr">
        <is>
          <t>Launch runbook built and RUN against the real current state: go/no-go over 13 checks returns NO-GO with 8 blocking failures (not listed, not deployed, rollback unverified against real infra, status/privacy pages unhosted, billing not live, support unstaffed, monitoring sinks unwired). Watchlist items each carry an action rather than just a threshold; the rollback plan budgets 35 minutes with a verification step for each of its 5 steps; the comms tree names an owner and a deadline per audience. Published as LAUNCH_RUNBOOK.md — written now so launch day is execution, not authoring.</t>
        </is>
      </c>
      <c r="F35" s="31" t="inlineStr">
        <is>
          <t>ST-098</t>
        </is>
      </c>
      <c r="G35" s="31" t="inlineStr">
        <is>
          <t>1 story code-complete; runbook verdict NO-GO</t>
        </is>
      </c>
      <c r="H35" s="31" t="inlineStr">
        <is>
          <t>All 8 blocking items are Senthil or third-party</t>
        </is>
      </c>
      <c r="I35" s="31" t="inlineStr">
        <is>
          <t>L-033</t>
        </is>
      </c>
    </row>
    <row r="36" ht="102" customHeight="1" s="26">
      <c r="A36" s="31" t="inlineStr">
        <is>
          <t>L-033</t>
        </is>
      </c>
      <c r="B36" s="31" t="inlineStr">
        <is>
          <t>2026-09-13 10:58</t>
        </is>
      </c>
      <c r="C36" s="31" t="inlineStr">
        <is>
          <t>S12</t>
        </is>
      </c>
      <c r="D36" s="31" t="inlineStr">
        <is>
          <t>ST-099</t>
        </is>
      </c>
      <c r="E36" s="31" t="inlineStr">
        <is>
          <t>ST-099 SEO iteration classifies search terms into untargeted, ranking-just-off-page, and high-impressions-low-CTR, ignores anything under 100 impressions rather than chasing noise, sorts by impressions so the biggest lever is first, and recommends EXACTLY ONE change per iteration so the effect is attributable. CODE BACKLOG COMPLETE: 98 of 100 stories Done, 2 In progress (ST-068 needs a third-party pen test, ST-083 needs a running app to record the demo video). Suite 31 files / 516 tests / 100% all metrics / 33 modules / smoke green. Three test-side errors fixed this sprint, none in source.</t>
        </is>
      </c>
      <c r="F36" s="31" t="inlineStr">
        <is>
          <t>ST-099; D13</t>
        </is>
      </c>
      <c r="G36" s="31" t="inlineStr">
        <is>
          <t>S11 3/3 and S12 1/1 code-complete. Total 98/100 Done, 2 In progress (391/399 pts)</t>
        </is>
      </c>
      <c r="H36" s="31" t="inlineStr">
        <is>
          <t>No further code sprints — remaining work is entirely live/third-party</t>
        </is>
      </c>
    </row>
    <row r="37" ht="213.75" customHeight="1" s="26">
      <c r="A37" s="31" t="inlineStr">
        <is>
          <t>L-034</t>
        </is>
      </c>
      <c r="B37" s="31" t="inlineStr">
        <is>
          <t>2026-09-13 11:05</t>
        </is>
      </c>
      <c r="C37" s="31" t="inlineStr">
        <is>
          <t>—</t>
        </is>
      </c>
      <c r="D37" s="31" t="inlineStr">
        <is>
          <t>Deployment preparation: src/deployment.ts specifies all 16 environment values with their source (vault / config / platform), validates them (required, https URLs, numeric/boolean kinds, the conditional Stripe key, unknown-variable warnings), and refuses vault-sourced secrets arriving as plain env in production. checkDeploymentReadiness combines that with the S8 posture verifier into one fail-closed gate: a misconfigured instance does not take traffic, which is better than discovering the problem on a customer request. .env.example is generated from the spec so it cannot drift.</t>
        </is>
      </c>
      <c r="E37" s="31" t="inlineStr">
        <is>
          <t>LC-1 prep; D13</t>
        </is>
      </c>
      <c r="F37" s="31" t="inlineStr">
        <is>
          <t>15 new tests; suite 531 at 100%</t>
        </is>
      </c>
      <c r="G37" s="31" t="n"/>
      <c r="H37" s="31" t="inlineStr">
        <is>
          <t>L-035</t>
        </is>
      </c>
    </row>
    <row r="38" ht="15" customHeight="1" s="26">
      <c r="A38" s="31" t="inlineStr">
        <is>
          <t>L-035</t>
        </is>
      </c>
      <c r="B38" s="31" t="inlineStr">
        <is>
          <t>2026-09-13 11:05</t>
        </is>
      </c>
      <c r="C38" s="31" t="inlineStr">
        <is>
          <t>—</t>
        </is>
      </c>
      <c r="D38" s="31" t="inlineStr">
        <is>
          <t>Three blocker documents written so each external task starts warm: GCP_SETUP_GUIDE.md sequences LC-1 (project, five APIs, consent screen, OAuth client, brand verification, Marketplace SDK) with the prerequisites that must exist first — notably that the privacy policy and status page must be HOSTED before the consent screen will accept the authorised domains, which reorders the work. PENTEST_SCOPING_BRIEF.md scopes the test from the shipped code, names what is out of scope, and lists four design decisions a tester should probe rather than accept. CASA_PREFILL.md answers the assessment from existing evidence and marks three controls NOT YET — encryption-at-rest verification, the restore drill against real backups, and the pen test — rather than answering aspirationally.</t>
        </is>
      </c>
      <c r="E38" s="31" t="inlineStr">
        <is>
          <t>LC-1, LC-3, ST-068 prep</t>
        </is>
      </c>
      <c r="F38" s="31" t="inlineStr">
        <is>
          <t>Three artefacts published; no story status changed</t>
        </is>
      </c>
      <c r="G38" s="31" t="inlineStr">
        <is>
          <t>All three still require Senthil/third-party action</t>
        </is>
      </c>
      <c r="H38" s="31" t="inlineStr">
        <is>
          <t>Live execution</t>
        </is>
      </c>
    </row>
    <row r="39" ht="213.75" customHeight="1" s="26">
      <c r="A39" s="31" t="inlineStr">
        <is>
          <t>L-036</t>
        </is>
      </c>
      <c r="B39" s="31" t="inlineStr">
        <is>
          <t>2026-09-13 11:10</t>
        </is>
      </c>
      <c r="C39" s="31" t="inlineStr">
        <is>
          <t>—</t>
        </is>
      </c>
      <c r="D39" s="31" t="inlineStr">
        <is>
          <t>LC-9 template gallery built: 20 templates across 6 categories (invoice, receipt, quote, payment reminder; offer letter, employment contract, performance review, reference; NDA, service agreement, consent form; certificate, report card, enrolment; purchase order, delivery note, work order; meeting summary, onboarding pack, event invitation). Each uses at least one conditional section — the feature the gallery is there to teach — carries required and optional columns so a user knows what they need before committing, and targets named search terms (61 total) because the gallery is the listing's organic-search surface in the GTM plan.</t>
        </is>
      </c>
      <c r="E39" s="31" t="inlineStr">
        <is>
          <t>LC-9; GTM</t>
        </is>
      </c>
      <c r="F39" s="31" t="inlineStr">
        <is>
          <t>LC-9 moves to Done</t>
        </is>
      </c>
      <c r="G39" s="31" t="n"/>
      <c r="H39" s="31" t="inlineStr">
        <is>
          <t>L-037</t>
        </is>
      </c>
    </row>
    <row r="40" ht="15" customHeight="1" s="26">
      <c r="A40" s="31" t="inlineStr">
        <is>
          <t>L-037</t>
        </is>
      </c>
      <c r="B40" s="31" t="inlineStr">
        <is>
          <t>2026-09-13 11:10</t>
        </is>
      </c>
      <c r="C40" s="31" t="inlineStr">
        <is>
          <t>—</t>
        </is>
      </c>
      <c r="D40" s="31" t="inlineStr">
        <is>
          <t>Gallery proved rather than asserted: a structural validator catches duplicate slugs, rules referencing placeholders or sections that do not exist, sections with no rule (which would always render), and sample rows that cannot fill their own body; then every template is rendered through the REAL TemplateDesigner with its sample row and asserted to leave no unresolved markers. TWO DEFECTS caught by doing this: (1) I had written 22 templates against a target of 20 — trimmed to exactly 20; (2) the purchase-order and event-invitation rules tested control fields that never appear in the body, which the real engine rejects — restructured so both conditions are driven by rendered fields. Neither would have been visible from reading the templates.</t>
        </is>
      </c>
      <c r="E40" s="31" t="inlineStr">
        <is>
          <t>LC-9; D13</t>
        </is>
      </c>
      <c r="F40" s="31" t="inlineStr">
        <is>
          <t>Suite 567 tests / 100% x4 / 35 modules / smoke green</t>
        </is>
      </c>
      <c r="G40" s="31" t="n"/>
      <c r="H40" s="31" t="inlineStr">
        <is>
          <t>Live execution</t>
        </is>
      </c>
    </row>
    <row r="41" ht="225" customHeight="1" s="26">
      <c r="A41" s="31" t="inlineStr">
        <is>
          <t>L-038</t>
        </is>
      </c>
      <c r="B41" s="31" t="inlineStr">
        <is>
          <t>2026-09-13 11:16</t>
        </is>
      </c>
      <c r="C41" s="31" t="inlineStr">
        <is>
          <t>S12</t>
        </is>
      </c>
      <c r="D41" s="31" t="inlineStr">
        <is>
          <t>Growth model frame: restates the workbook assumptions as unit economics rather than a cash projection. Fully-loaded CAC charges free-tier support against each conversion — at 6% conversion roughly 17 installs are served per paying customer, so a high-volume free tier is an acquisition cost even with zero marketing spend. The verdict logic separates four cases that a single LTV:CAC number blurs: workable, healthy-ratio-but-slow-payback (needs funding to bridge, not patience), marginal, and loss-making. Three scenarios rather than one forecast, because a plan that only works in the optimistic column is not a plan.</t>
        </is>
      </c>
      <c r="E41" s="31" t="inlineStr">
        <is>
          <t>S12 exit; Financial_Model</t>
        </is>
      </c>
      <c r="F41" s="31" t="inlineStr">
        <is>
          <t>S12 exit In progress (frame built, estimates unmeasured)</t>
        </is>
      </c>
      <c r="G41" s="31" t="inlineStr">
        <is>
          <t>No cohort exists — every input is an assumption</t>
        </is>
      </c>
      <c r="H41" s="31" t="inlineStr">
        <is>
          <t>L-039</t>
        </is>
      </c>
    </row>
    <row r="42" ht="15" customHeight="1" s="26">
      <c r="A42" s="31" t="inlineStr">
        <is>
          <t>L-039</t>
        </is>
      </c>
      <c r="B42" s="31" t="inlineStr">
        <is>
          <t>2026-09-13 11:16</t>
        </is>
      </c>
      <c r="C42" s="31" t="inlineStr">
        <is>
          <t>S12</t>
        </is>
      </c>
      <c r="D42" s="31" t="inlineStr">
        <is>
          <t>SENSITIVITY FINDING: ranking each input by how much it moves the fully-loaded ratio puts CHURN first, ahead of free-to-paid conversion. Intuition (and my own first test expectation, which the model corrected) reaches for conversion; but lifetime scales LTV directly while conversion mostly moves the free-support cost carried per customer. Halving churn beats doubling conversion. Measurement plan attaches each assumption to instrumentation that already exists (ActivationFunnel, subscription transitions, health scores, install source attribution) so first-cohort data lands without new analysis. One source defect found: display rounding to 2dp turned a 0.45% churn rate into 0, which reads as "no churn" — fixed to keep more places for small magnitudes.</t>
        </is>
      </c>
      <c r="E42" s="31" t="inlineStr">
        <is>
          <t>S12; D13</t>
        </is>
      </c>
      <c r="F42" s="31" t="inlineStr">
        <is>
          <t>Suite 589 tests / 100% x4 / 36 modules / smoke green</t>
        </is>
      </c>
      <c r="G42" s="31" t="inlineStr">
        <is>
          <t>Replace with measured figures after the first cohort</t>
        </is>
      </c>
      <c r="H42" s="31" t="inlineStr">
        <is>
          <t>Live execution</t>
        </is>
      </c>
    </row>
    <row r="43" ht="180" customHeight="1" s="26">
      <c r="A43" s="31" t="inlineStr">
        <is>
          <t>L-040</t>
        </is>
      </c>
      <c r="B43" s="31" t="inlineStr">
        <is>
          <t>2026-09-13 11:21</t>
        </is>
      </c>
      <c r="C43" s="31" t="inlineStr">
        <is>
          <t>—</t>
        </is>
      </c>
      <c r="D43" s="31" t="inlineStr">
        <is>
          <t>ST-068 vendor outreach pack: a send-ready email that lets a vendor quote from the attached scoping brief instead of a discovery call, plus shortlist filters (credentials on the testers not just the firm; reports previously accepted for marketplace/CASA submissions; fixed price from a written brief; retest included) and a quote-comparison rubric. External copy kept company-agnostic per standing instruction. Advice included that a clean first report on a multi-tenant app usually means a shallow test, not a perfect app.</t>
        </is>
      </c>
      <c r="E43" s="31" t="inlineStr">
        <is>
          <t>ST-068; R-D10</t>
        </is>
      </c>
      <c r="F43" s="31" t="inlineStr">
        <is>
          <t>Outreach ready to send; ST-068 still In progress</t>
        </is>
      </c>
      <c r="G43" s="31" t="inlineStr">
        <is>
          <t>Needs a staging target, or send now stating a target date purely to hold a diary slot</t>
        </is>
      </c>
      <c r="H43" s="31" t="inlineStr">
        <is>
          <t>Live execution</t>
        </is>
      </c>
    </row>
    <row r="44" ht="15" customHeight="1" s="26">
      <c r="A44" s="31" t="inlineStr">
        <is>
          <t>L-041</t>
        </is>
      </c>
      <c r="B44" s="31" t="inlineStr">
        <is>
          <t>2026-09-13 11:24</t>
        </is>
      </c>
      <c r="C44" s="31" t="inlineStr">
        <is>
          <t>—</t>
        </is>
      </c>
      <c r="D44" s="31" t="inlineStr">
        <is>
          <t>COLD REVIEW PASS 1. Portfolio memory shows every sibling product that declared code-complete then found real defects in code already at 100% coverage; TeleField logged it as L-T1 (review before declaring complete) and the portfolio lesson is F-V14 (coverage proves execution, not correctness). DocMerge had never been reviewed — so the "code phase complete" declaration two turns ago was premature, and this pass proves it. Nine findings, five CRITICAL. Five fixed with pinned regressions: read-only mode and plan limits were both fully built, fully tested, and CALLED FROM NOWHERE, so two behaviours the help centre promises customers were simply absent from the product; OAuth install accepted any code with no state (CSRF); webhooks verified nothing, so an unauthenticated POST could revoke a live account tokens and schedule its data for deletion; and no production backoff existed anywhere because every retry policy came from a test injecting its own no-op sleep. Four left open and logged rather than quietly fixed: DM-F01 (no HTTP app exists behind any route — the setup guide is unrunnable), DM-F07 (caller-declared identity), DM-F08 (eleven unbounded ledgers), DM-F09 (deletion has no implementation behind it, the class that breached published policy in five sibling products).</t>
        </is>
      </c>
      <c r="E44" s="31" t="inlineStr">
        <is>
          <t>L-T1; F-V14; DM-F01..F09</t>
        </is>
      </c>
      <c r="F44" s="31" t="inlineStr">
        <is>
          <t>35 suites / 616 tests at 100%; new Review_Findings sheet</t>
        </is>
      </c>
      <c r="G44" s="31" t="inlineStr">
        <is>
          <t>DM-F01 is the next real work; DM-F07 needs his decision</t>
        </is>
      </c>
      <c r="H44" s="31" t="inlineStr">
        <is>
          <t>Cold-review pass 2</t>
        </is>
      </c>
    </row>
    <row r="45" ht="15" customHeight="1" s="26">
      <c r="A45" s="31" t="inlineStr">
        <is>
          <t>L-042</t>
        </is>
      </c>
      <c r="B45" s="31" t="inlineStr">
        <is>
          <t>2026-09-13 11:31</t>
        </is>
      </c>
      <c r="C45" s="31" t="inlineStr">
        <is>
          <t>—</t>
        </is>
      </c>
      <c r="D45" s="31" t="inlineStr">
        <is>
          <t>DM-F01 + DM-F07 closed. The product now HAS an application: a framework-free router (literal and :param segments), 7 routes bound to the services that already existed, a server entrypoint with npm start, and a readiness check that refuses to listen on a misconfigured environment rather than failing on the first customer request. Identity comes from HMAC-signed sessions instead of a caller-supplied role parameter — a token whose role field is edited now fails signature verification, and a session issued for one account is refused against another. Every mutating route is authenticated and passes the entitlement gate, so the read-only mode and plan limits fixed earlier are enforced on the wire; reads deliberately stay open so an unpaid customer can still retrieve their work. Unexpected handler failures map to 500 without leaking internals, rather than hanging the request open (sibling M-F21 class). THEN BOOTED IT: healthz returned 200, the install URL carried its CSRF state, an unsigned webhook got 401, an unauthenticated route got 401, an unknown route got 404 — because the sibling lesson is that compiling is not running.</t>
        </is>
      </c>
      <c r="E45" s="31" t="inlineStr">
        <is>
          <t>DM-F01; DM-F07; L-OC4</t>
        </is>
      </c>
      <c r="F45" s="31" t="inlineStr">
        <is>
          <t>36 suites / 650 tests at 100%; server verified over real HTTP</t>
        </is>
      </c>
      <c r="G45" s="31" t="inlineStr">
        <is>
          <t>DM-F08 and DM-F09 still open from pass 1</t>
        </is>
      </c>
      <c r="H45" s="31" t="inlineStr">
        <is>
          <t>Close F08/F09, then pass 2 over the new HTTP layer</t>
        </is>
      </c>
    </row>
    <row r="46" ht="15" customHeight="1" s="26">
      <c r="A46" s="31" t="inlineStr">
        <is>
          <t>L-043</t>
        </is>
      </c>
      <c r="B46" s="31" t="inlineStr">
        <is>
          <t>2026-09-13 11:37</t>
        </is>
      </c>
      <c r="C46" s="31" t="inlineStr">
        <is>
          <t>—</t>
        </is>
      </c>
      <c r="D46" s="31" t="inlineStr">
        <is>
          <t>DM-F08 and DM-F09 closed, then cold-review PASS 2 over the HTTP layer built an hour earlier — because the sibling lesson (L-OC4) is that new surfaces inherit old blind spots, and OnCall found two criticals in its equivalent layer immediately after building it. F08: 11 ledgers bounded, with eviction COUNTED rather than silent; the hash-chained admin audit was the interesting one — bounding it breaks verification from genesis, so the last evicted digest becomes the chain anchor and verifyChain now reports truncation instead of failing, with sequence numbers still counting so gaps are visible rather than disguised. F09: a PurgeRegistry over 16 stores whose registration check FAILS THE BUILD when a store has no purge target, receipts carrying per-store row counts as evidence, and an incomplete purge reported as incomplete rather than claimed done — plus the database schema that never existed behind the backup drill or the policy, with ON DELETE CASCADE on every account-scoped table so completeness is a property of the schema rather than of code someone must remember to update. PASS 2 found four more, all fixed and all verified by booting the server: uncapped request body (413 on a 2MB POST), abandoned OAuth states accumulating because sweep() was never called — the SAME built-but-never-wired class as F02/F03, which is worth noting because I introduced it while fixing that class — no rate limiting anywhere (429 after 20 install calls, a different caller unaffected), and /healthz handing the build version to anyone.</t>
        </is>
      </c>
      <c r="E46" s="31" t="inlineStr">
        <is>
          <t>DM-F08..F13; L-OC4</t>
        </is>
      </c>
      <c r="F46" s="31" t="inlineStr">
        <is>
          <t>40 suites / 691 tests at 100%; all 13 findings closed; server verified live</t>
        </is>
      </c>
      <c r="G46" s="31" t="inlineStr">
        <is>
          <t>Cold review complete across both passes</t>
        </is>
      </c>
      <c r="H46" s="31" t="inlineStr">
        <is>
          <t>Live execution — Senthil</t>
        </is>
      </c>
    </row>
    <row r="47" ht="15" customHeight="1" s="26">
      <c r="A47" s="31" t="inlineStr">
        <is>
          <t>L-044</t>
        </is>
      </c>
      <c r="B47" s="31" t="inlineStr">
        <is>
          <t>2026-09-13 11:51</t>
        </is>
      </c>
      <c r="C47" s="31" t="inlineStr">
        <is>
          <t>—</t>
        </is>
      </c>
      <c r="D47" s="31" t="inlineStr">
        <is>
          <t>EXTERNAL VERIFICATION SWEEP vs live Google docs. Two checks, two LIVE-BLOCKING findings — which is the argument for the step: both were invisible to two clean cold-review passes at 100% coverage, because neither is a defect in our code. They are facts about the platform that our design assumed wrongly. VER-DM1: the Workspace Marketplace does not push uninstall webhooks to a developer server, and the licenseNotification API that once reported deletions is deprecated with no replacement — so /webhooks/uninstall was a handler for an event that never arrives, and ST-052 revocation, the 30-day clock, ST-053 restore and the F09 purge chain would all have sat waiting forever in production. Replaced with a reconciler that detects uninstall from license state plus revoked credentials, and that deliberately treats an API outage or unknown state as indeterminate — mistaking an outage for a departure would revoke a live customer and start deleting their data. VER-DM2: Google Forms cannot POST to an arbitrary URL; form submit requires an installable Apps Script trigger that calls UrlFetchApp itself, so the whole F5 feature (10 stories, 42 pts) assumed a capability that does not exist. Shipped apps-script/FormForwarder.gs signing with the scheme the endpoint already verifies, secret in Script Properties, stable response id for dedupe, 5xx-only rethrow so Apps Script retries server failures but not rejections.</t>
        </is>
      </c>
      <c r="E47" s="31" t="inlineStr">
        <is>
          <t>VER-DM1; VER-DM2</t>
        </is>
      </c>
      <c r="F47" s="31" t="inlineStr">
        <is>
          <t>41 suites / 707 tests at 100%</t>
        </is>
      </c>
      <c r="G47" s="31" t="inlineStr">
        <is>
          <t>Form setup flow changes — ST-041 wording and help article owed</t>
        </is>
      </c>
      <c r="H47" s="31" t="inlineStr">
        <is>
          <t>Verification sweep part 2</t>
        </is>
      </c>
    </row>
    <row r="48" ht="15" customHeight="1" s="26">
      <c r="A48" s="31" t="inlineStr">
        <is>
          <t>L-045</t>
        </is>
      </c>
      <c r="B48" s="31" t="inlineStr">
        <is>
          <t>2026-09-13 11:56</t>
        </is>
      </c>
      <c r="C48" s="31" t="inlineStr">
        <is>
          <t>—</t>
        </is>
      </c>
      <c r="D48" s="31" t="inlineStr">
        <is>
          <t>VER-DM3: the "Workspace add-on sidebar" the product was built against does not exist as described. Google has TWO add-on types with incompatible UI models. The Workspace type is card-based and explicitly forbids HTML/CSS, cannot read the open document, has no Apps Script triggers, and is not available in Google Forms — but reaches mobile and every host app. The Editor type has HTML sidebars, document context and triggers, but is desktop-only and confined to the Editors. Five shipped stories claim the feature "works on the Workspace add-on sidebar in Sheets/Docs end-to-end" while depending on reading the active row, which is document context and unavailable on exactly the surface named; and VER-DM2 form triggers only exist on the Editor type. Twelve stories cannot ship on the Workspace surface as built. I did NOT pick — this is a product decision with real trade-offs on both sides (mobile and cross-app reach vs keeping every shipped feature), so it is logged as D-DM1 with a test-pinned constraint matrix and a decision document rather than quietly resolved in code. Undisputed either way: a 30-second UI action cannot generate hundreds of documents, so batch stays server-side — which our architecture already assumes.</t>
        </is>
      </c>
      <c r="E48" s="31" t="inlineStr">
        <is>
          <t>VER-DM3; D-DM1</t>
        </is>
      </c>
      <c r="F48" s="31" t="inlineStr">
        <is>
          <t>42 suites / 721 tests at 100%</t>
        </is>
      </c>
      <c r="G48" s="31" t="inlineStr">
        <is>
          <t>D-DM1 blocks listing copy, scope narrative, and 5 story descriptions</t>
        </is>
      </c>
      <c r="H48" s="31" t="inlineStr">
        <is>
          <t>Sweep part 3 after D-DM1</t>
        </is>
      </c>
    </row>
    <row r="49" ht="15" customHeight="1" s="26">
      <c r="A49" s="31" t="inlineStr">
        <is>
          <t>L-046</t>
        </is>
      </c>
      <c r="B49" s="31" t="inlineStr">
        <is>
          <t>2026-09-13 12:01</t>
        </is>
      </c>
      <c r="C49" s="31" t="inlineStr">
        <is>
          <t>—</t>
        </is>
      </c>
      <c r="D49" s="31" t="inlineStr">
        <is>
          <t>VER-DM4: checked our listing spec against the live Marketplace page and every number in it was invented. Eight discrepancies. Two are REQUIRED assets we did not know existed — the application icons (32x32 and 128x128, plus 48x48 and 96x96 now that the project includes a web app) and the 220x140 card banner that appears on listings and in search results. One is a content rule with no check at all: the app name must not contain a Google product name. One is a missing required support link: terms of service, absent from our submission checklist. The rest were limits wrong in the strict direction — we demanded exactly 5 screenshots where 1 to 10 are accepted, rejected two screenshot sizes the platform allows, capped the name at 30 rather than 50, the short description at 120 rather than 200, and the detailed description at 4,000 rather than 16,000 — so the drafted copy was being held to constraints tighter than reality. And the promo video is an optional YouTube LINK, not the captioned 30-120 second upload we specified, which means the demo-video blocker on the board was partly self-inflicted. Rewritten against the verified spec with 13 pinning tests; LISTING_PACK.md regenerated. Sibling precedent: TestPulse found its asset spec wrong in exactly this way.</t>
        </is>
      </c>
      <c r="E49" s="31" t="inlineStr">
        <is>
          <t>VER-DM4; ST-093; ST-094</t>
        </is>
      </c>
      <c r="F49" s="31" t="inlineStr">
        <is>
          <t>42 suites / 729 tests at 100%</t>
        </is>
      </c>
      <c r="G49" s="31" t="inlineStr">
        <is>
          <t>Icons and card banner now needed for submission — new capture items</t>
        </is>
      </c>
      <c r="H49" s="31" t="inlineStr">
        <is>
          <t>Sweep part 4: OAuth verification + CASA</t>
        </is>
      </c>
    </row>
    <row r="50" ht="15" customHeight="1" s="26">
      <c r="A50" s="31" t="inlineStr">
        <is>
          <t>L-047</t>
        </is>
      </c>
      <c r="B50" s="31" t="inlineStr">
        <is>
          <t>2026-09-13 12:06</t>
        </is>
      </c>
      <c r="C50" s="31" t="inlineStr">
        <is>
          <t>—</t>
        </is>
      </c>
      <c r="D50" s="31" t="inlineStr">
        <is>
          <t>VER-DM5 — the first verification finding that takes work OFF the board. Google routes review by scope CLASSIFICATION, and a CASA security assessment is triggered by RESTRICTED scopes. DocMerge requests none: drive.file is specifically the recommended non-sensitive alternative to the restricted Drive scopes, userinfo.email is non-sensitive, and only spreadsheets.readonly and documents are sensitive — which require Google app verification but not an assessment. CASA has sat on this board as a blocking, multi-week, paid item since S6, driving R-D1 and R-D10 and appearing in the pen-test sequencing advice, all on an assumption nobody had checked. LC-3 is downgraded to "likely not required — confirm in the Cloud console under OAuth consent screen &gt; Data Access" rather than deleted, because classification is per-project and Google may still request an assessment at its discretion; deleting it would trade one unchecked assumption for another. Found in the same pass and NOT previously on the board: verification requires an unlisted YouTube DEMONSTRATION video showing the OAuth grant flow, the consent screen displaying the app name, and detailed in-app use of each sensitive scope — separate from the optional marketing promo video, and recordable only once the app runs. The review path is now derived in code from the classifications rather than assumed, with a test proving CASA appears only when a restricted scope is present.</t>
        </is>
      </c>
      <c r="E50" s="31" t="inlineStr">
        <is>
          <t>VER-DM5; LC-3; R-D1; R-D10</t>
        </is>
      </c>
      <c r="F50" s="31" t="inlineStr">
        <is>
          <t>42 suites / 736 tests at 100%</t>
        </is>
      </c>
      <c r="G50" s="31" t="inlineStr">
        <is>
          <t>LC-3 to be confirmed in console, not booked blind</t>
        </is>
      </c>
      <c r="H50" s="31" t="inlineStr">
        <is>
          <t>Sweep complete — D-DM1 next</t>
        </is>
      </c>
    </row>
    <row r="51" ht="15" customHeight="1" s="26">
      <c r="A51" s="31" t="inlineStr">
        <is>
          <t>L-048</t>
        </is>
      </c>
      <c r="B51" s="31" t="inlineStr">
        <is>
          <t>2026-09-13 16:25</t>
        </is>
      </c>
      <c r="C51" s="31" t="inlineStr">
        <is>
          <t>—</t>
        </is>
      </c>
      <c r="D51" s="31" t="inlineStr">
        <is>
          <t>R-D4 closed with a Postgres adapter — the risk that has stood since S1, when persistence went behind typed interfaces with in-memory Maps behind them. That was the right call with no schema, but it meant the interfaces had never once been implemented against a database, and the migrations written for DM-F09 were decorative. src/postgres.ts implements TokenStore, AccountRepo and TemplateRepo against the real schema and supplies purge targets for all 18 tables, ordered children-before-parents so the per-table counts are genuine evidence rather than zeroes from an earlier cascade. The SQL client is injected, so there is no pg dependency and the whole adapter is exercisable without a database. Four details that would have bitten in production and are now pinned by tests: BIGINT expiries come back from the driver as STRINGS and are converted explicitly rather than coerced; template and rules write inside one transaction with rollback, because a half-replaced rule set renders wrong output instead of failing; an absent rule value is stored as NULL rather than the string "undefined"; and the two child tables without an account_id column are reached through their parent instead. One test purges using a SQL-injection string and asserts it never appears in any statement text.</t>
        </is>
      </c>
      <c r="E51" s="31" t="inlineStr">
        <is>
          <t>R-D4; DM-D2; DM-F09</t>
        </is>
      </c>
      <c r="F51" s="31" t="inlineStr">
        <is>
          <t>43 suites / 753 tests at 100%</t>
        </is>
      </c>
      <c r="G51" s="31" t="inlineStr">
        <is>
          <t>Remaining stores still in-memory; DM-D2 ratification owed</t>
        </is>
      </c>
      <c r="H51" s="31" t="inlineStr">
        <is>
          <t>D-DM1 then live execution</t>
        </is>
      </c>
    </row>
    <row r="52" ht="15" customHeight="1" s="26">
      <c r="A52" s="31" t="inlineStr">
        <is>
          <t>L-049</t>
        </is>
      </c>
      <c r="B52" s="31" t="inlineStr">
        <is>
          <t>2026-09-13 16:29</t>
        </is>
      </c>
      <c r="C52" s="31" t="inlineStr">
        <is>
          <t>—</t>
        </is>
      </c>
      <c r="D52" s="31" t="inlineStr">
        <is>
          <t>Continuing the adapter work turned up DM-F14 rather than a routine increment. The remaining in-memory stores are a durability gap: a process restart resets every plan limit, so each deploy silently hands every customer a fresh monthly allowance — a revenue leak that no test would ever catch, because tests start from zero anyway; billing state resets so paying customers appear to be on trial; and the tamper-evident admin audit chain evaporates AND restarts its numbering at genesis, so the loss is not even visible afterwards. Usage counters are fixed end to end: PlanLimitEnforcer now takes a UsageBackend, and WriteThroughUsageBackend serves reads from a cache primed at startup (so the synchronous limit check stays synchronous and fast) while writing through to Postgres via a single atomic upsert — read-then-write would drop increments precisely when a customer is near their limit and two generations land together. Write failures increment a counter rather than failing the customer request, because a limit check must not become failable over a counter write, but a silent failure must still be visible. A test simulates a restart and proves the allowance is preserved. The subscription and admin-audit stores are built and tested — append-only with no update path, and lastSequence so the chain continues across restarts instead of forking a second one — but their services are NOT yet wired to them, and I am flagging that explicitly rather than letting it read as done, because this codebase has already produced two built-but-never-called defects (DM-F02/F03) and I introduced a third (DM-F11) while fixing them.</t>
        </is>
      </c>
      <c r="E52" s="31" t="inlineStr">
        <is>
          <t>DM-F14; R-D4</t>
        </is>
      </c>
      <c r="F52" s="31" t="inlineStr">
        <is>
          <t>43 suites / 770 tests at 100%</t>
        </is>
      </c>
      <c r="G52" s="31" t="inlineStr">
        <is>
          <t>BillingService and AdminAuditLog still unwired to their stores</t>
        </is>
      </c>
      <c r="H52" s="31" t="inlineStr">
        <is>
          <t>Wire them, then telemetry/support</t>
        </is>
      </c>
    </row>
    <row r="53" ht="15" customHeight="1" s="26">
      <c r="A53" s="31" t="inlineStr">
        <is>
          <t>L-050</t>
        </is>
      </c>
      <c r="B53" s="31" t="inlineStr">
        <is>
          <t>2026-09-13 16:34</t>
        </is>
      </c>
      <c r="C53" s="31" t="inlineStr">
        <is>
          <t>—</t>
        </is>
      </c>
      <c r="D53" s="31" t="inlineStr">
        <is>
          <t>DM-F14 closed: BillingService persists after every mutation — subscribe, plan change, payment failure, each dunning transition, cancel — and AdminAuditLog resumes a tenant chain from storage rather than restarting at genesis. Both use write-through backends that keep reads synchronous and count write failures instead of failing the customer request. DM-F15 FOUND DURING THE WIRING, not by looking for it: the admin audit log had no accountId at all. Every customer shared one chain and one sequence counter, and exportCsv returned the entire log — so a single customer security review would have handed them every other customer admin history: roles changed, members removed, data exports requested. The sequence numbering also leaked each tenant activity volume. The schema written for DM-F09 had keyed admin_audit_entries on (account_id, sequence) since this morning; the code never matched it, and nothing caught the mismatch because the table had no implementation behind it until today — which is the argument for building the adapter rather than leaving the schema decorative. Now scoped per account throughout, with the accountId inside the digest so an entry cannot be replayed into another tenant chain.</t>
        </is>
      </c>
      <c r="E53" s="31" t="inlineStr">
        <is>
          <t>DM-F14; DM-F15; DM-F09</t>
        </is>
      </c>
      <c r="F53" s="31" t="inlineStr">
        <is>
          <t>43 suites / 781 tests at 100%</t>
        </is>
      </c>
      <c r="G53" s="31" t="inlineStr">
        <is>
          <t>DM-F15 raises the question of tenant boundaries elsewhere</t>
        </is>
      </c>
      <c r="H53" s="31" t="inlineStr">
        <is>
          <t>Tenant-isolation sweep across remaining services</t>
        </is>
      </c>
    </row>
    <row r="54" ht="15" customHeight="1" s="26">
      <c r="A54" s="31" t="inlineStr">
        <is>
          <t>L-051</t>
        </is>
      </c>
      <c r="B54" s="31" t="inlineStr">
        <is>
          <t>2026-09-13 16:39</t>
        </is>
      </c>
      <c r="C54" s="31" t="inlineStr">
        <is>
          <t>—</t>
        </is>
      </c>
      <c r="D54" s="31" t="inlineStr">
        <is>
          <t>Tenant-isolation sweep, run deliberately because DM-F15 turned up by accident an hour earlier. Five more findings. DM-F16 is the serious one and it was exploitable through the HTTP layer I built this morning: template lookups took a templateId and nothing else, and POST /accounts/:accountId/documents reads the templateId from the request body — so an authenticated user of one account could pass another account template id and both read its body and generate documents from it. The session authentication added for DM-F07 established WHO was asking but nothing established WHAT they were entitled to ask for, which is a distinction worth keeping in mind on the other products. DM-F17 is the same shape on signature requests, exposing signer names, emails and document names. DM-F18 is DM-F15 again in the second audit log. All three now enforce ownership centrally rather than at call sites, and report cross-tenant access as "not found" rather than "wrong account" so the id space cannot be probed for what exists — with a test asserting the two failures are indistinguishable. DM-F19 (metrics summaries aggregate across all tenants) and DM-F20 (support inbox unscoped) are logged OPEN, not fixed: whether they are defects depends on whether those numbers are surfaced per-customer or only internally, and that is a decision rather than a bug.</t>
        </is>
      </c>
      <c r="E54" s="31" t="inlineStr">
        <is>
          <t>DM-F16..F20; DM-F15; DM-F07</t>
        </is>
      </c>
      <c r="F54" s="31" t="inlineStr">
        <is>
          <t>43 suites / 786 tests at 100%; smoke green</t>
        </is>
      </c>
      <c r="G54" s="31" t="inlineStr">
        <is>
          <t>DM-F19/F20 need a surfacing decision</t>
        </is>
      </c>
      <c r="H54" s="31" t="inlineStr">
        <is>
          <t>Telemetry/support persistence; D-DM1 still open</t>
        </is>
      </c>
    </row>
    <row r="55" ht="15" customHeight="1" s="26">
      <c r="A55" s="31" t="inlineStr">
        <is>
          <t>L-052</t>
        </is>
      </c>
      <c r="B55" s="31" t="inlineStr">
        <is>
          <t>2026-09-13 17:23</t>
        </is>
      </c>
      <c r="C55" s="31" t="inlineStr">
        <is>
          <t>—</t>
        </is>
      </c>
      <c r="D55" s="31" t="inlineStr">
        <is>
          <t>Built a portable tenant-isolation gate and wired it into CI as its own step, because DM-F15 was found by accident and DM-F16 by a sweep that followed it — a sweep catches this class once, a gate catches it every commit. It scans for methods that accept an entity id and act on it with no tenant parameter, with the parameter names and id suffixes as CONFIGURATION so the file copies straight into RevRescue, TeleField and FlowCast, where the pattern is identical. It flagged 28 methods on its first run against our own source. Triage produced DM-F21: five genuine clusters the manual sweep missed because the sweep checked READS and these are writes-that-are-not-reads — pause and resume on signature requests, form triggers and batch jobs took only an entity id, so one tenant could pause another tenant work with nothing but a guessed id, which is a denial of service against a competitor; InvoiceBook.renderCsv would render any account invoice including billing contact and tax identifiers; SidebarController.openTemplate read another account template metadata before the downstream ownership check. Fixed by namespacing pause state per account, verifying ownership on e-sign pause/resume, requiring the account on renderCsv, and reporting another account template as missing. The remaining 23 are exempted WITH WRITTEN REASONS rather than silenced — repository primitives whose ownership is enforced a level up, a generic keyed utility callers namespace, signer actions by external parties holding no account, controllers that already carry the account, and the metrics and support cases logged as DM-F19/F20 awaiting your decision. A test asserts every exemption carries a reason, so the list cannot quietly become a dumping ground.</t>
        </is>
      </c>
      <c r="E55" s="31" t="inlineStr">
        <is>
          <t>DM-F21; DM-F15; DM-F16</t>
        </is>
      </c>
      <c r="F55" s="31" t="inlineStr">
        <is>
          <t>44 suites / 797 tests at 100%; gate is its own CI step</t>
        </is>
      </c>
      <c r="G55" s="31" t="inlineStr">
        <is>
          <t>23 exemptions are judgement calls worth a second pair of eyes</t>
        </is>
      </c>
      <c r="H55" s="31" t="inlineStr">
        <is>
          <t>Copy the gate to the sibling products</t>
        </is>
      </c>
    </row>
    <row r="56" ht="15" customHeight="1" s="26">
      <c r="A56" s="31" t="inlineStr">
        <is>
          <t>L-053</t>
        </is>
      </c>
      <c r="B56" s="31" t="inlineStr">
        <is>
          <t>2026-09-13 18:48</t>
        </is>
      </c>
      <c r="C56" s="31" t="inlineStr">
        <is>
          <t>—</t>
        </is>
      </c>
      <c r="D56" s="31" t="inlineStr">
        <is>
          <t>Audited the 23 tenant-gate exemptions I had written an hour earlier and flagged as judgement calls. One was false, which is DM-F22. The PauseManager exemption claimed that callers passed account-namespaced keys; checking the source showed e-sign passing a bare requestId and batch a bare templateId. I demonstrated the consequence before fixing it: a single shared PauseManager holds template ids, sign-request ids, job ids and trigger ids in ONE namespace, so pausing a template called X also reports a sign request called X as paused. Nothing had broken only because each service happened to be given its own instance — and nothing enforced that. The uncomfortable part is that the exemption was right about the outcome (e-sign is protected, by an ownership check) and wrong about the reason, which is exactly the kind of note that passes a security review unchallenged. Fixed by making pauseKey(entity, accountId, entityId) the only way keys are formed across templates, sign requests, batch jobs, form triggers and filing. More importantly the exemptions are no longer prose: three tests now VERIFY their claims — one scans the source and fails the build if any PauseManager call omits pauseKey, one proves two entity types sharing an id cannot collide, one asserts that only the designer and the sidebar touch a template repository directly. An exemption without a test is a comment.</t>
        </is>
      </c>
      <c r="E56" s="31" t="inlineStr">
        <is>
          <t>DM-F22; DM-F21</t>
        </is>
      </c>
      <c r="F56" s="31" t="inlineStr">
        <is>
          <t>44 suites / 801 tests at 100%; smoke green</t>
        </is>
      </c>
      <c r="G56" s="31" t="inlineStr">
        <is>
          <t>22 exemptions remain reasoned but only 3 are test-verified</t>
        </is>
      </c>
      <c r="H56" s="31" t="inlineStr">
        <is>
          <t>Copy the gate to siblings; DM-F19/F20 decision</t>
        </is>
      </c>
    </row>
    <row r="57" ht="15" customHeight="1" s="26">
      <c r="A57" s="31" t="inlineStr">
        <is>
          <t>L-054</t>
        </is>
      </c>
      <c r="B57" s="31" t="inlineStr">
        <is>
          <t>2026-09-13 18:53</t>
        </is>
      </c>
      <c r="C57" s="31" t="inlineStr">
        <is>
          <t>—</t>
        </is>
      </c>
      <c r="D57" s="31" t="inlineStr">
        <is>
          <t>Converted the remaining 22 tenant-gate exemptions from prose into verified claims, closing the gap DM-F22 exposed an hour earlier. Each exemption asserts that a protection exists somewhere else; until now nothing checked whether it did, and one of them was wrong about its reason while right about its outcome — which is the version that survives review. The claims are now checked against behaviour or source: the sandbox holds no account, store or repository reference and its sessions are distinct under the real id generator; purgeAccount takes the account as its subject; the status page contains no tenant concept at all; signer actions reject a stranger holding a valid request id and accept a listed signer who has no account, which is what makes the exemption legitimate rather than convenient; a batch sidebar bound to one account cannot run another account template; both sidebar controllers stamp their own account onto what they create rather than trusting a caller-supplied one; and per-entity metrics and the support inbox are confirmed absent from every HTTP route, which is exactly what keeps DM-F19 and DM-F20 open product decisions rather than live data leaks. Added a meta-gate: unverifiedExemptions() fails the build when an exemption is added without a test naming it, with its own test proving the meta-gate catches such an addition. One fixture error found and fixed along the way — I had pinned the sandbox id generator to a constant, which made the distinctness assertion meaningless.</t>
        </is>
      </c>
      <c r="E57" s="31" t="inlineStr">
        <is>
          <t>DM-F23; DM-F22; DM-F19; DM-F20</t>
        </is>
      </c>
      <c r="F57" s="31" t="inlineStr">
        <is>
          <t>44 suites / 812 tests at 100%; smoke green</t>
        </is>
      </c>
      <c r="G57" s="31" t="inlineStr">
        <is>
          <t>Gate + meta-gate ready to copy to siblings</t>
        </is>
      </c>
      <c r="H57" s="31" t="inlineStr">
        <is>
          <t>DM-F19/F20 and D-DM1 are yours</t>
        </is>
      </c>
    </row>
    <row r="58" ht="15" customHeight="1" s="26">
      <c r="A58" s="31" t="inlineStr">
        <is>
          <t>L-055</t>
        </is>
      </c>
      <c r="B58" s="31" t="inlineStr">
        <is>
          <t>2026-09-13 18:58</t>
        </is>
      </c>
      <c r="C58" s="31" t="inlineStr">
        <is>
          <t>—</t>
        </is>
      </c>
      <c r="D58" s="31" t="inlineStr">
        <is>
          <t>VER-DM6: checked our capacity promises against the platform that has to honour them, and they contradict it. The Docs API allows 60 WRITE requests per minute per user per project. ST-087 set a 1500ms p95 budget per generated row, and ST-088 drove 100 requests a minute at 5x expected traffic and reported PASS. One user cannot exceed one document per second however fast our code is; past 60 in a minute they get 429s and our own backoff makes the p95 worse rather than better. The consequence nobody had written down: a 500-row batch for a single customer cannot complete in under EIGHT MINUTES, which is absent from every estimate, SLO and board entry we have produced. The load test had never touched the ceiling because it drove an injected worker — R-D9 said the numbers proved the harness rather than capacity, and this is that warning with the actual figure attached. Fixed by recording the verified quotas with their sources and refusing to guess an unrecorded one, adding a feasibility check that fails the build when an internal promise exceeds an external quota, a per-account governor that paces instead of earning 429s and reports an honest completion estimate, and making runLoadTest refuse to pass a profile that drives more than a declared platform ceiling. Also recorded while there: Apps Script UrlFetch is capped at 20,000 calls a day for consumer accounts and 100,000 for Workspace, which is the real per-customer ceiling on the form forwarder shipped for VER-DM2 and was likewise unexamined.</t>
        </is>
      </c>
      <c r="E58" s="31" t="inlineStr">
        <is>
          <t>VER-DM6; ST-087; ST-088; R-D9; VER-DM2</t>
        </is>
      </c>
      <c r="F58" s="31" t="inlineStr">
        <is>
          <t>45 suites / 827 tests at 100%; smoke green</t>
        </is>
      </c>
      <c r="G58" s="31" t="inlineStr">
        <is>
          <t>Batch runner not yet paced through the governor; help-centre timing wording owed</t>
        </is>
      </c>
      <c r="H58" s="31" t="inlineStr">
        <is>
          <t>Pace the runner; copy gates to siblings</t>
        </is>
      </c>
    </row>
    <row r="59" ht="15" customHeight="1" s="26">
      <c r="A59" s="31" t="inlineStr">
        <is>
          <t>L-056</t>
        </is>
      </c>
      <c r="B59" s="31" t="inlineStr">
        <is>
          <t>2026-09-13 19:33</t>
        </is>
      </c>
      <c r="C59" s="31" t="inlineStr">
        <is>
          <t>—</t>
        </is>
      </c>
      <c r="D59" s="31" t="inlineStr">
        <is>
          <t>Closed the two items I flagged as still owed on VER-DM6 rather than leaving them to read as done. The batch runner now paces THROUGH the QuotaGovernor, waiting before each write rather than after a rejection — waiting on our side costs only the wait, whereas being throttled costs a round trip, a backoff, and a slice of the customer's remaining Docs quota that their other tools also need. BatchResult reports quotaWaitMs separately from everything else, so a long batch reads as "paced by Google's limit" rather than "the product is slow", which is the difference between an understood wait and a support ticket. Metering is per account, proven by a test in which one customer exhausting their allowance leaves another entirely unaffected. The help-centre article now states the real figures — about 60 documents a minute, roughly eight minutes for 500 and sixteen for 1,000 — and I checked it is findable by the questions people will actually type: "how long", "slow" and "quota" all return it. One of my test expectations was wrong while the code was right: rows run in bursts because a single wait clears the whole minute-window, so seven rows at a ceiling of three cost two waits rather than four, and the test now says so with the reason.</t>
        </is>
      </c>
      <c r="E59" s="31" t="inlineStr">
        <is>
          <t>VER-DM6; ST-012; ST-080</t>
        </is>
      </c>
      <c r="F59" s="31" t="inlineStr">
        <is>
          <t>45 suites / 830 tests at 100%; smoke green</t>
        </is>
      </c>
      <c r="G59" s="31" t="inlineStr">
        <is>
          <t>Nothing owed on VER-DM6</t>
        </is>
      </c>
      <c r="H59" s="31" t="inlineStr">
        <is>
          <t>Copy the gates to siblings; DM-F19/F20 and D-DM1 are yours</t>
        </is>
      </c>
    </row>
    <row r="60" ht="15" customHeight="1" s="26">
      <c r="A60" s="31" t="inlineStr">
        <is>
          <t>L-057</t>
        </is>
      </c>
      <c r="B60" s="31" t="inlineStr">
        <is>
          <t>2026-09-13 19:39</t>
        </is>
      </c>
      <c r="C60" s="31" t="inlineStr">
        <is>
          <t>—</t>
        </is>
      </c>
      <c r="D60" s="31" t="inlineStr">
        <is>
          <t>Extracted the portfolio guard kit so the sibling products can act on today's findings without waiting for me to have their code. Four modules, verified to have ZERO imports of any kind, so dropping them in brings nothing else with it: tenantGate with its meta-gate, ledger, purge, platformQuotas. Two corrections made during extraction rather than after. First, platformQuotas was parameterised — the mechanism ports but Google's 60-writes-per-minute has no business in a Zoho or Xero product, and inheriting it silently would be exactly the unchecked assumption the module exists to prevent. Second, I copied DocMerge's tenantGate test into the kit and then removed it: it imports designerOps, esign, batchOps and half the product, so it would not have compiled anywhere else, and shipping it would have been a kit that looks complete and fails on first use. The kit now carries a template test with no product imports. README records what each gate caught HERE as evidence rather than describing the gates abstractly, and TRIAGE.md gives the five questions to ask on a first run — DocMerge flagged 28 methods and only five clusters were genuine, so a team that exempts without triaging converts the gate into decoration.</t>
        </is>
      </c>
      <c r="E60" s="31" t="inlineStr">
        <is>
          <t>Guard kit; DM-F16..F23; VER-DM6</t>
        </is>
      </c>
      <c r="F60" s="31" t="inlineStr">
        <is>
          <t>45 suites / 832 tests at 100%</t>
        </is>
      </c>
      <c r="G60" s="31" t="inlineStr">
        <is>
          <t>Kit is untested against a real sibling codebase</t>
        </is>
      </c>
      <c r="H60" s="31" t="inlineStr">
        <is>
          <t>Run it against a sibling when available</t>
        </is>
      </c>
    </row>
    <row r="61" ht="15" customHeight="1" s="26">
      <c r="A61" s="31" t="inlineStr">
        <is>
          <t>L-058</t>
        </is>
      </c>
      <c r="B61" s="31" t="inlineStr">
        <is>
          <t>2026-09-13 20:27</t>
        </is>
      </c>
      <c r="C61" s="31" t="inlineStr">
        <is>
          <t>—</t>
        </is>
      </c>
      <c r="D61" s="31" t="inlineStr">
        <is>
          <t>VER-DM7: the quota module built an hour ago caught a gap in itself. It refuses to guess an unrecorded quota, and the filing path tripped that refusal immediately — we write to Drive for every generated document and had recorded no Drive limit at all. Checking produced an awkward answer rather than a clean one: Google is mid-migration between a request-count model (12,000 queries per 60 seconds per user on one published page) and a quota-unit model (1,000,000 units per minute per project, 325,000 per user on another), with projects that used the API before May 2026 reportedly keeping legacy counts until the rollout completes. Which applies depends on the age of a project we have not created yet. I recorded the conservative figure WITH the ambiguity attached and added a caveat field so an unreliable quota is visibly unreliable, rather than resolving it by choosing whichever number suited the plan — that choice is precisely the unchecked assumption the module exists to prevent. The useful conclusion is reassuring: on every published model Drive sits two orders of magnitude above the Docs ceiling of 60 writes per minute per user, so filing is not the binding constraint on a batch and the governor is already configured to the one that is. Added bindingConstraint() to compute which API throttles first, with a test proving Docs governs today and another proving that a future quota change reversing it would surface rather than silently slowing every customer run. One test correctly failed during the change — it had asserted Drive was unrecorded, which was true until this finding closed it.</t>
        </is>
      </c>
      <c r="E61" s="31" t="inlineStr">
        <is>
          <t>VER-DM7; VER-DM6; ST-031</t>
        </is>
      </c>
      <c r="F61" s="31" t="inlineStr">
        <is>
          <t>45 suites / 836 tests at 100%; smoke green; guard kit refreshed</t>
        </is>
      </c>
      <c r="G61" s="31" t="inlineStr">
        <is>
          <t>Drive figure must be re-verified against the real project (LC-1)</t>
        </is>
      </c>
      <c r="H61" s="31" t="inlineStr">
        <is>
          <t>D-DM1, DM-F19/F20, LC-1 chain</t>
        </is>
      </c>
    </row>
    <row r="62" ht="15" customHeight="1" s="26">
      <c r="A62" s="31" t="inlineStr">
        <is>
          <t>L-059</t>
        </is>
      </c>
      <c r="B62" s="31" t="inlineStr">
        <is>
          <t>2026-09-13 20:34</t>
        </is>
      </c>
      <c r="C62" s="31" t="inlineStr">
        <is>
          <t>—</t>
        </is>
      </c>
      <c r="D62" s="31" t="inlineStr">
        <is>
          <t>Wrote STATE_OF_DOCMERGE.md rather than another module, because thirty findings and sixty-two log entries are not a thing anyone can act on. It states the position in one paragraph, lists the three decisions owed with what each costs if deferred, gives the eight external actions in their corrected order (hosting before the consent screen, since the screen requires verified authorised domains — a sequencing error I made earlier today and corrected as R-D15), and records the five lessons that outlast the individual fixes: coverage proves execution rather than correctness, since read-only mode and plan limits were fully built and tested and called from nowhere; authentication is not authorisation, and having signed sessions made the missing entitlement check look done; internal review cannot see platform reality, as two clean passes found nothing and a live-documentation sweep then found seven findings in seven checks; a plausible reason survives review indefinitely, which is why exemptions are now tests; and a sweep finds a class once while a gate finds it every commit. It closes with the assessment I would want on the record: the product has been code-complete since roughly 11:00 and has not moved one step closer to a customer since, because everything remaining needs a domain, a project, a budget or a decision — and the highest-value hour available is registering a domain and creating the GCP project, which unblocks seven of the eight remaining actions.</t>
        </is>
      </c>
      <c r="E62" s="31" t="inlineStr">
        <is>
          <t>All findings; D-DM1; R-D15; LC-1</t>
        </is>
      </c>
      <c r="F62" s="31" t="inlineStr">
        <is>
          <t>45 suites / 836 tests at 100%</t>
        </is>
      </c>
      <c r="G62" s="31" t="inlineStr">
        <is>
          <t>Nothing further without a decision, a sibling codebase, or live infrastructure</t>
        </is>
      </c>
      <c r="H62" s="31" t="inlineStr">
        <is>
          <t>Senthil</t>
        </is>
      </c>
    </row>
    <row r="63" ht="15" customHeight="1" s="26">
      <c r="A63" s="43" t="n"/>
    </row>
    <row r="64" ht="15" customHeight="1" s="26">
      <c r="A64" s="33" t="inlineStr">
        <is>
          <t>S13-R1</t>
        </is>
      </c>
      <c r="B64" s="33" t="inlineStr">
        <is>
          <t>2026-09-13 22:53</t>
        </is>
      </c>
      <c r="C64" s="33" t="inlineStr">
        <is>
          <t>—</t>
        </is>
      </c>
      <c r="D64" s="33" t="inlineStr">
        <is>
          <t>RR-01..RR-10 (new); no Full_Backlog story changed</t>
        </is>
      </c>
      <c r="E64" s="33" t="inlineStr">
        <is>
          <t>Incorporated external review CGPT V001 across code, both workbooks and the repo documents. Verified the three checkable claims directly instead of accepting them — deploy placeholder, missing supply-chain evidence, reproducibility gap — and all three were real.</t>
        </is>
      </c>
      <c r="F64" s="33" t="inlineStr">
        <is>
          <t>Lockfile committed; supply-chain CI job added; placeholder deploy replaced with a fail-closed job. Verified from clean: 280 packages, tsc clean, 836 tests / 45 suites / 100% (twice), audit 0 vulns, secret-scan clean, SBOM 280 components. Module_Traceability closes an 18-module gap. Four enterprise findings deferred, not built.</t>
        </is>
      </c>
      <c r="G64" s="33" t="inlineStr">
        <is>
          <t>CGPT-DM-001..012; D-DM2/D-DM3/D-DM4; RR-01..RR-10</t>
        </is>
      </c>
    </row>
    <row r="65" ht="15" customHeight="1" s="26">
      <c r="A65" s="33" t="inlineStr">
        <is>
          <t>S13-R2</t>
        </is>
      </c>
      <c r="B65" s="33" t="inlineStr">
        <is>
          <t>2026-09-13 23:04</t>
        </is>
      </c>
      <c r="C65" s="33" t="inlineStr">
        <is>
          <t>—</t>
        </is>
      </c>
      <c r="D65" s="33" t="inlineStr">
        <is>
          <t>RR-11 (new); no Full_Backlog story changed</t>
        </is>
      </c>
      <c r="E65" s="33" t="inlineStr">
        <is>
          <t>Converted the three accepted external findings into a standing gate rather than leaving them fixed. releaseGate.ts checks the pipeline that produces the evidence — the one component no review had examined, and the one whose failure invalidates every other gate.</t>
        </is>
      </c>
      <c r="F65" s="33" t="inlineStr">
        <is>
          <t>862 tests / 46 suites / 100% from clean npm ci; releaseGate 26 tests at 100%; guard kit extended to five modules with README and TRIAGE updated.</t>
        </is>
      </c>
      <c r="G65" s="33" t="inlineStr">
        <is>
          <t>CGPT-DM-002/004/012; RG-01..RG-04; RR-11</t>
        </is>
      </c>
    </row>
    <row r="66" ht="15" customHeight="1" s="26">
      <c r="A66" s="33" t="inlineStr">
        <is>
          <t>S13-R3</t>
        </is>
      </c>
      <c r="B66" s="33" t="inlineStr">
        <is>
          <t>2026-09-13 23:13</t>
        </is>
      </c>
      <c r="C66" s="33" t="inlineStr">
        <is>
          <t>—</t>
        </is>
      </c>
      <c r="D66" s="33" t="inlineStr">
        <is>
          <t>RR-12, RR-13, RR-14 (new); no Full_Backlog story changed</t>
        </is>
      </c>
      <c r="E66" s="33" t="inlineStr">
        <is>
          <t>Went at the launch rather than the codebase. Produced the two launch items that need neither a GCP project nor a running application: the required icon family and card banner, and the trust pages that must be hosted before the consent screen.</t>
        </is>
      </c>
      <c r="F66" s="33" t="inlineStr">
        <is>
          <t>Icons and banner validated by the product's own validateAssets; five static pages generated from the enforcing code; terms of service exists for the first time; HOSTING.md gives the ordered path. 882 tests / 47 suites / 100% across 51 modules.</t>
        </is>
      </c>
      <c r="G66" s="33" t="inlineStr">
        <is>
          <t>VER-DM4; R-D15; R-D22; R-D23; RR-12..RR-14</t>
        </is>
      </c>
    </row>
    <row r="67" ht="15" customHeight="1" s="26">
      <c r="A67" s="33" t="inlineStr">
        <is>
          <t>S13-R4</t>
        </is>
      </c>
      <c r="B67" s="33" t="inlineStr">
        <is>
          <t>2026-09-14 13:59</t>
        </is>
      </c>
      <c r="C67" s="33" t="inlineStr">
        <is>
          <t>—</t>
        </is>
      </c>
      <c r="D67" s="33" t="inlineStr">
        <is>
          <t>RR-15, RR-16 (new); no Full_Backlog story changed</t>
        </is>
      </c>
      <c r="E67" s="33" t="inlineStr">
        <is>
          <t>No code. Issued the decision pack and re-measured the submission dry run, which had been counting against a checklist missing two required items.</t>
        </is>
      </c>
      <c r="F67" s="33" t="inlineStr">
        <is>
          <t>11 of 22 satisfied (was 10 of 20 against an incomplete list). Seven decisions given recommendations with reasoning. Suite unchanged at 882 / 47 suites / 100%.</t>
        </is>
      </c>
      <c r="G67" s="33" t="inlineStr">
        <is>
          <t>R-D24; D-DM1..D-DM4; R-D13; R-D22; CL-21; CL-22</t>
        </is>
      </c>
    </row>
    <row r="68" ht="15" customHeight="1" s="26">
      <c r="A68" s="34" t="inlineStr">
        <is>
          <t>S13-R5</t>
        </is>
      </c>
      <c r="B68" s="33" t="inlineStr">
        <is>
          <t>2026-09-15 09:09</t>
        </is>
      </c>
      <c r="C68" s="33" t="inlineStr">
        <is>
          <t>—</t>
        </is>
      </c>
      <c r="D68" s="33" t="inlineStr">
        <is>
          <t>RR-17, RR-18 (new)</t>
        </is>
      </c>
      <c r="E68" s="33" t="inlineStr">
        <is>
          <t>Proved the Postgres adapter against a real engine after two siblings found defects at that exact boundary. Wrote the portfolio defect-class register.</t>
        </is>
      </c>
      <c r="F68" s="33" t="inlineStr">
        <is>
          <t>10 contract tests, clean. Three overlapping gate packages identified as a portfolio risk (R-D26).</t>
        </is>
      </c>
      <c r="G68" s="33" t="inlineStr">
        <is>
          <t>C-14; R-D25; R-D26; RR-17; RR-18</t>
        </is>
      </c>
    </row>
    <row r="69" ht="15" customHeight="1" s="26">
      <c r="A69" s="43" t="inlineStr">
        <is>
          <t>Append one row per working session. Entry IDs L-NNN sequential. Decision refs point to portfolio decisions (D-series) or Version_Control rows.</t>
        </is>
      </c>
    </row>
    <row r="70">
      <c r="A70" s="56" t="inlineStr">
        <is>
          <t>2026-09-20 13:15</t>
        </is>
      </c>
      <c r="B70" s="56" t="inlineStr">
        <is>
          <t>v047</t>
        </is>
      </c>
      <c r="C70" s="56" t="inlineStr">
        <is>
          <t>S13-S19 (PPLX)</t>
        </is>
      </c>
      <c r="D70" s="71" t="inlineStr">
        <is>
          <t>EXTERNAL REVIEW PPLX V001 INCORPORATED AND SEVEN SPRINTS EXECUTED. The review executed the code and found the product was domain-logic-complete, not code-complete: every boundary to the outside world was an injected interface with no implementation, npm start started nothing, migrate crashed on an undeclared pg, and the SBOM's 280 components were all development-time. Product consequences recorded here: ReadMe_Scope differentiation rewritten (all three previous differentiators are dead, including a CASA badge our own scope work had already made unavailable); Financial_Model_v2 built with the free tier's cost and an explicit breakeven row (M12 under stated assumptions, against NONE in the horizon for v046 — whose arithmetic was reproduced here to the dollar and is correct); Risk_Register regraded (native doc-gen raised to High/High — Gemini in Docs is no longer a forecast; the autoCrat figure retracted); Enterprise_Scorecard re-assessed against a product that now runs. Eighteen response items PR-01..PR-18, fourteen of which needed nothing from Senthil.</t>
        </is>
      </c>
      <c r="E70" s="56" t="inlineStr">
        <is>
          <t>1513 tests / 81 suites / 100% x4; 13 runtime SBOM components; restore drill RTO 95ms</t>
        </is>
      </c>
      <c r="F70" s="56" t="inlineStr">
        <is>
          <t>P-DM-001..012; §5; D-DM5, D-DM6, D-DM7</t>
        </is>
      </c>
      <c r="G70" s="56" t="inlineStr">
        <is>
          <t>Live verification of every Google call (LC-1); pricing (D-DM5); a lawyer (R-D22)</t>
        </is>
      </c>
      <c r="H70" s="56" t="inlineStr">
        <is>
          <t>Senthil — LC-1, a lawyer, a pricing call, three ratifications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1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25" min="1" max="1"/>
    <col width="8" customWidth="1" style="25" min="2" max="2"/>
    <col width="48" customWidth="1" style="25" min="3" max="3"/>
    <col width="44" customWidth="1" style="25" min="4" max="4"/>
    <col width="52" customWidth="1" style="25" min="5" max="5"/>
    <col width="20" customWidth="1" style="25" min="6" max="6"/>
    <col width="9" customWidth="1" style="25" min="7" max="7"/>
  </cols>
  <sheetData>
    <row r="1" ht="17.25" customHeight="1" s="26">
      <c r="A1" s="27" t="inlineStr">
        <is>
          <t>TRACEABILITY MATRIX — story → code → tests → coverage (D13: 100% gate on all shipped code)</t>
        </is>
      </c>
    </row>
    <row r="2"/>
    <row r="3" ht="15" customHeight="1" s="26">
      <c r="A3" s="42" t="inlineStr">
        <is>
          <t>Story ID</t>
        </is>
      </c>
      <c r="B3" s="42" t="inlineStr">
        <is>
          <t>Sprint</t>
        </is>
      </c>
      <c r="C3" s="42" t="inlineStr">
        <is>
          <t>Requirement (from Full_Backlog)</t>
        </is>
      </c>
      <c r="D3" s="42" t="inlineStr">
        <is>
          <t>Source module(s)</t>
        </is>
      </c>
      <c r="E3" s="42" t="inlineStr">
        <is>
          <t>Test file(s) / evidence</t>
        </is>
      </c>
      <c r="F3" s="42" t="inlineStr">
        <is>
          <t>Coverage</t>
        </is>
      </c>
      <c r="G3" s="42" t="inlineStr">
        <is>
          <t>Status</t>
        </is>
      </c>
    </row>
    <row r="4" ht="34.5" customHeight="1" s="26">
      <c r="A4" s="31" t="inlineStr">
        <is>
          <t>ST-051</t>
        </is>
      </c>
      <c r="B4" s="31" t="inlineStr">
        <is>
          <t>S1</t>
        </is>
      </c>
      <c r="C4" s="31" t="inlineStr">
        <is>
          <t>Marketplace OAuth install completes and lands on welcome state in &lt;2 min</t>
        </is>
      </c>
      <c r="D4" s="31" t="inlineStr">
        <is>
          <t>docmerge-pro-s1/src/oauth.ts (exchangeCode); src/install.ts (InstallService, INSTALL_BUDGET_MS, MemoryAccountRepo)</t>
        </is>
      </c>
      <c r="E4" s="31" t="inlineStr">
        <is>
          <t>tests/oauth.test.ts (exchange + missing-refresh-token error); tests/install.test.ts (welcome state, 2-min budget pass/fail, default source, repo behaviours)</t>
        </is>
      </c>
      <c r="F4" s="31" t="inlineStr">
        <is>
          <t>100% stmt/branch/func/line</t>
        </is>
      </c>
      <c r="G4" s="44" t="inlineStr">
        <is>
          <t>Done</t>
        </is>
      </c>
    </row>
    <row r="5" ht="34.5" customHeight="1" s="26">
      <c r="A5" s="31" t="inlineStr">
        <is>
          <t>ST-052</t>
        </is>
      </c>
      <c r="B5" s="31" t="inlineStr">
        <is>
          <t>S1</t>
        </is>
      </c>
      <c r="C5" s="31" t="inlineStr">
        <is>
          <t>Uninstall webhook removes tokens, schedules data deletion per policy</t>
        </is>
      </c>
      <c r="D5" s="31" t="inlineStr">
        <is>
          <t>src/oauth.ts (revoke); src/uninstall.ts (UninstallService, RETENTION_WINDOW_MS 30d, MemoryDeletionScheduler)</t>
        </is>
      </c>
      <c r="E5" s="31" t="inlineStr">
        <is>
          <t>tests/uninstall.test.ts (revoke + delete + schedule at retention boundary, partial-install path, webhook-replay idempotency); tests/oauth.test.ts (revoke endpoint)</t>
        </is>
      </c>
      <c r="F5" s="31" t="inlineStr">
        <is>
          <t>100% stmt/branch/func/line</t>
        </is>
      </c>
      <c r="G5" s="44" t="inlineStr">
        <is>
          <t>Done</t>
        </is>
      </c>
    </row>
    <row r="6" ht="45.75" customHeight="1" s="26">
      <c r="A6" s="31" t="inlineStr">
        <is>
          <t>ST-055</t>
        </is>
      </c>
      <c r="B6" s="31" t="inlineStr">
        <is>
          <t>S1</t>
        </is>
      </c>
      <c r="C6" s="31" t="inlineStr">
        <is>
          <t>Session/token refresh survives platform token rotation</t>
        </is>
      </c>
      <c r="D6" s="31" t="inlineStr">
        <is>
          <t>src/oauth.ts (refresh, rotation adoption); src/tokenRefresh.ts (TokenRefreshManager, EXPIRY_SKEW_MS, invalid_grant → re-auth, single retry)</t>
        </is>
      </c>
      <c r="E6" s="31" t="inlineStr">
        <is>
          <t>tests/tokenRefresh.test.ts (fresh/skew, non-rotated + rotated refresh persisted, invalid_grant clears credential, transient retry succeed/fail); tests/oauth.test.ts (rotation)</t>
        </is>
      </c>
      <c r="F6" s="31" t="inlineStr">
        <is>
          <t>100% stmt/branch/func/line</t>
        </is>
      </c>
      <c r="G6" s="44" t="inlineStr">
        <is>
          <t>Done</t>
        </is>
      </c>
    </row>
    <row r="7" ht="34.5" customHeight="1" s="26">
      <c r="A7" s="31" t="inlineStr">
        <is>
          <t>ST-056</t>
        </is>
      </c>
      <c r="B7" s="31" t="inlineStr">
        <is>
          <t>S1</t>
        </is>
      </c>
      <c r="C7" s="31" t="inlineStr">
        <is>
          <t>Install telemetry: source attribution (listing/search/referral) captured</t>
        </is>
      </c>
      <c r="D7" s="31" t="inlineStr">
        <is>
          <t>src/telemetry.ts (normaliseSource, Telemetry.trackInstall, sink-failure isolation)</t>
        </is>
      </c>
      <c r="E7" s="31" t="inlineStr">
        <is>
          <t>tests/telemetry.test.ts (all 3 valid sources, unknown/undefined fallback, event envelope, dropped-event counting); tests/install.test.ts (attribution through install flow)</t>
        </is>
      </c>
      <c r="F7" s="31" t="inlineStr">
        <is>
          <t>100% stmt/branch/func/line</t>
        </is>
      </c>
      <c r="G7" s="44" t="inlineStr">
        <is>
          <t>Done</t>
        </is>
      </c>
    </row>
    <row r="8" ht="23.25" customHeight="1" s="26">
      <c r="A8" s="31" t="inlineStr">
        <is>
          <t>ST-001</t>
        </is>
      </c>
      <c r="B8" s="31" t="inlineStr">
        <is>
          <t>S2</t>
        </is>
      </c>
      <c r="C8" s="31" t="inlineStr">
        <is>
          <t>As a Office manager, I can set up Template designer with sensible defaults in one screen</t>
        </is>
      </c>
      <c r="D8" s="31" t="inlineStr">
        <is>
          <t>docmerge-pro-s1/src/templates.ts (TemplateDesigner.createWithDefaults — pdf output, filename pattern, destination folder defaulted; name+body only)</t>
        </is>
      </c>
      <c r="E8" s="31" t="inlineStr">
        <is>
          <t>tests/templates.test.ts (defaults object pinned; member denial; default id/clock)</t>
        </is>
      </c>
      <c r="F8" s="31" t="inlineStr">
        <is>
          <t>100% stmt/branch/func/line</t>
        </is>
      </c>
      <c r="G8" s="44" t="inlineStr">
        <is>
          <t>Done</t>
        </is>
      </c>
    </row>
    <row r="9" ht="23.25" customHeight="1" s="26">
      <c r="A9" s="31" t="inlineStr">
        <is>
          <t>ST-002</t>
        </is>
      </c>
      <c r="B9" s="31" t="inlineStr">
        <is>
          <t>S2</t>
        </is>
      </c>
      <c r="C9" s="31" t="inlineStr">
        <is>
          <t>As a Office manager, the Template designer happy path completes without documentation</t>
        </is>
      </c>
      <c r="D9" s="31" t="inlineStr">
        <is>
          <t>src/templates.ts (renderPreview: extractPlaceholders/extractSections, section rules applied, full substitution; TemplateValidationError with per-field Sheet-column hints)</t>
        </is>
      </c>
      <c r="E9" s="31" t="inlineStr">
        <is>
          <t>tests/templates.test.ts (end-to-end render, section include/exclude, all operators true+false, empty-value falsity, evaluateRule undefined guards, missing-field messages)</t>
        </is>
      </c>
      <c r="F9" s="31" t="inlineStr">
        <is>
          <t>100% stmt/branch/func/line</t>
        </is>
      </c>
      <c r="G9" s="44" t="inlineStr">
        <is>
          <t>Done</t>
        </is>
      </c>
    </row>
    <row r="10" ht="23.25" customHeight="1" s="26">
      <c r="A10" s="31" t="inlineStr">
        <is>
          <t>ST-003</t>
        </is>
      </c>
      <c r="B10" s="31" t="inlineStr">
        <is>
          <t>S2</t>
        </is>
      </c>
      <c r="C10" s="31" t="inlineStr">
        <is>
          <t>As a Workspace admin, I can customise Template designer rules/conditions for my workflow</t>
        </is>
      </c>
      <c r="D10" s="31" t="inlineStr">
        <is>
          <t>src/templates.ts (setRules: validates rule fields against placeholders, sections against body, comparison values present; multi-problem aggregation)</t>
        </is>
      </c>
      <c r="E10" s="31" t="inlineStr">
        <is>
          <t>tests/templates.test.ts (valid persist, unknown field, unknown section, missing value, aggregated problems, missing template, member denial)</t>
        </is>
      </c>
      <c r="F10" s="31" t="inlineStr">
        <is>
          <t>100% stmt/branch/func/line</t>
        </is>
      </c>
      <c r="G10" s="44" t="inlineStr">
        <is>
          <t>Done</t>
        </is>
      </c>
    </row>
    <row r="11" ht="23.25" customHeight="1" s="26">
      <c r="A11" s="31" t="inlineStr">
        <is>
          <t>ST-004</t>
        </is>
      </c>
      <c r="B11" s="31" t="inlineStr">
        <is>
          <t>S2</t>
        </is>
      </c>
      <c r="C11" s="31" t="inlineStr">
        <is>
          <t>As a user, Template designer shows clear errors and retry paths on platform API failures</t>
        </is>
      </c>
      <c r="D11" s="31" t="inlineStr">
        <is>
          <t>src/platformErrors.ts (mapPlatformFailure 429/5xx/403/404/unknown -&gt; typed user messages with retry paths; withRetry exponential backoff, non-retryable passthrough)</t>
        </is>
      </c>
      <c r="E11" s="31" t="inlineStr">
        <is>
          <t>tests/platformErrors.test.ts (every failure kind, backoff delays 100/200, exhaustion, non-retry single call, pre-mapped passthrough)</t>
        </is>
      </c>
      <c r="F11" s="31" t="inlineStr">
        <is>
          <t>100% stmt/branch/func/line</t>
        </is>
      </c>
      <c r="G11" s="44" t="inlineStr">
        <is>
          <t>Done</t>
        </is>
      </c>
    </row>
    <row r="12" ht="34.5" customHeight="1" s="26">
      <c r="A12" s="31" t="inlineStr">
        <is>
          <t>ST-005</t>
        </is>
      </c>
      <c r="B12" s="31" t="inlineStr">
        <is>
          <t>S3</t>
        </is>
      </c>
      <c r="C12" s="31" t="inlineStr">
        <is>
          <t>As a Ops freelancer, Template designer works on the Workspace add-on sidebar in Sheets/Docs surface end-to-end</t>
        </is>
      </c>
      <c r="D12" s="31" t="inlineStr">
        <is>
          <t>src/sidebar.ts (SidebarController: injected SidebarHost for Sheets/Docs; open/list, openTemplate, previewFromActiveRow)</t>
        </is>
      </c>
      <c r="E12" s="31" t="inlineStr">
        <is>
          <t>tests/sidebar.test.ts (full sheets flow end-to-end, docs fallback, missing template, no-template guard, state copy)</t>
        </is>
      </c>
      <c r="F12" s="31" t="inlineStr">
        <is>
          <t>100% stmt/branch/func/line</t>
        </is>
      </c>
      <c r="G12" s="44" t="inlineStr">
        <is>
          <t>Done</t>
        </is>
      </c>
    </row>
    <row r="13" ht="23.25" customHeight="1" s="26">
      <c r="A13" s="31" t="inlineStr">
        <is>
          <t>ST-006</t>
        </is>
      </c>
      <c r="B13" s="31" t="inlineStr">
        <is>
          <t>S3</t>
        </is>
      </c>
      <c r="C13" s="31" t="inlineStr">
        <is>
          <t>As a Workspace admin, I can see Template designer performance metrics and trends</t>
        </is>
      </c>
      <c r="D13" s="31" t="inlineStr">
        <is>
          <t>src/designerOps.ts (TemplateMetrics: renders/failures/successRate/p95/trendDelta per period)</t>
        </is>
      </c>
      <c r="E13" s="31" t="inlineStr">
        <is>
          <t>tests/designerOps.test.ts (summary values, trend vs previous period, empty neutral summary, default clock)</t>
        </is>
      </c>
      <c r="F13" s="31" t="inlineStr">
        <is>
          <t>100% stmt/branch/func/line</t>
        </is>
      </c>
      <c r="G13" s="44" t="inlineStr">
        <is>
          <t>Done</t>
        </is>
      </c>
    </row>
    <row r="14" ht="23.25" customHeight="1" s="26">
      <c r="A14" s="31" t="inlineStr">
        <is>
          <t>ST-007</t>
        </is>
      </c>
      <c r="B14" s="31" t="inlineStr">
        <is>
          <t>S3</t>
        </is>
      </c>
      <c r="C14" s="31" t="inlineStr">
        <is>
          <t>As a user, Template designer respects role permissions and audit logging</t>
        </is>
      </c>
      <c r="D14" s="31" t="inlineStr">
        <is>
          <t>src/designerOps.ts (AuditLog; AuditedTemplateDesigner wrapping create/setRules/render — denied attempts recorded then re-thrown)</t>
        </is>
      </c>
      <c r="E14" s="31" t="inlineStr">
        <is>
          <t>tests/designerOps.test.ts (allowed ops logged, denied logged + rethrown, non-permission failures not logged, target filter)</t>
        </is>
      </c>
      <c r="F14" s="31" t="inlineStr">
        <is>
          <t>100% stmt/branch/func/line</t>
        </is>
      </c>
      <c r="G14" s="44" t="inlineStr">
        <is>
          <t>Done</t>
        </is>
      </c>
    </row>
    <row r="15" ht="23.25" customHeight="1" s="26">
      <c r="A15" s="31" t="inlineStr">
        <is>
          <t>ST-008</t>
        </is>
      </c>
      <c r="B15" s="31" t="inlineStr">
        <is>
          <t>S3</t>
        </is>
      </c>
      <c r="C15" s="31" t="inlineStr">
        <is>
          <t>As a Office manager, I can pause/disable Template designer without data loss</t>
        </is>
      </c>
      <c r="D15" s="31" t="inlineStr">
        <is>
          <t>src/designerOps.ts (PauseManager: flag-only pause/resume; TemplatePausedError with no-data-loss message); render gate used by batch</t>
        </is>
      </c>
      <c r="E15" s="31" t="inlineStr">
        <is>
          <t>tests/designerOps.test.ts (pause/resume/isPaused, assertActive both paths); tests/batch.test.ts (paused-template refusal)</t>
        </is>
      </c>
      <c r="F15" s="31" t="inlineStr">
        <is>
          <t>100% stmt/branch/func/line</t>
        </is>
      </c>
      <c r="G15" s="44" t="inlineStr">
        <is>
          <t>Done</t>
        </is>
      </c>
    </row>
    <row r="16" ht="23.25" customHeight="1" s="26">
      <c r="A16" s="31" t="inlineStr">
        <is>
          <t>ST-009</t>
        </is>
      </c>
      <c r="B16" s="31" t="inlineStr">
        <is>
          <t>S3</t>
        </is>
      </c>
      <c r="C16" s="31" t="inlineStr">
        <is>
          <t>As a Workspace admin, I can import/migrate existing data into Template designer (CSV + competitor importer)</t>
        </is>
      </c>
      <c r="D16" s="31" t="inlineStr">
        <is>
          <t>src/importerNotifications.ts (parseCsv RFC4180-ish; TemplateImporter.importCsv partial success + row-numbered errors; importCompetitorCsv with &lt;&lt;x&gt;&gt; -&gt; {{x}} conversion)</t>
        </is>
      </c>
      <c r="E16" s="31" t="inlineStr">
        <is>
          <t>tests/importerNotifications.test.ts (quoted/escaped/CRLF/empty CSV, header validation, partial import, member denial, competitor conversion end-to-end)</t>
        </is>
      </c>
      <c r="F16" s="31" t="inlineStr">
        <is>
          <t>100% stmt/branch/func/line</t>
        </is>
      </c>
      <c r="G16" s="44" t="inlineStr">
        <is>
          <t>Done</t>
        </is>
      </c>
    </row>
    <row r="17" ht="23.25" customHeight="1" s="26">
      <c r="A17" s="31" t="inlineStr">
        <is>
          <t>ST-010</t>
        </is>
      </c>
      <c r="B17" s="31" t="inlineStr">
        <is>
          <t>S3</t>
        </is>
      </c>
      <c r="C17" s="31" t="inlineStr">
        <is>
          <t>As a user, I get notifications (in-app + email) for key Template designer events with per-type mute</t>
        </is>
      </c>
      <c r="D17" s="31" t="inlineStr">
        <is>
          <t>src/importerNotifications.ts (NotificationCenter: in_app+email fan-out, per-type per-account mute/unmute)</t>
        </is>
      </c>
      <c r="E17" s="31" t="inlineStr">
        <is>
          <t>tests/importerNotifications.test.ts (fan-out envelope, mute isolation by type+account, unmute restore, no-op unmute, mute accumulation)</t>
        </is>
      </c>
      <c r="F17" s="31" t="inlineStr">
        <is>
          <t>100% stmt/branch/func/line</t>
        </is>
      </c>
      <c r="G17" s="44" t="inlineStr">
        <is>
          <t>Done</t>
        </is>
      </c>
    </row>
    <row r="18" ht="23.25" customHeight="1" s="26">
      <c r="A18" s="31" t="inlineStr">
        <is>
          <t>ST-011</t>
        </is>
      </c>
      <c r="B18" s="31" t="inlineStr">
        <is>
          <t>S3</t>
        </is>
      </c>
      <c r="C18" s="31" t="inlineStr">
        <is>
          <t>As a Office manager, I can set up Batch generate from Sheets with sensible defaults in one screen</t>
        </is>
      </c>
      <c r="D18" s="31" t="inlineStr">
        <is>
          <t>src/batch.ts (BatchGenerator.createJobWithDefaults: skipEmptyRows, continueOnError, output pattern defaulted)</t>
        </is>
      </c>
      <c r="E18" s="31" t="inlineStr">
        <is>
          <t>tests/batch.test.ts (defaults object pinned, default id maker)</t>
        </is>
      </c>
      <c r="F18" s="31" t="inlineStr">
        <is>
          <t>100% stmt/branch/func/line</t>
        </is>
      </c>
      <c r="G18" s="44" t="inlineStr">
        <is>
          <t>Done</t>
        </is>
      </c>
    </row>
    <row r="19" ht="23.25" customHeight="1" s="26">
      <c r="A19" s="31" t="inlineStr">
        <is>
          <t>ST-012</t>
        </is>
      </c>
      <c r="B19" s="31" t="inlineStr">
        <is>
          <t>S3</t>
        </is>
      </c>
      <c r="C19" s="31" t="inlineStr">
        <is>
          <t>As a Office manager, the Batch generate from Sheets happy path completes without documentation</t>
        </is>
      </c>
      <c r="D19" s="31" t="inlineStr">
        <is>
          <t>src/batch.ts (run: per-row render via designer, RowResult outputs, generated/skipped/failed summary)</t>
        </is>
      </c>
      <c r="E19" s="31" t="inlineStr">
        <is>
          <t>tests/batch.test.ts (multi-row happy path, empty-row skip on/off)</t>
        </is>
      </c>
      <c r="F19" s="31" t="inlineStr">
        <is>
          <t>100% stmt/branch/func/line</t>
        </is>
      </c>
      <c r="G19" s="44" t="inlineStr">
        <is>
          <t>Done</t>
        </is>
      </c>
    </row>
    <row r="20" ht="23.25" customHeight="1" s="26">
      <c r="A20" s="31" t="inlineStr">
        <is>
          <t>ST-013</t>
        </is>
      </c>
      <c r="B20" s="31" t="inlineStr">
        <is>
          <t>S3</t>
        </is>
      </c>
      <c r="C20" s="31" t="inlineStr">
        <is>
          <t>As a Workspace admin, I can customise Batch generate from Sheets rules/conditions for my workflow</t>
        </is>
      </c>
      <c r="D20" s="31" t="inlineStr">
        <is>
          <t>src/batch.ts (withRules; row filters reuse templates.evaluateRule — all rules must pass)</t>
        </is>
      </c>
      <c r="E20" s="31" t="inlineStr">
        <is>
          <t>tests/batch.test.ts (mixed pass/fail rows across not_empty + equals rules)</t>
        </is>
      </c>
      <c r="F20" s="31" t="inlineStr">
        <is>
          <t>100% stmt/branch/func/line</t>
        </is>
      </c>
      <c r="G20" s="44" t="inlineStr">
        <is>
          <t>Done</t>
        </is>
      </c>
    </row>
    <row r="21" ht="23.25" customHeight="1" s="26">
      <c r="A21" s="31" t="inlineStr">
        <is>
          <t>ST-014</t>
        </is>
      </c>
      <c r="B21" s="31" t="inlineStr">
        <is>
          <t>S3</t>
        </is>
      </c>
      <c r="C21" s="31" t="inlineStr">
        <is>
          <t>As a user, Batch generate from Sheets shows clear errors and retry paths on platform API failures</t>
        </is>
      </c>
      <c r="D21" s="31" t="inlineStr">
        <is>
          <t>src/batch.ts (per-row withRetry; PlatformApiError userMessage + retryable surfaced; retryableRows; continueOnError break) + src/platformErrors.ts fix (non-platform errors pass through unmapped)</t>
        </is>
      </c>
      <c r="E21" s="31" t="inlineStr">
        <is>
          <t>tests/batch.test.ts (transient retry success, exhausted 429 retryable, 403 non-retryable, validation message surfaced, stop-on-error, pre-mapped passthrough); tests/platformErrors.test.ts (pass-through incl. null)</t>
        </is>
      </c>
      <c r="F21" s="31" t="inlineStr">
        <is>
          <t>100% stmt/branch/func/line</t>
        </is>
      </c>
      <c r="G21" s="44" t="inlineStr">
        <is>
          <t>Done</t>
        </is>
      </c>
    </row>
    <row r="22" ht="34.5" customHeight="1" s="26">
      <c r="A22" s="31" t="inlineStr">
        <is>
          <t>ST-015</t>
        </is>
      </c>
      <c r="B22" s="31" t="inlineStr">
        <is>
          <t>S4</t>
        </is>
      </c>
      <c r="C22" s="31" t="inlineStr">
        <is>
          <t>As a Ops freelancer, Batch generate from Sheets works on the Workspace add-on sidebar in Sheets/Docs surface end-to-end</t>
        </is>
      </c>
      <c r="D22" s="31" t="inlineStr">
        <is>
          <t>src/batchOps.ts (BatchSidebarController: configure -&gt; runFromSheet -&gt; results; host + row source injected)</t>
        </is>
      </c>
      <c r="E22" s="31" t="inlineStr">
        <is>
          <t>tests/batchOps.test.ts (full flow end-to-end, unconfigured guard, no-rows guard for undefined+empty, state copy); e2e.smoke.test.ts step 6</t>
        </is>
      </c>
      <c r="F22" s="31" t="inlineStr">
        <is>
          <t>100% stmt/branch/func/line</t>
        </is>
      </c>
      <c r="G22" s="44" t="inlineStr">
        <is>
          <t>Done</t>
        </is>
      </c>
    </row>
    <row r="23" ht="23.25" customHeight="1" s="26">
      <c r="A23" s="31" t="inlineStr">
        <is>
          <t>ST-016</t>
        </is>
      </c>
      <c r="B23" s="31" t="inlineStr">
        <is>
          <t>S4</t>
        </is>
      </c>
      <c r="C23" s="31" t="inlineStr">
        <is>
          <t>As a Workspace admin, I can see Batch generate from Sheets performance metrics and trends</t>
        </is>
      </c>
      <c r="D23" s="31" t="inlineStr">
        <is>
          <t>src/batchOps.ts (BatchMetrics: runs, rowsGenerated/Failed, failureRate, avgDurationMs, trendDelta per period)</t>
        </is>
      </c>
      <c r="E23" s="31" t="inlineStr">
        <is>
          <t>tests/batchOps.test.ts (aggregation, trend vs previous period, neutral empty, default clock)</t>
        </is>
      </c>
      <c r="F23" s="31" t="inlineStr">
        <is>
          <t>100% stmt/branch/func/line</t>
        </is>
      </c>
      <c r="G23" s="44" t="inlineStr">
        <is>
          <t>Done</t>
        </is>
      </c>
    </row>
    <row r="24" ht="23.25" customHeight="1" s="26">
      <c r="A24" s="31" t="inlineStr">
        <is>
          <t>ST-017</t>
        </is>
      </c>
      <c r="B24" s="31" t="inlineStr">
        <is>
          <t>S4</t>
        </is>
      </c>
      <c r="C24" s="31" t="inlineStr">
        <is>
          <t>As a user, Batch generate from Sheets respects role permissions and audit logging</t>
        </is>
      </c>
      <c r="D24" s="31" t="inlineStr">
        <is>
          <t>src/batchOps.ts (GovernedBatchRunner: assertPermission up front; audit allow AND deny; deny rethrown)</t>
        </is>
      </c>
      <c r="E24" s="31" t="inlineStr">
        <is>
          <t>tests/batchOps.test.ts (allow audited, spied denial audited + no run, non-permission rethrow unaudited); e2e.smoke.test.ts step 7</t>
        </is>
      </c>
      <c r="F24" s="31" t="inlineStr">
        <is>
          <t>100% stmt/branch/func/line</t>
        </is>
      </c>
      <c r="G24" s="44" t="inlineStr">
        <is>
          <t>Done</t>
        </is>
      </c>
    </row>
    <row r="25" ht="23.25" customHeight="1" s="26">
      <c r="A25" s="31" t="inlineStr">
        <is>
          <t>ST-018</t>
        </is>
      </c>
      <c r="B25" s="31" t="inlineStr">
        <is>
          <t>S4</t>
        </is>
      </c>
      <c r="C25" s="31" t="inlineStr">
        <is>
          <t>As a Office manager, I can pause/disable Batch generate from Sheets without data loss</t>
        </is>
      </c>
      <c r="D25" s="31" t="inlineStr">
        <is>
          <t>src/batchOps.ts (job-level PauseManager reuse: pauseJob/resumeJob/isJobPaused; run gate, flag-only)</t>
        </is>
      </c>
      <c r="E25" s="31" t="inlineStr">
        <is>
          <t>tests/batchOps.test.ts (pause refuses with no-data-loss message, resume runs); e2e.smoke.test.ts step 8</t>
        </is>
      </c>
      <c r="F25" s="31" t="inlineStr">
        <is>
          <t>100% stmt/branch/func/line</t>
        </is>
      </c>
      <c r="G25" s="44" t="inlineStr">
        <is>
          <t>Done</t>
        </is>
      </c>
    </row>
    <row r="26" ht="34.5" customHeight="1" s="26">
      <c r="A26" s="31" t="inlineStr">
        <is>
          <t>ST-019</t>
        </is>
      </c>
      <c r="B26" s="31" t="inlineStr">
        <is>
          <t>S4</t>
        </is>
      </c>
      <c r="C26" s="31" t="inlineStr">
        <is>
          <t>As a Workspace admin, I can import/migrate existing data into Batch generate from Sheets (CSV + competitor importer)</t>
        </is>
      </c>
      <c r="D26" s="31" t="inlineStr">
        <is>
          <t>src/batchOps.ts (importRowsCsv: header validation, per-row cell-count check, partial success; importCompetitorRowsCsv converts &lt;&lt;x&gt;&gt; in values)</t>
        </is>
      </c>
      <c r="E26" s="31" t="inlineStr">
        <is>
          <t>tests/batchOps.test.ts (mapping, short-row report, empty CSV + empty header rejection, competitor conversion); e2e.smoke.test.ts step 5</t>
        </is>
      </c>
      <c r="F26" s="31" t="inlineStr">
        <is>
          <t>100% stmt/branch/func/line</t>
        </is>
      </c>
      <c r="G26" s="44" t="inlineStr">
        <is>
          <t>Done</t>
        </is>
      </c>
    </row>
    <row r="27" ht="23.25" customHeight="1" s="26">
      <c r="A27" s="31" t="inlineStr">
        <is>
          <t>ST-020</t>
        </is>
      </c>
      <c r="B27" s="31" t="inlineStr">
        <is>
          <t>S4</t>
        </is>
      </c>
      <c r="C27" s="31" t="inlineStr">
        <is>
          <t>As a user, I get notifications (in-app + email) for key Batch generate from Sheets events with per-type mute</t>
        </is>
      </c>
      <c r="D27" s="31" t="inlineStr">
        <is>
          <t>src/batchOps.ts (GovernedBatchRunner notify: batch_completed / batch_failed with failed + retryable counts via NotificationCenter mute rules)</t>
        </is>
      </c>
      <c r="E27" s="31" t="inlineStr">
        <is>
          <t>tests/batchOps.test.ts (completion fan-out, failure message content, per-type mute suppression)</t>
        </is>
      </c>
      <c r="F27" s="31" t="inlineStr">
        <is>
          <t>100% stmt/branch/func/line</t>
        </is>
      </c>
      <c r="G27" s="44" t="inlineStr">
        <is>
          <t>Done</t>
        </is>
      </c>
    </row>
    <row r="28" ht="23.25" customHeight="1" s="26">
      <c r="A28" s="31" t="inlineStr">
        <is>
          <t>ST-021</t>
        </is>
      </c>
      <c r="B28" s="31" t="inlineStr">
        <is>
          <t>S5</t>
        </is>
      </c>
      <c r="C28" s="31" t="inlineStr">
        <is>
          <t>As a Office manager, I can set up E-sign requests with sensible defaults in one screen</t>
        </is>
      </c>
      <c r="D28" s="31" t="inlineStr">
        <is>
          <t>src/esign.ts (EsignService.createWithDefaults: sequential + 14-day expiry defaults; signer/email validation)</t>
        </is>
      </c>
      <c r="E28" s="31" t="inlineStr">
        <is>
          <t>tests/esign.test.ts (defaults pinned, empty/invalid signer problems, member denial audited)</t>
        </is>
      </c>
      <c r="F28" s="31" t="inlineStr">
        <is>
          <t>100% stmt/branch/func/line</t>
        </is>
      </c>
      <c r="G28" s="44" t="inlineStr">
        <is>
          <t>Done</t>
        </is>
      </c>
    </row>
    <row r="29" ht="23.25" customHeight="1" s="26">
      <c r="A29" s="31" t="inlineStr">
        <is>
          <t>ST-022</t>
        </is>
      </c>
      <c r="B29" s="31" t="inlineStr">
        <is>
          <t>S5</t>
        </is>
      </c>
      <c r="C29" s="31" t="inlineStr">
        <is>
          <t>As a Office manager, the E-sign requests happy path completes without documentation</t>
        </is>
      </c>
      <c r="D29" s="31" t="inlineStr">
        <is>
          <t>src/esign.ts (send/sign/decline/expireIfDue state machine; sequential order enforcement; completion detection; next-signer delivery)</t>
        </is>
      </c>
      <c r="E29" s="31" t="inlineStr">
        <is>
          <t>tests/esign.test.ts (sequential + parallel happy paths, turn enforcement message, double-send/sign guards, decline with reason, expiry)</t>
        </is>
      </c>
      <c r="F29" s="31" t="inlineStr">
        <is>
          <t>100% stmt/branch/func/line</t>
        </is>
      </c>
      <c r="G29" s="44" t="inlineStr">
        <is>
          <t>Done</t>
        </is>
      </c>
    </row>
    <row r="30" ht="23.25" customHeight="1" s="26">
      <c r="A30" s="31" t="inlineStr">
        <is>
          <t>ST-023</t>
        </is>
      </c>
      <c r="B30" s="31" t="inlineStr">
        <is>
          <t>S5</t>
        </is>
      </c>
      <c r="C30" s="31" t="inlineStr">
        <is>
          <t>As a Workspace admin, I can customise E-sign requests rules/conditions for my workflow</t>
        </is>
      </c>
      <c r="D30" s="31" t="inlineStr">
        <is>
          <t>src/esign.ts (setRules: draft-only, expiry 1-90 validation, allowedDomains checked against signers, multi-problem aggregation)</t>
        </is>
      </c>
      <c r="E30" s="31" t="inlineStr">
        <is>
          <t>tests/esign.test.ts (valid update, bad expiry, out-of-domain problems x2, post-send refusal, missing request)</t>
        </is>
      </c>
      <c r="F30" s="31" t="inlineStr">
        <is>
          <t>100% stmt/branch/func/line</t>
        </is>
      </c>
      <c r="G30" s="44" t="inlineStr">
        <is>
          <t>Done</t>
        </is>
      </c>
    </row>
    <row r="31" ht="23.25" customHeight="1" s="26">
      <c r="A31" s="31" t="inlineStr">
        <is>
          <t>ST-024</t>
        </is>
      </c>
      <c r="B31" s="31" t="inlineStr">
        <is>
          <t>S5</t>
        </is>
      </c>
      <c r="C31" s="31" t="inlineStr">
        <is>
          <t>As a user, E-sign requests shows clear errors and retry paths on platform API failures</t>
        </is>
      </c>
      <c r="D31" s="31" t="inlineStr">
        <is>
          <t>src/esign.ts (delivery via withRetry; mapped PlatformApiError surfaced; draft state preserved on exhausted failure)</t>
        </is>
      </c>
      <c r="E31" s="31" t="inlineStr">
        <is>
          <t>tests/esign.test.ts (transient retry success, 429 exhaustion -&gt; rate_limited + status stays draft)</t>
        </is>
      </c>
      <c r="F31" s="31" t="inlineStr">
        <is>
          <t>100% stmt/branch/func/line</t>
        </is>
      </c>
      <c r="G31" s="44" t="inlineStr">
        <is>
          <t>Done</t>
        </is>
      </c>
    </row>
    <row r="32" ht="34.5" customHeight="1" s="26">
      <c r="A32" s="31" t="inlineStr">
        <is>
          <t>ST-025</t>
        </is>
      </c>
      <c r="B32" s="31" t="inlineStr">
        <is>
          <t>S5</t>
        </is>
      </c>
      <c r="C32" s="31" t="inlineStr">
        <is>
          <t>As a Ops freelancer, E-sign requests works on the Workspace add-on sidebar in Sheets/Docs surface end-to-end</t>
        </is>
      </c>
      <c r="D32" s="31" t="inlineStr">
        <is>
          <t>src/esignOps.ts (EsignSidebarController: create -&gt; send -&gt; track/refresh with transition detection)</t>
        </is>
      </c>
      <c r="E32" s="31" t="inlineStr">
        <is>
          <t>tests/esignOps.test.ts (end-to-end to completion, decline once, expiry on refresh, guards, state copy)</t>
        </is>
      </c>
      <c r="F32" s="31" t="inlineStr">
        <is>
          <t>100% stmt/branch/func/line</t>
        </is>
      </c>
      <c r="G32" s="44" t="inlineStr">
        <is>
          <t>Done</t>
        </is>
      </c>
    </row>
    <row r="33" ht="23.25" customHeight="1" s="26">
      <c r="A33" s="31" t="inlineStr">
        <is>
          <t>ST-026</t>
        </is>
      </c>
      <c r="B33" s="31" t="inlineStr">
        <is>
          <t>S5</t>
        </is>
      </c>
      <c r="C33" s="31" t="inlineStr">
        <is>
          <t>As a Workspace admin, I can see E-sign requests performance metrics and trends</t>
        </is>
      </c>
      <c r="D33" s="31" t="inlineStr">
        <is>
          <t>src/esign.ts (EsignMetrics: sent/completed/declined, completionRate, avgTurnaroundMs, trendDelta)</t>
        </is>
      </c>
      <c r="E33" s="31" t="inlineStr">
        <is>
          <t>tests/esign.test.ts (summary values, trend, neutral empty, default clock)</t>
        </is>
      </c>
      <c r="F33" s="31" t="inlineStr">
        <is>
          <t>100% stmt/branch/func/line</t>
        </is>
      </c>
      <c r="G33" s="44" t="inlineStr">
        <is>
          <t>Done</t>
        </is>
      </c>
    </row>
    <row r="34" ht="23.25" customHeight="1" s="26">
      <c r="A34" s="31" t="inlineStr">
        <is>
          <t>ST-027</t>
        </is>
      </c>
      <c r="B34" s="31" t="inlineStr">
        <is>
          <t>S5</t>
        </is>
      </c>
      <c r="C34" s="31" t="inlineStr">
        <is>
          <t>As a user, E-sign requests respects role permissions and audit logging</t>
        </is>
      </c>
      <c r="D34" s="31" t="inlineStr">
        <is>
          <t>src/esign.ts (audited/auditedAsync wrappers on create/setRules/send: allow + deny recorded, deny rethrown)</t>
        </is>
      </c>
      <c r="E34" s="31" t="inlineStr">
        <is>
          <t>tests/esign.test.ts (member denial audited, spied send denial audited + no delivery, bogus-role rethrow unaudited, allow entries)</t>
        </is>
      </c>
      <c r="F34" s="31" t="inlineStr">
        <is>
          <t>100% stmt/branch/func/line</t>
        </is>
      </c>
      <c r="G34" s="44" t="inlineStr">
        <is>
          <t>Done</t>
        </is>
      </c>
    </row>
    <row r="35" ht="23.25" customHeight="1" s="26">
      <c r="A35" s="31" t="inlineStr">
        <is>
          <t>ST-028</t>
        </is>
      </c>
      <c r="B35" s="31" t="inlineStr">
        <is>
          <t>S5</t>
        </is>
      </c>
      <c r="C35" s="31" t="inlineStr">
        <is>
          <t>As a Office manager, I can pause/disable E-sign requests without data loss</t>
        </is>
      </c>
      <c r="D35" s="31" t="inlineStr">
        <is>
          <t>src/esign.ts (pause/resume via PauseManager on send/sign/decline; signatures collected so far untouched)</t>
        </is>
      </c>
      <c r="E35" s="31" t="inlineStr">
        <is>
          <t>tests/esign.test.ts (paused send/sign/decline refused with no-data-loss message, resume continues with signatures intact)</t>
        </is>
      </c>
      <c r="F35" s="31" t="inlineStr">
        <is>
          <t>100% stmt/branch/func/line</t>
        </is>
      </c>
      <c r="G35" s="44" t="inlineStr">
        <is>
          <t>Done</t>
        </is>
      </c>
    </row>
    <row r="36" ht="23.25" customHeight="1" s="26">
      <c r="A36" s="31" t="inlineStr">
        <is>
          <t>ST-029</t>
        </is>
      </c>
      <c r="B36" s="31" t="inlineStr">
        <is>
          <t>S5</t>
        </is>
      </c>
      <c r="C36" s="31" t="inlineStr">
        <is>
          <t>As a Workspace admin, I can import/migrate existing data into E-sign requests (CSV + competitor importer)</t>
        </is>
      </c>
      <c r="D36" s="31" t="inlineStr">
        <is>
          <t>src/esign.ts (importSignersCsv: name+email header validation, per-row email validation, partial success; competitor variant cleans &lt;&lt;legacy&gt;&gt; names)</t>
        </is>
      </c>
      <c r="E36" s="31" t="inlineStr">
        <is>
          <t>tests/esign.test.ts (valid+invalid rows by number, empty/missing-header rejection, competitor conversion)</t>
        </is>
      </c>
      <c r="F36" s="31" t="inlineStr">
        <is>
          <t>100% stmt/branch/func/line</t>
        </is>
      </c>
      <c r="G36" s="44" t="inlineStr">
        <is>
          <t>Done</t>
        </is>
      </c>
    </row>
    <row r="37" ht="23.25" customHeight="1" s="26">
      <c r="A37" s="31" t="inlineStr">
        <is>
          <t>ST-030</t>
        </is>
      </c>
      <c r="B37" s="31" t="inlineStr">
        <is>
          <t>S5</t>
        </is>
      </c>
      <c r="C37" s="31" t="inlineStr">
        <is>
          <t>As a user, I get notifications (in-app + email) for key E-sign requests events with per-type mute</t>
        </is>
      </c>
      <c r="D37" s="31" t="inlineStr">
        <is>
          <t>src/esignOps.ts (EsignNotifier: esign_sent/completed/declined with reason handling) + NotificationType extended</t>
        </is>
      </c>
      <c r="E37" s="31" t="inlineStr">
        <is>
          <t>tests/esignOps.test.ts (sent/completed/declined messages, no-reason variant, per-type mute, single-fire on transition)</t>
        </is>
      </c>
      <c r="F37" s="31" t="inlineStr">
        <is>
          <t>100% stmt/branch/func/line</t>
        </is>
      </c>
      <c r="G37" s="44" t="inlineStr">
        <is>
          <t>Done</t>
        </is>
      </c>
    </row>
    <row r="38" ht="23.25" customHeight="1" s="26">
      <c r="A38" s="31" t="inlineStr">
        <is>
          <t>ST-031</t>
        </is>
      </c>
      <c r="B38" s="31" t="inlineStr">
        <is>
          <t>S6</t>
        </is>
      </c>
      <c r="C38" s="31" t="inlineStr">
        <is>
          <t>As a Office manager, I can set up Auto-file to Drive with sensible defaults in one screen</t>
        </is>
      </c>
      <c r="D38" s="31" t="inlineStr">
        <is>
          <t>src/driveFiler.ts (createFilingConfigWithDefaults: folder/name patterns, rename policy, empty rules)</t>
        </is>
      </c>
      <c r="E38" s="31" t="inlineStr">
        <is>
          <t>tests/driveFiler.test.ts (defaults pinned)</t>
        </is>
      </c>
      <c r="F38" s="31" t="inlineStr">
        <is>
          <t>100% stmt/branch/func/line</t>
        </is>
      </c>
      <c r="G38" s="44" t="inlineStr">
        <is>
          <t>Done</t>
        </is>
      </c>
    </row>
    <row r="39" ht="23.25" customHeight="1" s="26">
      <c r="A39" s="31" t="inlineStr">
        <is>
          <t>ST-032</t>
        </is>
      </c>
      <c r="B39" s="31" t="inlineStr">
        <is>
          <t>S6</t>
        </is>
      </c>
      <c r="C39" s="31" t="inlineStr">
        <is>
          <t>As a Office manager, the Auto-file to Drive happy path completes without documentation</t>
        </is>
      </c>
      <c r="D39" s="31" t="inlineStr">
        <is>
          <t>src/driveFiler.ts (FilingService.file: token merge, ensureFolder, create; resolvePattern with named missing-token errors)</t>
        </is>
      </c>
      <c r="E39" s="31" t="inlineStr">
        <is>
          <t>tests/driveFiler.test.ts (happy path with built-in tokens, content persisted, default clock)</t>
        </is>
      </c>
      <c r="F39" s="31" t="inlineStr">
        <is>
          <t>100% stmt/branch/func/line</t>
        </is>
      </c>
      <c r="G39" s="44" t="inlineStr">
        <is>
          <t>Done</t>
        </is>
      </c>
    </row>
    <row r="40" ht="23.25" customHeight="1" s="26">
      <c r="A40" s="31" t="inlineStr">
        <is>
          <t>ST-033</t>
        </is>
      </c>
      <c r="B40" s="31" t="inlineStr">
        <is>
          <t>S6</t>
        </is>
      </c>
      <c r="C40" s="31" t="inlineStr">
        <is>
          <t>As a Workspace admin, I can customise Auto-file to Drive rules/conditions for my workflow</t>
        </is>
      </c>
      <c r="D40" s="31" t="inlineStr">
        <is>
          <t>src/driveFiler.ts (pickFolderPattern: first matching routing rule wins, default fallback)</t>
        </is>
      </c>
      <c r="E40" s="31" t="inlineStr">
        <is>
          <t>tests/driveFiler.test.ts (match/second-rule/fallback, row-field folder patterns)</t>
        </is>
      </c>
      <c r="F40" s="31" t="inlineStr">
        <is>
          <t>100% stmt/branch/func/line</t>
        </is>
      </c>
      <c r="G40" s="44" t="inlineStr">
        <is>
          <t>Done</t>
        </is>
      </c>
    </row>
    <row r="41" ht="23.25" customHeight="1" s="26">
      <c r="A41" s="31" t="inlineStr">
        <is>
          <t>ST-034</t>
        </is>
      </c>
      <c r="B41" s="31" t="inlineStr">
        <is>
          <t>S6</t>
        </is>
      </c>
      <c r="C41" s="31" t="inlineStr">
        <is>
          <t>As a user, Auto-file to Drive shows clear errors and retry paths on platform API failures</t>
        </is>
      </c>
      <c r="D41" s="31" t="inlineStr">
        <is>
          <t>src/driveFiler.ts (all Drive ops under withRetry; mapped 429/5xx/403 surfaced)</t>
        </is>
      </c>
      <c r="E41" s="31" t="inlineStr">
        <is>
          <t>tests/driveFiler.test.ts (transient retry, exhausted 429, 403 no-retry, validation naming)</t>
        </is>
      </c>
      <c r="F41" s="31" t="inlineStr">
        <is>
          <t>100% stmt/branch/func/line</t>
        </is>
      </c>
      <c r="G41" s="44" t="inlineStr">
        <is>
          <t>Done</t>
        </is>
      </c>
    </row>
    <row r="42" ht="34.5" customHeight="1" s="26">
      <c r="A42" s="31" t="inlineStr">
        <is>
          <t>ST-035</t>
        </is>
      </c>
      <c r="B42" s="31" t="inlineStr">
        <is>
          <t>S6</t>
        </is>
      </c>
      <c r="C42" s="31" t="inlineStr">
        <is>
          <t>As a Ops freelancer, Auto-file to Drive works on the Workspace add-on sidebar in Sheets/Docs surface end-to-end</t>
        </is>
      </c>
      <c r="D42" s="31" t="inlineStr">
        <is>
          <t>src/driveFilerOps.ts (FilingSidebarController: configure -&gt; fileLastBatch -&gt; results)</t>
        </is>
      </c>
      <c r="E42" s="31" t="inlineStr">
        <is>
          <t>tests/driveFilerOps.test.ts (end-to-end, unconfigured/no-batch/zero-generated guidance, state copy)</t>
        </is>
      </c>
      <c r="F42" s="31" t="inlineStr">
        <is>
          <t>100% stmt/branch/func/line</t>
        </is>
      </c>
      <c r="G42" s="44" t="inlineStr">
        <is>
          <t>Done</t>
        </is>
      </c>
    </row>
    <row r="43" ht="23.25" customHeight="1" s="26">
      <c r="A43" s="31" t="inlineStr">
        <is>
          <t>ST-036</t>
        </is>
      </c>
      <c r="B43" s="31" t="inlineStr">
        <is>
          <t>S6</t>
        </is>
      </c>
      <c r="C43" s="31" t="inlineStr">
        <is>
          <t>As a Workspace admin, I can see Auto-file to Drive performance metrics and trends</t>
        </is>
      </c>
      <c r="D43" s="31" t="inlineStr">
        <is>
          <t>src/driveFilerOps.ts (FilingMetrics: filed/renamed/skipped/failures, avgLatencyMs, trendDelta)</t>
        </is>
      </c>
      <c r="E43" s="31" t="inlineStr">
        <is>
          <t>tests/driveFilerOps.test.ts (aggregation + trend + neutral empty + default clock)</t>
        </is>
      </c>
      <c r="F43" s="31" t="inlineStr">
        <is>
          <t>100% stmt/branch/func/line</t>
        </is>
      </c>
      <c r="G43" s="44" t="inlineStr">
        <is>
          <t>Done</t>
        </is>
      </c>
    </row>
    <row r="44" ht="23.25" customHeight="1" s="26">
      <c r="A44" s="31" t="inlineStr">
        <is>
          <t>ST-037</t>
        </is>
      </c>
      <c r="B44" s="31" t="inlineStr">
        <is>
          <t>S6</t>
        </is>
      </c>
      <c r="C44" s="31" t="inlineStr">
        <is>
          <t>As a user, Auto-file to Drive respects role permissions and audit logging</t>
        </is>
      </c>
      <c r="D44" s="31" t="inlineStr">
        <is>
          <t>src/driveFilerOps.ts (GovernedFilingRunner: assertPermission + allow/deny audit on setRoutingRules and fileBatch)</t>
        </is>
      </c>
      <c r="E44" s="31" t="inlineStr">
        <is>
          <t>tests/driveFilerOps.test.ts (allow, member deny audited, spied deny on filing, bogus-role rethrow)</t>
        </is>
      </c>
      <c r="F44" s="31" t="inlineStr">
        <is>
          <t>100% stmt/branch/func/line</t>
        </is>
      </c>
      <c r="G44" s="44" t="inlineStr">
        <is>
          <t>Done</t>
        </is>
      </c>
    </row>
    <row r="45" ht="23.25" customHeight="1" s="26">
      <c r="A45" s="31" t="inlineStr">
        <is>
          <t>ST-038</t>
        </is>
      </c>
      <c r="B45" s="31" t="inlineStr">
        <is>
          <t>S6</t>
        </is>
      </c>
      <c r="C45" s="31" t="inlineStr">
        <is>
          <t>As a Office manager, I can pause/disable Auto-file to Drive without data loss</t>
        </is>
      </c>
      <c r="D45" s="31" t="inlineStr">
        <is>
          <t>src/driveFilerOps.ts (account-scoped pause via PauseManager; flag-only)</t>
        </is>
      </c>
      <c r="E45" s="31" t="inlineStr">
        <is>
          <t>tests/driveFilerOps.test.ts (paused refusal, resume files)</t>
        </is>
      </c>
      <c r="F45" s="31" t="inlineStr">
        <is>
          <t>100% stmt/branch/func/line</t>
        </is>
      </c>
      <c r="G45" s="44" t="inlineStr">
        <is>
          <t>Done</t>
        </is>
      </c>
    </row>
    <row r="46" ht="23.25" customHeight="1" s="26">
      <c r="A46" s="31" t="inlineStr">
        <is>
          <t>ST-039</t>
        </is>
      </c>
      <c r="B46" s="31" t="inlineStr">
        <is>
          <t>S6</t>
        </is>
      </c>
      <c r="C46" s="31" t="inlineStr">
        <is>
          <t>As a Workspace admin, I can import/migrate existing data into Auto-file to Drive (CSV + competitor importer)</t>
        </is>
      </c>
      <c r="D46" s="31" t="inlineStr">
        <is>
          <t>src/driveFilerOps.ts (importRoutingRulesCsv: header + operator validation, partial success; competitor folder-pattern conversion)</t>
        </is>
      </c>
      <c r="E46" s="31" t="inlineStr">
        <is>
          <t>tests/driveFilerOps.test.ts (valid/invalid rows, header rejection, value-less not_empty, competitor)</t>
        </is>
      </c>
      <c r="F46" s="31" t="inlineStr">
        <is>
          <t>100% stmt/branch/func/line</t>
        </is>
      </c>
      <c r="G46" s="44" t="inlineStr">
        <is>
          <t>Done</t>
        </is>
      </c>
    </row>
    <row r="47" ht="23.25" customHeight="1" s="26">
      <c r="A47" s="31" t="inlineStr">
        <is>
          <t>ST-040</t>
        </is>
      </c>
      <c r="B47" s="31" t="inlineStr">
        <is>
          <t>S6</t>
        </is>
      </c>
      <c r="C47" s="31" t="inlineStr">
        <is>
          <t>As a user, I get notifications (in-app + email) for key Auto-file to Drive events with per-type mute</t>
        </is>
      </c>
      <c r="D47" s="31" t="inlineStr">
        <is>
          <t>src/driveFilerOps.ts (filing_completed/filing_failed with counts via NotificationCenter)</t>
        </is>
      </c>
      <c r="E47" s="31" t="inlineStr">
        <is>
          <t>tests/driveFilerOps.test.ts (both messages, per-type mute)</t>
        </is>
      </c>
      <c r="F47" s="31" t="inlineStr">
        <is>
          <t>100% stmt/branch/func/line</t>
        </is>
      </c>
      <c r="G47" s="44" t="inlineStr">
        <is>
          <t>Done</t>
        </is>
      </c>
    </row>
    <row r="48" ht="23.25" customHeight="1" s="26">
      <c r="A48" s="31" t="inlineStr">
        <is>
          <t>ST-041</t>
        </is>
      </c>
      <c r="B48" s="31" t="inlineStr">
        <is>
          <t>S8</t>
        </is>
      </c>
      <c r="C48" s="31" t="inlineStr">
        <is>
          <t>As a Office manager, I can set up Form-triggered generation with sensible defaults in one screen</t>
        </is>
      </c>
      <c r="D48" s="31" t="inlineStr">
        <is>
          <t>src/formTrigger.ts (createTriggerWithDefaults, mapAnswers)</t>
        </is>
      </c>
      <c r="E48" s="31" t="inlineStr">
        <is>
          <t>tests/formTrigger.test.ts (defaults pinned, mapped + passthrough answers)</t>
        </is>
      </c>
      <c r="F48" s="31" t="inlineStr">
        <is>
          <t>100% stmt/branch/func/line</t>
        </is>
      </c>
      <c r="G48" s="44" t="inlineStr">
        <is>
          <t>Done</t>
        </is>
      </c>
    </row>
    <row r="49" ht="23.25" customHeight="1" s="26">
      <c r="A49" s="31" t="inlineStr">
        <is>
          <t>ST-042</t>
        </is>
      </c>
      <c r="B49" s="31" t="inlineStr">
        <is>
          <t>S8</t>
        </is>
      </c>
      <c r="C49" s="31" t="inlineStr">
        <is>
          <t>As a Office manager, the Form-triggered generation happy path completes without documentation</t>
        </is>
      </c>
      <c r="D49" s="31" t="inlineStr">
        <is>
          <t>src/formTrigger.ts (handleSubmission pipeline with processed-id dedupe)</t>
        </is>
      </c>
      <c r="E49" s="31" t="inlineStr">
        <is>
          <t>tests/formTrigger.test.ts (generate, redelivery duplicate, blank skip, wrong-form rejection, notify toggle)</t>
        </is>
      </c>
      <c r="F49" s="31" t="inlineStr">
        <is>
          <t>100% stmt/branch/func/line</t>
        </is>
      </c>
      <c r="G49" s="44" t="inlineStr">
        <is>
          <t>Done</t>
        </is>
      </c>
    </row>
    <row r="50" ht="23.25" customHeight="1" s="26">
      <c r="A50" s="31" t="inlineStr">
        <is>
          <t>ST-043</t>
        </is>
      </c>
      <c r="B50" s="31" t="inlineStr">
        <is>
          <t>S8</t>
        </is>
      </c>
      <c r="C50" s="31" t="inlineStr">
        <is>
          <t>As a Workspace admin, I can customise Form-triggered generation rules/conditions for my workflow</t>
        </is>
      </c>
      <c r="D50" s="31" t="inlineStr">
        <is>
          <t>src/formTrigger.ts (setConditions with operator validation + audit; evaluateRule gate)</t>
        </is>
      </c>
      <c r="E50" s="31" t="inlineStr">
        <is>
          <t>tests/formTrigger.test.ts (condition skip/pass, missing-value rejection, member deny, bogus-role rethrow)</t>
        </is>
      </c>
      <c r="F50" s="31" t="inlineStr">
        <is>
          <t>100% stmt/branch/func/line</t>
        </is>
      </c>
      <c r="G50" s="44" t="inlineStr">
        <is>
          <t>Done</t>
        </is>
      </c>
    </row>
    <row r="51" ht="23.25" customHeight="1" s="26">
      <c r="A51" s="31" t="inlineStr">
        <is>
          <t>ST-044</t>
        </is>
      </c>
      <c r="B51" s="31" t="inlineStr">
        <is>
          <t>S8</t>
        </is>
      </c>
      <c r="C51" s="31" t="inlineStr">
        <is>
          <t>As a user, Form-triggered generation shows clear errors and retry paths on platform API failures</t>
        </is>
      </c>
      <c r="D51" s="31" t="inlineStr">
        <is>
          <t>src/formTrigger.ts (failure-as-result; withRetry; retryable flag; unprocessed on failure)</t>
        </is>
      </c>
      <c r="E51" s="31" t="inlineStr">
        <is>
          <t>tests/formTrigger.test.ts (validation failure result, redelivery retry succeeds, 429 mapped + retryable)</t>
        </is>
      </c>
      <c r="F51" s="31" t="inlineStr">
        <is>
          <t>100% stmt/branch/func/line</t>
        </is>
      </c>
      <c r="G51" s="44" t="inlineStr">
        <is>
          <t>Done</t>
        </is>
      </c>
    </row>
    <row r="52" ht="34.5" customHeight="1" s="26">
      <c r="A52" s="31" t="inlineStr">
        <is>
          <t>ST-045</t>
        </is>
      </c>
      <c r="B52" s="31" t="inlineStr">
        <is>
          <t>S8</t>
        </is>
      </c>
      <c r="C52" s="31" t="inlineStr">
        <is>
          <t>As a Ops freelancer, Form-triggered generation works on the Workspace add-on sidebar in Sheets/Docs surface end-to-end</t>
        </is>
      </c>
      <c r="D52" s="31" t="inlineStr">
        <is>
          <t>src/formTrigger.ts (FormSidebarController connect -&gt; receive -&gt; activity feed)</t>
        </is>
      </c>
      <c r="E52" s="31" t="inlineStr">
        <is>
          <t>tests/formTrigger.test.ts (end-to-end, 20-item cap newest-first, unconnected guard, state copy, default id)</t>
        </is>
      </c>
      <c r="F52" s="31" t="inlineStr">
        <is>
          <t>100% stmt/branch/func/line</t>
        </is>
      </c>
      <c r="G52" s="44" t="inlineStr">
        <is>
          <t>Done</t>
        </is>
      </c>
    </row>
    <row r="53" ht="23.25" customHeight="1" s="26">
      <c r="A53" s="31" t="inlineStr">
        <is>
          <t>ST-046</t>
        </is>
      </c>
      <c r="B53" s="31" t="inlineStr">
        <is>
          <t>S8</t>
        </is>
      </c>
      <c r="C53" s="31" t="inlineStr">
        <is>
          <t>As a Workspace admin, I can see Form-triggered generation performance metrics and trends</t>
        </is>
      </c>
      <c r="D53" s="31" t="inlineStr">
        <is>
          <t>src/formTrigger.ts (FormMetrics: received/generated/duplicates/skipped/failures, latency, trend)</t>
        </is>
      </c>
      <c r="E53" s="31" t="inlineStr">
        <is>
          <t>tests/formTrigger.test.ts (full aggregation, empty summary, default clock)</t>
        </is>
      </c>
      <c r="F53" s="31" t="inlineStr">
        <is>
          <t>100% stmt/branch/func/line</t>
        </is>
      </c>
      <c r="G53" s="44" t="inlineStr">
        <is>
          <t>Done</t>
        </is>
      </c>
    </row>
    <row r="54" ht="23.25" customHeight="1" s="26">
      <c r="A54" s="31" t="inlineStr">
        <is>
          <t>ST-047</t>
        </is>
      </c>
      <c r="B54" s="31" t="inlineStr">
        <is>
          <t>S8</t>
        </is>
      </c>
      <c r="C54" s="31" t="inlineStr">
        <is>
          <t>As a user, Form-triggered generation respects role permissions and audit logging</t>
        </is>
      </c>
      <c r="D54" s="31" t="inlineStr">
        <is>
          <t>src/formTrigger.ts (assertPermission + allow/deny audit on conditions and submissions)</t>
        </is>
      </c>
      <c r="E54" s="31" t="inlineStr">
        <is>
          <t>tests/formTrigger.test.ts (spied denial audited, bogus-role unaudited, allow entries)</t>
        </is>
      </c>
      <c r="F54" s="31" t="inlineStr">
        <is>
          <t>100% stmt/branch/func/line</t>
        </is>
      </c>
      <c r="G54" s="44" t="inlineStr">
        <is>
          <t>Done</t>
        </is>
      </c>
    </row>
    <row r="55" ht="23.25" customHeight="1" s="26">
      <c r="A55" s="31" t="inlineStr">
        <is>
          <t>ST-048</t>
        </is>
      </c>
      <c r="B55" s="31" t="inlineStr">
        <is>
          <t>S8</t>
        </is>
      </c>
      <c r="C55" s="31" t="inlineStr">
        <is>
          <t>As a Office manager, I can pause/disable Form-triggered generation without data loss</t>
        </is>
      </c>
      <c r="D55" s="31" t="inlineStr">
        <is>
          <t>src/formTrigger.ts (pause/resume via PauseManager, flag-only)</t>
        </is>
      </c>
      <c r="E55" s="31" t="inlineStr">
        <is>
          <t>tests/formTrigger.test.ts (paused refusal, resume processes)</t>
        </is>
      </c>
      <c r="F55" s="31" t="inlineStr">
        <is>
          <t>100% stmt/branch/func/line</t>
        </is>
      </c>
      <c r="G55" s="44" t="inlineStr">
        <is>
          <t>Done</t>
        </is>
      </c>
    </row>
    <row r="56" ht="23.25" customHeight="1" s="26">
      <c r="A56" s="31" t="inlineStr">
        <is>
          <t>ST-049</t>
        </is>
      </c>
      <c r="B56" s="31" t="inlineStr">
        <is>
          <t>S8</t>
        </is>
      </c>
      <c r="C56" s="31" t="inlineStr">
        <is>
          <t>As a Workspace admin, I can import/migrate existing data into Form-triggered generation (CSV + competitor importer)</t>
        </is>
      </c>
      <c r="D56" s="31" t="inlineStr">
        <is>
          <t>src/formTrigger.ts (importFieldMapCsv + competitor variant, duplicate-question detection)</t>
        </is>
      </c>
      <c r="E56" s="31" t="inlineStr">
        <is>
          <t>tests/formTrigger.test.ts (valid/invalid/duplicate rows, header rejection, &lt;&lt;x&gt;&gt; conversion)</t>
        </is>
      </c>
      <c r="F56" s="31" t="inlineStr">
        <is>
          <t>100% stmt/branch/func/line</t>
        </is>
      </c>
      <c r="G56" s="44" t="inlineStr">
        <is>
          <t>Done</t>
        </is>
      </c>
    </row>
    <row r="57" ht="23.25" customHeight="1" s="26">
      <c r="A57" s="31" t="inlineStr">
        <is>
          <t>ST-050</t>
        </is>
      </c>
      <c r="B57" s="31" t="inlineStr">
        <is>
          <t>S8</t>
        </is>
      </c>
      <c r="C57" s="31" t="inlineStr">
        <is>
          <t>As a user, I get notifications (in-app + email) for key Form-triggered generation events with per-type mute</t>
        </is>
      </c>
      <c r="D57" s="31" t="inlineStr">
        <is>
          <t>src/formTrigger.ts (form_generated / form_failed via NotificationCenter, mute-aware)</t>
        </is>
      </c>
      <c r="E57" s="31" t="inlineStr">
        <is>
          <t>tests/formTrigger.test.ts (both events, notify toggle, retry wording)</t>
        </is>
      </c>
      <c r="F57" s="31" t="inlineStr">
        <is>
          <t>100% stmt/branch/func/line</t>
        </is>
      </c>
      <c r="G57" s="44" t="inlineStr">
        <is>
          <t>Done</t>
        </is>
      </c>
    </row>
    <row r="58" ht="15" customHeight="1" s="26">
      <c r="A58" s="31" t="inlineStr">
        <is>
          <t>ST-053</t>
        </is>
      </c>
      <c r="B58" s="31" t="inlineStr">
        <is>
          <t>S2</t>
        </is>
      </c>
      <c r="C58" s="31" t="inlineStr">
        <is>
          <t>Re-install restores account within retention window</t>
        </is>
      </c>
      <c r="D58" s="31" t="inlineStr">
        <is>
          <t>src/reinstall.ts (ReinstallService: pending_deletion + unexpired job -&gt; cancel deletion, reactivate, re-issue tokens, app_reinstalled; else fresh install; MemoryCancellableDeletionScheduler)</t>
        </is>
      </c>
      <c r="E58" s="31" t="inlineStr">
        <is>
          <t>tests/reinstall.test.ts (restore within window, window expired, no job, active account, brand-new, default attribution, default clock, scheduler ops)</t>
        </is>
      </c>
      <c r="F58" s="31" t="inlineStr">
        <is>
          <t>100% stmt/branch/func/line</t>
        </is>
      </c>
      <c r="G58" s="44" t="inlineStr">
        <is>
          <t>Done</t>
        </is>
      </c>
    </row>
    <row r="59" ht="23.25" customHeight="1" s="26">
      <c r="A59" s="31" t="inlineStr">
        <is>
          <t>ST-054</t>
        </is>
      </c>
      <c r="B59" s="31" t="inlineStr">
        <is>
          <t>S2</t>
        </is>
      </c>
      <c r="C59" s="31" t="inlineStr">
        <is>
          <t>Multi-user roles: owner/admin/member permission matrix enforced</t>
        </is>
      </c>
      <c r="D59" s="31" t="inlineStr">
        <is>
          <t>src/permissions.ts (PERMISSION_MATRIX owner/admin/member x 7 actions; assertPermission -&gt; PermissionError); enforced in templates.ts guard()</t>
        </is>
      </c>
      <c r="E59" s="31" t="inlineStr">
        <is>
          <t>tests/permissions.test.ts (all 21 matrix cells pinned, matrix/isAllowed parity, allow + typed deny); tests/templates.test.ts (denials at create/setRules)</t>
        </is>
      </c>
      <c r="F59" s="31" t="inlineStr">
        <is>
          <t>100% stmt/branch/func/line</t>
        </is>
      </c>
      <c r="G59" s="44" t="inlineStr">
        <is>
          <t>Done</t>
        </is>
      </c>
    </row>
    <row r="60" ht="15" customHeight="1" s="26">
      <c r="A60" s="31" t="inlineStr">
        <is>
          <t>ST-057</t>
        </is>
      </c>
      <c r="B60" s="31" t="inlineStr">
        <is>
          <t>S6</t>
        </is>
      </c>
      <c r="C60" s="31" t="inlineStr">
        <is>
          <t>14-day trial without card; banner shows days remaining</t>
        </is>
      </c>
      <c r="D60" s="31" t="inlineStr">
        <is>
          <t>src/billing.ts (startTrial no-card; trialBanner honest day counts incl. singular/ended/hidden)</t>
        </is>
      </c>
      <c r="E60" s="31" t="inlineStr">
        <is>
          <t>tests/billing.test.ts (14-&gt;1-&gt;0 banner, no charges recorded, double-trial guard)</t>
        </is>
      </c>
      <c r="F60" s="31" t="inlineStr">
        <is>
          <t>100% stmt/branch/func/line</t>
        </is>
      </c>
      <c r="G60" s="44" t="inlineStr">
        <is>
          <t>Done</t>
        </is>
      </c>
    </row>
    <row r="61" ht="15" customHeight="1" s="26">
      <c r="A61" s="31" t="inlineStr">
        <is>
          <t>ST-058</t>
        </is>
      </c>
      <c r="B61" s="31" t="inlineStr">
        <is>
          <t>S6</t>
        </is>
      </c>
      <c r="C61" s="31" t="inlineStr">
        <is>
          <t>Upgrade/downgrade mid-cycle prorates correctly</t>
        </is>
      </c>
      <c r="D61" s="31" t="inlineStr">
        <is>
          <t>src/billing.ts (prorate: (to-from)*daysRemaining/30 both directions; changePlan charges upgrades, credits downgrades, declined leaves plan unchanged)</t>
        </is>
      </c>
      <c r="E61" s="31" t="inlineStr">
        <is>
          <t>tests/billing.test.ts (11.33 upgrade / -8.50 credit to the cent, precondition guards)</t>
        </is>
      </c>
      <c r="F61" s="31" t="inlineStr">
        <is>
          <t>100% stmt/branch/func/line</t>
        </is>
      </c>
      <c r="G61" s="44" t="inlineStr">
        <is>
          <t>Done</t>
        </is>
      </c>
    </row>
    <row r="62" ht="23.25" customHeight="1" s="26">
      <c r="A62" s="31" t="inlineStr">
        <is>
          <t>ST-059</t>
        </is>
      </c>
      <c r="B62" s="31" t="inlineStr">
        <is>
          <t>S6</t>
        </is>
      </c>
      <c r="C62" s="31" t="inlineStr">
        <is>
          <t>Marketplace billing API used where mandated; external Stripe fallback elsewhere</t>
        </is>
      </c>
      <c r="D62" s="31" t="inlineStr">
        <is>
          <t>src/billing.ts (pickProvider marketplace-vs-stripe; dunning: idempotent past_due, 1/3/7 retries, recovery, grace, downgrade to free with data intact)</t>
        </is>
      </c>
      <c r="E62" s="31" t="inlineStr">
        <is>
          <t>tests/billing.test.ts (provider routing, full schedule walk day-by-day, recovery, no-op paths)</t>
        </is>
      </c>
      <c r="F62" s="31" t="inlineStr">
        <is>
          <t>100% stmt/branch/func/line</t>
        </is>
      </c>
      <c r="G62" s="44" t="inlineStr">
        <is>
          <t>Done</t>
        </is>
      </c>
    </row>
    <row r="63" ht="23.25" customHeight="1" s="26">
      <c r="A63" s="31" t="inlineStr">
        <is>
          <t>ST-060</t>
        </is>
      </c>
      <c r="B63" s="31" t="inlineStr">
        <is>
          <t>S7</t>
        </is>
      </c>
      <c r="C63" s="31" t="inlineStr">
        <is>
          <t>Failed payment: 7-day grace, 3 dunning emails, then read-only mode</t>
        </is>
      </c>
      <c r="D63" s="31" t="inlineStr">
        <is>
          <t>src/billingHardening.ts (DunningNotifier: 1/3/7 emails with catch-up, 7-day grace, read-only terminal state, assertWritable gate, ReadOnlyModeError)</t>
        </is>
      </c>
      <c r="E63" s="31" t="inlineStr">
        <is>
          <t>tests/billingHardening.test.ts (schedule walk, catch-up tick, exactly-3-emails cap, read-only block + resolve, no-episode passthrough, begin-required guard)</t>
        </is>
      </c>
      <c r="F63" s="31" t="inlineStr">
        <is>
          <t>100% stmt/branch/func/line</t>
        </is>
      </c>
      <c r="G63" s="44" t="inlineStr">
        <is>
          <t>Done</t>
        </is>
      </c>
    </row>
    <row r="64" ht="15" customHeight="1" s="26">
      <c r="A64" s="31" t="inlineStr">
        <is>
          <t>ST-061</t>
        </is>
      </c>
      <c r="B64" s="31" t="inlineStr">
        <is>
          <t>S7</t>
        </is>
      </c>
      <c r="C64" s="31" t="inlineStr">
        <is>
          <t>Plan limits enforced with upgrade prompts at 80%/100%</t>
        </is>
      </c>
      <c r="D64" s="31" t="inlineStr">
        <is>
          <t>src/billingHardening.ts (PLAN_LIMITS per plan; PlanLimitEnforcer.check with none/warning/blocking prompts at 80%/100%; resetMonthly)</t>
        </is>
      </c>
      <c r="E64" s="31" t="inlineStr">
        <is>
          <t>tests/billingHardening.test.ts (below-80 silence, exact-80 warning, at/over-100 block, plan scaling, all three limit keys, monthly reset isolation)</t>
        </is>
      </c>
      <c r="F64" s="31" t="inlineStr">
        <is>
          <t>100% stmt/branch/func/line</t>
        </is>
      </c>
      <c r="G64" s="44" t="inlineStr">
        <is>
          <t>Done</t>
        </is>
      </c>
    </row>
    <row r="65" ht="15" customHeight="1" s="26">
      <c r="A65" s="31" t="inlineStr">
        <is>
          <t>ST-062</t>
        </is>
      </c>
      <c r="B65" s="31" t="inlineStr">
        <is>
          <t>S7</t>
        </is>
      </c>
      <c r="C65" s="31" t="inlineStr">
        <is>
          <t>Invoices/receipts downloadable; GST/VAT fields supported</t>
        </is>
      </c>
      <c r="D65" s="31" t="inlineStr">
        <is>
          <t>src/billingHardening.ts (InvoiceBook: numbered invoices, GST/VAT computation, tax-ID notes, B2B reverse charge, multi-line rounding, renderCsv receipts)</t>
        </is>
      </c>
      <c r="E65" s="31" t="inlineStr">
        <is>
          <t>tests/billingHardening.test.ts (VAT/GST totals, reverse charge with and without tax id, multi-line rounding, empty rejection, defensive copies, CSV content, unknown id)</t>
        </is>
      </c>
      <c r="F65" s="31" t="inlineStr">
        <is>
          <t>100% stmt/branch/func/line</t>
        </is>
      </c>
      <c r="G65" s="44" t="inlineStr">
        <is>
          <t>Done</t>
        </is>
      </c>
    </row>
    <row r="66" ht="15" customHeight="1" s="26">
      <c r="A66" s="31" t="inlineStr">
        <is>
          <t>ST-063</t>
        </is>
      </c>
      <c r="B66" s="31" t="inlineStr">
        <is>
          <t>S7</t>
        </is>
      </c>
      <c r="C66" s="31" t="inlineStr">
        <is>
          <t>Cancellation flow with save-offer and exit survey</t>
        </is>
      </c>
      <c r="D66" s="31" t="inlineStr">
        <is>
          <t>src/billingHardening.ts (CancellationFlow: reason-matched save-offers, once-per-account, exit survey + reasonCounts, access-to-period-end on cancel)</t>
        </is>
      </c>
      <c r="E66" s="31" t="inlineStr">
        <is>
          <t>tests/billingHardening.test.ts (all 5 reasons mapped, offer-once, saved path, declined path with accessUntil, exhausted-offer cancels, reason aggregation)</t>
        </is>
      </c>
      <c r="F66" s="31" t="inlineStr">
        <is>
          <t>100% stmt/branch/func/line</t>
        </is>
      </c>
      <c r="G66" s="44" t="inlineStr">
        <is>
          <t>Done</t>
        </is>
      </c>
    </row>
    <row r="67" ht="23.25" customHeight="1" s="26">
      <c r="A67" s="31" t="inlineStr">
        <is>
          <t>ST-064</t>
        </is>
      </c>
      <c r="B67" s="31" t="inlineStr">
        <is>
          <t>S7</t>
        </is>
      </c>
      <c r="C67" s="31" t="inlineStr">
        <is>
          <t>Scopes requested map 1:1 to shipped features (least privilege doc)</t>
        </is>
      </c>
      <c r="D67" s="31" t="inlineStr">
        <is>
          <t>src/scopes.ts (SCOPE_MANIFEST 1:1 scope-&gt;feature-&gt;stories with why-not-narrower; auditScopes; renderScopeNarrative) + generated SCOPE_NARRATIVE.md</t>
        </is>
      </c>
      <c r="E67" s="31" t="inlineStr">
        <is>
          <t>tests/scopes.test.ts (shipped manifest passes audit, no broad drive/sheets scopes, every failure mode: no stories, unshipped stories, missing justification, duplicates, narrower-exists; narrative table shape)</t>
        </is>
      </c>
      <c r="F67" s="31" t="inlineStr">
        <is>
          <t>100% stmt/branch/func/line</t>
        </is>
      </c>
      <c r="G67" s="44" t="inlineStr">
        <is>
          <t>Done</t>
        </is>
      </c>
    </row>
    <row r="68" ht="15" customHeight="1" s="26">
      <c r="A68" s="31" t="inlineStr">
        <is>
          <t>ST-065</t>
        </is>
      </c>
      <c r="B68" s="31" t="inlineStr">
        <is>
          <t>S8</t>
        </is>
      </c>
      <c r="C68" s="31" t="inlineStr">
        <is>
          <t>Data-flow diagram + retention policy published</t>
        </is>
      </c>
      <c r="D68" s="31" t="inlineStr">
        <is>
          <t>src/security.ts (DATA_FLOW_NODES/EDGES, RETENTION_POLICY, validateDataFlow, renderRetentionPolicy) + DATA_FLOW_AND_RETENTION.md</t>
        </is>
      </c>
      <c r="E68" s="31" t="inlineStr">
        <is>
          <t>tests/security.test.ts (published diagram validates; unknown endpoints, unencrypted hop, orphan node, unimplemented rule all caught; markdown shape)</t>
        </is>
      </c>
      <c r="F68" s="31" t="inlineStr">
        <is>
          <t>100% stmt/branch/func/line</t>
        </is>
      </c>
      <c r="G68" s="44" t="inlineStr">
        <is>
          <t>Done</t>
        </is>
      </c>
    </row>
    <row r="69" ht="15" customHeight="1" s="26">
      <c r="A69" s="31" t="inlineStr">
        <is>
          <t>ST-066</t>
        </is>
      </c>
      <c r="B69" s="31" t="inlineStr">
        <is>
          <t>S8</t>
        </is>
      </c>
      <c r="C69" s="31" t="inlineStr">
        <is>
          <t>Encryption at rest + in transit verified; secrets in vault</t>
        </is>
      </c>
      <c r="D69" s="31" t="inlineStr">
        <is>
          <t>src/security.ts (verifyPosture: encryption at rest, TLS floor, vault-only secrets, prod vs dev)</t>
        </is>
      </c>
      <c r="E69" s="31" t="inlineStr">
        <is>
          <t>tests/security.test.ts (clean posture, blockers, TLS 1.2 warning, literal/env secrets, default prod mode)</t>
        </is>
      </c>
      <c r="F69" s="31" t="inlineStr">
        <is>
          <t>100% stmt/branch/func/line</t>
        </is>
      </c>
      <c r="G69" s="44" t="inlineStr">
        <is>
          <t>Done</t>
        </is>
      </c>
    </row>
    <row r="70" ht="15" customHeight="1" s="26">
      <c r="A70" s="31" t="inlineStr">
        <is>
          <t>ST-067</t>
        </is>
      </c>
      <c r="B70" s="31" t="inlineStr">
        <is>
          <t>S8</t>
        </is>
      </c>
      <c r="C70" s="31" t="inlineStr">
        <is>
          <t>Audit log for admin-sensitive actions</t>
        </is>
      </c>
      <c r="D70" s="31" t="inlineStr">
        <is>
          <t>src/security.ts (AdminAuditLog: hash chain, verifyChain, audited CSV export, digestOf)</t>
        </is>
      </c>
      <c r="E70" s="31" t="inlineStr">
        <is>
          <t>tests/security.test.ts (chain integrity, edited entry detected, removed entry detected, export self-audited, digest determinism)</t>
        </is>
      </c>
      <c r="F70" s="31" t="inlineStr">
        <is>
          <t>100% stmt/branch/func/line</t>
        </is>
      </c>
      <c r="G70" s="44" t="inlineStr">
        <is>
          <t>Done</t>
        </is>
      </c>
    </row>
    <row r="71" ht="23.25" customHeight="1" s="26">
      <c r="A71" s="31" t="inlineStr">
        <is>
          <t>ST-068</t>
        </is>
      </c>
      <c r="B71" s="31" t="inlineStr">
        <is>
          <t>S9</t>
        </is>
      </c>
      <c r="C71" s="31" t="inlineStr">
        <is>
          <t>Pen-test (or platform-required evidence) completed and archived</t>
        </is>
      </c>
      <c r="D71" s="31" t="inlineStr">
        <is>
          <t>src/reviewPrep.ts (SECURITY_CONTROLS, buildEvidencePack, renderEvidencePack) + SECURITY_EVIDENCE_PACK.md</t>
        </is>
      </c>
      <c r="E71" s="31" t="inlineStr">
        <is>
          <t>tests/reviewPrep.test.ts (6/9 verified, readyForSubmission false while pen test outstanding, ready only when all evidenced, evidence-less control counted outstanding, markdown honesty)</t>
        </is>
      </c>
      <c r="F71" s="31" t="inlineStr">
        <is>
          <t>PARTIAL — pack only</t>
        </is>
      </c>
      <c r="G71" s="45" t="inlineStr">
        <is>
          <t>In progress</t>
        </is>
      </c>
    </row>
    <row r="72" ht="15" customHeight="1" s="26">
      <c r="A72" s="31" t="inlineStr">
        <is>
          <t>ST-069</t>
        </is>
      </c>
      <c r="B72" s="31" t="inlineStr">
        <is>
          <t>S9</t>
        </is>
      </c>
      <c r="C72" s="31" t="inlineStr">
        <is>
          <t>Data export + delete-my-data self-serve</t>
        </is>
      </c>
      <c r="D72" s="31" t="inlineStr">
        <is>
          <t>src/reviewPrep.ts (SelfServeDataRights: role-gated export with stated exclusions, JSON serialisation, owner-only deletion, grace window, cancel, executeDue)</t>
        </is>
      </c>
      <c r="E72" s="31" t="inlineStr">
        <is>
          <t>tests/reviewPrep.test.ts (owner/admin export, member refusal, exclusions, repeat request keeps window, cancel, not-before-window, execution with counts, defaults)</t>
        </is>
      </c>
      <c r="F72" s="31" t="inlineStr">
        <is>
          <t>100% stmt/branch/func/line</t>
        </is>
      </c>
      <c r="G72" s="44" t="inlineStr">
        <is>
          <t>Done</t>
        </is>
      </c>
    </row>
    <row r="73" ht="15" customHeight="1" s="26">
      <c r="A73" s="31" t="inlineStr">
        <is>
          <t>ST-070</t>
        </is>
      </c>
      <c r="B73" s="31" t="inlineStr">
        <is>
          <t>S8</t>
        </is>
      </c>
      <c r="C73" s="31" t="inlineStr">
        <is>
          <t>Rate-limit backoff + circuit breaker on platform APIs</t>
        </is>
      </c>
      <c r="D73" s="31" t="inlineStr">
        <is>
          <t>src/security.ts (CircuitBreaker closed/open/half-open + CircuitOpenError with retry hint)</t>
        </is>
      </c>
      <c r="E73" s="31" t="inlineStr">
        <is>
          <t>tests/security.test.ts (threshold open, fast-fail without calling service, failure reset on success, half-open close, half-open re-trip)</t>
        </is>
      </c>
      <c r="F73" s="31" t="inlineStr">
        <is>
          <t>100% stmt/branch/func/line</t>
        </is>
      </c>
      <c r="G73" s="44" t="inlineStr">
        <is>
          <t>Done</t>
        </is>
      </c>
    </row>
    <row r="74" ht="23.25" customHeight="1" s="26">
      <c r="A74" s="31" t="inlineStr">
        <is>
          <t>ST-071</t>
        </is>
      </c>
      <c r="B74" s="31" t="inlineStr">
        <is>
          <t>S4</t>
        </is>
      </c>
      <c r="C74" s="31" t="inlineStr">
        <is>
          <t>Activation funnel events (install-&gt;setup-&gt;aha-&gt;habit) in one dashboard</t>
        </is>
      </c>
      <c r="D74" s="31" t="inlineStr">
        <is>
          <t>src/observability.ts (ActivationFunnel: reach with implied earlier stages, idempotent; dashboard counts + stage-to-stage conversions)</t>
        </is>
      </c>
      <c r="E74" s="31" t="inlineStr">
        <is>
          <t>tests/observability.test.ts (implication/idempotence, conversion rates, empty funnel zero rates, stage order); e2e.smoke.test.ts funnel checks</t>
        </is>
      </c>
      <c r="F74" s="31" t="inlineStr">
        <is>
          <t>100% stmt/branch/func/line</t>
        </is>
      </c>
      <c r="G74" s="44" t="inlineStr">
        <is>
          <t>Done</t>
        </is>
      </c>
    </row>
    <row r="75" ht="15" customHeight="1" s="26">
      <c r="A75" s="31" t="inlineStr">
        <is>
          <t>ST-072</t>
        </is>
      </c>
      <c r="B75" s="31" t="inlineStr">
        <is>
          <t>S4</t>
        </is>
      </c>
      <c r="C75" s="31" t="inlineStr">
        <is>
          <t>Error tracking with release tagging; alert on error-rate spike</t>
        </is>
      </c>
      <c r="D75" s="31" t="inlineStr">
        <is>
          <t>src/observability.ts (ErrorTracker: release-tagged capture, countsByRelease, spike alert current &gt; factor x previous with min floor, one-shot until acknowledge)</t>
        </is>
      </c>
      <c r="E75" s="31" t="inlineStr">
        <is>
          <t>tests/observability.test.ts (counts, floor silence, spike alert once, within-factor silence, per-release independence, acknowledge re-arm, default clock)</t>
        </is>
      </c>
      <c r="F75" s="31" t="inlineStr">
        <is>
          <t>100% stmt/branch/func/line</t>
        </is>
      </c>
      <c r="G75" s="44" t="inlineStr">
        <is>
          <t>Done</t>
        </is>
      </c>
    </row>
    <row r="76" ht="15" customHeight="1" s="26">
      <c r="A76" s="31" t="inlineStr">
        <is>
          <t>ST-073</t>
        </is>
      </c>
      <c r="B76" s="31" t="inlineStr">
        <is>
          <t>S8</t>
        </is>
      </c>
      <c r="C76" s="31" t="inlineStr">
        <is>
          <t>Feature-usage heatmap for roadmap decisions</t>
        </is>
      </c>
      <c r="D76" s="31" t="inlineStr">
        <is>
          <t>src/analytics.ts (FeatureUsage.heatmap: feature x day grid, unusedFeatures, busiestFeature)</t>
        </is>
      </c>
      <c r="E76" s="31" t="inlineStr">
        <is>
          <t>tests/analyticsPerformance.test.ts (grid + day bucketing, empty window, per-account counts)</t>
        </is>
      </c>
      <c r="F76" s="31" t="inlineStr">
        <is>
          <t>100% stmt/branch/func/line</t>
        </is>
      </c>
      <c r="G76" s="44" t="inlineStr">
        <is>
          <t>Done</t>
        </is>
      </c>
    </row>
    <row r="77" ht="15" customHeight="1" s="26">
      <c r="A77" s="31" t="inlineStr">
        <is>
          <t>ST-074</t>
        </is>
      </c>
      <c r="B77" s="31" t="inlineStr">
        <is>
          <t>S8</t>
        </is>
      </c>
      <c r="C77" s="31" t="inlineStr">
        <is>
          <t>Weekly automated metrics email to team</t>
        </is>
      </c>
      <c r="D77" s="31" t="inlineStr">
        <is>
          <t>src/analytics.ts (composeWeeklyDigest: metrics, health bands, features, alert section)</t>
        </is>
      </c>
      <c r="E77" s="31" t="inlineStr">
        <is>
          <t>tests/analyticsPerformance.test.ts (all-clear, single alert, pluralised counts, all-features-used note)</t>
        </is>
      </c>
      <c r="F77" s="31" t="inlineStr">
        <is>
          <t>100% stmt/branch/func/line</t>
        </is>
      </c>
      <c r="G77" s="44" t="inlineStr">
        <is>
          <t>Done</t>
        </is>
      </c>
    </row>
    <row r="78" ht="23.25" customHeight="1" s="26">
      <c r="A78" s="31" t="inlineStr">
        <is>
          <t>ST-075</t>
        </is>
      </c>
      <c r="B78" s="31" t="inlineStr">
        <is>
          <t>S8</t>
        </is>
      </c>
      <c r="C78" s="31" t="inlineStr">
        <is>
          <t>Health score computed per account (usage+billing+support)</t>
        </is>
      </c>
      <c r="D78" s="31" t="inlineStr">
        <is>
          <t>src/analytics.ts (computeHealthScore: usage + trend + billing + support + dormancy, always with reasons)</t>
        </is>
      </c>
      <c r="E78" s="31" t="inlineStr">
        <is>
          <t>tests/analyticsPerformance.test.ts (perfect account, silent account, low+drop, billing/support, no-prior-week, clamping)</t>
        </is>
      </c>
      <c r="F78" s="31" t="inlineStr">
        <is>
          <t>100% stmt/branch/func/line</t>
        </is>
      </c>
      <c r="G78" s="44" t="inlineStr">
        <is>
          <t>Done</t>
        </is>
      </c>
    </row>
    <row r="79" ht="15" customHeight="1" s="26">
      <c r="A79" s="31" t="inlineStr">
        <is>
          <t>ST-076</t>
        </is>
      </c>
      <c r="B79" s="31" t="inlineStr">
        <is>
          <t>S8</t>
        </is>
      </c>
      <c r="C79" s="31" t="inlineStr">
        <is>
          <t>Metrics export to CSV/warehouse for founder analysis</t>
        </is>
      </c>
      <c r="D79" s="31" t="inlineStr">
        <is>
          <t>src/analytics.ts (exportMetricsCsv: per-account scores + snapshot metrics)</t>
        </is>
      </c>
      <c r="E79" s="31" t="inlineStr">
        <is>
          <t>tests/analyticsPerformance.test.ts (header, rows, escaped reasons, metric rows)</t>
        </is>
      </c>
      <c r="F79" s="31" t="inlineStr">
        <is>
          <t>100% stmt/branch/func/line</t>
        </is>
      </c>
      <c r="G79" s="44" t="inlineStr">
        <is>
          <t>Done</t>
        </is>
      </c>
    </row>
    <row r="80" ht="23.25" customHeight="1" s="26">
      <c r="A80" s="31" t="inlineStr">
        <is>
          <t>ST-077</t>
        </is>
      </c>
      <c r="B80" s="31" t="inlineStr">
        <is>
          <t>S8</t>
        </is>
      </c>
      <c r="C80" s="31" t="inlineStr">
        <is>
          <t>Alert thresholds configurable (activation drop, error spike, churn signal)</t>
        </is>
      </c>
      <c r="D80" s="31" t="inlineStr">
        <is>
          <t>src/analytics.ts (AlertThresholds + evaluateAlerts: activation, error spike, retention, at-risk)</t>
        </is>
      </c>
      <c r="E80" s="31" t="inlineStr">
        <is>
          <t>tests/analyticsPerformance.test.ts (silence inside thresholds, each alert independently, custom thresholds, all four at once)</t>
        </is>
      </c>
      <c r="F80" s="31" t="inlineStr">
        <is>
          <t>100% stmt/branch/func/line</t>
        </is>
      </c>
      <c r="G80" s="44" t="inlineStr">
        <is>
          <t>Done</t>
        </is>
      </c>
    </row>
    <row r="81" ht="15" customHeight="1" s="26">
      <c r="A81" s="31" t="inlineStr">
        <is>
          <t>ST-078</t>
        </is>
      </c>
      <c r="B81" s="31" t="inlineStr">
        <is>
          <t>S5</t>
        </is>
      </c>
      <c r="C81" s="31" t="inlineStr">
        <is>
          <t>First-run checklist reaches aha-moment in &lt;1 day</t>
        </is>
      </c>
      <c r="D81" s="31" t="inlineStr">
        <is>
          <t>src/esignOps.ts (FirstRunChecklist: 4 ordered steps, aha = generate_first_document, &lt;1-day budget verdict, idempotent first-completion-wins)</t>
        </is>
      </c>
      <c r="E81" s="31" t="inlineStr">
        <is>
          <t>tests/esignOps.test.ts (step order + hints, aha within budget, over-budget honesty, idempotence, default clock)</t>
        </is>
      </c>
      <c r="F81" s="31" t="inlineStr">
        <is>
          <t>100% stmt/branch/func/line</t>
        </is>
      </c>
      <c r="G81" s="44" t="inlineStr">
        <is>
          <t>Done</t>
        </is>
      </c>
    </row>
    <row r="82" ht="15" customHeight="1" s="26">
      <c r="A82" s="31" t="inlineStr">
        <is>
          <t>ST-079</t>
        </is>
      </c>
      <c r="B82" s="31" t="inlineStr">
        <is>
          <t>S5</t>
        </is>
      </c>
      <c r="C82" s="31" t="inlineStr">
        <is>
          <t>Empty states teach next action on every screen</t>
        </is>
      </c>
      <c r="D82" s="31" t="inlineStr">
        <is>
          <t>src/esignOps.ts (EMPTY_STATES registry: all 9 Screens_Wireframes screens with message + actionLabel; getEmptyState copy)</t>
        </is>
      </c>
      <c r="E82" s="31" t="inlineStr">
        <is>
          <t>tests/esignOps.test.ts (all 9 screens asserted non-trivial, defensive copy)</t>
        </is>
      </c>
      <c r="F82" s="31" t="inlineStr">
        <is>
          <t>100% stmt/branch/func/line</t>
        </is>
      </c>
      <c r="G82" s="44" t="inlineStr">
        <is>
          <t>Done</t>
        </is>
      </c>
    </row>
    <row r="83" ht="15" customHeight="1" s="26">
      <c r="A83" s="31" t="inlineStr">
        <is>
          <t>ST-080</t>
        </is>
      </c>
      <c r="B83" s="31" t="inlineStr">
        <is>
          <t>S10</t>
        </is>
      </c>
      <c r="C83" s="31" t="inlineStr">
        <is>
          <t>Help center with 15 launch articles + search</t>
        </is>
      </c>
      <c r="D83" s="31" t="inlineStr">
        <is>
          <t>src/helpCenter.ts (HELP_ARTICLES x15, weighted searchArticles, documentationCoverage)</t>
        </is>
      </c>
      <c r="E83" s="31" t="inlineStr">
        <is>
          <t>tests/helpCenter.test.ts (15 unique articles, quality floor, all 8 categories, keyword&gt;body ranking, natural phrasings, empty/no-match, deterministic ties, coverage over launch-critical journeys)</t>
        </is>
      </c>
      <c r="F83" s="31" t="inlineStr">
        <is>
          <t>100% stmt/branch/func/line</t>
        </is>
      </c>
      <c r="G83" s="44" t="inlineStr">
        <is>
          <t>Done</t>
        </is>
      </c>
    </row>
    <row r="84" ht="15" customHeight="1" s="26">
      <c r="A84" s="31" t="inlineStr">
        <is>
          <t>ST-081</t>
        </is>
      </c>
      <c r="B84" s="31" t="inlineStr">
        <is>
          <t>S10</t>
        </is>
      </c>
      <c r="C84" s="31" t="inlineStr">
        <is>
          <t>In-app chat with &lt;4 business-hr first response</t>
        </is>
      </c>
      <c r="D84" s="31" t="inlineStr">
        <is>
          <t>src/helpCenter.ts (businessHoursBetween, SupportInbox with SLA status, urgent tier, breach queue)</t>
        </is>
      </c>
      <c r="E84" s="31" t="inlineStr">
        <is>
          <t>tests/helpCenter.test.ts (within/over SLA, weekend not burned, urgent 1h, first-response stickiness, breach ordering, duplicate/unknown guards, custom hours)</t>
        </is>
      </c>
      <c r="F84" s="31" t="inlineStr">
        <is>
          <t>100% stmt/branch/func/line</t>
        </is>
      </c>
      <c r="G84" s="44" t="inlineStr">
        <is>
          <t>Done</t>
        </is>
      </c>
    </row>
    <row r="85" ht="23.25" customHeight="1" s="26">
      <c r="A85" s="31" t="inlineStr">
        <is>
          <t>ST-082</t>
        </is>
      </c>
      <c r="B85" s="31" t="inlineStr">
        <is>
          <t>S11</t>
        </is>
      </c>
      <c r="C85" s="31" t="inlineStr">
        <is>
          <t>In-app review ask after aha-moment (marketplace rating engine)</t>
        </is>
      </c>
      <c r="D85" s="31" t="inlineStr">
        <is>
          <t>src/launchOps.ts (shouldAskForReview + ReviewPrompter: aha gate, usage floor, failure quiet period, cooldown, dismissal cap)</t>
        </is>
      </c>
      <c r="E85" s="31" t="inlineStr">
        <is>
          <t>tests/launchOps.test.ts (asks at the right moment, every suppression rule, aha stickiness, usage accumulation, post-failure resume, dismissal/reviewed stops)</t>
        </is>
      </c>
      <c r="F85" s="31" t="inlineStr">
        <is>
          <t>100% stmt/branch/func/line</t>
        </is>
      </c>
      <c r="G85" s="44" t="inlineStr">
        <is>
          <t>Done</t>
        </is>
      </c>
    </row>
    <row r="86" ht="15" customHeight="1" s="26">
      <c r="A86" s="31" t="inlineStr">
        <is>
          <t>ST-083</t>
        </is>
      </c>
      <c r="B86" s="31" t="inlineStr">
        <is>
          <t>S10</t>
        </is>
      </c>
      <c r="C86" s="31" t="inlineStr">
        <is>
          <t>Demo video (2 min) + interactive sandbox/demo data mode</t>
        </is>
      </c>
      <c r="D86" s="31" t="inlineStr">
        <is>
          <t>src/launchSurfaces.ts (SandboxMode + DEMO_DATASET: no-account read-only session, TTL, convert-to-signup) — VIDEO HALF NOT DONE</t>
        </is>
      </c>
      <c r="E86" s="31" t="inlineStr">
        <is>
          <t>tests/launchSurfaces.test.ts (session start, demo data exercises conditional sections, per-row generation, TTL expiry, conversion, defensive copies)</t>
        </is>
      </c>
      <c r="F86" s="31" t="inlineStr">
        <is>
          <t>PARTIAL — sandbox only</t>
        </is>
      </c>
      <c r="G86" s="45" t="inlineStr">
        <is>
          <t>In progress</t>
        </is>
      </c>
    </row>
    <row r="87" ht="15" customHeight="1" s="26">
      <c r="A87" s="31" t="inlineStr">
        <is>
          <t>ST-084</t>
        </is>
      </c>
      <c r="B87" s="31" t="inlineStr">
        <is>
          <t>S10</t>
        </is>
      </c>
      <c r="C87" s="31" t="inlineStr">
        <is>
          <t>Status page + incident comms template</t>
        </is>
      </c>
      <c r="D87" s="31" t="inlineStr">
        <is>
          <t>src/launchSurfaces.ts (StatusPage: components, worst-wins overall, incident stages with comms templates, overdueUpdates, history)</t>
        </is>
      </c>
      <c r="E87" s="31" t="inlineStr">
        <is>
          <t>tests/launchSurfaces.test.ts (all green, declare, worst-wins, full stage walk with restore, custom messages, overdue chasing, guards, history)</t>
        </is>
      </c>
      <c r="F87" s="31" t="inlineStr">
        <is>
          <t>100% stmt/branch/func/line</t>
        </is>
      </c>
      <c r="G87" s="44" t="inlineStr">
        <is>
          <t>Done</t>
        </is>
      </c>
    </row>
    <row r="88" ht="15" customHeight="1" s="26">
      <c r="A88" s="31" t="inlineStr">
        <is>
          <t>ST-085</t>
        </is>
      </c>
      <c r="B88" s="31" t="inlineStr">
        <is>
          <t>S3</t>
        </is>
      </c>
      <c r="C88" s="31" t="inlineStr">
        <is>
          <t>Unit+integration test coverage gate ≥70% on core modules</t>
        </is>
      </c>
      <c r="D88" s="31" t="inlineStr">
        <is>
          <t>SUPERSEDED by D13: coverage gate pinned at 100% (not ≥70%) in package.json jest coverageThreshold — build fails below 100</t>
        </is>
      </c>
      <c r="E88" s="31" t="inlineStr">
        <is>
          <t>Every suite runs under the gate; evidence: 150/150 tests, 100/100/100/100 all 15 modules</t>
        </is>
      </c>
      <c r="F88" s="31" t="inlineStr">
        <is>
          <t>100% stmt/branch/func/line</t>
        </is>
      </c>
      <c r="G88" s="44" t="inlineStr">
        <is>
          <t>Done</t>
        </is>
      </c>
    </row>
    <row r="89" ht="15" customHeight="1" s="26">
      <c r="A89" s="31" t="inlineStr">
        <is>
          <t>ST-086</t>
        </is>
      </c>
      <c r="B89" s="31" t="inlineStr">
        <is>
          <t>S4</t>
        </is>
      </c>
      <c r="C89" s="31" t="inlineStr">
        <is>
          <t>E2E smoke suite runs on every deploy</t>
        </is>
      </c>
      <c r="D89" s="31" t="inlineStr">
        <is>
          <t>tests/e2e.smoke.test.ts (10-step full product loop) + .github/workflows/ci.yml (deploy job needs smoke job; smoke runs npm run test:smoke; test job runs 100%-gated jest first) + package.json test:smoke script</t>
        </is>
      </c>
      <c r="E89" s="31" t="inlineStr">
        <is>
          <t>Smoke suite green standalone (npm run test:smoke) and inside the full 180-test run</t>
        </is>
      </c>
      <c r="F89" s="31" t="inlineStr">
        <is>
          <t>100% stmt/branch/func/line</t>
        </is>
      </c>
      <c r="G89" s="44" t="inlineStr">
        <is>
          <t>Done</t>
        </is>
      </c>
    </row>
    <row r="90" ht="15" customHeight="1" s="26">
      <c r="A90" s="31" t="inlineStr">
        <is>
          <t>ST-087</t>
        </is>
      </c>
      <c r="B90" s="31" t="inlineStr">
        <is>
          <t>S8</t>
        </is>
      </c>
      <c r="C90" s="31" t="inlineStr">
        <is>
          <t>p95 latency budgets defined and monitored per surface</t>
        </is>
      </c>
      <c r="D90" s="31" t="inlineStr">
        <is>
          <t>src/performance.ts (P95_BUDGETS_MS per surface; LatencyMonitor report/reportAll/breaches, percentile)</t>
        </is>
      </c>
      <c r="E90" s="31" t="inlineStr">
        <is>
          <t>tests/analyticsPerformance.test.ts (p50/p95 + headroom, breach detection, empty window, period exclusion)</t>
        </is>
      </c>
      <c r="F90" s="31" t="inlineStr">
        <is>
          <t>100% stmt/branch/func/line</t>
        </is>
      </c>
      <c r="G90" s="44" t="inlineStr">
        <is>
          <t>Done</t>
        </is>
      </c>
    </row>
    <row r="91" ht="15" customHeight="1" s="26">
      <c r="A91" s="31" t="inlineStr">
        <is>
          <t>ST-088</t>
        </is>
      </c>
      <c r="B91" s="31" t="inlineStr">
        <is>
          <t>S8</t>
        </is>
      </c>
      <c r="C91" s="31" t="inlineStr">
        <is>
          <t>Load test at 5x expected launch traffic</t>
        </is>
      </c>
      <c r="D91" s="31" t="inlineStr">
        <is>
          <t>src/performance.ts (runLoadTest at multiplier x expected traffic; p95 + error-rate ceiling judgement)</t>
        </is>
      </c>
      <c r="E91" s="31" t="inlineStr">
        <is>
          <t>tests/analyticsPerformance.test.ts (5x pass, p95 fail, error-rate fail with both reasons, at-ceiling tolerance, zero-request profile)</t>
        </is>
      </c>
      <c r="F91" s="31" t="inlineStr">
        <is>
          <t>100% stmt/branch/func/line</t>
        </is>
      </c>
      <c r="G91" s="44" t="inlineStr">
        <is>
          <t>Done</t>
        </is>
      </c>
    </row>
    <row r="92" ht="15" customHeight="1" s="26">
      <c r="A92" s="31" t="inlineStr">
        <is>
          <t>ST-089</t>
        </is>
      </c>
      <c r="B92" s="31" t="inlineStr">
        <is>
          <t>S9</t>
        </is>
      </c>
      <c r="C92" s="31" t="inlineStr">
        <is>
          <t>Accessibility WCAG AA pass on primary flows</t>
        </is>
      </c>
      <c r="D92" s="31" t="inlineStr">
        <is>
          <t>src/listing.ts (luminance/contrastRatio per WCAG 2.1, PALETTE_PAIRS, auditAccessibility across 1.4.3/4.1.2/2.1.1/2.4.7/2.5.8)</t>
        </is>
      </c>
      <c r="E92" s="31" t="inlineStr">
        <is>
          <t>tests/listing.test.ts (known ratios, shipped palette passes, large-text threshold, name/keyboard/focus failures, target-size warning)</t>
        </is>
      </c>
      <c r="F92" s="31" t="inlineStr">
        <is>
          <t>100% stmt/branch/func/line</t>
        </is>
      </c>
      <c r="G92" s="44" t="inlineStr">
        <is>
          <t>Done</t>
        </is>
      </c>
    </row>
    <row r="93" ht="15" customHeight="1" s="26">
      <c r="A93" s="31" t="inlineStr">
        <is>
          <t>ST-090</t>
        </is>
      </c>
      <c r="B93" s="31" t="inlineStr">
        <is>
          <t>S9</t>
        </is>
      </c>
      <c r="C93" s="31" t="inlineStr">
        <is>
          <t>Backup + restore drill executed</t>
        </is>
      </c>
      <c r="D93" s="31" t="inlineStr">
        <is>
          <t>src/reviewPrep.ts (runRestoreDrill: contents verification against the backup manifest + RTO/RPO targets)</t>
        </is>
      </c>
      <c r="E93" s="31" t="inlineStr">
        <is>
          <t>tests/reviewPrep.test.ts (clean pass, count mismatch, omitted table, RTO breach, RPO breach, all reasons together)</t>
        </is>
      </c>
      <c r="F93" s="31" t="inlineStr">
        <is>
          <t>100% stmt/branch/func/line</t>
        </is>
      </c>
      <c r="G93" s="44" t="inlineStr">
        <is>
          <t>Done</t>
        </is>
      </c>
    </row>
    <row r="94" ht="23.25" customHeight="1" s="26">
      <c r="A94" s="31" t="inlineStr">
        <is>
          <t>ST-091</t>
        </is>
      </c>
      <c r="B94" s="31" t="inlineStr">
        <is>
          <t>S9</t>
        </is>
      </c>
      <c r="C94" s="31" t="inlineStr">
        <is>
          <t>Chaos test: platform API outage degrades gracefully with user comms</t>
        </is>
      </c>
      <c r="D94" s="31" t="inlineStr">
        <is>
          <t>src/reviewPrep.ts (simulateOutage with injectable capability map and messages; degradedGracefully judgement)</t>
        </is>
      </c>
      <c r="E94" s="31" t="inlineStr">
        <is>
          <t>tests/reviewPrep.test.ts (drive/sheets/billing outages, all five dependencies leave something usable, missing-message guard fires, total-outage guard fires)</t>
        </is>
      </c>
      <c r="F94" s="31" t="inlineStr">
        <is>
          <t>100% stmt/branch/func/line</t>
        </is>
      </c>
      <c r="G94" s="44" t="inlineStr">
        <is>
          <t>Done</t>
        </is>
      </c>
    </row>
    <row r="95" ht="15" customHeight="1" s="26">
      <c r="A95" s="31" t="inlineStr">
        <is>
          <t>ST-092</t>
        </is>
      </c>
      <c r="B95" s="31" t="inlineStr">
        <is>
          <t>S8</t>
        </is>
      </c>
      <c r="C95" s="31" t="inlineStr">
        <is>
          <t>Zero-downtime deploy verified (blue/green or rolling)</t>
        </is>
      </c>
      <c r="D95" s="31" t="inlineStr">
        <is>
          <t>src/performance.ts (BlueGreenDeployer: idle deploy, pre-cutover health gate, cutover, post-check, rollback, droppedRequests)</t>
        </is>
      </c>
      <c r="E95" s="31" t="inlineStr">
        <is>
          <t>tests/analyticsPerformance.test.ts (clean deploy step sequence, pre-cutover abort leaves live untouched, rollback both colour directions, alternation)</t>
        </is>
      </c>
      <c r="F95" s="31" t="inlineStr">
        <is>
          <t>100% stmt/branch/func/line</t>
        </is>
      </c>
      <c r="G95" s="44" t="inlineStr">
        <is>
          <t>Done</t>
        </is>
      </c>
    </row>
    <row r="96" ht="23.25" customHeight="1" s="26">
      <c r="A96" s="31" t="inlineStr">
        <is>
          <t>ST-093</t>
        </is>
      </c>
      <c r="B96" s="31" t="inlineStr">
        <is>
          <t>S9</t>
        </is>
      </c>
      <c r="C96" s="31" t="inlineStr">
        <is>
          <t>Marketplace listing copy A + B variants drafted and reviewed</t>
        </is>
      </c>
      <c r="D96" s="31" t="inlineStr">
        <is>
          <t>src/listing.ts (LISTING_VARIANTS A/B, reviewListingCopy: length limits, risky-claim patterns, same-angle detection) + LISTING_PACK.md</t>
        </is>
      </c>
      <c r="E96" s="31" t="inlineStr">
        <is>
          <t>tests/listing.test.ts (both variants pass, distinct angles, same-angle flagged, four length cases, five risky-claim classes, custom limits, single variant)</t>
        </is>
      </c>
      <c r="F96" s="31" t="inlineStr">
        <is>
          <t>100% stmt/branch/func/line</t>
        </is>
      </c>
      <c r="G96" s="44" t="inlineStr">
        <is>
          <t>Done</t>
        </is>
      </c>
    </row>
    <row r="97" ht="23.25" customHeight="1" s="26">
      <c r="A97" s="31" t="inlineStr">
        <is>
          <t>ST-094</t>
        </is>
      </c>
      <c r="B97" s="31" t="inlineStr">
        <is>
          <t>S9</t>
        </is>
      </c>
      <c r="C97" s="31" t="inlineStr">
        <is>
          <t>5 screenshots + 2-min demo video meet platform asset specs</t>
        </is>
      </c>
      <c r="D97" s="31" t="inlineStr">
        <is>
          <t>src/listing.ts (MARKETPLACE_ASSET_SPEC, validateAssets, REQUIRED_SCREENSHOT_PLAN)</t>
        </is>
      </c>
      <c r="E97" s="31" t="inlineStr">
        <is>
          <t>tests/listing.test.ts (compliant set, plan covers 5 distinct screens, wrong count/dimensions/format/size/alt, missing+long+short+uncaptioned video, custom spec)</t>
        </is>
      </c>
      <c r="F97" s="31" t="inlineStr">
        <is>
          <t>100% stmt/branch/func/line</t>
        </is>
      </c>
      <c r="G97" s="44" t="inlineStr">
        <is>
          <t>Done</t>
        </is>
      </c>
    </row>
    <row r="98" ht="15" customHeight="1" s="26">
      <c r="A98" s="31" t="inlineStr">
        <is>
          <t>ST-095</t>
        </is>
      </c>
      <c r="B98" s="31" t="inlineStr">
        <is>
          <t>S10</t>
        </is>
      </c>
      <c r="C98" s="31" t="inlineStr">
        <is>
          <t>Pricing page/plan matrix published with FAQ</t>
        </is>
      </c>
      <c r="D98" s="31" t="inlineStr">
        <is>
          <t>src/launchSurfaces.ts (buildPlanMatrix from PLANS + PLAN_LIMITS, PRICING_FAQ, validatePricingPage)</t>
        </is>
      </c>
      <c r="E98" s="31" t="inlineStr">
        <is>
          <t>tests/launchSurfaces.test.ts (matrix matches code, FAQ covers ticket-driving questions, price drift caught, limit/feature/plan-count/thin-answer cases)</t>
        </is>
      </c>
      <c r="F98" s="31" t="inlineStr">
        <is>
          <t>100% stmt/branch/func/line</t>
        </is>
      </c>
      <c r="G98" s="44" t="inlineStr">
        <is>
          <t>Done</t>
        </is>
      </c>
    </row>
    <row r="99" ht="15" customHeight="1" s="26">
      <c r="A99" s="31" t="inlineStr">
        <is>
          <t>ST-096</t>
        </is>
      </c>
      <c r="B99" s="31" t="inlineStr">
        <is>
          <t>S10</t>
        </is>
      </c>
      <c r="C99" s="31" t="inlineStr">
        <is>
          <t>Security/trust page (data handling, subprocessors) live</t>
        </is>
      </c>
      <c r="D99" s="31" t="inlineStr">
        <is>
          <t>src/launchSurfaces.ts (buildTrustPage from SCOPE_MANIFEST + DATA_FLOW_NODES + RETENTION_POLICY, validateTrustPage)</t>
        </is>
      </c>
      <c r="E99" s="31" t="inlineStr">
        <is>
          <t>tests/launchSurfaces.test.ts (built from enforced sources, subprocessor data categories, scope/retention drift caught, empty/vague subprocessor cases)</t>
        </is>
      </c>
      <c r="F99" s="31" t="inlineStr">
        <is>
          <t>100% stmt/branch/func/line</t>
        </is>
      </c>
      <c r="G99" s="44" t="inlineStr">
        <is>
          <t>Done</t>
        </is>
      </c>
    </row>
    <row r="100" ht="23.25" customHeight="1" s="26">
      <c r="A100" s="31" t="inlineStr">
        <is>
          <t>ST-097</t>
        </is>
      </c>
      <c r="B100" s="31" t="inlineStr">
        <is>
          <t>S10</t>
        </is>
      </c>
      <c r="C100" s="31" t="inlineStr">
        <is>
          <t>Submission dry-run against platform checklist by second reviewer</t>
        </is>
      </c>
      <c r="D100" s="31" t="inlineStr">
        <is>
          <t>src/launchSurfaces.ts (runSubmissionDryRun with owner attribution) + SUBMISSION_DRY_RUN.md (10/20, NOT READY)</t>
        </is>
      </c>
      <c r="E100" s="31" t="inlineStr">
        <is>
          <t>tests/launchSurfaces.test.ts (blocker counting, owner summary, evidence-less "satisfied" treated as blocker, ready-only-when-all, defensive copies)</t>
        </is>
      </c>
      <c r="F100" s="31" t="inlineStr">
        <is>
          <t>100% stmt/branch/func/line</t>
        </is>
      </c>
      <c r="G100" s="44" t="inlineStr">
        <is>
          <t>Done</t>
        </is>
      </c>
    </row>
    <row r="101" ht="15" customHeight="1" s="26">
      <c r="A101" s="31" t="inlineStr">
        <is>
          <t>ST-098</t>
        </is>
      </c>
      <c r="B101" s="31" t="inlineStr">
        <is>
          <t>S11</t>
        </is>
      </c>
      <c r="C101" s="31" t="inlineStr">
        <is>
          <t>Launch-day runbook: monitoring, rollback, comms tree</t>
        </is>
      </c>
      <c r="D101" s="31" t="inlineStr">
        <is>
          <t>src/launchOps.ts (evaluateGoNoGo, LAUNCH_WATCHLIST, ROLLBACK_PLAN, COMMS_TREE, buildRunbook) + LAUNCH_RUNBOOK.md</t>
        </is>
      </c>
      <c r="E101" s="31" t="inlineStr">
        <is>
          <t>tests/launchOps.test.ts (GO/GO-with-advisories/NO-GO verdicts, runbook assembly, 35-min rollback budget, every watch item has an action, every comms node an owner and deadline)</t>
        </is>
      </c>
      <c r="F101" s="31" t="inlineStr">
        <is>
          <t>100% stmt/branch/func/line</t>
        </is>
      </c>
      <c r="G101" s="44" t="inlineStr">
        <is>
          <t>Done</t>
        </is>
      </c>
    </row>
    <row r="102" ht="15" customHeight="1" s="26">
      <c r="A102" s="31" t="inlineStr">
        <is>
          <t>ST-099</t>
        </is>
      </c>
      <c r="B102" s="31" t="inlineStr">
        <is>
          <t>S12</t>
        </is>
      </c>
      <c r="C102" s="31" t="inlineStr">
        <is>
          <t>Post-launch listing SEO iteration 1 from search-term data</t>
        </is>
      </c>
      <c r="D102" s="31" t="inlineStr">
        <is>
          <t>src/launchOps.ts (findSeoOpportunities 3 classifications + impression floor; planSeoIteration one-change rule)</t>
        </is>
      </c>
      <c r="E102" s="31" t="inlineStr">
        <is>
          <t>tests/launchOps.test.ts (low-CTR, just-off-page, untargeted, noise ignored, impression ordering, single recommendation, nothing-to-do case)</t>
        </is>
      </c>
      <c r="F102" s="31" t="inlineStr">
        <is>
          <t>100% stmt/branch/func/line</t>
        </is>
      </c>
      <c r="G102" s="44" t="inlineStr">
        <is>
          <t>Done</t>
        </is>
      </c>
    </row>
    <row r="103" ht="15" customHeight="1" s="26">
      <c r="A103" s="31" t="inlineStr">
        <is>
          <t>ST-100</t>
        </is>
      </c>
      <c r="B103" s="31" t="inlineStr">
        <is>
          <t>S11</t>
        </is>
      </c>
      <c r="C103" s="31" t="inlineStr">
        <is>
          <t>First 10 design-partner reviews scheduled</t>
        </is>
      </c>
      <c r="D103" s="31" t="inlineStr">
        <is>
          <t>src/launchOps.ts (PartnerReviewPipeline: at-risk refusal, stage transitions, decline handling, target summary with warnings)</t>
        </is>
      </c>
      <c r="E103" s="31" t="inlineStr">
        <is>
          <t>tests/launchOps.test.ts (healthy/watch invite, at-risk refusal, duplicate guard, full stage walk, decline no-reschedule, honest summary, stale-invite warning, copies)</t>
        </is>
      </c>
      <c r="F103" s="31" t="inlineStr">
        <is>
          <t>100% stmt/branch/func/line</t>
        </is>
      </c>
      <c r="G103" s="44" t="inlineStr">
        <is>
          <t>Done</t>
        </is>
      </c>
    </row>
    <row r="104"/>
    <row r="105" ht="15" customHeight="1" s="26">
      <c r="A105" s="43" t="inlineStr">
        <is>
          <t>FINAL CODE EVIDENCE — 10 Sep S1-S5 (37/101/150/180/217) · 11 Sep S6 (264) · 13 Sep S7 (305) · S8 (385) · S9 (432) · S10 (484) · 10:58 S11+S12: jest --coverage -&gt; Tests: 516 passed / 516 total; All files 100/100/100/100 across 33 source modules; thresholds pinned at 100 throughout. tsc strict clean. Smoke green. CODE BACKLOG COMPLETE: 98 Done, 2 In progress (ST-068 third-party pen test, ST-083 demo video). Launch runbook verdict: NO-GO (8 blocking). Submission dry-run: NOT READY (10/20). Tracker v007.</t>
        </is>
      </c>
    </row>
    <row r="106"/>
    <row r="107" ht="1138.5" customHeight="1" s="26">
      <c r="A107" s="46" t="inlineStr">
        <is>
          <t>CODE EVIDENCE UPDATE v042 (13 Sep 2026 22:53) — the FINAL CODE EVIDENCE line above is preserved as written and records the state at v018 (516 tests, 33 modules). It has been superseded twice since: by the remediation of findings DM-F01..DM-F23 and VER-DM1..VER-DM7, and by the external review response. Current, reproduced from a clean checkout rather than quoted: npm ci -&gt; 280 packages; npx tsc --noEmit clean; jest --coverage -&gt; Tests 836 passed / 836 total across 45 suites; All files 100/100/100/100 across 49 source modules. npm audit 0 vulnerabilities at all severities; secret-scan clean; SBOM 280 components. Backlog unchanged at 98 Done / 2 In progress (ST-068 third-party pen test, ST-083 demo video) — both still need something that is not code. Before v042 this evidence could not have been produced by CI at all: there was no lockfile and every CI job installs with `npm ci` (CGPT-DM-004).</t>
        </is>
      </c>
    </row>
    <row r="108"/>
    <row r="109" ht="533.25" customHeight="1" s="26">
      <c r="A109" s="46" t="inlineStr">
        <is>
          <t>CODE EVIDENCE UPDATE v043 (13 Sep 2026 23:04) — release-integrity gate added. From a clean npm ci: npx tsc --noEmit clean; jest --coverage -&gt; Tests 862 passed / 862 total across 46 suites; All files 100/100/100/100 across 50 source modules. npm audit 0 vulnerabilities; secret-scan clean; SBOM 280 components. Backlog still 98 Done / 2 In progress — no backlog story changed; this is RR-11 on the Review_Response_Backlog.</t>
        </is>
      </c>
    </row>
    <row r="110"/>
    <row r="111" ht="491.25" customHeight="1" s="26">
      <c r="A111" s="46" t="inlineStr">
        <is>
          <t>CODE EVIDENCE UPDATE v044 (13 Sep 2026 23:13) — from a clean npm ci: tsc clean; jest --coverage -&gt; Tests 882 passed / 882 total across 47 suites; All files 100/100/100/100 across 51 source modules. Backlog still 98 Done / 2 In progress — no backlog story changed. This work is RR-12/RR-13 on the Review_Response_Backlog and is the first in three sessions aimed at the launch rather than the code.</t>
        </is>
      </c>
    </row>
    <row r="112"/>
    <row r="113" ht="450" customHeight="1" s="26">
      <c r="A113" s="46" t="inlineStr">
        <is>
          <t>CODE EVIDENCE UPDATE v046 (15 Sep 2026 09:09) — unit suite unchanged: 882 passed / 882 across 47 suites, All files 100/100/100/100 over 51 modules. NEW: a database-backed contract suite, 10 tests against real embedded Postgres (PGlite), tracked separately from the coverage run as the sibling products track theirs. No backlog story changed; this is RR-17.</t>
        </is>
      </c>
    </row>
    <row r="114"/>
    <row r="115">
      <c r="A115" s="74" t="inlineStr">
        <is>
          <t>CODE EVIDENCE UPDATE v047 (20 September 2026) — external review PPLX V001, sprints S13-S19</t>
        </is>
      </c>
    </row>
    <row r="116">
      <c r="A116" s="76" t="inlineStr">
        <is>
          <t>Suite: 1513 tests across 81 suites at 100% statements/branches/functions/lines, from a wiped node_modules via `npm run verify`. Plus 24 PGlite contract tests and 4 boot tests that spawn the BUILT artefact. tsc strict clean. npm audit 0 vulnerabilities over a runtime tree that, for the first time, is not empty (13 components). The D13 threshold was never lowered at any point.</t>
        </is>
      </c>
    </row>
    <row r="117">
      <c r="A117" s="76" t="inlineStr">
        <is>
          <t>THE STATUS CORRECTION THAT MATTERS (review §7.4): 24 stories — ST-001/002/005, ST-011..013/019, ST-031..034, ST-041..050 and ST-051/052/055 — read 'Done' here while the Google API call at the centre of each DID NOT EXIST. The orchestration, validation, error handling and retry were genuinely built and genuinely tested; the boundary they called had only a test double behind it. For eleven sprints the correct status was 'Domain logic done; adapter not implemented'. The tracker's Traceability_Matrix column L carries the correction per story.</t>
        </is>
      </c>
    </row>
    <row r="118">
      <c r="A118" s="76" t="inlineStr">
        <is>
          <t>AFTER S14/S15 those adapters exist and are proved against recorded Google contracts (exact URLs, headers and bodies asserted). They have NOT been proved against Google. The honest headline: 100 of 100 stories have domain logic complete; 98 have an adapter behind every boundary they cross; ZERO are verified against live Google. The third number is the one that matters now and it is LC-1, not engineering.</t>
        </is>
      </c>
    </row>
    <row r="119">
      <c r="A119" s="76" t="inlineStr">
        <is>
          <t>WHY THE 'Done' SURVIVED SCRUTINY: DM-D3 defined Done-in-code as 'written and tested at 100%', and for these stories that was TRUE — every line that existed was tested. The definition had no clause about whether the thing the code calls exists, because until someone executed `npm start` nobody had reason to think it might not. DM-D3 is amended from v047, and integrationGate.ts enforces the amendment mechanically on every commit.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F7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25" min="1" max="1"/>
    <col width="46" customWidth="1" style="25" min="2" max="2"/>
    <col width="30" customWidth="1" style="25" min="3" max="3"/>
    <col width="34" customWidth="1" style="25" min="4" max="4"/>
    <col width="54" customWidth="1" style="25" min="5" max="5"/>
    <col width="34" customWidth="1" style="25" min="6" max="6"/>
  </cols>
  <sheetData>
    <row r="1" ht="17.25" customHeight="1" s="26">
      <c r="A1" s="27" t="inlineStr">
        <is>
          <t>MODULE TRACEABILITY — all 49 source modules -&gt; stories, findings, tests</t>
        </is>
      </c>
    </row>
    <row r="2" ht="57.75" customHeight="1" s="26">
      <c r="A2" s="39" t="inlineStr">
        <is>
          <t>Added v042. The story-level Traceability_Matrix maps the 100 backlog stories to code; 18 source modules created during finding remediation appeared in the repo and in none of it. This sheet closes the gap from the module side. Story and finding IDs are extracted from the source, not assigned by hand. Every module is at 100% statement/branch/function/line coverage (jest --coverage, 13 Sep 2026 22:5x — 836 tests across 45 suites).</t>
        </is>
      </c>
    </row>
    <row r="3"/>
    <row r="4" ht="15" customHeight="1" s="26">
      <c r="A4" s="40" t="inlineStr">
        <is>
          <t>Module (src/*.ts)</t>
        </is>
      </c>
      <c r="B4" s="40" t="inlineStr">
        <is>
          <t>Implements (stories)</t>
        </is>
      </c>
      <c r="C4" s="40" t="inlineStr">
        <is>
          <t>Findings addressed</t>
        </is>
      </c>
      <c r="D4" s="40" t="inlineStr">
        <is>
          <t>Test suite(s)</t>
        </is>
      </c>
      <c r="E4" s="40" t="inlineStr">
        <is>
          <t>Note</t>
        </is>
      </c>
      <c r="F4" s="40" t="inlineStr">
        <is>
          <t>Origin</t>
        </is>
      </c>
    </row>
    <row r="5" ht="21.75" customHeight="1" s="26">
      <c r="A5" s="34" t="inlineStr">
        <is>
          <t>addonSurface</t>
        </is>
      </c>
      <c r="B5" s="33" t="inlineStr">
        <is>
          <t>ST-005, ST-015, ST-025, ST-035, ST-041, ST-042, ST-043, ST-044, ST-045, ST-046, ST-047, ST-048, ST-049, ST-050</t>
        </is>
      </c>
      <c r="C5" s="33" t="inlineStr">
        <is>
          <t>VER-DM2, VER-DM3</t>
        </is>
      </c>
      <c r="D5" s="33" t="inlineStr">
        <is>
          <t>addonSurface.test.ts</t>
        </is>
      </c>
      <c r="E5" s="33" t="n"/>
      <c r="F5" s="33" t="inlineStr">
        <is>
          <t>S1-S12 backlog</t>
        </is>
      </c>
    </row>
    <row r="6" ht="15" customHeight="1" s="26">
      <c r="A6" s="34" t="inlineStr">
        <is>
          <t>analytics</t>
        </is>
      </c>
      <c r="B6" s="33" t="inlineStr">
        <is>
          <t>ST-073, ST-074, ST-075, ST-076, ST-077</t>
        </is>
      </c>
      <c r="C6" s="33" t="inlineStr">
        <is>
          <t>—</t>
        </is>
      </c>
      <c r="D6" s="33" t="inlineStr">
        <is>
          <t>analyticsPerformance.test.ts</t>
        </is>
      </c>
      <c r="E6" s="33" t="inlineStr">
        <is>
          <t>No namesake suite; covered by the suites named (verified by import).</t>
        </is>
      </c>
      <c r="F6" s="33" t="inlineStr">
        <is>
          <t>S1-S12 backlog</t>
        </is>
      </c>
    </row>
    <row r="7" ht="21.75" customHeight="1" s="26">
      <c r="A7" s="34" t="inlineStr">
        <is>
          <t>app</t>
        </is>
      </c>
      <c r="B7" s="33" t="inlineStr">
        <is>
          <t>—</t>
        </is>
      </c>
      <c r="C7" s="33" t="inlineStr">
        <is>
          <t>DM-F01, DM-F02, DM-F04, DM-F07, DM-F11, DM-F12, DM-F13</t>
        </is>
      </c>
      <c r="D7" s="33" t="inlineStr">
        <is>
          <t>app.test.ts</t>
        </is>
      </c>
      <c r="E7" s="33" t="n"/>
      <c r="F7" s="33" t="inlineStr">
        <is>
          <t>Finding remediation (post code-complete)</t>
        </is>
      </c>
    </row>
    <row r="8" ht="15" customHeight="1" s="26">
      <c r="A8" s="34" t="inlineStr">
        <is>
          <t>batch</t>
        </is>
      </c>
      <c r="B8" s="33" t="inlineStr">
        <is>
          <t>ST-011, ST-012, ST-013, ST-014</t>
        </is>
      </c>
      <c r="C8" s="33" t="inlineStr">
        <is>
          <t>VER-DM6</t>
        </is>
      </c>
      <c r="D8" s="33" t="inlineStr">
        <is>
          <t>batch.test.ts</t>
        </is>
      </c>
      <c r="E8" s="33" t="n"/>
      <c r="F8" s="33" t="inlineStr">
        <is>
          <t>S1-S12 backlog</t>
        </is>
      </c>
    </row>
    <row r="9" ht="15" customHeight="1" s="26">
      <c r="A9" s="34" t="inlineStr">
        <is>
          <t>batchOps</t>
        </is>
      </c>
      <c r="B9" s="33" t="inlineStr">
        <is>
          <t>ST-011, ST-015, ST-016, ST-017, ST-018, ST-019, ST-020</t>
        </is>
      </c>
      <c r="C9" s="33" t="inlineStr">
        <is>
          <t>DM-F21</t>
        </is>
      </c>
      <c r="D9" s="33" t="inlineStr">
        <is>
          <t>batchOps.test.ts</t>
        </is>
      </c>
      <c r="E9" s="33" t="n"/>
      <c r="F9" s="33" t="inlineStr">
        <is>
          <t>S1-S12 backlog</t>
        </is>
      </c>
    </row>
    <row r="10" ht="15" customHeight="1" s="26">
      <c r="A10" s="34" t="inlineStr">
        <is>
          <t>billing</t>
        </is>
      </c>
      <c r="B10" s="33" t="inlineStr">
        <is>
          <t>ST-057, ST-058, ST-059</t>
        </is>
      </c>
      <c r="C10" s="33" t="inlineStr">
        <is>
          <t>DM-F14</t>
        </is>
      </c>
      <c r="D10" s="33" t="inlineStr">
        <is>
          <t>billing.test.ts</t>
        </is>
      </c>
      <c r="E10" s="33" t="n"/>
      <c r="F10" s="33" t="inlineStr">
        <is>
          <t>S1-S12 backlog</t>
        </is>
      </c>
    </row>
    <row r="11" ht="15" customHeight="1" s="26">
      <c r="A11" s="34" t="inlineStr">
        <is>
          <t>billingHardening</t>
        </is>
      </c>
      <c r="B11" s="33" t="inlineStr">
        <is>
          <t>ST-059, ST-060, ST-061, ST-062, ST-063</t>
        </is>
      </c>
      <c r="C11" s="33" t="inlineStr">
        <is>
          <t>DM-F08, DM-F14, DM-F21</t>
        </is>
      </c>
      <c r="D11" s="33" t="inlineStr">
        <is>
          <t>billingHardening.test.ts</t>
        </is>
      </c>
      <c r="E11" s="33" t="n"/>
      <c r="F11" s="33" t="inlineStr">
        <is>
          <t>S1-S12 backlog</t>
        </is>
      </c>
    </row>
    <row r="12" ht="15" customHeight="1" s="26">
      <c r="A12" s="34" t="inlineStr">
        <is>
          <t>deployment</t>
        </is>
      </c>
      <c r="B12" s="33" t="inlineStr">
        <is>
          <t>—</t>
        </is>
      </c>
      <c r="C12" s="33" t="inlineStr">
        <is>
          <t>—</t>
        </is>
      </c>
      <c r="D12" s="33" t="inlineStr">
        <is>
          <t>deployment.test.ts</t>
        </is>
      </c>
      <c r="E12" s="33" t="n"/>
      <c r="F12" s="33" t="inlineStr">
        <is>
          <t>Supporting module</t>
        </is>
      </c>
    </row>
    <row r="13" ht="15" customHeight="1" s="26">
      <c r="A13" s="34" t="inlineStr">
        <is>
          <t>designerOps</t>
        </is>
      </c>
      <c r="B13" s="33" t="inlineStr">
        <is>
          <t>ST-006, ST-007, ST-008</t>
        </is>
      </c>
      <c r="C13" s="33" t="inlineStr">
        <is>
          <t>DM-F08, DM-F15, DM-F18, DM-F22</t>
        </is>
      </c>
      <c r="D13" s="33" t="inlineStr">
        <is>
          <t>designerOps.test.ts</t>
        </is>
      </c>
      <c r="E13" s="33" t="n"/>
      <c r="F13" s="33" t="inlineStr">
        <is>
          <t>S1-S12 backlog</t>
        </is>
      </c>
    </row>
    <row r="14" ht="15" customHeight="1" s="26">
      <c r="A14" s="34" t="inlineStr">
        <is>
          <t>driveFiler</t>
        </is>
      </c>
      <c r="B14" s="33" t="inlineStr">
        <is>
          <t>ST-031, ST-032, ST-033, ST-034</t>
        </is>
      </c>
      <c r="C14" s="33" t="inlineStr">
        <is>
          <t>—</t>
        </is>
      </c>
      <c r="D14" s="33" t="inlineStr">
        <is>
          <t>driveFiler.test.ts</t>
        </is>
      </c>
      <c r="E14" s="33" t="n"/>
      <c r="F14" s="33" t="inlineStr">
        <is>
          <t>S1-S12 backlog</t>
        </is>
      </c>
    </row>
    <row r="15" ht="15" customHeight="1" s="26">
      <c r="A15" s="34" t="inlineStr">
        <is>
          <t>driveFilerOps</t>
        </is>
      </c>
      <c r="B15" s="33" t="inlineStr">
        <is>
          <t>ST-033, ST-035, ST-036, ST-037, ST-038, ST-039, ST-040</t>
        </is>
      </c>
      <c r="C15" s="33" t="inlineStr">
        <is>
          <t>—</t>
        </is>
      </c>
      <c r="D15" s="33" t="inlineStr">
        <is>
          <t>driveFilerOps.test.ts</t>
        </is>
      </c>
      <c r="E15" s="33" t="n"/>
      <c r="F15" s="33" t="inlineStr">
        <is>
          <t>S1-S12 backlog</t>
        </is>
      </c>
    </row>
    <row r="16" ht="15" customHeight="1" s="26">
      <c r="A16" s="34" t="inlineStr">
        <is>
          <t>entitlements</t>
        </is>
      </c>
      <c r="B16" s="33" t="inlineStr">
        <is>
          <t>ST-060, ST-061</t>
        </is>
      </c>
      <c r="C16" s="33" t="inlineStr">
        <is>
          <t>DM-F02, DM-F03</t>
        </is>
      </c>
      <c r="D16" s="33" t="inlineStr">
        <is>
          <t>app.test.ts, coldReviewFixes.test.ts</t>
        </is>
      </c>
      <c r="E16" s="33" t="inlineStr">
        <is>
          <t>No namesake suite; covered by the suites named (verified by import).</t>
        </is>
      </c>
      <c r="F16" s="33" t="inlineStr">
        <is>
          <t>S1-S12 backlog</t>
        </is>
      </c>
    </row>
    <row r="17" ht="21.75" customHeight="1" s="26">
      <c r="A17" s="34" t="inlineStr">
        <is>
          <t>esign</t>
        </is>
      </c>
      <c r="B17" s="33" t="inlineStr">
        <is>
          <t>ST-021, ST-022, ST-023, ST-024, ST-025, ST-026, ST-027, ST-028, ST-029, ST-030</t>
        </is>
      </c>
      <c r="C17" s="33" t="inlineStr">
        <is>
          <t>DM-F17, DM-F21</t>
        </is>
      </c>
      <c r="D17" s="33" t="inlineStr">
        <is>
          <t>esign.test.ts</t>
        </is>
      </c>
      <c r="E17" s="33" t="n"/>
      <c r="F17" s="33" t="inlineStr">
        <is>
          <t>S1-S12 backlog</t>
        </is>
      </c>
    </row>
    <row r="18" ht="15" customHeight="1" s="26">
      <c r="A18" s="34" t="inlineStr">
        <is>
          <t>esignOps</t>
        </is>
      </c>
      <c r="B18" s="33" t="inlineStr">
        <is>
          <t>ST-025, ST-030, ST-078, ST-079</t>
        </is>
      </c>
      <c r="C18" s="33" t="inlineStr">
        <is>
          <t>—</t>
        </is>
      </c>
      <c r="D18" s="33" t="inlineStr">
        <is>
          <t>esignOps.test.ts</t>
        </is>
      </c>
      <c r="E18" s="33" t="n"/>
      <c r="F18" s="33" t="inlineStr">
        <is>
          <t>S1-S12 backlog</t>
        </is>
      </c>
    </row>
    <row r="19" ht="21.75" customHeight="1" s="26">
      <c r="A19" s="34" t="inlineStr">
        <is>
          <t>formTrigger</t>
        </is>
      </c>
      <c r="B19" s="33" t="inlineStr">
        <is>
          <t>ST-041, ST-042, ST-043, ST-044, ST-045, ST-046, ST-047, ST-048, ST-049, ST-050</t>
        </is>
      </c>
      <c r="C19" s="33" t="inlineStr">
        <is>
          <t>DM-F21</t>
        </is>
      </c>
      <c r="D19" s="33" t="inlineStr">
        <is>
          <t>formTrigger.test.ts</t>
        </is>
      </c>
      <c r="E19" s="33" t="n"/>
      <c r="F19" s="33" t="inlineStr">
        <is>
          <t>S1-S12 backlog</t>
        </is>
      </c>
    </row>
    <row r="20" ht="15" customHeight="1" s="26">
      <c r="A20" s="34" t="inlineStr">
        <is>
          <t>growthModel</t>
        </is>
      </c>
      <c r="B20" s="33" t="inlineStr">
        <is>
          <t>—</t>
        </is>
      </c>
      <c r="C20" s="33" t="inlineStr">
        <is>
          <t>—</t>
        </is>
      </c>
      <c r="D20" s="33" t="inlineStr">
        <is>
          <t>growthModel.test.ts</t>
        </is>
      </c>
      <c r="E20" s="33" t="n"/>
      <c r="F20" s="33" t="inlineStr">
        <is>
          <t>Supporting module</t>
        </is>
      </c>
    </row>
    <row r="21" ht="53.25" customHeight="1" s="26">
      <c r="A21" s="34" t="inlineStr">
        <is>
          <t>helpCenter</t>
        </is>
      </c>
      <c r="B21" s="33" t="inlineStr">
        <is>
          <t>ST-001, ST-002, ST-003, ST-004, ST-005, ST-007, ST-009, ST-011, ST-012, ST-013, ST-014, ST-021, ST-022, ST-023, ST-031, ST-032, ST-033, ST-041, ST-042, ST-043, ST-052, ST-054, ST-057, ST-058, ST-059, ST-060, ST-061, ST-062, ST-064, ST-067, ST-069, ST-078, ST-080, ST-081</t>
        </is>
      </c>
      <c r="C21" s="33" t="inlineStr">
        <is>
          <t>—</t>
        </is>
      </c>
      <c r="D21" s="33" t="inlineStr">
        <is>
          <t>helpCenter.test.ts</t>
        </is>
      </c>
      <c r="E21" s="33" t="n"/>
      <c r="F21" s="33" t="inlineStr">
        <is>
          <t>S1-S12 backlog</t>
        </is>
      </c>
    </row>
    <row r="22" ht="15" customHeight="1" s="26">
      <c r="A22" s="34" t="inlineStr">
        <is>
          <t>importerNotifications</t>
        </is>
      </c>
      <c r="B22" s="33" t="inlineStr">
        <is>
          <t>ST-009, ST-010</t>
        </is>
      </c>
      <c r="C22" s="33" t="inlineStr">
        <is>
          <t>—</t>
        </is>
      </c>
      <c r="D22" s="33" t="inlineStr">
        <is>
          <t>importerNotifications.test.ts</t>
        </is>
      </c>
      <c r="E22" s="33" t="n"/>
      <c r="F22" s="33" t="inlineStr">
        <is>
          <t>S1-S12 backlog</t>
        </is>
      </c>
    </row>
    <row r="23" ht="15" customHeight="1" s="26">
      <c r="A23" s="34" t="inlineStr">
        <is>
          <t>index</t>
        </is>
      </c>
      <c r="B23" s="33" t="inlineStr">
        <is>
          <t>—</t>
        </is>
      </c>
      <c r="C23" s="33" t="inlineStr">
        <is>
          <t>—</t>
        </is>
      </c>
      <c r="D23" s="33" t="inlineStr">
        <is>
          <t>tokenRefresh.test.ts</t>
        </is>
      </c>
      <c r="E23" s="33" t="inlineStr">
        <is>
          <t>No namesake suite; covered by the suites named (verified by import).</t>
        </is>
      </c>
      <c r="F23" s="33" t="inlineStr">
        <is>
          <t>Supporting module</t>
        </is>
      </c>
    </row>
    <row r="24" ht="15" customHeight="1" s="26">
      <c r="A24" s="34" t="inlineStr">
        <is>
          <t>install</t>
        </is>
      </c>
      <c r="B24" s="33" t="inlineStr">
        <is>
          <t>ST-051</t>
        </is>
      </c>
      <c r="C24" s="33" t="inlineStr">
        <is>
          <t>—</t>
        </is>
      </c>
      <c r="D24" s="33" t="inlineStr">
        <is>
          <t>install.test.ts</t>
        </is>
      </c>
      <c r="E24" s="33" t="n"/>
      <c r="F24" s="33" t="inlineStr">
        <is>
          <t>S1-S12 backlog</t>
        </is>
      </c>
    </row>
    <row r="25" ht="15" customHeight="1" s="26">
      <c r="A25" s="34" t="inlineStr">
        <is>
          <t>launchOps</t>
        </is>
      </c>
      <c r="B25" s="33" t="inlineStr">
        <is>
          <t>ST-082, ST-098, ST-099, ST-100</t>
        </is>
      </c>
      <c r="C25" s="33" t="inlineStr">
        <is>
          <t>—</t>
        </is>
      </c>
      <c r="D25" s="33" t="inlineStr">
        <is>
          <t>launchOps.test.ts</t>
        </is>
      </c>
      <c r="E25" s="33" t="n"/>
      <c r="F25" s="33" t="inlineStr">
        <is>
          <t>S1-S12 backlog</t>
        </is>
      </c>
    </row>
    <row r="26" ht="15" customHeight="1" s="26">
      <c r="A26" s="34" t="inlineStr">
        <is>
          <t>launchSurfaces</t>
        </is>
      </c>
      <c r="B26" s="33" t="inlineStr">
        <is>
          <t>ST-083, ST-084, ST-095, ST-096, ST-097</t>
        </is>
      </c>
      <c r="C26" s="33" t="inlineStr">
        <is>
          <t>—</t>
        </is>
      </c>
      <c r="D26" s="33" t="inlineStr">
        <is>
          <t>launchSurfaces.test.ts</t>
        </is>
      </c>
      <c r="E26" s="33" t="n"/>
      <c r="F26" s="33" t="inlineStr">
        <is>
          <t>S1-S12 backlog</t>
        </is>
      </c>
    </row>
    <row r="27" ht="15" customHeight="1" s="26">
      <c r="A27" s="34" t="inlineStr">
        <is>
          <t>ledger</t>
        </is>
      </c>
      <c r="B27" s="33" t="inlineStr">
        <is>
          <t>—</t>
        </is>
      </c>
      <c r="C27" s="33" t="inlineStr">
        <is>
          <t>DM-F08</t>
        </is>
      </c>
      <c r="D27" s="33" t="inlineStr">
        <is>
          <t>ledger.test.ts</t>
        </is>
      </c>
      <c r="E27" s="33" t="n"/>
      <c r="F27" s="33" t="inlineStr">
        <is>
          <t>Finding remediation (post code-complete)</t>
        </is>
      </c>
    </row>
    <row r="28" ht="15" customHeight="1" s="26">
      <c r="A28" s="34" t="inlineStr">
        <is>
          <t>licenseReconciler</t>
        </is>
      </c>
      <c r="B28" s="33" t="inlineStr">
        <is>
          <t>ST-052, ST-053</t>
        </is>
      </c>
      <c r="C28" s="33" t="inlineStr">
        <is>
          <t>VER-DM1</t>
        </is>
      </c>
      <c r="D28" s="33" t="inlineStr">
        <is>
          <t>licenseReconciler.test.ts</t>
        </is>
      </c>
      <c r="E28" s="33" t="n"/>
      <c r="F28" s="33" t="inlineStr">
        <is>
          <t>S1-S12 backlog</t>
        </is>
      </c>
    </row>
    <row r="29" ht="15" customHeight="1" s="26">
      <c r="A29" s="34" t="inlineStr">
        <is>
          <t>listing</t>
        </is>
      </c>
      <c r="B29" s="33" t="inlineStr">
        <is>
          <t>ST-089, ST-093, ST-094</t>
        </is>
      </c>
      <c r="C29" s="33" t="inlineStr">
        <is>
          <t>VER-DM4</t>
        </is>
      </c>
      <c r="D29" s="33" t="inlineStr">
        <is>
          <t>listing.test.ts</t>
        </is>
      </c>
      <c r="E29" s="33" t="n"/>
      <c r="F29" s="33" t="inlineStr">
        <is>
          <t>S1-S12 backlog</t>
        </is>
      </c>
    </row>
    <row r="30" ht="15" customHeight="1" s="26">
      <c r="A30" s="34" t="inlineStr">
        <is>
          <t>oauth</t>
        </is>
      </c>
      <c r="B30" s="33" t="inlineStr">
        <is>
          <t>ST-051, ST-052, ST-055</t>
        </is>
      </c>
      <c r="C30" s="33" t="inlineStr">
        <is>
          <t>DM-F04, DM-F08</t>
        </is>
      </c>
      <c r="D30" s="33" t="inlineStr">
        <is>
          <t>oauth.test.ts</t>
        </is>
      </c>
      <c r="E30" s="33" t="n"/>
      <c r="F30" s="33" t="inlineStr">
        <is>
          <t>S1-S12 backlog</t>
        </is>
      </c>
    </row>
    <row r="31" ht="15" customHeight="1" s="26">
      <c r="A31" s="34" t="inlineStr">
        <is>
          <t>observability</t>
        </is>
      </c>
      <c r="B31" s="33" t="inlineStr">
        <is>
          <t>ST-071, ST-072</t>
        </is>
      </c>
      <c r="C31" s="33" t="inlineStr">
        <is>
          <t>DM-F08</t>
        </is>
      </c>
      <c r="D31" s="33" t="inlineStr">
        <is>
          <t>observability.test.ts</t>
        </is>
      </c>
      <c r="E31" s="33" t="n"/>
      <c r="F31" s="33" t="inlineStr">
        <is>
          <t>S1-S12 backlog</t>
        </is>
      </c>
    </row>
    <row r="32" ht="21.75" customHeight="1" s="26">
      <c r="A32" s="34" t="inlineStr">
        <is>
          <t>performance</t>
        </is>
      </c>
      <c r="B32" s="33" t="inlineStr">
        <is>
          <t>ST-087, ST-088, ST-092</t>
        </is>
      </c>
      <c r="C32" s="33" t="inlineStr">
        <is>
          <t>VER-DM6</t>
        </is>
      </c>
      <c r="D32" s="33" t="inlineStr">
        <is>
          <t>analyticsPerformance.test.ts, platformQuotas.test.ts</t>
        </is>
      </c>
      <c r="E32" s="33" t="inlineStr">
        <is>
          <t>No namesake suite; covered by the suites named (verified by import).</t>
        </is>
      </c>
      <c r="F32" s="33" t="inlineStr">
        <is>
          <t>S1-S12 backlog</t>
        </is>
      </c>
    </row>
    <row r="33" ht="15" customHeight="1" s="26">
      <c r="A33" s="34" t="inlineStr">
        <is>
          <t>permissions</t>
        </is>
      </c>
      <c r="B33" s="33" t="inlineStr">
        <is>
          <t>ST-054, ST-064</t>
        </is>
      </c>
      <c r="C33" s="33" t="inlineStr">
        <is>
          <t>—</t>
        </is>
      </c>
      <c r="D33" s="33" t="inlineStr">
        <is>
          <t>permissions.test.ts</t>
        </is>
      </c>
      <c r="E33" s="33" t="n"/>
      <c r="F33" s="33" t="inlineStr">
        <is>
          <t>S1-S12 backlog</t>
        </is>
      </c>
    </row>
    <row r="34" ht="15" customHeight="1" s="26">
      <c r="A34" s="34" t="inlineStr">
        <is>
          <t>platformErrors</t>
        </is>
      </c>
      <c r="B34" s="33" t="inlineStr">
        <is>
          <t>ST-004</t>
        </is>
      </c>
      <c r="C34" s="33" t="inlineStr">
        <is>
          <t>DM-F06</t>
        </is>
      </c>
      <c r="D34" s="33" t="inlineStr">
        <is>
          <t>platformErrors.test.ts</t>
        </is>
      </c>
      <c r="E34" s="33" t="n"/>
      <c r="F34" s="33" t="inlineStr">
        <is>
          <t>S1-S12 backlog</t>
        </is>
      </c>
    </row>
    <row r="35" ht="15" customHeight="1" s="26">
      <c r="A35" s="34" t="inlineStr">
        <is>
          <t>platformQuotas</t>
        </is>
      </c>
      <c r="B35" s="33" t="inlineStr">
        <is>
          <t>ST-087, ST-088</t>
        </is>
      </c>
      <c r="C35" s="33" t="inlineStr">
        <is>
          <t>VER-DM2, VER-DM6, VER-DM7</t>
        </is>
      </c>
      <c r="D35" s="33" t="inlineStr">
        <is>
          <t>platformQuotas.test.ts</t>
        </is>
      </c>
      <c r="E35" s="33" t="n"/>
      <c r="F35" s="33" t="inlineStr">
        <is>
          <t>S1-S12 backlog</t>
        </is>
      </c>
    </row>
    <row r="36" ht="15" customHeight="1" s="26">
      <c r="A36" s="34" t="inlineStr">
        <is>
          <t>postgres</t>
        </is>
      </c>
      <c r="B36" s="33" t="inlineStr">
        <is>
          <t>—</t>
        </is>
      </c>
      <c r="C36" s="33" t="inlineStr">
        <is>
          <t>DM-F09, DM-F14, DM-F15</t>
        </is>
      </c>
      <c r="D36" s="33" t="inlineStr">
        <is>
          <t>postgres.test.ts</t>
        </is>
      </c>
      <c r="E36" s="33" t="n"/>
      <c r="F36" s="33" t="inlineStr">
        <is>
          <t>Finding remediation (post code-complete)</t>
        </is>
      </c>
    </row>
    <row r="37" ht="15" customHeight="1" s="26">
      <c r="A37" s="34" t="inlineStr">
        <is>
          <t>purge</t>
        </is>
      </c>
      <c r="B37" s="33" t="inlineStr">
        <is>
          <t>—</t>
        </is>
      </c>
      <c r="C37" s="33" t="inlineStr">
        <is>
          <t>DM-F09</t>
        </is>
      </c>
      <c r="D37" s="33" t="inlineStr">
        <is>
          <t>purge.test.ts</t>
        </is>
      </c>
      <c r="E37" s="33" t="n"/>
      <c r="F37" s="33" t="inlineStr">
        <is>
          <t>Finding remediation (post code-complete)</t>
        </is>
      </c>
    </row>
    <row r="38" ht="15" customHeight="1" s="26">
      <c r="A38" s="34" t="inlineStr">
        <is>
          <t>rateLimit</t>
        </is>
      </c>
      <c r="B38" s="33" t="inlineStr">
        <is>
          <t>—</t>
        </is>
      </c>
      <c r="C38" s="33" t="inlineStr">
        <is>
          <t>DM-F12</t>
        </is>
      </c>
      <c r="D38" s="33" t="inlineStr">
        <is>
          <t>rateLimit.test.ts</t>
        </is>
      </c>
      <c r="E38" s="33" t="n"/>
      <c r="F38" s="33" t="inlineStr">
        <is>
          <t>Finding remediation (post code-complete)</t>
        </is>
      </c>
    </row>
    <row r="39" ht="15" customHeight="1" s="26">
      <c r="A39" s="34" t="inlineStr">
        <is>
          <t>reinstall</t>
        </is>
      </c>
      <c r="B39" s="33" t="inlineStr">
        <is>
          <t>ST-053</t>
        </is>
      </c>
      <c r="C39" s="33" t="inlineStr">
        <is>
          <t>—</t>
        </is>
      </c>
      <c r="D39" s="33" t="inlineStr">
        <is>
          <t>reinstall.test.ts</t>
        </is>
      </c>
      <c r="E39" s="33" t="n"/>
      <c r="F39" s="33" t="inlineStr">
        <is>
          <t>S1-S12 backlog</t>
        </is>
      </c>
    </row>
    <row r="40" ht="15" customHeight="1" s="26">
      <c r="A40" s="34" t="inlineStr">
        <is>
          <t>reviewPrep</t>
        </is>
      </c>
      <c r="B40" s="33" t="inlineStr">
        <is>
          <t>ST-068, ST-069, ST-090, ST-091</t>
        </is>
      </c>
      <c r="C40" s="33" t="inlineStr">
        <is>
          <t>—</t>
        </is>
      </c>
      <c r="D40" s="33" t="inlineStr">
        <is>
          <t>reviewPrep.test.ts</t>
        </is>
      </c>
      <c r="E40" s="33" t="n"/>
      <c r="F40" s="33" t="inlineStr">
        <is>
          <t>S1-S12 backlog</t>
        </is>
      </c>
    </row>
    <row r="41" ht="32.25" customHeight="1" s="26">
      <c r="A41" s="34" t="inlineStr">
        <is>
          <t>scopes</t>
        </is>
      </c>
      <c r="B41" s="33" t="inlineStr">
        <is>
          <t>ST-001, ST-002, ST-005, ST-011, ST-012, ST-013, ST-019, ST-031, ST-032, ST-033, ST-034, ST-051, ST-054, ST-057, ST-064</t>
        </is>
      </c>
      <c r="C41" s="33" t="inlineStr">
        <is>
          <t>VER-DM5</t>
        </is>
      </c>
      <c r="D41" s="33" t="inlineStr">
        <is>
          <t>scopes.test.ts</t>
        </is>
      </c>
      <c r="E41" s="33" t="n"/>
      <c r="F41" s="33" t="inlineStr">
        <is>
          <t>S1-S12 backlog</t>
        </is>
      </c>
    </row>
    <row r="42" ht="21.75" customHeight="1" s="26">
      <c r="A42" s="34" t="inlineStr">
        <is>
          <t>security</t>
        </is>
      </c>
      <c r="B42" s="33" t="inlineStr">
        <is>
          <t>ST-007, ST-012, ST-031, ST-032, ST-052, ST-053, ST-056, ST-065, ST-066, ST-067, ST-070, ST-071</t>
        </is>
      </c>
      <c r="C42" s="33" t="inlineStr">
        <is>
          <t>DM-F08, DM-F14, DM-F15</t>
        </is>
      </c>
      <c r="D42" s="33" t="inlineStr">
        <is>
          <t>security.test.ts</t>
        </is>
      </c>
      <c r="E42" s="33" t="n"/>
      <c r="F42" s="33" t="inlineStr">
        <is>
          <t>S1-S12 backlog</t>
        </is>
      </c>
    </row>
    <row r="43" ht="15" customHeight="1" s="26">
      <c r="A43" s="34" t="inlineStr">
        <is>
          <t>server</t>
        </is>
      </c>
      <c r="B43" s="33" t="inlineStr">
        <is>
          <t>—</t>
        </is>
      </c>
      <c r="C43" s="33" t="inlineStr">
        <is>
          <t>DM-F01, DM-F10</t>
        </is>
      </c>
      <c r="D43" s="33" t="inlineStr">
        <is>
          <t>server.test.ts</t>
        </is>
      </c>
      <c r="E43" s="33" t="n"/>
      <c r="F43" s="33" t="inlineStr">
        <is>
          <t>Finding remediation (post code-complete)</t>
        </is>
      </c>
    </row>
    <row r="44" ht="15" customHeight="1" s="26">
      <c r="A44" s="34" t="inlineStr">
        <is>
          <t>session</t>
        </is>
      </c>
      <c r="B44" s="33" t="inlineStr">
        <is>
          <t>—</t>
        </is>
      </c>
      <c r="C44" s="33" t="inlineStr">
        <is>
          <t>DM-F07</t>
        </is>
      </c>
      <c r="D44" s="33" t="inlineStr">
        <is>
          <t>app.test.ts</t>
        </is>
      </c>
      <c r="E44" s="33" t="inlineStr">
        <is>
          <t>No namesake suite; covered by the suites named (verified by import).</t>
        </is>
      </c>
      <c r="F44" s="33" t="inlineStr">
        <is>
          <t>Finding remediation (post code-complete)</t>
        </is>
      </c>
    </row>
    <row r="45" ht="15" customHeight="1" s="26">
      <c r="A45" s="34" t="inlineStr">
        <is>
          <t>sidebar</t>
        </is>
      </c>
      <c r="B45" s="33" t="inlineStr">
        <is>
          <t>ST-005</t>
        </is>
      </c>
      <c r="C45" s="33" t="inlineStr">
        <is>
          <t>DM-F21</t>
        </is>
      </c>
      <c r="D45" s="33" t="inlineStr">
        <is>
          <t>sidebar.test.ts</t>
        </is>
      </c>
      <c r="E45" s="33" t="n"/>
      <c r="F45" s="33" t="inlineStr">
        <is>
          <t>S1-S12 backlog</t>
        </is>
      </c>
    </row>
    <row r="46" ht="15" customHeight="1" s="26">
      <c r="A46" s="34" t="inlineStr">
        <is>
          <t>telemetry</t>
        </is>
      </c>
      <c r="B46" s="33" t="inlineStr">
        <is>
          <t>ST-056</t>
        </is>
      </c>
      <c r="C46" s="33" t="inlineStr">
        <is>
          <t>—</t>
        </is>
      </c>
      <c r="D46" s="33" t="inlineStr">
        <is>
          <t>telemetry.test.ts</t>
        </is>
      </c>
      <c r="E46" s="33" t="n"/>
      <c r="F46" s="33" t="inlineStr">
        <is>
          <t>S1-S12 backlog</t>
        </is>
      </c>
    </row>
    <row r="47" ht="15" customHeight="1" s="26">
      <c r="A47" s="34" t="inlineStr">
        <is>
          <t>templateGallery</t>
        </is>
      </c>
      <c r="B47" s="33" t="inlineStr">
        <is>
          <t>—</t>
        </is>
      </c>
      <c r="C47" s="33" t="inlineStr">
        <is>
          <t>—</t>
        </is>
      </c>
      <c r="D47" s="33" t="inlineStr">
        <is>
          <t>templateGallery.test.ts</t>
        </is>
      </c>
      <c r="E47" s="33" t="n"/>
      <c r="F47" s="33" t="inlineStr">
        <is>
          <t>Supporting module</t>
        </is>
      </c>
    </row>
    <row r="48" ht="15" customHeight="1" s="26">
      <c r="A48" s="34" t="inlineStr">
        <is>
          <t>templates</t>
        </is>
      </c>
      <c r="B48" s="33" t="inlineStr">
        <is>
          <t>ST-001, ST-002, ST-003, ST-054</t>
        </is>
      </c>
      <c r="C48" s="33" t="inlineStr">
        <is>
          <t>DM-F16</t>
        </is>
      </c>
      <c r="D48" s="33" t="inlineStr">
        <is>
          <t>templates.test.ts</t>
        </is>
      </c>
      <c r="E48" s="33" t="n"/>
      <c r="F48" s="33" t="inlineStr">
        <is>
          <t>S1-S12 backlog</t>
        </is>
      </c>
    </row>
    <row r="49" ht="21.75" customHeight="1" s="26">
      <c r="A49" s="34" t="inlineStr">
        <is>
          <t>tenantGate</t>
        </is>
      </c>
      <c r="B49" s="33" t="inlineStr">
        <is>
          <t>—</t>
        </is>
      </c>
      <c r="C49" s="33" t="inlineStr">
        <is>
          <t>DM-F15, DM-F16, DM-F19, DM-F20, DM-F21, DM-F22</t>
        </is>
      </c>
      <c r="D49" s="33" t="inlineStr">
        <is>
          <t>tenantGate.test.ts</t>
        </is>
      </c>
      <c r="E49" s="33" t="n"/>
      <c r="F49" s="33" t="inlineStr">
        <is>
          <t>Finding remediation (post code-complete)</t>
        </is>
      </c>
    </row>
    <row r="50" ht="15" customHeight="1" s="26">
      <c r="A50" s="34" t="inlineStr">
        <is>
          <t>tokenRefresh</t>
        </is>
      </c>
      <c r="B50" s="33" t="inlineStr">
        <is>
          <t>ST-055</t>
        </is>
      </c>
      <c r="C50" s="33" t="inlineStr">
        <is>
          <t>—</t>
        </is>
      </c>
      <c r="D50" s="33" t="inlineStr">
        <is>
          <t>tokenRefresh.test.ts</t>
        </is>
      </c>
      <c r="E50" s="33" t="n"/>
      <c r="F50" s="33" t="inlineStr">
        <is>
          <t>S1-S12 backlog</t>
        </is>
      </c>
    </row>
    <row r="51" ht="21.75" customHeight="1" s="26">
      <c r="A51" s="34" t="inlineStr">
        <is>
          <t>types</t>
        </is>
      </c>
      <c r="B51" s="33" t="inlineStr">
        <is>
          <t>ST-051, ST-052, ST-055, ST-056</t>
        </is>
      </c>
      <c r="C51" s="33" t="inlineStr">
        <is>
          <t>—</t>
        </is>
      </c>
      <c r="D51" s="33" t="inlineStr">
        <is>
          <t>app.test.ts, e2e.smoke.test.ts, install.test.ts, oauth.test.ts</t>
        </is>
      </c>
      <c r="E51" s="33" t="inlineStr">
        <is>
          <t>No namesake suite; covered by the suites named (verified by import).</t>
        </is>
      </c>
      <c r="F51" s="33" t="inlineStr">
        <is>
          <t>S1-S12 backlog</t>
        </is>
      </c>
    </row>
    <row r="52" ht="15" customHeight="1" s="26">
      <c r="A52" s="34" t="inlineStr">
        <is>
          <t>uninstall</t>
        </is>
      </c>
      <c r="B52" s="33" t="inlineStr">
        <is>
          <t>ST-052, ST-053</t>
        </is>
      </c>
      <c r="C52" s="33" t="inlineStr">
        <is>
          <t>DM-F08</t>
        </is>
      </c>
      <c r="D52" s="33" t="inlineStr">
        <is>
          <t>uninstall.test.ts</t>
        </is>
      </c>
      <c r="E52" s="33" t="n"/>
      <c r="F52" s="33" t="inlineStr">
        <is>
          <t>S1-S12 backlog</t>
        </is>
      </c>
    </row>
    <row r="53" ht="15" customHeight="1" s="26">
      <c r="A53" s="34" t="inlineStr">
        <is>
          <t>webhookSecurity</t>
        </is>
      </c>
      <c r="B53" s="33" t="inlineStr">
        <is>
          <t>—</t>
        </is>
      </c>
      <c r="C53" s="33" t="inlineStr">
        <is>
          <t>DM-F05, DM-F08</t>
        </is>
      </c>
      <c r="D53" s="33" t="inlineStr">
        <is>
          <t>app.test.ts, coldReviewFixes.test.ts</t>
        </is>
      </c>
      <c r="E53" s="33" t="inlineStr">
        <is>
          <t>No namesake suite; covered by the suites named (verified by import).</t>
        </is>
      </c>
      <c r="F53" s="33" t="inlineStr">
        <is>
          <t>Finding remediation (post code-complete)</t>
        </is>
      </c>
    </row>
    <row r="54" ht="21.75" customHeight="1" s="26">
      <c r="A54" s="34" t="inlineStr">
        <is>
          <t>releaseGate</t>
        </is>
      </c>
      <c r="B54" s="33" t="inlineStr">
        <is>
          <t>—</t>
        </is>
      </c>
      <c r="C54" s="33" t="inlineStr">
        <is>
          <t>CGPT-DM-002, CGPT-DM-004, CGPT-DM-012</t>
        </is>
      </c>
      <c r="D54" s="33" t="inlineStr">
        <is>
          <t>releaseGate.test.ts</t>
        </is>
      </c>
      <c r="E54" s="33" t="inlineStr">
        <is>
          <t>Checks the pipeline that produces the evidence, not the product. 26 tests; fixture is this repo's own pre-review ci.yml.</t>
        </is>
      </c>
      <c r="F54" s="33" t="inlineStr">
        <is>
          <t>Review response (v043)</t>
        </is>
      </c>
    </row>
    <row r="55" ht="32.25" customHeight="1" s="26">
      <c r="A55" s="34" t="inlineStr">
        <is>
          <t>site</t>
        </is>
      </c>
      <c r="B55" s="33" t="inlineStr">
        <is>
          <t>ST-065, ST-067</t>
        </is>
      </c>
      <c r="C55" s="33" t="inlineStr">
        <is>
          <t>VER-DM4, R-D15, R-D13</t>
        </is>
      </c>
      <c r="D55" s="33" t="inlineStr">
        <is>
          <t>site.test.ts</t>
        </is>
      </c>
      <c r="E55" s="33" t="inlineStr">
        <is>
          <t>Generates the hostable privacy/terms/status/support pages from buildTrustPage(), so the published policy cannot drift from the scopes and retention the code enforces. 20 tests.</t>
        </is>
      </c>
      <c r="F55" s="33" t="inlineStr">
        <is>
          <t>Launch response (v044)</t>
        </is>
      </c>
    </row>
    <row r="56" ht="21.75" customHeight="1" s="26">
      <c r="A56" s="34" t="inlineStr">
        <is>
          <t>scripts/make-listing-assets.js</t>
        </is>
      </c>
      <c r="B56" s="33" t="inlineStr">
        <is>
          <t>—</t>
        </is>
      </c>
      <c r="C56" s="33" t="inlineStr">
        <is>
          <t>VER-DM4</t>
        </is>
      </c>
      <c r="D56" s="33" t="inlineStr">
        <is>
          <t>site.test.ts</t>
        </is>
      </c>
      <c r="E56" s="33" t="inlineStr">
        <is>
          <t>Generates the four required icon sizes and the 220x140 card banner as real PNGs, no dependencies.</t>
        </is>
      </c>
      <c r="F56" s="33" t="inlineStr">
        <is>
          <t>Launch response (v044)</t>
        </is>
      </c>
    </row>
    <row r="57" ht="22.35" customHeight="1" s="26">
      <c r="A57" s="34" t="inlineStr">
        <is>
          <t>tests/postgres.contract.test.ts</t>
        </is>
      </c>
      <c r="B57" s="33" t="inlineStr">
        <is>
          <t>—</t>
        </is>
      </c>
      <c r="C57" s="33" t="inlineStr">
        <is>
          <t>C-14; RevRescue L-RR9; TeleField R-T4</t>
        </is>
      </c>
      <c r="D57" s="33" t="inlineStr">
        <is>
          <t>separate jest config</t>
        </is>
      </c>
      <c r="E57" s="33" t="inlineStr">
        <is>
          <t>10 tests proving migrations, repositories, cascade purge and BIGINT coercion against real embedded Postgres. Clean.</t>
        </is>
      </c>
      <c r="F57" s="33" t="inlineStr">
        <is>
          <t>Sibling-transfer (v046)</t>
        </is>
      </c>
    </row>
    <row r="58"/>
    <row r="59">
      <c r="A59" s="74" t="inlineStr">
        <is>
          <t>MODULES ADDED S13-S19 (v047) — the integration layer P-DM-001 found missing. 51 -&gt; 79 modules.</t>
        </is>
      </c>
    </row>
    <row r="60">
      <c r="A60" s="56" t="inlineStr">
        <is>
          <t>main</t>
        </is>
      </c>
      <c r="B60" s="56" t="inlineStr">
        <is>
          <t>ST-051..056 + all</t>
        </is>
      </c>
      <c r="C60" s="56" t="inlineStr">
        <is>
          <t>P-DM-002</t>
        </is>
      </c>
      <c r="D60" s="56" t="inlineStr">
        <is>
          <t>main.test.ts</t>
        </is>
      </c>
      <c r="E60" s="56" t="inlineStr">
        <is>
          <t>Composition root — the file whose absence meant npm start exited 0</t>
        </is>
      </c>
      <c r="F60" s="56" t="inlineStr">
        <is>
          <t>S13 (PPLX)</t>
        </is>
      </c>
    </row>
    <row r="61">
      <c r="A61" s="56" t="inlineStr">
        <is>
          <t>httpClient / googleApi</t>
        </is>
      </c>
      <c r="B61" s="56" t="inlineStr">
        <is>
          <t>ST-051, ST-052, ST-055</t>
        </is>
      </c>
      <c r="C61" s="56" t="inlineStr">
        <is>
          <t>P-DM-001</t>
        </is>
      </c>
      <c r="D61" s="56" t="inlineStr">
        <is>
          <t>httpClient.test.ts, googleApi.test.ts</t>
        </is>
      </c>
      <c r="E61" s="56" t="inlineStr">
        <is>
          <t>The outbound network seam and the production OAuthTransport; TOKEN_URL had never been requested</t>
        </is>
      </c>
      <c r="F61" s="56" t="inlineStr">
        <is>
          <t>S13 (PPLX)</t>
        </is>
      </c>
    </row>
    <row r="62">
      <c r="A62" s="56" t="inlineStr">
        <is>
          <t>pgClient</t>
        </is>
      </c>
      <c r="B62" s="56" t="inlineStr">
        <is>
          <t>—</t>
        </is>
      </c>
      <c r="C62" s="56" t="inlineStr">
        <is>
          <t>P-DM-003, DM-F24</t>
        </is>
      </c>
      <c r="D62" s="56" t="inlineStr">
        <is>
          <t>pgClient.test.ts</t>
        </is>
      </c>
      <c r="E62" s="56" t="inlineStr">
        <is>
          <t>Real pooled driver; transactions pinned to one connection</t>
        </is>
      </c>
      <c r="F62" s="56" t="inlineStr">
        <is>
          <t>S13 (PPLX)</t>
        </is>
      </c>
    </row>
    <row r="63">
      <c r="A63" s="56" t="inlineStr">
        <is>
          <t>documentRenderer</t>
        </is>
      </c>
      <c r="B63" s="56" t="inlineStr">
        <is>
          <t>ST-001, ST-002, ST-031</t>
        </is>
      </c>
      <c r="C63" s="56" t="inlineStr">
        <is>
          <t>P-DM-006</t>
        </is>
      </c>
      <c r="D63" s="56" t="inlineStr">
        <is>
          <t>documentRenderer.test.ts, gallery.render.test.ts</t>
        </is>
      </c>
      <c r="E63" s="56" t="inlineStr">
        <is>
          <t>The real merge engine — Docs batchUpdate, images, repeating tables, PDF/DOCX export</t>
        </is>
      </c>
      <c r="F63" s="56" t="inlineStr">
        <is>
          <t>S14 (PPLX)</t>
        </is>
      </c>
    </row>
    <row r="64">
      <c r="A64" s="56" t="inlineStr">
        <is>
          <t>addonManifest / hostCapabilities</t>
        </is>
      </c>
      <c r="B64" s="56" t="inlineStr">
        <is>
          <t>ST-005, ST-041..050</t>
        </is>
      </c>
      <c r="C64" s="56" t="inlineStr">
        <is>
          <t>P-DM-005</t>
        </is>
      </c>
      <c r="D64" s="56" t="inlineStr">
        <is>
          <t>addonManifest.test.ts, appsScriptProject.test.ts</t>
        </is>
      </c>
      <c r="E64" s="56" t="inlineStr">
        <is>
          <t>Editor add-on manifest generated from the audited scope set, with a drift test</t>
        </is>
      </c>
      <c r="F64" s="56" t="inlineStr">
        <is>
          <t>S15 (PPLX)</t>
        </is>
      </c>
    </row>
    <row r="65">
      <c r="A65" s="56" t="inlineStr">
        <is>
          <t>googleDriveHost / googleSheetsSource / googleTokenSource</t>
        </is>
      </c>
      <c r="B65" s="56" t="inlineStr">
        <is>
          <t>ST-011..013, ST-019, ST-031..040, ST-055</t>
        </is>
      </c>
      <c r="C65" s="56" t="inlineStr">
        <is>
          <t>P-DM-001</t>
        </is>
      </c>
      <c r="D65" s="56" t="inlineStr">
        <is>
          <t>three suites</t>
        </is>
      </c>
      <c r="E65" s="56" t="inlineStr">
        <is>
          <t>Real Drive, Sheets and token refresh behind the existing interfaces</t>
        </is>
      </c>
      <c r="F65" s="56" t="inlineStr">
        <is>
          <t>S15 (PPLX)</t>
        </is>
      </c>
    </row>
    <row r="66">
      <c r="A66" s="56" t="inlineStr">
        <is>
          <t>postgresDurable</t>
        </is>
      </c>
      <c r="B66" s="56" t="inlineStr">
        <is>
          <t>ST-011..030, ST-041..050</t>
        </is>
      </c>
      <c r="C66" s="56" t="inlineStr">
        <is>
          <t>P-DM-009</t>
        </is>
      </c>
      <c r="D66" s="56" t="inlineStr">
        <is>
          <t>postgresDurable.test.ts + contract</t>
        </is>
      </c>
      <c r="E66" s="56" t="inlineStr">
        <is>
          <t>Seven RAM-only stores made durable, in the review's order</t>
        </is>
      </c>
      <c r="F66" s="56" t="inlineStr">
        <is>
          <t>S16 (PPLX)</t>
        </is>
      </c>
    </row>
    <row r="67">
      <c r="A67" s="56" t="inlineStr">
        <is>
          <t>claimsGate / esignProvider</t>
        </is>
      </c>
      <c r="B67" s="56" t="inlineStr">
        <is>
          <t>ST-021..030</t>
        </is>
      </c>
      <c r="C67" s="56" t="inlineStr">
        <is>
          <t>P-DM-007</t>
        </is>
      </c>
      <c r="D67" s="56" t="inlineStr">
        <is>
          <t>claimsGate.test.ts, esignProvider.test.ts</t>
        </is>
      </c>
      <c r="E67" s="56" t="inlineStr">
        <is>
          <t>The rename made permanent, and the provider boundary (D-DM6)</t>
        </is>
      </c>
      <c r="F67" s="56" t="inlineStr">
        <is>
          <t>S16 (PPLX)</t>
        </is>
      </c>
    </row>
    <row r="68">
      <c r="A68" s="56" t="inlineStr">
        <is>
          <t>governanceSurfaces / entitlementTiers</t>
        </is>
      </c>
      <c r="B68" s="56" t="inlineStr">
        <is>
          <t>ST-061, ST-067, ST-069, ST-087</t>
        </is>
      </c>
      <c r="C68" s="56" t="inlineStr">
        <is>
          <t>§5, DM-F03</t>
        </is>
      </c>
      <c r="D68" s="56" t="inlineStr">
        <is>
          <t>two suites</t>
        </is>
      </c>
      <c r="E68" s="56" t="inlineStr">
        <is>
          <t>The §5 wedge made legible to a buyer, generated from the enforcing code</t>
        </is>
      </c>
      <c r="F68" s="56" t="inlineStr">
        <is>
          <t>S17 (PPLX)</t>
        </is>
      </c>
    </row>
    <row r="69">
      <c r="A69" s="56" t="inlineStr">
        <is>
          <t>logger / slo / syntheticMonitor / restoreDrill</t>
        </is>
      </c>
      <c r="B69" s="56" t="inlineStr">
        <is>
          <t>ST-072, ST-086, ST-087, ST-090</t>
        </is>
      </c>
      <c r="C69" s="56" t="inlineStr">
        <is>
          <t>S18</t>
        </is>
      </c>
      <c r="D69" s="56" t="inlineStr">
        <is>
          <t>four suites</t>
        </is>
      </c>
      <c r="E69" s="56" t="inlineStr">
        <is>
          <t>Redaction, error budgets, a monitor that ran, and a drill that ran</t>
        </is>
      </c>
      <c r="F69" s="56" t="inlineStr">
        <is>
          <t>S18 (PPLX)</t>
        </is>
      </c>
    </row>
    <row r="70">
      <c r="A70" s="56" t="inlineStr">
        <is>
          <t>integrationGate</t>
        </is>
      </c>
      <c r="B70" s="56" t="inlineStr">
        <is>
          <t>—</t>
        </is>
      </c>
      <c r="C70" s="56" t="inlineStr">
        <is>
          <t>P-DM-001, DM-F39</t>
        </is>
      </c>
      <c r="D70" s="56" t="inlineStr">
        <is>
          <t>integrationGate.test.ts</t>
        </is>
      </c>
      <c r="E70" s="56" t="inlineStr">
        <is>
          <t>The fourth portfolio gate class; 16 findings on first run</t>
        </is>
      </c>
      <c r="F70" s="56" t="inlineStr">
        <is>
          <t>S19 (PPLX)</t>
        </is>
      </c>
    </row>
    <row r="71">
      <c r="A71" s="56" t="inlineStr">
        <is>
          <t>paymentGateway / marketplaceLicense / accountIdentities</t>
        </is>
      </c>
      <c r="B71" s="56" t="inlineStr">
        <is>
          <t>ST-052, ST-053, ST-057..059</t>
        </is>
      </c>
      <c r="C71" s="56" t="inlineStr">
        <is>
          <t>P-DM-001 via integrationGate</t>
        </is>
      </c>
      <c r="D71" s="56" t="inlineStr">
        <is>
          <t>three suites</t>
        </is>
      </c>
      <c r="E71" s="56" t="inlineStr">
        <is>
          <t>Stripe had never been called; uninstall was undetectable. Both found by the gate, not by a person</t>
        </is>
      </c>
      <c r="F71" s="56" t="inlineStr">
        <is>
          <t>S19 (PPLX)</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S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5" min="1" max="1"/>
    <col width="11" customWidth="1" style="25" min="2" max="19"/>
  </cols>
  <sheetData>
    <row r="1" ht="17.25" customHeight="1" s="26">
      <c r="A1" s="27" t="inlineStr">
        <is>
          <t>18-MONTH FINANCIAL MODEL — Workspace: high-volume low-ARPU PLG (edit yellow assumptions)</t>
        </is>
      </c>
    </row>
    <row r="2"/>
    <row r="3" ht="15" customHeight="1" s="26">
      <c r="A3" s="28" t="inlineStr">
        <is>
          <t>Assumption</t>
        </is>
      </c>
      <c r="B3" s="28" t="inlineStr">
        <is>
          <t>Value</t>
        </is>
      </c>
    </row>
    <row r="4" ht="15" customHeight="1" s="26">
      <c r="A4" s="30" t="inlineStr">
        <is>
          <t>Installs/mo (month 1)</t>
        </is>
      </c>
      <c r="B4" s="30" t="n">
        <v>120</v>
      </c>
    </row>
    <row r="5" ht="15" customHeight="1" s="26">
      <c r="A5" s="30" t="inlineStr">
        <is>
          <t>Monthly growth of that</t>
        </is>
      </c>
      <c r="B5" s="30" t="n">
        <v>0.15</v>
      </c>
    </row>
    <row r="6" ht="15" customHeight="1" s="26">
      <c r="A6" s="30" t="inlineStr">
        <is>
          <t>Free-&gt;paid %</t>
        </is>
      </c>
      <c r="B6" s="30" t="n">
        <v>0.06</v>
      </c>
    </row>
    <row r="7" ht="15" customHeight="1" s="26">
      <c r="A7" s="30" t="inlineStr">
        <is>
          <t>ARPU $/mo</t>
        </is>
      </c>
      <c r="B7" s="30" t="n">
        <v>19</v>
      </c>
    </row>
    <row r="8" ht="15" customHeight="1" s="26">
      <c r="A8" s="30" t="inlineStr">
        <is>
          <t>Monthly churn</t>
        </is>
      </c>
      <c r="B8" s="30" t="n">
        <v>0.045</v>
      </c>
    </row>
    <row r="9" ht="15" customHeight="1" s="26">
      <c r="A9" s="30" t="inlineStr">
        <is>
          <t>Marketplace fee</t>
        </is>
      </c>
      <c r="B9" s="30" t="n">
        <v>0</v>
      </c>
    </row>
    <row r="10" ht="15" customHeight="1" s="26">
      <c r="A10" s="30" t="inlineStr">
        <is>
          <t>Team cost month 1 (India-lean $)</t>
        </is>
      </c>
      <c r="B10" s="30" t="n">
        <v>12000</v>
      </c>
    </row>
    <row r="11" ht="15" customHeight="1" s="26">
      <c r="A11" s="30" t="inlineStr">
        <is>
          <t>Cost growth/mo</t>
        </is>
      </c>
      <c r="B11" s="30" t="n">
        <v>0.03</v>
      </c>
    </row>
    <row r="12" ht="15" customHeight="1" s="26">
      <c r="A12" s="32" t="inlineStr">
        <is>
          <t>Fee note: No marketplace fee; bill via Stripe</t>
        </is>
      </c>
    </row>
    <row r="13"/>
    <row r="14" ht="15" customHeight="1" s="26">
      <c r="A14" s="28" t="inlineStr">
        <is>
          <t>Line</t>
        </is>
      </c>
      <c r="B14" s="28" t="inlineStr">
        <is>
          <t>M1</t>
        </is>
      </c>
      <c r="C14" s="28" t="inlineStr">
        <is>
          <t>M2</t>
        </is>
      </c>
      <c r="D14" s="28" t="inlineStr">
        <is>
          <t>M3</t>
        </is>
      </c>
      <c r="E14" s="28" t="inlineStr">
        <is>
          <t>M4</t>
        </is>
      </c>
      <c r="F14" s="28" t="inlineStr">
        <is>
          <t>M5</t>
        </is>
      </c>
      <c r="G14" s="28" t="inlineStr">
        <is>
          <t>M6</t>
        </is>
      </c>
      <c r="H14" s="28" t="inlineStr">
        <is>
          <t>M7</t>
        </is>
      </c>
      <c r="I14" s="28" t="inlineStr">
        <is>
          <t>M8</t>
        </is>
      </c>
      <c r="J14" s="28" t="inlineStr">
        <is>
          <t>M9</t>
        </is>
      </c>
      <c r="K14" s="28" t="inlineStr">
        <is>
          <t>M10</t>
        </is>
      </c>
      <c r="L14" s="28" t="inlineStr">
        <is>
          <t>M11</t>
        </is>
      </c>
      <c r="M14" s="28" t="inlineStr">
        <is>
          <t>M12</t>
        </is>
      </c>
      <c r="N14" s="28" t="inlineStr">
        <is>
          <t>M13</t>
        </is>
      </c>
      <c r="O14" s="28" t="inlineStr">
        <is>
          <t>M14</t>
        </is>
      </c>
      <c r="P14" s="28" t="inlineStr">
        <is>
          <t>M15</t>
        </is>
      </c>
      <c r="Q14" s="28" t="inlineStr">
        <is>
          <t>M16</t>
        </is>
      </c>
      <c r="R14" s="28" t="inlineStr">
        <is>
          <t>M17</t>
        </is>
      </c>
      <c r="S14" s="28" t="inlineStr">
        <is>
          <t>M18</t>
        </is>
      </c>
    </row>
    <row r="15" ht="15" customHeight="1" s="26">
      <c r="A15" s="41" t="inlineStr">
        <is>
          <t>Leads/installs</t>
        </is>
      </c>
      <c r="B15" s="32">
        <f>$B$4</f>
        <v/>
      </c>
      <c r="C15" s="32">
        <f>B15*(1+$B$5)</f>
        <v/>
      </c>
      <c r="D15" s="32">
        <f>C15*(1+$B$5)</f>
        <v/>
      </c>
      <c r="E15" s="32">
        <f>D15*(1+$B$5)</f>
        <v/>
      </c>
      <c r="F15" s="32">
        <f>E15*(1+$B$5)</f>
        <v/>
      </c>
      <c r="G15" s="32">
        <f>F15*(1+$B$5)</f>
        <v/>
      </c>
      <c r="H15" s="32">
        <f>G15*(1+$B$5)</f>
        <v/>
      </c>
      <c r="I15" s="32">
        <f>H15*(1+$B$5)</f>
        <v/>
      </c>
      <c r="J15" s="32">
        <f>I15*(1+$B$5)</f>
        <v/>
      </c>
      <c r="K15" s="32">
        <f>J15*(1+$B$5)</f>
        <v/>
      </c>
      <c r="L15" s="32">
        <f>K15*(1+$B$5)</f>
        <v/>
      </c>
      <c r="M15" s="32">
        <f>L15*(1+$B$5)</f>
        <v/>
      </c>
      <c r="N15" s="32">
        <f>M15*(1+$B$5)</f>
        <v/>
      </c>
      <c r="O15" s="32">
        <f>N15*(1+$B$5)</f>
        <v/>
      </c>
      <c r="P15" s="32">
        <f>O15*(1+$B$5)</f>
        <v/>
      </c>
      <c r="Q15" s="32">
        <f>P15*(1+$B$5)</f>
        <v/>
      </c>
      <c r="R15" s="32">
        <f>Q15*(1+$B$5)</f>
        <v/>
      </c>
      <c r="S15" s="32">
        <f>R15*(1+$B$5)</f>
        <v/>
      </c>
    </row>
    <row r="16" ht="15" customHeight="1" s="26">
      <c r="A16" s="41" t="inlineStr">
        <is>
          <t>New paying</t>
        </is>
      </c>
      <c r="B16" s="32">
        <f>ROUND(B15*$B$6,1)</f>
        <v/>
      </c>
      <c r="C16" s="32">
        <f>ROUND(C15*$B$6,1)</f>
        <v/>
      </c>
      <c r="D16" s="32">
        <f>ROUND(D15*$B$6,1)</f>
        <v/>
      </c>
      <c r="E16" s="32">
        <f>ROUND(E15*$B$6,1)</f>
        <v/>
      </c>
      <c r="F16" s="32">
        <f>ROUND(F15*$B$6,1)</f>
        <v/>
      </c>
      <c r="G16" s="32">
        <f>ROUND(G15*$B$6,1)</f>
        <v/>
      </c>
      <c r="H16" s="32">
        <f>ROUND(H15*$B$6,1)</f>
        <v/>
      </c>
      <c r="I16" s="32">
        <f>ROUND(I15*$B$6,1)</f>
        <v/>
      </c>
      <c r="J16" s="32">
        <f>ROUND(J15*$B$6,1)</f>
        <v/>
      </c>
      <c r="K16" s="32">
        <f>ROUND(K15*$B$6,1)</f>
        <v/>
      </c>
      <c r="L16" s="32">
        <f>ROUND(L15*$B$6,1)</f>
        <v/>
      </c>
      <c r="M16" s="32">
        <f>ROUND(M15*$B$6,1)</f>
        <v/>
      </c>
      <c r="N16" s="32">
        <f>ROUND(N15*$B$6,1)</f>
        <v/>
      </c>
      <c r="O16" s="32">
        <f>ROUND(O15*$B$6,1)</f>
        <v/>
      </c>
      <c r="P16" s="32">
        <f>ROUND(P15*$B$6,1)</f>
        <v/>
      </c>
      <c r="Q16" s="32">
        <f>ROUND(Q15*$B$6,1)</f>
        <v/>
      </c>
      <c r="R16" s="32">
        <f>ROUND(R15*$B$6,1)</f>
        <v/>
      </c>
      <c r="S16" s="32">
        <f>ROUND(S15*$B$6,1)</f>
        <v/>
      </c>
    </row>
    <row r="17" ht="15" customHeight="1" s="26">
      <c r="A17" s="41" t="inlineStr">
        <is>
          <t>Paying accounts</t>
        </is>
      </c>
      <c r="B17" s="32">
        <f>B16</f>
        <v/>
      </c>
      <c r="C17" s="32">
        <f>ROUND(B17*(1-$B$8)+C16,1)</f>
        <v/>
      </c>
      <c r="D17" s="32">
        <f>ROUND(C17*(1-$B$8)+D16,1)</f>
        <v/>
      </c>
      <c r="E17" s="32">
        <f>ROUND(D17*(1-$B$8)+E16,1)</f>
        <v/>
      </c>
      <c r="F17" s="32">
        <f>ROUND(E17*(1-$B$8)+F16,1)</f>
        <v/>
      </c>
      <c r="G17" s="32">
        <f>ROUND(F17*(1-$B$8)+G16,1)</f>
        <v/>
      </c>
      <c r="H17" s="32">
        <f>ROUND(G17*(1-$B$8)+H16,1)</f>
        <v/>
      </c>
      <c r="I17" s="32">
        <f>ROUND(H17*(1-$B$8)+I16,1)</f>
        <v/>
      </c>
      <c r="J17" s="32">
        <f>ROUND(I17*(1-$B$8)+J16,1)</f>
        <v/>
      </c>
      <c r="K17" s="32">
        <f>ROUND(J17*(1-$B$8)+K16,1)</f>
        <v/>
      </c>
      <c r="L17" s="32">
        <f>ROUND(K17*(1-$B$8)+L16,1)</f>
        <v/>
      </c>
      <c r="M17" s="32">
        <f>ROUND(L17*(1-$B$8)+M16,1)</f>
        <v/>
      </c>
      <c r="N17" s="32">
        <f>ROUND(M17*(1-$B$8)+N16,1)</f>
        <v/>
      </c>
      <c r="O17" s="32">
        <f>ROUND(N17*(1-$B$8)+O16,1)</f>
        <v/>
      </c>
      <c r="P17" s="32">
        <f>ROUND(O17*(1-$B$8)+P16,1)</f>
        <v/>
      </c>
      <c r="Q17" s="32">
        <f>ROUND(P17*(1-$B$8)+Q16,1)</f>
        <v/>
      </c>
      <c r="R17" s="32">
        <f>ROUND(Q17*(1-$B$8)+R16,1)</f>
        <v/>
      </c>
      <c r="S17" s="32">
        <f>ROUND(R17*(1-$B$8)+S16,1)</f>
        <v/>
      </c>
    </row>
    <row r="18" ht="15" customHeight="1" s="26">
      <c r="A18" s="41" t="inlineStr">
        <is>
          <t>MRR (net of fee)</t>
        </is>
      </c>
      <c r="B18" s="32">
        <f>ROUND(B17*$B$7*(1-$B$9),0)</f>
        <v/>
      </c>
      <c r="C18" s="32">
        <f>ROUND(C17*$B$7*(1-$B$9),0)</f>
        <v/>
      </c>
      <c r="D18" s="32">
        <f>ROUND(D17*$B$7*(1-$B$9),0)</f>
        <v/>
      </c>
      <c r="E18" s="32">
        <f>ROUND(E17*$B$7*(1-$B$9),0)</f>
        <v/>
      </c>
      <c r="F18" s="32">
        <f>ROUND(F17*$B$7*(1-$B$9),0)</f>
        <v/>
      </c>
      <c r="G18" s="32">
        <f>ROUND(G17*$B$7*(1-$B$9),0)</f>
        <v/>
      </c>
      <c r="H18" s="32">
        <f>ROUND(H17*$B$7*(1-$B$9),0)</f>
        <v/>
      </c>
      <c r="I18" s="32">
        <f>ROUND(I17*$B$7*(1-$B$9),0)</f>
        <v/>
      </c>
      <c r="J18" s="32">
        <f>ROUND(J17*$B$7*(1-$B$9),0)</f>
        <v/>
      </c>
      <c r="K18" s="32">
        <f>ROUND(K17*$B$7*(1-$B$9),0)</f>
        <v/>
      </c>
      <c r="L18" s="32">
        <f>ROUND(L17*$B$7*(1-$B$9),0)</f>
        <v/>
      </c>
      <c r="M18" s="32">
        <f>ROUND(M17*$B$7*(1-$B$9),0)</f>
        <v/>
      </c>
      <c r="N18" s="32">
        <f>ROUND(N17*$B$7*(1-$B$9),0)</f>
        <v/>
      </c>
      <c r="O18" s="32">
        <f>ROUND(O17*$B$7*(1-$B$9),0)</f>
        <v/>
      </c>
      <c r="P18" s="32">
        <f>ROUND(P17*$B$7*(1-$B$9),0)</f>
        <v/>
      </c>
      <c r="Q18" s="32">
        <f>ROUND(Q17*$B$7*(1-$B$9),0)</f>
        <v/>
      </c>
      <c r="R18" s="32">
        <f>ROUND(R17*$B$7*(1-$B$9),0)</f>
        <v/>
      </c>
      <c r="S18" s="32">
        <f>ROUND(S17*$B$7*(1-$B$9),0)</f>
        <v/>
      </c>
    </row>
    <row r="19" ht="15" customHeight="1" s="26">
      <c r="A19" s="41" t="inlineStr">
        <is>
          <t>Team cost</t>
        </is>
      </c>
      <c r="B19" s="32">
        <f>$B$10</f>
        <v/>
      </c>
      <c r="C19" s="32">
        <f>ROUND(B19*(1+$B$11),0)</f>
        <v/>
      </c>
      <c r="D19" s="32">
        <f>ROUND(C19*(1+$B$11),0)</f>
        <v/>
      </c>
      <c r="E19" s="32">
        <f>ROUND(D19*(1+$B$11),0)</f>
        <v/>
      </c>
      <c r="F19" s="32">
        <f>ROUND(E19*(1+$B$11),0)</f>
        <v/>
      </c>
      <c r="G19" s="32">
        <f>ROUND(F19*(1+$B$11),0)</f>
        <v/>
      </c>
      <c r="H19" s="32">
        <f>ROUND(G19*(1+$B$11),0)</f>
        <v/>
      </c>
      <c r="I19" s="32">
        <f>ROUND(H19*(1+$B$11),0)</f>
        <v/>
      </c>
      <c r="J19" s="32">
        <f>ROUND(I19*(1+$B$11),0)</f>
        <v/>
      </c>
      <c r="K19" s="32">
        <f>ROUND(J19*(1+$B$11),0)</f>
        <v/>
      </c>
      <c r="L19" s="32">
        <f>ROUND(K19*(1+$B$11),0)</f>
        <v/>
      </c>
      <c r="M19" s="32">
        <f>ROUND(L19*(1+$B$11),0)</f>
        <v/>
      </c>
      <c r="N19" s="32">
        <f>ROUND(M19*(1+$B$11),0)</f>
        <v/>
      </c>
      <c r="O19" s="32">
        <f>ROUND(N19*(1+$B$11),0)</f>
        <v/>
      </c>
      <c r="P19" s="32">
        <f>ROUND(O19*(1+$B$11),0)</f>
        <v/>
      </c>
      <c r="Q19" s="32">
        <f>ROUND(P19*(1+$B$11),0)</f>
        <v/>
      </c>
      <c r="R19" s="32">
        <f>ROUND(Q19*(1+$B$11),0)</f>
        <v/>
      </c>
      <c r="S19" s="32">
        <f>ROUND(R19*(1+$B$11),0)</f>
        <v/>
      </c>
    </row>
    <row r="20" ht="15" customHeight="1" s="26">
      <c r="A20" s="41" t="inlineStr">
        <is>
          <t>Net cash/mo</t>
        </is>
      </c>
      <c r="B20" s="32">
        <f>B18-B19</f>
        <v/>
      </c>
      <c r="C20" s="32">
        <f>C18-C19</f>
        <v/>
      </c>
      <c r="D20" s="32">
        <f>D18-D19</f>
        <v/>
      </c>
      <c r="E20" s="32">
        <f>E18-E19</f>
        <v/>
      </c>
      <c r="F20" s="32">
        <f>F18-F19</f>
        <v/>
      </c>
      <c r="G20" s="32">
        <f>G18-G19</f>
        <v/>
      </c>
      <c r="H20" s="32">
        <f>H18-H19</f>
        <v/>
      </c>
      <c r="I20" s="32">
        <f>I18-I19</f>
        <v/>
      </c>
      <c r="J20" s="32">
        <f>J18-J19</f>
        <v/>
      </c>
      <c r="K20" s="32">
        <f>K18-K19</f>
        <v/>
      </c>
      <c r="L20" s="32">
        <f>L18-L19</f>
        <v/>
      </c>
      <c r="M20" s="32">
        <f>M18-M19</f>
        <v/>
      </c>
      <c r="N20" s="32">
        <f>N18-N19</f>
        <v/>
      </c>
      <c r="O20" s="32">
        <f>O18-O19</f>
        <v/>
      </c>
      <c r="P20" s="32">
        <f>P18-P19</f>
        <v/>
      </c>
      <c r="Q20" s="32">
        <f>Q18-Q19</f>
        <v/>
      </c>
      <c r="R20" s="32">
        <f>R18-R19</f>
        <v/>
      </c>
      <c r="S20" s="32">
        <f>S18-S19</f>
        <v/>
      </c>
    </row>
    <row r="21" ht="15" customHeight="1" s="26">
      <c r="A21" s="41" t="inlineStr">
        <is>
          <t>Cumulative</t>
        </is>
      </c>
      <c r="B21" s="32">
        <f>B20</f>
        <v/>
      </c>
      <c r="C21" s="32">
        <f>B21+C20</f>
        <v/>
      </c>
      <c r="D21" s="32">
        <f>C21+D20</f>
        <v/>
      </c>
      <c r="E21" s="32">
        <f>D21+E20</f>
        <v/>
      </c>
      <c r="F21" s="32">
        <f>E21+F20</f>
        <v/>
      </c>
      <c r="G21" s="32">
        <f>F21+G20</f>
        <v/>
      </c>
      <c r="H21" s="32">
        <f>G21+H20</f>
        <v/>
      </c>
      <c r="I21" s="32">
        <f>H21+I20</f>
        <v/>
      </c>
      <c r="J21" s="32">
        <f>I21+J20</f>
        <v/>
      </c>
      <c r="K21" s="32">
        <f>J21+K20</f>
        <v/>
      </c>
      <c r="L21" s="32">
        <f>K21+L20</f>
        <v/>
      </c>
      <c r="M21" s="32">
        <f>L21+M20</f>
        <v/>
      </c>
      <c r="N21" s="32">
        <f>M21+N20</f>
        <v/>
      </c>
      <c r="O21" s="32">
        <f>N21+O20</f>
        <v/>
      </c>
      <c r="P21" s="32">
        <f>O21+P20</f>
        <v/>
      </c>
      <c r="Q21" s="32">
        <f>P21+Q20</f>
        <v/>
      </c>
      <c r="R21" s="32">
        <f>Q21+R20</f>
        <v/>
      </c>
      <c r="S21" s="32">
        <f>R21+S20</f>
        <v/>
      </c>
    </row>
    <row r="22"/>
    <row r="23" ht="42" customHeight="1" s="26">
      <c r="A23" s="31" t="inlineStr">
        <is>
          <t>Reading: churn applies before adds; MRR nets the marketplace fee; costs use India-lean base from Team_Roles_Budget (v004). Breakeven (IF ONE EXISTS — it does not here; see v2) = first month Net cash ≥ 0. This is a planning model, not a forecast — replace assumptions with S7-S8 beta actuals.</t>
        </is>
      </c>
    </row>
    <row r="24"/>
    <row r="25">
      <c r="A25" s="47" t="inlineStr">
        <is>
          <t>SUPERSEDED BY Financial_Model_v2 (20 Sep 2026, external review P-DM-008) — BUT NOT WRONG. Every formula on this sheet is internally correct and the arithmetic was reproduced independently to the dollar. What it lacked: any cost for the free tier, and any row stating the breakeven month. It has none in the 18-month horizon: cumulative -$228,150 at M18, and the reading note below, which says 'Breakeven = first month Net...', presupposes a month that does not exist. Kept unaltered so the comparison is legible.</t>
        </is>
      </c>
    </row>
  </sheetData>
  <mergeCells count="1">
    <mergeCell ref="A23:S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outlinePr summaryBelow="1" summaryRight="1"/>
    <pageSetUpPr/>
  </sheetPr>
  <dimension ref="A1:S46"/>
  <sheetViews>
    <sheetView workbookViewId="0">
      <selection activeCell="A1" sqref="A1"/>
    </sheetView>
  </sheetViews>
  <sheetFormatPr baseColWidth="8" defaultRowHeight="15"/>
  <cols>
    <col width="34" customWidth="1" style="26" min="1" max="1"/>
    <col width="34" customWidth="1" style="26" min="2" max="2"/>
    <col width="18" customWidth="1" style="26" min="3" max="3"/>
    <col width="42" customWidth="1" style="26" min="4" max="4"/>
    <col width="78" customWidth="1" style="26" min="5" max="5"/>
    <col width="11" customWidth="1" style="26" min="6" max="6"/>
    <col width="11" customWidth="1" style="26" min="7" max="7"/>
    <col width="11" customWidth="1" style="26" min="8" max="8"/>
    <col width="11" customWidth="1" style="26" min="9" max="9"/>
    <col width="11" customWidth="1" style="26" min="10" max="10"/>
    <col width="11" customWidth="1" style="26" min="11" max="11"/>
    <col width="11" customWidth="1" style="26" min="12" max="12"/>
    <col width="11" customWidth="1" style="26" min="13" max="13"/>
    <col width="11" customWidth="1" style="26" min="14" max="14"/>
    <col width="11" customWidth="1" style="26" min="15" max="15"/>
    <col width="11" customWidth="1" style="26" min="16" max="16"/>
    <col width="11" customWidth="1" style="26" min="17" max="17"/>
    <col width="11" customWidth="1" style="26" min="18" max="18"/>
    <col width="11" customWidth="1" style="26" min="19" max="19"/>
    <col width="11" customWidth="1" style="26" min="20" max="20"/>
  </cols>
  <sheetData>
    <row r="1">
      <c r="A1" s="48" t="inlineStr">
        <is>
          <t>18-MONTH FINANCIAL MODEL v2 — governed document operations (edit yellow assumptions)</t>
        </is>
      </c>
    </row>
    <row r="2">
      <c r="A2" s="49" t="inlineStr">
        <is>
          <t>Built for P-DM-008. The v046 model on the previous sheet is CORRECT ARITHMETIC and is kept unaltered for comparison — re-implemented independently in this session, it reproduces the external review's figures to the dollar: cumulative -$228,150 at M18, the gap still widening at M12, and NO BREAKEVEN MONTH IN THE HORIZON. Two things were missing rather than wrong: (1) the free tier had no COST, though in a freemium Marketplace product the free tier is the product for most installs and the most expensive thing you operate; (2) there was no row that states the breakeven month, while the reading note said 'Breakeven = first month Net...', which presupposes one exists. Both are fixed here.</t>
        </is>
      </c>
    </row>
    <row r="3"/>
    <row r="4">
      <c r="A4" s="50" t="inlineStr">
        <is>
          <t>ASSUMPTIONS — edit these</t>
        </is>
      </c>
    </row>
    <row r="5">
      <c r="A5" s="51" t="inlineStr">
        <is>
          <t>Installs/mo (month 1)</t>
        </is>
      </c>
      <c r="B5" s="52" t="n">
        <v>120</v>
      </c>
      <c r="C5" s="49" t="inlineStr">
        <is>
          <t>Unchanged from v046 so the comparison is like for like.</t>
        </is>
      </c>
    </row>
    <row r="6">
      <c r="A6" s="51" t="inlineStr">
        <is>
          <t>Monthly growth of installs</t>
        </is>
      </c>
      <c r="B6" s="53" t="n">
        <v>0.15</v>
      </c>
      <c r="C6" s="49" t="inlineStr">
        <is>
          <t>Unchanged from v046.</t>
        </is>
      </c>
    </row>
    <row r="7">
      <c r="A7" s="51" t="inlineStr">
        <is>
          <t>Monthly churn (paid)</t>
        </is>
      </c>
      <c r="B7" s="53" t="n">
        <v>0.045</v>
      </c>
      <c r="C7" s="49" t="inlineStr">
        <is>
          <t>Unchanged from v046. The single most sensitive input — GROWTH_MODEL's own ranking put churn first.</t>
        </is>
      </c>
    </row>
    <row r="8">
      <c r="A8" s="51" t="inlineStr">
        <is>
          <t>Free-&gt;Team conversion %</t>
        </is>
      </c>
      <c r="B8" s="53" t="n">
        <v>0.03</v>
      </c>
      <c r="C8" s="49" t="inlineStr">
        <is>
          <t>Half of v046's 6%: a team plan at $149 converts worse per install than a $19 personal tool. Deliberately conservative.</t>
        </is>
      </c>
    </row>
    <row r="9">
      <c r="A9" s="51" t="inlineStr">
        <is>
          <t>Free-&gt;Business conversion %</t>
        </is>
      </c>
      <c r="B9" s="53" t="n">
        <v>0.006</v>
      </c>
      <c r="C9" s="49" t="inlineStr">
        <is>
          <t>One in five paying teams. The governance buyer with a compliance mandate.</t>
        </is>
      </c>
    </row>
    <row r="10">
      <c r="A10" s="51" t="inlineStr">
        <is>
          <t>Team plan $/mo</t>
        </is>
      </c>
      <c r="B10" s="52" t="n">
        <v>149</v>
      </c>
      <c r="C10" s="49" t="inlineStr">
        <is>
          <t>The §5 recommendation is $99-299. 149 sits mid-range.</t>
        </is>
      </c>
    </row>
    <row r="11">
      <c r="A11" s="51" t="inlineStr">
        <is>
          <t>Business plan $/mo</t>
        </is>
      </c>
      <c r="B11" s="52" t="n">
        <v>349</v>
      </c>
      <c r="C11" s="49" t="inlineStr">
        <is>
          <t>The §5 recommendation is $299-499.</t>
        </is>
      </c>
    </row>
    <row r="12">
      <c r="A12" s="51" t="inlineStr">
        <is>
          <t>Marketplace fee</t>
        </is>
      </c>
      <c r="B12" s="53" t="n">
        <v>0</v>
      </c>
      <c r="C12" s="49" t="inlineStr">
        <is>
          <t>No marketplace fee; billed via Stripe. Unchanged.</t>
        </is>
      </c>
    </row>
    <row r="13">
      <c r="A13" s="51" t="inlineStr">
        <is>
          <t>Team cost month 1 ($)</t>
        </is>
      </c>
      <c r="B13" s="52" t="n">
        <v>12000</v>
      </c>
      <c r="C13" s="49" t="inlineStr">
        <is>
          <t>Unchanged from v046. Scenario B on this sheet varies it — that is the whole point of the comparison.</t>
        </is>
      </c>
    </row>
    <row r="14">
      <c r="A14" s="51" t="inlineStr">
        <is>
          <t>Cost growth/mo</t>
        </is>
      </c>
      <c r="B14" s="53" t="n">
        <v>0.03</v>
      </c>
      <c r="C14" s="49" t="inlineStr">
        <is>
          <t>Unchanged from v046.</t>
        </is>
      </c>
    </row>
    <row r="15">
      <c r="A15" s="51" t="inlineStr">
        <is>
          <t>Free-tier cost per active free account $/mo</t>
        </is>
      </c>
      <c r="B15" s="52" t="n">
        <v>0.6</v>
      </c>
      <c r="C15" s="49" t="inlineStr">
        <is>
          <t>ABSENT FROM v046 ENTIRELY. Google API quota, storage, support load and the render capacity consumed by accounts that never pay. A conservative placeholder — measure it from the first cohort and replace it.</t>
        </is>
      </c>
    </row>
    <row r="16">
      <c r="A16" s="51" t="inlineStr">
        <is>
          <t>Free accounts that stay active %</t>
        </is>
      </c>
      <c r="B16" s="53" t="n">
        <v>0.35</v>
      </c>
      <c r="C16" s="49" t="inlineStr">
        <is>
          <t>Of cumulative installs. The rest install and lapse, costing nothing after month one.</t>
        </is>
      </c>
    </row>
    <row r="17"/>
    <row r="18">
      <c r="A18" s="50" t="inlineStr">
        <is>
          <t>PROJECTION</t>
        </is>
      </c>
    </row>
    <row r="19">
      <c r="A19" s="54" t="inlineStr">
        <is>
          <t>Line</t>
        </is>
      </c>
      <c r="B19" s="55" t="inlineStr">
        <is>
          <t>M1</t>
        </is>
      </c>
      <c r="C19" s="55" t="inlineStr">
        <is>
          <t>M2</t>
        </is>
      </c>
      <c r="D19" s="55" t="inlineStr">
        <is>
          <t>M3</t>
        </is>
      </c>
      <c r="E19" s="55" t="inlineStr">
        <is>
          <t>M4</t>
        </is>
      </c>
      <c r="F19" s="55" t="inlineStr">
        <is>
          <t>M5</t>
        </is>
      </c>
      <c r="G19" s="55" t="inlineStr">
        <is>
          <t>M6</t>
        </is>
      </c>
      <c r="H19" s="55" t="inlineStr">
        <is>
          <t>M7</t>
        </is>
      </c>
      <c r="I19" s="55" t="inlineStr">
        <is>
          <t>M8</t>
        </is>
      </c>
      <c r="J19" s="55" t="inlineStr">
        <is>
          <t>M9</t>
        </is>
      </c>
      <c r="K19" s="55" t="inlineStr">
        <is>
          <t>M10</t>
        </is>
      </c>
      <c r="L19" s="55" t="inlineStr">
        <is>
          <t>M11</t>
        </is>
      </c>
      <c r="M19" s="55" t="inlineStr">
        <is>
          <t>M12</t>
        </is>
      </c>
      <c r="N19" s="55" t="inlineStr">
        <is>
          <t>M13</t>
        </is>
      </c>
      <c r="O19" s="55" t="inlineStr">
        <is>
          <t>M14</t>
        </is>
      </c>
      <c r="P19" s="55" t="inlineStr">
        <is>
          <t>M15</t>
        </is>
      </c>
      <c r="Q19" s="55" t="inlineStr">
        <is>
          <t>M16</t>
        </is>
      </c>
      <c r="R19" s="55" t="inlineStr">
        <is>
          <t>M17</t>
        </is>
      </c>
      <c r="S19" s="55" t="inlineStr">
        <is>
          <t>M18</t>
        </is>
      </c>
    </row>
    <row r="20">
      <c r="A20" s="56" t="inlineStr">
        <is>
          <t>New installs</t>
        </is>
      </c>
      <c r="B20" s="57">
        <f>$B$5</f>
        <v/>
      </c>
      <c r="C20" s="57">
        <f>B20*(1+$B$6)</f>
        <v/>
      </c>
      <c r="D20" s="57">
        <f>C20*(1+$B$6)</f>
        <v/>
      </c>
      <c r="E20" s="57">
        <f>D20*(1+$B$6)</f>
        <v/>
      </c>
      <c r="F20" s="57">
        <f>E20*(1+$B$6)</f>
        <v/>
      </c>
      <c r="G20" s="57">
        <f>F20*(1+$B$6)</f>
        <v/>
      </c>
      <c r="H20" s="57">
        <f>G20*(1+$B$6)</f>
        <v/>
      </c>
      <c r="I20" s="57">
        <f>H20*(1+$B$6)</f>
        <v/>
      </c>
      <c r="J20" s="57">
        <f>I20*(1+$B$6)</f>
        <v/>
      </c>
      <c r="K20" s="57">
        <f>J20*(1+$B$6)</f>
        <v/>
      </c>
      <c r="L20" s="57">
        <f>K20*(1+$B$6)</f>
        <v/>
      </c>
      <c r="M20" s="57">
        <f>L20*(1+$B$6)</f>
        <v/>
      </c>
      <c r="N20" s="57">
        <f>M20*(1+$B$6)</f>
        <v/>
      </c>
      <c r="O20" s="57">
        <f>N20*(1+$B$6)</f>
        <v/>
      </c>
      <c r="P20" s="57">
        <f>O20*(1+$B$6)</f>
        <v/>
      </c>
      <c r="Q20" s="57">
        <f>P20*(1+$B$6)</f>
        <v/>
      </c>
      <c r="R20" s="57">
        <f>Q20*(1+$B$6)</f>
        <v/>
      </c>
      <c r="S20" s="57">
        <f>R20*(1+$B$6)</f>
        <v/>
      </c>
    </row>
    <row r="21">
      <c r="A21" s="56" t="inlineStr">
        <is>
          <t>Cumulative installs</t>
        </is>
      </c>
      <c r="B21" s="57">
        <f>B20</f>
        <v/>
      </c>
      <c r="C21" s="57">
        <f>B21+C20</f>
        <v/>
      </c>
      <c r="D21" s="57">
        <f>C21+D20</f>
        <v/>
      </c>
      <c r="E21" s="57">
        <f>D21+E20</f>
        <v/>
      </c>
      <c r="F21" s="57">
        <f>E21+F20</f>
        <v/>
      </c>
      <c r="G21" s="57">
        <f>F21+G20</f>
        <v/>
      </c>
      <c r="H21" s="57">
        <f>G21+H20</f>
        <v/>
      </c>
      <c r="I21" s="57">
        <f>H21+I20</f>
        <v/>
      </c>
      <c r="J21" s="57">
        <f>I21+J20</f>
        <v/>
      </c>
      <c r="K21" s="57">
        <f>J21+K20</f>
        <v/>
      </c>
      <c r="L21" s="57">
        <f>K21+L20</f>
        <v/>
      </c>
      <c r="M21" s="57">
        <f>L21+M20</f>
        <v/>
      </c>
      <c r="N21" s="57">
        <f>M21+N20</f>
        <v/>
      </c>
      <c r="O21" s="57">
        <f>N21+O20</f>
        <v/>
      </c>
      <c r="P21" s="57">
        <f>O21+P20</f>
        <v/>
      </c>
      <c r="Q21" s="57">
        <f>P21+Q20</f>
        <v/>
      </c>
      <c r="R21" s="57">
        <f>Q21+R20</f>
        <v/>
      </c>
      <c r="S21" s="57">
        <f>R21+S20</f>
        <v/>
      </c>
    </row>
    <row r="22">
      <c r="A22" s="56" t="inlineStr">
        <is>
          <t>Active free accounts</t>
        </is>
      </c>
      <c r="B22" s="57">
        <f>ROUND(B21*$B$16,0)</f>
        <v/>
      </c>
      <c r="C22" s="57">
        <f>ROUND(C21*$B$16,0)</f>
        <v/>
      </c>
      <c r="D22" s="57">
        <f>ROUND(D21*$B$16,0)</f>
        <v/>
      </c>
      <c r="E22" s="57">
        <f>ROUND(E21*$B$16,0)</f>
        <v/>
      </c>
      <c r="F22" s="57">
        <f>ROUND(F21*$B$16,0)</f>
        <v/>
      </c>
      <c r="G22" s="57">
        <f>ROUND(G21*$B$16,0)</f>
        <v/>
      </c>
      <c r="H22" s="57">
        <f>ROUND(H21*$B$16,0)</f>
        <v/>
      </c>
      <c r="I22" s="57">
        <f>ROUND(I21*$B$16,0)</f>
        <v/>
      </c>
      <c r="J22" s="57">
        <f>ROUND(J21*$B$16,0)</f>
        <v/>
      </c>
      <c r="K22" s="57">
        <f>ROUND(K21*$B$16,0)</f>
        <v/>
      </c>
      <c r="L22" s="57">
        <f>ROUND(L21*$B$16,0)</f>
        <v/>
      </c>
      <c r="M22" s="57">
        <f>ROUND(M21*$B$16,0)</f>
        <v/>
      </c>
      <c r="N22" s="57">
        <f>ROUND(N21*$B$16,0)</f>
        <v/>
      </c>
      <c r="O22" s="57">
        <f>ROUND(O21*$B$16,0)</f>
        <v/>
      </c>
      <c r="P22" s="57">
        <f>ROUND(P21*$B$16,0)</f>
        <v/>
      </c>
      <c r="Q22" s="57">
        <f>ROUND(Q21*$B$16,0)</f>
        <v/>
      </c>
      <c r="R22" s="57">
        <f>ROUND(R21*$B$16,0)</f>
        <v/>
      </c>
      <c r="S22" s="57">
        <f>ROUND(S21*$B$16,0)</f>
        <v/>
      </c>
    </row>
    <row r="23">
      <c r="A23" s="56" t="inlineStr">
        <is>
          <t>New Team</t>
        </is>
      </c>
      <c r="B23" s="58">
        <f>ROUND(B20*$B$8,1)</f>
        <v/>
      </c>
      <c r="C23" s="58">
        <f>ROUND(C20*$B$8,1)</f>
        <v/>
      </c>
      <c r="D23" s="58">
        <f>ROUND(D20*$B$8,1)</f>
        <v/>
      </c>
      <c r="E23" s="58">
        <f>ROUND(E20*$B$8,1)</f>
        <v/>
      </c>
      <c r="F23" s="58">
        <f>ROUND(F20*$B$8,1)</f>
        <v/>
      </c>
      <c r="G23" s="58">
        <f>ROUND(G20*$B$8,1)</f>
        <v/>
      </c>
      <c r="H23" s="58">
        <f>ROUND(H20*$B$8,1)</f>
        <v/>
      </c>
      <c r="I23" s="58">
        <f>ROUND(I20*$B$8,1)</f>
        <v/>
      </c>
      <c r="J23" s="58">
        <f>ROUND(J20*$B$8,1)</f>
        <v/>
      </c>
      <c r="K23" s="58">
        <f>ROUND(K20*$B$8,1)</f>
        <v/>
      </c>
      <c r="L23" s="58">
        <f>ROUND(L20*$B$8,1)</f>
        <v/>
      </c>
      <c r="M23" s="58">
        <f>ROUND(M20*$B$8,1)</f>
        <v/>
      </c>
      <c r="N23" s="58">
        <f>ROUND(N20*$B$8,1)</f>
        <v/>
      </c>
      <c r="O23" s="58">
        <f>ROUND(O20*$B$8,1)</f>
        <v/>
      </c>
      <c r="P23" s="58">
        <f>ROUND(P20*$B$8,1)</f>
        <v/>
      </c>
      <c r="Q23" s="58">
        <f>ROUND(Q20*$B$8,1)</f>
        <v/>
      </c>
      <c r="R23" s="58">
        <f>ROUND(R20*$B$8,1)</f>
        <v/>
      </c>
      <c r="S23" s="58">
        <f>ROUND(S20*$B$8,1)</f>
        <v/>
      </c>
    </row>
    <row r="24">
      <c r="A24" s="56" t="inlineStr">
        <is>
          <t>New Business</t>
        </is>
      </c>
      <c r="B24" s="58">
        <f>ROUND(B20*$B$9,1)</f>
        <v/>
      </c>
      <c r="C24" s="58">
        <f>ROUND(C20*$B$9,1)</f>
        <v/>
      </c>
      <c r="D24" s="58">
        <f>ROUND(D20*$B$9,1)</f>
        <v/>
      </c>
      <c r="E24" s="58">
        <f>ROUND(E20*$B$9,1)</f>
        <v/>
      </c>
      <c r="F24" s="58">
        <f>ROUND(F20*$B$9,1)</f>
        <v/>
      </c>
      <c r="G24" s="58">
        <f>ROUND(G20*$B$9,1)</f>
        <v/>
      </c>
      <c r="H24" s="58">
        <f>ROUND(H20*$B$9,1)</f>
        <v/>
      </c>
      <c r="I24" s="58">
        <f>ROUND(I20*$B$9,1)</f>
        <v/>
      </c>
      <c r="J24" s="58">
        <f>ROUND(J20*$B$9,1)</f>
        <v/>
      </c>
      <c r="K24" s="58">
        <f>ROUND(K20*$B$9,1)</f>
        <v/>
      </c>
      <c r="L24" s="58">
        <f>ROUND(L20*$B$9,1)</f>
        <v/>
      </c>
      <c r="M24" s="58">
        <f>ROUND(M20*$B$9,1)</f>
        <v/>
      </c>
      <c r="N24" s="58">
        <f>ROUND(N20*$B$9,1)</f>
        <v/>
      </c>
      <c r="O24" s="58">
        <f>ROUND(O20*$B$9,1)</f>
        <v/>
      </c>
      <c r="P24" s="58">
        <f>ROUND(P20*$B$9,1)</f>
        <v/>
      </c>
      <c r="Q24" s="58">
        <f>ROUND(Q20*$B$9,1)</f>
        <v/>
      </c>
      <c r="R24" s="58">
        <f>ROUND(R20*$B$9,1)</f>
        <v/>
      </c>
      <c r="S24" s="58">
        <f>ROUND(S20*$B$9,1)</f>
        <v/>
      </c>
    </row>
    <row r="25">
      <c r="A25" s="56" t="inlineStr">
        <is>
          <t>Team accounts</t>
        </is>
      </c>
      <c r="B25" s="58">
        <f>B23</f>
        <v/>
      </c>
      <c r="C25" s="58">
        <f>ROUND(B25*(1-$B$7)+C23,1)</f>
        <v/>
      </c>
      <c r="D25" s="58">
        <f>ROUND(C25*(1-$B$7)+D23,1)</f>
        <v/>
      </c>
      <c r="E25" s="58">
        <f>ROUND(D25*(1-$B$7)+E23,1)</f>
        <v/>
      </c>
      <c r="F25" s="58">
        <f>ROUND(E25*(1-$B$7)+F23,1)</f>
        <v/>
      </c>
      <c r="G25" s="58">
        <f>ROUND(F25*(1-$B$7)+G23,1)</f>
        <v/>
      </c>
      <c r="H25" s="58">
        <f>ROUND(G25*(1-$B$7)+H23,1)</f>
        <v/>
      </c>
      <c r="I25" s="58">
        <f>ROUND(H25*(1-$B$7)+I23,1)</f>
        <v/>
      </c>
      <c r="J25" s="58">
        <f>ROUND(I25*(1-$B$7)+J23,1)</f>
        <v/>
      </c>
      <c r="K25" s="58">
        <f>ROUND(J25*(1-$B$7)+K23,1)</f>
        <v/>
      </c>
      <c r="L25" s="58">
        <f>ROUND(K25*(1-$B$7)+L23,1)</f>
        <v/>
      </c>
      <c r="M25" s="58">
        <f>ROUND(L25*(1-$B$7)+M23,1)</f>
        <v/>
      </c>
      <c r="N25" s="58">
        <f>ROUND(M25*(1-$B$7)+N23,1)</f>
        <v/>
      </c>
      <c r="O25" s="58">
        <f>ROUND(N25*(1-$B$7)+O23,1)</f>
        <v/>
      </c>
      <c r="P25" s="58">
        <f>ROUND(O25*(1-$B$7)+P23,1)</f>
        <v/>
      </c>
      <c r="Q25" s="58">
        <f>ROUND(P25*(1-$B$7)+Q23,1)</f>
        <v/>
      </c>
      <c r="R25" s="58">
        <f>ROUND(Q25*(1-$B$7)+R23,1)</f>
        <v/>
      </c>
      <c r="S25" s="58">
        <f>ROUND(R25*(1-$B$7)+S23,1)</f>
        <v/>
      </c>
    </row>
    <row r="26">
      <c r="A26" s="56" t="inlineStr">
        <is>
          <t>Business accounts</t>
        </is>
      </c>
      <c r="B26" s="58">
        <f>B24</f>
        <v/>
      </c>
      <c r="C26" s="58">
        <f>ROUND(B26*(1-$B$7)+C24,1)</f>
        <v/>
      </c>
      <c r="D26" s="58">
        <f>ROUND(C26*(1-$B$7)+D24,1)</f>
        <v/>
      </c>
      <c r="E26" s="58">
        <f>ROUND(D26*(1-$B$7)+E24,1)</f>
        <v/>
      </c>
      <c r="F26" s="58">
        <f>ROUND(E26*(1-$B$7)+F24,1)</f>
        <v/>
      </c>
      <c r="G26" s="58">
        <f>ROUND(F26*(1-$B$7)+G24,1)</f>
        <v/>
      </c>
      <c r="H26" s="58">
        <f>ROUND(G26*(1-$B$7)+H24,1)</f>
        <v/>
      </c>
      <c r="I26" s="58">
        <f>ROUND(H26*(1-$B$7)+I24,1)</f>
        <v/>
      </c>
      <c r="J26" s="58">
        <f>ROUND(I26*(1-$B$7)+J24,1)</f>
        <v/>
      </c>
      <c r="K26" s="58">
        <f>ROUND(J26*(1-$B$7)+K24,1)</f>
        <v/>
      </c>
      <c r="L26" s="58">
        <f>ROUND(K26*(1-$B$7)+L24,1)</f>
        <v/>
      </c>
      <c r="M26" s="58">
        <f>ROUND(L26*(1-$B$7)+M24,1)</f>
        <v/>
      </c>
      <c r="N26" s="58">
        <f>ROUND(M26*(1-$B$7)+N24,1)</f>
        <v/>
      </c>
      <c r="O26" s="58">
        <f>ROUND(N26*(1-$B$7)+O24,1)</f>
        <v/>
      </c>
      <c r="P26" s="58">
        <f>ROUND(O26*(1-$B$7)+P24,1)</f>
        <v/>
      </c>
      <c r="Q26" s="58">
        <f>ROUND(P26*(1-$B$7)+Q24,1)</f>
        <v/>
      </c>
      <c r="R26" s="58">
        <f>ROUND(Q26*(1-$B$7)+R24,1)</f>
        <v/>
      </c>
      <c r="S26" s="58">
        <f>ROUND(R26*(1-$B$7)+S24,1)</f>
        <v/>
      </c>
    </row>
    <row r="27">
      <c r="A27" s="59" t="inlineStr">
        <is>
          <t>MRR (net of fee)</t>
        </is>
      </c>
      <c r="B27" s="60">
        <f>ROUND((B25*$B$10+B26*$B$11)*(1-$B$12),0)</f>
        <v/>
      </c>
      <c r="C27" s="60">
        <f>ROUND((C25*$B$10+C26*$B$11)*(1-$B$12),0)</f>
        <v/>
      </c>
      <c r="D27" s="60">
        <f>ROUND((D25*$B$10+D26*$B$11)*(1-$B$12),0)</f>
        <v/>
      </c>
      <c r="E27" s="60">
        <f>ROUND((E25*$B$10+E26*$B$11)*(1-$B$12),0)</f>
        <v/>
      </c>
      <c r="F27" s="60">
        <f>ROUND((F25*$B$10+F26*$B$11)*(1-$B$12),0)</f>
        <v/>
      </c>
      <c r="G27" s="60">
        <f>ROUND((G25*$B$10+G26*$B$11)*(1-$B$12),0)</f>
        <v/>
      </c>
      <c r="H27" s="60">
        <f>ROUND((H25*$B$10+H26*$B$11)*(1-$B$12),0)</f>
        <v/>
      </c>
      <c r="I27" s="60">
        <f>ROUND((I25*$B$10+I26*$B$11)*(1-$B$12),0)</f>
        <v/>
      </c>
      <c r="J27" s="60">
        <f>ROUND((J25*$B$10+J26*$B$11)*(1-$B$12),0)</f>
        <v/>
      </c>
      <c r="K27" s="60">
        <f>ROUND((K25*$B$10+K26*$B$11)*(1-$B$12),0)</f>
        <v/>
      </c>
      <c r="L27" s="60">
        <f>ROUND((L25*$B$10+L26*$B$11)*(1-$B$12),0)</f>
        <v/>
      </c>
      <c r="M27" s="60">
        <f>ROUND((M25*$B$10+M26*$B$11)*(1-$B$12),0)</f>
        <v/>
      </c>
      <c r="N27" s="60">
        <f>ROUND((N25*$B$10+N26*$B$11)*(1-$B$12),0)</f>
        <v/>
      </c>
      <c r="O27" s="60">
        <f>ROUND((O25*$B$10+O26*$B$11)*(1-$B$12),0)</f>
        <v/>
      </c>
      <c r="P27" s="60">
        <f>ROUND((P25*$B$10+P26*$B$11)*(1-$B$12),0)</f>
        <v/>
      </c>
      <c r="Q27" s="60">
        <f>ROUND((Q25*$B$10+Q26*$B$11)*(1-$B$12),0)</f>
        <v/>
      </c>
      <c r="R27" s="60">
        <f>ROUND((R25*$B$10+R26*$B$11)*(1-$B$12),0)</f>
        <v/>
      </c>
      <c r="S27" s="60">
        <f>ROUND((S25*$B$10+S26*$B$11)*(1-$B$12),0)</f>
        <v/>
      </c>
    </row>
    <row r="28">
      <c r="A28" s="56" t="inlineStr">
        <is>
          <t>Team cost</t>
        </is>
      </c>
      <c r="B28" s="61">
        <f>$B$13</f>
        <v/>
      </c>
      <c r="C28" s="61">
        <f>ROUND(B28*(1+$B$14),0)</f>
        <v/>
      </c>
      <c r="D28" s="61">
        <f>ROUND(C28*(1+$B$14),0)</f>
        <v/>
      </c>
      <c r="E28" s="61">
        <f>ROUND(D28*(1+$B$14),0)</f>
        <v/>
      </c>
      <c r="F28" s="61">
        <f>ROUND(E28*(1+$B$14),0)</f>
        <v/>
      </c>
      <c r="G28" s="61">
        <f>ROUND(F28*(1+$B$14),0)</f>
        <v/>
      </c>
      <c r="H28" s="61">
        <f>ROUND(G28*(1+$B$14),0)</f>
        <v/>
      </c>
      <c r="I28" s="61">
        <f>ROUND(H28*(1+$B$14),0)</f>
        <v/>
      </c>
      <c r="J28" s="61">
        <f>ROUND(I28*(1+$B$14),0)</f>
        <v/>
      </c>
      <c r="K28" s="61">
        <f>ROUND(J28*(1+$B$14),0)</f>
        <v/>
      </c>
      <c r="L28" s="61">
        <f>ROUND(K28*(1+$B$14),0)</f>
        <v/>
      </c>
      <c r="M28" s="61">
        <f>ROUND(L28*(1+$B$14),0)</f>
        <v/>
      </c>
      <c r="N28" s="61">
        <f>ROUND(M28*(1+$B$14),0)</f>
        <v/>
      </c>
      <c r="O28" s="61">
        <f>ROUND(N28*(1+$B$14),0)</f>
        <v/>
      </c>
      <c r="P28" s="61">
        <f>ROUND(O28*(1+$B$14),0)</f>
        <v/>
      </c>
      <c r="Q28" s="61">
        <f>ROUND(P28*(1+$B$14),0)</f>
        <v/>
      </c>
      <c r="R28" s="61">
        <f>ROUND(Q28*(1+$B$14),0)</f>
        <v/>
      </c>
      <c r="S28" s="61">
        <f>ROUND(R28*(1+$B$14),0)</f>
        <v/>
      </c>
    </row>
    <row r="29">
      <c r="A29" s="56" t="inlineStr">
        <is>
          <t>Free-tier cost</t>
        </is>
      </c>
      <c r="B29" s="61">
        <f>ROUND(B22*$B$15,0)</f>
        <v/>
      </c>
      <c r="C29" s="61">
        <f>ROUND(C22*$B$15,0)</f>
        <v/>
      </c>
      <c r="D29" s="61">
        <f>ROUND(D22*$B$15,0)</f>
        <v/>
      </c>
      <c r="E29" s="61">
        <f>ROUND(E22*$B$15,0)</f>
        <v/>
      </c>
      <c r="F29" s="61">
        <f>ROUND(F22*$B$15,0)</f>
        <v/>
      </c>
      <c r="G29" s="61">
        <f>ROUND(G22*$B$15,0)</f>
        <v/>
      </c>
      <c r="H29" s="61">
        <f>ROUND(H22*$B$15,0)</f>
        <v/>
      </c>
      <c r="I29" s="61">
        <f>ROUND(I22*$B$15,0)</f>
        <v/>
      </c>
      <c r="J29" s="61">
        <f>ROUND(J22*$B$15,0)</f>
        <v/>
      </c>
      <c r="K29" s="61">
        <f>ROUND(K22*$B$15,0)</f>
        <v/>
      </c>
      <c r="L29" s="61">
        <f>ROUND(L22*$B$15,0)</f>
        <v/>
      </c>
      <c r="M29" s="61">
        <f>ROUND(M22*$B$15,0)</f>
        <v/>
      </c>
      <c r="N29" s="61">
        <f>ROUND(N22*$B$15,0)</f>
        <v/>
      </c>
      <c r="O29" s="61">
        <f>ROUND(O22*$B$15,0)</f>
        <v/>
      </c>
      <c r="P29" s="61">
        <f>ROUND(P22*$B$15,0)</f>
        <v/>
      </c>
      <c r="Q29" s="61">
        <f>ROUND(Q22*$B$15,0)</f>
        <v/>
      </c>
      <c r="R29" s="61">
        <f>ROUND(R22*$B$15,0)</f>
        <v/>
      </c>
      <c r="S29" s="61">
        <f>ROUND(S22*$B$15,0)</f>
        <v/>
      </c>
    </row>
    <row r="30">
      <c r="A30" s="56" t="inlineStr">
        <is>
          <t>Total cost</t>
        </is>
      </c>
      <c r="B30" s="61">
        <f>B28+B29</f>
        <v/>
      </c>
      <c r="C30" s="61">
        <f>C28+C29</f>
        <v/>
      </c>
      <c r="D30" s="61">
        <f>D28+D29</f>
        <v/>
      </c>
      <c r="E30" s="61">
        <f>E28+E29</f>
        <v/>
      </c>
      <c r="F30" s="61">
        <f>F28+F29</f>
        <v/>
      </c>
      <c r="G30" s="61">
        <f>G28+G29</f>
        <v/>
      </c>
      <c r="H30" s="61">
        <f>H28+H29</f>
        <v/>
      </c>
      <c r="I30" s="61">
        <f>I28+I29</f>
        <v/>
      </c>
      <c r="J30" s="61">
        <f>J28+J29</f>
        <v/>
      </c>
      <c r="K30" s="61">
        <f>K28+K29</f>
        <v/>
      </c>
      <c r="L30" s="61">
        <f>L28+L29</f>
        <v/>
      </c>
      <c r="M30" s="61">
        <f>M28+M29</f>
        <v/>
      </c>
      <c r="N30" s="61">
        <f>N28+N29</f>
        <v/>
      </c>
      <c r="O30" s="61">
        <f>O28+O29</f>
        <v/>
      </c>
      <c r="P30" s="61">
        <f>P28+P29</f>
        <v/>
      </c>
      <c r="Q30" s="61">
        <f>Q28+Q29</f>
        <v/>
      </c>
      <c r="R30" s="61">
        <f>R28+R29</f>
        <v/>
      </c>
      <c r="S30" s="61">
        <f>S28+S29</f>
        <v/>
      </c>
    </row>
    <row r="31">
      <c r="A31" s="59" t="inlineStr">
        <is>
          <t>Net cash/mo</t>
        </is>
      </c>
      <c r="B31" s="60">
        <f>B27-B30</f>
        <v/>
      </c>
      <c r="C31" s="60">
        <f>C27-C30</f>
        <v/>
      </c>
      <c r="D31" s="60">
        <f>D27-D30</f>
        <v/>
      </c>
      <c r="E31" s="60">
        <f>E27-E30</f>
        <v/>
      </c>
      <c r="F31" s="60">
        <f>F27-F30</f>
        <v/>
      </c>
      <c r="G31" s="60">
        <f>G27-G30</f>
        <v/>
      </c>
      <c r="H31" s="60">
        <f>H27-H30</f>
        <v/>
      </c>
      <c r="I31" s="60">
        <f>I27-I30</f>
        <v/>
      </c>
      <c r="J31" s="60">
        <f>J27-J30</f>
        <v/>
      </c>
      <c r="K31" s="60">
        <f>K27-K30</f>
        <v/>
      </c>
      <c r="L31" s="60">
        <f>L27-L30</f>
        <v/>
      </c>
      <c r="M31" s="60">
        <f>M27-M30</f>
        <v/>
      </c>
      <c r="N31" s="60">
        <f>N27-N30</f>
        <v/>
      </c>
      <c r="O31" s="60">
        <f>O27-O30</f>
        <v/>
      </c>
      <c r="P31" s="60">
        <f>P27-P30</f>
        <v/>
      </c>
      <c r="Q31" s="60">
        <f>Q27-Q30</f>
        <v/>
      </c>
      <c r="R31" s="60">
        <f>R27-R30</f>
        <v/>
      </c>
      <c r="S31" s="60">
        <f>S27-S30</f>
        <v/>
      </c>
    </row>
    <row r="32">
      <c r="A32" s="59" t="inlineStr">
        <is>
          <t>Cumulative</t>
        </is>
      </c>
      <c r="B32" s="60">
        <f>B31</f>
        <v/>
      </c>
      <c r="C32" s="60">
        <f>B32+C31</f>
        <v/>
      </c>
      <c r="D32" s="60">
        <f>C32+D31</f>
        <v/>
      </c>
      <c r="E32" s="60">
        <f>D32+E31</f>
        <v/>
      </c>
      <c r="F32" s="60">
        <f>E32+F31</f>
        <v/>
      </c>
      <c r="G32" s="60">
        <f>F32+G31</f>
        <v/>
      </c>
      <c r="H32" s="60">
        <f>G32+H31</f>
        <v/>
      </c>
      <c r="I32" s="60">
        <f>H32+I31</f>
        <v/>
      </c>
      <c r="J32" s="60">
        <f>I32+J31</f>
        <v/>
      </c>
      <c r="K32" s="60">
        <f>J32+K31</f>
        <v/>
      </c>
      <c r="L32" s="60">
        <f>K32+L31</f>
        <v/>
      </c>
      <c r="M32" s="60">
        <f>L32+M31</f>
        <v/>
      </c>
      <c r="N32" s="60">
        <f>M32+N31</f>
        <v/>
      </c>
      <c r="O32" s="60">
        <f>N32+O31</f>
        <v/>
      </c>
      <c r="P32" s="60">
        <f>O32+P31</f>
        <v/>
      </c>
      <c r="Q32" s="60">
        <f>P32+Q31</f>
        <v/>
      </c>
      <c r="R32" s="60">
        <f>Q32+R31</f>
        <v/>
      </c>
      <c r="S32" s="60">
        <f>R32+S31</f>
        <v/>
      </c>
    </row>
    <row r="33">
      <c r="A33" s="56" t="inlineStr">
        <is>
          <t>Breakeven reached?</t>
        </is>
      </c>
      <c r="B33" s="51">
        <f>IF(B31&gt;0,"YES","no")</f>
        <v/>
      </c>
      <c r="C33" s="51">
        <f>IF(C31&gt;0,"YES","no")</f>
        <v/>
      </c>
      <c r="D33" s="51">
        <f>IF(D31&gt;0,"YES","no")</f>
        <v/>
      </c>
      <c r="E33" s="51">
        <f>IF(E31&gt;0,"YES","no")</f>
        <v/>
      </c>
      <c r="F33" s="51">
        <f>IF(F31&gt;0,"YES","no")</f>
        <v/>
      </c>
      <c r="G33" s="51">
        <f>IF(G31&gt;0,"YES","no")</f>
        <v/>
      </c>
      <c r="H33" s="51">
        <f>IF(H31&gt;0,"YES","no")</f>
        <v/>
      </c>
      <c r="I33" s="51">
        <f>IF(I31&gt;0,"YES","no")</f>
        <v/>
      </c>
      <c r="J33" s="51">
        <f>IF(J31&gt;0,"YES","no")</f>
        <v/>
      </c>
      <c r="K33" s="51">
        <f>IF(K31&gt;0,"YES","no")</f>
        <v/>
      </c>
      <c r="L33" s="51">
        <f>IF(L31&gt;0,"YES","no")</f>
        <v/>
      </c>
      <c r="M33" s="51">
        <f>IF(M31&gt;0,"YES","no")</f>
        <v/>
      </c>
      <c r="N33" s="51">
        <f>IF(N31&gt;0,"YES","no")</f>
        <v/>
      </c>
      <c r="O33" s="51">
        <f>IF(O31&gt;0,"YES","no")</f>
        <v/>
      </c>
      <c r="P33" s="51">
        <f>IF(P31&gt;0,"YES","no")</f>
        <v/>
      </c>
      <c r="Q33" s="51">
        <f>IF(Q31&gt;0,"YES","no")</f>
        <v/>
      </c>
      <c r="R33" s="51">
        <f>IF(R31&gt;0,"YES","no")</f>
        <v/>
      </c>
      <c r="S33" s="51">
        <f>IF(S31&gt;0,"YES","no")</f>
        <v/>
      </c>
    </row>
    <row r="34"/>
    <row r="35">
      <c r="A35" s="62" t="inlineStr">
        <is>
          <t>BREAKEVEN MONTH</t>
        </is>
      </c>
      <c r="B35" s="63">
        <f>IFERROR(INDEX($B$19:$S$19,MATCH("YES",$B$33:$S$33,0)),"NONE IN 18-MONTH HORIZON")</f>
        <v/>
      </c>
      <c r="D35" s="49" t="inlineStr">
        <is>
          <t>The row v046 did not have. It states the month, or states plainly that there is none — it never implies one exists.</t>
        </is>
      </c>
    </row>
    <row r="36"/>
    <row r="37">
      <c r="A37" s="50" t="inlineStr">
        <is>
          <t>THE THREE STRUCTURAL EXITS (P-DM-008 §5) — all three are real options; the choice is Senthil's</t>
        </is>
      </c>
    </row>
    <row r="38">
      <c r="A38" s="64" t="inlineStr">
        <is>
          <t>Scenario</t>
        </is>
      </c>
      <c r="B38" s="64" t="inlineStr">
        <is>
          <t>What changes</t>
        </is>
      </c>
      <c r="C38" s="64" t="inlineStr">
        <is>
          <t>Breakeven</t>
        </is>
      </c>
      <c r="D38" s="64" t="inlineStr">
        <is>
          <t>What it costs you</t>
        </is>
      </c>
      <c r="E38" s="64" t="inlineStr">
        <is>
          <t>Honest assessment</t>
        </is>
      </c>
    </row>
    <row r="39">
      <c r="A39" s="56" t="inlineStr">
        <is>
          <t>A — Raise ARPU (this sheet)</t>
        </is>
      </c>
      <c r="B39" s="56" t="inlineStr">
        <is>
          <t>Team $149 / Business $349 to an ops or compliance owner; volume-capped free tier as the funnel</t>
        </is>
      </c>
      <c r="C39" s="65" t="inlineStr">
        <is>
          <t>M12 (computed on this sheet); cumulative positive by M18</t>
        </is>
      </c>
      <c r="D39" s="56" t="inlineStr">
        <is>
          <t>A repositioning bet. New ICP, new listing copy, and a buyer the product has never met.</t>
        </is>
      </c>
      <c r="E39" s="56" t="inlineStr">
        <is>
          <t>THE REVIEW'S RECOMMENDATION, and the only option consistent with what was actually BUILT: the hash-chained ledger, the verified-quota governor, the tenant gate, the purge receipts and the scope narrative are bought by an operations owner and are invisible to an office manager. It is also the only one where the arithmetic closes without cutting anything.</t>
        </is>
      </c>
    </row>
    <row r="40">
      <c r="A40" s="56" t="inlineStr">
        <is>
          <t>B — Cut the cost base</t>
        </is>
      </c>
      <c r="B40" s="56" t="inlineStr">
        <is>
          <t>Solo-founder level, roughly $2-3k/month; keep $19 and the current positioning</t>
        </is>
      </c>
      <c r="C40" s="65" t="inlineStr">
        <is>
          <t>~M14 on the v046 model</t>
        </is>
      </c>
      <c r="D40" s="56" t="inlineStr">
        <is>
          <t>A 3-4 year ramp, and it is the slowest path to a real business.</t>
        </is>
      </c>
      <c r="E40" s="56" t="inlineStr">
        <is>
          <t>THE REVIEW UNDERWEIGHTS THIS. It carries no repositioning risk, needs no customer conversation, and can be decided today by one person. If the honest answer to 'who is the buyer' is still unknown, B buys the time to find out — and A remains available afterwards. Model it by setting the Team cost assumption above to 2500.</t>
        </is>
      </c>
    </row>
    <row r="41">
      <c r="A41" s="56" t="inlineStr">
        <is>
          <t>C — Raise conversion</t>
        </is>
      </c>
      <c r="B41" s="56" t="inlineStr">
        <is>
          <t>Keep $19 and the cost base; push free-&gt;paid above 6%</t>
        </is>
      </c>
      <c r="C41" s="66" t="inlineStr">
        <is>
          <t>Needs roughly 15% conversion — not credible</t>
        </is>
      </c>
      <c r="D41" s="56" t="inlineStr">
        <is>
          <t>Nothing, because it will not work.</t>
        </is>
      </c>
      <c r="E41" s="56" t="inlineStr">
        <is>
          <t>THE WEAKEST LEVER, and the review is right to say so. In a category where the two verified incumbents are free with paid upgrades (Form Publisher 24M+, Document Studio 6M+), 6% is already an optimistic figure, not a conservative one. Recorded so the option is visibly considered and visibly rejected rather than quietly ignored.</t>
        </is>
      </c>
    </row>
    <row r="42">
      <c r="A42" s="56" t="inlineStr">
        <is>
          <t>D — Do nothing (v046 as written)</t>
        </is>
      </c>
      <c r="B42" s="56" t="inlineStr">
        <is>
          <t>Nothing</t>
        </is>
      </c>
      <c r="C42" s="66" t="inlineStr">
        <is>
          <t>NEVER, within 18 months</t>
        </is>
      </c>
      <c r="D42" s="56" t="inlineStr">
        <is>
          <t>-$228,150 cumulative at M18 with the gap still widening at M12.</t>
        </is>
      </c>
      <c r="E42" s="56" t="inlineStr">
        <is>
          <t>Included because a decision pack that omits the status quo is not a decision pack. Paying accounts asymptote near 1,700 at 4.5% churn — about $32k MRR against a cost base that passes it around M28. There is no volume at which this structure works.</t>
        </is>
      </c>
    </row>
    <row r="43"/>
    <row r="44">
      <c r="A44" s="49" t="inlineStr">
        <is>
          <t>READING THIS SHEET: churn applies before adds, exactly as v046 does, so the two are directly comparable. MRR nets the marketplace fee. The free-tier cost is the line v046 omitted and it is a PLACEHOLDER — the first cohort replaces it with a measured figure, and until then every breakeven month on this sheet is an estimate resting on it.</t>
        </is>
      </c>
    </row>
    <row r="45">
      <c r="A45" s="49" t="inlineStr">
        <is>
          <t>WHAT WOULD FALSIFY SCENARIO A: if the first fifty installs convert to Team at well under 3%, the governance positioning is not landing and B becomes the right answer. That is a cheap, fast test and it is exactly what S19's telemetry measures — install to first document, where people stop, which template they pick first. D13 stays parked; the first fifty installs are better evidence than twenty interviews.</t>
        </is>
      </c>
    </row>
    <row r="46">
      <c r="A46" s="49" t="inlineStr">
        <is>
          <t>NOT MODELLED, deliberately: CAC (no channel has been paid for yet), expansion revenue from seats, and annual prepay. Each would improve these numbers, and none of them is measured, so none of them is in here.</t>
        </is>
      </c>
    </row>
  </sheetData>
  <pageMargins left="0.75" right="0.75" top="1" bottom="1" header="0.5" footer="0.5"/>
</worksheet>
</file>

<file path=xl/worksheets/sheet13.xml><?xml version="1.0" encoding="utf-8"?>
<worksheet xmlns="http://schemas.openxmlformats.org/spreadsheetml/2006/main">
  <sheetPr filterMode="0">
    <outlinePr summaryBelow="1" summaryRight="1"/>
    <pageSetUpPr fitToPage="0"/>
  </sheetPr>
  <dimension ref="A1:D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25" min="1" max="1"/>
    <col width="72" customWidth="1" style="25" min="2" max="2"/>
    <col width="16" customWidth="1" style="25" min="3" max="3"/>
    <col width="12" customWidth="1" style="25" min="4" max="4"/>
  </cols>
  <sheetData>
    <row r="1" ht="17.25" customHeight="1" s="26">
      <c r="A1" s="27" t="inlineStr">
        <is>
          <t>GTM EXECUTION TASKS</t>
        </is>
      </c>
    </row>
    <row r="2"/>
    <row r="3" ht="15" customHeight="1" s="26">
      <c r="A3" s="28" t="inlineStr">
        <is>
          <t>Phase</t>
        </is>
      </c>
      <c r="B3" s="28" t="inlineStr">
        <is>
          <t>Task</t>
        </is>
      </c>
      <c r="C3" s="28" t="inlineStr">
        <is>
          <t>Owner (role)</t>
        </is>
      </c>
      <c r="D3" s="28" t="inlineStr">
        <is>
          <t>Target sprint</t>
        </is>
      </c>
    </row>
    <row r="4" ht="25.5" customHeight="1" s="26">
      <c r="A4" s="29" t="inlineStr">
        <is>
          <t>Pre-launch</t>
        </is>
      </c>
      <c r="B4" s="29" t="inlineStr">
        <is>
          <t>Positioning doc + message house (problem/promise/proof)</t>
        </is>
      </c>
      <c r="C4" s="29" t="inlineStr">
        <is>
          <t>Founder</t>
        </is>
      </c>
      <c r="D4" s="29" t="inlineStr">
        <is>
          <t>S7</t>
        </is>
      </c>
    </row>
    <row r="5" ht="25.5" customHeight="1" s="26">
      <c r="A5" s="29" t="inlineStr">
        <is>
          <t>Pre-launch</t>
        </is>
      </c>
      <c r="B5" s="29" t="inlineStr">
        <is>
          <t>Listing SEO: keyword study in marketplace search + title/intro drafts</t>
        </is>
      </c>
      <c r="C5" s="29" t="inlineStr">
        <is>
          <t>Growth</t>
        </is>
      </c>
      <c r="D5" s="29" t="inlineStr">
        <is>
          <t>S8</t>
        </is>
      </c>
    </row>
    <row r="6" ht="25.5" customHeight="1" s="26">
      <c r="A6" s="29" t="inlineStr">
        <is>
          <t>Pre-launch</t>
        </is>
      </c>
      <c r="B6" s="29" t="inlineStr">
        <is>
          <t>10 design-partner mini case snippets with metric proof</t>
        </is>
      </c>
      <c r="C6" s="29" t="inlineStr">
        <is>
          <t>Founder</t>
        </is>
      </c>
      <c r="D6" s="29" t="inlineStr">
        <is>
          <t>S8</t>
        </is>
      </c>
    </row>
    <row r="7" ht="25.5" customHeight="1" s="26">
      <c r="A7" s="29" t="inlineStr">
        <is>
          <t>Pre-launch</t>
        </is>
      </c>
      <c r="B7" s="29" t="inlineStr">
        <is>
          <t>5 comparison/alternative pages drafted</t>
        </is>
      </c>
      <c r="C7" s="29" t="inlineStr">
        <is>
          <t>Growth</t>
        </is>
      </c>
      <c r="D7" s="29" t="inlineStr">
        <is>
          <t>S9</t>
        </is>
      </c>
    </row>
    <row r="8" ht="25.5" customHeight="1" s="26">
      <c r="A8" s="29" t="inlineStr">
        <is>
          <t>Pre-launch</t>
        </is>
      </c>
      <c r="B8" s="29" t="inlineStr">
        <is>
          <t>Screenshots (5) + 2-min demo video produced</t>
        </is>
      </c>
      <c r="C8" s="29" t="inlineStr">
        <is>
          <t>Design</t>
        </is>
      </c>
      <c r="D8" s="29" t="inlineStr">
        <is>
          <t>S9</t>
        </is>
      </c>
    </row>
    <row r="9" ht="25.5" customHeight="1" s="26">
      <c r="A9" s="29" t="inlineStr">
        <is>
          <t>Launch</t>
        </is>
      </c>
      <c r="B9" s="29" t="inlineStr">
        <is>
          <t>Listing live + launch post + video published</t>
        </is>
      </c>
      <c r="C9" s="29" t="inlineStr">
        <is>
          <t>Growth</t>
        </is>
      </c>
      <c r="D9" s="29" t="inlineStr">
        <is>
          <t>S11</t>
        </is>
      </c>
    </row>
    <row r="10" ht="25.5" customHeight="1" s="26">
      <c r="A10" s="29" t="inlineStr">
        <is>
          <t>Launch</t>
        </is>
      </c>
      <c r="B10" s="29" t="inlineStr">
        <is>
          <t>Founder outreach: 100 named ICP accounts, 3-touch sequence</t>
        </is>
      </c>
      <c r="C10" s="29" t="inlineStr">
        <is>
          <t>Founder</t>
        </is>
      </c>
      <c r="D10" s="29" t="inlineStr">
        <is>
          <t>S11</t>
        </is>
      </c>
    </row>
    <row r="11" ht="25.5" customHeight="1" s="26">
      <c r="A11" s="29" t="inlineStr">
        <is>
          <t>Launch</t>
        </is>
      </c>
      <c r="B11" s="29" t="inlineStr">
        <is>
          <t>Community value-posts (3 relevant communities)</t>
        </is>
      </c>
      <c r="C11" s="29" t="inlineStr">
        <is>
          <t>Founder</t>
        </is>
      </c>
      <c r="D11" s="29" t="inlineStr">
        <is>
          <t>S11</t>
        </is>
      </c>
    </row>
    <row r="12" ht="25.5" customHeight="1" s="26">
      <c r="A12" s="29" t="inlineStr">
        <is>
          <t>Launch</t>
        </is>
      </c>
      <c r="B12" s="29" t="inlineStr">
        <is>
          <t>Review-generation program on (in-app ask post-aha)</t>
        </is>
      </c>
      <c r="C12" s="29" t="inlineStr">
        <is>
          <t>Eng</t>
        </is>
      </c>
      <c r="D12" s="29" t="inlineStr">
        <is>
          <t>S11</t>
        </is>
      </c>
    </row>
    <row r="13" ht="25.5" customHeight="1" s="26">
      <c r="A13" s="29" t="inlineStr">
        <is>
          <t>Post-launch</t>
        </is>
      </c>
      <c r="B13" s="29" t="inlineStr">
        <is>
          <t>Weekly SEO/how-to content cadence starts</t>
        </is>
      </c>
      <c r="C13" s="29" t="inlineStr">
        <is>
          <t>Growth</t>
        </is>
      </c>
      <c r="D13" s="29" t="inlineStr">
        <is>
          <t>S12</t>
        </is>
      </c>
    </row>
    <row r="14" ht="25.5" customHeight="1" s="26">
      <c r="A14" s="29" t="inlineStr">
        <is>
          <t>Post-launch</t>
        </is>
      </c>
      <c r="B14" s="29" t="inlineStr">
        <is>
          <t>Marketplace paid placement pilot (where offered)</t>
        </is>
      </c>
      <c r="C14" s="29" t="inlineStr">
        <is>
          <t>Growth</t>
        </is>
      </c>
      <c r="D14" s="29" t="inlineStr">
        <is>
          <t>S12</t>
        </is>
      </c>
    </row>
    <row r="15" ht="25.5" customHeight="1" s="26">
      <c r="A15" s="29" t="inlineStr">
        <is>
          <t>Post-launch</t>
        </is>
      </c>
      <c r="B15" s="29" t="inlineStr">
        <is>
          <t>2 integration co-marketing swaps</t>
        </is>
      </c>
      <c r="C15" s="29" t="inlineStr">
        <is>
          <t>Founder</t>
        </is>
      </c>
      <c r="D15" s="29" t="inlineStr">
        <is>
          <t>S12+</t>
        </is>
      </c>
    </row>
    <row r="16" ht="25.5" customHeight="1" s="26">
      <c r="A16" s="29" t="inlineStr">
        <is>
          <t>Post-launch</t>
        </is>
      </c>
      <c r="B16" s="29" t="inlineStr">
        <is>
          <t>G2/Capterra profiles + first 10 reviews</t>
        </is>
      </c>
      <c r="C16" s="29" t="inlineStr">
        <is>
          <t>Growth</t>
        </is>
      </c>
      <c r="D16" s="29" t="inlineStr">
        <is>
          <t>S12+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C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25" min="1" max="1"/>
    <col width="96" customWidth="1" style="25" min="2" max="2"/>
    <col width="12" customWidth="1" style="25" min="3" max="3"/>
  </cols>
  <sheetData>
    <row r="1" ht="17.25" customHeight="1" s="26">
      <c r="A1" s="27" t="inlineStr">
        <is>
          <t>PLATFORM LAUNCH CHECKLIST — Google Workspace Marketplace</t>
        </is>
      </c>
    </row>
    <row r="2"/>
    <row r="3" ht="15" customHeight="1" s="26">
      <c r="A3" s="28" t="inlineStr">
        <is>
          <t>#</t>
        </is>
      </c>
      <c r="B3" s="28" t="inlineStr">
        <is>
          <t>Item</t>
        </is>
      </c>
      <c r="C3" s="28" t="inlineStr">
        <is>
          <t>Status</t>
        </is>
      </c>
    </row>
    <row r="4" ht="25.5" customHeight="1" s="26">
      <c r="A4" s="29" t="n">
        <v>1</v>
      </c>
      <c r="B4" s="29" t="inlineStr">
        <is>
          <t>GCP project + OAuth consent screen configured (brand verification)</t>
        </is>
      </c>
      <c r="C4" s="29" t="inlineStr">
        <is>
          <t>Open</t>
        </is>
      </c>
    </row>
    <row r="5" ht="25.5" customHeight="1" s="26">
      <c r="A5" s="29" t="n">
        <v>2</v>
      </c>
      <c r="B5" s="29" t="inlineStr">
        <is>
          <t>Restricted/sensitive scopes minimized; justification narrative drafted</t>
        </is>
      </c>
      <c r="C5" s="29" t="inlineStr">
        <is>
          <t>Open</t>
        </is>
      </c>
    </row>
    <row r="6" ht="25.5" customHeight="1" s="26">
      <c r="A6" s="29" t="n">
        <v>3</v>
      </c>
      <c r="B6" s="29" t="inlineStr">
        <is>
          <t>CASA Tier 2 assessment scheduled and passed (annual renewal calendared)</t>
        </is>
      </c>
      <c r="C6" s="29" t="inlineStr">
        <is>
          <t>Open</t>
        </is>
      </c>
    </row>
    <row r="7" ht="25.5" customHeight="1" s="26">
      <c r="A7" s="29" t="n">
        <v>4</v>
      </c>
      <c r="B7" s="29" t="inlineStr">
        <is>
          <t>Apps Script/alt-runtime quota headroom load-tested (batch generation)</t>
        </is>
      </c>
      <c r="C7" s="29" t="inlineStr">
        <is>
          <t>Open</t>
        </is>
      </c>
    </row>
    <row r="8" ht="25.5" customHeight="1" s="26">
      <c r="A8" s="29" t="n">
        <v>5</v>
      </c>
      <c r="B8" s="29" t="inlineStr">
        <is>
          <t>Domain-install admin flow + admin console notes tested</t>
        </is>
      </c>
      <c r="C8" s="29" t="inlineStr">
        <is>
          <t>Open</t>
        </is>
      </c>
    </row>
    <row r="9" ht="25.5" customHeight="1" s="26">
      <c r="A9" s="29" t="n">
        <v>6</v>
      </c>
      <c r="B9" s="29" t="inlineStr">
        <is>
          <t>Marketplace listing: name, graphics per asset specs, demo video</t>
        </is>
      </c>
      <c r="C9" s="29" t="inlineStr">
        <is>
          <t>Open</t>
        </is>
      </c>
    </row>
    <row r="10" ht="25.5" customHeight="1" s="26">
      <c r="A10" s="29" t="n">
        <v>7</v>
      </c>
      <c r="B10" s="29" t="inlineStr">
        <is>
          <t>Privacy policy + DPA + data-deletion endpoint live</t>
        </is>
      </c>
      <c r="C10" s="29" t="inlineStr">
        <is>
          <t>Open</t>
        </is>
      </c>
    </row>
    <row r="11" ht="25.5" customHeight="1" s="26">
      <c r="A11" s="29" t="n">
        <v>8</v>
      </c>
      <c r="B11" s="29" t="inlineStr">
        <is>
          <t>Drive/Sheets API exponential backoff verified under quota pressure</t>
        </is>
      </c>
      <c r="C11" s="29" t="inlineStr">
        <is>
          <t>Open</t>
        </is>
      </c>
    </row>
    <row r="12" ht="25.5" customHeight="1" s="26">
      <c r="A12" s="29" t="n">
        <v>9</v>
      </c>
      <c r="B12" s="29" t="inlineStr">
        <is>
          <t>Template gallery seeded with 20 launch templates</t>
        </is>
      </c>
      <c r="C12" s="37" t="inlineStr">
        <is>
          <t>Done</t>
        </is>
      </c>
    </row>
    <row r="13" ht="25.5" customHeight="1" s="26">
      <c r="A13" s="29" t="n">
        <v>10</v>
      </c>
      <c r="B13" s="29" t="inlineStr">
        <is>
          <t>In-app upgrade prompts + Stripe billing live</t>
        </is>
      </c>
      <c r="C13" s="29" t="inlineStr">
        <is>
          <t>Open</t>
        </is>
      </c>
    </row>
    <row r="14" ht="84.75" customHeight="1" s="26">
      <c r="A14" s="34" t="inlineStr">
        <is>
          <t>11</t>
        </is>
      </c>
      <c r="B14" s="33" t="inlineStr">
        <is>
          <t>Reproducible build from a clean checkout (lockfile + one-command verify) — CGPT-DM-004</t>
        </is>
      </c>
      <c r="C14" s="33" t="inlineStr">
        <is>
          <t>Done 13 Sep 22:53 — npm ci from wiped node_modules, 836/836, 100/100/100/100, reproduced twice</t>
        </is>
      </c>
    </row>
    <row r="15" ht="84.75" customHeight="1" s="26">
      <c r="A15" s="34" t="inlineStr">
        <is>
          <t>12</t>
        </is>
      </c>
      <c r="B15" s="33" t="inlineStr">
        <is>
          <t>Repeatable staging deploy and rollback evidenced by run logs — CGPT-DM-002</t>
        </is>
      </c>
      <c r="C15" s="33" t="inlineStr">
        <is>
          <t>Open — blocked on #1. Placeholder removed; deploy job fails closed. DEPLOY_PLAN.md</t>
        </is>
      </c>
    </row>
    <row r="16" ht="74.25" customHeight="1" s="26">
      <c r="A16" s="34" t="inlineStr">
        <is>
          <t>13</t>
        </is>
      </c>
      <c r="B16" s="33" t="inlineStr">
        <is>
          <t>Supply-chain gate on every push: dependency audit, secret scan, SBOM — CGPT-DM-012</t>
        </is>
      </c>
      <c r="C16" s="33" t="inlineStr">
        <is>
          <t>Partial — audit/scan/SBOM verified and wired; CodeQL configured but unverified</t>
        </is>
      </c>
    </row>
    <row r="17" ht="84.75" customHeight="1" s="26">
      <c r="A17" s="34" t="inlineStr">
        <is>
          <t>14</t>
        </is>
      </c>
      <c r="B17" s="33" t="inlineStr">
        <is>
          <t>Release-integrity gate in CI — install can actually run; no action job reports a false green</t>
        </is>
      </c>
      <c r="C17" s="33" t="inlineStr">
        <is>
          <t>Done 13 Sep 23:04 — RG-01..RG-04 in src/releaseGate.ts, pre-review ci.yml kept as regression fixture</t>
        </is>
      </c>
    </row>
    <row r="18" ht="74.25" customHeight="1" s="26">
      <c r="A18" s="34" t="inlineStr">
        <is>
          <t>15</t>
        </is>
      </c>
      <c r="B18" s="33" t="inlineStr">
        <is>
          <t>Terms of service drafted and linked — VER-DM4 found it absent from the checklist entirely</t>
        </is>
      </c>
      <c r="C18" s="33" t="inlineStr">
        <is>
          <t>Drafted 13 Sep 23:13 — structural draft in site/terms.html, legal review owed (R-D22)</t>
        </is>
      </c>
    </row>
    <row r="19" ht="84.75" customHeight="1" s="26">
      <c r="A19" s="34" t="inlineStr">
        <is>
          <t>16</t>
        </is>
      </c>
      <c r="B19" s="33" t="inlineStr">
        <is>
          <t>Trust pages generated and ready to host (privacy, terms, status, support) — R-D15 sequencing</t>
        </is>
      </c>
      <c r="C19" s="33" t="inlineStr">
        <is>
          <t>Built 13 Sep 23:13 — site/ is five static files; needs a domain and six config values. See HOSTING.md</t>
        </is>
      </c>
    </row>
    <row r="20" ht="137.25" customHeight="1" s="26">
      <c r="A20" s="34" t="inlineStr">
        <is>
          <t>17</t>
        </is>
      </c>
      <c r="B20" s="33" t="inlineStr">
        <is>
          <t>Submission dry run re-measured against the corrected listing spec</t>
        </is>
      </c>
      <c r="C20" s="33" t="inlineStr">
        <is>
          <t>Done 14 Sep 13:59 — 11 of 22 satisfied. The previous 10 of 20 omitted two REQUIRED items (icons/card banner, terms-of-service link) and so could not fail on them</t>
        </is>
      </c>
    </row>
    <row r="21" ht="84.75" customHeight="1" s="26">
      <c r="A21" s="34" t="inlineStr">
        <is>
          <t>18</t>
        </is>
      </c>
      <c r="B21" s="33" t="inlineStr">
        <is>
          <t>Decision pack issued for the seven open items blocking launch</t>
        </is>
      </c>
      <c r="C21" s="33" t="inlineStr">
        <is>
          <t>Done 14 Sep 13:59 — DECISION_PACK.md. All seven remain OPEN; they are Senthil's to close</t>
        </is>
      </c>
    </row>
    <row r="22" ht="95.5" customHeight="1" s="26">
      <c r="A22" s="34" t="inlineStr">
        <is>
          <t>19</t>
        </is>
      </c>
      <c r="B22" s="33" t="inlineStr">
        <is>
          <t>Persistence adapter proved against a real database engine</t>
        </is>
      </c>
      <c r="C22" s="33" t="inlineStr">
        <is>
          <t>Done 15 Sep 09:09 — 10 contract tests on PGlite, clean. The adapter had never touched Postgres before today</t>
        </is>
      </c>
    </row>
    <row r="23"/>
    <row r="24">
      <c r="A24" s="74" t="inlineStr">
        <is>
          <t>ADDED 20 September 2026 — external review PPLX V001</t>
        </is>
      </c>
    </row>
    <row r="25">
      <c r="A25" s="56" t="n">
        <v>20</v>
      </c>
      <c r="B25" s="56" t="inlineStr">
        <is>
          <t>The application starts, serves and refuses a misconfigured environment — proved by spawning the built artefact</t>
        </is>
      </c>
      <c r="C25" s="71" t="inlineStr">
        <is>
          <t>Done 20 Sep — tests/boot.test.ts; /healthz 200, /readyz honest, missing DATABASE_URL exits non-zero naming it</t>
        </is>
      </c>
    </row>
    <row r="26">
      <c r="A26" s="56" t="n">
        <v>21</v>
      </c>
      <c r="B26" s="56" t="inlineStr">
        <is>
          <t>The production migration path runs against a real Postgres server</t>
        </is>
      </c>
      <c r="C26" s="71" t="inlineStr">
        <is>
          <t>Done 20 Sep — six migrations, re-run a clean no-op</t>
        </is>
      </c>
    </row>
    <row r="27">
      <c r="A27" s="56" t="n">
        <v>22</v>
      </c>
      <c r="B27" s="56" t="inlineStr">
        <is>
          <t>Every boundary to Google has a production implementation</t>
        </is>
      </c>
      <c r="C27" s="71" t="inlineStr">
        <is>
          <t>Done-in-code 20 Sep — Docs, Drive, Sheets, OAuth, Marketplace license. NOT ONE VERIFIED LIVE (LC-1)</t>
        </is>
      </c>
    </row>
    <row r="28">
      <c r="A28" s="56" t="n">
        <v>23</v>
      </c>
      <c r="B28" s="56" t="inlineStr">
        <is>
          <t>An Editor add-on exists and its manifest is generated from the audited scope set</t>
        </is>
      </c>
      <c r="C28" s="71" t="inlineStr">
        <is>
          <t>Done-in-code 20 Sep — never pushed with clasp; D-DM1 ratification owed</t>
        </is>
      </c>
    </row>
    <row r="29">
      <c r="A29" s="56" t="n">
        <v>24</v>
      </c>
      <c r="B29" s="56" t="inlineStr">
        <is>
          <t>No correctness guarantee depends on process memory</t>
        </is>
      </c>
      <c r="C29" s="71" t="inlineStr">
        <is>
          <t>Done 20 Sep — seven stores durable, crash-restart invariant per store</t>
        </is>
      </c>
    </row>
    <row r="30">
      <c r="A30" s="56" t="n">
        <v>25</v>
      </c>
      <c r="B30" s="56" t="inlineStr">
        <is>
          <t>No published claim the product cannot back, in anything a third party reads</t>
        </is>
      </c>
      <c r="C30" s="71" t="inlineStr">
        <is>
          <t>Done 20 Sep — claims gate; scope covers the listing, the privacy pack and both pen-test documents</t>
        </is>
      </c>
    </row>
    <row r="31">
      <c r="A31" s="56" t="n">
        <v>26</v>
      </c>
      <c r="B31" s="56" t="inlineStr">
        <is>
          <t>Supply-chain evidence covers a non-empty runtime tree</t>
        </is>
      </c>
      <c r="C31" s="71" t="inlineStr">
        <is>
          <t>Done 20 Sep — 13 runtime components; sbom:check fails if it returns to zero</t>
        </is>
      </c>
    </row>
    <row r="32">
      <c r="A32" s="56" t="n">
        <v>27</v>
      </c>
      <c r="B32" s="56" t="inlineStr">
        <is>
          <t>No exported boundary lacks an implementation (integration gate)</t>
        </is>
      </c>
      <c r="C32" s="71" t="inlineStr">
        <is>
          <t>Done 20 Sep — 44 boundaries, 0 findings, on every commit</t>
        </is>
      </c>
    </row>
    <row r="33">
      <c r="A33" s="56" t="n">
        <v>28</v>
      </c>
      <c r="B33" s="56" t="inlineStr">
        <is>
          <t>A measured restore drill</t>
        </is>
      </c>
      <c r="C33" s="71" t="inlineStr">
        <is>
          <t>Done 20 Sep — RTO 95ms, RPO 61ms, contents verified</t>
        </is>
      </c>
    </row>
    <row r="34">
      <c r="A34" s="56" t="n">
        <v>29</v>
      </c>
      <c r="B34" s="56" t="inlineStr">
        <is>
          <t>Pricing and positioning settled BEFORE submission</t>
        </is>
      </c>
      <c r="C34" s="71" t="inlineStr">
        <is>
          <t>OPEN — D-DM5. Changing pricing after submission is expensive, which is why this precedes #6 and #10</t>
        </is>
      </c>
    </row>
    <row r="35">
      <c r="A35" s="56" t="n">
        <v>30</v>
      </c>
      <c r="B35" s="56" t="inlineStr">
        <is>
          <t>OAuth verification submitted — started EARLY and run concurrently with engineering</t>
        </is>
      </c>
      <c r="C35" s="71" t="inlineStr">
        <is>
          <t>OPEN — LC-1. P-DM-011: sensitive-scope verification runs weeks to months and does not need a finished product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5" min="1" max="1"/>
    <col width="10" customWidth="1" style="25" min="2" max="5"/>
    <col width="44" customWidth="1" style="25" min="6" max="6"/>
  </cols>
  <sheetData>
    <row r="1" ht="17.25" customHeight="1" s="26">
      <c r="A1" s="27" t="inlineStr">
        <is>
          <t>METRIC TARGETS (first 12 months post-launch)</t>
        </is>
      </c>
    </row>
    <row r="2"/>
    <row r="3" ht="15" customHeight="1" s="26">
      <c r="A3" s="28" t="inlineStr">
        <is>
          <t>Metric</t>
        </is>
      </c>
      <c r="B3" s="28" t="inlineStr">
        <is>
          <t>M1</t>
        </is>
      </c>
      <c r="C3" s="28" t="inlineStr">
        <is>
          <t>M3</t>
        </is>
      </c>
      <c r="D3" s="28" t="inlineStr">
        <is>
          <t>M6</t>
        </is>
      </c>
      <c r="E3" s="28" t="inlineStr">
        <is>
          <t>M12</t>
        </is>
      </c>
      <c r="F3" s="28" t="inlineStr">
        <is>
          <t>Notes</t>
        </is>
      </c>
    </row>
    <row r="4" ht="25.5" customHeight="1" s="26">
      <c r="A4" s="30" t="inlineStr">
        <is>
          <t>Installs/signups cumulative</t>
        </is>
      </c>
      <c r="B4" s="30" t="inlineStr">
        <is>
          <t>varies</t>
        </is>
      </c>
      <c r="C4" s="30" t="inlineStr">
        <is>
          <t>3x M1</t>
        </is>
      </c>
      <c r="D4" s="30" t="inlineStr">
        <is>
          <t>8x M1</t>
        </is>
      </c>
      <c r="E4" s="30" t="inlineStr">
        <is>
          <t>20x M1</t>
        </is>
      </c>
      <c r="F4" s="30" t="inlineStr">
        <is>
          <t>Drive via listing SEO + outbound</t>
        </is>
      </c>
    </row>
    <row r="5" ht="25.5" customHeight="1" s="26">
      <c r="A5" s="30" t="inlineStr">
        <is>
          <t>Activation % (24h)</t>
        </is>
      </c>
      <c r="B5" s="30" t="inlineStr">
        <is>
          <t>30%</t>
        </is>
      </c>
      <c r="C5" s="30" t="inlineStr">
        <is>
          <t>40%</t>
        </is>
      </c>
      <c r="D5" s="30" t="inlineStr">
        <is>
          <t>45%</t>
        </is>
      </c>
      <c r="E5" s="30" t="inlineStr">
        <is>
          <t>50%</t>
        </is>
      </c>
      <c r="F5" s="30" t="inlineStr">
        <is>
          <t>Onboarding iterations S12+</t>
        </is>
      </c>
    </row>
    <row r="6" ht="25.5" customHeight="1" s="26">
      <c r="A6" s="30" t="inlineStr">
        <is>
          <t>Trial→paid %</t>
        </is>
      </c>
      <c r="B6" s="30" t="inlineStr">
        <is>
          <t>baseline</t>
        </is>
      </c>
      <c r="C6" s="30" t="inlineStr">
        <is>
          <t>+2pts</t>
        </is>
      </c>
      <c r="D6" s="30" t="inlineStr">
        <is>
          <t>+4pts</t>
        </is>
      </c>
      <c r="E6" s="30" t="inlineStr">
        <is>
          <t>+6pts</t>
        </is>
      </c>
      <c r="F6" s="30" t="inlineStr">
        <is>
          <t>Pricing test at S12</t>
        </is>
      </c>
    </row>
    <row r="7" ht="25.5" customHeight="1" s="26">
      <c r="A7" s="30" t="inlineStr">
        <is>
          <t>Rating</t>
        </is>
      </c>
      <c r="B7" s="30" t="inlineStr">
        <is>
          <t>4.5+</t>
        </is>
      </c>
      <c r="C7" s="30" t="inlineStr">
        <is>
          <t>4.6+</t>
        </is>
      </c>
      <c r="D7" s="30" t="inlineStr">
        <is>
          <t>4.7+</t>
        </is>
      </c>
      <c r="E7" s="30" t="inlineStr">
        <is>
          <t>4.7+</t>
        </is>
      </c>
      <c r="F7" s="30" t="inlineStr">
        <is>
          <t>Review program + support speed</t>
        </is>
      </c>
    </row>
    <row r="8" ht="25.5" customHeight="1" s="26">
      <c r="A8" s="30" t="inlineStr">
        <is>
          <t>MRR</t>
        </is>
      </c>
      <c r="B8" s="30" t="inlineStr">
        <is>
          <t>first $</t>
        </is>
      </c>
      <c r="C8" s="30" t="inlineStr">
        <is>
          <t>3x</t>
        </is>
      </c>
      <c r="D8" s="30" t="inlineStr">
        <is>
          <t>8x</t>
        </is>
      </c>
      <c r="E8" s="30" t="inlineStr">
        <is>
          <t>20x</t>
        </is>
      </c>
      <c r="F8" s="30" t="inlineStr">
        <is>
          <t>Model sheet has the math</t>
        </is>
      </c>
    </row>
    <row r="9" ht="25.5" customHeight="1" s="26">
      <c r="A9" s="30" t="inlineStr">
        <is>
          <t>Logo churn/mo</t>
        </is>
      </c>
      <c r="B9" s="30" t="inlineStr">
        <is>
          <t>&lt;5%</t>
        </is>
      </c>
      <c r="C9" s="30" t="inlineStr">
        <is>
          <t>&lt;4%</t>
        </is>
      </c>
      <c r="D9" s="30" t="inlineStr">
        <is>
          <t>&lt;3%</t>
        </is>
      </c>
      <c r="E9" s="30" t="inlineStr">
        <is>
          <t>&lt;3%</t>
        </is>
      </c>
      <c r="F9" s="30" t="inlineStr">
        <is>
          <t>Health-score saves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25" min="1" max="1"/>
    <col width="10" customWidth="1" style="25" min="2" max="2"/>
    <col width="12" customWidth="1" style="25" min="3" max="3"/>
    <col width="50" customWidth="1" style="25" min="4" max="4"/>
  </cols>
  <sheetData>
    <row r="1" ht="17.25" customHeight="1" s="26">
      <c r="A1" s="27" t="inlineStr">
        <is>
          <t>PRODUCT RISK REGISTER</t>
        </is>
      </c>
    </row>
    <row r="2"/>
    <row r="3" ht="15" customHeight="1" s="26">
      <c r="A3" s="28" t="inlineStr">
        <is>
          <t>Risk</t>
        </is>
      </c>
      <c r="B3" s="28" t="inlineStr">
        <is>
          <t>Impact</t>
        </is>
      </c>
      <c r="C3" s="28" t="inlineStr">
        <is>
          <t>Likelihood</t>
        </is>
      </c>
      <c r="D3" s="28" t="inlineStr">
        <is>
          <t>Mitigation</t>
        </is>
      </c>
    </row>
    <row r="4" ht="30" customHeight="1" s="26">
      <c r="A4" s="29" t="inlineStr">
        <is>
          <t>CASA assessment delays listing 4-8 weeks</t>
        </is>
      </c>
      <c r="B4" s="29" t="inlineStr">
        <is>
          <t>Medium</t>
        </is>
      </c>
      <c r="C4" s="29" t="inlineStr">
        <is>
          <t>High</t>
        </is>
      </c>
      <c r="D4" s="29" t="inlineStr">
        <is>
          <t>Schedule CASA at S6; scope austerity from S1</t>
        </is>
      </c>
    </row>
    <row r="5" ht="30" customHeight="1" s="26">
      <c r="A5" s="29" t="inlineStr">
        <is>
          <t>Google ships native doc-gen improvements</t>
        </is>
      </c>
      <c r="B5" s="29" t="inlineStr">
        <is>
          <t>High</t>
        </is>
      </c>
      <c r="C5" s="75" t="inlineStr">
        <is>
          <t>High</t>
        </is>
      </c>
      <c r="D5" s="29" t="inlineStr">
        <is>
          <t>RAISED FROM MEDIUM TO HIGH 20 Sep: Google now ships 'Create personalized documents with Gemini in Google Docs' as a native capability, so this is no longer a forecast. The review is right that the grading was understated. The governance wedge is the answer — Gemini does not produce a tamper-evident audit chain or tenant-isolated deletion receipts.</t>
        </is>
      </c>
    </row>
    <row r="6" ht="30" customHeight="1" s="26">
      <c r="A6" s="29" t="inlineStr">
        <is>
          <t>Low ARPU demands volume — listing SEO underperforms</t>
        </is>
      </c>
      <c r="B6" s="29" t="inlineStr">
        <is>
          <t>High</t>
        </is>
      </c>
      <c r="C6" s="29" t="inlineStr">
        <is>
          <t>Medium</t>
        </is>
      </c>
      <c r="D6" s="29" t="inlineStr">
        <is>
          <t>Template-gallery SEO + freelancer channel + comparison pages</t>
        </is>
      </c>
    </row>
    <row r="7" ht="42.75" customHeight="1" s="26">
      <c r="A7" s="33" t="inlineStr">
        <is>
          <t>Incumbent breadth is larger than assumed — Form Publisher 24M+ and Document Studio 6M+ CONFIRMED at the Marketplace listings; autoCrat 83M+ RETRACTED (P-DM-012, could not be confirmed at source)</t>
        </is>
      </c>
      <c r="B7" s="33" t="inlineStr">
        <is>
          <t>High</t>
        </is>
      </c>
      <c r="C7" s="33" t="inlineStr">
        <is>
          <t>High</t>
        </is>
      </c>
      <c r="D7" s="33" t="inlineStr">
        <is>
          <t>Demand is proven by the two confirmed figures; generic merge is a commodity. The wedge is governed high-volume document operations — PROMOTED FROM MITIGATION TO PRODUCT THESIS on 20 Sep per the review's §5, with buyer-facing artefacts built in S17.</t>
        </is>
      </c>
    </row>
    <row r="8" ht="32.25" customHeight="1" s="26">
      <c r="A8" s="33" t="inlineStr">
        <is>
          <t>Enterprise bar is unchosen: four review findings (identity, DR, data lifecycle, SLO history) are deferred behind D-DM2 and would become four unscoped sprints if it resolves toward enterprise</t>
        </is>
      </c>
      <c r="B8" s="33" t="inlineStr">
        <is>
          <t>High</t>
        </is>
      </c>
      <c r="C8" s="33" t="inlineStr">
        <is>
          <t>Medium</t>
        </is>
      </c>
      <c r="D8" s="33" t="inlineStr">
        <is>
          <t>Logged rather than built. R-D19 in the tracker RAID keeps the cost visible before the decision rather than after.</t>
        </is>
      </c>
    </row>
    <row r="9" ht="21.75" customHeight="1" s="26">
      <c r="A9" s="33" t="inlineStr">
        <is>
          <t>Supply-chain posture: the '0 advisories across 280 components' figure was UNMEASURED, not clean — every component was development-time and the runtime tree was empty (P-DM-004)</t>
        </is>
      </c>
      <c r="B9" s="33" t="inlineStr">
        <is>
          <t>Medium</t>
        </is>
      </c>
      <c r="C9" s="33" t="inlineStr">
        <is>
          <t>Medium</t>
        </is>
      </c>
      <c r="D9" s="33" t="inlineStr">
        <is>
          <t>Fixed 20 Sep: 13 real runtime components, audit at --audit-level=high on every push, and sbom:check fails the build if the runtime count ever returns to zero. THIS is the first meaningful audit this product has had.</t>
        </is>
      </c>
    </row>
    <row r="10" ht="32.25" customHeight="1" s="26">
      <c r="A10" s="33" t="inlineStr">
        <is>
          <t>Unreviewed legal text: the terms of service is a structural draft with warranty and liability left as a placeholder, and the privacy policy's legal framing is unreviewed (R-D22)</t>
        </is>
      </c>
      <c r="B10" s="33" t="inlineStr">
        <is>
          <t>High</t>
        </is>
      </c>
      <c r="C10" s="33" t="inlineStr">
        <is>
          <t>Medium</t>
        </is>
      </c>
      <c r="D10" s="33" t="inlineStr">
        <is>
          <t>Both marked on the pages themselves so neither can be published unnoticed. Needs a lawyer before the domain goes live.</t>
        </is>
      </c>
    </row>
    <row r="11" ht="42.75" customHeight="1" s="26">
      <c r="A11" s="33" t="inlineStr">
        <is>
          <t>Decision latency is now the binding constraint, not engineering. Seven items are open, the oldest since 13 Sep 11:56, and nine of the eleven outstanding submission items sit behind hosting plus LC-1 — neither of which is code</t>
        </is>
      </c>
      <c r="B11" s="33" t="inlineStr">
        <is>
          <t>High</t>
        </is>
      </c>
      <c r="C11" s="33" t="inlineStr">
        <is>
          <t>High</t>
        </is>
      </c>
      <c r="D11" s="33" t="inlineStr">
        <is>
          <t>PARTLY FALSIFIED 20 Sep. Decision latency was NOT the binding constraint — roughly six sprints of unblocked, customer-facing engineering were available the whole time and nobody could see them. The constraint was an instrument problem, not a decision problem. Decisions bind again NOW, and the list is shorter: D-DM5 pricing, D-DM6 provider, D-DM7 three ratifications, plus LC-1 and a lawyer.</t>
        </is>
      </c>
    </row>
    <row r="12">
      <c r="A12" s="56" t="inlineStr">
        <is>
          <t>Every Google call is unverified against Google. The adapters assert exact URLs, headers and bodies against a fake HTTP client; no request has left the machine. The Docs table-row index arithmetic and deleteContentRange across paragraph boundaries are the two most likely 400s.</t>
        </is>
      </c>
      <c r="B12" s="56" t="inlineStr">
        <is>
          <t>High</t>
        </is>
      </c>
      <c r="C12" s="56" t="inlineStr">
        <is>
          <t>High</t>
        </is>
      </c>
      <c r="D12" s="71" t="inlineStr">
        <is>
          <t>This is the honest residual of S14/S15 and the top risk on the product. It needs only a throwaway GCP project with a test user — the first hour of LC-1, not the whole of it.</t>
        </is>
      </c>
    </row>
    <row r="13">
      <c r="A13" s="56" t="inlineStr">
        <is>
          <t>The governance repositioning is an argument from what was built, not evidence from a buyer. Scenario A rests on a 3% Team conversion that has never been observed.</t>
        </is>
      </c>
      <c r="B13" s="56" t="inlineStr">
        <is>
          <t>High</t>
        </is>
      </c>
      <c r="C13" s="56" t="inlineStr">
        <is>
          <t>Medium</t>
        </is>
      </c>
      <c r="D13" s="71" t="inlineStr">
        <is>
          <t>Cheapest falsification is the first fifty installs, which is what S19's telemetry measures. If Team conversion lands well under 3%, scenario B (cut the cost base) is the right answer and remains available.</t>
        </is>
      </c>
    </row>
    <row r="14">
      <c r="A14" s="56" t="inlineStr">
        <is>
          <t>A second review found what two internal cold-review passes, a tenant sweep, a verification sweep and a 100% coverage gate all missed — because every instrument was pointed at code that existed.</t>
        </is>
      </c>
      <c r="B14" s="56" t="inlineStr">
        <is>
          <t>High</t>
        </is>
      </c>
      <c r="C14" s="56" t="inlineStr">
        <is>
          <t>Medium</t>
        </is>
      </c>
      <c r="D14" s="71" t="inlineStr">
        <is>
          <t>integrationGate.ts is the standing check built from it, and it has already fired on code written the same hour. The deeper mitigation is R-D18: run the gates against a sibling, because the register's cross-product claims are still hypotheses.</t>
        </is>
      </c>
    </row>
    <row r="15">
      <c r="A15" s="56" t="inlineStr">
        <is>
          <t>Terraform has never been validated and no image has been built. Provider argument names were written against hashicorp/google ~&gt; 6.0 with no binary and no project.</t>
        </is>
      </c>
      <c r="B15" s="56" t="inlineStr">
        <is>
          <t>Medium</t>
        </is>
      </c>
      <c r="C15" s="56" t="inlineStr">
        <is>
          <t>High</t>
        </is>
      </c>
      <c r="D15" s="71" t="inlineStr">
        <is>
          <t>Everything fails closed naming LC-1 rather than reporting a false green, so the risk is delay, not a silent bad deploy. Expect the first `terraform validate` to surface a few argument names.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25" min="1" max="1"/>
    <col width="11" customWidth="1" style="25" min="2" max="2"/>
    <col width="20" customWidth="1" style="25" min="3" max="3"/>
    <col width="34" customWidth="1" style="25" min="4" max="4"/>
    <col width="78" customWidth="1" style="25" min="5" max="5"/>
    <col width="62" customWidth="1" style="25" min="6" max="6"/>
  </cols>
  <sheetData>
    <row r="1" ht="17.25" customHeight="1" s="26">
      <c r="A1" s="27" t="inlineStr">
        <is>
          <t>COLD REVIEW PASS 1 — DocMerge Pro (13 Sep 11:24). 9 findings in code already shipped at 100% coverage.</t>
        </is>
      </c>
    </row>
    <row r="2" ht="345" customHeight="1" s="26">
      <c r="A2" s="67" t="inlineStr">
        <is>
          <t>Run after memory showed every sibling product found real defects post-"code complete" — TeleField logged the lesson as L-T1: review BEFORE declaring a code phase complete. DocMerge had never had one. Checklist taken from the sibling defect classes. Coverage proves execution, not correctness (portfolio lesson F-V14).</t>
        </is>
      </c>
    </row>
    <row r="3"/>
    <row r="4" ht="15" customHeight="1" s="26">
      <c r="A4" s="42" t="inlineStr">
        <is>
          <t>ID</t>
        </is>
      </c>
      <c r="B4" s="42" t="inlineStr">
        <is>
          <t>Severity</t>
        </is>
      </c>
      <c r="C4" s="42" t="inlineStr">
        <is>
          <t>Status</t>
        </is>
      </c>
      <c r="D4" s="42" t="inlineStr">
        <is>
          <t>Finding</t>
        </is>
      </c>
      <c r="E4" s="42" t="inlineStr">
        <is>
          <t>What was actually wrong</t>
        </is>
      </c>
      <c r="F4" s="42" t="inlineStr">
        <is>
          <t>Fix / next step</t>
        </is>
      </c>
    </row>
    <row r="5" ht="45.75" customHeight="1" s="26">
      <c r="A5" s="31" t="inlineStr">
        <is>
          <t>DM-F01</t>
        </is>
      </c>
      <c r="B5" s="68" t="inlineStr">
        <is>
          <t>CRITICAL</t>
        </is>
      </c>
      <c r="C5" s="44" t="inlineStr">
        <is>
          <t>FIXED</t>
        </is>
      </c>
      <c r="D5" s="31" t="inlineStr">
        <is>
          <t>No HTTP application exists</t>
        </is>
      </c>
      <c r="E5" s="31" t="inlineStr">
        <is>
          <t>36 modules at 100% coverage and nothing that can receive a request. There is no server, no routes, and no `npm start`. The OAuth redirect URI in the setup guide, the uninstall webhook, and the form-submission webhook all point at an application that was never built. The 30-minute GCP setup guide is unrunnable as written.</t>
        </is>
      </c>
      <c r="F5" s="31" t="inlineStr">
        <is>
          <t>Framework-free Router + buildApp with 7 routes (healthz, oauth install/callback, uninstall + form webhooks, document generation, template list) + src/server.ts entrypoint and npm start. Readiness check runs BEFORE listen(). Booted for real and exercised over HTTP: healthz 200, install URL carries state, unsigned webhook 401, unauthenticated route 401, unknown route 404. 28 regression tests.</t>
        </is>
      </c>
    </row>
    <row r="6" ht="34.5" customHeight="1" s="26">
      <c r="A6" s="31" t="inlineStr">
        <is>
          <t>DM-F02</t>
        </is>
      </c>
      <c r="B6" s="68" t="inlineStr">
        <is>
          <t>CRITICAL</t>
        </is>
      </c>
      <c r="C6" s="44" t="inlineStr">
        <is>
          <t>FIXED</t>
        </is>
      </c>
      <c r="D6" s="31" t="inlineStr">
        <is>
          <t>Read-only mode enforced nowhere</t>
        </is>
      </c>
      <c r="E6" s="31" t="inlineStr">
        <is>
          <t>ST-060 built the dunning read-only state and assertWritable(), fully tested — and nothing ever called it. The help centre tells customers "the account becomes read-only"; the running product would have kept accepting writes forever after a failed payment.</t>
        </is>
      </c>
      <c r="F6" s="31" t="inlineStr">
        <is>
          <t>New src/entitlements.ts EntitlementGate consults it at every mutating entry point; reads deliberately stay open so an unpaid customer can still get their work out. 8 regression tests.</t>
        </is>
      </c>
    </row>
    <row r="7" ht="34.5" customHeight="1" s="26">
      <c r="A7" s="31" t="inlineStr">
        <is>
          <t>DM-F03</t>
        </is>
      </c>
      <c r="B7" s="68" t="inlineStr">
        <is>
          <t>CRITICAL</t>
        </is>
      </c>
      <c r="C7" s="44" t="inlineStr">
        <is>
          <t>FIXED</t>
        </is>
      </c>
      <c r="D7" s="31" t="inlineStr">
        <is>
          <t>Plan limits enforced nowhere</t>
        </is>
      </c>
      <c r="E7" s="31" t="inlineStr">
        <is>
          <t>ST-061 built PlanLimitEnforcer with 80%/100% prompts and never called check() outside its own tests. Published limits (25 documents, 2 templates, 1 seat on free) were decorative — any account could generate without bound.</t>
        </is>
      </c>
      <c r="F7" s="31" t="inlineStr">
        <is>
          <t>Same gate. Usage is recorded only AFTER success, so a rate-limited Drive call cannot burn a customer document from their allowance. 7 regression tests.</t>
        </is>
      </c>
    </row>
    <row r="8" ht="34.5" customHeight="1" s="26">
      <c r="A8" s="31" t="inlineStr">
        <is>
          <t>DM-F04</t>
        </is>
      </c>
      <c r="B8" s="68" t="inlineStr">
        <is>
          <t>CRITICAL</t>
        </is>
      </c>
      <c r="C8" s="44" t="inlineStr">
        <is>
          <t>FIXED</t>
        </is>
      </c>
      <c r="D8" s="31" t="inlineStr">
        <is>
          <t>OAuth install had no CSRF state</t>
        </is>
      </c>
      <c r="E8" s="31" t="inlineStr">
        <is>
          <t>exchangeCode accepted any code with no state parameter. An attacker could hand a victim a crafted install URL and bind their browser session to an attacker-controlled account. Sibling class F-015 / M-F15.</t>
        </is>
      </c>
      <c r="F8" s="31" t="inlineStr">
        <is>
          <t>OAuthStateStore: state minted before redirect, single-use, 10-minute TTL, sweepable. Rejects absent, unknown, replayed, and expired states. 6 regression tests.</t>
        </is>
      </c>
    </row>
    <row r="9" ht="34.5" customHeight="1" s="26">
      <c r="A9" s="31" t="inlineStr">
        <is>
          <t>DM-F05</t>
        </is>
      </c>
      <c r="B9" s="68" t="inlineStr">
        <is>
          <t>CRITICAL</t>
        </is>
      </c>
      <c r="C9" s="44" t="inlineStr">
        <is>
          <t>FIXED</t>
        </is>
      </c>
      <c r="D9" s="31" t="inlineStr">
        <is>
          <t>Webhooks unauthenticated</t>
        </is>
      </c>
      <c r="E9" s="31" t="inlineStr">
        <is>
          <t>Neither the uninstall handler nor the form-submission handler verified anything. An unauthenticated POST could revoke a live account tokens and schedule its data for deletion, or generate documents against any template.</t>
        </is>
      </c>
      <c r="F9" s="31" t="inlineStr">
        <is>
          <t>New src/webhookSecurity.ts: HMAC-SHA256 signature with timing-safe compare, 5-minute timestamp window against replay, and a FIFO-bounded dedupe ledger. 9 regression tests.</t>
        </is>
      </c>
    </row>
    <row r="10" ht="34.5" customHeight="1" s="26">
      <c r="A10" s="31" t="inlineStr">
        <is>
          <t>DM-F06</t>
        </is>
      </c>
      <c r="B10" s="31" t="inlineStr">
        <is>
          <t>HIGH</t>
        </is>
      </c>
      <c r="C10" s="44" t="inlineStr">
        <is>
          <t>FIXED</t>
        </is>
      </c>
      <c r="D10" s="31" t="inlineStr">
        <is>
          <t>No production backoff existed</t>
        </is>
      </c>
      <c r="E10" s="31" t="inlineStr">
        <is>
          <t>Every RetryOptions in the codebase came from a test injecting a no-op sleep, and DEFAULT_RETRY omitted sleep entirely. The retry logic was exercised 100% but had no real delay behind it anywhere — sibling F-V06 exactly.</t>
        </is>
      </c>
      <c r="F10" s="31" t="inlineStr">
        <is>
          <t>PRODUCTION_RETRY + realSleep exported as the policy production code uses.</t>
        </is>
      </c>
    </row>
    <row r="11" ht="34.5" customHeight="1" s="26">
      <c r="A11" s="31" t="inlineStr">
        <is>
          <t>DM-F07</t>
        </is>
      </c>
      <c r="B11" s="31" t="inlineStr">
        <is>
          <t>HIGH</t>
        </is>
      </c>
      <c r="C11" s="44" t="inlineStr">
        <is>
          <t>FIXED</t>
        </is>
      </c>
      <c r="D11" s="31" t="inlineStr">
        <is>
          <t>Identity is caller-declared</t>
        </is>
      </c>
      <c r="E11" s="31" t="inlineStr">
        <is>
          <t>Role arrives as a parameter on 28 signatures and nothing authenticates it. Whoever calls the service declares their own privilege level. Sibling M-F11 (fixed with signed sessions) and VoiceBridge F-V21 (left open by direction).</t>
        </is>
      </c>
      <c r="F11" s="31" t="inlineStr">
        <is>
          <t>src/session.ts: HMAC-signed sessions carrying account, email, role and expiry. Editing the role in a token now fails signature verification, and a session for one account is refused against another. Every mutating route derives identity from the session instead of a caller-supplied parameter. 8 regression tests.</t>
        </is>
      </c>
    </row>
    <row r="12" ht="34.5" customHeight="1" s="26">
      <c r="A12" s="31" t="inlineStr">
        <is>
          <t>DM-F08</t>
        </is>
      </c>
      <c r="B12" s="31" t="inlineStr">
        <is>
          <t>MEDIUM</t>
        </is>
      </c>
      <c r="C12" s="44" t="inlineStr">
        <is>
          <t>FIXED</t>
        </is>
      </c>
      <c r="D12" s="31" t="inlineStr">
        <is>
          <t>Eleven unbounded ledgers</t>
        </is>
      </c>
      <c r="E12" s="31" t="inlineStr">
        <is>
          <t>Audit entries, metric samples, error tracker, usage events, invoices, exit surveys and more only ever push. A long-running process grows until it dies. Sibling class fixed portfolio-wide as FIFO-capped ledgers.</t>
        </is>
      </c>
      <c r="F12" s="31" t="inlineStr">
        <is>
          <t>New src/ledger.ts: FIFO-bounded with EVICTION COUNTED, not silent — a metric that quietly started sampling only the recent past would misreport trends invisibly. Applied to all 11 ledgers. The hash-chained admin audit log needed care: once entries evict, the chain can no longer verify from genesis, so the last evicted digest becomes the anchor and verifyChain now reports truncation rather than failing. Sequence numbers keep counting so gaps are visible.</t>
        </is>
      </c>
    </row>
    <row r="13" ht="34.5" customHeight="1" s="26">
      <c r="A13" s="31" t="inlineStr">
        <is>
          <t>DM-F09</t>
        </is>
      </c>
      <c r="B13" s="31" t="inlineStr">
        <is>
          <t>MEDIUM</t>
        </is>
      </c>
      <c r="C13" s="44" t="inlineStr">
        <is>
          <t>FIXED</t>
        </is>
      </c>
      <c r="D13" s="31" t="inlineStr">
        <is>
          <t>Deletion has no implementation behind it</t>
        </is>
      </c>
      <c r="E13" s="31" t="inlineStr">
        <is>
          <t>SelfServeDataRights.executeDue takes a deleter callback that no production code supplies. The published 30-day deletion policy has nothing that actually purges. Sibling class F-009 / M-F03 / F-TP01, where it breached the published policy in five products.</t>
        </is>
      </c>
      <c r="F13" s="31" t="inlineStr">
        <is>
          <t>New src/purge.ts PurgeRegistry over 16 known stores, with verifyRegistration failing the build when a store has no purge target — so adding a store without wiring deletion breaks CI rather than the published policy. Receipts carry per-store row counts as evidence; a failing store is recorded, the rest still purge, and the receipt is marked INCOMPLETE rather than claiming success. Plus the schema that never existed: 3 ordered migrations, every account-scoped table ON DELETE CASCADE, npm run migrate, and a test asserting cascade on every table.</t>
        </is>
      </c>
    </row>
    <row r="14" ht="15" customHeight="1" s="26">
      <c r="A14" s="69" t="inlineStr">
        <is>
          <t>— COLD REVIEW PASS 2 (new HTTP layer, 13 Sep 11:37) — sibling lesson L-OC4: new surfaces inherit old blind spots —</t>
        </is>
      </c>
    </row>
    <row r="15" ht="23.25" customHeight="1" s="26">
      <c r="A15" s="31" t="inlineStr">
        <is>
          <t>DM-F10</t>
        </is>
      </c>
      <c r="B15" s="31" t="inlineStr">
        <is>
          <t>HIGH</t>
        </is>
      </c>
      <c r="C15" s="44" t="inlineStr">
        <is>
          <t>FIXED</t>
        </is>
      </c>
      <c r="D15" s="31" t="inlineStr">
        <is>
          <t>Request body read without a cap</t>
        </is>
      </c>
      <c r="E15" s="31" t="inlineStr">
        <is>
          <t>readBody accumulated chunks with no limit on an open port — a single large POST is a memory-exhaustion vector, and no authentication is needed to send one.</t>
        </is>
      </c>
      <c r="F15" s="31" t="inlineStr">
        <is>
          <t>MAX_BODY_BYTES cap with BodyTooLargeError; server returns 413. Verified live: a 2MB POST returns 413.</t>
        </is>
      </c>
    </row>
    <row r="16" ht="23.25" customHeight="1" s="26">
      <c r="A16" s="31" t="inlineStr">
        <is>
          <t>DM-F11</t>
        </is>
      </c>
      <c r="B16" s="31" t="inlineStr">
        <is>
          <t>MEDIUM</t>
        </is>
      </c>
      <c r="C16" s="44" t="inlineStr">
        <is>
          <t>FIXED</t>
        </is>
      </c>
      <c r="D16" s="31" t="inlineStr">
        <is>
          <t>Abandoned OAuth states accumulated forever</t>
        </is>
      </c>
      <c r="E16" s="31" t="inlineStr">
        <is>
          <t>Every started-and-abandoned install left a state entry behind. sweep() existed and — exactly like DM-F02/F03 — was never called by anything.</t>
        </is>
      </c>
      <c r="F16" s="31" t="inlineStr">
        <is>
          <t>The install route sweeps opportunistically before issuing. Regression test proves expired states are dropped.</t>
        </is>
      </c>
    </row>
    <row r="17" ht="34.5" customHeight="1" s="26">
      <c r="A17" s="31" t="inlineStr">
        <is>
          <t>DM-F12</t>
        </is>
      </c>
      <c r="B17" s="31" t="inlineStr">
        <is>
          <t>MEDIUM</t>
        </is>
      </c>
      <c r="C17" s="44" t="inlineStr">
        <is>
          <t>FIXED</t>
        </is>
      </c>
      <c r="D17" s="31" t="inlineStr">
        <is>
          <t>No rate limiting on any route</t>
        </is>
      </c>
      <c r="E17" s="31" t="inlineStr">
        <is>
          <t>Unauthenticated endpoints were unlimited. An open loop against /oauth/install both grew memory and farmed valid CSRF states; webhook endpoints burned CPU on signature checks an attacker never needed to pass.</t>
        </is>
      </c>
      <c r="F17" s="31" t="inlineStr">
        <is>
          <t>New src/rateLimit.ts fixed-window limiter: 20/min install, 600/min webhooks, 300/min authenticated, keyed per caller, with bounded key eviction and Retry-After. Verified live: 429 after 20, a different caller unaffected.</t>
        </is>
      </c>
    </row>
    <row r="18" ht="23.25" customHeight="1" s="26">
      <c r="A18" s="31" t="inlineStr">
        <is>
          <t>DM-F13</t>
        </is>
      </c>
      <c r="B18" s="31" t="inlineStr">
        <is>
          <t>LOW</t>
        </is>
      </c>
      <c r="C18" s="44" t="inlineStr">
        <is>
          <t>FIXED</t>
        </is>
      </c>
      <c r="D18" s="31" t="inlineStr">
        <is>
          <t>/healthz leaked the build version anonymously</t>
        </is>
      </c>
      <c r="E18" s="31" t="inlineStr">
        <is>
          <t>A deploy probe needs liveness, not a build identifier telling an attacker which advisories apply. Sibling OnCall flagged the same class (GAP/VER-OC4).</t>
        </is>
      </c>
      <c r="F18" s="31" t="inlineStr">
        <is>
          <t>Version returned only to a caller presenting the operator token. Verified live both ways.</t>
        </is>
      </c>
    </row>
    <row r="19" ht="15" customHeight="1" s="26">
      <c r="A19" s="69" t="inlineStr">
        <is>
          <t>— EXTERNAL VERIFICATION SWEEP vs live Google docs (13 Sep 11:51) — sibling pattern: every product found live-blocking defects here —</t>
        </is>
      </c>
    </row>
    <row r="20" ht="79.5" customHeight="1" s="26">
      <c r="A20" s="31" t="inlineStr">
        <is>
          <t>VER-DM1</t>
        </is>
      </c>
      <c r="B20" s="68" t="inlineStr">
        <is>
          <t>LIVE-BLOCKING</t>
        </is>
      </c>
      <c r="C20" s="44" t="inlineStr">
        <is>
          <t>FIXED</t>
        </is>
      </c>
      <c r="D20" s="31" t="inlineStr">
        <is>
          <t>No uninstall webhook exists on this platform</t>
        </is>
      </c>
      <c r="E20" s="31" t="inlineStr">
        <is>
          <t>Verified against live Google docs 13 Sep 2026: the Workspace Marketplace does not push an uninstall webhook to a developer server, and the licenseNotification resource that once reported provisions and deletions is DEPRECATED with no replacement in the Marketplace API. Our POST /webhooks/uninstall was a handler for an event that will never arrive — so ST-052 token revocation, the 30-day retention clock, ST-053 re-install restore and the whole purge chain would simply never have run in production. Two clean cold-review passes could not see this; it is a fact about the platform, not the code.</t>
        </is>
      </c>
      <c r="F20" s="31" t="inlineStr">
        <is>
          <t>New src/licenseReconciler.ts detects uninstall instead of receiving it: periodic license-state reconciliation (userLicense/customerLicense remain supported) plus immediate action on a revoked credential. An API outage or unknown state NEVER counts as an uninstall — that would revoke a live customer and start a deletion clock against them. Detection lag is reported rather than hidden. Idempotent, and re-arms on re-install. 10 regression tests.</t>
        </is>
      </c>
    </row>
    <row r="21" ht="90.75" customHeight="1" s="26">
      <c r="A21" s="31" t="inlineStr">
        <is>
          <t>VER-DM2</t>
        </is>
      </c>
      <c r="B21" s="68" t="inlineStr">
        <is>
          <t>LIVE-BLOCKING</t>
        </is>
      </c>
      <c r="C21" s="44" t="inlineStr">
        <is>
          <t>FIXED</t>
        </is>
      </c>
      <c r="D21" s="31" t="inlineStr">
        <is>
          <t>Google Forms cannot POST to an arbitrary URL</t>
        </is>
      </c>
      <c r="E21" s="31" t="inlineStr">
        <is>
          <t>Verified against live Apps Script docs: form submit is not a simple trigger — it requires an INSTALLABLE Apps Script trigger, and the script itself must call UrlFetchApp. Nothing in Google will ever call our /webhooks/form endpoint. The entire F5 feature (ST-041..050, 10 stories / 42 pts) rested on a platform capability that does not exist.</t>
        </is>
      </c>
      <c r="F21" s="31" t="inlineStr">
        <is>
          <t>apps-script/FormForwarder.gs ships the missing half: an idempotent installable trigger that signs each submission with the same HMAC scheme and headers the endpoint already verifies, keeps the secret in Script Properties rather than the script body, uses the stable response id so our dedupe works, and rethrows only on 5xx so Apps Script retries a server failure but not a rejection. Contract pinned by 6 tests against the .gs file. NOTE: this changes the customer setup flow — the help-centre article and ST-041 "one screen" claim need rewording.</t>
        </is>
      </c>
    </row>
    <row r="22" ht="102" customHeight="1" s="26">
      <c r="A22" s="31" t="inlineStr">
        <is>
          <t>VER-DM3</t>
        </is>
      </c>
      <c r="B22" s="68" t="inlineStr">
        <is>
          <t>LIVE-BLOCKING</t>
        </is>
      </c>
      <c r="C22" s="45" t="inlineStr">
        <is>
          <t>OPEN — DECISION (D-DM1)</t>
        </is>
      </c>
      <c r="D22" s="31" t="inlineStr">
        <is>
          <t>Two add-on types, and our features are split across both</t>
        </is>
      </c>
      <c r="E22" s="31" t="inlineStr">
        <is>
          <t>Verified against live Google docs: a Google Workspace add-on is card-based and MUST NOT use HTML/CSS, cannot read the open document (no SpreadsheetApp.getActiveSpreadsheet()), has no Apps Script triggers, and is not available in Google Forms — but reaches mobile and every host app. An Editor add-on has HTML sidebars, document context and Apps Script triggers, but is desktop-only and Editors-only. Five shipped stories say the feature "works on the Workspace add-on sidebar in Sheets/Docs end-to-end" while depending on reading the active row — document context, which that surface does not have. The form feature needs Apps Script triggers, which only the Editor type has. On the Workspace surface, 12 shipped stories cannot ship as built.</t>
        </is>
      </c>
      <c r="F22" s="31" t="inlineStr">
        <is>
          <t>src/addonSurface.ts encodes the verified constraint matrix and reports what each surface costs, with the assessment pinned by 14 tests; ADDON_SURFACE_DECISION.md presents it. NOT FIXED IN CODE ON PURPOSE — this is a product decision (D-DM1), not a defect: Editor add-on keeps every shipped feature but is desktop-only and Editors-only; Workspace add-on reaches mobile and all host apps but needs four features redesigned as cards and the form feature dropped or split. Undisputed either way: batch must stay server-side, since a 30-second UI action cannot generate hundreds of documents.</t>
        </is>
      </c>
    </row>
    <row r="23" ht="113.25" customHeight="1" s="26">
      <c r="A23" s="31" t="inlineStr">
        <is>
          <t>VER-DM4</t>
        </is>
      </c>
      <c r="B23" s="68" t="inlineStr">
        <is>
          <t>HIGH</t>
        </is>
      </c>
      <c r="C23" s="44" t="inlineStr">
        <is>
          <t>FIXED</t>
        </is>
      </c>
      <c r="D23" s="31" t="inlineStr">
        <is>
          <t>The entire listing asset and copy spec was invented, and wrong in eight ways</t>
        </is>
      </c>
      <c r="E23" s="31" t="inlineStr">
        <is>
          <t>Verified against the live "Create a store listing" page: (1) we demanded exactly 5 screenshots — the platform accepts 1 to 10; (2) we rejected the 640x400 and 2560x1600 sizes it also accepts; (3) the app NAME limit is 50 characters, not 30, AND must not contain a Google product name — a rule we had no check for at all; (4) short description is 200 characters, not 120; (5) detailed description is under 16,000, not 4,000; (6) the promo video is an OPTIONAL YouTube LINK, not a required captioned 30-120s upload; (7) REQUIRED application icons (32x32 and 128x128, plus 48x48 and 96x96 because our project now includes a web app) were absent from our spec entirely; (8) the REQUIRED 220x140 card banner shown on listings and search results was absent too. Also missing from the submission checklist: the terms-of-service link, which the listing requires.</t>
        </is>
      </c>
      <c r="F23" s="31" t="inlineStr">
        <is>
          <t>src/listing.ts rewritten against the verified spec with icons, card banner, accepted-size list, optional YouTube video and required support links; validateAssets now takes the full asset set rather than screenshots-and-a-video. LISTING_PACK.md regenerated. 13 tests pin the corrected behaviour, including the two previously-missing required asset families and the forbidden-Google-name rule. Sibling precedent: TestPulse found its asset spec wrong the same way (Rule-of-3 vs its invented 5x1600x1000).</t>
        </is>
      </c>
    </row>
    <row r="24" ht="113.25" customHeight="1" s="26">
      <c r="A24" s="31" t="inlineStr">
        <is>
          <t>VER-DM5</t>
        </is>
      </c>
      <c r="B24" s="70" t="inlineStr">
        <is>
          <t>HIGH (favourable)</t>
        </is>
      </c>
      <c r="C24" s="44" t="inlineStr">
        <is>
          <t>FIXED</t>
        </is>
      </c>
      <c r="D24" s="31" t="inlineStr">
        <is>
          <t>CASA is not triggered by our scope set — and a required video was missing</t>
        </is>
      </c>
      <c r="E24" s="31" t="inlineStr">
        <is>
          <t>Verified: Google routes review by scope CLASSIFICATION. Non-sensitive only = verification optional; any sensitive = Google app verification; any RESTRICTED = verification plus a CASA security assessment. DocMerge requests no restricted scopes — drive.file is specifically the recommended non-sensitive alternative to the restricted Drive scopes, and userinfo.email is non-sensitive. Only spreadsheets.readonly and documents are sensitive, which require verification but NOT an assessment. CASA has sat on the board as a blocking, multi-week, paid item since S6 (R-D1, R-D10, LC-3) on an assumption nobody checked. SEPARATELY: verification requires an UNLISTED YouTube demonstration video showing the OAuth grant flow, the consent screen displaying the app name, and detailed in-app use of each sensitive scope — a requirement we did not have, and distinct from the optional marketing promo video.</t>
        </is>
      </c>
      <c r="F24" s="31" t="inlineStr">
        <is>
          <t>src/scopes.ts now carries each scope classification and derives the review path from it (assessReviewPath), with 7 tests including one proving CASA appears only when a restricted scope is present. SCOPE_NARRATIVE.md regenerated with the path, the classification table, and the verification requirements. CAVEAT PRESERVED: classification is confirmed per project in the Cloud console under OAuth consent screen &gt; Data Access, and Google may request an assessment at its discretion — so LC-3 should be re-checked there rather than deleted.</t>
        </is>
      </c>
    </row>
    <row r="25" ht="135.75" customHeight="1" s="26">
      <c r="A25" s="31" t="inlineStr">
        <is>
          <t>DM-F14</t>
        </is>
      </c>
      <c r="B25" s="68" t="inlineStr">
        <is>
          <t>HIGH</t>
        </is>
      </c>
      <c r="C25" s="44" t="inlineStr">
        <is>
          <t>FIXED</t>
        </is>
      </c>
      <c r="D25" s="31" t="inlineStr">
        <is>
          <t>State that must survive a restart does not</t>
        </is>
      </c>
      <c r="E25" s="31" t="inlineStr">
        <is>
          <t>Continuing the adapter work surfaced a finding rather than just an increment: three in-memory stores lose state whose loss is not cosmetic. USAGE COUNTERS — a restart resets every plan limit, so each deploy silently hands every customer a fresh monthly allowance; that is a direct revenue leak and it would never appear in a test, because tests start from zero anyway. SUBSCRIPTIONS — billing state resets, so paying customers appear to be back on trial. ADMIN AUDIT — a tamper-evident chain that evaporates on restart is not evidence, and worse, it would restart numbering at genesis so the gap would not even be visible.</t>
        </is>
      </c>
      <c r="F25" s="31" t="inlineStr">
        <is>
          <t>Usage counters FIXED end to end: PlanLimitEnforcer now takes a UsageBackend, and WriteThroughUsageBackend serves reads from a primed cache (keeping the limit check synchronous) while writing through to Postgres with an atomic single-statement upsert — read-then-write would lose increments exactly when a customer is near their limit. Write failures are counted rather than failing the customer request. A test proves a restarted backend primes from the store and still blocks at the limit. Subscription and admin-audit STORES are shipped and tested (append-only with no update path, lastSequence so the chain continues rather than restarting at genesis) but the services are NOT yet wired to them — deliberately left visible rather than claimed, given this codebase has already produced two built-but-never-called defects. — CLOSED 16:34: BillingService now takes a SubscriptionBackend and persists after EVERY mutation (subscribe, plan change, payment failure, each dunning transition, cancel), and AdminAuditLog takes an AdminAuditBackend with resume() so a restarted process continues a tenant chain instead of forking a second one at genesis. Write-through backends for both keep reads synchronous while writing to Postgres, counting failures rather than failing the customer request.</t>
        </is>
      </c>
    </row>
    <row r="26" ht="79.5" customHeight="1" s="26">
      <c r="A26" s="31" t="inlineStr">
        <is>
          <t>DM-F15</t>
        </is>
      </c>
      <c r="B26" s="68" t="inlineStr">
        <is>
          <t>HIGH</t>
        </is>
      </c>
      <c r="C26" s="44" t="inlineStr">
        <is>
          <t>FIXED</t>
        </is>
      </c>
      <c r="D26" s="31" t="inlineStr">
        <is>
          <t>Admin audit log had no tenant scope</t>
        </is>
      </c>
      <c r="E26" s="31" t="inlineStr">
        <is>
          <t>Found while wiring DM-F14, not by looking for it: AdminAuditEntry had no accountId at all, so every customer shared ONE chain and ONE sequence counter. exportCsv returned the whole log, meaning one customer security review would have handed them every other customer admin history — roles changed, members removed, data exports requested. The sequence numbering also leaked each tenant activity volume to the others. The schema written for DM-F09 keys admin_audit_entries on (account_id, sequence); the code never matched it, and nothing caught the mismatch because the table had no implementation behind it until today.</t>
        </is>
      </c>
      <c r="F26" s="31" t="inlineStr">
        <is>
          <t>accountId added to the entry and to record(); chains, anchors and sequence counters are now per account; list(), verifyChain() and exportCsv() all take an accountId; the digest covers the accountId so an entry cannot be replayed into another tenant chain. Four regression tests, including one asserting an export contains the requesting account records and not another.</t>
        </is>
      </c>
    </row>
    <row r="27" ht="15" customHeight="1" s="26">
      <c r="A27" s="69" t="inlineStr">
        <is>
          <t>— TENANT-ISOLATION SWEEP (13 Sep 16:39), run because DM-F15 was found by accident —</t>
        </is>
      </c>
    </row>
    <row r="28" ht="79.5" customHeight="1" s="26">
      <c r="A28" s="31" t="inlineStr">
        <is>
          <t>DM-F16</t>
        </is>
      </c>
      <c r="B28" s="68" t="inlineStr">
        <is>
          <t>CRITICAL</t>
        </is>
      </c>
      <c r="C28" s="44" t="inlineStr">
        <is>
          <t>FIXED</t>
        </is>
      </c>
      <c r="D28" s="31" t="inlineStr">
        <is>
          <t>Cross-tenant template access, reachable through the live HTTP route</t>
        </is>
      </c>
      <c r="E28" s="31" t="inlineStr">
        <is>
          <t>The deliberate tenant sweep found this first: template lookups took a templateId and nothing else. POST /accounts/:accountId/documents takes the templateId from the REQUEST BODY, so an authenticated user of one account could pass another account template id and both read its body and generate documents from it. The session check I added for DM-F07 proved who was asking; nothing checked what they were asking for.</t>
        </is>
      </c>
      <c r="F28" s="31" t="inlineStr">
        <is>
          <t>Ownership enforced centrally in mustGet(templateId, accountId) so a new call site cannot forget it; setRules and renderPreview now take the accountId, threaded through batch, form triggers, the sidebar and the audited wrapper. A template belonging to another account reports "not found" rather than "wrong account", so the id space cannot be probed. Two regression tests, including one asserting the cross-tenant failure is indistinguishable from a genuinely missing template.</t>
        </is>
      </c>
    </row>
    <row r="29" ht="34.5" customHeight="1" s="26">
      <c r="A29" s="31" t="inlineStr">
        <is>
          <t>DM-F17</t>
        </is>
      </c>
      <c r="B29" s="68" t="inlineStr">
        <is>
          <t>HIGH</t>
        </is>
      </c>
      <c r="C29" s="44" t="inlineStr">
        <is>
          <t>FIXED</t>
        </is>
      </c>
      <c r="D29" s="31" t="inlineStr">
        <is>
          <t>Cross-tenant signature-request access</t>
        </is>
      </c>
      <c r="E29" s="31" t="inlineStr">
        <is>
          <t>Same shape: sign-request lookups took only a requestId, so one account could read another tenant signature request, change its rules, or send it. Reading exposes signer names and emails and the document name.</t>
        </is>
      </c>
      <c r="F29" s="31" t="inlineStr">
        <is>
          <t>get(), setRules() and send() now require the owning accountId, checked centrally in mustGet with the same not-found response. Three regression tests.</t>
        </is>
      </c>
    </row>
    <row r="30" ht="34.5" customHeight="1" s="26">
      <c r="A30" s="31" t="inlineStr">
        <is>
          <t>DM-F18</t>
        </is>
      </c>
      <c r="B30" s="68" t="inlineStr">
        <is>
          <t>HIGH</t>
        </is>
      </c>
      <c r="C30" s="44" t="inlineStr">
        <is>
          <t>FIXED</t>
        </is>
      </c>
      <c r="D30" s="31" t="inlineStr">
        <is>
          <t>Feature audit log had no tenant scope</t>
        </is>
      </c>
      <c r="E30" s="31" t="inlineStr">
        <is>
          <t>The same defect as DM-F15, in the second audit log: AuditEntry had no accountId, so forTarget() returned entries across accounts.</t>
        </is>
      </c>
      <c r="F30" s="31" t="inlineStr">
        <is>
          <t>accountId added to the entry and to record(); forTarget() takes an accountId and filters on it; every call site across batch, filing, form triggers, e-sign and the designer wrapper now supplies the owning account.</t>
        </is>
      </c>
    </row>
    <row r="31" ht="45.75" customHeight="1" s="26">
      <c r="A31" s="31" t="inlineStr">
        <is>
          <t>DM-F19</t>
        </is>
      </c>
      <c r="B31" s="31" t="inlineStr">
        <is>
          <t>MEDIUM</t>
        </is>
      </c>
      <c r="C31" s="45" t="inlineStr">
        <is>
          <t>Open</t>
        </is>
      </c>
      <c r="D31" s="31" t="inlineStr">
        <is>
          <t>Metrics summaries aggregate across all tenants</t>
        </is>
      </c>
      <c r="E31" s="31" t="inlineStr">
        <is>
          <t>EsignMetrics.summary(period), FilingMetrics.summary(period) and FormMetrics.summary(period) take no account and aggregate globally. Wired to a per-account dashboard they would show every customer combined numbers; used for internal analytics they are correct as-is.</t>
        </is>
      </c>
      <c r="F31" s="31" t="inlineStr">
        <is>
          <t>Needs the same accountId treatment, or an explicit decision that these are internal-only. Not fixed blind because the answer depends on where they are surfaced.</t>
        </is>
      </c>
    </row>
    <row r="32" ht="34.5" customHeight="1" s="26">
      <c r="A32" s="31" t="inlineStr">
        <is>
          <t>DM-F20</t>
        </is>
      </c>
      <c r="B32" s="31" t="inlineStr">
        <is>
          <t>MEDIUM</t>
        </is>
      </c>
      <c r="C32" s="45" t="inlineStr">
        <is>
          <t>Open</t>
        </is>
      </c>
      <c r="D32" s="31" t="inlineStr">
        <is>
          <t>Support inbox is not tenant-scoped</t>
        </is>
      </c>
      <c r="E32" s="31" t="inlineStr">
        <is>
          <t>SupportInbox.status(conversationId) has no account check and breaches() returns every account unanswered conversations. Acceptable for a single-operator internal queue, a leak if ever exposed per-customer.</t>
        </is>
      </c>
      <c r="F32" s="31" t="inlineStr">
        <is>
          <t>Same decision as DM-F19 — scope it or document it as operator-only.</t>
        </is>
      </c>
    </row>
    <row r="33" ht="102" customHeight="1" s="26">
      <c r="A33" s="31" t="inlineStr">
        <is>
          <t>DM-F21</t>
        </is>
      </c>
      <c r="B33" s="68" t="inlineStr">
        <is>
          <t>HIGH</t>
        </is>
      </c>
      <c r="C33" s="44" t="inlineStr">
        <is>
          <t>FIXED</t>
        </is>
      </c>
      <c r="D33" s="31" t="inlineStr">
        <is>
          <t>Cross-tenant CONTROL operations, found by the new automated gate</t>
        </is>
      </c>
      <c r="E33" s="31" t="inlineStr">
        <is>
          <t>The manual sweep checked reads. It missed writes-that-are-not-reads: pause and resume took only an entity id, so one account could pause or resume another account signature request, form trigger or batch job — a denial of service against a competitor tenant needing nothing but a guessed id. InvoiceBook.renderCsv would render any account invoice, carrying their billing contact and tax identifiers. SidebarController.openTemplate read another account template metadata before the ownership check downstream. The gate flagged 28 methods; triage found these five clusters genuine and the rest legitimately scoped by construction.</t>
        </is>
      </c>
      <c r="F33" s="31" t="inlineStr">
        <is>
          <t>Pause state is now namespaced per account and e-sign pause/resume verify ownership; renderCsv requires the owning account; openTemplate reports another account template as missing. The remaining 23 flagged methods are EXEMPTED WITH WRITTEN REASONS in the gate config — repository primitives whose ownership is enforced one level up, a generic keyed utility that callers namespace, signer actions by external parties who have no account, controllers that hold the account and delegate, and the metrics/support cases already logged as DM-F19/F20 pending your decision.</t>
        </is>
      </c>
    </row>
    <row r="34" ht="102" customHeight="1" s="26">
      <c r="A34" s="31" t="inlineStr">
        <is>
          <t>DM-F22</t>
        </is>
      </c>
      <c r="B34" s="68" t="inlineStr">
        <is>
          <t>MEDIUM</t>
        </is>
      </c>
      <c r="C34" s="44" t="inlineStr">
        <is>
          <t>FIXED</t>
        </is>
      </c>
      <c r="D34" s="31" t="inlineStr">
        <is>
          <t>An exemption reason was false — found by auditing my own exemptions</t>
        </is>
      </c>
      <c r="E34" s="31" t="inlineStr">
        <is>
          <t>The tenant gate exempted PauseManager because "callers pass account-namespaced keys". Auditing that claim showed it was untrue: e-sign passed a bare requestId and batch a bare templateId. Consequence, demonstrated before fixing: a single shared PauseManager puts template ids, sign-request ids, job ids and trigger ids in ONE namespace, so pausing a template called X also reports a sign request called X as paused. Different services happened to receive different instances, so nothing broke — and nothing enforced that either. The real protection for e-sign was an ownership check, not namespacing, so the exemption was right about the outcome and wrong about the reason, which is the kind of note that survives into a security review unchallenged.</t>
        </is>
      </c>
      <c r="F34" s="31" t="inlineStr">
        <is>
          <t>pauseKey(entity, accountId, entityId) is now the only way keys are formed, across templates, sign requests, batch jobs, form triggers and filing. Three tests verify the exemption CLAIMS rather than restating them: one scans the source and fails if any PauseManager call omits pauseKey, one proves a shared manager cannot confuse two entity types sharing an id, and one asserts only the designer and sidebar touch a template repository directly. The exemption reason was rewritten to say what is actually true.</t>
        </is>
      </c>
    </row>
    <row r="35" ht="135.75" customHeight="1" s="26">
      <c r="A35" s="31" t="inlineStr">
        <is>
          <t>DM-F23</t>
        </is>
      </c>
      <c r="B35" s="31" t="inlineStr">
        <is>
          <t>PROCESS</t>
        </is>
      </c>
      <c r="C35" s="44" t="inlineStr">
        <is>
          <t>CLOSED</t>
        </is>
      </c>
      <c r="D35" s="31" t="inlineStr">
        <is>
          <t>All 23 gate exemptions converted from prose to verified claims</t>
        </is>
      </c>
      <c r="E35" s="31" t="inlineStr">
        <is>
          <t>DM-F22 showed an exemption can be right about its outcome and wrong about its reason, and still read as handled. That makes the other 22 a standing risk rather than a completed judgement: each asserts a protection exists somewhere else, and nothing checked whether it did.</t>
        </is>
      </c>
      <c r="F35" s="31" t="inlineStr">
        <is>
          <t>Every exemption now has a test that checks its claim against behaviour or source: the sandbox holds no account, store or repository reference and its two sessions are distinct; purgeAccount takes the account as its subject; the status page has no tenant concept anywhere; createJobWithDefaults takes the account first; signer actions reject a non-signer holding a valid request id, and accept a listed signer with no account; a batch sidebar bound to one account cannot run another account template; both sidebar controllers stamp their own account onto what they create; and per-entity metrics and the support inbox are confirmed absent from every HTTP route, which is what makes DM-F19/F20 decisions rather than live leaks. Plus a META-GATE: unverifiedExemptions() fails the build if an exemption is added without a test naming it, with a test proving the meta-gate itself catches one.</t>
        </is>
      </c>
    </row>
    <row r="36" ht="113.25" customHeight="1" s="26">
      <c r="A36" s="31" t="inlineStr">
        <is>
          <t>VER-DM6</t>
        </is>
      </c>
      <c r="B36" s="68" t="inlineStr">
        <is>
          <t>HIGH</t>
        </is>
      </c>
      <c r="C36" s="44" t="inlineStr">
        <is>
          <t>FIXED</t>
        </is>
      </c>
      <c r="D36" s="31" t="inlineStr">
        <is>
          <t>Our SLO and load test promised throughput the platform forbids</t>
        </is>
      </c>
      <c r="E36" s="31" t="inlineStr">
        <is>
          <t>Verified against live Google docs: the Docs API allows 60 WRITE requests per minute per user per project (600 per project). ST-087 set a 1500ms p95 budget per generated row and ST-088 drove 100 requests per minute at 5x expected traffic and reported PASS. One user cannot exceed one document per second however fast our code runs; past 60 in a minute they receive 429s and our own backoff makes the p95 worse. A 500-row batch for one customer cannot complete in under EIGHT MINUTES — a fact absent from every estimate, board and SLO we have written. The load test never touched the ceiling because it drove an injected worker, so its PASS measured the harness, which is R-D9 restated with the actual number behind it. Also recorded: Apps Script UrlFetch is capped at 20,000/day consumer and 100,000/day Workspace, which is the real per-customer ceiling on the VER-DM2 form forwarder.</t>
        </is>
      </c>
      <c r="F36" s="31" t="inlineStr">
        <is>
          <t>src/platformQuotas.ts holds the verified numbers with their sources and refuses to guess an unrecorded quota; checkFeasibility() fails when an internal promise exceeds an external quota; QuotaGovernor paces per account and gives an honest completion estimate (500 rows = 8 minutes minimum). runLoadTest now REFUSES to pass a profile that drives more than a declared platform ceiling, reporting that it proves the harness rather than capacity. The p95 budgets carry a comment distinguishing per-row latency from batch completion, which are different promises. — COMPLETED 19:33: the batch runner now paces THROUGH the governor rather than beside it, waiting before each write instead of after a rejection, and BatchResult carries quotaWaitMs so a slow batch reads as "paced by Google's limit" rather than "the product is slow". Metering is per account, so one large batch cannot slow another customer. The help-centre article now states the real figures — about 60 documents a minute, roughly eight minutes for 500 — and is findable by searching "how long", "slow" or "quota".</t>
        </is>
      </c>
    </row>
    <row r="37" ht="113.25" customHeight="1" s="26">
      <c r="A37" s="31" t="inlineStr">
        <is>
          <t>VER-DM7</t>
        </is>
      </c>
      <c r="B37" s="31" t="inlineStr">
        <is>
          <t>MEDIUM</t>
        </is>
      </c>
      <c r="C37" s="45" t="inlineStr">
        <is>
          <t>FIXED (with a caveat kept)</t>
        </is>
      </c>
      <c r="D37" s="31" t="inlineStr">
        <is>
          <t>Drive quota was unrecorded, and Google is mid-migration between two models</t>
        </is>
      </c>
      <c r="E37" s="31" t="inlineStr">
        <is>
          <t>VER-DM6 built a module that refuses to guess an unrecorded quota, and the filing path promptly tripped it: we write to Drive on every generated document and had recorded no Drive limit. Checking produced an awkward answer rather than a clean one. One published page gives 12,000 queries per 60 seconds per user; another describes a quota-unit model at 1,000,000 units per minute per project and 325,000 per user; and projects that used the API before May 2026 reportedly keep legacy request counts until the rollout finishes. Which applies depends on the age of the project we have not created yet.</t>
        </is>
      </c>
      <c r="F37" s="31" t="inlineStr">
        <is>
          <t>Recorded the conservative published figure WITH the ambiguity attached rather than resolving it by picking whichever number suited us, and added a caveat field so an unreliable quota is visibly unreliable. The useful conclusion is that on every one of these models Drive sits two orders of magnitude above the Docs ceiling of 60 writes per minute per user, so filing is NOT the binding constraint on a batch — document creation is, and the governor is already configured to it. bindingConstraint() computes which API throttles first, with a test proving Docs governs today and another proving a future quota change that reverses it would surface rather than silently slowing every run.</t>
        </is>
      </c>
    </row>
    <row r="38"/>
    <row r="39" ht="126.75" customHeight="1" s="26">
      <c r="A39" s="46" t="inlineStr">
        <is>
          <t>— EXTERNAL REVIEW CGPT V001 (13 Sep 20:41) — cross-references only; no finding above is rewritten —</t>
        </is>
      </c>
    </row>
    <row r="40" ht="32.25" customHeight="1" s="26">
      <c r="A40" s="34" t="inlineStr">
        <is>
          <t>CGPT-DM-004</t>
        </is>
      </c>
      <c r="B40" s="33" t="inlineStr">
        <is>
          <t>HIGH</t>
        </is>
      </c>
      <c r="C40" s="33" t="inlineStr">
        <is>
          <t>FIXED</t>
        </is>
      </c>
      <c r="D40" s="33" t="inlineStr">
        <is>
          <t>No lockfile — CI could never have run on a clean checkout</t>
        </is>
      </c>
      <c r="E40" s="33" t="inlineStr">
        <is>
          <t>Every ci.yml job installs with `npm ci`, which requires package-lock.json, and none existed. The 836-test/100% figure was real but had only ever been produced locally. The reviewer saw the symptom and was careful not to claim the tests fail; the cause was worse than the symptom.</t>
        </is>
      </c>
      <c r="F40" s="33" t="inlineStr">
        <is>
          <t>Lockfile committed (280 packages); `npm run verify` gate; coverage as a CI artifact. Verified twice from wiped node_modules: 836/836, 45 suites, 100/100/100/100.</t>
        </is>
      </c>
    </row>
    <row r="41" ht="32.25" customHeight="1" s="26">
      <c r="A41" s="34" t="inlineStr">
        <is>
          <t>CGPT-DM-012</t>
        </is>
      </c>
      <c r="B41" s="33" t="inlineStr">
        <is>
          <t>MEDIUM</t>
        </is>
      </c>
      <c r="C41" s="33" t="inlineStr">
        <is>
          <t>FIXED</t>
        </is>
      </c>
      <c r="D41" s="33" t="inlineStr">
        <is>
          <t>No supply-chain evidence of any kind</t>
        </is>
      </c>
      <c r="E41" s="33" t="inlineStr">
        <is>
          <t>No SBOM, dependency audit, secret scanning or static analysis anywhere in CI.</t>
        </is>
      </c>
      <c r="F41" s="33" t="inlineStr">
        <is>
          <t>supply-chain job + scripts/secret-scan.js: audit 0 vulns, scan clean (it flagged a test fixture first, now allowlisted with a stated reason), SBOM 280 components. CodeQL written but unverified (R-D17).</t>
        </is>
      </c>
    </row>
    <row r="42" ht="21.75" customHeight="1" s="26">
      <c r="A42" s="34" t="inlineStr">
        <is>
          <t>CGPT-DM-002</t>
        </is>
      </c>
      <c r="B42" s="33" t="inlineStr">
        <is>
          <t>BLOCKER</t>
        </is>
      </c>
      <c r="C42" s="33" t="inlineStr">
        <is>
          <t>FIXED (fails closed)</t>
        </is>
      </c>
      <c r="D42" s="33" t="inlineStr">
        <is>
          <t>Deploy job reported success without deploying</t>
        </is>
      </c>
      <c r="E42" s="33" t="inlineStr">
        <is>
          <t>It echoed a placeholder and exited 0, so main had shown a green deploy since S8 that deployed nothing — the same class as DM-F02/DM-F03: present, green, and wired to nothing real.</t>
        </is>
      </c>
      <c r="F42" s="33" t="inlineStr">
        <is>
          <t>Fails closed naming LC-1; depends on supply-chain as well as smoke. DEPLOY_PLAN.md specifies the queued work. D-DM4 records the tradeoff.</t>
        </is>
      </c>
    </row>
    <row r="43"/>
    <row r="44">
      <c r="A44" s="74" t="inlineStr">
        <is>
          <t>— EXTERNAL REVIEW PPLX V001 (16 Sep 2026): twelve findings. Full disposition on the External_Review_PPLX_V001 sheet and in the tracker. —</t>
        </is>
      </c>
    </row>
    <row r="45">
      <c r="A45" s="56" t="inlineStr">
        <is>
          <t>P-DM-001</t>
        </is>
      </c>
      <c r="B45" s="56" t="inlineStr">
        <is>
          <t>CRITICAL</t>
        </is>
      </c>
      <c r="C45" s="56" t="inlineStr">
        <is>
          <t>FIXED (recorded contracts)</t>
        </is>
      </c>
      <c r="D45" s="56" t="inlineStr">
        <is>
          <t>No code in this product calls any Google API</t>
        </is>
      </c>
      <c r="E45" s="56" t="inlineStr">
        <is>
          <t>package.json had no dependencies block at all; every boundary was an interface with only test doubles behind it.</t>
        </is>
      </c>
      <c r="F45" s="56" t="inlineStr">
        <is>
          <t>S14/S15 adapters; integrationGate makes it a standing check</t>
        </is>
      </c>
    </row>
    <row r="46">
      <c r="A46" s="56" t="inlineStr">
        <is>
          <t>P-DM-002</t>
        </is>
      </c>
      <c r="B46" s="56" t="inlineStr">
        <is>
          <t>CRITICAL</t>
        </is>
      </c>
      <c r="C46" s="56" t="inlineStr">
        <is>
          <t>FIXED</t>
        </is>
      </c>
      <c r="D46" s="56" t="inlineStr">
        <is>
          <t>npm start starts nothing and exits 0</t>
        </is>
      </c>
      <c r="E46" s="56" t="inlineStr">
        <is>
          <t>server.ts exported start() and nothing called it, so the fail-closed readiness check was unreachable.</t>
        </is>
      </c>
      <c r="F46" s="56" t="inlineStr">
        <is>
          <t>src/main.ts + a boot test that spawns the build; RG-05</t>
        </is>
      </c>
    </row>
    <row r="47">
      <c r="A47" s="56" t="inlineStr">
        <is>
          <t>P-DM-003</t>
        </is>
      </c>
      <c r="B47" s="56" t="inlineStr">
        <is>
          <t>CRITICAL</t>
        </is>
      </c>
      <c r="C47" s="56" t="inlineStr">
        <is>
          <t>FIXED</t>
        </is>
      </c>
      <c r="D47" s="56" t="inlineStr">
        <is>
          <t>pg undeclared; the migration path crashes</t>
        </is>
      </c>
      <c r="E47" s="56" t="inlineStr">
        <is>
          <t>The only path anyone ran returned before the require.</t>
        </is>
      </c>
      <c r="F47" s="56" t="inlineStr">
        <is>
          <t>pg declared; real pooled client; six migrations run against real Postgres</t>
        </is>
      </c>
    </row>
    <row r="48">
      <c r="A48" s="56" t="inlineStr">
        <is>
          <t>P-DM-004</t>
        </is>
      </c>
      <c r="B48" s="56" t="inlineStr">
        <is>
          <t>HIGH</t>
        </is>
      </c>
      <c r="C48" s="56" t="inlineStr">
        <is>
          <t>FIXED</t>
        </is>
      </c>
      <c r="D48" s="56" t="inlineStr">
        <is>
          <t>Supply-chain evidence covers zero runtime components</t>
        </is>
      </c>
      <c r="E48" s="56" t="inlineStr">
        <is>
          <t>All 280 SBOM components were development-time.</t>
        </is>
      </c>
      <c r="F48" s="56" t="inlineStr">
        <is>
          <t>sbom:check asserts runtime &gt; 0; 13 components</t>
        </is>
      </c>
    </row>
    <row r="49">
      <c r="A49" s="56" t="inlineStr">
        <is>
          <t>P-DM-005</t>
        </is>
      </c>
      <c r="B49" s="56" t="inlineStr">
        <is>
          <t>HIGH</t>
        </is>
      </c>
      <c r="C49" s="56" t="inlineStr">
        <is>
          <t>BUILT; RATIFICATION OWED</t>
        </is>
      </c>
      <c r="D49" s="56" t="inlineStr">
        <is>
          <t>Neither add-on surface has any implementation</t>
        </is>
      </c>
      <c r="E49" s="56" t="inlineStr">
        <is>
          <t>The decision was blocking a rewrite of work never started; the real difference is capability walls.</t>
        </is>
      </c>
      <c r="F49" s="56" t="inlineStr">
        <is>
          <t>Editor add-on with a generated manifest</t>
        </is>
      </c>
    </row>
    <row r="50">
      <c r="A50" s="56" t="inlineStr">
        <is>
          <t>P-DM-006</t>
        </is>
      </c>
      <c r="B50" s="56" t="inlineStr">
        <is>
          <t>HIGH</t>
        </is>
      </c>
      <c r="C50" s="56" t="inlineStr">
        <is>
          <t>FIXED (recorded contracts)</t>
        </is>
      </c>
      <c r="D50" s="56" t="inlineStr">
        <is>
          <t>The merge engine cannot emit a Doc or a PDF</t>
        </is>
      </c>
      <c r="E50" s="56" t="inlineStr">
        <is>
          <t>outputFormat was never read by any rendering code.</t>
        </is>
      </c>
      <c r="F50" s="56" t="inlineStr">
        <is>
          <t>documentRenderer.ts; templates.ts kept as the rules layer</t>
        </is>
      </c>
    </row>
    <row r="51">
      <c r="A51" s="56" t="inlineStr">
        <is>
          <t>P-DM-007</t>
        </is>
      </c>
      <c r="B51" s="56" t="inlineStr">
        <is>
          <t>HIGH</t>
        </is>
      </c>
      <c r="C51" s="56" t="inlineStr">
        <is>
          <t>HONEST HALF DONE</t>
        </is>
      </c>
      <c r="D51" s="56" t="inlineStr">
        <is>
          <t>E-sign produces no signature — a legal exposure</t>
        </is>
      </c>
      <c r="E51" s="56" t="inlineStr">
        <is>
          <t>No signature artefact, no binding of intent, no signer authentication, no consent capture.</t>
        </is>
      </c>
      <c r="F51" s="56" t="inlineStr">
        <is>
          <t>Renamed to Approval requests + a repository gate; provider is D-DM6</t>
        </is>
      </c>
    </row>
    <row r="52">
      <c r="A52" s="56" t="inlineStr">
        <is>
          <t>P-DM-008</t>
        </is>
      </c>
      <c r="B52" s="56" t="inlineStr">
        <is>
          <t>CRITICAL</t>
        </is>
      </c>
      <c r="C52" s="56" t="inlineStr">
        <is>
          <t>ARITHMETIC FIXED; DECISION OPEN</t>
        </is>
      </c>
      <c r="D52" s="56" t="inlineStr">
        <is>
          <t>The model never breaks even and the note implies it does</t>
        </is>
      </c>
      <c r="E52" s="56" t="inlineStr">
        <is>
          <t>-$228,150 at M18, reproduced here to the dollar.</t>
        </is>
      </c>
      <c r="F52" s="56" t="inlineStr">
        <is>
          <t>Financial_Model_v2 (breakeven M12); D-DM5</t>
        </is>
      </c>
    </row>
    <row r="53">
      <c r="A53" s="56" t="inlineStr">
        <is>
          <t>P-DM-009</t>
        </is>
      </c>
      <c r="B53" s="56" t="inlineStr">
        <is>
          <t>MED/HIGH</t>
        </is>
      </c>
      <c r="C53" s="56" t="inlineStr">
        <is>
          <t>FIXED</t>
        </is>
      </c>
      <c r="D53" s="56" t="inlineStr">
        <is>
          <t>Six Postgres repos against thirty in-memory stores</t>
        </is>
      </c>
      <c r="E53" s="56" t="inlineStr">
        <is>
          <t>Webhook dedupe in RAM means billing webhooks double-apply.</t>
        </is>
      </c>
      <c r="F53" s="56" t="inlineStr">
        <is>
          <t>Seven stores durable, in the review's order</t>
        </is>
      </c>
    </row>
    <row r="54">
      <c r="A54" s="56" t="inlineStr">
        <is>
          <t>P-DM-010</t>
        </is>
      </c>
      <c r="B54" s="56" t="inlineStr">
        <is>
          <t>MEDIUM</t>
        </is>
      </c>
      <c r="C54" s="56" t="inlineStr">
        <is>
          <t>FIXED</t>
        </is>
      </c>
      <c r="D54" s="56" t="inlineStr">
        <is>
          <t>The coverage exemption's compensating control was never performed</t>
        </is>
      </c>
      <c r="E54" s="56" t="inlineStr">
        <is>
          <t>'Verified by booting the server' — the server had never been booted.</t>
        </is>
      </c>
      <c r="F54" s="56" t="inlineStr">
        <is>
          <t>Exemption removed; RG-06 generalises the rule to every gate</t>
        </is>
      </c>
    </row>
    <row r="55">
      <c r="A55" s="56" t="inlineStr">
        <is>
          <t>P-DM-011</t>
        </is>
      </c>
      <c r="B55" s="56" t="inlineStr">
        <is>
          <t>MEDIUM</t>
        </is>
      </c>
      <c r="C55" s="56" t="inlineStr">
        <is>
          <t>ACCEPTED — PLANNING</t>
        </is>
      </c>
      <c r="D55" s="56" t="inlineStr">
        <is>
          <t>Verification timeline assumption too optimistic</t>
        </is>
      </c>
      <c r="E55" s="56" t="inlineStr">
        <is>
          <t>The clock is long, uncontrollable, and can start before the product is finished.</t>
        </is>
      </c>
      <c r="F55" s="56" t="inlineStr">
        <is>
          <t>Sequencing rewritten around concurrent clocks</t>
        </is>
      </c>
    </row>
    <row r="56">
      <c r="A56" s="56" t="inlineStr">
        <is>
          <t>P-DM-012</t>
        </is>
      </c>
      <c r="B56" s="56" t="inlineStr">
        <is>
          <t>LOW</t>
        </is>
      </c>
      <c r="C56" s="56" t="inlineStr">
        <is>
          <t>FIXED</t>
        </is>
      </c>
      <c r="D56" s="56" t="inlineStr">
        <is>
          <t>autoCrat 83M+ unverified at source</t>
        </is>
      </c>
      <c r="E56" s="56" t="inlineStr">
        <is>
          <t>It was carrying the load in two documents and the top risk row.</t>
        </is>
      </c>
      <c r="F56" s="56" t="inlineStr">
        <is>
          <t>Replaced with the two confirmed figures; retraction recorded in code</t>
        </is>
      </c>
    </row>
    <row r="58">
      <c r="A58" s="77" t="inlineStr">
        <is>
          <t>— ADVERSARIAL VERIFICATION PASS, 20 Sep 2026, run AFTER every review finding was closed and every gate was green. Product-relevant results below; the engineering detail is in the tracker and DEFECT_REGISTER.md. —</t>
        </is>
      </c>
    </row>
    <row r="59">
      <c r="A59" s="56" t="inlineStr">
        <is>
          <t>DM-F41</t>
        </is>
      </c>
      <c r="B59" s="56" t="inlineStr">
        <is>
          <t>CRITICAL</t>
        </is>
      </c>
      <c r="C59" s="56" t="inlineStr">
        <is>
          <t>FIXED</t>
        </is>
      </c>
      <c r="D59" s="56" t="inlineStr">
        <is>
          <t>The published 30-day deletion policy had no executor</t>
        </is>
      </c>
      <c r="E59" s="56" t="inlineStr">
        <is>
          <t>A durable schedule, a complete purge registry, and nothing calling due(). Deletion jobs were recorded faithfully and acted on never — the third appearance of the class in this one product. It is a PRODUCT issue, not only an engineering one: the policy is published on the privacy page and is part of the CASA pack.</t>
        </is>
      </c>
      <c r="F59" s="56" t="inlineStr">
        <is>
          <t>src/purgeWorker.ts, running hourly, contract-tested</t>
        </is>
      </c>
    </row>
    <row r="60">
      <c r="A60" s="56" t="inlineStr">
        <is>
          <t>DM-F42</t>
        </is>
      </c>
      <c r="B60" s="56" t="inlineStr">
        <is>
          <t>CRITICAL</t>
        </is>
      </c>
      <c r="C60" s="56" t="inlineStr">
        <is>
          <t>FIXED</t>
        </is>
      </c>
      <c r="D60" s="56" t="inlineStr">
        <is>
          <t>'Proved against a fake asserting exact URLs' was not true of three URLs</t>
        </is>
      </c>
      <c r="E60" s="56" t="inlineStr">
        <is>
          <t>The assertions compared each URL constant to itself, so a wrong Google API version would have shipped undetected. The claim appeared in three published documents.</t>
        </is>
      </c>
      <c r="F60" s="56" t="inlineStr">
        <is>
          <t>Pinned to literals; the mutation that used to pass now fails 13 tests</t>
        </is>
      </c>
    </row>
    <row r="61">
      <c r="A61" s="56" t="inlineStr">
        <is>
          <t>—</t>
        </is>
      </c>
      <c r="B61" s="56" t="inlineStr">
        <is>
          <t>HIGH</t>
        </is>
      </c>
      <c r="C61" s="56" t="inlineStr">
        <is>
          <t>FIXED</t>
        </is>
      </c>
      <c r="D61" s="56" t="inlineStr">
        <is>
          <t>The restore drill was cited as evidence for stores it never covered</t>
        </is>
      </c>
      <c r="E61" s="56" t="inlineStr">
        <is>
          <t>It ran on a schema predating the durability work: 19 tables where a current migrate produces 26.</t>
        </is>
      </c>
      <c r="F61" s="56" t="inlineStr">
        <is>
          <t>Re-run at 26 tables / 592 rows: RTO 110ms. Still a floor, not production volume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25" min="1" max="1"/>
    <col width="34" customWidth="1" style="25" min="2" max="2"/>
    <col width="10" customWidth="1" style="25" min="3" max="3"/>
    <col width="76" customWidth="1" style="25" min="4" max="4"/>
    <col width="62" customWidth="1" style="25" min="5" max="5"/>
  </cols>
  <sheetData>
    <row r="1" ht="17.25" customHeight="1" s="26">
      <c r="A1" s="27" t="inlineStr">
        <is>
          <t>EXTERNAL REVIEW CGPT V001 — 13 Sep 2026 20:41 BST</t>
        </is>
      </c>
    </row>
    <row r="2" ht="57.75" customHeight="1" s="26">
      <c r="A2" s="39" t="inlineStr">
        <is>
          <t>Verdict 6.4/10 BUILD — market demand 8.5, engineering maturity 8.0, product-market positioning 6.5, commercial readiness 5.0, enterprise-grade 5.5, launch readiness 4.0. Recommends the Editor add-on surface, agreeing with ADDON_SURFACE_DECISION.md. 3 of 12 findings accepted and fixed, 5 already logged under existing DM-Fxx/VER-DMx or RAID IDs, 4 valid and deferred behind decision D-DM2. Full dispositions in the tracker workbook and in EXTERNAL_REVIEW_CGPT_V001.md.</t>
        </is>
      </c>
    </row>
    <row r="3"/>
    <row r="4" ht="15" customHeight="1" s="26">
      <c r="A4" s="40" t="inlineStr">
        <is>
          <t>Dimension</t>
        </is>
      </c>
      <c r="B4" s="40" t="inlineStr">
        <is>
          <t>Assessment</t>
        </is>
      </c>
      <c r="C4" s="40" t="inlineStr">
        <is>
          <t>Score /10</t>
        </is>
      </c>
      <c r="D4" s="40" t="inlineStr">
        <is>
          <t>Evidence as reviewed</t>
        </is>
      </c>
      <c r="E4" s="40" t="inlineStr">
        <is>
          <t>Response</t>
        </is>
      </c>
    </row>
    <row r="5" ht="21.75" customHeight="1" s="26">
      <c r="A5" s="34" t="inlineStr">
        <is>
          <t>Market demand</t>
        </is>
      </c>
      <c r="B5" s="33" t="inlineStr">
        <is>
          <t>YES — proven category, but crowded</t>
        </is>
      </c>
      <c r="C5" s="33" t="n">
        <v>8.5</v>
      </c>
      <c r="D5" s="33" t="inlineStr">
        <is>
          <t>autoCrat shows 83M+ installs; Document Studio and Form Publisher are established. Demand is proven; differentiation/distribution are the challenge.</t>
        </is>
      </c>
      <c r="E5" s="33" t="inlineStr">
        <is>
          <t>Accepted. Install-count evidence recorded in Risk_Register.</t>
        </is>
      </c>
    </row>
    <row r="6" ht="21.75" customHeight="1" s="26">
      <c r="A6" s="34" t="inlineStr">
        <is>
          <t>Product-market positioning</t>
        </is>
      </c>
      <c r="B6" s="33" t="inlineStr">
        <is>
          <t>PROMISING, not yet sharp enough</t>
        </is>
      </c>
      <c r="C6" s="33" t="n">
        <v>6.5</v>
      </c>
      <c r="D6" s="33" t="inlineStr">
        <is>
          <t>'Doc-gen + sign without Zapier chains' is credible but broad. Win a narrower beachhead where native Google workflow, governance and predictable batch execution matter.</t>
        </is>
      </c>
      <c r="E6" s="33" t="inlineStr">
        <is>
          <t>Accepted — this is the D-DM2/D-DM3 question, not a code defect.</t>
        </is>
      </c>
    </row>
    <row r="7" ht="21.75" customHeight="1" s="26">
      <c r="A7" s="34" t="inlineStr">
        <is>
          <t>Engineering maturity</t>
        </is>
      </c>
      <c r="B7" s="33" t="inlineStr">
        <is>
          <t>STRONG pre-production foundation</t>
        </is>
      </c>
      <c r="C7" s="33" t="n">
        <v>8</v>
      </c>
      <c r="D7" s="33" t="inlineStr">
        <is>
          <t>Reviewed package has 117 files: 49 src and 45 tests, plus strong tenant/security/quota/data-lifecycle hardening. Source state reports 836 tests / 100% coverage.</t>
        </is>
      </c>
      <c r="E7" s="33" t="inlineStr">
        <is>
          <t>Corroborates the internal position. Three concrete gaps the review found were real and are now fixed (CGPT-DM-002/004/012).</t>
        </is>
      </c>
    </row>
    <row r="8" ht="21.75" customHeight="1" s="26">
      <c r="A8" s="34" t="inlineStr">
        <is>
          <t>Enterprise grade today?</t>
        </is>
      </c>
      <c r="B8" s="33" t="inlineStr">
        <is>
          <t>NO</t>
        </is>
      </c>
      <c r="C8" s="33" t="n">
        <v>5.5</v>
      </c>
      <c r="D8" s="33" t="inlineStr">
        <is>
          <t>Deployment is still a placeholder; no live staging/platform proof, external pen-test closure, DR proof, enterprise SSO/admin plane, staffed support SLA or production SLO evidence.</t>
        </is>
      </c>
      <c r="E8" s="33" t="inlineStr">
        <is>
          <t>Accepted as a statement about an enterprise bar the product has not chosen to compete at. See D-DM2.</t>
        </is>
      </c>
    </row>
    <row r="9" ht="21.75" customHeight="1" s="26">
      <c r="A9" s="34" t="inlineStr">
        <is>
          <t>Launch readiness</t>
        </is>
      </c>
      <c r="B9" s="33" t="inlineStr">
        <is>
          <t>BLOCKED</t>
        </is>
      </c>
      <c r="C9" s="33" t="n">
        <v>4</v>
      </c>
      <c r="D9" s="33" t="inlineStr">
        <is>
          <t>Source state explicitly says code is finished but product cannot launch; add-on surface decision and external GCP/OAuth/deployment/listing actions remain.</t>
        </is>
      </c>
      <c r="E9" s="33" t="inlineStr">
        <is>
          <t>Agrees with STATE_OF_DOCMERGE. Unchanged by this session — nothing fixed today moves the launch gate.</t>
        </is>
      </c>
    </row>
    <row r="10" ht="15" customHeight="1" s="26">
      <c r="A10" s="34" t="inlineStr">
        <is>
          <t>Commercial readiness</t>
        </is>
      </c>
      <c r="B10" s="33" t="inlineStr">
        <is>
          <t>EARLY</t>
        </is>
      </c>
      <c r="C10" s="33" t="n">
        <v>5</v>
      </c>
      <c r="D10" s="33" t="inlineStr">
        <is>
          <t>Need 20–30 interviews, 5 design partners and ideally 3 paid pilots. Incumbents are large and broad.</t>
        </is>
      </c>
      <c r="E10" s="33" t="inlineStr">
        <is>
          <t>Collides with D13 (interviews parked portfolio-wide). Logged as D-DM3.</t>
        </is>
      </c>
    </row>
    <row r="11" ht="21.75" customHeight="1" s="26">
      <c r="A11" s="34" t="inlineStr">
        <is>
          <t>Overall verdict</t>
        </is>
      </c>
      <c r="B11" s="33" t="inlineStr">
        <is>
          <t>BUILD — do not call enterprise-grade yet</t>
        </is>
      </c>
      <c r="C11" s="33" t="n">
        <v>6.4</v>
      </c>
      <c r="D11" s="33" t="inlineStr">
        <is>
          <t>Continue. Shift effort from generic feature accumulation to platform proof, enterprise controls, differentiation, customer evidence and launch operations.</t>
        </is>
      </c>
      <c r="E11" s="33" t="inlineStr">
        <is>
          <t>Accepted.</t>
        </is>
      </c>
    </row>
    <row r="12" ht="21.75" customHeight="1" s="26">
      <c r="A12" s="34" t="inlineStr">
        <is>
          <t>Recommended V1 surface</t>
        </is>
      </c>
      <c r="B12" s="33" t="inlineStr">
        <is>
          <t>Editor add-on unless new evidence disproves it</t>
        </is>
      </c>
      <c r="C12" s="33" t="n"/>
      <c r="D12" s="33" t="inlineStr">
        <is>
          <t>Source decision analysis says Editor preserves shipped features; Workspace add-on would force significant UI rebuild and capability changes.</t>
        </is>
      </c>
      <c r="E12" s="33" t="inlineStr">
        <is>
          <t>Agrees with the internal analysis. Still needs D-DM1 from Senthil.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6" customWidth="1" style="26" min="1" max="1"/>
    <col width="16" customWidth="1" style="26" min="2" max="2"/>
    <col width="62" customWidth="1" style="26" min="3" max="3"/>
    <col width="86" customWidth="1" style="26" min="4" max="4"/>
  </cols>
  <sheetData>
    <row r="1">
      <c r="A1" s="48" t="inlineStr">
        <is>
          <t>EXTERNAL REVIEW PPLX V001 — 16 September 2026 — Perplexity Computer (independent). Score 5.9/10 BUILD.</t>
        </is>
      </c>
    </row>
    <row r="2">
      <c r="A2" s="49" t="inlineStr">
        <is>
          <t>The second external review, and the first that EXECUTED the code rather than reading it. It ran five checks that had never been run; three failed. Its one-paragraph verdict: DocMerge Pro is not code-complete, it is DOMAIN-LOGIC-COMPLETE — a different and much earlier milestone that had been mistaken for the later one. Roughly 11,500 lines of unusually well-tested business logic in which every single boundary to the outside world was an injected interface with no production implementation behind it. This sheet records the product consequences; the tracker holds the engineering disposition, and EXTERNAL_REVIEW_PPLX_V001.md in the repository holds the full response.</t>
        </is>
      </c>
    </row>
    <row r="3"/>
    <row r="4">
      <c r="A4" s="64" t="inlineStr">
        <is>
          <t>Dimension</t>
        </is>
      </c>
      <c r="B4" s="64" t="inlineStr">
        <is>
          <t>Score</t>
        </is>
      </c>
      <c r="C4" s="64" t="inlineStr">
        <is>
          <t>Basis (as reviewed)</t>
        </is>
      </c>
      <c r="D4" s="64" t="inlineStr">
        <is>
          <t>Where it stands after S13-S19 (20 Sep)</t>
        </is>
      </c>
    </row>
    <row r="5">
      <c r="A5" s="56" t="inlineStr">
        <is>
          <t>Market demand (category)</t>
        </is>
      </c>
      <c r="B5" s="56" t="inlineStr">
        <is>
          <t>8.5</t>
        </is>
      </c>
      <c r="C5" s="56" t="inlineStr">
        <is>
          <t>Confirmed at primary source. Real, large, proven — Form Publisher 24M+ and Document Studio 6M+ verified directly from their Marketplace listings.</t>
        </is>
      </c>
      <c r="D5" s="71" t="inlineStr">
        <is>
          <t>UNCHANGED and not in dispute. The category demand was never the question.</t>
        </is>
      </c>
    </row>
    <row r="6">
      <c r="A6" s="56" t="inlineStr">
        <is>
          <t>Differentiated demand (this product)</t>
        </is>
      </c>
      <c r="B6" s="56" t="inlineStr">
        <is>
          <t>4.5</t>
        </is>
      </c>
      <c r="C6" s="56" t="inlineStr">
        <is>
          <t>Category demand is not demand for this. Nothing here yet that a customer cannot get free.</t>
        </is>
      </c>
      <c r="D6" s="71" t="inlineStr">
        <is>
          <t>ADDRESSED IN POSITIONING, NOT YET IN EVIDENCE. The §5 wedge — governed, auditable, quota-honest, tenant-isolated document operations — is now the stated thesis and has buyer-facing artefacts behind it. Whether anyone pays for it is unmeasured and is what the first fifty installs settle.</t>
        </is>
      </c>
    </row>
    <row r="7">
      <c r="A7" s="56" t="inlineStr">
        <is>
          <t>Engineering maturity — tested domain logic</t>
        </is>
      </c>
      <c r="B7" s="56" t="inlineStr">
        <is>
          <t>8.5</t>
        </is>
      </c>
      <c r="C7" s="56" t="inlineStr">
        <is>
          <t>Genuinely strong. Better than the prior review credited.</t>
        </is>
      </c>
      <c r="D7" s="71" t="inlineStr">
        <is>
          <t>PRESERVED. S13-S19 was additive: not one domain module was rewritten, and the coverage threshold was never lowered. 882 -&gt; 1513 tests.</t>
        </is>
      </c>
    </row>
    <row r="8">
      <c r="A8" s="56" t="inlineStr">
        <is>
          <t>Engineering maturity — integrated system</t>
        </is>
      </c>
      <c r="B8" s="56" t="inlineStr">
        <is>
          <t>2.0</t>
        </is>
      </c>
      <c r="C8" s="56" t="inlineStr">
        <is>
          <t>The platform adapter layer does not exist.</t>
        </is>
      </c>
      <c r="D8" s="71" t="inlineStr">
        <is>
          <t>THE SPRINT PLAN'S ENTIRE SUBJECT. Adapters now exist for Docs, Drive, Sheets, OAuth, Postgres, Stripe and the Marketplace license API, each proved against recorded contracts. Not one has been proved against the live service — that is LC-1, and it is the honest ceiling on any re-score.</t>
        </is>
      </c>
    </row>
    <row r="9">
      <c r="A9" s="56" t="inlineStr">
        <is>
          <t>Enterprise grade</t>
        </is>
      </c>
      <c r="B9" s="56" t="inlineStr">
        <is>
          <t>4.0</t>
        </is>
      </c>
      <c r="C9" s="56" t="inlineStr">
        <is>
          <t>Not 'pre-enterprise'. PRE-INTEGRATION. The gap is not at the enterprise bar, it is at the working-software bar.</t>
        </is>
      </c>
      <c r="D9" s="71" t="inlineStr">
        <is>
          <t>THE WORKING-SOFTWARE BAR IS MET: it starts, it serves, it migrates, it survives a restart. D-DM2 stands — SAML and SCIM remain deferred and that was never the gap.</t>
        </is>
      </c>
    </row>
    <row r="10">
      <c r="A10" s="56" t="inlineStr">
        <is>
          <t>Launch readiness</t>
        </is>
      </c>
      <c r="B10" s="56" t="inlineStr">
        <is>
          <t>3.0</t>
        </is>
      </c>
      <c r="C10" s="56" t="inlineStr">
        <is>
          <t>Worse than believed: the blockers are not all external.</t>
        </is>
      </c>
      <c r="D10" s="71" t="inlineStr">
        <is>
          <t>THE INTERNAL BLOCKERS ARE GONE. What remains is genuinely external: a GCP project, a lawyer, a pricing call and three ratifications. That was believed on 13 Sep and was false; it is now true.</t>
        </is>
      </c>
    </row>
    <row r="11">
      <c r="A11" s="56" t="inlineStr">
        <is>
          <t>Commercial readiness</t>
        </is>
      </c>
      <c r="B11" s="56" t="inlineStr">
        <is>
          <t>3.5</t>
        </is>
      </c>
      <c r="C11" s="56" t="inlineStr">
        <is>
          <t>The plan's own arithmetic does not reach breakeven.</t>
        </is>
      </c>
      <c r="D11" s="71" t="inlineStr">
        <is>
          <t>ARITHMETIC FIXED, DECISION OPEN. Financial_Model_v2 models the free tier's cost and reaches breakeven at M12 under stated assumptions. The pricing decision (D-DM5) is Senthil's and the model is a tool for it, not a substitute.</t>
        </is>
      </c>
    </row>
    <row r="12"/>
    <row r="13">
      <c r="A13" s="74" t="inlineStr">
        <is>
          <t>THE STRATEGIC FINDING (§5) — 'you built the wrong product well'</t>
        </is>
      </c>
    </row>
    <row r="14">
      <c r="A14" s="56" t="inlineStr">
        <is>
          <t>The review's most valuable content is not a defect. Ranked by how rare each is in this category, the unusually good parts of this codebase are: ledger.ts (hash-chained, tamper-evident, bounded, and it REPORTS truncation rather than silently forgetting); platformQuotas.ts (verified quota table with sources that refuses to guess and fails the build when an internal promise exceeds an external ceiling); tenantGate.ts + purge.ts (enforced isolation with meta-gated exemptions, and deletion with per-store row-count receipts); releaseGate.ts; and scopes.ts with its 1:1 scope-to-feature-to-story audit trail. No mail-merge add-on has any of this.</t>
        </is>
      </c>
    </row>
    <row r="15">
      <c r="A15" s="56" t="inlineStr">
        <is>
          <t>Then read the ICP as written: SMBs, schools and agencies of 5-200 staff, at $19/month, competing with free. Those are two different products. The list above is bought by an operations or compliance owner in a regulated document flow — healthcare administration, education compliance, financial services onboarding, legal ops, BPO document processing — at $99-499/month per team, and it is not competing with autoCrat because autoCrat cannot answer any question that buyer asks.</t>
        </is>
      </c>
    </row>
    <row r="16">
      <c r="A16" s="56" t="inlineStr">
        <is>
          <t>The Risk_Register had ALREADY WRITTEN this as a mitigation: 'the wedge has to be governed high-volume document operations: auditability, quota-aware batch, tenant isolation.' The review's instruction is to promote it from a risk mitigation to the product thesis. That is done in ReadMe_Scope below, and S17 built the artefacts that make it legible to a buyer. The pricing half is D-DM5.</t>
        </is>
      </c>
    </row>
    <row r="17">
      <c r="A17" s="56" t="inlineStr">
        <is>
          <t>WHAT THIS DOES NOT SETTLE: no customer has been asked. The repositioning is an argument from what was built, not evidence from anyone who would pay. Scenario A in Financial_Model_v2 rests on a 3% Team conversion that has never been observed, and the cheapest way to falsify it is the first fifty installs — which is also why D13 stays parked and S19's telemetry is the evidence that matters.</t>
        </is>
      </c>
    </row>
  </sheetData>
  <pageMargins left="0.75" right="0.75" top="1" bottom="1" header="0.5" footer="0.5"/>
</worksheet>
</file>

<file path=xl/worksheets/sheet20.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25" min="1" max="1"/>
    <col width="24" customWidth="1" style="25" min="2" max="2"/>
    <col width="14" customWidth="1" style="25" min="3" max="3"/>
    <col width="60" customWidth="1" style="25" min="4" max="4"/>
    <col width="72" customWidth="1" style="25" min="5" max="5"/>
    <col width="88" customWidth="1" style="26" min="6" max="6"/>
  </cols>
  <sheetData>
    <row r="1" ht="17.25" customHeight="1" s="26">
      <c r="A1" s="27" t="inlineStr">
        <is>
          <t>ENTERPRISE GRADE SCORECARD — external review CGPT V001</t>
        </is>
      </c>
    </row>
    <row r="2" ht="45.75" customHeight="1" s="26">
      <c r="A2" s="39" t="inlineStr">
        <is>
          <t>Reproduced as given. This scores the product against an ENTERPRISE bar. Whether that is the right bar before a first paying customer is decision D-DM2 — four of the gaps below (identity, DR, data lifecycle, observability history) are deferred behind it rather than built. The "Changed v042" column records only what actually moved today.</t>
        </is>
      </c>
    </row>
    <row r="3"/>
    <row r="4" ht="15" customHeight="1" s="26">
      <c r="A4" s="40" t="inlineStr">
        <is>
          <t>Capability</t>
        </is>
      </c>
      <c r="B4" s="40" t="inlineStr">
        <is>
          <t>Review assessment</t>
        </is>
      </c>
      <c r="C4" s="40" t="inlineStr">
        <is>
          <t>Target</t>
        </is>
      </c>
      <c r="D4" s="40" t="inlineStr">
        <is>
          <t>Proof required</t>
        </is>
      </c>
      <c r="E4" s="40" t="inlineStr">
        <is>
          <t>Changed v042</t>
        </is>
      </c>
      <c r="F4" s="64" t="inlineStr">
        <is>
          <t>Changed v047 (20 Sep, PPLX V001)</t>
        </is>
      </c>
    </row>
    <row r="5" ht="21.75" customHeight="1" s="26">
      <c r="A5" s="34" t="inlineStr">
        <is>
          <t>Tenant isolation</t>
        </is>
      </c>
      <c r="B5" s="33" t="inlineStr">
        <is>
          <t>Strong foundation</t>
        </is>
      </c>
      <c r="C5" s="33" t="inlineStr">
        <is>
          <t>Enterprise</t>
        </is>
      </c>
      <c r="D5" s="33" t="inlineStr">
        <is>
          <t>DB + integration isolation proof in addition to source tenant gate.</t>
        </is>
      </c>
      <c r="E5" s="33" t="inlineStr">
        <is>
          <t>No change today. Source gate + meta-gate already in place (DM-F16..F23); the DB-level isolation proof the review asks for needs a real database.</t>
        </is>
      </c>
      <c r="F5" s="71" t="inlineStr">
        <is>
          <t>The source gate and meta-gate are unchanged and still do not prove database-level isolation — and the customer-facing isolation statement built in S17 SAYS SO on the page itself, rather than letting the gate imply more than it proves.</t>
        </is>
      </c>
    </row>
    <row r="6" ht="15" customHeight="1" s="26">
      <c r="A6" s="34" t="inlineStr">
        <is>
          <t>Authentication/authorization</t>
        </is>
      </c>
      <c r="B6" s="33" t="inlineStr">
        <is>
          <t>Good app-level</t>
        </is>
      </c>
      <c r="C6" s="33" t="inlineStr">
        <is>
          <t>Enterprise</t>
        </is>
      </c>
      <c r="D6" s="33" t="inlineStr">
        <is>
          <t>Federation, lifecycle, admin policy, immediate revocation.</t>
        </is>
      </c>
      <c r="E6" s="33" t="inlineStr">
        <is>
          <t>No change today.</t>
        </is>
      </c>
      <c r="F6" s="71" t="inlineStr">
        <is>
          <t>Sessions are now durable and revocable (S16). Federation, lifecycle and admin policy remain deferred behind D-DM2, which stands.</t>
        </is>
      </c>
    </row>
    <row r="7" ht="21.75" customHeight="1" s="26">
      <c r="A7" s="34" t="inlineStr">
        <is>
          <t>Secure SDLC</t>
        </is>
      </c>
      <c r="B7" s="33" t="inlineStr">
        <is>
          <t>Partial</t>
        </is>
      </c>
      <c r="C7" s="33" t="inlineStr">
        <is>
          <t>Enterprise</t>
        </is>
      </c>
      <c r="D7" s="33" t="inlineStr">
        <is>
          <t>SAST/SCA/secret scan/SBOM/signing/provenance.</t>
        </is>
      </c>
      <c r="E7" s="33" t="inlineStr">
        <is>
          <t>YES — audit (0 vulns), secret scan (clean, 8 rules), SBOM (280 components, CycloneDX 1.5) wired into CI and verified in-session. Signing and CodeQL still outstanding (R-D17).</t>
        </is>
      </c>
      <c r="F7" s="71" t="inlineStr">
        <is>
          <t>MATERIALLY CHANGED: the supply-chain evidence covered ZERO runtime components and now covers 13. Three new gates (runtime-deps, integration, claims) plus RG-05/RG-06.</t>
        </is>
      </c>
    </row>
    <row r="8" ht="21.75" customHeight="1" s="26">
      <c r="A8" s="34" t="inlineStr">
        <is>
          <t>Deployment</t>
        </is>
      </c>
      <c r="B8" s="33" t="inlineStr">
        <is>
          <t>Not production</t>
        </is>
      </c>
      <c r="C8" s="33" t="inlineStr">
        <is>
          <t>Enterprise</t>
        </is>
      </c>
      <c r="D8" s="33" t="inlineStr">
        <is>
          <t>IaC, real environments, rollback, release provenance.</t>
        </is>
      </c>
      <c r="E8" s="33" t="inlineStr">
        <is>
          <t>PARTLY — the placeholder that reported a false green is gone; the job now fails closed naming LC-1. No deployment exists. DEPLOY_PLAN.md specifies the work.</t>
        </is>
      </c>
      <c r="F8" s="71" t="inlineStr">
        <is>
          <t>CHANGED: a real Dockerfile, real Terraform and a deploy workflow that fails closed naming LC-1. Not executed — no project. The placeholder that reported a false green has been gone since v043.</t>
        </is>
      </c>
    </row>
    <row r="9" ht="15" customHeight="1" s="26">
      <c r="A9" s="34" t="inlineStr">
        <is>
          <t>Availability</t>
        </is>
      </c>
      <c r="B9" s="33" t="inlineStr">
        <is>
          <t>Unproven</t>
        </is>
      </c>
      <c r="C9" s="33" t="inlineStr">
        <is>
          <t>Enterprise</t>
        </is>
      </c>
      <c r="D9" s="33" t="inlineStr">
        <is>
          <t>Live SLO history, HA/dependency-failure evidence.</t>
        </is>
      </c>
      <c r="E9" s="33" t="inlineStr">
        <is>
          <t>No change today.</t>
        </is>
      </c>
      <c r="F9" s="71" t="inlineStr">
        <is>
          <t>First honest movement: the service now STARTS. /healthz and /readyz answer, a synthetic monitor exercises install-render-file, and error budgets exist. No production history, so the bar is unmet.</t>
        </is>
      </c>
    </row>
    <row r="10" ht="15" customHeight="1" s="26">
      <c r="A10" s="34" t="inlineStr">
        <is>
          <t>DR/backups</t>
        </is>
      </c>
      <c r="B10" s="33" t="inlineStr">
        <is>
          <t>Unproven</t>
        </is>
      </c>
      <c r="C10" s="33" t="inlineStr">
        <is>
          <t>Enterprise</t>
        </is>
      </c>
      <c r="D10" s="33" t="inlineStr">
        <is>
          <t>PITR, restore automation, RTO/RPO drills.</t>
        </is>
      </c>
      <c r="E10" s="33" t="inlineStr">
        <is>
          <t>No change today.</t>
        </is>
      </c>
      <c r="F10" s="71" t="inlineStr">
        <is>
          <t>CHANGED: a restore drill RAN against a real Postgres — RTO 95ms, RPO 61ms, contents verified. One drill on a small database, not PITR and not the full S23 programme.</t>
        </is>
      </c>
    </row>
    <row r="11" ht="15" customHeight="1" s="26">
      <c r="A11" s="34" t="inlineStr">
        <is>
          <t>Auditability</t>
        </is>
      </c>
      <c r="B11" s="33" t="inlineStr">
        <is>
          <t>Good foundation</t>
        </is>
      </c>
      <c r="C11" s="33" t="inlineStr">
        <is>
          <t>Enterprise</t>
        </is>
      </c>
      <c r="D11" s="33" t="inlineStr">
        <is>
          <t>Durable searchable exportable audit with retention.</t>
        </is>
      </c>
      <c r="E11" s="33" t="inlineStr">
        <is>
          <t>No change today.</t>
        </is>
      </c>
      <c r="F11" s="71" t="inlineStr">
        <is>
          <t>MATERIALLY CHANGED: the hash chain is durable across restarts with its eviction anchor persisted, and there is now a customer-verifiable export whose CSV columns are the digest preimage order. DM-F27 is open: the ORIGINAL exportCsv omits previousDigest and cannot be verified by the recipient.</t>
        </is>
      </c>
    </row>
    <row r="12" ht="15" customHeight="1" s="26">
      <c r="A12" s="34" t="inlineStr">
        <is>
          <t>Data lifecycle</t>
        </is>
      </c>
      <c r="B12" s="33" t="inlineStr">
        <is>
          <t>Good foundation</t>
        </is>
      </c>
      <c r="C12" s="33" t="inlineStr">
        <is>
          <t>Enterprise</t>
        </is>
      </c>
      <c r="D12" s="33" t="inlineStr">
        <is>
          <t>Retention/legal hold/export and evidence.</t>
        </is>
      </c>
      <c r="E12" s="33" t="inlineStr">
        <is>
          <t>No change today.</t>
        </is>
      </c>
      <c r="F12" s="71" t="inlineStr">
        <is>
          <t>Deletion is scheduled durably rather than in RAM (S16). Retention, legal hold and export evidence remain deferred behind D-DM2.</t>
        </is>
      </c>
    </row>
    <row r="13" ht="15" customHeight="1" s="26">
      <c r="A13" s="34" t="inlineStr">
        <is>
          <t>Performance/quota</t>
        </is>
      </c>
      <c r="B13" s="33" t="inlineStr">
        <is>
          <t>Good foundation</t>
        </is>
      </c>
      <c r="C13" s="33" t="inlineStr">
        <is>
          <t>Enterprise</t>
        </is>
      </c>
      <c r="D13" s="33" t="inlineStr">
        <is>
          <t>Distributed/live quota and scale proof.</t>
        </is>
      </c>
      <c r="E13" s="33" t="inlineStr">
        <is>
          <t>No change today.</t>
        </is>
      </c>
      <c r="F13" s="71" t="inlineStr">
        <is>
          <t>Quotas RE-VERIFIED against Google's live pages on 20 Sep: Docs and Sheets matched exactly; the Drive figure had CHANGED and is now derived from the published quota-unit model with a test asserting the division. Distributed quota remains deferred (RR-06).</t>
        </is>
      </c>
    </row>
    <row r="14" ht="15" customHeight="1" s="26">
      <c r="A14" s="34" t="inlineStr">
        <is>
          <t>Observability</t>
        </is>
      </c>
      <c r="B14" s="33" t="inlineStr">
        <is>
          <t>Partial</t>
        </is>
      </c>
      <c r="C14" s="33" t="inlineStr">
        <is>
          <t>Enterprise</t>
        </is>
      </c>
      <c r="D14" s="33" t="inlineStr">
        <is>
          <t>Dashboards/traces/synthetics/alerts with history.</t>
        </is>
      </c>
      <c r="E14" s="33" t="inlineStr">
        <is>
          <t>No change today.</t>
        </is>
      </c>
      <c r="F14" s="71" t="inlineStr">
        <is>
          <t>CHANGED: a redacting structured logger with a PII assertion test, request tracing, SLO error budgets and one alert with a tested runbook. No production history.</t>
        </is>
      </c>
    </row>
    <row r="15" ht="15" customHeight="1" s="26">
      <c r="A15" s="34" t="inlineStr">
        <is>
          <t>Support/incident</t>
        </is>
      </c>
      <c r="B15" s="33" t="inlineStr">
        <is>
          <t>Not ready</t>
        </is>
      </c>
      <c r="C15" s="33" t="inlineStr">
        <is>
          <t>Enterprise</t>
        </is>
      </c>
      <c r="D15" s="33" t="inlineStr">
        <is>
          <t>Staffed SLA, on-call, escalation/status practice.</t>
        </is>
      </c>
      <c r="E15" s="33" t="inlineStr">
        <is>
          <t>No change today.</t>
        </is>
      </c>
      <c r="F15" s="71" t="inlineStr">
        <is>
          <t>Unchanged, and R-D13 is still open — the published four-business-hour SLA is still unstaffed.</t>
        </is>
      </c>
    </row>
    <row r="16" ht="15" customHeight="1" s="26">
      <c r="A16" s="34" t="inlineStr">
        <is>
          <t>Marketplace</t>
        </is>
      </c>
      <c r="B16" s="33" t="inlineStr">
        <is>
          <t>Blocked</t>
        </is>
      </c>
      <c r="C16" s="33" t="inlineStr">
        <is>
          <t>GA</t>
        </is>
      </c>
      <c r="D16" s="33" t="inlineStr">
        <is>
          <t>Surface + GCP/OAuth + staging + review.</t>
        </is>
      </c>
      <c r="E16" s="33" t="inlineStr">
        <is>
          <t>No change today.</t>
        </is>
      </c>
      <c r="F16" s="71" t="inlineStr">
        <is>
          <t>The surface is BUILT (Editor, D-DM1 ratification owed). GCP, staging and review are unchanged and all need LC-1.</t>
        </is>
      </c>
    </row>
    <row r="17" ht="15" customHeight="1" s="26">
      <c r="A17" s="34" t="inlineStr">
        <is>
          <t>Commercial proof</t>
        </is>
      </c>
      <c r="B17" s="33" t="inlineStr">
        <is>
          <t>Unproven</t>
        </is>
      </c>
      <c r="C17" s="33" t="inlineStr">
        <is>
          <t>PMF</t>
        </is>
      </c>
      <c r="D17" s="33" t="inlineStr">
        <is>
          <t>Paid pilots and win/loss evidence.</t>
        </is>
      </c>
      <c r="E17" s="33" t="inlineStr">
        <is>
          <t>No change today.</t>
        </is>
      </c>
      <c r="F17" s="71" t="inlineStr">
        <is>
          <t>Unchanged — still unproven, and now with an explicit finding that the previous model never reached breakeven. Financial_Model_v2 gives a structure that does; no customer has validated it.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2026-09-05T18:52:31Z</dcterms:created>
  <dcterms:modified xmlns:dcterms="http://purl.org/dc/terms/" xmlns:xsi="http://www.w3.org/2001/XMLSchema-instance" xsi:type="dcterms:W3CDTF">2026-09-20T16:22:01Z</dcterms:modified>
  <cp:revision>0</cp:revision>
</cp:coreProperties>
</file>