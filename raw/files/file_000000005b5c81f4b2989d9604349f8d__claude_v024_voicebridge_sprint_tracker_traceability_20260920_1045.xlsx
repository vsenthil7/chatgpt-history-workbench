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Build_Board" sheetId="4" state="visible" r:id="rId6"/>
    <sheet name="Traceability_Matrix" sheetId="5" state="visible" r:id="rId7"/>
    <sheet name="Sprint_Status_Rollup" sheetId="6" state="visible" r:id="rId8"/>
    <sheet name="RAID_Carryover" sheetId="7" state="visible" r:id="rId9"/>
    <sheet name="Gate_Checklist" sheetId="8" state="visible" r:id="rId10"/>
    <sheet name="Review_Findings" sheetId="9" state="visible" r:id="rId11"/>
    <sheet name="Remediation_Plan" sheetId="10" state="visible" r:id="rId12"/>
    <sheet name="Enhancement_Plan"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<sst xmlns="http://schemas.openxmlformats.org/spreadsheetml/2006/main" count="4773" uniqueCount="2624">
  <si>
    <t xml:space="preserve">VERSION CONTROL — VoiceBridge Sprint Tracker &amp; Traceability</t>
  </si>
  <si>
    <t xml:space="preserve">File naming: claude_v&lt;NNN&gt;_&lt;proper file name&gt;_YYYYMMDD_HHMI.</t>
  </si>
  <si>
    <t xml:space="preserve">Version</t>
  </si>
  <si>
    <t xml:space="preserve">Date/Time</t>
  </si>
  <si>
    <t xml:space="preserve">Author</t>
  </si>
  <si>
    <t xml:space="preserve">Change Description</t>
  </si>
  <si>
    <t xml:space="preserve">Status</t>
  </si>
  <si>
    <t xml:space="preserve">v001</t>
  </si>
  <si>
    <t xml:space="preserve">2026-09-10 23:00</t>
  </si>
  <si>
    <t xml:space="preserve">Claude for Senthil/KP</t>
  </si>
  <si>
    <t xml:space="preserve">THIS FILE — Live execution tracker for VoiceBridge CTI (portfolio P02, Salesforce AppExchange). S1-S8 executed done-in-code under D13 from v006 workbook: 79 Done + 5 code-complete-pending-live of 100 stories; TypeScript codebase 20 Jest suites / 85 tests at 100% statements/branches/functions/lines; released with v007 product workbook.</t>
  </si>
  <si>
    <t xml:space="preserve">Released</t>
  </si>
  <si>
    <t xml:space="preserve">v002</t>
  </si>
  <si>
    <t xml:space="preserve">2026-09-11 08:46</t>
  </si>
  <si>
    <t xml:space="preserve">S9 REVIEW PREP executed done-in-code: WCAG AA automated audit (jest-axe) on new softphone+settings widget shells (ST-089 Done), backup/restore drill w/ sha256 integrity verify (ST-090 Done), chaos outage degradation + /status user comms (ST-091 Done), security evidence pack sandbox half (ST-068 In progress — pen-test vendor his), listing copy A/B + asset plan Drafted (ST-093/094). Plus portfolio live-sweep pack (12-step sweep: 8 auto + 4 operator, 30-min dev-org guide) and D18 packaging recommendation doc (hybrid-minimal 2GP shim). Codebase 24 suites / 101 tests at 100% coverage. 82 Done / 5 code-complete / 1 in progress / 2 drafted / 10 backlog = 352/399 pts engaged.</t>
  </si>
  <si>
    <t xml:space="preserve">v003</t>
  </si>
  <si>
    <t xml:space="preserve">2026-09-11 12:48</t>
  </si>
  <si>
    <t xml:space="preserve">S10 REVIEW REMEDIATION executed done-in-code: help center 15 articles + search, built-in chat SLA engine (&lt;4 business hrs, vendor deferred), status page + incident template, pricing + trust pages from single sources — all Done; demo-data mode Code-complete (video needs live capture); dry-run engine READY 11/11 automated + REVIEW_PACK.md, ST-097 In progress pending external reviewer sign-off (DR-12). Codebase 30 suites / 131 tests at 100% zero pragmas. 87 Done / 6 code-complete / 2 in progress / 2 drafted / 3 backlog (373/399 pts engaged).</t>
  </si>
  <si>
    <t xml:space="preserve">v004</t>
  </si>
  <si>
    <t xml:space="preserve">2026-09-11 13:32</t>
  </si>
  <si>
    <t xml:space="preserve">CODE PHASE COMPLETE. S11+S12 codeable scope executed: executable launch-day runbook with rollback triggers wired to real p95 budgets (ST-098 Done); 10-slot design-partner tracker with stale-nudge + honest exit math (ST-100 CC — outreach his); listing SEO iteration engine with thin-data guards (ST-099 CC — needs post-listing data). Backlog ZERO. Codebase 33 suites / 150 tests at 100% zero pragmas. Final position: 88 Done / 8 code-complete / 2 in progress / 2 drafted — 380/399 pts; remaining 19 pts all Senthil-side.</t>
  </si>
  <si>
    <t xml:space="preserve">v005</t>
  </si>
  <si>
    <t xml:space="preserve">2026-09-11 15:26</t>
  </si>
  <si>
    <t xml:space="preserve">POST-CODE-PHASE GAP CLOSED: D18 shim package source built — sfdx project with CallCenter Open CTI definition, 3 permission sets generated from the enforced role matrix (drift-tested), esbuild softphone static resource from a new functional dependency-injected Open CTI adapter (click-to-dial, screen pop, activity logging with degraded fallback, status polling) tested in jsdom against mocked sforce.opencti. Dev-org guide O2 now turnkey (deploy + assign, zero authoring). 35 suites / 162 tests at 100% zero pragmas. Story position unchanged (88/8/2/2 — honest: infrastructure, not story flips).</t>
  </si>
  <si>
    <t xml:space="preserve">v006</t>
  </si>
  <si>
    <t xml:space="preserve">2026-09-11 22:09</t>
  </si>
  <si>
    <t xml:space="preserve">COLD-REVIEW PASS 1 (sibling pattern): 7 defects fixed with pinned regressions — retention-sweep PII leak, missing payment-recovery path, unenforced trial expiry, unguarded invoice mutation, unbounded ledgers → FIFO 10k, NO-OP production backoff sleep, and read-only status enforced nowhere → new billing write-gate across all mutating feature ops. 2 observations (CSV quoting, half-open probes) logged for disposition in the new Review_Findings sheet. 36 suites / 176 tests at 100% zero pragmas. Story position unchanged (88/8/2/2, 380/399) — defects lived inside Done stories; fixes keep them Done with corrected behaviour.</t>
  </si>
  <si>
    <t xml:space="preserve">v007</t>
  </si>
  <si>
    <t xml:space="preserve">2026-09-11 22:34</t>
  </si>
  <si>
    <t xml:space="preserve">COLD REVIEW COMPLETE + EXTERNAL VERIFICATION SWEEP. Pass 2 over the ~28 modules pass 1 never opened: 13 defects fixed with pinned regressions (F-V08..F-V20) + 2 observations logged. Verification sweep vs live Open CTI Lightning docs found 2 LIVE-BLOCKING defects (VER-V01 opencti_min.js never loaded — softphone dead in-org with no error; VER-V02 enableClickToDial never called) plus VER-V03/V04; artifact-gap audit clean apart from the missing /log route (F-V10). 39 suites / 217 tests at 100% zero pragmas. Story position unchanged (88/8/2/2, 380/399) — correctness release, no new stories.</t>
  </si>
  <si>
    <t xml:space="preserve">v008</t>
  </si>
  <si>
    <t xml:space="preserve">2026-09-13 10:39</t>
  </si>
  <si>
    <t xml:space="preserve">SCREEN SURFACE + OAUTH COMPLIANCE RELEASE (code v0.14.0). (1) GAP-V2 closed: Screens_Wireframes specifies 9 screens and only 2 existed while 5 P0 stories claimed an end-to-end LWC surface — the 7 missing screens built as typed view-models + accessible renderer (src/views.ts), wired to the real modules via src/screenData.ts and served at /ui/:orgId[/:screenId?format=html]; WCAG audit widened from 2 screens to all 9 in populated AND empty states. (2) EXTERNAL VERIFICATION SWEEP #2 vs live Salesforce ISV docs found VER-V06 (new Connected Apps cannot be created from Spring 26 — the 30-min guide step 2 was unrunnable; ECA everywhere now) and VER-V07/V08/V09 (four OAuth controls mandatory since 11 May 2026, enforceable by interoperability suspension since 25 Jun 2026: PKCE + state, rotation anomaly telemetry, 30-day idle timeout, refresh IP allowlist). (3) VER-V10 verified: AppExchange Checkout is NOT mandatory — ISVforce+COA alternative, 15%/25% rev share, $999 review fee, ~$150 listing — raised as D-V3. (4) F-V21 logged UNFIXED for disposition: identity is caller-declared. 41 suites / 274 tests at 100% zero pragmas.</t>
  </si>
  <si>
    <t xml:space="preserve">v009</t>
  </si>
  <si>
    <t xml:space="preserve">2026-09-13 10:57</t>
  </si>
  <si>
    <t xml:space="preserve">ARTIFACT-GAP AUDIT (code v0.15.0) — sibling OnCall/EngageOS pattern applied to VoiceBridge. 5 gaps, 2 CRITICAL. GAP-V3: NO PROCESS and NO PRODUCTION OAUTH GATEWAY existed — createApp() had never been called by anything, and the only OAuthGateway implementations were test doubles, so the ECA callback, the sweep /health probe, the k6 harness and the softphone's /dial and /log posts all addressed a server that could not be started; the 30-minute dev-org guide was unrunnable past step 3. GAP-V4: NO SCHEMA behind a published 30-day retention policy, the ST-090 backup/restore drill and sweep check A5 — all against an in-memory Map. GAP-V5: CI pinned Node 20, end-of-life since April 2026. All fixed: server.ts + main.ts + npm start, SfOAuthGateway against the real token endpoint, 5 ordered migrations + npm run migrate with order/re-run/checksum-drift guards, Node 22. R-V11 logged honestly — the migrations describe the store but the runtime is STILL in-memory. 42 suites / 296 tests at 100% zero pragmas.</t>
  </si>
  <si>
    <t xml:space="preserve">v010</t>
  </si>
  <si>
    <t xml:space="preserve">2026-09-13 11:14</t>
  </si>
  <si>
    <t xml:space="preserve">COLD-REVIEW PASS 3 + IDENTITY BOUNDARY (code v0.16.0). Pass 3 targeted the surfaces v0.14.0 and v0.15.0 added, on the sibling principle that new surfaces inherit old blind spots — and it found one I introduced: F-V23, the /ui routes shipped last release taking the org straight from the URL with no identity check, so anyone who knew or guessed an org id could read that org's billing, invoices, analytics and support queue. Fixing it required the boundary F-V21 has been waiting for, so both are closed here: HMAC-signed sessions minted only at the install callback, identity never read from body or URL, a claim that disagrees with the session refused as forgery, and 401/403 separated from the blanket 400 every failure used to return. Also F-V24 (public /oauth/start could grow the PKCE map without bound — OBS-V5 escalated, now TTL-swept and FIFO-capped), F-V25 (no timeout on the token endpoint), F-V26 (drain waited forever on open connections) and F-V26b (the listening log printed the requested port, not the bound one). 43 suites / 318 tests at 100% zero pragmas.</t>
  </si>
  <si>
    <t xml:space="preserve">v011</t>
  </si>
  <si>
    <t xml:space="preserve">2026-09-13 11:36</t>
  </si>
  <si>
    <t xml:space="preserve">R-V11 STAGE 1 — ASYNC REPOSITORY CONTRACT (code v0.17.0). Measured first: 91 store call sites across 20 modules and 277 store/await lines in the tests, so a single-pass conversion is a broken build for hours and a coverage gate that cannot run. Staged instead, green at every step. Stage 1 ships the Repository interface, InMemoryRepository, PgRepository against the v0.15.0 migrations plus a new 006_sequences.sql, and — the load-bearing part — a conformance suite that runs the SAME behavioural tests against BOTH implementations, which is what makes stages 2..N a swap rather than a leap. Postgres earns two things the in-memory version got free: the F-V05 FIFO cap enforced in SQL with drops counted so a cap survives restart, and F-V19 nextSeq as one atomic INSERT..ON CONFLICT..RETURNING because read-then-write would give two instances the same id. docs/r-v11-plan.md fixes the conversion order (leaf modules first, permissions its own stage, app.ts last). NOT WIRED: createApp() still constructs the sync Store, so R-V11 stays OPEN — stage 1 is not persistence, exactly as db/migrations/ was not. New operator step O6: run the conformance suite against live Postgres, because a double proves we send the right statements, not that Postgres does the right thing with them. 44 suites / 340 tests at 100% zero pragmas.</t>
  </si>
  <si>
    <t xml:space="preserve">v012</t>
  </si>
  <si>
    <t xml:space="preserve">2026-09-13 11:51</t>
  </si>
  <si>
    <t xml:space="preserve">R-V11 STAGE 2 + PLAN CORRECTION (code v0.18.0). Attempting stage 2 proved the v0.17.0 conversion order was BACKWARDS. It said "leaf modules first" — audit.ts, notifications.ts — because nothing depends on them. True of the dependency graph and irrelevant here: the cascade runs toward CALLERS, not away from them. Making audit.record() async forces every caller to await, making those async, up to app.ts — so a dependency-leaf is the LARGEST possible step, not the smallest. The containment rule is the reverse: convert a module only once all its callers are already async, which means working top-down from the routes. Stage 2 executed under the corrected order: supportChat.ts and screenData.ts moved to the async Repository, chosen because their only callers are route handlers that wrap() already resolves promises for, so the cascade stopped at the door. docs/r-v11-plan.md rewritten with the corrected 8-stage order. 44 suites / 340 tests at 100% zero pragmas.</t>
  </si>
  <si>
    <t xml:space="preserve">v013</t>
  </si>
  <si>
    <t xml:space="preserve">2026-09-13 11:58</t>
  </si>
  <si>
    <t xml:space="preserve">R-V11 STAGE 3 + SECOND PLAN CORRECTION (code v0.19.0). The planned stage 3 — statusPage, helpCenter, pricingPage, trustPage — was VACUOUS: none of the four touches the store at all, they are pure functions over config and constants. Listing them was padding written without checking, and one grep before coding caught it. Real stage 3 executed instead: analytics.ts and onboarding.ts moved to the async Repository, their callers being route handlers, screenData (async since stage 2) and runbook.ts, which only uses the pure p95WithinBudget so the cascade stopped there. New R-V14 recorded: createApp() now builds BOTH a sync Store (18 unconverted modules) and one shared InMemoryRepository (4 converted), and backup.ts snapshots only the Store — so support tickets, funnel events and onboarding progress sit OUTSIDE the ST-090 drill until the migration finishes. 44 suites / 340 tests at 100% zero pragmas; 4 of 20 modules converted.</t>
  </si>
  <si>
    <t xml:space="preserve">v014</t>
  </si>
  <si>
    <t xml:space="preserve">2026-09-13 12:05</t>
  </si>
  <si>
    <t xml:space="preserve">R-V11 STAGE 4 — TWO BLOCKERS FOUND, SMALL STAGE SHIPPED (code v0.20.0). Planned stage 4 was billing.ts: BLOCKED, because featureCore.assertWritable() calls billing's writeBlocked() and featureCore is still synchronous, so it cannot await. billing converts AFTER featureCore. Third ordering error on this refactor. Shipped instead: designPartners.ts, which has no src/ callers at all so the cascade was empty. demoMode.ts was attempted alongside it and REVERTED after the gate caught a real split-brain bug — demoMode writes roles that the still-synchronous feature modules read, so converting it alone left roles in the repository and readers on the Store, and the demo seed 403d. That is R-V14 made concrete rather than theoretical. 44 suites / 340 tests at 100% zero pragmas; 5 of 20 modules converted.</t>
  </si>
  <si>
    <t xml:space="preserve">v015</t>
  </si>
  <si>
    <t xml:space="preserve">2026-09-13 16:38</t>
  </si>
  <si>
    <t xml:space="preserve">R-V11 STAGE 5 — THE CLUSTER (code v0.21.0). permissions, featureCore, all five feature modules, billing, audit, notifications, demoMode, lifecycle and screenData moved to the async Repository in ONE stage, because the data they share cannot be split across two stores (L-V11, learned when v0.20.0 tried demoMode alone and the demo seed 403d). createApp() now builds one shared repository; the legacy Store survives only for OAuth PKCE state and the ST-090 snapshot/restore drill, and the records, roles, accounts, FIFO cap and per-(org,kind) counter were DELETED from it rather than left as dead code. A real defect surfaced mid-conversion: flowActions.invoke() stored the PROMISE each action returned instead of awaiting it, so a rejection escaped the try/catch that records the failed run and rethrows — the failure path was silently broken, and the fix was applied across the source rather than module by module. 44 suites / 340 tests at 100% zero pragmas; 16 of 20 modules converted.</t>
  </si>
  <si>
    <t xml:space="preserve">v016</t>
  </si>
  <si>
    <t xml:space="preserve">2026-09-13 16:51</t>
  </si>
  <si>
    <t xml:space="preserve">R-V11 STAGE 6 — THE LEGACY STORE IS GONE (code v0.22.0). sfAuth PKCE state and backup snapshot/restore moved to the repository; src/store.ts and its test DELETED, domain types moved into src/repository.ts. createApp() builds exactly one store, so R-V14 IS CLOSED — the ST-090 drill now covers all the data rather than the unconverted half. Design calls: snapshot/restore is a separate SnapshotCapable interface, not part of Repository, because in Postgres the drill is pg_dump/pg_restore and promising an application-level JSON dump on every implementation would mean shipping one nobody should use; PgRepository.takePkce is DELETE..RETURNING so two callers cannot consume one state. wrap() in app.ts lost its synchronous branch (dead once every handler became async) and now routes through Promise.resolve(), so a handler throwing before it returns lands in the same envelope instead of escaping as an unhandled rejection. 43 suites / 339 tests at 100% zero pragmas; 20 of 20 modules converted — R-V11 code half COMPLETE, O6 still gates closure.</t>
  </si>
  <si>
    <t xml:space="preserve">v017</t>
  </si>
  <si>
    <t xml:space="preserve">2026-09-13 17:25</t>
  </si>
  <si>
    <t xml:space="preserve">POST-CONVERSION REVIEW OF R-V11 — F-V28 (code v0.23.0). The conversion put an await between the read and the write in every check-then-write guard: the cadence limit, the duplicate-enrollment check (F-V15), the activity dedupe and the partner slot cap. The LOGIC did not change; the GUARANTEE did — synchronous code could not be interrupted between check and write, async code can, so two concurrent requests both read "9 of 10 used" and both write the tenth. The suite could never have caught it, because tests await each call in turn. Fixed with a per-(org,resource) serial queue (src/locks.ts) and 11 new tests that fire the calls CONCURRENTLY. Also fixed F-V19 at module level: cadence ids came from a per-instance counter, so two processes both minted CAD-1; they come from the repository now. R-V15 logged honestly — this covers ONE process, and ST-092 blue/green runs two, so the caps and the dedupe need database enforcement at the PgRepository cutover. 44 suites / 350 tests at 100% zero pragmas.</t>
  </si>
  <si>
    <t xml:space="preserve">v018</t>
  </si>
  <si>
    <t xml:space="preserve">2026-09-13 17:31</t>
  </si>
  <si>
    <t xml:space="preserve">R-V15 HALF CLOSED + R-V16 CLOSED (code v0.24.0). The DEDUPE half of R-V15 is now enforced where it has to be: 007_activity_dedupe.sql adds a unique expression index on (org_id, kind, payload-&gt;&gt;externalId) for activities, and Repository.pushIfAbsent() is INSERT..ON CONFLICT DO NOTHING — so a second app instance loses the race at the database rather than winning it in application code. The in-process lock stays in front of it to keep the common case off the error path, not because it is load-bearing. The CAPS half stays open and is stated as such: a cadence limit and a ten-slot cap are counted constraints, not uniqueness, so they need a transaction (SELECT count FOR UPDATE or a trigger) and SqlClient has no transaction surface yet — that is a design decision, not a patch. R-V16 closed: dialer call ids moved from a per-instance counter to the repository counter. 44 suites / 353 tests at 100% zero pragmas.</t>
  </si>
  <si>
    <t xml:space="preserve">v019</t>
  </si>
  <si>
    <t xml:space="preserve">2026-09-13 18:00</t>
  </si>
  <si>
    <t xml:space="preserve">EXTERNAL REVIEW V001 INCORPORATED — first independent review in VoiceBridge history (ChatGPT GPT-5.6 Sol, 13 Sep 17:34 BST, static: repo + workbook + supplied evidence; no runtime rerun). DECISION: REJECT / not ready for pilot or AppExchange — 5 blockers, 5 high, 4 medium. All 14 findings re-verified by us against v0.24.0 (the review read v0.23.0) and ALL 14 STAND. The five blockers are integration-boundary defects that five internal cold-review passes, two verification sweeps and an artifact-gap audit all missed: softphone cannot authenticate to its own API (VB-CR-001), the OAuth callback is POST-only while the browser redirect is GET (VB-CR-002), installer identity is still caller-declared (VB-CR-003), createApp() hard-wires InMemoryRepository so nothing persists (VB-CR-004), and there is no telephony provider and no Salesforce activity write-back, so the core CTI promise is a state machine (VB-CR-005). VB-CR-001..014 logged in Review_Findings for disposition; RM-01..RM-09 remediation plan added as a new sheet, sequenced to the reviewer closure order; R-V17/R-V18 + L-V15/L-V16 raised; G-06 external-review gate added and open at REJECT; Traceability_Matrix gains a readiness column naming the findings that bear on each story block; rollup relabelled CODE STATUS, not product readiness. CODE UNCHANGED at v0.24.0 — this release is incorporation, not remediation. D-V4..D-V7 opened.</t>
  </si>
  <si>
    <t xml:space="preserve">v020</t>
  </si>
  <si>
    <t xml:space="preserve">2026-09-13 19:26</t>
  </si>
  <si>
    <t xml:space="preserve">EXTERNAL REVIEW V001 REMEDIATION — RM-01/02/03/06/07/08 (code v0.25.0). Nine of the fourteen findings closed, including THREE OF THE FIVE BLOCKERS. VB-CR-002/003: GET /oauth/callback now answers the redirect a browser actually makes and the installer identity comes back from the token exchange and is CONFIRMED against the Salesforce identity endpoint — req.body.userId is gone, so the caller can no longer name themselves owner. VB-CR-001: new /softphone/bootstrap trades the HttpOnly install cookie for a bearer and the adapter sends it on every request; the contract test that would have caught the break drives the REAL adapter against a REAL createApp(). VB-CR-004/006: repositoryFactory wires DATABASE_URL → pg Pool → PgRepository, production refuses to boot on in-memory storage, pg is a declared dependency and CI applies every migration to a real Postgres 16 twice to prove idempotence. VB-CR-007: billing.view/analytics.view/support.queue.view enforced BEFORE assembly — a member never reads the owner's invoices. VB-CR-009/010: evidence is bound to a package hash and packaging refuses evidence older than source (verified against the reviewer's own 11-Sep timestamp); docs/coverage-scope.md names every artefact class and its real gate. VB-CR-011/012: the pending queue survives a reload and residency is stated, never defaulted. VB-CR-013 MITIGATED not fixed (Express 4 cannot clear the qs advisories; simple query parser removes the reachable path, dated acceptance in docs/security-advisories.md). D13 GATE MET: 46 suites / 402 tests, 100% on all four measures, zero pragmas, verified from the packaged tree. VB-CR-005 (telephony + Salesforce write-back) and VB-CR-008 (WhatsApp) REMAIN OPEN, so the review decision does NOT lift.</t>
  </si>
  <si>
    <t xml:space="preserve">v021</t>
  </si>
  <si>
    <t xml:space="preserve">2026-09-13 20:33</t>
  </si>
  <si>
    <t xml:space="preserve">RELEASE INTEGRITY CLOSED PROPERLY (code v0.25.0, repackaged as voicebridge-cti-codebase-20260913_1956.zip). Running the new evidence tooling a second time — in the foreground, outside the release rush — broke it twice, and both breaks were real. F-V29: `npm audit --audit-level=high` exits non-zero on ANY finding, not only at or above the threshold, so under `set -e` the evidence run died after the audit step and left a zero-byte test-run.log, no manifest and the PREVIOUS pack in place — a release gate that silently stops running is worse than none. The threshold is now applied to the report (high + critical) rather than to the exit code, and the moderate count is printed. F-V30: the staleness gate refused its own author — RUN_STAMP carries whole seconds while file mtimes carry milliseconds, so an evidence run starting in the same second as the last source write read as predating it; STAMP_RESOLUTION_MS = 1000 with a regression pinning both sides (694ms tolerated, 1.5s refused) and the reviewer's 11-Sep case still failing as it must. Evidence regenerated and re-bound: RUN_STAMP 2026-09-13T19:24:21Z, package hash 74db7a92c550, 46 suites / 403 tests at 100% on all four measures, 0 high/critical production advisories, MANIFEST.json passed its own gate before being written. The package was then VERIFIED FROM THE ZIP in a clean extraction, not from the workspace. REVIEW_PACK expectation corrected 402 → 403. No story movement — this is correctness and evidence work. G-06 remains REJECT on VB-CR-005/008; D-V4..D-V7 still open.</t>
  </si>
  <si>
    <t xml:space="preserve">v022</t>
  </si>
  <si>
    <t xml:space="preserve">2026-09-13 22:48</t>
  </si>
  <si>
    <t xml:space="preserve">VB-CR-005 HALF CLOSED — THE CRM WRITE-BACK EXISTS (code v0.26.0, voicebridge-cti-codebase-20260913_2153.zip). The blocker has two halves and only one of them needed a decision from you: placing a call needs a provider (D-V5), but writing the activity back needs nothing, because the platform is Salesforce either way and we had been storing an access token since S1 that no code path ever spent. Built: src/sfRest.ts — Contact-then-Lead matching on the national part of the number and a Task upserted via PATCH /sobjects/Task/VoiceBridge_External_Id__c/&lt;id&gt;, so idempotency is the PLATFORM's and a provider retry (or a second instance) cannot create a duplicate activity; src/crmWriteBack.ts — the write is a separate step from the local activity with its own honest status (written / queued / not-configured), a durable outbox keyed on external id that counts attempts rather than growing a row per retry, drained oldest-first and stopping at the first failure, surfaced at GET /crm/health and POST /crm/retry behind feature.configure. Supporting: migration 008 persists org_tokens.instance_url (Salesforce returns the org's API host on every token response and we discarded it for eight releases — possible only because nothing had ever called the platform); Repository.removeWhere on both implementations with conformance tests; Task.VoiceBridge_External_Id__c ships IN THE PACKAGE, without which the upsert 404s in a subscriber org and auto-logging is dead on arrival — it widens the D18 security-review scope by one custom field. 47 suites / 436 tests at 100% statements, branches, functions and lines, zero pragmas; two unreachable branches removed rather than pragma'd; evidence regenerated and bound (RUN_STAMP 2026-09-13T21:15:20Z, package hash ed31b4178b23) and the zip verified in a clean extraction. HONEST LIMIT: the platform is doubled, so this is a claim until operator step O7 runs it against a live org — the F2 stories stay code-complete pending live, NOT Done, and G-06 stays REJECT on the telephony half plus VB-CR-008.</t>
  </si>
  <si>
    <t xml:space="preserve">v023</t>
  </si>
  <si>
    <t xml:space="preserve">2026-09-13 22:52</t>
  </si>
  <si>
    <t xml:space="preserve">THE PRODUCT STOPS MIMING A DIAL (code v0.27.0, voicebridge-cti-codebase-20260913_2252.zip). The telephony half of VB-CR-005 still needs your provider decision, but the PRETENCE never did. Until now every call was placed by nobody and nothing said so: Dialer wrote a record, returned state "dialing", and the softphone told a rep "Ringing — +91…" while their phone sat still. src/telephony.ts now defines the TelephonyProvider contract (placeCall idempotent on our call id, optional hangUp, mandatory verifyWebhook) with two honest implementations — SimulatedTelephony, which marks the record simulated:true with no provider id and names itself "simulated (no provider configured)", and RefusingTelephony for a deployment that would rather fail than simulate. The provider is asked BEFORE anything is written, so a refusal is a failed dial rather than a record of a call that never happened. CallRecord gains simulated / providerCallId / provider; /dial returns them; the panel reads "Simulated — no telephony provider is connected, so +91… was not dialled." D-V5 is now one file: docs/telephony-provider-decision.md states the contract, the three non-negotiable obligations and the commercial trade-offs, and names what still cannot be built before the choice (the inbound webhook route, whose signature scheme and event vocabulary are provider-specific — building it now would mean inventing a provider and testing the invention). 48 suites / 445 tests at 100% on all four measures, evidence bound to package hash 4ecf677db3bf, zip verified in a clean extraction. Story position unchanged at 96/100; G-06 still REJECT.</t>
  </si>
  <si>
    <t xml:space="preserve">v024</t>
  </si>
  <si>
    <t xml:space="preserve">2026-09-20 10:45</t>
  </si>
  <si>
    <t xml:space="preserve">PERPLEXITY REVIEW V001 INCORPORATED + EXECUTED (code v0.28.0, voicebridge-cti-codebase-20260920_1045.zip). Independent second review (Perplexity, 16 Sep 13:53 BST; verdict HOLD then RE-PLATFORM OR PIVOT; enterprise readiness ~35-40%) found six defects nobody had recorded (F-P01..F-P06) and one strategic fact: Salesforce Open CTI — the entire in-org surface — is in maintenance mode, EoL 28 Feb 2028, closed to new Agentforce Service orgs (verified 20 Sep against help.salesforce.com 005306437; R-V21 CRITICAL; D18 OVERTAKEN, D-V2 DISSOLVED). Direction from Senthil (20 Sep 10:45): enterprise grade, do not shrink scope, keep everything in the tracker. Executed: ALL of S14 (VB-E-010..017 — widget served + VB_CONFIG injected + adapter moved from static resource to host; AES-256-GCM token encryption with key ring + rotation sweep; CSP/HSTS/nosniff/body cap/inbound timeout/request ids; per-ip + per-org rate limits on a shared store proven across two instances; symmetric evidence manifest with testFiles[] and CI/deploy calling evidence:check; claim-to-test registry gate over 34 published claims; Express 5 + qs&gt;=6.16 → 0 advisories, Node 22), the codeable halves of S19-S20 (updateWhere + detached copies on both stores; leader-elected outbox worker with backoff/dead-letter/metrics; transactional counted caps closing R-V15; structured JSON logs, RED metrics, /metrics, error sink, 500-not-400 for internal faults; SLO error budget + burn-rate alert rules; real blue/green deploy.yml + script with migration/health gates and auto-rollback; DR drill script), S25-S26 (Postgres RLS with per-transaction tenant context + superuser refusal + CI smoke as an app role; hash-chained append-only audit with /audit/verify; session jti/revocation/epoch, logout, revoke-all, role assignment revoking sessions, TTL 7→1 day; contacts from config, DPA template), and the provider-independent parts of S15-S16 (E.164 + per-country rules + blocklist + DNC seam before any dial; SOSL phone-index matching with ambiguity never resolved by guessing). FOUR MORE DEFECTS FOUND BY THE WORK ITSELF: F-V31 (dialer/cadence/supportChat/designPartners mutated detached copies — on Postgres no call ever ended), F-V32 (coaching.snapshot stored a Promise — '{}' in production), F-V33 (the CI scripts type-check step could never have passed), F-V34 (evidence gate false positive on build output). WhatsApp claim WITHDRAWN from HC-05 pending D-V6; listing copy D-V6-gated. NOT built: provider adapter (D-V5), WhatsApp (D-V6), Partner Telephony package (D-V8 + dev org), AI layer (needs recordings), pen test/SOC 2/DPA execution (vendor/legal). 58 suites / 613 tests at 100% ×4, zero pragmas, 0 advisories, evidence bound to package hash f0f4eb4ab67d, zip verified from a clean extraction (build → typecheck:scripts → evidence:check → suite). New sheet Enhancement_Plan carries S13-S29 (VB-E-001..105) with live status. Story position held at 96/100 pending D-V4 (reviewer and this release both recommend (a) reclassify → 76/100). G-06 still REJECT; new G-07 (Perplexity) HOLD.</t>
  </si>
  <si>
    <t xml:space="preserve">v025</t>
  </si>
  <si>
    <t xml:space="preserve">PLANNED: opens on the S13 decision gate — D-V8 strategy ruling (A/B/C), D-V9 Open CTI confirmation (partner case), D-V5 provider, D-V6 WhatsApp, D-V7 model rebuild (Financial_Model_v2), D-V4 reclassification — or on operator steps O6/O7/O7b/O9/O10 producing live evidence.</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</si>
  <si>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</si>
  <si>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</si>
  <si>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</si>
  <si>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</si>
  <si>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</si>
  <si>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</si>
  <si>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</si>
  <si>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</si>
  <si>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</si>
  <si>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</si>
  <si>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t>
  </si>
  <si>
    <t xml:space="preserve">D17 RECORDED — Senthil instruction 23:00: 'continue work as per sprint... complete the development' with 100% automation testing; VoiceBridge CTI (P02) build opened from v006 workbook under D13. Ninth concurrent build; D15 (sequencing mode) still open.</t>
  </si>
  <si>
    <t xml:space="preserve">D13,D15,D17</t>
  </si>
  <si>
    <t xml:space="preserve">VoiceBridge S1 opened</t>
  </si>
  <si>
    <t xml:space="preserve">None</t>
  </si>
  <si>
    <t xml:space="preserve">S1 build</t>
  </si>
  <si>
    <t xml:space="preserve">E002</t>
  </si>
  <si>
    <t xml:space="preserve">S1</t>
  </si>
  <si>
    <t xml:space="preserve">S1 FOUNDATION BUILT (TypeScript/Node/Express per v006 stack assumption, D18): config w/ secrets fail-fast + Hyperforce region, typed Store repository (R-V4), Connected-App OAuth install→welcome, uninstall token-wipe + retention-scheduled deletion sweep, rotation-safe token refresh, install source attribution.</t>
  </si>
  <si>
    <t xml:space="preserve">ST-051,ST-052,ST-055,ST-056</t>
  </si>
  <si>
    <t xml:space="preserve">4 S1 stories Done-in-code (13 pts)</t>
  </si>
  <si>
    <t xml:space="preserve">Live dev-org install = Senthil (ISV agreement + Connected App)</t>
  </si>
  <si>
    <t xml:space="preserve">E003</t>
  </si>
  <si>
    <t xml:space="preserve">S2</t>
  </si>
  <si>
    <t xml:space="preserve">S2 CORE PT-1 — click-to-dial dial state machine (dialing→connected→ended/failed, outcome capture, E.164 validation), reinstall-within-retention restore, owner/admin/member permission matrix; feature-core setup-with-defaults + error/retry envelope shipped for all five F-modules.</t>
  </si>
  <si>
    <t xml:space="preserve">ST-001..004,ST-053,ST-054</t>
  </si>
  <si>
    <t xml:space="preserve">6 S2 stories Done (29 pts)</t>
  </si>
  <si>
    <t xml:space="preserve">E004</t>
  </si>
  <si>
    <t xml:space="preserve">S3</t>
  </si>
  <si>
    <t xml:space="preserve">S3 CORE PT-2 + F2 START — F1 completed (utility-bar surface, metrics, permissions+audit, pause-no-data-loss, import, notifications); auto call/WhatsApp logging built: provider-event ingestion deduped by externalId → activity records, contact threads; D13 coverage gate story closed (100% supersedes &gt;=70%).</t>
  </si>
  <si>
    <t xml:space="preserve">ST-005..014,ST-085</t>
  </si>
  <si>
    <t xml:space="preserve">11 S3 stories Done (47 pts)</t>
  </si>
  <si>
    <t xml:space="preserve">E005</t>
  </si>
  <si>
    <t xml:space="preserve">S4</t>
  </si>
  <si>
    <t xml:space="preserve">S4 MVP LOOP — F2 completed; activation funnel (install→setup→aha→habit), release-tagged error tracking + spike alert, E2E smoke suite wired as CI deploy gate. MVP loop (install→setup→dial→auto-log) usable end-to-end in E2E harness.</t>
  </si>
  <si>
    <t xml:space="preserve">ST-015..020,ST-071,ST-072,ST-086</t>
  </si>
  <si>
    <t xml:space="preserve">9 S4 stories Done (34 pts)</t>
  </si>
  <si>
    <t xml:space="preserve">E006</t>
  </si>
  <si>
    <t xml:space="preserve">S5</t>
  </si>
  <si>
    <t xml:space="preserve">S5 CADENCE + ALPHA HARDENING — cadence/sequence lite: step sequences w/ cumulative delays, enrollment, due-step engine, advance-to-complete; first-run checklist reaching aha at 3/4 steps; teaching empty states on all surfaces.</t>
  </si>
  <si>
    <t xml:space="preserve">ST-021..030,ST-078,ST-079</t>
  </si>
  <si>
    <t xml:space="preserve">12 S5 stories Done (50 pts)</t>
  </si>
  <si>
    <t xml:space="preserve">Internal dogfood needs live org</t>
  </si>
  <si>
    <t xml:space="preserve">E007</t>
  </si>
  <si>
    <t xml:space="preserve">S6</t>
  </si>
  <si>
    <t xml:space="preserve">S6 BILLING + COACHING — coaching scorecards (connect rate, avg duration, leaderboard, zero-guards); 14-day no-card trial + banner; mid-cycle proration. ST-059 provider abstraction (AppExchange Checkout | Stripe fallback) CODE-COMPLETE — live Checkout wiring needs ISV agreement.</t>
  </si>
  <si>
    <t xml:space="preserve">ST-031..040,ST-057..059</t>
  </si>
  <si>
    <t xml:space="preserve">12 Done + 1 code-complete (60 pts)</t>
  </si>
  <si>
    <t xml:space="preserve">ISV agreement = Senthil</t>
  </si>
  <si>
    <t xml:space="preserve">E008</t>
  </si>
  <si>
    <t xml:space="preserve">S7</t>
  </si>
  <si>
    <t xml:space="preserve">S7 BILLING EDGE + TRUST — dunning (7d grace, 3 emails, read-only), plan limits w/ 80%/100% prompts, GST/VAT invoices, cancellation save-offer + exit survey; least-privilege scope map doc (scopes 1:1 features).</t>
  </si>
  <si>
    <t xml:space="preserve">ST-060..064</t>
  </si>
  <si>
    <t xml:space="preserve">5 S7 stories Done (15 pts)</t>
  </si>
  <si>
    <t xml:space="preserve">E009</t>
  </si>
  <si>
    <t xml:space="preserve">S8</t>
  </si>
  <si>
    <t xml:space="preserve">S8 FLOW PACK + SCALE — Flow actions pack (StartCall / EnrollInCadence / SendNotification invocables, validated inputs, run ledger incl. failures); audit log; backoff+circuit breaker; heatmap, weekly email, health score, CSV export, configurable alert thresholds; p95 budgets (api 500ms / ui 2s). ST-082 review-ask + ST-069 export/delete-my-data pulled early. CODE-COMPLETE pending live: data-flow doc publish (ST-065), at-rest/vault verify (ST-066), k6 5x load run (ST-088), blue/green verify (ST-092).</t>
  </si>
  <si>
    <t xml:space="preserve">ST-041..050,ST-065..067,ST-069,ST-070,ST-073..077,ST-082,ST-087,ST-088,ST-092</t>
  </si>
  <si>
    <t xml:space="preserve">18 Done + 4 code-complete (87 pts) + 2 pulled-early stories</t>
  </si>
  <si>
    <t xml:space="preserve">Live infra = Senthil</t>
  </si>
  <si>
    <t xml:space="preserve">E010</t>
  </si>
  <si>
    <t xml:space="preserve">D13 TEST GATE MET — 20 Jest suites / 85 tests, coverage 100% statements/branches/functions/lines (jest coverageThreshold 100x4, CI-enforced); tsc --noEmit clean; E2E smoke + blue/green jobs in ci.yml; k6 harness at load/k6-load.js.</t>
  </si>
  <si>
    <t xml:space="preserve">D13</t>
  </si>
  <si>
    <t xml:space="preserve">Evidence in Traceability col K</t>
  </si>
  <si>
    <t xml:space="preserve">E011</t>
  </si>
  <si>
    <t xml:space="preserve">RELEASE — this tracker v001 + product workbook v007 (Full_Backlog statuses updated; Sprint_Board Done counts now live COUNTIFS; tracker sheets embedded). Next sprint S9 (marketplace review prep) blocked on live-org items.</t>
  </si>
  <si>
    <t xml:space="preserve">D17</t>
  </si>
  <si>
    <t xml:space="preserve">v001 + v007 released</t>
  </si>
  <si>
    <t xml:space="preserve">S1-live items; D15; D18</t>
  </si>
  <si>
    <t xml:space="preserve">E012</t>
  </si>
  <si>
    <t xml:space="preserve">CONTINUE directive 08:46 — S9 (marketplace review prep) opened. ST-069 (export/delete) already Done from S8 early pull.</t>
  </si>
  <si>
    <t xml:space="preserve">S9 opened</t>
  </si>
  <si>
    <t xml:space="preserve">E013</t>
  </si>
  <si>
    <t xml:space="preserve">S9</t>
  </si>
  <si>
    <t xml:space="preserve">S9 EXECUTED — ST-090 backup/restore drill (snapshot→wipe→restore, sha256 verify, divergence = ship-block; live pg variant scripted); ST-091 chaos degradation (breaker-driven /status, SCR-3 banner comms, queued-writes list, auto-recovery test); ST-089 WCAG AA: accessible softphone + settings widget shells built, jest-axe audit in CI, labelled controls + aria-live call state; ST-068 sandbox half (SECURITY.md, STRIDE threat model, scripted evidence archive) — pen-test vendor = Senthil; ST-093 listing copy A/B + ST-094 asset shot-list/video-script Drafted.</t>
  </si>
  <si>
    <t xml:space="preserve">ST-068,089,090,091,093,094</t>
  </si>
  <si>
    <t xml:space="preserve">3 Done (9 pts) + 1 In progress + 2 Drafted</t>
  </si>
  <si>
    <t xml:space="preserve">Pen-test vendor; copy pick; live org for capture</t>
  </si>
  <si>
    <t xml:space="preserve">E014</t>
  </si>
  <si>
    <t xml:space="preserve">LIVE-SWEEP PACK (portfolio pattern) — src/sweepChecks.ts + scripts/sweep.ts CLI: 12-step sweep (A1-A8 auto env/health checks incl. region-consistency LC-6; O1-O4 operator incl. Open CTI wiring gated on D18); docs/salesforce-dev-org-guide.md 30-min path (dev org needs NO ISV agreement; ISV only gates Checkout + listing). D18 recommendation documented: hybrid-minimal 2GP package (CTI definition + static resources + permission sets only, zero Apex) — smallest security-review scope, service code unchanged, SCV coexistence path open.</t>
  </si>
  <si>
    <t xml:space="preserve">D18,LC-4,LC-6,R-V5</t>
  </si>
  <si>
    <t xml:space="preserve">D18 rec drafted; sweep scripted</t>
  </si>
  <si>
    <t xml:space="preserve">D18 ratification</t>
  </si>
  <si>
    <t xml:space="preserve">E015</t>
  </si>
  <si>
    <t xml:space="preserve">D13 GATE RE-MET + RELEASE — 24 Jest suites / 101 tests, 100% statements/branches/functions/lines, tsc clean; tracker v002 + workbook v008 released. Next: S10 (7 stories, 24 pts) mostly sandbox-buildable (help center, demo-data mode, status page, pricing/trust pages); ST-081 chat needs vendor; ST-097 needs second reviewer.</t>
  </si>
  <si>
    <t xml:space="preserve">v002+v008 released</t>
  </si>
  <si>
    <t xml:space="preserve">E016</t>
  </si>
  <si>
    <t xml:space="preserve">CONTINUE directive 12:48 — S10 (review remediation + docs) opened.</t>
  </si>
  <si>
    <t xml:space="preserve">S10 opened</t>
  </si>
  <si>
    <t xml:space="preserve">E017</t>
  </si>
  <si>
    <t xml:space="preserve">S10</t>
  </si>
  <si>
    <t xml:space="preserve">S10 EXECUTED — ST-080 help center: 15 real launch articles + title-weighted search + /help routes; ST-081 built-in chat with &lt;4-business-hr SLA engine (IST business calendar, Friday/weekend rollover math, breach flags, operator queue) — chat-vendor decision deferred, engine works as-is (TeleField precedent); ST-084 public status page from breaker state + incident comms template; ST-095 pricing page + FAQ generated from billing exported constants (single source, sync asserted); ST-096 trust page (scopes/subprocessors/retention/residency from config); ST-083 demo-data mode on isolated demo- namespace (idempotent re-seed, real-org guard) — Code-complete: video half needs live capture; ST-097 dry-run engine READY 11/11 automated + 4 human/live items (DR-12 external reviewer sign-off, DR-13 pen-test, DR-14 Partner Console, DR-15 asset capture), REVIEW_PACK.md issued — In progress.</t>
  </si>
  <si>
    <t xml:space="preserve">ST-080,081,083,084,095,096,097</t>
  </si>
  <si>
    <t xml:space="preserve">5 Done (16 pts) + 1 CC + 1 In progress</t>
  </si>
  <si>
    <t xml:space="preserve">DR-12 reviewer; pen-test; live org</t>
  </si>
  <si>
    <t xml:space="preserve">E018</t>
  </si>
  <si>
    <t xml:space="preserve">D13 GATE RE-MET + RELEASE — 30 Jest suites / 131 tests, 100% statements/branches/functions/lines, zero istanbul pragmas, tsc clean; tracker v003 + workbook v009 released. Backlog now 3, ALL S11/S12 and launch-gated: ST-098 runbook (buildable next), ST-100 design-partner scheduling (his), ST-099 post-launch SEO (post-listing). Sandbox-codeable S10 scope exhausted.</t>
  </si>
  <si>
    <t xml:space="preserve">v003+v009 released</t>
  </si>
  <si>
    <t xml:space="preserve">S1-live items; D15; D18; DR-12/13</t>
  </si>
  <si>
    <t xml:space="preserve">E019</t>
  </si>
  <si>
    <t xml:space="preserve">CONTINUE directive 13:32 — S11+S12 codeable scope opened (last 3 backlog stories).</t>
  </si>
  <si>
    <t xml:space="preserve">S11/S12 opened</t>
  </si>
  <si>
    <t xml:space="preserve">E020</t>
  </si>
  <si>
    <t xml:space="preserve">S11</t>
  </si>
  <si>
    <t xml:space="preserve">S11 EXECUTED — ST-098 executable launch-day runbook: 12 steps across pre-flight/launch/monitor/rollback/comms, automated pre-flight checks against the repo, rollback triggers wired to the SAME p95 budgets the code enforces (api 500ms / ui 2s) plus 3x-baseline error-spike rule with zero-baseline guard, 4-row comms tree (partners, listing visitors, owner, Salesforce partner contact) — Done. ST-100 10-slot design-partner tracker: full lifecycle with state guards, 3-day stale-nudge queue, honest exit math (g02Note: partner reviews and partner paying installs do NOT satisfy 10-paying-strangers) — Code-complete; live outreach = Senthil.</t>
  </si>
  <si>
    <t xml:space="preserve">ST-098,ST-100</t>
  </si>
  <si>
    <t xml:space="preserve">ST-098 Done (3 pts), ST-100 CC (2 pts)</t>
  </si>
  <si>
    <t xml:space="preserve">Partner outreach = Senthil</t>
  </si>
  <si>
    <t xml:space="preserve">E021</t>
  </si>
  <si>
    <t xml:space="preserve">S12</t>
  </si>
  <si>
    <t xml:space="preserve">S12 EXECUTED — ST-099 listing SEO iteration engine: per-term promote/keep/ignore with CTR + install-rate thresholds and a 100-impression floor (no acting on thin data), title suggestion led by strongest promote-term, A/B install-rate reader with near-tie (0.5pp) and thin-data guards, malformed-stats rejection — Code-complete; live half needs post-listing search-term exports (S12 by definition).</t>
  </si>
  <si>
    <t xml:space="preserve">ST-099</t>
  </si>
  <si>
    <t xml:space="preserve">ST-099 CC (2 pts)</t>
  </si>
  <si>
    <t xml:space="preserve">Post-launch data</t>
  </si>
  <si>
    <t xml:space="preserve">E022</t>
  </si>
  <si>
    <t xml:space="preserve">D13 GATE MET + CODE PHASE COMPLETE — 33 Jest suites / 150 tests, 100% statements/branches/functions/lines, zero istanbul pragmas, tsc clean. BACKLOG ZERO. Final: 88 Done / 8 code-complete-pending-live / 2 in progress / 2 drafted (380/399 pts done-in-code or code-complete; remaining 19 pts = pen-test 8, dry-run sign-off 3, copy pick 3, asset capture 5 — ALL Senthil-side). No further code sprints planned; tracker v005 opens on live evidence, dispositions, or reviewer findings. Remaining chain mirrors TeleField: dev org + sweep → D18 ratify → Open CTI wiring → copy pick → capture → pen-test archive → DR-12 sign-off → Partner Console submission → runbook execution + partner outreach.</t>
  </si>
  <si>
    <t xml:space="preserve">D13,D7</t>
  </si>
  <si>
    <t xml:space="preserve">v004+v010 FINAL (code phase)</t>
  </si>
  <si>
    <t xml:space="preserve">All remaining items Senthil-side</t>
  </si>
  <si>
    <t xml:space="preserve">E023</t>
  </si>
  <si>
    <t xml:space="preserve">CONTINUE directive 15:26 — gap found on review: the D18 doc recommended a 2GP shim package whose SOURCE did not exist (same gap class as TestPulse's missing Custom UI resource). Sitting scoped to close it: build the actual Salesforce package + functional Open CTI adapter.</t>
  </si>
  <si>
    <t xml:space="preserve">D18,R-V5,LC-2</t>
  </si>
  <si>
    <t xml:space="preserve">Package build opened</t>
  </si>
  <si>
    <t xml:space="preserve">E024</t>
  </si>
  <si>
    <t xml:space="preserve">PACKAGE BUILT — sfpackage/: sfdx-project.json (2GP config, namespace placeholder + create command); CallCenter Open CTI Lightning definition (reqUseApi, softphone URL + service base parameterised); THREE permission sets GENERATED from the enforced role matrix in permissions.ts (owner 7 / admin 5 / member 1 custom permissions — drift test asserts on-disk XML equals fresh generation, so package can never diverge from code, same single-source pattern as pricing); softphone static-resource bundle (esbuild) from a NEW functional Open CTI adapter: dependency-injected (testable in jsdom against mocked sforce.opencti), click-to-dial → POST /dial → connected + screen pop, hang-up → activity log with local-save fallback message, 30s /status polling toggling the degraded banner, missing-DOM-safe. HTML shell now bootstraps the adapter when it detects sforce.opencti. Dev-org guide step 6 rewritten: sf project deploy + permset assign — O2 is now turnkey, zero authoring left after namespace registration.</t>
  </si>
  <si>
    <t xml:space="preserve">LC-2,LC-4,LC-5,R-V5,ST-089</t>
  </si>
  <si>
    <t xml:space="preserve">sfpackage/ + src/softphoneAdapter.ts + src/permSets.ts + scripts/build-package.ts</t>
  </si>
  <si>
    <t xml:space="preserve">Namespace registration (LC-2) = Senthil</t>
  </si>
  <si>
    <t xml:space="preserve">E025</t>
  </si>
  <si>
    <t xml:space="preserve">D13 GATE RE-MET + RELEASE — 35 Jest suites / 162 tests, 100% statements/branches/functions/lines, zero pragmas, tsc clean (adapter, permset generator, XML validity + drift, matrix-consistency all covered). NO story-status changes: the package is infrastructure for pending-live items and statuses stay honest — position unchanged at 88 Done / 8 CC / 2 in progress / 2 drafted (380/399). What changed: O2 wiring cost on dev-org day dropped from authoring metadata to two CLI commands; D18 ratification is now purely a decision, not a build task.</t>
  </si>
  <si>
    <t xml:space="preserve">v005+v011 released</t>
  </si>
  <si>
    <t xml:space="preserve">E026</t>
  </si>
  <si>
    <t xml:space="preserve">CONTINUE directive 22:09 — adversarial cold-review pass 1 opened: the one sibling-validated work item VoiceBridge never had. Every sibling pass found real defects in code at 100% coverage (FlowCast 9, ShiftDesk 10; lesson F-V14: coverage proves execution, not correctness). Hunt targeted the defect classes siblings actually hit.</t>
  </si>
  <si>
    <t xml:space="preserve">Review pass 1 opened</t>
  </si>
  <si>
    <t xml:space="preserve">E027</t>
  </si>
  <si>
    <t xml:space="preserve">PASS 1 RESULT — 7 defects FIXED with pinned regressions + 2 no-fix observations, all logged in the new Review_Findings sheet: F-V01 retention sweep left role records + PII tombstone (deletion-policy breach); F-V02 no payment-recovery path (HC-10 promise undeliverable); F-V03 trial expiry unenforced (perpetual free access); F-V04 issueInvoice unguarded (any caller, negative amounts); F-V05 unbounded per-org ledgers → FIFO 10k + drop telemetry; F-V06 backoff default sleep was a no-op — production retries fired with ZERO delay (tests always injected sleep; the exact ShiftDesk F-004 class); F-V07 read-only status enforced nowhere → writeBlocked gate wired into all mutating feature entry points, reads pinned open. OBS-V1 CSV quoting, OBS-V2 half-open probes — for disposition. Four of seven were High severity in billing/trust paths.</t>
  </si>
  <si>
    <t xml:space="preserve">F-V01..07,OBS-V1..2</t>
  </si>
  <si>
    <t xml:space="preserve">7 fixed, 2 observations</t>
  </si>
  <si>
    <t xml:space="preserve">OBS dispositions = Senthil</t>
  </si>
  <si>
    <t xml:space="preserve">E028</t>
  </si>
  <si>
    <t xml:space="preserve">D13 GATE RE-MET + RELEASE — 36 Jest suites / 176 tests (26 new regressions), 100% statements/branches/functions/lines, zero pragmas, tsc clean. Story statuses unchanged (defects were IN Done stories; fixes keep them Done with corrected behaviour — evidence notes updated on ST-052/057/060/062/070). Cold review pass 1 complete; pass 2 over remaining modules (helpCenter, supportChat, demoMode, statusPage, pricing/trust, dryRun, runbook, designPartners, listingSeo, sweep, adapter) is the natural next sitting if directed.</t>
  </si>
  <si>
    <t xml:space="preserve">v006+v012 released</t>
  </si>
  <si>
    <t xml:space="preserve">OBS-V1/V2 + F-disposition review = Senthil</t>
  </si>
  <si>
    <t xml:space="preserve">E029</t>
  </si>
  <si>
    <t xml:space="preserve">CONTINUE directive 22:34 ('continue the sprint as much as possible complete them') — plan approved: cold-review pass 2 over the ~28 modules pass 1 never opened, plus an external verification sweep against live Salesforce Open CTI docs and an artifact-gap audit (FlowCast/TestPulse 22:08 pattern).</t>
  </si>
  <si>
    <t xml:space="preserve">Pass 2 + verification sweep opened</t>
  </si>
  <si>
    <t xml:space="preserve">E030</t>
  </si>
  <si>
    <t xml:space="preserve">COLD-REVIEW PASS 2 RESULT — 13 defects FIXED with pinned regressions (F-V08..F-V20): deletion policy breach on the self-serve path, cancelled orgs never write-gated, missing /log route, unbacked 'will sync' promise, panel reporting Connected while ringing, wrong review target, ungated import, four cadence gaps, three dead config knobs, read-path writes, duplicate aha events, id collisions caused by the pass-1 FIFO cap, cheapest-plan assumption. 2 observations (OBS-V3/V4) logged no-fix.</t>
  </si>
  <si>
    <t xml:space="preserve">F-V08..F-V20,OBS-V3..V4</t>
  </si>
  <si>
    <t xml:space="preserve">13 fixed, 2 observations</t>
  </si>
  <si>
    <t xml:space="preserve">F/OBS dispositions = Senthil</t>
  </si>
  <si>
    <t xml:space="preserve">E031</t>
  </si>
  <si>
    <t xml:space="preserve">EXTERNAL VERIFICATION SWEEP vs live Open CTI Lightning docs + artifact-gap audit — 2 LIVE-BLOCKING defects found and fixed (VER-V01 opencti_min.js never loaded so the softphone was dead in-org with no error; VER-V02 enableClickToDial never called so click-to-dial never fires), VER-V03 init-complete notification added, VER-V04 sourceApiVersion 61.0→67.0 (Summer '26 GA), VER-V05 verified-correct and pinned, GAP-V1 artifact audit clean apart from F-V10. Cold review is now COMPLETE across all 34 modules.</t>
  </si>
  <si>
    <t xml:space="preserve">VER-V01..V05,GAP-V1</t>
  </si>
  <si>
    <t xml:space="preserve">Package + widget corrected; O2 sweep step now genuinely executable</t>
  </si>
  <si>
    <t xml:space="preserve">Dev org = Senthil</t>
  </si>
  <si>
    <t xml:space="preserve">E032</t>
  </si>
  <si>
    <t xml:space="preserve">D13 GATE RE-MET + RELEASE — 39 Jest suites / 217 tests, 100% statements/branches/functions/lines, zero pragmas (was 36/176). Static resource bundle and permission sets regenerated from source; story position deliberately unchanged (88 Done / 8 code-complete / 2 in progress / 2 drafted, 380/399) — this release is correctness, not new stories.</t>
  </si>
  <si>
    <t xml:space="preserve">v007 + v013 released</t>
  </si>
  <si>
    <t xml:space="preserve">E033</t>
  </si>
  <si>
    <t xml:space="preserve">2026-09-13 09:59</t>
  </si>
  <si>
    <t xml:space="preserve">CONTINUE directive 09:59 — plan approved 10:25. Baseline re-verified before any change: npm ci + full suite on v013 reproduced the tracker exactly (39 suites / 217 tests / 100% / zero pragmas, 88 Done / 8 CC / 2 IP / 2 Drafted, 380 of 399 pts).</t>
  </si>
  <si>
    <t xml:space="preserve">Sprint opened on verified baseline</t>
  </si>
  <si>
    <t xml:space="preserve">E034</t>
  </si>
  <si>
    <t xml:space="preserve">2026-09-13 10:25</t>
  </si>
  <si>
    <t xml:space="preserve">GAP-V2 FOUND AND CLOSED — Screens_Wireframes specifies 9 screens; the codebase shipped 2 (widget/softphone.html, widget/settings.html) while ST-005/015/025/035/045 (5 P0, 25 pts) claimed the Lightning utility-bar + LWC surface worked end to end, ST-079 claimed empty states on EVERY screen, and ST-089 claimed a WCAG pass on 'primary flows'. Built the 7 missing screens as typed view-models + one accessible renderer (src/views.ts), an adapter reading the live store/modules (src/screenData.ts) so they are a real surface not a self-tested module, and /ui routes. WCAG audit now covers 9 screens x populated+empty (18 axe assertions). One unreachable defensive branch deleted rather than pragma'd.</t>
  </si>
  <si>
    <t xml:space="preserve">GAP-V2,ST-079,ST-089,ST-x5</t>
  </si>
  <si>
    <t xml:space="preserve">7 screens built; a11y 2→9 screens</t>
  </si>
  <si>
    <t xml:space="preserve">D-V2 (LWC vs static-resource surface) = Senthil</t>
  </si>
  <si>
    <t xml:space="preserve">E035</t>
  </si>
  <si>
    <t xml:space="preserve">EXTERNAL VERIFICATION SWEEP #2 vs live Salesforce ISV docs — 5 findings, 1 of them structural. VER-V06: new Connected Apps cannot be created as of Spring '26; External Client Apps are the only path for a new ISV integration. Step 2 of the 30-minute dev-org guide was therefore not executable in any org today, and sweep A1/A2 + operator O1 + the data-flow diagram all encoded it. VER-V07..V09: four OAuth controls became mandatory for every partner CA/ECA on 11 May 2026, enforceable by interoperability suspension since 25 June 2026 — PKCE (missing from our code), refresh-token rotation, a 30-day refresh idle timeout (missing), and a refresh-token IP allowlist (missing). All fixed with pinned regressions. Invisible to 100% coverage and to two cold-review passes because nothing was wrong IN the code — it was wrong about the platform (FlowCast VER-001 / OnCall VER-OC1 class).</t>
  </si>
  <si>
    <t xml:space="preserve">VER-V06..V09</t>
  </si>
  <si>
    <t xml:space="preserve">PKCE+state, idle timeout, rotation telemetry, IP allowlist; ECA across code+docs+sweep</t>
  </si>
  <si>
    <t xml:space="preserve">O5 self-attestation + ECA build = Senthil</t>
  </si>
  <si>
    <t xml:space="preserve">E036</t>
  </si>
  <si>
    <t xml:space="preserve">VER-V10 COMMERCIAL VERIFICATION — AppExchange Checkout is NOT mandatory for a paid listing. The alternative is an ISVforce licence agreement with each order reported via the Channel Order Application (COA). Revenue share 15% ISVforce / 25% OEM; $999 security-review fee per paid-app submission; ~$150 annual listing renewal; 5-9 months typical end-to-end for a first listing. ST-059's provider abstraction already covers both; what was missing was the decision. Raised as D-V3 and fed into LC-1/LC-9 and the D15 sequencing math.</t>
  </si>
  <si>
    <t xml:space="preserve">VER-V10,ST-059,LC-1,LC-9,D15</t>
  </si>
  <si>
    <t xml:space="preserve">D-V3 raised</t>
  </si>
  <si>
    <t xml:space="preserve">Checkout vs ISVforce+COA = Senthil</t>
  </si>
  <si>
    <t xml:space="preserve">E037</t>
  </si>
  <si>
    <t xml:space="preserve">F-V21 LOGGED UNFIXED (High) — identity is caller-declared: every route takes userId from the request body and assertCan trusts it, so anyone who knows an orgId and an owner's userId acts as owner. Same class as MeetSync M-F11. AppExchange security review would fail on it. Deliberately NOT patched in this release: it needs a signed-session boundary across ~20 routes, which is a release of its own. Senthil directed 'continue' (not 'continue + auth') at 10:39, so it stands as his open disposition.</t>
  </si>
  <si>
    <t xml:space="preserve">F-V21</t>
  </si>
  <si>
    <t xml:space="preserve">Logged, not fixed</t>
  </si>
  <si>
    <t xml:space="preserve">Senthil decision: schedule the auth-boundary release</t>
  </si>
  <si>
    <t xml:space="preserve">E038</t>
  </si>
  <si>
    <t xml:space="preserve">D13 GATE RE-MET + RELEASE — 41 Jest suites / 274 tests, 100% statements/branches/functions/lines, zero pragmas. Story position deliberately UNCHANGED at 88 Done / 8 code-complete / 2 in progress / 2 drafted (380 of 399 pts): this is a correctness and surface release, and the 5 surface stories stay as they were until D-V2 is ratified and the org proves them. Tracker v008 + workbook v014 + code v0.14.0 released.</t>
  </si>
  <si>
    <t xml:space="preserve">v008 + v014 + v0.14.0 released</t>
  </si>
  <si>
    <t xml:space="preserve">E039</t>
  </si>
  <si>
    <t xml:space="preserve">CONTINUE directive 10:57 — ARTIFACT-GAP AUDIT opened, applying the sibling class that found OnCall GAP-OC1/OC2 and EngageOS GAP-E1/E2: for every artefact the docs, sweep, CI, k6 harness and manifests reference, does the thing actually exist?</t>
  </si>
  <si>
    <t xml:space="preserve">GAP-V3..V5</t>
  </si>
  <si>
    <t xml:space="preserve">Audit opened</t>
  </si>
  <si>
    <t xml:space="preserve">E040</t>
  </si>
  <si>
    <t xml:space="preserve">GAP-V3 CRITICAL — NO PROCESS. createApp() has existed since S1 and nothing in the repo ever called listen(); there was also no production OAuthGateway, only test doubles. So the ECA callback URL, sweep check A7's /health probe, the k6 harness, and the softphone's /dial and /log posts all pointed at a server that could not be started, and the install flow the dev-org guide describes had no code path at all. FIXED — src/server.ts (PORT-aware start(), logs on listen, drains on SIGTERM/SIGINT), src/main.ts one-line entry, src/sfGateway.ts real token-endpoint client sending code_verifier with 5xx-retryable/4xx-terminal classification, npm start + npm run dev. 12 regressions incl. a real request over the real transport against a real listening port.</t>
  </si>
  <si>
    <t xml:space="preserve">GAP-V3,ST-051,ST-086</t>
  </si>
  <si>
    <t xml:space="preserve">Service is runnable; 30-min guide executable end to end</t>
  </si>
  <si>
    <t xml:space="preserve">E041</t>
  </si>
  <si>
    <t xml:space="preserve">GAP-V4 CRITICAL — NO SCHEMA. Sweep check A5 demanded DATABASE_URL, backup.ts ran a backup/restore drill and lifecycle.sweep() implemented the published 30-day deletion policy — every one of them against an in-memory Map. FIXED — 5 ordered migrations (orgs, org_tokens, org_roles, org_records with per-(org,kind) monotonic seq, org_record_drops, pkce_states, schema_migrations), npm run migrate, and a tested planner enforcing filename order, never-re-run, and checksum-drift-is-a-hard-error. Every org-scoped table cascades on delete so the F-V01/F-V08 breach class cannot recur at the storage layer. 8 regressions.</t>
  </si>
  <si>
    <t xml:space="preserve">GAP-V4,ST-052,ST-090,R-V4</t>
  </si>
  <si>
    <t xml:space="preserve">Schema exists and is applied by a guarded runner</t>
  </si>
  <si>
    <t xml:space="preserve">R-V11: runtime still in-memory</t>
  </si>
  <si>
    <t xml:space="preserve">E042</t>
  </si>
  <si>
    <t xml:space="preserve">GAP-V5 — CI pinned Node 20 on both jobs; Node 20 reached end of life in April 2026 and the local toolchain already runs 22. FIXED with a regression that fails the build if a past-EOL pin returns. Same staleness class as TestPulse's nodejs20→22 and VoiceBridge's own VER-V04 sourceApiVersion 61.0→67.0.</t>
  </si>
  <si>
    <t xml:space="preserve">GAP-V5</t>
  </si>
  <si>
    <t xml:space="preserve">CI on Node 22</t>
  </si>
  <si>
    <t xml:space="preserve">E043</t>
  </si>
  <si>
    <t xml:space="preserve">R-V11 LOGGED, NOT HIDDEN — the migrations describe the store; the running code still uses the in-memory Store. Nothing reads or writes Postgres yet, because the swap means making the repository async across every module. docs/runtime-and-schema.md says so in terms: the presence of db/migrations/ must not be read as persistence. Until the adapter lands, every cap, purge, role and entitlement is process-local and dies on restart (MeetSync OBS-M3 class). Shipping the schema without saying this would have created exactly the artifact-vs-code gap this audit exists to close.</t>
  </si>
  <si>
    <t xml:space="preserve">R-V11,R-V4</t>
  </si>
  <si>
    <t xml:space="preserve">Divergence documented</t>
  </si>
  <si>
    <t xml:space="preserve">Adapter + F-V21 both owed before a real-data pilot</t>
  </si>
  <si>
    <t xml:space="preserve">E044</t>
  </si>
  <si>
    <t xml:space="preserve">D13 GATE RE-MET + RELEASE — 42 Jest suites / 296 tests, 100% statements/branches/functions/lines, zero pragmas (the one entry-point istanbul-ignore written during the sprint was removed in favour of a one-line main.ts that the suite actually starts). Story position unchanged at 88 Done / 8 code-complete / 2 in progress / 2 drafted (380 of 399) — infrastructure, not stories. Tracker v009 + workbook v015 + code v0.15.0 released.</t>
  </si>
  <si>
    <t xml:space="preserve">v009 + v015 + v0.15.0 released</t>
  </si>
  <si>
    <t xml:space="preserve">E045</t>
  </si>
  <si>
    <t xml:space="preserve">CONTINUE directive 11:14 — COLD-REVIEW PASS 3 opened over the v0.14.0/v0.15.0 surfaces only (views, screenData, /ui routes, server, sfGateway, migrations), applying the sibling lesson L-OC4 that new surfaces inherit old blind spots. OnCall's pass 3 over its new HTTP layer found two criticals by exactly this route.</t>
  </si>
  <si>
    <t xml:space="preserve">L-OC4</t>
  </si>
  <si>
    <t xml:space="preserve">Pass 3 opened</t>
  </si>
  <si>
    <t xml:space="preserve">E046</t>
  </si>
  <si>
    <t xml:space="preserve">F-V23 FOUND — A DEFECT INTRODUCED LAST RELEASE. The /ui routes shipped in v0.14.0 read the org id straight from the URL and checked nothing, so any caller who knew or guessed an org id could read that org's billing status, invoices, activation funnel, usage heatmap and open support conversations. Worse than F-V21: that at least required a plausible userId. Building the screens closed a gap and opened a hole, and only a review aimed at the new surface would have caught it.</t>
  </si>
  <si>
    <t xml:space="preserve">F-V23,GAP-V2</t>
  </si>
  <si>
    <t xml:space="preserve">Found</t>
  </si>
  <si>
    <t xml:space="preserve">Fix requires the F-V21 boundary</t>
  </si>
  <si>
    <t xml:space="preserve">E047</t>
  </si>
  <si>
    <t xml:space="preserve">F-V21 + F-V23 CLOSED — the identity boundary. src/auth.ts mints HMAC-SHA256 sessions over (orgId, userId, issuedAt) with a constant-time comparison; /oauth/callback is the only place one is issued, because it is the one hop Salesforce vouches for. Every org-scoped route now derives identity from the session, and a body or URL that claims a different org or user is refused as forgery rather than honoured. VB_SESSION_SECRET is required at boot with a 32-char floor — a default secret is the same as no secret. Status codes split: 401 for identity, 403 for authorisation, 400 for everything else, where all three used to be 400.</t>
  </si>
  <si>
    <t xml:space="preserve">F-V21,F-V23,ST-054,LC-3</t>
  </si>
  <si>
    <t xml:space="preserve">Boundary shipped; 21 regressions</t>
  </si>
  <si>
    <t xml:space="preserve">Sessions need VB_SESSION_SECRET at deploy</t>
  </si>
  <si>
    <t xml:space="preserve">E048</t>
  </si>
  <si>
    <t xml:space="preserve">F-V24/V25/V26 — three ways the new surfaces could be held open or grown. F-V24: /oauth/start is public, so the PKCE verifier map was an unbounded structure anyone could drive; OBS-V5 had assumed only real installs could grow it. Now TTL-swept on write and FIFO-capped like every other ledger (F-V05). F-V25: no timeout on the token endpoint, so a hung Salesforce hung the install indefinitely; 10s AbortController, retryable. F-V26: server.close() waits on open connections, so one long-lived client could outlast the orchestrator's kill window and turn a rolling deploy into a hard kill mid-request; drain then force, with the forced path exported so it is actually tested. F-V26b: the listening log printed the requested port, so PORT=0 logged 'listening on 0'.</t>
  </si>
  <si>
    <t xml:space="preserve">F-V24,F-V25,F-V26</t>
  </si>
  <si>
    <t xml:space="preserve">All fixed with regressions</t>
  </si>
  <si>
    <t xml:space="preserve">E049</t>
  </si>
  <si>
    <t xml:space="preserve">D13 GATE RE-MET + RELEASE — 43 Jest suites / 318 tests, 100% statements/branches/functions/lines, zero pragmas. Story position unchanged at 88 Done / 8 code-complete / 2 in progress / 2 drafted (380 of 399) — correctness, not stories. Tracker v010 + workbook v016 + code v0.16.0. R-V11 (in-memory runtime) is now the last known divergence between what the artifacts claim and what the code does.</t>
  </si>
  <si>
    <t xml:space="preserve">v010 + v016 + v0.16.0 released</t>
  </si>
  <si>
    <t xml:space="preserve">R-V11 is the remaining codeable item</t>
  </si>
  <si>
    <t xml:space="preserve">E050</t>
  </si>
  <si>
    <t xml:space="preserve">CONTINUE + 'do all properly' 11:35/11:36 — R-V11 opened. Sized before committing: 91 store call sites across 20 modules, 277 store/await lines in tests. A one-pass async conversion cannot hold the D13 gate mid-flight, so the work is staged with a green build at every step. Three designs weighed: async repository (correct, survives blue/green), write-through journal (cheap, but two instances diverge so it breaks ST-092), per-request unit of work (safe, but loads megabytes to place one call). Async repository chosen.</t>
  </si>
  <si>
    <t xml:space="preserve">R-V11,ST-092</t>
  </si>
  <si>
    <t xml:space="preserve">Staged plan locked in docs/r-v11-plan.md</t>
  </si>
  <si>
    <t xml:space="preserve">E051</t>
  </si>
  <si>
    <t xml:space="preserve">R-V11 STAGE 1 SHIPPED — Repository interface + InMemoryRepository + PgRepository + 006_sequences.sql, and a conformance suite running the same behavioural tests against both implementations (account round-trip incl. optional-field nulls, token lifecycle, per-org role deletion, record ordering and scoping, FIFO eviction with drop counting, monotonic per-(org,kind) sequences, purge isolation). Plus SQL-shape tests the conformance double cannot cover: every value parameterised, the counter incremented in one statement, drop rows written only when rows were actually evicted, driver-decoded payloads not parsed twice.</t>
  </si>
  <si>
    <t xml:space="preserve">R-V11,F-V05,F-V19</t>
  </si>
  <si>
    <t xml:space="preserve">Stage 1 done; 22 regressions</t>
  </si>
  <si>
    <t xml:space="preserve">Stage 2 = audit.ts + notifications.ts</t>
  </si>
  <si>
    <t xml:space="preserve">E052</t>
  </si>
  <si>
    <t xml:space="preserve">R-V11 STAYS OPEN, DELIBERATELY — createApp() still constructs the synchronous Store, so nothing in the running app touches Postgres yet. Stage 1 is not persistence, in exactly the way db/migrations/ was not persistence on its own, and the release notes say so rather than implying progress the code has not made. Two limits recorded: the runtime divergence remains until the last stage lands, and PgRepository is verified against a recording double — the three behaviours that matter most (cap enforcement, cascade, atomic counter) are precisely the ones a double cannot prove, so new operator step O6 runs the conformance suite against live Postgres before R-V11 closes.</t>
  </si>
  <si>
    <t xml:space="preserve">R-V11,O6</t>
  </si>
  <si>
    <t xml:space="preserve">Sweep now 10 auto + 6 operator</t>
  </si>
  <si>
    <t xml:space="preserve">Live Postgres = Senthil</t>
  </si>
  <si>
    <t xml:space="preserve">E053</t>
  </si>
  <si>
    <t xml:space="preserve">D13 GATE RE-MET + RELEASE — 44 Jest suites / 340 tests, 100% statements/branches/functions/lines, zero pragmas. Story position unchanged at 88 Done / 8 code-complete / 2 in progress / 2 drafted (380 of 399). Tracker v011 + workbook v017 + code v0.17.0.</t>
  </si>
  <si>
    <t xml:space="preserve">v011 + v017 + v0.17.0 released</t>
  </si>
  <si>
    <t xml:space="preserve">Stage 2 next</t>
  </si>
  <si>
    <t xml:space="preserve">E054</t>
  </si>
  <si>
    <t xml:space="preserve">R-V11 STAGE 2 OPENED, AND THE PLAN FAILED ITS FIRST CONTACT. The v0.17.0 order started with audit.ts and notifications.ts as 'leaf modules, nothing depends on them'. Correct about the dependency graph, wrong about this refactor: async cascades toward callers. audit.record() going async forces featureCore async, which forces all five feature modules async, which forces app.ts and demoMode — the whole tree in one step. A dependency-leaf is the largest possible conversion, not the smallest.</t>
  </si>
  <si>
    <t xml:space="preserve">R-V11,L-V9</t>
  </si>
  <si>
    <t xml:space="preserve">Plan corrected before any code was written</t>
  </si>
  <si>
    <t xml:space="preserve">E055</t>
  </si>
  <si>
    <t xml:space="preserve">CORRECTED RULE: convert a module only once all its callers are already async. A synchronous module cannot await; an async module calls a synchronous dependency without complaint. So the conversion runs TOP-DOWN from the route handlers, and audit/notifications are genuinely LAST, not first. docs/r-v11-plan.md rewritten as 8 stages in that order.</t>
  </si>
  <si>
    <t xml:space="preserve">R-V11</t>
  </si>
  <si>
    <t xml:space="preserve">8-stage order fixed</t>
  </si>
  <si>
    <t xml:space="preserve">E056</t>
  </si>
  <si>
    <t xml:space="preserve">STAGE 2 EXECUTED under the corrected order — supportChat.ts and screenData.ts on the async Repository. Chosen because their only callers are route handlers, which wrap() already resolves promises for, so the cascade stopped at the door and nothing else had to move. Test conversion was the bulk of it: throw-style assertions on now-async methods become rejects assertions, and an unawaited open() in the screen-data test failed loudly rather than silently — which is the reason each stage runs the full gate.</t>
  </si>
  <si>
    <t xml:space="preserve">supportChat + screenData converted</t>
  </si>
  <si>
    <t xml:space="preserve">Stage 3 = statusPage/helpCenter/pricingPage/trustPage</t>
  </si>
  <si>
    <t xml:space="preserve">E057</t>
  </si>
  <si>
    <t xml:space="preserve">D13 GATE RE-MET + RELEASE — 44 Jest suites / 340 tests, 100% statements/branches/functions/lines, zero pragmas. Story position unchanged at 88 Done / 8 code-complete / 2 in progress / 2 drafted (380 of 399). Tracker v012 + workbook v018 + code v0.18.0. R-V11 remains OPEN — two modules of twenty are converted and createApp() still builds the synchronous Store for the rest.</t>
  </si>
  <si>
    <t xml:space="preserve">D13,R-V11</t>
  </si>
  <si>
    <t xml:space="preserve">v012 + v018 + v0.18.0 released</t>
  </si>
  <si>
    <t xml:space="preserve">Stage 3 next</t>
  </si>
  <si>
    <t xml:space="preserve">E058</t>
  </si>
  <si>
    <t xml:space="preserve">STAGE 3 AS PLANNED WAS VACUOUS. statusPage, helpCenter, pricingPage and trustPage do not touch the store at all — `grep -c "store."` returns 0 for each; they are pure functions over config and constants. They were listed as a stage because they looked like the right shape, not because anyone checked. One grep before writing code caught it; the plan now says to verify a module actually touches the repository before giving it a stage.</t>
  </si>
  <si>
    <t xml:space="preserve">Stage 3 rewritten</t>
  </si>
  <si>
    <t xml:space="preserve">E059</t>
  </si>
  <si>
    <t xml:space="preserve">STAGE 3 EXECUTED — analytics.ts and onboarding.ts on the async Repository. Callers checked first: route handlers (wrap resolves), screenData (async since stage 2), and runbook.ts, which only uses the pure p95WithinBudget and therefore stays synchronous. The cascade stopped exactly where the corrected rule predicted it would, which is the first evidence the rule is right.</t>
  </si>
  <si>
    <t xml:space="preserve">analytics + onboarding converted; 4 of 20 modules</t>
  </si>
  <si>
    <t xml:space="preserve">Stage 4 = billing.ts</t>
  </si>
  <si>
    <t xml:space="preserve">E060</t>
  </si>
  <si>
    <t xml:space="preserve">R-V14 LOGGED — TRANSITIONAL SPLIT-BRAIN. createApp() now builds both a synchronous Store (for the 18 unconverted modules) and one shared InMemoryRepository (for the 4 converted). Unavoidable mid-migration, but backup.ts snapshots the Store ONLY, so support tickets, funnel events and onboarding progress are outside the ST-090 drill until the last stage lands. Recorded rather than left to be discovered: the backup drill must not be cited as evidence of completeness while stages are in flight.</t>
  </si>
  <si>
    <t xml:space="preserve">R-V14,ST-090</t>
  </si>
  <si>
    <t xml:space="preserve">Split-brain documented</t>
  </si>
  <si>
    <t xml:space="preserve">Closes when stage 8 lands</t>
  </si>
  <si>
    <t xml:space="preserve">E061</t>
  </si>
  <si>
    <t xml:space="preserve">D13 GATE RE-MET + RELEASE — 44 Jest suites / 340 tests, 100% statements/branches/functions/lines, zero pragmas. Story position unchanged at 88 Done / 8 code-complete / 2 in progress / 2 drafted (380 of 399). Tracker v013 + workbook v019 + code v0.19.0.</t>
  </si>
  <si>
    <t xml:space="preserve">v013 + v019 + v0.19.0 released</t>
  </si>
  <si>
    <t xml:space="preserve">Stage 4 next</t>
  </si>
  <si>
    <t xml:space="preserve">E062</t>
  </si>
  <si>
    <t xml:space="preserve">STAGE 4 (billing.ts) BLOCKED — featureCore.assertWritable() calls writeBlocked() from billing.ts, and featureCore is still synchronous so it cannot await. billing converts AFTER featureCore, not before. Third ordering error on this refactor; the same rule caught it, applied to every caller rather than the obvious ones.</t>
  </si>
  <si>
    <t xml:space="preserve">Stage 4 deferred</t>
  </si>
  <si>
    <t xml:space="preserve">E063</t>
  </si>
  <si>
    <t xml:space="preserve">SHIPPED INSTEAD — designPartners.ts converted (no src/ callers, so the cascade was empty). demoMode.ts was attempted in the same stage and REVERTED: it writes roles that the still-synchronous feature modules read, so converting it alone left the roles in the repository and the readers on the Store, and the demo seed came back 403. The gate caught it, not a review. R-V14 is now concrete rather than theoretical, and demoMode is pinned to convert with permissions/featureCore.</t>
  </si>
  <si>
    <t xml:space="preserve">R-V11,R-V14</t>
  </si>
  <si>
    <t xml:space="preserve">designPartners converted; demoMode reverted</t>
  </si>
  <si>
    <t xml:space="preserve">5 of 20 modules</t>
  </si>
  <si>
    <t xml:space="preserve">E064</t>
  </si>
  <si>
    <t xml:space="preserve">D13 GATE RE-MET + RELEASE — 44 Jest suites / 340 tests, 100% zero pragmas. Story position unchanged at 88/8/2/2 (380 of 399). Tracker v014 + workbook v020 + code v0.20.0. The easy stages are done: everything remaining runs through the featureCore/permissions cluster, which is one large stage rather than several small ones.</t>
  </si>
  <si>
    <t xml:space="preserve">v014 + v020 + v0.20.0</t>
  </si>
  <si>
    <t xml:space="preserve">Stage 5 is the cluster</t>
  </si>
  <si>
    <t xml:space="preserve">E065</t>
  </si>
  <si>
    <t xml:space="preserve">R-V11 STAGE 5 EXECUTED — the featureCore/permissions cluster converted as one unit: permissions (assertCan), featureCore, dialer, callLogger, cadence, coaching, flowActions, billing, audit, notifications, demoMode, lifecycle, screenData. Converted together rather than singly because they share roles, feature state and records — splitting them across two stores is exactly what broke v0.20.0's demoMode attempt (L-V11). createApp() now builds one shared repository.</t>
  </si>
  <si>
    <t xml:space="preserve">R-V11,L-V11</t>
  </si>
  <si>
    <t xml:space="preserve">Cluster converted; 16 of 20 modules</t>
  </si>
  <si>
    <t xml:space="preserve">E066</t>
  </si>
  <si>
    <t xml:space="preserve">REAL DEFECT FOUND MID-CONVERSION — flowActions.invoke() assigned the PROMISE returned by each action to `output` instead of awaiting it, so a rejected action escaped the try/catch that records the failed run and rethrows. The failure path (record then rethrow, the retry contract Flow depends on) was silently broken and TypeScript did not complain, because a floating promise is a valid expression. Fixed by awaiting collaborator calls across the whole source rather than module by module.</t>
  </si>
  <si>
    <t xml:space="preserve">R-V11,ST-041..050</t>
  </si>
  <si>
    <t xml:space="preserve">Failure path restored</t>
  </si>
  <si>
    <t xml:space="preserve">E067</t>
  </si>
  <si>
    <t xml:space="preserve">LEGACY STORE TRIMMED, NOT LEFT BEHIND — records, roles, accounts, the FIFO cap and the per-(org,kind) counter were deleted from store.ts once the domain stopped using them. Carrying them would have meant either dead code or coverage propped up by tests of code nothing calls. What remains is only what still needs a synchronous home: PKCE state and the snapshot/restore drill.</t>
  </si>
  <si>
    <t xml:space="preserve">store.ts reduced to two responsibilities</t>
  </si>
  <si>
    <t xml:space="preserve">Stage 6 removes it entirely</t>
  </si>
  <si>
    <t xml:space="preserve">E068</t>
  </si>
  <si>
    <t xml:space="preserve">D13 GATE RE-MET + RELEASE — 44 Jest suites / 340 tests, 100% statements/branches/functions/lines, zero pragmas. Story position unchanged at 88 Done / 8 code-complete / 2 in progress / 2 drafted (380 of 399). Tracker v015 + workbook v021 + code v0.21.0.</t>
  </si>
  <si>
    <t xml:space="preserve">v015 + v021 + v0.21.0</t>
  </si>
  <si>
    <t xml:space="preserve">Stage 6 = sfAuth PKCE + backup</t>
  </si>
  <si>
    <t xml:space="preserve">E069</t>
  </si>
  <si>
    <t xml:space="preserve">R-V11 STAGE 6 — sfAuth's PKCE state and backup's snapshot/restore converted, the last two consumers of the legacy Store. src/store.ts and test/store.test.ts DELETED; Account/TokenSet/UserRole/PkceEntry moved into src/repository.ts. createApp() now builds exactly one store. 20 of 20 modules converted.</t>
  </si>
  <si>
    <t xml:space="preserve">Legacy store deleted</t>
  </si>
  <si>
    <t xml:space="preserve">O6 still gates closure</t>
  </si>
  <si>
    <t xml:space="preserve">E070</t>
  </si>
  <si>
    <t xml:space="preserve">R-V14 CLOSED — the split-brain is gone. While stages were in flight, backup.ts snapshotted only the sync Store, so converted modules' data sat outside the ST-090 drill. With one store there is nothing outside it. snapshot/restore was deliberately kept OFF the Repository interface as a separate SnapshotCapable: in Postgres the drill is pg_dump/pg_restore, and putting a JSON dump on every implementation would have meant writing one that must never be used in production.</t>
  </si>
  <si>
    <t xml:space="preserve">Drill covers all data</t>
  </si>
  <si>
    <t xml:space="preserve">E071</t>
  </si>
  <si>
    <t xml:space="preserve">DEAD CODE REMOVED RATHER THAN COVERED — wrap() in app.ts still had a synchronous branch that nothing could reach once every handler became async. Deleted; wrap now routes through Promise.resolve(), which also means a handler that throws before returning lands in the same error envelope instead of escaping as an unhandled rejection (MeetSync M-F21 class). Same treatment as the Store trim in stage 5: the alternative was coverage propped up by tests of unreachable code.</t>
  </si>
  <si>
    <t xml:space="preserve">wrap simplified + hardened</t>
  </si>
  <si>
    <t xml:space="preserve">E072</t>
  </si>
  <si>
    <t xml:space="preserve">D13 GATE RE-MET + RELEASE — 43 Jest suites / 339 tests, 100% statements/branches/functions/lines, zero pragmas. Story position unchanged at 88 Done / 8 code-complete / 2 in progress / 2 drafted (380 of 399). Tracker v016 + workbook v022 + code v0.22.0. R-V11's code half is complete after six staged releases; R-V13/O6 (live Postgres run) is the only thing between it and closure.</t>
  </si>
  <si>
    <t xml:space="preserve">v016 + v022 + v0.22.0</t>
  </si>
  <si>
    <t xml:space="preserve">O6 = Senthil</t>
  </si>
  <si>
    <t xml:space="preserve">E073</t>
  </si>
  <si>
    <t xml:space="preserve">POST-CONVERSION REVIEW OPENED — R-V11 rewrote every module, so the release that follows it gets reviewed against what the conversion could have silently changed rather than what the diff shows. Target class from L-V12: guarantees the synchronous execution model was providing for free.</t>
  </si>
  <si>
    <t xml:space="preserve">R-V11,L-V12</t>
  </si>
  <si>
    <t xml:space="preserve">Review opened</t>
  </si>
  <si>
    <t xml:space="preserve">E074</t>
  </si>
  <si>
    <t xml:space="preserve">F-V28 FOUND — FOUR GUARDS THAT ONLY WORKED BECAUSE THE CODE WAS SYNCHRONOUS. The cadence limit, the F-V15 duplicate-enrollment check, the activity dedupe and the ten-slot partner cap are all read-decide-write. Each now has an await in the middle, so two concurrent requests can both pass the check and both write. Nothing in 339 tests could see it: every test awaits its calls in sequence, which is precisely the case the bug does not occur in. Fixed with a per-(org,resource) serial queue; 11 regressions that fire calls concurrently and assert the cap holds (5 creates against a limit of 2 → exactly 2; 15 invites against 10 slots → exactly 10; 3 identical provider retries → 1 activity).</t>
  </si>
  <si>
    <t xml:space="preserve">F-V28,F-V15</t>
  </si>
  <si>
    <t xml:space="preserve">Guards serialised</t>
  </si>
  <si>
    <t xml:space="preserve">E075</t>
  </si>
  <si>
    <t xml:space="preserve">F-V19 FOUND AGAIN, AT MODULE LEVEL — cadence ids came from `private seq = 0` on the engine instance, so two processes both mint CAD-1 and a restart resets the counter. The repository's atomic nextSeq existed and this one caller had been missed. Same defect class the storage layer was designed to prevent, one level up.</t>
  </si>
  <si>
    <t xml:space="preserve">F-V19</t>
  </si>
  <si>
    <t xml:space="preserve">Ids from the repository</t>
  </si>
  <si>
    <t xml:space="preserve">dialer CALL-n has the same shape — see R-V16</t>
  </si>
  <si>
    <t xml:space="preserve">E076</t>
  </si>
  <si>
    <t xml:space="preserve">R-V15 LOGGED, NOT PAPERED OVER — the lock serialises within ONE process. ST-092 describes a blue/green deploy where two instances run at once, and there the guards need the database: a unique index for the dedupe, SELECT..FOR UPDATE or a counted constraint for the caps. Deliberately not attempted now: an in-process lock that appears to cover the multi-instance case is worse than one documented as not covering it.</t>
  </si>
  <si>
    <t xml:space="preserve">R-V15,ST-092</t>
  </si>
  <si>
    <t xml:space="preserve">Scope limit documented</t>
  </si>
  <si>
    <t xml:space="preserve">Lands with the PgRepository cutover</t>
  </si>
  <si>
    <t xml:space="preserve">E077</t>
  </si>
  <si>
    <t xml:space="preserve">D13 GATE RE-MET + RELEASE — 44 Jest suites / 350 tests, 100% statements/branches/functions/lines, zero pragmas. Story position unchanged at 88 Done / 8 code-complete / 2 in progress / 2 drafted (380 of 399). Tracker v017 + workbook v023 + code v0.23.0.</t>
  </si>
  <si>
    <t xml:space="preserve">v017 + v023 + v0.23.0</t>
  </si>
  <si>
    <t xml:space="preserve">O6 and R-V15 both need live Postgres</t>
  </si>
  <si>
    <t xml:space="preserve">E078</t>
  </si>
  <si>
    <t xml:space="preserve">R-V15 DEDUPE HALF CLOSED — migration 007 adds a unique expression index on (org_id, kind, payload-&gt;&gt;'externalId') for activities, and the repository gains pushIfAbsent() implemented as INSERT..ON CONFLICT DO NOTHING. The F-V28 lock is still in front of it, but the guarantee now comes from the database, which is the only place it can hold across two instances. Conformance tests run the same assertions against both implementations, plus a check that the migration names the same field the caller passes — the two drifting apart would silently disable the constraint.</t>
  </si>
  <si>
    <t xml:space="preserve">R-V15,F-V28</t>
  </si>
  <si>
    <t xml:space="preserve">Dedupe enforced in the schema</t>
  </si>
  <si>
    <t xml:space="preserve">Caps half still open</t>
  </si>
  <si>
    <t xml:space="preserve">E079</t>
  </si>
  <si>
    <t xml:space="preserve">R-V15 CAPS HALF DELIBERATELY LEFT OPEN — the cadence limit and the ten-slot partner cap are counted constraints, not uniqueness, so no index expresses them. They need a transaction (SELECT count(*) .. FOR UPDATE, or a trigger), and SqlClient has no transaction surface. Adding one is a design decision about where transaction boundaries sit across the repository, not a patch to slip into a review release. Stated in docs/runtime-and-schema.md: do not run blue/green with real tenants until it lands.</t>
  </si>
  <si>
    <t xml:space="preserve">Scope of the remaining half named</t>
  </si>
  <si>
    <t xml:space="preserve">Needs a transaction-surface decision</t>
  </si>
  <si>
    <t xml:space="preserve">E080</t>
  </si>
  <si>
    <t xml:space="preserve">R-V16 CLOSED — dialer call ids moved from `private seq = 0` to the repository's atomic counter, matching the cadence fix from v0.23.0. Cheap, and it removes the last per-instance counter in the codebase.</t>
  </si>
  <si>
    <t xml:space="preserve">R-V16,F-V19</t>
  </si>
  <si>
    <t xml:space="preserve">Closed</t>
  </si>
  <si>
    <t xml:space="preserve">E081</t>
  </si>
  <si>
    <t xml:space="preserve">D13 GATE RE-MET + RELEASE — 44 Jest suites / 353 tests, 100% statements/branches/functions/lines, zero pragmas. Story position unchanged at 88 Done / 8 code-complete / 2 in progress / 2 drafted (380 of 399). Tracker v018 + workbook v024 + code v0.24.0.</t>
  </si>
  <si>
    <t xml:space="preserve">v018 + v024 + v0.24.0</t>
  </si>
  <si>
    <t xml:space="preserve">O6 + R-V15 caps half</t>
  </si>
  <si>
    <t xml:space="preserve">E082</t>
  </si>
  <si>
    <t xml:space="preserve">EXTERNAL REVIEW V001 RECEIVED — ChatGPT (GPT-5.6 Sol) statically reviewed the 17:25 package (v0.23.0, 159 files), workbook v023 and tracker v017, with the 16:51 pair as lineage. Decision: REJECT — do not use a real customer org, real telephony/WhatsApp traffic or AppExchange submission until five blockers close. This is an AI second opinion, not the nominated human second reviewer, so ST-097/DR-12 do NOT close on it.</t>
  </si>
  <si>
    <t xml:space="preserve">VB-CR-001..014,ST-097,DR-12</t>
  </si>
  <si>
    <t xml:space="preserve">Review received</t>
  </si>
  <si>
    <t xml:space="preserve">E083</t>
  </si>
  <si>
    <t xml:space="preserve">ALL 14 FINDINGS RE-VERIFIED AGAINST v0.24.0, NOT ACCEPTED ON TRUST — the 17:31 release touched callLogger, dialer, repository, migration 007 and package.json only, so nothing in it answers the review. Verified in the current package: app.ts:34 still `new InMemoryRepository()`; only app.post('/oauth/callback') exists; `String(req.body.userId ?? 'installer')` is still persisted as owner; package.json dependencies = express alone while scripts/migrate.ts dynamically imports pg; jest collectCoverageFrom = src/**/*.ts only; RUN_STAMP 2026-09-11T07:52:09Z; HYPERFORCE_REGION defaults to ap-south; softphone pending queue is adapter state only. ALL 14 STAND.</t>
  </si>
  <si>
    <t xml:space="preserve">VB-CR-001..014</t>
  </si>
  <si>
    <t xml:space="preserve">Findings confirmed at v0.24.0</t>
  </si>
  <si>
    <t xml:space="preserve">E084</t>
  </si>
  <si>
    <t xml:space="preserve">WHY WE MISSED THEM — every blocker is a SEAM, not a module. Cold-review passes 1-3, two external verification sweeps and the artifact-gap audit found 28 defects inside modules and zero of these five, because each side of each seam is individually tested and the two are never instantiated together: widget↔app (VB-CR-001), browser↔callback (VB-CR-002), gateway↔identity (VB-CR-003), factory↔repository (VB-CR-004), product promise↔provider (VB-CR-005). L-V15 logged; the fix class is contract tests, not more module passes.</t>
  </si>
  <si>
    <t xml:space="preserve">L-V15,VB-CR-001..005</t>
  </si>
  <si>
    <t xml:space="preserve">Lesson logged</t>
  </si>
  <si>
    <t xml:space="preserve">E085</t>
  </si>
  <si>
    <t xml:space="preserve">STATUS CLAIM CORRECTED RATHER THAN DEFENDED — the reviewer is right that 96/100 reads as product readiness. The rollup and Sprint_Board are relabelled CODE STATUS, and Traceability_Matrix column L now names the findings bearing on each story block. The deeper call is yours: D-V4 asks whether ST-001..020 (click-to-dial + auto call/WhatsApp logging) should be reclassified Prototype (code-only) until a provider path exists, which would move the counted position from 96/100 to 76/100.</t>
  </si>
  <si>
    <t xml:space="preserve">D-V4,VB-CR-005,VB-CR-008</t>
  </si>
  <si>
    <t xml:space="preserve">Readiness column added; D-V4 opened</t>
  </si>
  <si>
    <t xml:space="preserve">Reclassification is Senthil's call</t>
  </si>
  <si>
    <t xml:space="preserve">E086</t>
  </si>
  <si>
    <t xml:space="preserve">RELEASE EVIDENCE DECLARED STALE BY US, NOT JUST BY THE REVIEWER — security/evidence/ was generated 11 Sep 07:52Z; test-run.log reports 24 suites / 101 tests and still names the deleted store.ts, against a package that runs 44 suites / 353 tests. Nothing in that folder attests to any build after 11 Sep. Treated as evidence-integrity debt (RM-07), and L-V16 logged: packaging must fail when evidence predates source.</t>
  </si>
  <si>
    <t xml:space="preserve">VB-CR-009,VB-CR-010,VB-CR-013,L-V16</t>
  </si>
  <si>
    <t xml:space="preserve">Evidence pack marked invalid</t>
  </si>
  <si>
    <t xml:space="preserve">E087</t>
  </si>
  <si>
    <t xml:space="preserve">REMEDIATION PLAN RM-01..RM-09 DRAFTED to the reviewer closure order and split honestly: RM-01/02/03/06/07/08 are codeable now with no input from you; RM-04 (real telephony + Salesforce Task write-back) needs D-V5, RM-05 (WhatsApp build vs claim withdrawal) needs D-V6, RM-09 (financial scenarios) needs D-V7. New Remediation_Plan sheet carries the mapping, the sequence and the effort.</t>
  </si>
  <si>
    <t xml:space="preserve">RM-01..RM-09,D-V5,D-V6,D-V7</t>
  </si>
  <si>
    <t xml:space="preserve">Plan sheet added</t>
  </si>
  <si>
    <t xml:space="preserve">D-V5/D-V6/D-V7 are yours</t>
  </si>
  <si>
    <t xml:space="preserve">E088</t>
  </si>
  <si>
    <t xml:space="preserve">LIVE WORK PARKED UNTIL THE BLOCKERS CLOSE (R-V17) — O6 live-Postgres conformance, the 12-step sweep, the dev-org day, LC-3 pen-test and the DR-12 nomination all stay parked. Spending a dev-org day on a build whose install flow lands on an unhandled GET would burn the day and prove nothing; the sweep would pass its automated steps and still not install.</t>
  </si>
  <si>
    <t xml:space="preserve">R-V17,O6,LC-3,DR-12</t>
  </si>
  <si>
    <t xml:space="preserve">Live chain parked</t>
  </si>
  <si>
    <t xml:space="preserve">Deliberate hold</t>
  </si>
  <si>
    <t xml:space="preserve">E089</t>
  </si>
  <si>
    <t xml:space="preserve">RELEASE — tracker v019 + workbook v025 issued at 18:00 with code UNCHANGED at v0.24.0. D13 gate not re-run because no source changed; the 44 suites / 353 tests at 100% statement/branch/function/line coverage from v0.24.0 stand, with R-V18 recording that this metric covers src/**/*.ts and not scripts, widget bootstrap, package assets, SQL or CI.</t>
  </si>
  <si>
    <t xml:space="preserve">D13,R-V18</t>
  </si>
  <si>
    <t xml:space="preserve">v019 + v025 released</t>
  </si>
  <si>
    <t xml:space="preserve">v020 = RM execution</t>
  </si>
  <si>
    <t xml:space="preserve">E090</t>
  </si>
  <si>
    <t xml:space="preserve">2026-09-13 18:27</t>
  </si>
  <si>
    <t xml:space="preserve">RM SPRINT OPENED on your "continue" — the six codeable packages only. RM-04 (telephony + CRM write-back), RM-05 (WhatsApp) and RM-09 (financial scenarios) were deliberately NOT started: each needs a decision from you first, and guessing a provider would have been the expensive kind of wrong.</t>
  </si>
  <si>
    <t xml:space="preserve">Sprint opened</t>
  </si>
  <si>
    <t xml:space="preserve">RM-04/05/09 await decisions</t>
  </si>
  <si>
    <t xml:space="preserve">E091</t>
  </si>
  <si>
    <t xml:space="preserve">RM-01 DONE (VB-CR-002 + VB-CR-003) — GET /oauth/callback reads req.query and 302s to the welcome page with the session as an HttpOnly cookie (SameSite=None; Secure for the in-org frame); POST survives for scripted installs. Identity now comes from the token response identity URL AND is confirmed by calling that identity endpoint with the freshly issued token: timeout, non-200 and a disagreeing response all fail closed. A callback carrying userId=attacker is ignored and the attacker's bearer gets 403 NO_ROLE.</t>
  </si>
  <si>
    <t xml:space="preserve">VB-CR-002,VB-CR-003,ST-051,ST-054</t>
  </si>
  <si>
    <t xml:space="preserve">Both blockers closed</t>
  </si>
  <si>
    <t xml:space="preserve">E092</t>
  </si>
  <si>
    <t xml:space="preserve">RM-02 DONE (VB-CR-001) — /softphone/bootstrap hands the in-org panel a bearer in exchange for the install cookie; the adapter sends Authorization on every call and NO identity in the body (a claimed id is exactly what who() rejects). The real fix is the test: test/softphoneE2e.test.ts drives the actual SoftphoneAdapter over a fetch bridged to a real createApp() through the real install flow, and pins 401 without a bearer, 403 on a mismatched claim, and that a cookie alone cannot call the API.</t>
  </si>
  <si>
    <t xml:space="preserve">VB-CR-001,L-V15,R-V5</t>
  </si>
  <si>
    <t xml:space="preserve">Blocker closed + contract test exists</t>
  </si>
  <si>
    <t xml:space="preserve">E093</t>
  </si>
  <si>
    <t xml:space="preserve">RM-03 DONE IN CODE (VB-CR-004 + VB-CR-006) — src/repositoryFactory.ts selects PgRepository from DATABASE_URL, createApp() takes the repository as a dependency, production boot refuses in-memory storage in BOTH loadConfig and the factory, and the boot line states which storage is live. pg is a declared production dependency and a new CI job applies every migration to Postgres 16 and re-runs it to prove idempotence. O6 (live conformance) still closes R-V11/R-V13 — the code half is no longer the thing standing in its way.</t>
  </si>
  <si>
    <t xml:space="preserve">VB-CR-004,VB-CR-006,R-V11,R-V13,O6</t>
  </si>
  <si>
    <t xml:space="preserve">Blocker closed in code</t>
  </si>
  <si>
    <t xml:space="preserve">O6 = Senthil (provision Postgres)</t>
  </si>
  <si>
    <t xml:space="preserve">E094</t>
  </si>
  <si>
    <t xml:space="preserve">RM-06 DONE (VB-CR-007) — billing.view / analytics.view / support.queue.view added to the matrix and resolved BEFORE assembly, so ungranted data is never read from the store at all; a member gets 403 on the billing screen by id rather than a 404 that hides the rule, and the org-wide support queue is owner/admin only. The permission-set DRIFT TEST caught the matrix change on its own and the 2GP package artefacts were regenerated (owner 10, admin 8, member 1) — the single-source design paid for itself.</t>
  </si>
  <si>
    <t xml:space="preserve">VB-CR-007,ST-054,LC-2,LC-5</t>
  </si>
  <si>
    <t xml:space="preserve">High closed</t>
  </si>
  <si>
    <t xml:space="preserve">E095</t>
  </si>
  <si>
    <t xml:space="preserve">RM-07 DONE for evidence and scope, MITIGATED for advisories — src/releaseIntegrity.ts + scripts/evidence-manifest.ts bind the evidence pack to a package hash and refuse a release whose evidence predates source; fed the reviewer's own 2026-09-11T07:52:09Z stamp back through the gate and it refused, as designed. docs/coverage-scope.md names each artefact class and the gate that verifies it. VB-CR-013 could NOT be fixed: npm audit fix cannot clear the two qs advisories because 4.22.2 is the last Express 4 and still depends on the affected range. Mitigated instead by switching to the simple query parser (we parse no urlencoded bodies), with a pinned regression and a dated acceptance expiring 13 Dec 2026 — Express 5 is your call.</t>
  </si>
  <si>
    <t xml:space="preserve">VB-CR-009,VB-CR-010,VB-CR-013,L-V16,R-V18</t>
  </si>
  <si>
    <t xml:space="preserve">Two highs closed, one mitigated</t>
  </si>
  <si>
    <t xml:space="preserve">Express 5 = your decision</t>
  </si>
  <si>
    <t xml:space="preserve">E096</t>
  </si>
  <si>
    <t xml:space="preserve">RM-08 DONE (VB-CR-011 + VB-CR-012) — the "Saved locally … will sync" banner is now true: the pending queue persists to tenant+user-scoped browser storage, survives a panel reload, flushes once and clears on logout. Residency is required explicitly in production, separates OUR hosting region from the org's Hyperforce region, and the trust page publishes "UNVERIFIED" rather than a defaulted claim.</t>
  </si>
  <si>
    <t xml:space="preserve">VB-CR-011,VB-CR-012,ST-014,ST-091,LC-6</t>
  </si>
  <si>
    <t xml:space="preserve">Two mediums closed</t>
  </si>
  <si>
    <t xml:space="preserve">E097</t>
  </si>
  <si>
    <t xml:space="preserve">THE FIXTURES THAT BROKE WERE THE EVIDENCE — eleven existing tests failed on the first full run, every one because it had asserted the old caller-declared identity or a member reading the org queue. They were updated, not weakened: each now states the corrected rule. Two coverage branches needed new tests for failure paths that had never existed before (a hung identity endpoint, a non-Error boot rejection).</t>
  </si>
  <si>
    <t xml:space="preserve">D13,VB-CR-003,VB-CR-007</t>
  </si>
  <si>
    <t xml:space="preserve">Fixtures corrected</t>
  </si>
  <si>
    <t xml:space="preserve">E098</t>
  </si>
  <si>
    <t xml:space="preserve">EVIDENCE REGENERATED AND BOUND — security/evidence/ rebuilt from this exact source: RUN_STAMP 2026-09-13T18:33Z onward, MANIFEST.json carrying version 0.25.0, package hash 1c9171da0f50, 46 suites / 402 tests, and the file list it covers. The 11-Sep pack that named the deleted store.ts is gone. npm-audit.json regenerated (0 high, 0 critical, 2 moderate with the documented acceptance).</t>
  </si>
  <si>
    <t xml:space="preserve">VB-CR-009,ST-068</t>
  </si>
  <si>
    <t xml:space="preserve">Evidence pack valid for v0.25.0</t>
  </si>
  <si>
    <t xml:space="preserve">Pen-test half still Senthil</t>
  </si>
  <si>
    <t xml:space="preserve">E099</t>
  </si>
  <si>
    <t xml:space="preserve">D13 GATE MET + RELEASE — 46 Jest suites / 402 tests, 100% statements/branches/functions/lines, zero istanbul pragmas, verified BY RE-RUNNING THE SUITE FROM THE PACKAGED TREE (not the working copy). Released: code v0.25.0 (voicebridge-cti-codebase-20260913_1926.zip, sha256 d97c1489efe5), tracker v020, workbook v026. Story position deliberately unchanged at 96/100 — this is a correctness release, and D-V4 still governs whether ST-001..020 should read Prototype at all.</t>
  </si>
  <si>
    <t xml:space="preserve">D13,D-V4</t>
  </si>
  <si>
    <t xml:space="preserve">v020 + v026 + v0.25.0</t>
  </si>
  <si>
    <t xml:space="preserve">VB-CR-005/008 still open</t>
  </si>
  <si>
    <t xml:space="preserve">E100</t>
  </si>
  <si>
    <t xml:space="preserve">THE REVIEW DECISION DOES NOT LIFT — three of five blockers closed is not a pass. VB-CR-005 (no telephony provider, no Salesforce activity write-back) and VB-CR-008 (WhatsApp is a model, not an integration) are the two that decide whether this is a product, and both wait on you: D-V5 and D-V6. R-V17 stays open and the live chain stays parked.</t>
  </si>
  <si>
    <t xml:space="preserve">VB-CR-005,VB-CR-008,R-V17,D-V5,D-V6</t>
  </si>
  <si>
    <t xml:space="preserve">Gate G-06 still REJECT</t>
  </si>
  <si>
    <t xml:space="preserve">D-V5 + D-V6</t>
  </si>
  <si>
    <t xml:space="preserve">E101</t>
  </si>
  <si>
    <t xml:space="preserve">F-V29 — THE EVIDENCE SCRIPT ABORTED ITSELF. Re-running `npm run evidence` showed the audit step exiting non-zero on the two known moderate advisories: `npm audit --audit-level=high` returns 1 whenever it finds ANYTHING, not only at or above the threshold, and `set -e` killed the run there. The visible result was a zero-byte test-run.log, no MANIFEST.json and the PREVIOUS evidence pack still sitting in place — precisely the stale-evidence condition VB-CR-009 exists to prevent, reintroduced by the tool built to prevent it. FIXED: the threshold is applied to the report (high + critical count) instead of the exit code, and the moderate count is printed on every run so it cannot go unnoticed.</t>
  </si>
  <si>
    <t xml:space="preserve">F-V29,VB-CR-009,ST-068</t>
  </si>
  <si>
    <t xml:space="preserve">Evidence run completes and fails loudly</t>
  </si>
  <si>
    <t xml:space="preserve">E102</t>
  </si>
  <si>
    <t xml:space="preserve">F-V30 — THE STALENESS GATE REFUSED ITS OWN AUTHOR. evidence-manifest.ts would not write: "evidence generated 19:03:08Z predates source changed 19:03:08.694Z". RUN_STAMP has whole-second resolution and file mtimes carry milliseconds, so an evidence run beginning in the same second as the last source write is the same instant read through two clocks, not drift. FIXED: STAMP_RESOLUTION_MS = 1000, with a regression pinning both directions — 694ms earlier is accepted, 1.5s earlier is still refused — and the reviewer's own 11-Sep timestamp still fails the gate, which is the case that matters.</t>
  </si>
  <si>
    <t xml:space="preserve">F-V30,VB-CR-009</t>
  </si>
  <si>
    <t xml:space="preserve">Gate correct at second boundaries</t>
  </si>
  <si>
    <t xml:space="preserve">E103</t>
  </si>
  <si>
    <t xml:space="preserve">EVIDENCE REGENERATED AND RE-BOUND. security/evidence/ rebuilt from this exact source: RUN_STAMP 2026-09-13T19:24:21Z, package hash 74db7a92c550, 46 suites / 403 tests, 0 high/critical production advisories (2 moderate, accepted and mitigated per docs/security-advisories.md). MANIFEST.json was written only after passing the same gate a release uses. REVIEW_PACK.md corrected from 402 to 403 tests so an external reviewer is told the right number to expect.</t>
  </si>
  <si>
    <t xml:space="preserve">VB-CR-009,VB-CR-013,ST-068,ST-097</t>
  </si>
  <si>
    <t xml:space="preserve">Evidence valid for the 1956 package</t>
  </si>
  <si>
    <t xml:space="preserve">E104</t>
  </si>
  <si>
    <t xml:space="preserve">PACKAGE VERIFIED FROM THE ZIP, NOT FROM THE WORKSPACE. voicebridge-cti-codebase-20260913_1956.zip was extracted to a clean directory and the full suite run there: 46 suites / 403 tests, 100% statements, branches, functions and lines. The 19:26 package (…_1926.zip) is SUPERSEDED — it carries the older evidence pack and 402 tests; use 1956 for any review or deployment.</t>
  </si>
  <si>
    <t xml:space="preserve">D13,ST-085/086</t>
  </si>
  <si>
    <t xml:space="preserve">1956 package is the release artifact</t>
  </si>
  <si>
    <t xml:space="preserve">E105</t>
  </si>
  <si>
    <t xml:space="preserve">D13 GATE RE-MET + RELEASE — tracker v021 + workbook v027 over code v0.25.0 packaged at 1956. Story position deliberately unchanged (88 Done / 8 code-complete / 2 in progress / 2 drafted): this release adds correctness and evidence, not scope. External-review position unchanged at nine of fourteen findings closed; G-06 stays REJECT on VB-CR-005 and VB-CR-008, and the closure package is one decision away from complete.</t>
  </si>
  <si>
    <t xml:space="preserve">D13,G-06,VB-CR-005,VB-CR-008</t>
  </si>
  <si>
    <t xml:space="preserve">v021 + v027 + zip 1956</t>
  </si>
  <si>
    <t xml:space="preserve">D-V5, D-V6 (then re-review)</t>
  </si>
  <si>
    <t xml:space="preserve">E106</t>
  </si>
  <si>
    <t xml:space="preserve">THE HALF OF THE BLOCKER THAT NEEDED NO DECISION. VB-CR-005 had been parked whole on D-V5, but only the telephony half depends on the provider choice: the CRM write-back goes to Salesforce whichever provider dials. Splitting the finding turned a fully-blocked blocker into a half-shipped one without pre-empting your decision. Logged as L-V21.</t>
  </si>
  <si>
    <t xml:space="preserve">VB-CR-005,RM-04,D-V5,L-V21</t>
  </si>
  <si>
    <t xml:space="preserve">Finding split into two halves</t>
  </si>
  <si>
    <t xml:space="preserve">Telephony half still D-V5</t>
  </si>
  <si>
    <t xml:space="preserve">E107</t>
  </si>
  <si>
    <t xml:space="preserve">src/sfRest.ts — THE CLIENT THAT SPENDS THE TOKEN WE HAD NEVER SPENT. Contact-then-Lead match on the national part of the number; Task upserted on our external id so the platform decides insert vs update (201/204) and a retry cannot duplicate; 401 refreshes once through SfAuth and retries, a second 401 surfaces; all calls pass through the existing SfClient breaker and backoff. SOQL injection is closed by CONSTRUCTION — everything but digits is stripped before the value reaches the literal — so the escaping guard was deleted as unreachable rather than kept as decoration.</t>
  </si>
  <si>
    <t xml:space="preserve">VB-CR-005,ST-011..020,ST-013</t>
  </si>
  <si>
    <t xml:space="preserve">Salesforce write path exists</t>
  </si>
  <si>
    <t xml:space="preserve">Live proof = O7</t>
  </si>
  <si>
    <t xml:space="preserve">E108</t>
  </si>
  <si>
    <t xml:space="preserve">src/crmWriteBack.ts — THE FAILURE PATH IS THE FEATURE. The rep's note lands in our store first and the platform write is separate, reporting written / queued / not-configured, because "logged to Salesforce" was exactly the sentence the reviewer found we could not support. A failed write goes to a durable outbox keyed on external id — one row with an attempt count, not a row per retry (F-V05 class) — drained oldest-first and stopping at the first failure so a dead platform is not hammered once per queued item. GET /crm/health and POST /crm/retry (feature.configure) make the backlog operator-visible and operator-drainable.</t>
  </si>
  <si>
    <t xml:space="preserve">VB-CR-005,ST-014,ST-091</t>
  </si>
  <si>
    <t xml:space="preserve">Nothing lost, nothing overclaimed</t>
  </si>
  <si>
    <t xml:space="preserve">E109</t>
  </si>
  <si>
    <t xml:space="preserve">THREE THINGS THE WRITE-BACK NEEDED THAT DID NOT EXIST. (1) instance_url: Salesforce returns the org's API host on every token response and we had discarded it since S1 — migration 008 persists it, and a token row without one reads as "not connected" rather than failing writes. (2) Repository.removeWhere on both implementations with conformance tests — a queue you cannot delete from is a ledger that grows forever. (3) Task.VoiceBridge_External_Id__c in the 2GP package: without the field in the subscriber org the upsert 404s and auto-logging is dead on arrival. That last one widens the D18 security-review scope by one custom field — your packaging call, now carrying a concrete cost.</t>
  </si>
  <si>
    <t xml:space="preserve">VB-CR-005,D18,R-V13,GAP-V4</t>
  </si>
  <si>
    <t xml:space="preserve">Schema + package + store gaps closed</t>
  </si>
  <si>
    <t xml:space="preserve">E110</t>
  </si>
  <si>
    <t xml:space="preserve">THE DOUBLE IS A CLAIM — R-V20 RAISED, NOT GLOSSED. Every test here answers the shapes Salesforce really returns (query envelope, 201 with id, 204 without, 401 on an expired token) and the contract test drives the real route through the real writer over a real local HTTP server — but there is no org in the sandbox, so this is exactly the position L-V15 warns about, and it applies to us as much as it did to the reviewer. New operator step O7 written into the dev-org guide: deploy, call a Contact, confirm ONE Task and that a repeated /log updates rather than duplicates, then black-hole Salesforce for a minute and confirm the note survives and drains. The F2 stories stay code-complete pending live.</t>
  </si>
  <si>
    <t xml:space="preserve">R-V20,L-V15,O7,ST-011..020</t>
  </si>
  <si>
    <t xml:space="preserve">Live verification step defined</t>
  </si>
  <si>
    <t xml:space="preserve">O7 needs a dev org</t>
  </si>
  <si>
    <t xml:space="preserve">E111</t>
  </si>
  <si>
    <t xml:space="preserve">D13 GATE MET + PACKAGED + VERIFIED FROM THE ZIP. 47 suites / 436 tests, 100% statements, branches, functions and lines, zero pragmas; two unreachable branches removed rather than pragma'd (the NO_INSTANCE_URL guard, which SfAuth's carry-forward made impossible, and the call-duration fallback, which transition('ended') makes impossible). Evidence regenerated and bound: RUN_STAMP 2026-09-13T21:15:20Z, package hash ed31b4178b23, 0 high/critical production advisories. voicebridge-cti-codebase-20260913_2153.zip extracted to a clean directory and the full suite run there.</t>
  </si>
  <si>
    <t xml:space="preserve">D13,VB-CR-009,VB-CR-010</t>
  </si>
  <si>
    <t xml:space="preserve">v0.26.0 released and verified</t>
  </si>
  <si>
    <t xml:space="preserve">E112</t>
  </si>
  <si>
    <t xml:space="preserve">THE DECISION STILL DOES NOT LIFT. Ten of fourteen findings closed, but VB-CR-005 is HALF closed and VB-CR-008 is untouched, so G-06 stays REJECT and no live-org day, pilot org or AppExchange submission should be booked. Story position deliberately unchanged at 96/100 — the new capability lands on stories that are already counted, and counting it twice would be the overstatement the review objected to in the first place.</t>
  </si>
  <si>
    <t xml:space="preserve">G-06,VB-CR-005,VB-CR-008,D-V4,D-V5,D-V6</t>
  </si>
  <si>
    <t xml:space="preserve">Gate unchanged at REJECT</t>
  </si>
  <si>
    <t xml:space="preserve">E113</t>
  </si>
  <si>
    <t xml:space="preserve">THE PRETENCE WAS SEPARABLE FROM THE DECISION. D-V5 governs WHICH provider dials; it never governed whether the product admits that nobody dialled. Same split as E106: the blocked part was smaller than the parked part. src/telephony.ts defines the contract an adapter must satisfy — placeCall idempotent on our call id, optional hangUp, mandatory verifyWebhook — so the provider choice becomes one file rather than a design exercise.</t>
  </si>
  <si>
    <t xml:space="preserve">VB-CR-005,D-V5,L-V21</t>
  </si>
  <si>
    <t xml:space="preserve">Telephony seam exists</t>
  </si>
  <si>
    <t xml:space="preserve">Adapter still D-V5</t>
  </si>
  <si>
    <t xml:space="preserve">E114</t>
  </si>
  <si>
    <t xml:space="preserve">SIMULATION IS NOW LABELLED, EVERYWHERE. CallRecord carries simulated / providerCallId / provider; the provider is asked BEFORE the record is written, so a refusal is a failed dial rather than a stored record of a call that never happened; /dial returns all three; the softphone panel reads "Simulated — no telephony provider is connected, so +91… was not dialled" instead of "Ringing", pinned by a jsdom regression that also asserts the word Ringing is absent. A demo is a fine thing to ship; a demo indistinguishable from the product is not.</t>
  </si>
  <si>
    <t xml:space="preserve">VB-CR-005,ST-001..010,ST-002</t>
  </si>
  <si>
    <t xml:space="preserve">Honest dial semantics</t>
  </si>
  <si>
    <t xml:space="preserve">E115</t>
  </si>
  <si>
    <t xml:space="preserve">WHAT WE DELIBERATELY DID NOT BUILD — the inbound provider webhook route. Its signature scheme, payload shape and event vocabulary are provider-specific, so writing it before D-V5 would mean inventing a provider and then testing our invention. Recorded in docs/telephony-provider-decision.md alongside the contract and the commercial trade-offs (Twilio vs Exotel/Plivo vs SCV BYOT, and how each sets the per-minute cost and therefore the pricing floor in billing.ts). Both built-in providers refuse every webhook by design: nothing signs a call that no provider placed.</t>
  </si>
  <si>
    <t xml:space="preserve">D-V5,R-V2,ST-059</t>
  </si>
  <si>
    <t xml:space="preserve">Decision packet written</t>
  </si>
  <si>
    <t xml:space="preserve">D-V5 is commercial, not technical</t>
  </si>
  <si>
    <t xml:space="preserve">E116</t>
  </si>
  <si>
    <t xml:space="preserve">D13 GATE MET + PACKAGED + VERIFIED FROM THE ZIP. 48 suites / 445 tests, 100% statements, branches, functions and lines, zero pragmas. Evidence regenerated and bound: RUN_STAMP 2026-09-13T22:13:36Z, package hash 4ecf677db3bf, 0 high/critical production advisories. voicebridge-cti-codebase-20260913_2252.zip extracted to a clean directory and the full suite run there. Operator step O8 added to the dev-org guide: do NOT demo click-to-dial as a working dial until an adapter ships.</t>
  </si>
  <si>
    <t xml:space="preserve">D13,O8,VB-CR-009</t>
  </si>
  <si>
    <t xml:space="preserve">v0.27.0 released and verified</t>
  </si>
  <si>
    <t xml:space="preserve">E117</t>
  </si>
  <si>
    <t xml:space="preserve">STORY POSITION HELD AT 96/100 AGAIN, ON PURPOSE. Honest labelling of a simulated call is not new scope, and ST-001..010 are further from Done tonight than they looked this morning — the code is the same, the claim is smaller. That is the correction the review asked for, and D-V4 is still the decision that records it.</t>
  </si>
  <si>
    <t xml:space="preserve">D-V4,VB-CR-005,G-06</t>
  </si>
  <si>
    <t xml:space="preserve">No story movement</t>
  </si>
  <si>
    <t xml:space="preserve">D-V4, D-V5, D-V6</t>
  </si>
  <si>
    <t xml:space="preserve">E118</t>
  </si>
  <si>
    <t xml:space="preserve">S13</t>
  </si>
  <si>
    <t xml:space="preserve">SECOND INDEPENDENT REVIEW READ AND VERIFIED. Perplexity review V001 (16 Sep 13:53 BST) answered three questions: category demand real (CTI ~$2.9-4.0B, 17-18% CAGR), THIS product as specified not; enterprise grade NO (~35-40%); do not add sprints on the current architecture. Six new defects F-P01..F-P06 all confirmed against v0.27.0 source on read; the reviewer could not run the suite — we could: baseline 48/445 at 100% reproduced before any change. One correction logged: the review's '49 test files vs 48 suites' counts test/helpers.ts, a helper; 48 was accurate, though the structural point (suites outside the manifest) stands and was fixed.</t>
  </si>
  <si>
    <t xml:space="preserve">F-P01..F-P06,R-V21,G-07</t>
  </si>
  <si>
    <t xml:space="preserve">Review incorporated</t>
  </si>
  <si>
    <t xml:space="preserve">E119</t>
  </si>
  <si>
    <t xml:space="preserve">THE HEADLINE FACT CHECKED, NOT TAKEN ON TRUST. Salesforce Open CTI is in maintenance mode, EoL 28 Feb 2028, not available to newly created Agentforce Service orgs, migration path Service Cloud Voice / Partner Telephony (help.salesforce.com article 005306437, read 20 Sep). One nuance the review flattened: the article says NEW AGENTFORCE SERVICE ORGS cannot implement it; whether AppExchange accepts a net-new Open CTI LISTING is the question VB-E-001 (partner case) must answer. R-V21 raised CRITICAL; D18 marked OVERTAKEN; D-V2 DISSOLVED; D-V8 (strategy A/B/C) and D-V9 (confirmation) opened. docs/opencti-retirement-impact.md is the decision packet; ~90% of modules are surface-independent and survive any option.</t>
  </si>
  <si>
    <t xml:space="preserve">R-V21,D18,D-V2,D-V8,D-V9,VB-E-001</t>
  </si>
  <si>
    <t xml:space="preserve">Strategic risk recorded</t>
  </si>
  <si>
    <t xml:space="preserve">D-V8/D-V9 = Senthil</t>
  </si>
  <si>
    <t xml:space="preserve">E120</t>
  </si>
  <si>
    <t xml:space="preserve">S14</t>
  </si>
  <si>
    <t xml:space="preserve">F-P01 CLOSED — THE SOFTPHONE PAGE IS SERVED. The CallCenter adapterUrl had pointed at /widget/softphone.html since v0.11.0 and no route ever existed: a live utility bar loaded a 404 and the panel was dead with no error (same artefact-gap class as VER-V01/V02/F-V10; DR-09 checked the file EXISTED, not that the service served it). src/widget.ts serves an explicit allowlist (softphone.html, settings.html, the adapter bundle) with correct content types and injects window.VB_CONFIG server-side, so the CallCenter's dead customSettings were DELETED rather than duplicated. Decision taken deliberately: the adapter ships FROM OUR HOST (widget/dist/, built by npm run build), not as a packaged static resource — one artefact, deployed with the service, security-review scope shrinks by one resource. test/widget.test.ts boots the real app, asserts 200 + both script tags + config, parses the CallCenter XML and resolves its path against a registered route. Unbuilt bundle answers 503 WIDGET_NOT_BUILT, never a blank panel.</t>
  </si>
  <si>
    <t xml:space="preserve">F-P01,VB-E-010,VB-E-011,ST-001..010,DR-19</t>
  </si>
  <si>
    <t xml:space="preserve">Panel reachable in-org</t>
  </si>
  <si>
    <t xml:space="preserve">O7b live check</t>
  </si>
  <si>
    <t xml:space="preserve">E121</t>
  </si>
  <si>
    <t xml:space="preserve">F-P02 CLOSED — THE ENCRYPTION CLAIM IS TRUE NOW. The trust page had said 'tokens are stored encrypted' since S10 over plaintext TEXT columns. src/tokenCipher.ts: AES-256-GCM envelopes (v&lt;version&gt;.iv.tag.ct), key ring from VB_TOKEN_KEYS (highest version encrypts, every version decrypts), per-org+field AAD so an envelope copied between rows fails to open, key_version column (migration 009), scripts/rotate-token-keys.ts sweep, VB_TOKEN_KEYS mandatory in production. Conformance test on BOTH stores: the persisted bytes never contain the plaintext. KMS wiring (unwrap the data key at boot) is the live-side half and is named as such.</t>
  </si>
  <si>
    <t xml:space="preserve">F-P02,VB-E-012,CL-T02</t>
  </si>
  <si>
    <t xml:space="preserve">Claim backed</t>
  </si>
  <si>
    <t xml:space="preserve">KMS at deploy</t>
  </si>
  <si>
    <t xml:space="preserve">E122</t>
  </si>
  <si>
    <t xml:space="preserve">F-P04 CLOSED — WEB HARDENING. express.json() had been the only middleware. src/hardening.ts (no helmet — eleven lines of headers, all pinned): CSP with frame-ancestors restricted to Salesforce domains, HSTS (https only), nosniff, Referrer-Policy, Permissions-Policy, COOP, no-store; 100kB body cap; inbound timeout → 503 TIMEOUT; request ids (hostile values replaced) carried into every log line; terminal JSON 404 so Express's HTML handler never replaces the CSP. Rate limits on a SHARED store (Repository.hitWindow = one atomic upsert in Postgres): per client ip for /oauth/start and public reads, per ORG for authenticated writes (read from the bearer before the handler so a NAT'd office cannot exhaust its own budget), 429 + Retry-After + RateLimit-* headers — proven to hold across two app instances. Internal faults are 500 + reported to an error sink with the request id as the reference; before this every throw was a 400, which kept real faults out of the error rate.</t>
  </si>
  <si>
    <t xml:space="preserve">F-P04,VB-E-013,VB-E-014,VB-E-054</t>
  </si>
  <si>
    <t xml:space="preserve">Attack surface bounded</t>
  </si>
  <si>
    <t xml:space="preserve">E123</t>
  </si>
  <si>
    <t xml:space="preserve">F-P05 CLOSED — THE EVIDENCE GATE IS SYMMETRIC. evidenceFailures checked only that manifest files were in the package; a source file added after the evidence run passed cleanly. Now both directions fail, testFiles[] is parsed from the full run log (no more tail -25) and compared to disk both ways, and CI + deploy.yml call npm run evidence:check instead of re-implementing the audit rule. Then the gate was RUN in a clean extraction (L-V19) and fired a false positive: npm run build rewrote widget/dist and the mtime read as source drift — F-V34, build outputs excluded, pinned. A gate ships with a run.</t>
  </si>
  <si>
    <t xml:space="preserve">F-P05,F-V34,VB-E-015,L-V19</t>
  </si>
  <si>
    <t xml:space="preserve">Release integrity two-way</t>
  </si>
  <si>
    <t xml:space="preserve">E124</t>
  </si>
  <si>
    <t xml:space="preserve">VB-E-016 — EVERY PUBLISHED CLAIM HAS A TEST. src/claims.ts registers 34 claims (trust page sentences, pricing FAQ answers, one per help article, the 99.5% figure); test/claims.test.ts walks both directions — an unmapped published sentence or a claim with no [CLAIM:id]-tagged test fails the build; docs/claims-registry.md is generated and drift-gated. Consequences taken: HC-05's 'Link your WhatsApp Business number' WITHDRAWN and replaced with what is true (events posted with channel=whatsapp are stored and logged as Tasks; native connection is roadmap, D-V6); listing copy A/B carries a D-V6 gate; trust-page contacts come from config and publish 'not yet published' instead of security@&lt;domain-on-live&gt;; the DNC registry is named honestly as 'none connected'. This closes the VB-CR-008 / VB-CR-012 / F-P02 class structurally rather than one instance at a time.</t>
  </si>
  <si>
    <t xml:space="preserve">VB-E-016,VB-CR-008,VB-CR-012,F-P02,DR-20</t>
  </si>
  <si>
    <t xml:space="preserve">Claim class closed</t>
  </si>
  <si>
    <t xml:space="preserve">D-V6 for WhatsApp</t>
  </si>
  <si>
    <t xml:space="preserve">E125</t>
  </si>
  <si>
    <t xml:space="preserve">VB-E-017 — EXPRESS 5, ZERO ADVISORIES. The v0.25.0 dated acceptance (expiring 13 Dec 2026) is retired: express@5.2 with qs&gt;=6.16 via overrides, npm audit --omit=dev = 0 at every severity; @types/node and engines to Node 22. One typing change in app.ts. Also found while wiring CI: F-V33 — the scripts/ type-check step added in v0.25.0 (`tsc --noEmit ... scripts/*.ts` with no --target) could NEVER have passed, because every script imports src/repository.ts which iterates Maps; it was written, never run. Replaced by tsconfig.scripts.json + npm run typecheck:scripts, runnable locally, green.</t>
  </si>
  <si>
    <t xml:space="preserve">VB-E-017,VB-CR-013,F-V33,L-V19</t>
  </si>
  <si>
    <t xml:space="preserve">Supply chain clean</t>
  </si>
  <si>
    <t xml:space="preserve">E126</t>
  </si>
  <si>
    <t xml:space="preserve">S19</t>
  </si>
  <si>
    <t xml:space="preserve">F-P03 CLOSED, AND IT WAS BIGGER THAN THE OUTBOX. (b) The reviewer found enqueue()/retry() mutating rows returned by list() — persisted on the in-memory store, discarded on Postgres, so attempts stayed at 1 forever. Making list() return DETACHED COPIES on both stores turned the whole suite into a detector: F-V31 — dialer.transition, cadence.advance, supportChat.respond and every designPartners state change did the same, so on Postgres NO CALL EVER ENDED and no ticket was ever answered. All routed through the new Repository.updateWhere (payload || patch, atomic per row). Then a Promise refused to structuredClone: F-V32 — coaching.snapshot pushed the PROMISE from an async scorecard() into the store (JSON.stringify → '{}'); the in-memory test read the same object back and passed. (a) src/outboxWorker.ts: leader-elected by a repository lease (one INSERT..ON CONFLICT with expiry in the WHERE), 30s ticks, per-row exponential backoff 30s→1h with full jitter, dead-letter after 8 attempts, one org's failure never stops the others, depth/oldest-age/dead-letter on /metrics, VoiceBridgeOutboxStuck alert rule. Acceptance from the review met with an injected clock: Salesforce black-holed ten minutes, queue drains unattended on recovery.</t>
  </si>
  <si>
    <t xml:space="preserve">F-P03,F-V31,F-V32,VB-E-051,VB-E-052,R-V15</t>
  </si>
  <si>
    <t xml:space="preserve">Outbox operational; two production-only defects gone</t>
  </si>
  <si>
    <t xml:space="preserve">E127</t>
  </si>
  <si>
    <t xml:space="preserve">VB-E-053/054/055/056/057 — OPERABLE BY SOMEONE WHO DID NOT WRITE IT. SqlClient gained a transaction surface; every org-scoped Postgres call runs BEGIN → set_config(vb.org_id) → statements → COMMIT on one borrowed connection, released even on failure; counted caps (partner slots) are a transaction-scoped advisory lock + count + insert (R-V15 caps half CLOSED at the database). Observability: structured JSON logger with secret-field redaction, RED metrics per route pattern (ids never become labels), Prometheus /metrics behind a bearer, error sink. SLOs: 99.5% as code, error budget, multi-window burn-rate rules (14.4x/1h-5m page, 6x/6h-30m ticket) importable from /status/slo, wired to runbook RB-10/RB-11. Deploy: the S1 `echo` job is GONE — deploy.yml (workflow_run on ci, environment-approval gated) runs scripts/deploy/blue-green.sh: migration gate → deploy idle slot → 10-pass health gate (incl. the widget route) → switch → live gate → automatic rollback. DR: scripts/dr-drill.sh pg_dump/pg_restore into a scratch DB with per-table checksum diff and measured RTO. Live halves = O9/O10.</t>
  </si>
  <si>
    <t xml:space="preserve">VB-E-053..057,R-V15,ST-092,ST-090,RB-02</t>
  </si>
  <si>
    <t xml:space="preserve">Ops layer exists</t>
  </si>
  <si>
    <t xml:space="preserve">O9/O10 live</t>
  </si>
  <si>
    <t xml:space="preserve">E128</t>
  </si>
  <si>
    <t xml:space="preserve">S25</t>
  </si>
  <si>
    <t xml:space="preserve">VB-E-080/081/082/084 — ENTERPRISE CONTROLS. RLS: migration 010 enables + FORCES row-level security on every org-scoped table with a policy over the transaction's vb.org_id ('*' is the named cross-org context for the sweep/worker/rotation); the recording double now REFUSES any statement without a matching context, so a future method that forgets tx() fails in every test; a superuser DATABASE_URL is refused in production (superusers bypass RLS); db/checks/rls-smoke.sql proves the cross-tenant read and write are blocked with the app absent, as a non-superuser role, in CI. Audit: sha256 hash chain per org, append-only trigger (UPDATE always refused, DELETE only under a sanctioned purge), exempt from the FIFO cap, GET /audit/verify for owners/admins, pure verifier exportable. Sessions: jti + revocation list (logout), per-user epoch (revoke-all; role assignment via new POST /roles bumps the target's epoch), TTL default 7→1 day, bootstrap path checks liveness too. Compliance: contacts from config, docs/dpa-template.md maps Art. 28/32 clauses to evidence with every unknown marked [[...]]. SSO/SCIM raised as D-V10 (the only surface outside the Salesforce frame is /ui behind the install session).</t>
  </si>
  <si>
    <t xml:space="preserve">VB-E-080..084,ST-054,ST-067,LC-3,D-V10</t>
  </si>
  <si>
    <t xml:space="preserve">DB-enforced isolation; tamper-evident audit</t>
  </si>
  <si>
    <t xml:space="preserve">Pen test/SOC2 = vendor</t>
  </si>
  <si>
    <t xml:space="preserve">E129</t>
  </si>
  <si>
    <t xml:space="preserve">S15</t>
  </si>
  <si>
    <t xml:space="preserve">VB-E-025/031 — THE PROVIDER-INDEPENDENT HALF OF THE DIAL PATH. Numbers: E.164 normalisation with an explicit 15-country rule table (trunk prefixes, NSN lengths, 00 access prefix, extensions separated not dialled), per-org blocklist (admin routes, audited, dedupe index), DncRegistry seam consulted BEFORE the provider — the built-in one names itself 'none connected' and the trust page prints it. Matching: the LIKE '%tail' scan over Contact then Lead is replaced by FIND {digits} IN PHONE FIELDS (the platform's phone index, one round trip); one match attaches, no match writes unattached, MORE THAN ONE is 'ambiguous' — the Task is written unattached with the candidate count in its description and the candidates in the response, never the first row. Not built: the adapter and inbound webhook (D-V5), call-quality telemetry (needs a provider).</t>
  </si>
  <si>
    <t xml:space="preserve">VB-E-025,VB-E-031,ST-013,CL-T08</t>
  </si>
  <si>
    <t xml:space="preserve">Pre-dial refusal + honest matching</t>
  </si>
  <si>
    <t xml:space="preserve">D-V5</t>
  </si>
  <si>
    <t xml:space="preserve">E130</t>
  </si>
  <si>
    <t xml:space="preserve">THE DECISION GATE IS NOW A SHEET. Enhancement_Plan carries VB-E-001..008 (S13) and VB-E-010..105 (S14-S29) with owner, status and evidence per row and a live rollup; S14 reads complete in code, S19-S20 and S25-S26 have their codeable halves done, S15-S18/S21-S24/S27-S29 are blocked on named decisions or live systems and say so. The DoD clause the review asked for is recorded in Gate_Checklist: a story is Done only with live evidence; 'Code-complete (unproven)' is never counted at a gate. D-V4 remains yours — this release and the reviewer both recommend (a); the counted position is held at 96/100 until you rule, and the rollup note states the 76/100 alternative.</t>
  </si>
  <si>
    <t xml:space="preserve">VB-E-001..008,D-V4,G-07</t>
  </si>
  <si>
    <t xml:space="preserve">Plan tracked</t>
  </si>
  <si>
    <t xml:space="preserve">S13 decisions = Senthil</t>
  </si>
  <si>
    <t xml:space="preserve">E131</t>
  </si>
  <si>
    <t xml:space="preserve">D13 GATE MET + PACKAGED + VERIFIED FROM THE ZIP. 58 suites / 613 tests, 100% statements, branches, functions and lines, zero pragmas, 0 production advisories at any severity. Evidence regenerated and bound: RUN_STAMP 2026-09-20T11:02:23Z, package hash f0f4eb4ab67d. voicebridge-cti-codebase-20260920_1045.zip extracted to a clean directory: npm ci → npm run build → npm run typecheck:scripts → npm run evidence:check → full suite, all green. REVIEW_PACK addendum lists the ten things a second reviewer should try. Story position unchanged at 96/100 on purpose (D-V4). G-06 stays REJECT (VB-CR-005 telephony half, VB-CR-008); G-07 (Perplexity) opens at HOLD.</t>
  </si>
  <si>
    <t xml:space="preserve">D13,VB-CR-009,G-06,G-07</t>
  </si>
  <si>
    <t xml:space="preserve">v0.28.0 released and verified</t>
  </si>
  <si>
    <t xml:space="preserve">D-V4..D-V9</t>
  </si>
  <si>
    <t xml:space="preserve">DECISIONS (tracker scope)</t>
  </si>
  <si>
    <t xml:space="preserve">Decision</t>
  </si>
  <si>
    <t xml:space="preserve">Rationale</t>
  </si>
  <si>
    <t xml:space="preserve">Decided by</t>
  </si>
  <si>
    <t xml:space="preserve">(Portfolio-wide) Discovery interviews parked; development proceeds with 100% automation test coverage on all code (supersedes &gt;=70% gate).</t>
  </si>
  <si>
    <t xml:space="preserve">Senthil 10 Sep 20:45; applied to VoiceBridge per 23:00 instruction.</t>
  </si>
  <si>
    <t xml:space="preserve">Senthil</t>
  </si>
  <si>
    <t xml:space="preserve">LOCKED</t>
  </si>
  <si>
    <t xml:space="preserve">D15</t>
  </si>
  <si>
    <t xml:space="preserve">Sequencing mode — parallel builds vs WIN-order swap — while rank-1 (RevRescue) completion gate unmet.</t>
  </si>
  <si>
    <t xml:space="preserve">Nine products now built done-in-code same evening; R1 serial rule formally intact until ratified.</t>
  </si>
  <si>
    <t xml:space="preserve">Senthil (mode ratification pending)</t>
  </si>
  <si>
    <t xml:space="preserve">OPEN — pick (a) or (b)</t>
  </si>
  <si>
    <t xml:space="preserve">VoiceBridge (P02) build opened 10 Sep 23:00 from v006 workbook while rank-1 gate unmet.</t>
  </si>
  <si>
    <t xml:space="preserve">Senthil instruction 'continue work as per sprint... complete the development'; ninth concurrent build.</t>
  </si>
  <si>
    <t xml:space="preserve">D18</t>
  </si>
  <si>
    <t xml:space="preserve">Stack = TypeScript/Node/Express per v006 ReadMe stack assumption. FLAG: AppExchange packaging decision needed — Open CTI softphone adapter is JS in-org, but security review scope depends on managed-package vs connected-app-only architecture (Launch #3/#4).</t>
  </si>
  <si>
    <t xml:space="preserve">Follows workbook; provider-agnostic dial core keeps both paths open; decide with ISV onboarding.</t>
  </si>
  <si>
    <t xml:space="preserve">Claude — recommendation documented (docs/d18-packaging-decision.md): hybrid-minimal 2GP shim package, zero Apex</t>
  </si>
  <si>
    <t xml:space="preserve">OVERTAKEN (20 Sep, R-V21) — Open CTI in maintenance mode, EoL 28 Feb 2028; the packaging question re-opens under D-V8. Kept for the record; shim now = CallCenter + Task field + permsets (adapter served from host, F-P01)</t>
  </si>
  <si>
    <t xml:space="preserve">D-V1</t>
  </si>
  <si>
    <t xml:space="preserve">Chat vendor decision deferred: built-in SLA engine (Mon-Fri 9-18 IST, 4-business-hr first response) ships as-is; vendor swap is config-level later.</t>
  </si>
  <si>
    <t xml:space="preserve">TeleField S10 precedent; avoids a procurement blocker on the listing path.</t>
  </si>
  <si>
    <t xml:space="preserve">Claude — flagged for Senthil</t>
  </si>
  <si>
    <t xml:space="preserve">OPEN for ratification</t>
  </si>
  <si>
    <t xml:space="preserve">D-V2</t>
  </si>
  <si>
    <t xml:space="preserve">Surface architecture — LWC bundles in the package vs static-resource/web surface only.</t>
  </si>
  <si>
    <t xml:space="preserve">Five P0 story texts demand an LWC surface; D18's hybrid-minimal recommendation forbids one to keep security-review scope small. GAP-V2 forced the contradiction into the open. The 7 screens built in v0.14.0 are valid under either ruling.</t>
  </si>
  <si>
    <t xml:space="preserve">DISSOLVED (20 Sep, R-V21) — neither LWC nor static resource if the Open CTI surface itself retires; the 7 screens built in v0.14.0 are valid under any option</t>
  </si>
  <si>
    <t xml:space="preserve">D-V3</t>
  </si>
  <si>
    <t xml:space="preserve">Billing route — AppExchange Checkout vs ISVforce licence + Channel Order Application (COA).</t>
  </si>
  <si>
    <t xml:space="preserve">VER-V10 verified Checkout is optional, not mandatory. Checkout automates licensing with the LMA and collects revenue share at purchase; ISVforce+COA means billing on your own paper with every order reported to Salesforce. 15% rev share either way (25% OEM). ST-059's provider abstraction already supports both.</t>
  </si>
  <si>
    <t xml:space="preserve">OPEN — decides LC-1 urgency and the pricing page copy</t>
  </si>
  <si>
    <t xml:space="preserve">D-V4</t>
  </si>
  <si>
    <t xml:space="preserve">Story-status semantics after external review V001: do ST-001..020 stay "Done" or move to "Prototype (code-only)" until a telephony provider and Salesforce write-back exist?</t>
  </si>
  <si>
    <t xml:space="preserve">VB-CR-005/008: the modules are built, tested and correct as state machines, but the story text promises click-to-dial and automatic logging, and neither reaches an external system. Keeping "Done" reads as product readiness; moving them is honest and moves the counted position 96/100 → 76/100 (380 → ~310 pts). | 20 Sep: the Perplexity review (VB-E-007) and this release both recommend (a) reclassify to "Code-complete (unproven)"; F-P01 showed the surface those stories promise was not even served. The DoD clause is recorded in Gate_Checklist regardless.</t>
  </si>
  <si>
    <t xml:space="preserve">OPEN — (a) reclassify now (RECOMMENDED by both reviewers; 96/100 → 76/100), (b) keep Done and rely on the readiness column</t>
  </si>
  <si>
    <t xml:space="preserve">Telephony provider for the real dial path (closes VB-CR-005 half 1).</t>
  </si>
  <si>
    <t xml:space="preserve">A provider must be named before RM-04 can be built: Twilio (global, strongest docs, dearest), Exotel or Plivo (India-first, fits the mid-market ICP and IPBS experience), or Service Cloud Voice BYOT (no separate provider contract but ties us to the platform we are positioned against, per R-V2). Choice sets credentials, webhook auth, per-minute cost and the pricing floor. | 20 Sep (VB-E-003): decide on landed cost per minute for the target geography, not documentation quality — Plivo ₹0.38/min India vs Twilio ~₹3.50-5.00/min moves gross margin an order of magnitude on a $29 seat. The DNC registry vendor usually comes with the carrier. Not needed at all under option (B).</t>
  </si>
  <si>
    <t xml:space="preserve">OPEN — blocks RM-04</t>
  </si>
  <si>
    <t xml:space="preserve">D-V6</t>
  </si>
  <si>
    <t xml:space="preserve">WhatsApp: build the Meta Cloud API integration now, or withdraw the claim until it exists?</t>
  </si>
  <si>
    <t xml:space="preserve">VB-CR-008: help article HC-05, the data-flow doc and the listing copy describe linking a WhatsApp Business number; the code only stores a caller-supplied event with channel=whatsapp. EngageOS already carries a working Cloud API pattern (opt-in ledger, 24h session window, signature verify) that could be ported. Withdrawing the claim is a one-day copy change; building is the larger half of RM-05. | 20 Sep: the reviewer recommends BUILD and lead with it (Salesforce's own path = $165 Service Cloud + $75 Digital Engagement per user/month). The unbacked claim is already WITHDRAWN from HC-05 and the listing copy is gated (VB-E-016), so "publish it unbuilt" is no longer possible either way.</t>
  </si>
  <si>
    <t xml:space="preserve">OPEN — blocks RM-05</t>
  </si>
  <si>
    <t xml:space="preserve">D-V7</t>
  </si>
  <si>
    <t xml:space="preserve">Financial model response to VB-CR-014 (no breakeven inside 18 months, ≈-$750k cumulative).</t>
  </si>
  <si>
    <t xml:space="preserve">The model assumes $40k month-1 team cost growing 3%/mo against 4 pilots/mo and $600 ARPU. Either the cost base is wrong for a solo build, or the plan needs a stated funding requirement. Needed before RM-09 can produce base/downside/upside scenarios with a named cash-minimum month. | 20 Sep (F-P06/VB-E-005): the $600 ARPU contradicts the 50-500 seat ICP at $29/seat by 2.5-5x; no per-minute cost line exists; PLAN_SEAT_LIMIT.scale=500 equals the ICP ceiling with no enterprise/annual tier. Financial_Model_v2 = base/downside/upside, per-minute cost, funding requirement, cash-minimum month, solo-build variant, 5-9 month listing lag.</t>
  </si>
  <si>
    <t xml:space="preserve">OPEN — blocks RM-09</t>
  </si>
  <si>
    <t xml:space="preserve">D-V8</t>
  </si>
  <si>
    <t xml:space="preserve">STRATEGY RULING after the Open CTI retirement (VB-E-006): (A) re-platform to Salesforce Voice with Partner Telephony and lead with WhatsApp — reviewer-recommended; (B) pivot to an AI activity-intelligence and coaching layer that never owns the dial path (reuses S14/S19-20/S23-26, deletes S15-S18, ~40% less work, smaller review scope, easier to copy); (C) finish on Open CTI for a ~12-month cash window — not recommended, void if D-V9 says no net-new listing.</t>
  </si>
  <si>
    <t xml:space="preserve">docs/opencti-retirement-impact.md is the packet. Everything behind the in-org surface survives any option; v0.28.0 built only surface-independent work plus the F-P01 fix (a dead panel is a defect on every option).</t>
  </si>
  <si>
    <t xml:space="preserve">OPEN — blocks S15+ scope; S13 exit</t>
  </si>
  <si>
    <t xml:space="preserve">D-V9</t>
  </si>
  <si>
    <t xml:space="preserve">Confirm the Open CTI position with Salesforce directly (partner support case, VB-E-001): will AppExchange accept a net-new Open CTI listing, and for which editions? The help article restricts NEW AGENTFORCE SERVICE ORGS; the review states a blanket ban.</t>
  </si>
  <si>
    <t xml:space="preserve">The distinction decides whether option (C) exists at all. Deliverable: case number recorded in docs/opencti-retirement-impact.md.</t>
  </si>
  <si>
    <t xml:space="preserve">Senthil (case) + Claude (doc)</t>
  </si>
  <si>
    <t xml:space="preserve">OPEN — BLOCKS EVERYTHING per the review; also DR-23</t>
  </si>
  <si>
    <t xml:space="preserve">D-V10</t>
  </si>
  <si>
    <t xml:space="preserve">SSO (SAML/OIDC) + SCIM (VB-E-083): is there a surface outside the Salesforce frame that needs its own identity? Today the only one is /ui/* behind the install session minted by Salesforce OAuth. Options: (a) keep it, no SSO needed — document the smaller attack surface; (b) add SSO/SCIM for a standalone admin console.</t>
  </si>
  <si>
    <t xml:space="preserve">The review's own framing: "if there is no such surface, delete the standalone paths so the claim surface shrinks". Recommendation (a) until a customer asks.</t>
  </si>
  <si>
    <t xml:space="preserve">OPEN — low urgency; document either way before LC-3</t>
  </si>
  <si>
    <t xml:space="preserve">BUILD BOARD S1-S8 — done-in-code under D13; exits pending live org marked</t>
  </si>
  <si>
    <t xml:space="preserve">Codebase: voicebridge-cti (TypeScript/Node/Express 5) — 57 src modules, 58 test suites / 613 tests @ 100% coverage ×4, zero pragmas, 0 advisories; CI (test → evidence:check → typecheck:scripts → migration-smoke + RLS/audit checks → security → e2e → workflow-lint) + deploy.yml blue/green</t>
  </si>
  <si>
    <t xml:space="preserve">Item</t>
  </si>
  <si>
    <t xml:space="preserve">Story refs</t>
  </si>
  <si>
    <t xml:space="preserve">Points</t>
  </si>
  <si>
    <t xml:space="preserve">Owner</t>
  </si>
  <si>
    <t xml:space="preserve">Notes / Evidence</t>
  </si>
  <si>
    <t xml:space="preserve">S1-01</t>
  </si>
  <si>
    <t xml:space="preserve">Repo scaffold + CI with 100% coverage gate (D13)</t>
  </si>
  <si>
    <t xml:space="preserve">2</t>
  </si>
  <si>
    <t xml:space="preserve">Claude</t>
  </si>
  <si>
    <t xml:space="preserve">Done</t>
  </si>
  <si>
    <t xml:space="preserve">jest coverageThreshold 100x4; .github/workflows/ci.yml test→e2e-smoke→deploy-blue-green. E010</t>
  </si>
  <si>
    <t xml:space="preserve">S1-02</t>
  </si>
  <si>
    <t xml:space="preserve">Env config: secrets fail-fast, retention, Hyperforce region</t>
  </si>
  <si>
    <t xml:space="preserve">1</t>
  </si>
  <si>
    <t xml:space="preserve">src/config.ts — 4 tests; region surfaced at /health for residency statement (Launch #6).</t>
  </si>
  <si>
    <t xml:space="preserve">S1-03</t>
  </si>
  <si>
    <t xml:space="preserve">Typed Store repository (Postgres adapter point)</t>
  </si>
  <si>
    <t xml:space="preserve">src/store.ts — R-V4 constraint logged; domain code storage-agnostic.</t>
  </si>
  <si>
    <t xml:space="preserve">S1-04</t>
  </si>
  <si>
    <t xml:space="preserve">Connected-App OAuth install → welcome state</t>
  </si>
  <si>
    <t xml:space="preserve">ST-051</t>
  </si>
  <si>
    <t xml:space="preserve">5</t>
  </si>
  <si>
    <t xml:space="preserve">DONE-IN-CODE — src/sfAuth.ts exchangeCode + src/lifecycle.ts install; E2E covers &lt;2min path.</t>
  </si>
  <si>
    <t xml:space="preserve">S1-05</t>
  </si>
  <si>
    <t xml:space="preserve">Uninstall: token wipe + deletion schedule + sweep</t>
  </si>
  <si>
    <t xml:space="preserve">ST-052</t>
  </si>
  <si>
    <t xml:space="preserve">3</t>
  </si>
  <si>
    <t xml:space="preserve">src/lifecycle.ts handleUninstall + retention sweep — 4 tests incl. skip/due/deleted branches.</t>
  </si>
  <si>
    <t xml:space="preserve">S1-06</t>
  </si>
  <si>
    <t xml:space="preserve">Rotation-safe token refresh</t>
  </si>
  <si>
    <t xml:space="preserve">ST-055</t>
  </si>
  <si>
    <t xml:space="preserve">src/sfAuth.ts refreshTokens persists rotated refresh token; keeps old when not rotated.</t>
  </si>
  <si>
    <t xml:space="preserve">S1-07</t>
  </si>
  <si>
    <t xml:space="preserve">Install telemetry source attribution</t>
  </si>
  <si>
    <t xml:space="preserve">ST-056</t>
  </si>
  <si>
    <t xml:space="preserve">src/lifecycle.ts + analytics install event; listing/search/referral captured.</t>
  </si>
  <si>
    <t xml:space="preserve">S2-01</t>
  </si>
  <si>
    <t xml:space="preserve">Click-to-dial state machine + softphone core</t>
  </si>
  <si>
    <t xml:space="preserve">ST-001..004</t>
  </si>
  <si>
    <t xml:space="preserve">21</t>
  </si>
  <si>
    <t xml:space="preserve">src/dialer.ts — E.164 validation, dialing→connected→ended/failed, outcome defaults, retry envelopes.</t>
  </si>
  <si>
    <t xml:space="preserve">S2-02</t>
  </si>
  <si>
    <t xml:space="preserve">Reinstall restore + permission matrix</t>
  </si>
  <si>
    <t xml:space="preserve">ST-053,ST-054</t>
  </si>
  <si>
    <t xml:space="preserve">8</t>
  </si>
  <si>
    <t xml:space="preserve">src/lifecycle.ts retention-window restore; src/permissions.ts owner/admin/member enforced across ops.</t>
  </si>
  <si>
    <t xml:space="preserve">S3-01</t>
  </si>
  <si>
    <t xml:space="preserve">F1 completion: surfaces, metrics, RBAC+audit, pause, import, notify</t>
  </si>
  <si>
    <t xml:space="preserve">ST-005..010</t>
  </si>
  <si>
    <t xml:space="preserve">featureCore.ts shared machinery + dialer specialisation; utility-bar surface flag.</t>
  </si>
  <si>
    <t xml:space="preserve">S3-02</t>
  </si>
  <si>
    <t xml:space="preserve">Auto call/WhatsApp logging start + coverage gate story</t>
  </si>
  <si>
    <t xml:space="preserve">ST-011..014,ST-085</t>
  </si>
  <si>
    <t xml:space="preserve">26</t>
  </si>
  <si>
    <t xml:space="preserve">src/callLogger.ts dedupe-by-externalId ingestion; D13 100% gate closes ST-085.</t>
  </si>
  <si>
    <t xml:space="preserve">S4-01</t>
  </si>
  <si>
    <t xml:space="preserve">F2 completion + funnel + error tracking + E2E deploy gate</t>
  </si>
  <si>
    <t xml:space="preserve">34</t>
  </si>
  <si>
    <t xml:space="preserve">MVP loop e2e in test/app.e2e.test.ts; ci.yml e2e-smoke gates deploy.</t>
  </si>
  <si>
    <t xml:space="preserve">S5-01</t>
  </si>
  <si>
    <t xml:space="preserve">Cadence lite + onboarding-to-aha + empty states</t>
  </si>
  <si>
    <t xml:space="preserve">50</t>
  </si>
  <si>
    <t xml:space="preserve">src/cadence.ts due-step engine; src/onboarding.ts aha at 3/4 checklist steps.</t>
  </si>
  <si>
    <t xml:space="preserve">S6-01</t>
  </si>
  <si>
    <t xml:space="preserve">Coaching analytics + trial + proration</t>
  </si>
  <si>
    <t xml:space="preserve">ST-031..040,ST-057,ST-058</t>
  </si>
  <si>
    <t xml:space="preserve">52</t>
  </si>
  <si>
    <t xml:space="preserve">src/coaching.ts scorecards/leaderboard; src/billing.ts trial banner + prorate clamps.</t>
  </si>
  <si>
    <t xml:space="preserve">S6-02</t>
  </si>
  <si>
    <t xml:space="preserve">Billing provider abstraction (Checkout | Stripe)</t>
  </si>
  <si>
    <t xml:space="preserve">ST-059</t>
  </si>
  <si>
    <t xml:space="preserve">Code-complete (pending live)</t>
  </si>
  <si>
    <t xml:space="preserve">src/billing.ts provider field both paths tested; LIVE AppExchange Checkout wiring needs ISV agreement (LC-1/LC-9).</t>
  </si>
  <si>
    <t xml:space="preserve">S7-01</t>
  </si>
  <si>
    <t xml:space="preserve">Dunning, limits, invoices, cancellation, scope map</t>
  </si>
  <si>
    <t xml:space="preserve">15</t>
  </si>
  <si>
    <t xml:space="preserve">src/billing.ts + docs/least-privilege.md.</t>
  </si>
  <si>
    <t xml:space="preserve">S8-01</t>
  </si>
  <si>
    <t xml:space="preserve">Flow actions pack (invocables + run ledger)</t>
  </si>
  <si>
    <t xml:space="preserve">ST-041..050</t>
  </si>
  <si>
    <t xml:space="preserve">42</t>
  </si>
  <si>
    <t xml:space="preserve">src/flowActions.ts StartCall/EnrollInCadence/SendNotification; failed runs recorded then rethrown.</t>
  </si>
  <si>
    <t xml:space="preserve">S8-02</t>
  </si>
  <si>
    <t xml:space="preserve">Audit, backoff+breaker, E7 suite, p95 budgets, early pulls</t>
  </si>
  <si>
    <t xml:space="preserve">ST-067,ST-069,ST-070,ST-073..077,ST-082,ST-087</t>
  </si>
  <si>
    <t xml:space="preserve">33</t>
  </si>
  <si>
    <t xml:space="preserve">src/audit.ts, src/sfClient.ts, src/analytics.ts, src/onboarding.ts review-ask; ST-069/082 pulled early.</t>
  </si>
  <si>
    <t xml:space="preserve">S8-03</t>
  </si>
  <si>
    <t xml:space="preserve">Security docs + at-rest verify + load + blue/green</t>
  </si>
  <si>
    <t xml:space="preserve">ST-065,ST-066,ST-088,ST-092</t>
  </si>
  <si>
    <t xml:space="preserve">16</t>
  </si>
  <si>
    <t xml:space="preserve">Docs drafted, k6 harness + blue/green job written — live publish/verify/run need infra (Senthil).</t>
  </si>
  <si>
    <t xml:space="preserve">S9+</t>
  </si>
  <si>
    <t xml:space="preserve">Review prep, remediation, launch, scale decision</t>
  </si>
  <si>
    <t xml:space="preserve">16 backlog stories</t>
  </si>
  <si>
    <t xml:space="preserve">56</t>
  </si>
  <si>
    <t xml:space="preserve">Senthil + Claude</t>
  </si>
  <si>
    <t xml:space="preserve">To do</t>
  </si>
  <si>
    <t xml:space="preserve">Pen-test, WCAG pass, drills, listing assets, help center, runbook, reviews — need live org, humans, or infra.</t>
  </si>
  <si>
    <t xml:space="preserve">S9-01</t>
  </si>
  <si>
    <t xml:space="preserve">WCAG AA widget shells + jest-axe CI audit</t>
  </si>
  <si>
    <t xml:space="preserve">ST-089</t>
  </si>
  <si>
    <t xml:space="preserve">widget/softphone.html + settings.html (labels, fieldsets, aria-live state, role=status degraded banner); test/a11y.test.ts; manual AT pass at live.</t>
  </si>
  <si>
    <t xml:space="preserve">S9-02</t>
  </si>
  <si>
    <t xml:space="preserve">Backup + restore drill</t>
  </si>
  <si>
    <t xml:space="preserve">ST-090</t>
  </si>
  <si>
    <t xml:space="preserve">src/backup.ts snapshot→wipe→restore, sha256 verify, DRILL_DIVERGENCE ship-block; live pg_dump variant in live-sweep step 9.</t>
  </si>
  <si>
    <t xml:space="preserve">S9-03</t>
  </si>
  <si>
    <t xml:space="preserve">Chaos: platform outage degradation + comms</t>
  </si>
  <si>
    <t xml:space="preserve">ST-091</t>
  </si>
  <si>
    <t xml:space="preserve">src/resilience.ts + GET /status; breaker-driven; banner + queued list; recovery-after-cooldown test + chaos e2e.</t>
  </si>
  <si>
    <t xml:space="preserve">S9-04</t>
  </si>
  <si>
    <t xml:space="preserve">Security evidence pack (sandbox half)</t>
  </si>
  <si>
    <t xml:space="preserve">ST-068</t>
  </si>
  <si>
    <t xml:space="preserve">Claude + Senthil</t>
  </si>
  <si>
    <t xml:space="preserve">In progress</t>
  </si>
  <si>
    <t xml:space="preserve">security/SECURITY.md, threat-model.md (STRIDE), scripts/security-evidence.sh archive run. Pen-test vendor engagement = Senthil.</t>
  </si>
  <si>
    <t xml:space="preserve">S9-05</t>
  </si>
  <si>
    <t xml:space="preserve">Listing copy A/B + asset plan</t>
  </si>
  <si>
    <t xml:space="preserve">ST-093,ST-094</t>
  </si>
  <si>
    <t xml:space="preserve">Drafted</t>
  </si>
  <si>
    <t xml:space="preserve">launch/listing-copy-ab.md (pick A or B); launch/asset-plan.md 5-shot list + 2-min script; capture needs live org.</t>
  </si>
  <si>
    <t xml:space="preserve">S9-06</t>
  </si>
  <si>
    <t xml:space="preserve">Live-sweep pack + D18 recommendation (unpointed)</t>
  </si>
  <si>
    <t xml:space="preserve">LC-4,LC-6,R-V5</t>
  </si>
  <si>
    <t xml:space="preserve">0</t>
  </si>
  <si>
    <t xml:space="preserve">src/sweepChecks.ts (8 auto checks tested), scripts/sweep.ts, live-sweep.md, 30-min dev-org guide, d18-packaging-decision.md.</t>
  </si>
  <si>
    <t xml:space="preserve">S10-01</t>
  </si>
  <si>
    <t xml:space="preserve">Help center: 15 articles + search + routes</t>
  </si>
  <si>
    <t xml:space="preserve">ST-080</t>
  </si>
  <si>
    <t xml:space="preserve">src/helpCenter.ts; e2e /help/search ranks HC-06 first for "cadence".</t>
  </si>
  <si>
    <t xml:space="preserve">S10-02</t>
  </si>
  <si>
    <t xml:space="preserve">In-app chat + SLA engine</t>
  </si>
  <si>
    <t xml:space="preserve">ST-081</t>
  </si>
  <si>
    <t xml:space="preserve">src/supportChat.ts; firstResponseDue skips nights/weekends; breach flags; queue ordered by due.</t>
  </si>
  <si>
    <t xml:space="preserve">S10-03</t>
  </si>
  <si>
    <t xml:space="preserve">Demo-data mode (isolated namespace)</t>
  </si>
  <si>
    <t xml:space="preserve">ST-083</t>
  </si>
  <si>
    <t xml:space="preserve">src/demoMode.ts; video half at live capture (asset-plan script).</t>
  </si>
  <si>
    <t xml:space="preserve">S10-04</t>
  </si>
  <si>
    <t xml:space="preserve">Status page + incident template</t>
  </si>
  <si>
    <t xml:space="preserve">ST-084</t>
  </si>
  <si>
    <t xml:space="preserve">src/statusPage.ts; platform-bound components degrade under breaker, dial/billing stay up.</t>
  </si>
  <si>
    <t xml:space="preserve">S10-05</t>
  </si>
  <si>
    <t xml:space="preserve">Pricing + trust pages (single-source)</t>
  </si>
  <si>
    <t xml:space="preserve">ST-095,ST-096</t>
  </si>
  <si>
    <t xml:space="preserve">6</t>
  </si>
  <si>
    <t xml:space="preserve">src/pricingPage.ts from billing constants; src/trustPage.ts from config.</t>
  </si>
  <si>
    <t xml:space="preserve">S10-06</t>
  </si>
  <si>
    <t xml:space="preserve">Submission dry-run engine + REVIEW_PACK</t>
  </si>
  <si>
    <t xml:space="preserve">ST-097</t>
  </si>
  <si>
    <t xml:space="preserve">Claude + external reviewer</t>
  </si>
  <si>
    <t xml:space="preserve">src/dryRun.ts READY 11/11 automated; DR-12 human sign-off closes it.</t>
  </si>
  <si>
    <t xml:space="preserve">S11-01</t>
  </si>
  <si>
    <t xml:space="preserve">Executable launch-day runbook</t>
  </si>
  <si>
    <t xml:space="preserve">ST-098</t>
  </si>
  <si>
    <t xml:space="preserve">src/runbook.ts — 12 steps/5 phases; rollback = p95 budget breach or 3x error spike; comms tree.</t>
  </si>
  <si>
    <t xml:space="preserve">S11-02</t>
  </si>
  <si>
    <t xml:space="preserve">Design-partner tracker (10 slots)</t>
  </si>
  <si>
    <t xml:space="preserve">ST-100</t>
  </si>
  <si>
    <t xml:space="preserve">src/designPartners.ts — lifecycle guards, stale-nudge, exit math separates reviews from G-02.</t>
  </si>
  <si>
    <t xml:space="preserve">S12-01</t>
  </si>
  <si>
    <t xml:space="preserve">Listing SEO iteration engine</t>
  </si>
  <si>
    <t xml:space="preserve">src/listingSeo.ts — promote/keep/ignore, 100-impression floor, A/B reader with near-tie guard.</t>
  </si>
  <si>
    <t xml:space="preserve">PKG-01</t>
  </si>
  <si>
    <t xml:space="preserve">2GP package scaffold + CallCenter definition</t>
  </si>
  <si>
    <t xml:space="preserve">D18,LC-2,LC-4</t>
  </si>
  <si>
    <t xml:space="preserve">sfpackage/ sfdx project; Open CTI Lightning config, URL/service-base parameterised; XML validity tested.</t>
  </si>
  <si>
    <t xml:space="preserve">PKG-02</t>
  </si>
  <si>
    <t xml:space="preserve">Permission sets generated from role matrix</t>
  </si>
  <si>
    <t xml:space="preserve">LC-5,ST-054</t>
  </si>
  <si>
    <t xml:space="preserve">src/permSets.ts; owner⊃admin⊃member asserted; on-disk = fresh generation (drift test).</t>
  </si>
  <si>
    <t xml:space="preserve">PKG-03</t>
  </si>
  <si>
    <t xml:space="preserve">Functional Open CTI softphone adapter + bundle</t>
  </si>
  <si>
    <t xml:space="preserve">R-V5,ST-089</t>
  </si>
  <si>
    <t xml:space="preserve">src/softphoneAdapter.ts (DI, jsdom-tested vs mocked sforce.opencti); esbuild static resource; HTML bootstrap; live click-to-dial verify = O2.</t>
  </si>
  <si>
    <t xml:space="preserve">RV2-01</t>
  </si>
  <si>
    <t xml:space="preserve">Cold-review pass 2 — 13 defects fixed with pinned regressions</t>
  </si>
  <si>
    <t xml:space="preserve">F-V08..F-V20</t>
  </si>
  <si>
    <t xml:space="preserve">test/coldReview2.test.ts — 27 regressions; see Review_Findings</t>
  </si>
  <si>
    <t xml:space="preserve">RV2-02</t>
  </si>
  <si>
    <t xml:space="preserve">External verification sweep vs live Open CTI Lightning docs</t>
  </si>
  <si>
    <t xml:space="preserve">VER-V01..V05</t>
  </si>
  <si>
    <t xml:space="preserve">test/verificationSweep.test.ts; 2 live-blocking defects fixed before the dev-org day</t>
  </si>
  <si>
    <t xml:space="preserve">RV2-03</t>
  </si>
  <si>
    <t xml:space="preserve">Artifact-gap audit + missing /log route built</t>
  </si>
  <si>
    <t xml:space="preserve">GAP-V1,F-V10</t>
  </si>
  <si>
    <t xml:space="preserve">test/logRoute.test.ts — 5 supertest regressions; all other referenced artifacts verified present</t>
  </si>
  <si>
    <t xml:space="preserve">V14-01</t>
  </si>
  <si>
    <t xml:space="preserve">7 missing screens as view-models + accessible renderer</t>
  </si>
  <si>
    <t xml:space="preserve">GAP-V2,ST-079</t>
  </si>
  <si>
    <t xml:space="preserve">src/views.ts — 15 tests; every screen has populated + empty state; output escaped; single h1 + labelled regions</t>
  </si>
  <si>
    <t xml:space="preserve">V14-02</t>
  </si>
  <si>
    <t xml:space="preserve">Screen adapter over the live store/modules + /ui routes</t>
  </si>
  <si>
    <t xml:space="preserve">GAP-V2</t>
  </si>
  <si>
    <t xml:space="preserve">src/screenData.ts + app.ts /ui/:orgId and /ui/:orgId/:screenId?format=html — 9 tests incl. 404 path</t>
  </si>
  <si>
    <t xml:space="preserve">V14-03</t>
  </si>
  <si>
    <t xml:space="preserve">WCAG audit widened from 2 screens to all 9</t>
  </si>
  <si>
    <t xml:space="preserve">test/a11y.test.ts — 18 assertions across populated + empty states; ST-089 stays In progress pending live-UI audit</t>
  </si>
  <si>
    <t xml:space="preserve">V14-04</t>
  </si>
  <si>
    <t xml:space="preserve">ECA migration across code, docs, sweep and guide</t>
  </si>
  <si>
    <t xml:space="preserve">VER-V06</t>
  </si>
  <si>
    <t xml:space="preserve">config/sfAuth/sweepChecks/dev-org guide/live-sweep/D18/data-flow — 'New Connected App' no longer exists in Setup</t>
  </si>
  <si>
    <t xml:space="preserve">V14-05</t>
  </si>
  <si>
    <t xml:space="preserve">PKCE (S256) + single-use state on the install flow</t>
  </si>
  <si>
    <t xml:space="preserve">VER-V07</t>
  </si>
  <si>
    <t xml:space="preserve">src/sfAuth.ts beginInstall/completeInstall + GET /oauth/start — 6 regressions incl. replay, forged state, expiry</t>
  </si>
  <si>
    <t xml:space="preserve">V14-06</t>
  </si>
  <si>
    <t xml:space="preserve">Refresh-token idle timeout + rotation anomaly telemetry</t>
  </si>
  <si>
    <t xml:space="preserve">VER-V08</t>
  </si>
  <si>
    <t xml:space="preserve">30-day ceiling enforced in loadConfig; idle token asks for reconnect without calling the platform; NO_ROTATION recorded</t>
  </si>
  <si>
    <t xml:space="preserve">V14-07</t>
  </si>
  <si>
    <t xml:space="preserve">Refresh-token IP allowlist config + sweep checks A9/A10 + operator O5</t>
  </si>
  <si>
    <t xml:space="preserve">VER-V09</t>
  </si>
  <si>
    <t xml:space="preserve">src/config.ts + src/sweepChecks.ts; sweep is now 10 auto + 5 operator steps</t>
  </si>
  <si>
    <t xml:space="preserve">V14-08</t>
  </si>
  <si>
    <t xml:space="preserve">docs/oauth-security-controls.md + dry-run check DR-16</t>
  </si>
  <si>
    <t xml:space="preserve">Compliance artefact, operator sequence, and the warning that Review Controls attestation LOCKS the config</t>
  </si>
  <si>
    <t xml:space="preserve">V15-01</t>
  </si>
  <si>
    <t xml:space="preserve">Server entry point: start(), PORT, graceful drain, npm start</t>
  </si>
  <si>
    <t xml:space="preserve">GAP-V3</t>
  </si>
  <si>
    <t xml:space="preserve">src/server.ts + src/main.ts — listens, logs, drains on SIGTERM/SIGINT; tested against a real bound port</t>
  </si>
  <si>
    <t xml:space="preserve">V15-02</t>
  </si>
  <si>
    <t xml:space="preserve">Production OAuthGateway against the ECA token endpoint</t>
  </si>
  <si>
    <t xml:space="preserve">GAP-V3,VER-V07</t>
  </si>
  <si>
    <t xml:space="preserve">src/sfGateway.ts — sends code_verifier, 5xx retryable / 4xx terminal, incomplete responses named not stored</t>
  </si>
  <si>
    <t xml:space="preserve">V15-03</t>
  </si>
  <si>
    <t xml:space="preserve">Ordered SQL migrations + guarded runner</t>
  </si>
  <si>
    <t xml:space="preserve">GAP-V4,R-V4</t>
  </si>
  <si>
    <t xml:space="preserve">db/migrations/001-005 + scripts/migrate.ts + src/migrations.ts — order, re-run and checksum-drift guards; cascade deletes</t>
  </si>
  <si>
    <t xml:space="preserve">V15-04</t>
  </si>
  <si>
    <t xml:space="preserve">CI moved off end-of-life Node 20</t>
  </si>
  <si>
    <t xml:space="preserve">.github/workflows/ci.yml → Node 22 with a regression pinning it</t>
  </si>
  <si>
    <t xml:space="preserve">V15-05</t>
  </si>
  <si>
    <t xml:space="preserve">docs/runtime-and-schema.md + dry-run check DR-17</t>
  </si>
  <si>
    <t xml:space="preserve">GAP-V3,GAP-V4,R-V11</t>
  </si>
  <si>
    <t xml:space="preserve">States plainly that migrations are not persistence until the adapter lands</t>
  </si>
  <si>
    <t xml:space="preserve">V16-01</t>
  </si>
  <si>
    <t xml:space="preserve">HMAC session boundary across every org-scoped route</t>
  </si>
  <si>
    <t xml:space="preserve">F-V21,F-V23</t>
  </si>
  <si>
    <t xml:space="preserve">src/auth.ts + app.ts who() — identity from signature only; forged/tampered/expired/cross-org all refused; 21 regressions</t>
  </si>
  <si>
    <t xml:space="preserve">V16-02</t>
  </si>
  <si>
    <t xml:space="preserve">401/403 separated from the blanket 400</t>
  </si>
  <si>
    <t xml:space="preserve">app.ts status() — UNAUTHENTICATED 401, FORBIDDEN/NO_ROLE 403</t>
  </si>
  <si>
    <t xml:space="preserve">V16-03</t>
  </si>
  <si>
    <t xml:space="preserve">PKCE map TTL sweep + FIFO cap</t>
  </si>
  <si>
    <t xml:space="preserve">F-V24</t>
  </si>
  <si>
    <t xml:space="preserve">store.setPkce — OBS-V5 escalated once /oauth/start became public</t>
  </si>
  <si>
    <t xml:space="preserve">V16-04</t>
  </si>
  <si>
    <t xml:space="preserve">Token-endpoint timeout + drain timeout + bound-port logging</t>
  </si>
  <si>
    <t xml:space="preserve">F-V25,F-V26</t>
  </si>
  <si>
    <t xml:space="preserve">sfGateway AbortController 10s; server.drain() exported and tested on both paths</t>
  </si>
  <si>
    <t xml:space="preserve">V17-01</t>
  </si>
  <si>
    <t xml:space="preserve">Repository interface + InMemoryRepository</t>
  </si>
  <si>
    <t xml:space="preserve">src/repository.ts — same semantics as the sync Store it replaces</t>
  </si>
  <si>
    <t xml:space="preserve">V17-02</t>
  </si>
  <si>
    <t xml:space="preserve">PgRepository against the migrations + 006_sequences.sql</t>
  </si>
  <si>
    <t xml:space="preserve">SQL-enforced FIFO cap with persisted drop counts; atomic counter; all values parameterised</t>
  </si>
  <si>
    <t xml:space="preserve">V17-03</t>
  </si>
  <si>
    <t xml:space="preserve">Conformance suite over both implementations</t>
  </si>
  <si>
    <t xml:space="preserve">test/repository.test.ts — describe.each over both; the thing that makes stages 2..N safe</t>
  </si>
  <si>
    <t xml:space="preserve">V17-04</t>
  </si>
  <si>
    <t xml:space="preserve">docs/r-v11-plan.md + operator step O6</t>
  </si>
  <si>
    <t xml:space="preserve">Conversion order fixed; O6 gates R-V11 closure on live Postgres</t>
  </si>
  <si>
    <t xml:space="preserve">V18-01</t>
  </si>
  <si>
    <t xml:space="preserve">R-V11 conversion order corrected (cascade runs toward callers)</t>
  </si>
  <si>
    <t xml:space="preserve">docs/r-v11-plan.md — 8 stages, top-down from the routes; audit/notifications now last</t>
  </si>
  <si>
    <t xml:space="preserve">V18-02</t>
  </si>
  <si>
    <t xml:space="preserve">Stage 2: supportChat.ts + screenData.ts on the async Repository</t>
  </si>
  <si>
    <t xml:space="preserve">Callers are route handlers only, so the cascade stopped at the door; full gate green</t>
  </si>
  <si>
    <t xml:space="preserve">V19-01</t>
  </si>
  <si>
    <t xml:space="preserve">Stage 3: analytics.ts + onboarding.ts on the async Repository</t>
  </si>
  <si>
    <t xml:space="preserve">Cascade contained at routes/screenData/runbook exactly as the corrected rule predicted; full gate green</t>
  </si>
  <si>
    <t xml:space="preserve">V20-01</t>
  </si>
  <si>
    <t xml:space="preserve">Stage 4: designPartners.ts converted; demoMode reverted after the gate found the split-brain</t>
  </si>
  <si>
    <t xml:space="preserve">Roles written to the repository were invisible to readers on the Store — demo seed 403</t>
  </si>
  <si>
    <t xml:space="preserve">V21-01</t>
  </si>
  <si>
    <t xml:space="preserve">Stage 5: the featureCore/permissions cluster on the async Repository</t>
  </si>
  <si>
    <t xml:space="preserve">13 modules converted as one unit; one shared repository in createApp(); legacy Store trimmed to PKCE + snapshot</t>
  </si>
  <si>
    <t xml:space="preserve">V22-01</t>
  </si>
  <si>
    <t xml:space="preserve">Stage 6: sfAuth PKCE + backup snapshot on the repository; legacy Store deleted</t>
  </si>
  <si>
    <t xml:space="preserve">One store in createApp(); SnapshotCapable kept separate; takePkce is DELETE..RETURNING</t>
  </si>
  <si>
    <t xml:space="preserve">V23-01</t>
  </si>
  <si>
    <t xml:space="preserve">Per-(org,resource) serial queue over the four check-then-write guards</t>
  </si>
  <si>
    <t xml:space="preserve">F-V28</t>
  </si>
  <si>
    <t xml:space="preserve">src/locks.ts + 11 concurrency regressions; cadence ids moved to repository nextSeq</t>
  </si>
  <si>
    <t xml:space="preserve">V24-01</t>
  </si>
  <si>
    <t xml:space="preserve">Database-enforced activity dedupe (migration 007 + pushIfAbsent) and repository-minted call ids</t>
  </si>
  <si>
    <t xml:space="preserve">R-V15,R-V16</t>
  </si>
  <si>
    <t xml:space="preserve">ON CONFLICT DO NOTHING against a unique expression index; conformance tests over both implementations</t>
  </si>
  <si>
    <t xml:space="preserve">V25-01</t>
  </si>
  <si>
    <t xml:space="preserve">GET /oauth/callback + Salesforce-verified installer identity</t>
  </si>
  <si>
    <t xml:space="preserve">VB-CR-002,VB-CR-003</t>
  </si>
  <si>
    <t xml:space="preserve">src/app.ts completeInstall(); src/sfGateway.ts verifyIdentity() against the identity endpoint; attacker-id regressions in test/externalReview.test.ts</t>
  </si>
  <si>
    <t xml:space="preserve">V25-02</t>
  </si>
  <si>
    <t xml:space="preserve">Softphone bearer bootstrap + the first real softphone→API contract test</t>
  </si>
  <si>
    <t xml:space="preserve">VB-CR-001</t>
  </si>
  <si>
    <t xml:space="preserve">src/app.ts /softphone/bootstrap; src/auth.ts cookie helpers; test/softphoneE2e.test.ts drives the real adapter against a real app (8 tests)</t>
  </si>
  <si>
    <t xml:space="preserve">V25-03</t>
  </si>
  <si>
    <t xml:space="preserve">Production repository factory + pg dependency + migration smoke in CI</t>
  </si>
  <si>
    <t xml:space="preserve">VB-CR-004,VB-CR-006</t>
  </si>
  <si>
    <t xml:space="preserve">src/repositoryFactory.ts; server boot line states storage; .github/workflows/ci.yml migration-smoke job on Postgres 16, run twice for idempotence</t>
  </si>
  <si>
    <t xml:space="preserve">V25-04</t>
  </si>
  <si>
    <t xml:space="preserve">Intra-org view permissions enforced before assembly</t>
  </si>
  <si>
    <t xml:space="preserve">VB-CR-007</t>
  </si>
  <si>
    <t xml:space="preserve">src/permissions.ts matrix + src/screenData.ts ViewGrants; permission sets regenerated (owner 10 / admin 8 / member 1) after the drift test fired</t>
  </si>
  <si>
    <t xml:space="preserve">V25-05</t>
  </si>
  <si>
    <t xml:space="preserve">Release-evidence integrity gate + coverage-scope statement</t>
  </si>
  <si>
    <t xml:space="preserve">VB-CR-009,VB-CR-010</t>
  </si>
  <si>
    <t xml:space="preserve">src/releaseIntegrity.ts, scripts/evidence-manifest.ts, docs/coverage-scope.md; evidence regenerated and bound to package hash 1c9171da0f50</t>
  </si>
  <si>
    <t xml:space="preserve">V25-06</t>
  </si>
  <si>
    <t xml:space="preserve">Durable softphone queue + honest residency</t>
  </si>
  <si>
    <t xml:space="preserve">VB-CR-011,VB-CR-012</t>
  </si>
  <si>
    <t xml:space="preserve">src/softphoneAdapter.ts storage-backed queue; src/config.ts production region requirement; src/trustPage.ts UNVERIFIED path</t>
  </si>
  <si>
    <t xml:space="preserve">V25-07</t>
  </si>
  <si>
    <t xml:space="preserve">qs advisory mitigation + dated acceptance</t>
  </si>
  <si>
    <t xml:space="preserve">VB-CR-013</t>
  </si>
  <si>
    <t xml:space="preserve">app.set('query parser','simple') pinned by regression; docs/security-advisories.md expiry 13 Dec 2026; CI fails at high or above</t>
  </si>
  <si>
    <t xml:space="preserve">V25-08</t>
  </si>
  <si>
    <t xml:space="preserve">Evidence run made completable (audit threshold read from the report, not the exit code)</t>
  </si>
  <si>
    <t xml:space="preserve">F-V29</t>
  </si>
  <si>
    <t xml:space="preserve">scripts/security-evidence.sh — prints "N moderate, M high/critical"; only high/critical block</t>
  </si>
  <si>
    <t xml:space="preserve">V25-09</t>
  </si>
  <si>
    <t xml:space="preserve">Staleness gate made resolution-aware + evidence re-bound to the 1956 package</t>
  </si>
  <si>
    <t xml:space="preserve">STAMP_RESOLUTION_MS with two-sided regression; RUN_STAMP 19:24:21Z, hash 74db7a92c550, 46 suites / 403 tests; zip verified in a clean extraction</t>
  </si>
  <si>
    <t xml:space="preserve">V26-01</t>
  </si>
  <si>
    <t xml:space="preserve">src/sfRest.ts — record matching + external-id Task upsert through the breaker</t>
  </si>
  <si>
    <t xml:space="preserve">VB-CR-005,ST-013</t>
  </si>
  <si>
    <t xml:space="preserve">Contact→Lead match on the national part; PATCH on VoiceBridge_External_Id__c (201/204); 401 → refresh once → retry; SOQL closed by construction</t>
  </si>
  <si>
    <t xml:space="preserve">V26-02</t>
  </si>
  <si>
    <t xml:space="preserve">src/crmWriteBack.ts — honest status + durable outbox + operator drain</t>
  </si>
  <si>
    <t xml:space="preserve">VB-CR-005,ST-014</t>
  </si>
  <si>
    <t xml:space="preserve">written/queued/not-configured; outbox keyed on externalId with attempt counts; oldest-first drain stopping at first failure; /crm/health + /crm/retry</t>
  </si>
  <si>
    <t xml:space="preserve">V26-03</t>
  </si>
  <si>
    <t xml:space="preserve">Migration 008 instance_url + Repository.removeWhere on both implementations</t>
  </si>
  <si>
    <t xml:space="preserve">VB-CR-005,R-V13</t>
  </si>
  <si>
    <t xml:space="preserve">Conformance tests over in-memory and Pg; the host Salesforce returns is finally kept</t>
  </si>
  <si>
    <t xml:space="preserve">V26-04</t>
  </si>
  <si>
    <t xml:space="preserve">Task.VoiceBridge_External_Id__c in the 2GP package + operator step O7</t>
  </si>
  <si>
    <t xml:space="preserve">VB-CR-005,D18,R-V20</t>
  </si>
  <si>
    <t xml:space="preserve">Unique external-id field pinned by a test; without it the upsert 404s in-org. Widens D18 review scope by one field</t>
  </si>
  <si>
    <t xml:space="preserve">V27-01</t>
  </si>
  <si>
    <t xml:space="preserve">src/telephony.ts — TelephonyProvider contract + Simulated/Refusing implementations</t>
  </si>
  <si>
    <t xml:space="preserve">VB-CR-005,D-V5</t>
  </si>
  <si>
    <t xml:space="preserve">placeCall idempotent on our call id; verifyWebhook mandatory and false in both built-ins; toCallState is the only place provider vocabulary is translated</t>
  </si>
  <si>
    <t xml:space="preserve">V27-02</t>
  </si>
  <si>
    <t xml:space="preserve">Dialer asks the provider before writing; CallRecord carries simulated/providerCallId/provider</t>
  </si>
  <si>
    <t xml:space="preserve">VB-CR-005,ST-002</t>
  </si>
  <si>
    <t xml:space="preserve">A refused dial writes no record; /dial returns all three fields</t>
  </si>
  <si>
    <t xml:space="preserve">V27-03</t>
  </si>
  <si>
    <t xml:space="preserve">Softphone panel stops saying "Ringing" for a call nobody placed</t>
  </si>
  <si>
    <t xml:space="preserve">jsdom regression asserts the simulated wording appears and "Ringing" does not</t>
  </si>
  <si>
    <t xml:space="preserve">V27-04</t>
  </si>
  <si>
    <t xml:space="preserve">docs/telephony-provider-decision.md + operator step O8</t>
  </si>
  <si>
    <t xml:space="preserve">D-V5,R-V2</t>
  </si>
  <si>
    <t xml:space="preserve">Contract, three obligations, what cannot be built before the choice, and the commercial trade-offs that make D-V5 a pricing decision as much as a technical one</t>
  </si>
  <si>
    <t xml:space="preserve">V28-01</t>
  </si>
  <si>
    <t xml:space="preserve">src/widget.ts — softphone page + adapter bundle served; VB_CONFIG injected; CallCenter customSettings deleted; static resource retired from the package</t>
  </si>
  <si>
    <t xml:space="preserve">F-P01,VB-E-010/011,ST-001..010</t>
  </si>
  <si>
    <t xml:space="preserve">test/widget.test.ts boots the app: 200 + both script tags + config; adapterUrl parsed from XML resolves to a route; 503 WIDGET_NOT_BUILT when unbuilt</t>
  </si>
  <si>
    <t xml:space="preserve">V28-02</t>
  </si>
  <si>
    <t xml:space="preserve">src/tokenCipher.ts + repository seal/open + migration 009 key_version + scripts/rotate-token-keys.ts</t>
  </si>
  <si>
    <t xml:space="preserve">F-P02,VB-E-012</t>
  </si>
  <si>
    <t xml:space="preserve">AES-256-GCM, key ring, per-org AAD; conformance test: persisted bytes never contain plaintext on either store; VB_TOKEN_KEYS required in production</t>
  </si>
  <si>
    <t xml:space="preserve">V28-03</t>
  </si>
  <si>
    <t xml:space="preserve">src/hardening.ts — CSP/frame-ancestors, HSTS, nosniff, referrer, permissions, COOP, body cap, inbound timeout, request ids, terminal 404</t>
  </si>
  <si>
    <t xml:space="preserve">F-P04,VB-E-013</t>
  </si>
  <si>
    <t xml:space="preserve">Headers pinned per response class incl. 404/401; HSTS omitted for http base; hostile request id replaced</t>
  </si>
  <si>
    <t xml:space="preserve">V28-04</t>
  </si>
  <si>
    <t xml:space="preserve">Rate limits on a shared store: per-ip (oauth/start, public reads) and per-org (authenticated writes); 429 + Retry-After + RateLimit-*</t>
  </si>
  <si>
    <t xml:space="preserve">F-P04,VB-E-014</t>
  </si>
  <si>
    <t xml:space="preserve">Limit proven to hold across two createApp() instances sharing one repository; window reset by injected clock</t>
  </si>
  <si>
    <t xml:space="preserve">V28-05</t>
  </si>
  <si>
    <t xml:space="preserve">releaseIntegrity symmetric + testFiles[]; evidence script keeps the full log; CI + deploy call evidence:check; build outputs excluded (F-V34)</t>
  </si>
  <si>
    <t xml:space="preserve">F-P05,VB-E-015,F-V34</t>
  </si>
  <si>
    <t xml:space="preserve">Gate run in a clean extraction and its false positive fixed before release</t>
  </si>
  <si>
    <t xml:space="preserve">V28-06</t>
  </si>
  <si>
    <t xml:space="preserve">src/claims.ts + test/claims.test.ts + docs/claims-registry.md (generated) — 34 claims, both directions gated; HC-05 WhatsApp claim withdrawn; contacts from config</t>
  </si>
  <si>
    <t xml:space="preserve">VB-E-016,VB-CR-008,VB-CR-012,DR-20</t>
  </si>
  <si>
    <t xml:space="preserve">Unmapped sentence or untested claim fails the build</t>
  </si>
  <si>
    <t xml:space="preserve">V28-07</t>
  </si>
  <si>
    <t xml:space="preserve">Express 5 + qs&gt;=6.16 override; Node 22 types/engines; tsconfig.scripts.json (F-V33)</t>
  </si>
  <si>
    <t xml:space="preserve">VB-E-017,VB-CR-013,F-V33</t>
  </si>
  <si>
    <t xml:space="preserve">npm audit --omit=dev: 0 at every severity; typecheck:scripts green (the old CI step could never pass)</t>
  </si>
  <si>
    <t xml:space="preserve">V28-08</t>
  </si>
  <si>
    <t xml:space="preserve">Repository.updateWhere on both stores; list() returns detached copies; F-V31 sites (dialer/cadence/supportChat/designPartners/outbox) routed through it; F-V32 coaching promise</t>
  </si>
  <si>
    <t xml:space="preserve">F-P03b,F-V31,F-V32,VB-E-051</t>
  </si>
  <si>
    <t xml:space="preserve">Conformance: mutation via a returned object does NOT persist on either store; 12 tests failed on the change and every one was a production-only defect</t>
  </si>
  <si>
    <t xml:space="preserve">V28-09</t>
  </si>
  <si>
    <t xml:space="preserve">src/outboxWorker.ts — lease-elected drain, backoff+jitter, dead-letter after 8, metrics, alert rule; crmWriteBack retry honours nextAttemptAt</t>
  </si>
  <si>
    <t xml:space="preserve">F-P03a,VB-E-052</t>
  </si>
  <si>
    <t xml:space="preserve">Ten-minute outage drains unattended on recovery; leader hand-over on lease expiry; one org failing does not stop the rest</t>
  </si>
  <si>
    <t xml:space="preserve">V28-10</t>
  </si>
  <si>
    <t xml:space="preserve">PgRepository tenant-context transactions (BEGIN/set_config/COMMIT on a borrowed connection); pushIfCountBelow with advisory lock; migration 010 RLS + FORCE; superuser refused in production; db/checks/rls-smoke.sql in CI</t>
  </si>
  <si>
    <t xml:space="preserve">VB-E-080,VB-E-053,R-V15</t>
  </si>
  <si>
    <t xml:space="preserve">Recording double refuses statements without matching tenant context; caps half of R-V15 closed at the database</t>
  </si>
  <si>
    <t xml:space="preserve">V28-11</t>
  </si>
  <si>
    <t xml:space="preserve">src/observability.ts — JSON logger with redaction, RED metrics per route pattern, /metrics (bearer), error sink; wrap() 500-not-400 for non-VBErrors</t>
  </si>
  <si>
    <t xml:space="preserve">VB-E-054</t>
  </si>
  <si>
    <t xml:space="preserve">Access line per request with request id/org/route/status/duration; ids never become metric labels</t>
  </si>
  <si>
    <t xml:space="preserve">V28-12</t>
  </si>
  <si>
    <t xml:space="preserve">src/slo.ts — 99.5% as code, error budget, burn-rate windows, /status/slo, Prometheus rule export</t>
  </si>
  <si>
    <t xml:space="preserve">VB-E-055,CL-S01</t>
  </si>
  <si>
    <t xml:space="preserve">Rules reference runbook RB-10/RB-11; game day = O10</t>
  </si>
  <si>
    <t xml:space="preserve">V28-13</t>
  </si>
  <si>
    <t xml:space="preserve">.github/workflows/deploy.yml + scripts/deploy/blue-green.sh + scripts/dr-drill.sh; ci.yml: evidence:check, DB checks, actionlint; echo deploy job removed</t>
  </si>
  <si>
    <t xml:space="preserve">VB-E-056,VB-E-057,ST-092,ST-090</t>
  </si>
  <si>
    <t xml:space="preserve">Workflow shape asserted by test; execution = live infra (O4/O9)</t>
  </si>
  <si>
    <t xml:space="preserve">V28-14</t>
  </si>
  <si>
    <t xml:space="preserve">src/audit.ts hash chain + verifyAuditChain + GET /audit/verify; audit exempt from FIFO cap; migration 010 append-only trigger; db/checks/audit-append-only.sql</t>
  </si>
  <si>
    <t xml:space="preserve">VB-E-081,ST-067</t>
  </si>
  <si>
    <t xml:space="preserve">Tampered/deleted/reordered rows detected at a named position; concurrent records serialised</t>
  </si>
  <si>
    <t xml:space="preserve">V28-15</t>
  </si>
  <si>
    <t xml:space="preserve">Session lifecycle: jti + epoch in the token, revocation list, /auth/logout, /auth/revoke-all, POST /roles (owner) revoking the target's sessions, TTL default 1 day, role.manage + session.revoke_all permissions (permsets regenerated)</t>
  </si>
  <si>
    <t xml:space="preserve">VB-E-082,ST-054</t>
  </si>
  <si>
    <t xml:space="preserve">Pre-v0.28 token shape refused as incomplete; install mints at the user's current epoch</t>
  </si>
  <si>
    <t xml:space="preserve">V28-16</t>
  </si>
  <si>
    <t xml:space="preserve">src/numbers.ts — E.164 + 15-country rules + extensions; Blocklist (routes, audited, dedupe index); DncRegistry seam; dialer refuses before the provider</t>
  </si>
  <si>
    <t xml:space="preserve">VB-E-025,CL-T08</t>
  </si>
  <si>
    <t xml:space="preserve">No refused number reaches the provider; trust page names the registry</t>
  </si>
  <si>
    <t xml:space="preserve">V28-17</t>
  </si>
  <si>
    <t xml:space="preserve">sfRest.matchByPhone — SOSL FIND IN PHONE FIELDS; one/none/ambiguous; crmWriteBack writes ambiguous Tasks unattached with candidates</t>
  </si>
  <si>
    <t xml:space="preserve">VB-E-031,ST-013</t>
  </si>
  <si>
    <t xml:space="preserve">Ambiguity never resolved by picking a row; Contacts sort before Leads deterministically</t>
  </si>
  <si>
    <t xml:space="preserve">V28-18</t>
  </si>
  <si>
    <t xml:space="preserve">docs: opencti-retirement-impact, salesforce-voice-pt-spike (plan), dpa-template, claims-registry; runtime-and-schema/coverage-scope/security-advisories/d18/telephony/dev-org-guide (O7b, O9, O10)/REVIEW_PACK/SECURITY.md/live-sweep updated; dryRun DR-19..23; runbook RB-02 real</t>
  </si>
  <si>
    <t xml:space="preserve">R-V21,VB-E-001/002/084</t>
  </si>
  <si>
    <t xml:space="preserve">Dry-run READY 18/18 automated + 5 human/live</t>
  </si>
  <si>
    <t xml:space="preserve">V28-19</t>
  </si>
  <si>
    <t xml:space="preserve">Evidence regenerated and bound (f0f4eb4ab67d); zip verified from a clean extraction</t>
  </si>
  <si>
    <t xml:space="preserve">D13,VB-CR-009</t>
  </si>
  <si>
    <t xml:space="preserve">58 suites / 613 tests, 100% ×4, zero pragmas, 0 advisories</t>
  </si>
  <si>
    <t xml:space="preserve">TRACEABILITY MATRIX — 100 stories: module → epic → story → sprint → verification → status → evidence</t>
  </si>
  <si>
    <t xml:space="preserve">Source: v006 Full_Backlog (single source of truth). Status values: Done | Code-complete (pending live) | Backlog.</t>
  </si>
  <si>
    <t xml:space="preserve">Status column J is unchanged pending D-V4 (both reviewers recommend (a)); this column names the findings that bear on each story block. 20 Sep: Perplexity review V001 (F-P01..F-P06) and v0.28.0 remediation added.</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</si>
  <si>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</si>
  <si>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</si>
  <si>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</si>
  <si>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</si>
  <si>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</si>
  <si>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</si>
  <si>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</si>
  <si>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</si>
  <si>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External review V001 readiness (13 Sep)</t>
  </si>
  <si>
    <t xml:space="preserve">ST-001</t>
  </si>
  <si>
    <t xml:space="preserve">F1</t>
  </si>
  <si>
    <t xml:space="preserve">Click-to-dial + softphone</t>
  </si>
  <si>
    <t xml:space="preserve">As a RevOps lead, I can set up Click-to-dial + softphone with sensible defaults in one screen</t>
  </si>
  <si>
    <t xml:space="preserve">P0</t>
  </si>
  <si>
    <t xml:space="preserve">SCR-3 Call workspace</t>
  </si>
  <si>
    <t xml:space="preserve">Automated (Jest, 100% cov) + E2E smoke</t>
  </si>
  <si>
    <t xml:space="preserve">src/dialer.ts.setup defaults + featureCore — dialer.test.ts</t>
  </si>
  <si>
    <t xml:space="preserve">PROTOTYPE (code-only), NOW LABELLED AS SUCH IN THE PRODUCT — VB-CR-005 telephony half: no adapter places the call (D-V5), so every call is marked simulated:true and the panel says so rather than reading "Ringing". The seam and the adapter contract exist (src/telephony.ts, docs/telephony-provider-decision.md). D-V4 records whether these stay counted as Done. | F-P01 (20 Sep): the softphone page those stories promise was NEVER SERVED — fixed in v0.28.0 (src/widget.ts, boot test); pre-dial E.164/blocklist/DNC refusal added (VB-E-025). Still no adapter (D-V5). R-V21: the Open CTI surface itself retires 28 Feb 2028 (D-V8). Reviewer + v0.28.0 recommend D-V4(a) → Code-complete (unproven).</t>
  </si>
  <si>
    <t xml:space="preserve">ST-002</t>
  </si>
  <si>
    <t xml:space="preserve">As a RevOps lead, the Click-to-dial + softphone happy path completes without documentation</t>
  </si>
  <si>
    <t xml:space="preserve">src/dialer.ts happy-path state machine — dialer.test.ts + app.e2e.test.ts</t>
  </si>
  <si>
    <t xml:space="preserve">ST-003</t>
  </si>
  <si>
    <t xml:space="preserve">As a Sales leader, I can customise Click-to-dial + softphone rules/conditions for my workflow</t>
  </si>
  <si>
    <t xml:space="preserve">P1</t>
  </si>
  <si>
    <t xml:space="preserve">featureCore.customise rules merge — featureCore.test.ts</t>
  </si>
  <si>
    <t xml:space="preserve">ST-004</t>
  </si>
  <si>
    <t xml:space="preserve">As a user, Click-to-dial + softphone shows clear errors and retry paths on platform API failures</t>
  </si>
  <si>
    <t xml:space="preserve">errors.ts retry envelope + src/dialer.ts error paths — dialer.test.ts</t>
  </si>
  <si>
    <t xml:space="preserve">ST-005</t>
  </si>
  <si>
    <t xml:space="preserve">As a Salesforce admin, Click-to-dial + softphone works on the Lightning utility-bar softphone + LWC surface end-to-end</t>
  </si>
  <si>
    <t xml:space="preserve">featureCore.availableOn lightning-utility-bar — featureCore.test.ts | GAP-V2: the web screen now exists (src/views.ts, /ui route) but no LWC bundle does — status held pending D-V2 ruling + in-org proof.</t>
  </si>
  <si>
    <t xml:space="preserve">ST-006</t>
  </si>
  <si>
    <t xml:space="preserve">As a Sales leader, I can see Click-to-dial + softphone performance metrics and trends</t>
  </si>
  <si>
    <t xml:space="preserve">featureCore.metrics total/24h — featureCore.test.ts</t>
  </si>
  <si>
    <t xml:space="preserve">ST-007</t>
  </si>
  <si>
    <t xml:space="preserve">As a user, Click-to-dial + softphone respects role permissions and audit logging</t>
  </si>
  <si>
    <t xml:space="preserve">permissions.ts matrix + audit.ts on every admin op — permissions/audit tests</t>
  </si>
  <si>
    <t xml:space="preserve">ST-008</t>
  </si>
  <si>
    <t xml:space="preserve">As a RevOps lead, I can pause/disable Click-to-dial + softphone without data loss</t>
  </si>
  <si>
    <t xml:space="preserve">P2</t>
  </si>
  <si>
    <t xml:space="preserve">featureCore.setEnabled pause, data bags untouched — featureCore.test.ts</t>
  </si>
  <si>
    <t xml:space="preserve">ST-009</t>
  </si>
  <si>
    <t xml:space="preserve">As a Sales leader, I can import/migrate existing data into Click-to-dial + softphone (CSV + competitor importer)</t>
  </si>
  <si>
    <t xml:space="preserve">featureCore.importData validation report — featureCore.test.ts</t>
  </si>
  <si>
    <t xml:space="preserve">ST-010</t>
  </si>
  <si>
    <t xml:space="preserve">As a user, I get notifications (in-app + email) for key Click-to-dial + softphone events with per-type mute</t>
  </si>
  <si>
    <t xml:space="preserve">notifications.ts in-app+email — notifications.test.ts</t>
  </si>
  <si>
    <t xml:space="preserve">ST-011</t>
  </si>
  <si>
    <t xml:space="preserve">F2</t>
  </si>
  <si>
    <t xml:space="preserve">Auto call/WhatsApp logging</t>
  </si>
  <si>
    <t xml:space="preserve">As a RevOps lead, I can set up Auto call/WhatsApp logging with sensible defaults in one screen</t>
  </si>
  <si>
    <t xml:space="preserve">SCR-4 Logging builder</t>
  </si>
  <si>
    <t xml:space="preserve">src/callLogger.ts.setup defaults + featureCore — callLogger.test.ts</t>
  </si>
  <si>
    <t xml:space="preserve">CODE-COMPLETE PENDING LIVE (was PROTOTYPE) — v0.26.0 writes the activity back to Salesforce as a Task, matched to Contact/Lead, idempotent on an external id. Verified against doubles only: operator step O7 proves it in an org (R-V20). WhatsApp remains VB-CR-008: no provider, no webhook, no send. | v0.28.0: matching moved to the platform phone index with ambiguity written unattached (VB-E-031); outbox now drains itself with backoff + dead-letter (F-P03); F-V31 — on Postgres no call ever ENDED before this release (transition mutated a detached copy). Live proof still O7. D-V4(a) recommended.</t>
  </si>
  <si>
    <t xml:space="preserve">ST-012</t>
  </si>
  <si>
    <t xml:space="preserve">As a RevOps lead, the Auto call/WhatsApp logging happy path completes without documentation</t>
  </si>
  <si>
    <t xml:space="preserve">src/callLogger.ts happy-path state machine — callLogger.test.ts + app.e2e.test.ts</t>
  </si>
  <si>
    <t xml:space="preserve">ST-013</t>
  </si>
  <si>
    <t xml:space="preserve">As a Sales leader, I can customise Auto call/WhatsApp logging rules/conditions for my workflow</t>
  </si>
  <si>
    <t xml:space="preserve">ST-014</t>
  </si>
  <si>
    <t xml:space="preserve">As a user, Auto call/WhatsApp logging shows clear errors and retry paths on platform API failures</t>
  </si>
  <si>
    <t xml:space="preserve">errors.ts retry envelope + src/callLogger.ts error paths — callLogger.test.ts</t>
  </si>
  <si>
    <t xml:space="preserve">ST-015</t>
  </si>
  <si>
    <t xml:space="preserve">As a Salesforce admin, Auto call/WhatsApp logging works on the Lightning utility-bar softphone + LWC surface end-to-end</t>
  </si>
  <si>
    <t xml:space="preserve">ST-016</t>
  </si>
  <si>
    <t xml:space="preserve">As a Sales leader, I can see Auto call/WhatsApp logging performance metrics and trends</t>
  </si>
  <si>
    <t xml:space="preserve">ST-017</t>
  </si>
  <si>
    <t xml:space="preserve">As a user, Auto call/WhatsApp logging respects role permissions and audit logging</t>
  </si>
  <si>
    <t xml:space="preserve">ST-018</t>
  </si>
  <si>
    <t xml:space="preserve">As a RevOps lead, I can pause/disable Auto call/WhatsApp logging without data loss</t>
  </si>
  <si>
    <t xml:space="preserve">ST-019</t>
  </si>
  <si>
    <t xml:space="preserve">As a Sales leader, I can import/migrate existing data into Auto call/WhatsApp logging (CSV + competitor importer)</t>
  </si>
  <si>
    <t xml:space="preserve">ST-020</t>
  </si>
  <si>
    <t xml:space="preserve">As a user, I get notifications (in-app + email) for key Auto call/WhatsApp logging events with per-type mute</t>
  </si>
  <si>
    <t xml:space="preserve">ST-021</t>
  </si>
  <si>
    <t xml:space="preserve">F3</t>
  </si>
  <si>
    <t xml:space="preserve">Cadence/sequence lite</t>
  </si>
  <si>
    <t xml:space="preserve">As a RevOps lead, I can set up Cadence/sequence lite with sensible defaults in one screen</t>
  </si>
  <si>
    <t xml:space="preserve">SCR-5 Cadence view</t>
  </si>
  <si>
    <t xml:space="preserve">src/cadence.ts.setup defaults + featureCore — cadence.test.ts</t>
  </si>
  <si>
    <t xml:space="preserve">F-V31 (20 Sep): cadence.advance mutated a detached copy — on Postgres no enrollment ever advanced; fixed via updateWhere with enrollment ids. Counted caps now DB-enforced (VB-E-053).</t>
  </si>
  <si>
    <t xml:space="preserve">ST-022</t>
  </si>
  <si>
    <t xml:space="preserve">As a RevOps lead, the Cadence/sequence lite happy path completes without documentation</t>
  </si>
  <si>
    <t xml:space="preserve">src/cadence.ts happy-path state machine — cadence.test.ts + app.e2e.test.ts</t>
  </si>
  <si>
    <t xml:space="preserve">ST-023</t>
  </si>
  <si>
    <t xml:space="preserve">As a Sales leader, I can customise Cadence/sequence lite rules/conditions for my workflow</t>
  </si>
  <si>
    <t xml:space="preserve">ST-024</t>
  </si>
  <si>
    <t xml:space="preserve">As a user, Cadence/sequence lite shows clear errors and retry paths on platform API failures</t>
  </si>
  <si>
    <t xml:space="preserve">errors.ts retry envelope + src/cadence.ts error paths — cadence.test.ts</t>
  </si>
  <si>
    <t xml:space="preserve">ST-025</t>
  </si>
  <si>
    <t xml:space="preserve">As a Salesforce admin, Cadence/sequence lite works on the Lightning utility-bar softphone + LWC surface end-to-end</t>
  </si>
  <si>
    <t xml:space="preserve">ST-026</t>
  </si>
  <si>
    <t xml:space="preserve">As a Sales leader, I can see Cadence/sequence lite performance metrics and trends</t>
  </si>
  <si>
    <t xml:space="preserve">ST-027</t>
  </si>
  <si>
    <t xml:space="preserve">As a user, Cadence/sequence lite respects role permissions and audit logging</t>
  </si>
  <si>
    <t xml:space="preserve">ST-028</t>
  </si>
  <si>
    <t xml:space="preserve">As a RevOps lead, I can pause/disable Cadence/sequence lite without data loss</t>
  </si>
  <si>
    <t xml:space="preserve">ST-029</t>
  </si>
  <si>
    <t xml:space="preserve">As a Sales leader, I can import/migrate existing data into Cadence/sequence lite (CSV + competitor importer)</t>
  </si>
  <si>
    <t xml:space="preserve">ST-030</t>
  </si>
  <si>
    <t xml:space="preserve">As a user, I get notifications (in-app + email) for key Cadence/sequence lite events with per-type mute</t>
  </si>
  <si>
    <t xml:space="preserve">ST-031</t>
  </si>
  <si>
    <t xml:space="preserve">F4</t>
  </si>
  <si>
    <t xml:space="preserve">Coaching analytics</t>
  </si>
  <si>
    <t xml:space="preserve">As a RevOps lead, I can set up Coaching analytics with sensible defaults in one screen</t>
  </si>
  <si>
    <t xml:space="preserve">SCR-8 Analytics</t>
  </si>
  <si>
    <t xml:space="preserve">src/coaching.ts.setup defaults + featureCore — coaching.test.ts</t>
  </si>
  <si>
    <t xml:space="preserve">F-V32 (20 Sep): coaching.snapshot stored a Promise — every stored scorecard was "{}" on Postgres; fixed and pinned.</t>
  </si>
  <si>
    <t xml:space="preserve">ST-032</t>
  </si>
  <si>
    <t xml:space="preserve">As a RevOps lead, the Coaching analytics happy path completes without documentation</t>
  </si>
  <si>
    <t xml:space="preserve">src/coaching.ts happy-path state machine — coaching.test.ts + app.e2e.test.ts</t>
  </si>
  <si>
    <t xml:space="preserve">ST-033</t>
  </si>
  <si>
    <t xml:space="preserve">As a Sales leader, I can customise Coaching analytics rules/conditions for my workflow</t>
  </si>
  <si>
    <t xml:space="preserve">ST-034</t>
  </si>
  <si>
    <t xml:space="preserve">As a user, Coaching analytics shows clear errors and retry paths on platform API failures</t>
  </si>
  <si>
    <t xml:space="preserve">errors.ts retry envelope + src/coaching.ts error paths — coaching.test.ts</t>
  </si>
  <si>
    <t xml:space="preserve">ST-035</t>
  </si>
  <si>
    <t xml:space="preserve">As a Salesforce admin, Coaching analytics works on the Lightning utility-bar softphone + LWC surface end-to-end</t>
  </si>
  <si>
    <t xml:space="preserve">ST-036</t>
  </si>
  <si>
    <t xml:space="preserve">As a Sales leader, I can see Coaching analytics performance metrics and trends</t>
  </si>
  <si>
    <t xml:space="preserve">ST-037</t>
  </si>
  <si>
    <t xml:space="preserve">As a user, Coaching analytics respects role permissions and audit logging</t>
  </si>
  <si>
    <t xml:space="preserve">ST-038</t>
  </si>
  <si>
    <t xml:space="preserve">As a RevOps lead, I can pause/disable Coaching analytics without data loss</t>
  </si>
  <si>
    <t xml:space="preserve">ST-039</t>
  </si>
  <si>
    <t xml:space="preserve">As a Sales leader, I can import/migrate existing data into Coaching analytics (CSV + competitor importer)</t>
  </si>
  <si>
    <t xml:space="preserve">ST-040</t>
  </si>
  <si>
    <t xml:space="preserve">As a user, I get notifications (in-app + email) for key Coaching analytics events with per-type mute</t>
  </si>
  <si>
    <t xml:space="preserve">ST-041</t>
  </si>
  <si>
    <t xml:space="preserve">F5</t>
  </si>
  <si>
    <t xml:space="preserve">Flow actions pack</t>
  </si>
  <si>
    <t xml:space="preserve">As a RevOps lead, I can set up Flow actions pack with sensible defaults in one screen</t>
  </si>
  <si>
    <t xml:space="preserve">SF Flow Builder (native)</t>
  </si>
  <si>
    <t xml:space="preserve">src/flowActions.ts.setup defaults + featureCore — flowActions.test.ts</t>
  </si>
  <si>
    <t xml:space="preserve">AT RISK — invokes the dial/cadence path still affected by VB-CR-005.</t>
  </si>
  <si>
    <t xml:space="preserve">ST-042</t>
  </si>
  <si>
    <t xml:space="preserve">As a RevOps lead, the Flow actions pack happy path completes without documentation</t>
  </si>
  <si>
    <t xml:space="preserve">src/flowActions.ts happy-path state machine — flowActions.test.ts + app.e2e.test.ts</t>
  </si>
  <si>
    <t xml:space="preserve">ST-043</t>
  </si>
  <si>
    <t xml:space="preserve">As a Sales leader, I can customise Flow actions pack rules/conditions for my workflow</t>
  </si>
  <si>
    <t xml:space="preserve">ST-044</t>
  </si>
  <si>
    <t xml:space="preserve">As a user, Flow actions pack shows clear errors and retry paths on platform API failures</t>
  </si>
  <si>
    <t xml:space="preserve">errors.ts retry envelope + src/flowActions.ts error paths — flowActions.test.ts</t>
  </si>
  <si>
    <t xml:space="preserve">ST-045</t>
  </si>
  <si>
    <t xml:space="preserve">As a Salesforce admin, Flow actions pack works on the Lightning utility-bar softphone + LWC surface end-to-end</t>
  </si>
  <si>
    <t xml:space="preserve">ST-046</t>
  </si>
  <si>
    <t xml:space="preserve">As a Sales leader, I can see Flow actions pack performance metrics and trends</t>
  </si>
  <si>
    <t xml:space="preserve">ST-047</t>
  </si>
  <si>
    <t xml:space="preserve">As a user, Flow actions pack respects role permissions and audit logging</t>
  </si>
  <si>
    <t xml:space="preserve">ST-048</t>
  </si>
  <si>
    <t xml:space="preserve">As a RevOps lead, I can pause/disable Flow actions pack without data loss</t>
  </si>
  <si>
    <t xml:space="preserve">ST-049</t>
  </si>
  <si>
    <t xml:space="preserve">As a Sales leader, I can import/migrate existing data into Flow actions pack (CSV + competitor importer)</t>
  </si>
  <si>
    <t xml:space="preserve">ST-050</t>
  </si>
  <si>
    <t xml:space="preserve">As a user, I get notifications (in-app + email) for key Flow actions pack events with per-type mute</t>
  </si>
  <si>
    <t xml:space="preserve">E1</t>
  </si>
  <si>
    <t xml:space="preserve">Install &amp; lifecycle</t>
  </si>
  <si>
    <t xml:space="preserve">Marketplace OAuth install completes and lands on welcome state in &lt;2 min</t>
  </si>
  <si>
    <t xml:space="preserve">SCR-1/6</t>
  </si>
  <si>
    <t xml:space="preserve">src/sfAuth.ts beginInstall (PKCE S256 + single-use state) + GET /oauth/start + lifecycle.install — VER-V06/V07: ECA, not Connected App. Live install still pending dev org.</t>
  </si>
  <si>
    <t xml:space="preserve">PARTLY CLEARED 19:26 — VB-CR-002/003 FIXED (GET callback, Salesforce-verified installer identity) and VB-CR-004 FIXED in code (PgRepository wired; O6 live conformance outstanding).</t>
  </si>
  <si>
    <t xml:space="preserve">Uninstall webhook removes tokens, schedules data deletion per policy</t>
  </si>
  <si>
    <t xml:space="preserve">src/lifecycle.ts uninstall token-wipe + deletion schedule + sweep — lifecycle.test.ts | v006: F-V01 fixed: sweep now removes roles + strips tombstone</t>
  </si>
  <si>
    <t xml:space="preserve">ST-053</t>
  </si>
  <si>
    <t xml:space="preserve">Re-install restores account within retention window</t>
  </si>
  <si>
    <t xml:space="preserve">src/lifecycle.ts reinstall-within-retention restores data — lifecycle.test.ts</t>
  </si>
  <si>
    <t xml:space="preserve">ST-054</t>
  </si>
  <si>
    <t xml:space="preserve">Multi-user roles: owner/admin/member permission matrix enforced</t>
  </si>
  <si>
    <t xml:space="preserve">src/permissions.ts owner/admin/member matrix — permissions.test.ts</t>
  </si>
  <si>
    <t xml:space="preserve">PARTLY CLEARED 19:26 — VB-CR-002/003 FIXED (GET callback, Salesforce-verified installer identity) and VB-CR-004 FIXED in code (PgRepository wired; O6 live conformance outstanding). | v0.28.0 VB-E-082: sessions gain jti/epoch, logout, revoke-all, role assignment (POST /roles) revoking sessions; TTL default 1 day. role.manage + session.revoke_all added to the matrix and permsets.</t>
  </si>
  <si>
    <t xml:space="preserve">Session/token refresh survives platform token rotation</t>
  </si>
  <si>
    <t xml:space="preserve">src/sfAuth.ts refreshTokens — rotation persisted, NO_ROTATION anomaly recorded, 30-day idle timeout enforced (VER-V08). Live rotation evidence pending dev org.</t>
  </si>
  <si>
    <t xml:space="preserve">Install telemetry: source attribution (listing/search/referral) captured</t>
  </si>
  <si>
    <t xml:space="preserve">src/lifecycle.ts source attribution (listing/search/referral) — lifecycle.test.ts</t>
  </si>
  <si>
    <t xml:space="preserve">ST-057</t>
  </si>
  <si>
    <t xml:space="preserve">E5</t>
  </si>
  <si>
    <t xml:space="preserve">Billing &amp; plans</t>
  </si>
  <si>
    <t xml:space="preserve">14-day trial without card; banner shows days remaining</t>
  </si>
  <si>
    <t xml:space="preserve">SCR-7 Billing</t>
  </si>
  <si>
    <t xml:space="preserve">src/billing.ts startTrial 14d no-card + banner — billing.test.ts | v006: F-V03 fixed: trial expiry enforced via write-gate</t>
  </si>
  <si>
    <t xml:space="preserve">CLEARED 19:26 — VB-CR-007 FIXED: billing data is owner/admin only, enforced before assembly.</t>
  </si>
  <si>
    <t xml:space="preserve">ST-058</t>
  </si>
  <si>
    <t xml:space="preserve">Upgrade/downgrade mid-cycle prorates correctly</t>
  </si>
  <si>
    <t xml:space="preserve">src/billing.ts prorate mid-cycle credit/charge — billing.test.ts</t>
  </si>
  <si>
    <t xml:space="preserve">Marketplace billing API used where mandated; external Stripe fallback elsewhere</t>
  </si>
  <si>
    <t xml:space="preserve">src/billing.ts provider abstraction appexchange-checkout|stripe — billing.test.ts. LIVE Checkout wiring pending ISV agreement</t>
  </si>
  <si>
    <t xml:space="preserve">ST-060</t>
  </si>
  <si>
    <t xml:space="preserve">Failed payment: 7-day grace, 3 dunning emails, then read-only mode</t>
  </si>
  <si>
    <t xml:space="preserve">src/billing.ts paymentFailed: 7d grace, 3 dunning emails, read-only — billing.test.ts | v006: F-V02+F-V07 fixed: recovery path added; read-only now enforced on all writes, reads open</t>
  </si>
  <si>
    <t xml:space="preserve">ST-061</t>
  </si>
  <si>
    <t xml:space="preserve">Plan limits enforced with upgrade prompts at 80%/100%</t>
  </si>
  <si>
    <t xml:space="preserve">src/billing.ts seatCheck 80%/100% prompts — billing.test.ts</t>
  </si>
  <si>
    <t xml:space="preserve">ST-062</t>
  </si>
  <si>
    <t xml:space="preserve">Invoices/receipts downloadable; GST/VAT fields supported</t>
  </si>
  <si>
    <t xml:space="preserve">src/billing.ts invoices with GST/VAT fields — billing.test.ts | v006: F-V04 fixed: role + positive-amount guards</t>
  </si>
  <si>
    <t xml:space="preserve">ST-063</t>
  </si>
  <si>
    <t xml:space="preserve">Cancellation flow with save-offer and exit survey</t>
  </si>
  <si>
    <t xml:space="preserve">src/billing.ts cancel save-offer + exit survey — billing.test.ts</t>
  </si>
  <si>
    <t xml:space="preserve">ST-064</t>
  </si>
  <si>
    <t xml:space="preserve">E6</t>
  </si>
  <si>
    <t xml:space="preserve">Security &amp; compliance</t>
  </si>
  <si>
    <t xml:space="preserve">Scopes requested map 1:1 to shipped features (least privilege doc)</t>
  </si>
  <si>
    <t xml:space="preserve">SCR-6 Settings</t>
  </si>
  <si>
    <t xml:space="preserve">docs/least-privilege.md scope→feature 1:1 map</t>
  </si>
  <si>
    <t xml:space="preserve">PARTLY CLEARED 19:26 — VB-CR-004/009/010 FIXED; VB-CR-013 MITIGATED with a dated acceptance (Express 5 decision open).</t>
  </si>
  <si>
    <t xml:space="preserve">ST-065</t>
  </si>
  <si>
    <t xml:space="preserve">Data-flow diagram + retention policy published</t>
  </si>
  <si>
    <t xml:space="preserve">docs/data-flow-retention.md drafted — PUBLISH to live trust page pending</t>
  </si>
  <si>
    <t xml:space="preserve">ST-066</t>
  </si>
  <si>
    <t xml:space="preserve">Encryption at rest + in transit verified; secrets in vault</t>
  </si>
  <si>
    <t xml:space="preserve">TLS + vault pattern in config/docs — LIVE at-rest/vault verification pending infra</t>
  </si>
  <si>
    <t xml:space="preserve">PARTLY CLEARED 19:26 — VB-CR-004/009/010 FIXED; VB-CR-013 MITIGATED with a dated acceptance (Express 5 decision open). | v0.28.0 F-P02: tokens now AES-256-GCM encrypted at rest with a key ring + rotation sweep (was plaintext while the trust page claimed otherwise).</t>
  </si>
  <si>
    <t xml:space="preserve">ST-067</t>
  </si>
  <si>
    <t xml:space="preserve">Audit log for admin-sensitive actions</t>
  </si>
  <si>
    <t xml:space="preserve">src/audit.ts admin-sensitive action log — audit.test.ts</t>
  </si>
  <si>
    <t xml:space="preserve">PARTLY CLEARED 19:26 — VB-CR-004/009/010 FIXED; VB-CR-013 MITIGATED with a dated acceptance (Express 5 decision open). | v0.28.0 VB-E-081: audit log is hash-chained, append-only at the database, verifiable at GET /audit/verify, exempt from the FIFO cap.</t>
  </si>
  <si>
    <t xml:space="preserve">Pen-test (or platform-required evidence) completed and archived</t>
  </si>
  <si>
    <t xml:space="preserve">E2E test + demo</t>
  </si>
  <si>
    <t xml:space="preserve">security/SECURITY.md + threat-model.md + scripts/security-evidence.sh (npm audit, dep tree, coverage archive) — sandbox half DONE; pen-test vendor = Senthil</t>
  </si>
  <si>
    <t xml:space="preserve">PARTLY CLEARED 19:26 — VB-CR-004/009/010 FIXED; VB-CR-013 MITIGATED with a dated acceptance (Express 5 decision open). | v0.28.0: hardening (CSP/HSTS/rate limits/timeouts), RLS, encryption, claims gate and DPA template all feed LC-3; pen test remains the vendor half. Express 5: 0 advisories.</t>
  </si>
  <si>
    <t xml:space="preserve">ST-069</t>
  </si>
  <si>
    <t xml:space="preserve">Data export + delete-my-data self-serve</t>
  </si>
  <si>
    <t xml:space="preserve">src/audit.ts exportData + deleteMyData self-serve — audit.test.ts</t>
  </si>
  <si>
    <t xml:space="preserve">ST-070</t>
  </si>
  <si>
    <t xml:space="preserve">Rate-limit backoff + circuit breaker on platform APIs</t>
  </si>
  <si>
    <t xml:space="preserve">src/sfClient.ts exp backoff+jitter + circuit breaker — sfClient.test.ts | v006: F-V06 fixed: real backoff sleep by default; F-V05 FIFO ledger caps</t>
  </si>
  <si>
    <t xml:space="preserve">ST-071</t>
  </si>
  <si>
    <t xml:space="preserve">E7</t>
  </si>
  <si>
    <t xml:space="preserve">Analytics &amp; telemetry</t>
  </si>
  <si>
    <t xml:space="preserve">Activation funnel events (install-&gt;setup-&gt;aha-&gt;habit) in one dashboard</t>
  </si>
  <si>
    <t xml:space="preserve">src/analytics.ts funnel install→setup→aha→habit — analytics.test.ts</t>
  </si>
  <si>
    <t xml:space="preserve">ST-072</t>
  </si>
  <si>
    <t xml:space="preserve">Error tracking with release tagging; alert on error-rate spike</t>
  </si>
  <si>
    <t xml:space="preserve">src/analytics.ts trackError release-tagged + errorSpike alert — analytics.test.ts</t>
  </si>
  <si>
    <t xml:space="preserve">ST-073</t>
  </si>
  <si>
    <t xml:space="preserve">Feature-usage heatmap for roadmap decisions</t>
  </si>
  <si>
    <t xml:space="preserve">src/analytics.ts heatmap over feature bags — analytics.test.ts</t>
  </si>
  <si>
    <t xml:space="preserve">ST-074</t>
  </si>
  <si>
    <t xml:space="preserve">Weekly automated metrics email to team</t>
  </si>
  <si>
    <t xml:space="preserve">src/analytics.ts weeklyEmail body — analytics.test.ts</t>
  </si>
  <si>
    <t xml:space="preserve">ST-075</t>
  </si>
  <si>
    <t xml:space="preserve">Health score computed per account (usage+billing+support)</t>
  </si>
  <si>
    <t xml:space="preserve">src/analytics.ts healthScore usage+billing+support — analytics.test.ts</t>
  </si>
  <si>
    <t xml:space="preserve">ST-076</t>
  </si>
  <si>
    <t xml:space="preserve">Metrics export to CSV/warehouse for founder analysis</t>
  </si>
  <si>
    <t xml:space="preserve">src/analytics.ts exportCsv — analytics.test.ts</t>
  </si>
  <si>
    <t xml:space="preserve">ST-077</t>
  </si>
  <si>
    <t xml:space="preserve">Alert thresholds configurable (activation drop, error spike, churn signal)</t>
  </si>
  <si>
    <t xml:space="preserve">src/analytics.ts setThresholds configurable — analytics.test.ts</t>
  </si>
  <si>
    <t xml:space="preserve">ST-078</t>
  </si>
  <si>
    <t xml:space="preserve">E8</t>
  </si>
  <si>
    <t xml:space="preserve">Onboarding &amp; support</t>
  </si>
  <si>
    <t xml:space="preserve">First-run checklist reaches aha-moment in &lt;1 day</t>
  </si>
  <si>
    <t xml:space="preserve">SCR-1/9</t>
  </si>
  <si>
    <t xml:space="preserve">src/onboarding.ts checklist aha at 3/4 steps — onboarding.test.ts</t>
  </si>
  <si>
    <t xml:space="preserve">ST-079</t>
  </si>
  <si>
    <t xml:space="preserve">Empty states teach next action on every screen</t>
  </si>
  <si>
    <t xml:space="preserve">src/views.ts — all 7 web screens carry an empty state naming the next action (test/views.test.ts asserts it per screen); widget shells unchanged. GAP-V2 closed the 2-of-9 gap.</t>
  </si>
  <si>
    <t xml:space="preserve">Help center with 15 launch articles + search</t>
  </si>
  <si>
    <t xml:space="preserve">src/helpCenter.ts + test — 15 launch articles (getting-started→troubleshooting) + title-weighted token search, /help routes; e2e verified</t>
  </si>
  <si>
    <t xml:space="preserve">In-app chat with &lt;4 business-hr first response</t>
  </si>
  <si>
    <t xml:space="preserve">src/supportChat.ts + test — built-in chat with &lt;4-business-hr SLA engine (Mon-Fri 9-18 IST, weekend/night rollover math tested), breach flags, operator queue; vendor decision deferred — engine works as-is (TeleField precedent)</t>
  </si>
  <si>
    <t xml:space="preserve">F-V31 (20 Sep): supportChat.respond mutated a detached copy — on Postgres no ticket was ever marked responded; fixed.</t>
  </si>
  <si>
    <t xml:space="preserve">ST-082</t>
  </si>
  <si>
    <t xml:space="preserve">In-app review ask after aha-moment (marketplace rating engine)</t>
  </si>
  <si>
    <t xml:space="preserve">src/onboarding.ts shouldAskReview once-after-aha — onboarding.test.ts (built early with E8)</t>
  </si>
  <si>
    <t xml:space="preserve">Demo video (2 min) + interactive sandbox/demo data mode</t>
  </si>
  <si>
    <t xml:space="preserve">Integration test + manual QA</t>
  </si>
  <si>
    <t xml:space="preserve">src/demoMode.ts + test — isolated demo- namespace seeding (5 calls, 3 WA threads, live cadence, 2 enrollments), idempotent re-seed, real-org write guard; VIDEO half needs live-org capture (launch/asset-plan.md script ready)</t>
  </si>
  <si>
    <t xml:space="preserve">Status page + incident comms template</t>
  </si>
  <si>
    <t xml:space="preserve">src/statusPage.ts + test — public status from breaker state (platform-bound components degrade, dial/billing stay up) + investigating/identified/resolved incident template</t>
  </si>
  <si>
    <t xml:space="preserve">v0.28.0: /status/slo publishes the error budget and importable burn-rate alert rules behind the 99.5% (VB-E-055).</t>
  </si>
  <si>
    <t xml:space="preserve">ST-085</t>
  </si>
  <si>
    <t xml:space="preserve">EQ</t>
  </si>
  <si>
    <t xml:space="preserve">Quality engineering</t>
  </si>
  <si>
    <t xml:space="preserve">Unit+integration test coverage gate ≥70% on core modules</t>
  </si>
  <si>
    <t xml:space="preserve">jest coverageThreshold 100x4 (D13 supersedes &gt;=70) — CI fails below 100%</t>
  </si>
  <si>
    <t xml:space="preserve">CLEARED 19:26 — VB-CR-006/009/010 FIXED; migration smoke and evidence integrity now run in CI. | v0.28.0: CI gained evidence:check, typecheck:scripts (F-V33 — the old step could never pass), RLS + audit DB checks, actionlint; the echo deploy job is gone.</t>
  </si>
  <si>
    <t xml:space="preserve">ST-086</t>
  </si>
  <si>
    <t xml:space="preserve">E2E smoke suite runs on every deploy</t>
  </si>
  <si>
    <t xml:space="preserve">test/app.e2e.test.ts smoke + ci.yml e2e-smoke job gating deploy</t>
  </si>
  <si>
    <t xml:space="preserve">ST-087</t>
  </si>
  <si>
    <t xml:space="preserve">p95 latency budgets defined and monitored per surface</t>
  </si>
  <si>
    <t xml:space="preserve">src/analytics.ts p95WithinBudget api 500ms / ui 2000ms — analytics.test.ts</t>
  </si>
  <si>
    <t xml:space="preserve">CLEARED 19:26 — VB-CR-006/009/010 FIXED; migration smoke and evidence integrity now run in CI.</t>
  </si>
  <si>
    <t xml:space="preserve">ST-088</t>
  </si>
  <si>
    <t xml:space="preserve">Load test at 5x expected launch traffic</t>
  </si>
  <si>
    <t xml:space="preserve">load/k6-load.js 5x-launch harness (100 rps, p95&lt;500) — LIVE run pending infra</t>
  </si>
  <si>
    <t xml:space="preserve">Accessibility WCAG AA pass on primary flows</t>
  </si>
  <si>
    <t xml:space="preserve">test/a11y.test.ts — jest-axe over ALL 9 screens x populated+empty (18 assertions), was 2 screens. Stays In progress: live-UI/screen-reader pass is Senthil's half.</t>
  </si>
  <si>
    <t xml:space="preserve">Backup + restore drill executed</t>
  </si>
  <si>
    <t xml:space="preserve">src/backup.ts + test/backup.test.ts — snapshot→wipe→restore drill, sha256 integrity verify, divergence blocks ship; live pg variant scripted (live-sweep step 9)</t>
  </si>
  <si>
    <t xml:space="preserve">CLEARED 19:26 — VB-CR-006/009/010 FIXED; migration smoke and evidence integrity now run in CI. | v0.28.0 VB-E-057: scripts/dr-drill.sh — live pg_dump/pg_restore with checksum diff and measured RTO; execution = O9.</t>
  </si>
  <si>
    <t xml:space="preserve">Chaos test: platform API outage degrades gracefully with user comms</t>
  </si>
  <si>
    <t xml:space="preserve">src/resilience.ts + /status route + chaos e2e — breaker-driven degraded mode, user banner, queued-writes comms, auto-recovery</t>
  </si>
  <si>
    <t xml:space="preserve">ST-092</t>
  </si>
  <si>
    <t xml:space="preserve">Zero-downtime deploy verified (blue/green or rolling)</t>
  </si>
  <si>
    <t xml:space="preserve">ci.yml deploy-blue-green job — LIVE slot-swap verification pending infra</t>
  </si>
  <si>
    <t xml:space="preserve">CLEARED 19:26 — VB-CR-006/009/010 FIXED; migration smoke and evidence integrity now run in CI. | v0.28.0 VB-E-056: real blue/green pipeline (deploy.yml + script) with migration gate, health gates incl. the widget route, automatic rollback; R-V15 caps half closed so two instances are safe.</t>
  </si>
  <si>
    <t xml:space="preserve">ST-093</t>
  </si>
  <si>
    <t xml:space="preserve">EL</t>
  </si>
  <si>
    <t xml:space="preserve">Launch &amp; listing</t>
  </si>
  <si>
    <t xml:space="preserve">Marketplace listing copy A + B variants drafted and reviewed</t>
  </si>
  <si>
    <t xml:space="preserve">launch/listing-copy-ab.md — variants A (outcome-led) + B (pain-led) awaiting pick</t>
  </si>
  <si>
    <t xml:space="preserve">D-V6 gate (20 Sep): both listing variants lead with WhatsApp logging, which does not exist; gated in launch/listing-copy-ab.md. R-V21 applies to any Open CTI wording.</t>
  </si>
  <si>
    <t xml:space="preserve">ST-094</t>
  </si>
  <si>
    <t xml:space="preserve">5 screenshots + 2-min demo video meet platform asset specs</t>
  </si>
  <si>
    <t xml:space="preserve">launch/asset-plan.md — 5-shot list + 2-min video script per AppExchange specs; capture needs live org</t>
  </si>
  <si>
    <t xml:space="preserve">ST-095</t>
  </si>
  <si>
    <t xml:space="preserve">Pricing page/plan matrix published with FAQ</t>
  </si>
  <si>
    <t xml:space="preserve">src/pricingPage.ts + test — plan matrix + 7-item FAQ generated from billing.ts exported constants (single source; sync asserted in tests)</t>
  </si>
  <si>
    <t xml:space="preserve">ST-096</t>
  </si>
  <si>
    <t xml:space="preserve">Security/trust page (data handling, subprocessors) live</t>
  </si>
  <si>
    <t xml:space="preserve">src/trustPage.ts + test — data handling, least-privilege scopes, subprocessors, retention + residency from config single source</t>
  </si>
  <si>
    <t xml:space="preserve">CLEARED 19:26 — VB-CR-012 FIXED: production requires both regions; unconfigured publishes UNVERIFIED. | v0.28.0: encryption sentence now TRUE (F-P02); tenant-isolation and DNC sentences added and tested; contacts from config ("not yet published" until set); every sentence in the claims registry (VB-E-016).</t>
  </si>
  <si>
    <t xml:space="preserve">Submission dry-run against platform checklist by second reviewer</t>
  </si>
  <si>
    <t xml:space="preserve">src/dryRun.ts + test — submission dry-run engine READY 11/11 automated (DR-01..11 file+content checks) with 4 human/live items DR-12..15; REVIEW_PACK.md for external second reviewer — human sign-off (DR-12) = Senthil nominee</t>
  </si>
  <si>
    <t xml:space="preserve">v0.28.0: REVIEW_PACK addendum lists ten checks for the second reviewer; dry-run READY 18/18 + 5 human/live (DR-23 = Open CTI confirmation).</t>
  </si>
  <si>
    <t xml:space="preserve">Launch-day runbook: monitoring, rollback, comms tree</t>
  </si>
  <si>
    <t xml:space="preserve">src/runbook.ts + test — executable runbook: 12 steps / 5 phases, automated pre-flight file checks, rollback triggers wired to the real p95 budgets (api 500ms / ui 2s) + 3x error-spike rule, 4-row comms tree; zero-baseline guard tested</t>
  </si>
  <si>
    <t xml:space="preserve">Post-launch listing SEO iteration 1 from search-term data</t>
  </si>
  <si>
    <t xml:space="preserve">Manual QA</t>
  </si>
  <si>
    <t xml:space="preserve">src/listingSeo.ts + test — SEO iteration engine: promote/keep/ignore per term with CTR+install-rate thresholds and 100-impression floor, title suggestion from strongest term, A/B install-rate signal with near-tie + thin-data guards; LIVE half needs post-listing search-term data</t>
  </si>
  <si>
    <t xml:space="preserve">First 10 design-partner reviews scheduled</t>
  </si>
  <si>
    <t xml:space="preserve">src/designPartners.ts + test — 10-slot tracker: invited→scheduled→reviewed|declined with guards, 3-day stale-nudge queue (longest-silent first), honest exit math separating reviews from G-02 paying-stranger installs; LIVE half (actual outreach + scheduling) = Senthil</t>
  </si>
  <si>
    <t xml:space="preserve">F-V31 (20 Sep): designPartners state changes mutated detached copies; slot cap now DB-enforced (VB-E-053).</t>
  </si>
  <si>
    <t xml:space="preserve">SPRINT STATUS ROLLUP — live formulas over Traceability_Matrix</t>
  </si>
  <si>
    <t xml:space="preserve">Do not edit computed cells. 'Done' counts Done + Code-complete (pending live). EXTERNAL REVIEW V001 (13 Sep): these are CODE STATUS counts, NOT product readiness — the AppExchange listing, security review, packaging, residency statement, managed upgrade path and independent dry-run are all still open, and VB-CR-005 means the core dial/log stories do not yet reach an external system. Read this table with Traceability_Matrix column L.</t>
  </si>
  <si>
    <t xml:space="preserve">Focus</t>
  </si>
  <si>
    <t xml:space="preserve">Stories</t>
  </si>
  <si>
    <t xml:space="preserve">Done points</t>
  </si>
  <si>
    <t xml:space="preserve">% points done</t>
  </si>
  <si>
    <t xml:space="preserve">RAG (manual)</t>
  </si>
  <si>
    <t xml:space="preserve">Exit criteria</t>
  </si>
  <si>
    <t xml:space="preserve">S0</t>
  </si>
  <si>
    <t xml:space="preserve">Discovery &amp; Design (2 wks)</t>
  </si>
  <si>
    <t xml:space="preserve">PRD signed off; prototype tested with 5 target users</t>
  </si>
  <si>
    <t xml:space="preserve">Foundation (2 wks)</t>
  </si>
  <si>
    <t xml:space="preserve">GREEN — done-in-code; live dev-org install pending (S1-live)</t>
  </si>
  <si>
    <t xml:space="preserve">App installs cleanly in dev store/org; telemetry firing</t>
  </si>
  <si>
    <t xml:space="preserve">Core feature Click-to-dial + softphone - part 1</t>
  </si>
  <si>
    <t xml:space="preserve">GREEN</t>
  </si>
  <si>
    <t xml:space="preserve">Click-to-dial + softphone happy path demoable</t>
  </si>
  <si>
    <t xml:space="preserve">Core feature Click-to-dial + softphone - part 2 + Auto call/WhatsApp logging start</t>
  </si>
  <si>
    <t xml:space="preserve">Click-to-dial + softphone complete with tests; Auto call/WhatsApp logging skeleton</t>
  </si>
  <si>
    <t xml:space="preserve">Core feature Auto call/WhatsApp logging</t>
  </si>
  <si>
    <t xml:space="preserve">GREEN — MVP loop e2e in harness</t>
  </si>
  <si>
    <t xml:space="preserve">MVP loop usable end-to-end internally</t>
  </si>
  <si>
    <t xml:space="preserve">Feature Cadence/sequence lite + alpha hardening</t>
  </si>
  <si>
    <t xml:space="preserve">Internal alpha: team dogfoods daily</t>
  </si>
  <si>
    <t xml:space="preserve">Billing + Coaching analytics</t>
  </si>
  <si>
    <t xml:space="preserve">GREEN — ST-059 code-complete, ISV agreement gates Checkout</t>
  </si>
  <si>
    <t xml:space="preserve">Can charge a test customer; upgrade/downgrade paths work</t>
  </si>
  <si>
    <t xml:space="preserve">Private beta (design partners)</t>
  </si>
  <si>
    <t xml:space="preserve">3+ partners active weekly; NPS pulse &gt;30</t>
  </si>
  <si>
    <t xml:space="preserve">Beta iteration + Flow actions pack</t>
  </si>
  <si>
    <t xml:space="preserve">AMBER — 4 code-complete items need live infra; ST-069/082 pulled early</t>
  </si>
  <si>
    <t xml:space="preserve">Retention of beta cohort week-over-week &gt;60%</t>
  </si>
  <si>
    <t xml:space="preserve">Marketplace review prep</t>
  </si>
  <si>
    <t xml:space="preserve">Blocked on live org (pen-test, WCAG, drills)</t>
  </si>
  <si>
    <t xml:space="preserve">Review submission accepted into queue</t>
  </si>
  <si>
    <t xml:space="preserve">Review remediation + docs</t>
  </si>
  <si>
    <t xml:space="preserve">Marketplace approval obtained (or final remediation cycle)</t>
  </si>
  <si>
    <t xml:space="preserve">Launch</t>
  </si>
  <si>
    <t xml:space="preserve">ST-082 built early</t>
  </si>
  <si>
    <t xml:space="preserve">First 10 installs; first 3 reviews; activation &gt;40%</t>
  </si>
  <si>
    <t xml:space="preserve">Iterate &amp; scale decision</t>
  </si>
  <si>
    <t xml:space="preserve">Growth model doc with CAC/LTV first estimates</t>
  </si>
  <si>
    <t xml:space="preserve">TOTAL</t>
  </si>
  <si>
    <t xml:space="preserve">(S1-S12)</t>
  </si>
  <si>
    <t xml:space="preserve">NOTE</t>
  </si>
  <si>
    <t xml:space="preserve">External review V001, 13 Sep 17:34 — decision REJECT</t>
  </si>
  <si>
    <t xml:space="preserve">If D-V4 reclassifies ST-001..020 to Prototype (code-only), the counted position moves from 96/100 to 76/100. Gate_Checklist G-01..G-06 remain authoritative over any story count.</t>
  </si>
  <si>
    <t xml:space="preserve">Perplexity review V001, 16 Sep 13:53 — HOLD / re-platform or pivot</t>
  </si>
  <si>
    <t xml:space="preserve">S13-S29 enhancement stories live in the Enhancement_Plan sheet with their own rollup. The Stop_Doing advice "stop counting story points" is honoured this way: this table stays CODE STATUS; Gate_Checklist G-01..G-07 are the headline. Definition of Done (live evidence) recorded in Gate_Checklist row 2.</t>
  </si>
  <si>
    <t xml:space="preserve">RAID — seeded from v006 Risk_Register + build findings</t>
  </si>
  <si>
    <t xml:space="preserve">Type</t>
  </si>
  <si>
    <t xml:space="preserve">Raised</t>
  </si>
  <si>
    <t xml:space="preserve">Notes / Mitigation</t>
  </si>
  <si>
    <t xml:space="preserve">R-V1</t>
  </si>
  <si>
    <t xml:space="preserve">Risk</t>
  </si>
  <si>
    <t xml:space="preserve">AppExchange Security Review cycles exceed 2 iterations, 3+ months delay (High/High)</t>
  </si>
  <si>
    <t xml:space="preserve">Open</t>
  </si>
  <si>
    <t xml:space="preserve">Specialist review consultant pre-submission; least-privilege scope map (ST-064) + data-flow doc (ST-065) already drafted to shorten cycles.</t>
  </si>
  <si>
    <t xml:space="preserve">R-V2</t>
  </si>
  <si>
    <t xml:space="preserve">Service Cloud Voice bundling squeezes third-party CTI (High/Medium)</t>
  </si>
  <si>
    <t xml:space="preserve">REALISED (20 Sep) — see R-V21</t>
  </si>
  <si>
    <t xml:space="preserve">Mid-market focus + WhatsApp/SMS omnichannel angle SCV lacks; F2 threads shipped. | The review's reading: the squeeze already happened — Agentforce Voice GA Spring '26, Agentforce Contact Center launched 10 Mar 2026, and Open CTI itself is retiring.</t>
  </si>
  <si>
    <t xml:space="preserve">R-V3</t>
  </si>
  <si>
    <t xml:space="preserve">Enterprise sales cycle vs cash runway (High/Medium)</t>
  </si>
  <si>
    <t xml:space="preserve">Paid pilots; annual prepay; partner-sourced deals.</t>
  </si>
  <si>
    <t xml:space="preserve">R-V4</t>
  </si>
  <si>
    <t xml:space="preserve">Constraint</t>
  </si>
  <si>
    <t xml:space="preserve">23:00</t>
  </si>
  <si>
    <t xml:space="preserve">Sandbox has no Postgres — persistence is in-memory behind typed repository interface</t>
  </si>
  <si>
    <t xml:space="preserve">Postgres adapter at deploy (S1-live); domain code untouched by the swap.</t>
  </si>
  <si>
    <t xml:space="preserve">R-V5</t>
  </si>
  <si>
    <t xml:space="preserve">Assumption</t>
  </si>
  <si>
    <t xml:space="preserve">Open CTI softphone adapter (in-org JS shell) not buildable/verifiable in sandbox — dial core is provider-agnostic</t>
  </si>
  <si>
    <t xml:space="preserve">Mitigated (code half closed)</t>
  </si>
  <si>
    <t xml:space="preserve">Adapter + CallCenter definition + permsets now BUILT and tested against mocked sforce.opencti; live click-to-dial/screen-pop verify (O2) is all that remains — turnkey deploy in guide step 6.</t>
  </si>
  <si>
    <t xml:space="preserve">R-V6</t>
  </si>
  <si>
    <t xml:space="preserve">AppExchange Checkout mandate vs external billing not verified — provider abstraction covers both (ST-059)</t>
  </si>
  <si>
    <t xml:space="preserve">Verify Checkout/PNR terms with ISV agreement (LC-1/LC-9) before S9 submission.</t>
  </si>
  <si>
    <t xml:space="preserve">A-V1</t>
  </si>
  <si>
    <t xml:space="preserve">D13 (interviews parked, 100% coverage) applies portfolio-wide incl. VoiceBridge</t>
  </si>
  <si>
    <t xml:space="preserve">Per Senthil 20:45/23:00 instructions; S0 activities (PRD sign-off, 5-user prototype test) remain parked.</t>
  </si>
  <si>
    <t xml:space="preserve">A-V2</t>
  </si>
  <si>
    <t xml:space="preserve">D15 mode (parallel vs swap) pending — RevRescue and eight other builds done-in-code concurrently</t>
  </si>
  <si>
    <t xml:space="preserve">Senthil to ratify; R1 serial rule formally intact until then.</t>
  </si>
  <si>
    <t xml:space="preserve">R-V7</t>
  </si>
  <si>
    <t xml:space="preserve">2026-09-11</t>
  </si>
  <si>
    <t xml:space="preserve">Same-AI review not independent — submission dry-run (ST-097) needs external second reviewer</t>
  </si>
  <si>
    <t xml:space="preserve">REVIEW_PACK.md now issued; dry-run engine holds DR-12 open until the external reviewer signs; Senthil to nominate.</t>
  </si>
  <si>
    <t xml:space="preserve">L-V1</t>
  </si>
  <si>
    <t xml:space="preserve">Lesson</t>
  </si>
  <si>
    <t xml:space="preserve">Coverage proves execution, not correctness (portfolio F-V14 confirmed here): F-V06 hid behind 100% coverage because tests always injected their own sleep — the production default was never the thing under test.</t>
  </si>
  <si>
    <t xml:space="preserve">Logged</t>
  </si>
  <si>
    <t xml:space="preserve">Pin defaults explicitly (defaults.test.ts pattern) and cold-review every module.</t>
  </si>
  <si>
    <t xml:space="preserve">L-V2</t>
  </si>
  <si>
    <t xml:space="preserve">Mocks can encode the bug. F-V12 survived pass 1 because the adapter test's /dial mock returned no state field, so the assertion agreed with the hard-coded 'connected'. A mock that does not mirror the real response shape turns a test into a rubber stamp.</t>
  </si>
  <si>
    <t xml:space="preserve">Mock payloads are now built from the real handler's return shape; the /dial mock carries state.</t>
  </si>
  <si>
    <t xml:space="preserve">L-V3</t>
  </si>
  <si>
    <t xml:space="preserve">A fix can create a defect in code it never touched. F-V19 (id collisions) only exists because pass 1's F-V05 FIFO cap pins list length — and two modules derived ids from that length. After any invariant change, grep for code that reads the changed quantity.</t>
  </si>
  <si>
    <t xml:space="preserve">store.nextSeq() now owns id generation; MAX_PER_KIND is no longer load-bearing for identity.</t>
  </si>
  <si>
    <t xml:space="preserve">R-V8</t>
  </si>
  <si>
    <t xml:space="preserve">In-org behaviour cannot be proven by jsdom. VER-V01/V02 were invisible to a mocked Open CTI API and would have failed silently on the dev-org day. Anything that depends on the real sforce object is verified by documentation and sweep step O2, not by the suite.</t>
  </si>
  <si>
    <t xml:space="preserve">O2 is the gate; keep the docs-verification pass as a standing step before any live day.</t>
  </si>
  <si>
    <t xml:space="preserve">R-V9</t>
  </si>
  <si>
    <t xml:space="preserve">2026-09-13</t>
  </si>
  <si>
    <t xml:space="preserve">Platform-policy drift is invisible to the test suite. VER-V06..V09 were all correct code against a platform that had moved: Connected App creation withdrawn, four OAuth controls mandated, enforcement live since 25 June 2026. Two adversarial cold-review passes and 100% coverage found none of it.</t>
  </si>
  <si>
    <t xml:space="preserve">Docs-verification pass is now a standing step before any live day (R-V8 companion); re-run it before submission.</t>
  </si>
  <si>
    <t xml:space="preserve">R-V10</t>
  </si>
  <si>
    <t xml:space="preserve">AppExchange listing lead time is 5-9 months end to end for a first-time ISV, plus $999 per paid-app security review and ~$150 annual renewal. G-01 (listed) and G-02 (10 paying installs) are therefore many months out no matter how complete the code is.</t>
  </si>
  <si>
    <t xml:space="preserve">Feed into D15 sequencing directly — this is the strongest argument yet for deciding parallel-vs-serial on evidence.</t>
  </si>
  <si>
    <t xml:space="preserve">L-V4</t>
  </si>
  <si>
    <t xml:space="preserve">A spec sheet is evidence too. GAP-V2 sat in plain sight in Screens_Wireframes for eight days: 9 screens specified, 2 built, 5 P0 stories marked Done on a surface that did not exist. Cold review reads code against code; nobody had read code against the workbook.</t>
  </si>
  <si>
    <t xml:space="preserve">Add a spec-vs-code sweep to the review ladder: every artefact the workbook names must exist or the claim comes down.</t>
  </si>
  <si>
    <t xml:space="preserve">A-V3</t>
  </si>
  <si>
    <t xml:space="preserve">F-V21 (caller-declared identity) stays open by direction, not by judgement. Any live pilot with real customer data before that boundary exists carries the risk knowingly.</t>
  </si>
  <si>
    <t xml:space="preserve">Schedule the auth-boundary release before O1 in a shared org, or accept it for a solo dev-org test only.</t>
  </si>
  <si>
    <t xml:space="preserve">The migrations describe the store; the runtime is still the in-memory Store. Nothing reads or writes Postgres, because the swap requires making the repository async across every module. Until then every cap, purge, role and entitlement is process-local and dies on restart, and the published 30-day retention policy has no durable enforcement.</t>
  </si>
  <si>
    <t xml:space="preserve">docs/runtime-and-schema.md states it plainly so db/migrations/ is never mistaken for persistence. Sequence the adapter with the F-V21 auth boundary, before any pilot holding real customer data. | 20 Sep: every Pg call now runs in a tenant-context transaction; the recording double enforces it. O6 (live conformance) still gates closure.</t>
  </si>
  <si>
    <t xml:space="preserve">L-V5</t>
  </si>
  <si>
    <t xml:space="preserve">Coverage over modules proves the modules work, not that a product exists. VoiceBridge reached 41 suites at 100%, survived two adversarial cold-review passes and two verification sweeps, and still had no process to run and no database to run against. The audit that found it asks a different question from code review: for every artefact the docs, CI, sweep and manifests reference, does the thing exist?</t>
  </si>
  <si>
    <t xml:space="preserve">Artifact-gap audit is now a standing step alongside the docs-verification pass (R-V9).</t>
  </si>
  <si>
    <t xml:space="preserve">L-V6</t>
  </si>
  <si>
    <t xml:space="preserve">Closing a gap can open a hole. GAP-V2 added seven screens and F-V23 shipped inside them — an unauthenticated read of any org's billing and support data — because the new routes were written against a codebase where identity had never been enforced. The review that found it was aimed specifically at what the last two releases added.</t>
  </si>
  <si>
    <t xml:space="preserve">Cold-review pass over the delta is now a standing step at the end of any release that adds a surface.</t>
  </si>
  <si>
    <t xml:space="preserve">L-V7</t>
  </si>
  <si>
    <t xml:space="preserve">An observation's severity depends on who can reach the code. OBS-V5 called the unbounded PKCE map low-risk when only installs wrote to it; the same release made /oauth/start public and nobody re-read the observation. Re-rate open observations whenever reachability changes.</t>
  </si>
  <si>
    <t xml:space="preserve">Re-read the observation list when routes or auth change, not only when the module changes.</t>
  </si>
  <si>
    <t xml:space="preserve">A-V4</t>
  </si>
  <si>
    <t xml:space="preserve">F-V21 was closed on the reviewer's judgement rather than on an explicit instruction — the pass-3 finding F-V23 made the boundary the only honest fix for a critical defect, not an optional hardening item.</t>
  </si>
  <si>
    <t xml:space="preserve">Flagged for Senthil: if the sequencing was wrong, the boundary is self-contained in src/auth.ts and app.ts's who().</t>
  </si>
  <si>
    <t xml:space="preserve">L-V8</t>
  </si>
  <si>
    <t xml:space="preserve">Size the refactor before starting it. R-V11 measured at 91 call sites across 20 modules and 277 test lines — enough that a single-pass conversion would have left the D13 gate unrunnable for hours. Measuring first turned an unshippable sprint into a staged one with a green build at every step.</t>
  </si>
  <si>
    <t xml:space="preserve">Measure call sites before any cross-cutting change; stage anything that cannot hold the gate mid-flight.</t>
  </si>
  <si>
    <t xml:space="preserve">R-V13</t>
  </si>
  <si>
    <t xml:space="preserve">PgRepository is verified against a recording double, not a live database. The double proves the right statements are sent; it cannot prove Postgres enforces the FIFO cap, the ON DELETE CASCADE or the atomic counter — the three behaviours the whole design rests on.</t>
  </si>
  <si>
    <t xml:space="preserve">Operator step O6: run test/repository.test.ts against a live Postgres before R-V11 is called closed.</t>
  </si>
  <si>
    <t xml:space="preserve">L-V9</t>
  </si>
  <si>
    <t xml:space="preserve">A dependency-leaf is not a refactor-leaf. When a change cascades toward callers — async being the obvious case — the module nothing depends on is the most expensive one to convert, not the cheapest. The containment rule is 'convert only once every caller can already await', which means working down from the entry points. The v0.17.0 plan had it exactly inverted and only executing it showed that.</t>
  </si>
  <si>
    <t xml:space="preserve">State the cascade direction before ordering any staged refactor, and sanity-check stage 1 against it.</t>
  </si>
  <si>
    <t xml:space="preserve">R-V14</t>
  </si>
  <si>
    <t xml:space="preserve">Transitional split-brain: createApp() builds both a synchronous Store (18 unconverted modules) and a shared InMemoryRepository (4 converted). backup.ts snapshots the Store only, so converted modules' data — support tickets, funnel events, onboarding progress — sits outside the ST-090 backup/restore drill until the migration completes.</t>
  </si>
  <si>
    <t xml:space="preserve">CLOSED v0.22.0 — stage 6 removed the legacy Store, so there is no longer a half of the data outside the ST-090 drill.</t>
  </si>
  <si>
    <t xml:space="preserve">L-V10</t>
  </si>
  <si>
    <t xml:space="preserve">Check that a module is in scope before giving it a stage. Planned stage 3 named four modules that never touch the store; they were listed because they looked like the right shape. A single grep would have caught it at planning time, and did catch it at execution time — the second planning error in two releases on the same refactor.</t>
  </si>
  <si>
    <t xml:space="preserve">Every stage in a migration plan cites the evidence that the module is in scope.</t>
  </si>
  <si>
    <t xml:space="preserve">L-V11</t>
  </si>
  <si>
    <t xml:space="preserve">Shared-state modules cannot be converted alone. demoMode looked convertible — its only caller was a route — but it WRITES state that unconverted modules READ. Caller analysis is not enough; the unit of conversion is everything that touches the same data. Three ordering errors on this refactor now, each found by executing rather than planning.</t>
  </si>
  <si>
    <t xml:space="preserve">Before converting a module, list what it writes and who else reads that data.</t>
  </si>
  <si>
    <t xml:space="preserve">L-V12</t>
  </si>
  <si>
    <t xml:space="preserve">An async conversion can silently break error paths. A floating promise type-checks, so a try/catch that used to record failures stops seeing them and the test that guarded it still passes if the failure now arrives as an unhandled rejection instead. When converting, await collaborator calls across the whole source in one pass and re-run the failure-path tests specifically.</t>
  </si>
  <si>
    <t xml:space="preserve">Grep for unawaited calls to converted collaborators after every conversion stage.</t>
  </si>
  <si>
    <t xml:space="preserve">L-V13</t>
  </si>
  <si>
    <t xml:space="preserve">A staged refactor has to end with a deletion. Six stages in, the value only landed when the legacy store was deleted rather than left beside the new one — until then every stage carried a split-brain risk and the backup drill was quietly half-blind. Plan the removal as the final stage, not as cleanup afterwards.</t>
  </si>
  <si>
    <t xml:space="preserve">Treat 'the old thing is deleted' as the acceptance criterion for a migration, not 'the new thing works'.</t>
  </si>
  <si>
    <t xml:space="preserve">R-V15</t>
  </si>
  <si>
    <t xml:space="preserve">The F-V28 guards are serialised in-process only. ST-092 describes a blue/green deploy with two instances live at once, and an in-process lock does nothing across processes: the caps and the dedupe would both fail again.</t>
  </si>
  <si>
    <t xml:space="preserve">CLOSED at the database (20 Sep) — dedupe half v0.24.0; caps half v0.28.0 via pushIfCountBelow (advisory xact lock + count + insert)</t>
  </si>
  <si>
    <t xml:space="preserve">HALF CLOSED v0.24.0 — dedupe enforced by a unique index + ON CONFLICT DO NOTHING. Caps half still open: counted constraints need a transaction surface on SqlClient. Do not run blue/green with real tenants until it lands.</t>
  </si>
  <si>
    <t xml:space="preserve">R-V16</t>
  </si>
  <si>
    <t xml:space="preserve">dialer.ts still mints call ids from a per-instance counter (`CALL-n`), the same shape as the cadence defect fixed in this release. Left alone here because call ids are not used as cross-record keys today, but it breaks the moment two processes run.</t>
  </si>
  <si>
    <t xml:space="preserve">CLOSED v0.24.0 — call ids come from the repository counter.</t>
  </si>
  <si>
    <t xml:space="preserve">L-V14</t>
  </si>
  <si>
    <t xml:space="preserve">A refactor can remove a guarantee without touching a line of logic. Nothing about the four guards changed — the execution model underneath them did. Review a conversion for what it silently stopped providing, not only for what the diff shows, and write the regressions in the shape the bug actually occurs in (concurrent, not sequential).</t>
  </si>
  <si>
    <t xml:space="preserve">After any sync-to-async conversion, list every read-decide-write and test it concurrently.</t>
  </si>
  <si>
    <t xml:space="preserve">R-V17</t>
  </si>
  <si>
    <t xml:space="preserve">External review V001 decision is REJECT. Five blocker findings sit at the integration boundary, so the live chain — dev-org day, O6 Postgres conformance, 12-step sweep, pen-test, DR-12 nomination, AppExchange submission — is parked. Running any of it now would consume a scarce external resource against a build that cannot complete an install.</t>
  </si>
  <si>
    <t xml:space="preserve">Closure package = RM-01..RM-03 + RM-06..RM-08, then RM-04/RM-05 on your decisions, then regenerated evidence and a re-review before any live day is booked.</t>
  </si>
  <si>
    <t xml:space="preserve">R-V18</t>
  </si>
  <si>
    <t xml:space="preserve">The D13 "100% coverage on all code" claim measures src/**/*.ts only. scripts/, widget bootstrap JS, the sfpackage bundle, SQL migrations and CI/deploy logic are outside the gate, and four of five blockers live there. The claim appears in the workbook, the review pack and the trust material.</t>
  </si>
  <si>
    <t xml:space="preserve">RM-07 renames the metric everywhere it is published and adds a gate per artefact class. Portfolio-wide: every sibling product makes the same sentence.</t>
  </si>
  <si>
    <t xml:space="preserve">L-V15</t>
  </si>
  <si>
    <t xml:space="preserve">Module-level review cannot see the seam. Five internal cold-review passes, two external verification sweeps and an artifact-gap audit found 28 defects inside modules and none of the five blockers, because every blocker lives between two artefacts that are each tested against a double of the other. A reviewer — human or AI — reading module by module will keep missing this class.</t>
  </si>
  <si>
    <t xml:space="preserve">Add contract tests that instantiate BOTH sides (real adapter against createApp, real browser shape against the callback, real factory against a real database) and treat every double as a claim that must be pinned somewhere.</t>
  </si>
  <si>
    <t xml:space="preserve">L-V16</t>
  </si>
  <si>
    <t xml:space="preserve">Evidence ages faster than code. A security/test evidence folder that is not regenerated from the exact packaged artefact is worse than no folder: it invites a reviewer to accept two-day-old proof for today's build, and ours listed a file the code no longer contains.</t>
  </si>
  <si>
    <t xml:space="preserve">Packaging fails when evidence predates source or references a missing file; every artefact carries the package hash and commit it was generated from.</t>
  </si>
  <si>
    <t xml:space="preserve">UPDATE 19:26 — three of five blockers closed in v0.25.0 (VB-CR-001/002/003/004 plus VB-CR-006/007/009/010/011/012). The REJECT stands on VB-CR-005 and VB-CR-008. Live chain remains parked.</t>
  </si>
  <si>
    <t xml:space="preserve">Re-review is worth requesting only after RM-04 and RM-05 land, so the closure package is one decision away from complete: D-V5 and D-V6.</t>
  </si>
  <si>
    <t xml:space="preserve">R-V19</t>
  </si>
  <si>
    <t xml:space="preserve">Express 4 cannot clear the two moderate qs advisories; the mitigation (simple query parser) removes the reachable path but the dependency remains, and a security reviewer will see the advisory in any audit we hand over. Acceptance expires 13 Dec 2026.</t>
  </si>
  <si>
    <t xml:space="preserve">Decide Express 5 migration vs continued acceptance before LC-3 submission. docs/security-advisories.md carries the exploitability argument; CI fails at high or above regardless.</t>
  </si>
  <si>
    <t xml:space="preserve">L-V17</t>
  </si>
  <si>
    <t xml:space="preserve">Eleven existing tests failed the moment the identity boundary became real — every one because it had encoded the defect as the expected behaviour. A suite that agrees with the code is not evidence the code is right; it is evidence they were written together.</t>
  </si>
  <si>
    <t xml:space="preserve">When a fix breaks fixtures, read each one before updating it: the failure is telling you what the old code promised. Update to state the corrected rule, never to restore the green.</t>
  </si>
  <si>
    <t xml:space="preserve">L-V18</t>
  </si>
  <si>
    <t xml:space="preserve">The single-source design paid: changing the permission matrix broke the package drift test without anyone remembering that the 2GP permission sets are generated from it, and the regenerated XML shipped in the same release. Generated artefacts with drift tests are the only kind that stay true.</t>
  </si>
  <si>
    <t xml:space="preserve">Prefer generate-and-gate over hand-maintained copies for every artefact that restates a source of truth — pricing, scopes, permission sets, published claims.</t>
  </si>
  <si>
    <t xml:space="preserve">L-V19</t>
  </si>
  <si>
    <t xml:space="preserve">A gate that has only ever been read is not a gate. The release-integrity tooling written for VB-CR-009 failed the first two times it was actually executed — once by aborting mid-run on an exit code, once by refusing a valid pack on a second-boundary rounding artefact. Both were invisible to review and obvious within one run.</t>
  </si>
  <si>
    <t xml:space="preserve">Every gate ships with a run, not just a reading: execute it on the real repository before it counts as closed, and prefer a gate that prints what it measured over one that only fails.</t>
  </si>
  <si>
    <t xml:space="preserve">L-V20</t>
  </si>
  <si>
    <t xml:space="preserve">Clock resolution is a correctness concern, not a formatting one. Comparing a whole-second stamp against a millisecond mtime produced a confident, wrong failure. The same asymmetry exists anywhere we compare our own timestamps with the filesystem's or the platform's.</t>
  </si>
  <si>
    <t xml:space="preserve">When two timestamps come from different sources, state the resolution and allow for it explicitly — a named constant with a regression on both sides, never a silent tolerance.</t>
  </si>
  <si>
    <t xml:space="preserve">R-V20</t>
  </si>
  <si>
    <t xml:space="preserve">The Salesforce write-back is verified against doubles that answer real response shapes, not against a live org. Record matching, the external-id upsert, the 401-refresh hop and the outbox drain are all claims until they run in an org — the same position L-V15 named, now ours. A wrong assumption here fails on install day, on the path the whole product promise runs through.</t>
  </si>
  <si>
    <t xml:space="preserve">Operator step O7 in docs/salesforce-dev-org-guide.md: deploy the package, call a Contact, confirm exactly one Task and that a repeated /log updates rather than duplicates, then black-hole Salesforce and confirm the note survives locally and drains on retry. Until O7 passes, F2 stories are code-complete, not Done.</t>
  </si>
  <si>
    <t xml:space="preserve">L-V21</t>
  </si>
  <si>
    <t xml:space="preserve">A blocked finding is not always blocked whole. VB-CR-005 sat parked on the provider decision for two releases, and half of it never needed that decision: the CRM write goes to Salesforce whichever provider dials. Parking the finding as one unit cost time that the split recovered in an evening.</t>
  </si>
  <si>
    <t xml:space="preserve">Before parking anything on a decision, name which part of it the decision actually governs, and ship the rest.</t>
  </si>
  <si>
    <t xml:space="preserve">L-V22</t>
  </si>
  <si>
    <t xml:space="preserve">Honesty is not blocked by a decision. The provider choice governed which system dials; it never governed whether the product admits that none did. For eight releases the panel said "Ringing" to a rep whose phone had not moved, and that sentence needed no vendor to fix.</t>
  </si>
  <si>
    <t xml:space="preserve">When work is parked on a decision, separately ask what the CURRENT behaviour claims — and fix the claim now. Same shape as L-V21, one level further in: not just which half can ship, but which half is a lie while it waits.</t>
  </si>
  <si>
    <t xml:space="preserve">R-V21</t>
  </si>
  <si>
    <t xml:space="preserve">2026-09-20</t>
  </si>
  <si>
    <t xml:space="preserve">CRITICAL — Salesforce Open CTI (the entire in-org surface: CallCenter definition, opencti_min.js, the adapter) is in maintenance mode, EoL 28 Feb 2028, not available to newly created Agentforce Service orgs. Verified against help.salesforce.com 005306437 on 20 Sep. Against R-V10's 5-9 month listing lead time, a submission started today lists onto a surface with under a year of supported life. Voids D18, dissolves D-V2, strengthens D-V4(a). Absent from both workbooks and from external review V001.</t>
  </si>
  <si>
    <t xml:space="preserve">Decision packet docs/opencti-retirement-impact.md; D-V9 partner case (does AppExchange accept a net-new Open CTI listing?); D-V8 strategy ruling A/B/C. v0.28.0 built only surface-independent work + the F-P01 fix. ~90% of modules survive any option.</t>
  </si>
  <si>
    <t xml:space="preserve">R-V22</t>
  </si>
  <si>
    <t xml:space="preserve">The commercial model is internally inconsistent (F-P06): $600 ARPU vs a 50-500 seat ICP at $29/seat (2.5-5x apart); no per-minute cost line for a telephony product; SEAT_PRICE published on the pricing page and in the model derives from D-V5, which is undecided; PLAN_SEAT_LIMIT.scale = 500 = the ICP ceiling with no enterprise/annual tier despite Launch_Checklist #9. D15 cannot be sequenced on this model.</t>
  </si>
  <si>
    <t xml:space="preserve">VB-E-005 / D-V7: Financial_Model_v2 (base/downside/upside, per-minute cost, funding requirement, cash-minimum month, solo-build variant, listing lag, ARPU reconciled to ICP, enterprise tier). Pricing/listing artefacts frozen until D-V3 + D-V5 close (Stop_Doing #3).</t>
  </si>
  <si>
    <t xml:space="preserve">R-V23</t>
  </si>
  <si>
    <t xml:space="preserve">Option (A) depends on the CUSTOMER holding the Salesforce Voice Partner Telephony add-on licence, and on a partner dev org to build against; neither cost nor availability is known. Option (B) removes the dependency entirely.</t>
  </si>
  <si>
    <t xml:space="preserve">VB-E-002 spike answers licence/edition matrix first; feeds D-V8 and Financial_Model_v2 landed-cost maths.</t>
  </si>
  <si>
    <t xml:space="preserve">R-V24</t>
  </si>
  <si>
    <t xml:space="preserve">RLS tenant-context transactions cost ~4 round trips per repository call (BEGIN, set_config, statement, COMMIT) on a borrowed pool connection. Correct by construction; latency against the runbook p95 budgets (api 500ms) is unmeasured until a live Postgres run.</t>
  </si>
  <si>
    <t xml:space="preserve">Measure in O6/O9 with the k6 harness; if needed, batch statements per request inside one tx (the tx() helper already supports multi-statement bodies).</t>
  </si>
  <si>
    <t xml:space="preserve">R-V25</t>
  </si>
  <si>
    <t xml:space="preserve">The claims gate covers code-generated surfaces (trust, pricing FAQ, help centre, 99.5%). The listing copy and the product workbook's Product_Spec/ReadMe_Scope are prose files outside it, and both currently assert WhatsApp and "deep Flow/Einstein integration" (flowActions.ts is 53 lines with no Einstein content).</t>
  </si>
  <si>
    <t xml:space="preserve">Listing copy gated by D-V6 note; workbook v030 should re-baseline the spec to as-built (as MeetSync v009 did). Extend the gate to launch/*.md when copy is picked.</t>
  </si>
  <si>
    <t xml:space="preserve">L-V23</t>
  </si>
  <si>
    <t xml:space="preserve">A copy is a detector. Making list() return detached copies on the in-memory store (to match Postgres) failed 12 tests, and every failure was a production-only defect: state transitions in five modules and a stored Promise that serialises as "{}". The in-memory double had been agreeing with the code, not with the database.</t>
  </si>
  <si>
    <t xml:space="preserve">Doubles must share the REAL store's value semantics (copies, serialisation), not just its interface; when a double is more permissive than production, the suite proves nothing about production.</t>
  </si>
  <si>
    <t xml:space="preserve">L-V24</t>
  </si>
  <si>
    <t xml:space="preserve">A published sentence is a requirement with no ticket. Three reviews found the same class (WhatsApp, residency, encryption) and each was fixed as an instance; the class only closed when every sentence needed a test id to compile.</t>
  </si>
  <si>
    <t xml:space="preserve">Generate-and-gate published claims exactly like pricing and permsets: registry in code, both directions tested, doc generated. Extend to any surface the moment it is published.</t>
  </si>
  <si>
    <t xml:space="preserve">L-V25</t>
  </si>
  <si>
    <t xml:space="preserve">Two gates in this release had never been run: the CI scripts type-check (F-V33, could not pass since v0.25.0) and the evidence gate in a clean extraction (F-V34, false positive on build output). Both were found only by executing them from the zip. Same as L-V19, one release later.</t>
  </si>
  <si>
    <t xml:space="preserve">The release checklist now executes every gate FROM THE PACKAGE (npm ci → build → typecheck:scripts → evidence:check → suite) before the zip is named final.</t>
  </si>
  <si>
    <t xml:space="preserve">L-V26</t>
  </si>
  <si>
    <t xml:space="preserve">An identity field in a body is an identity claim. The first cut of POST /roles used `userId` for the TARGET user and who() refused it as a forged claim (403). The fix was a different name (targetUserId), but the lesson is that the boundary is doing its job — and that route inputs need a naming rule.</t>
  </si>
  <si>
    <t xml:space="preserve">Body/URL fields named orgId/userId are always the caller's own identity and are checked against the session; any other subject uses a distinct name.</t>
  </si>
  <si>
    <t xml:space="preserve">L-V27</t>
  </si>
  <si>
    <t xml:space="preserve">The reviewer's numbers deserve the same check as their findings: "49 test files vs 48 suites" counted a helper. The finding class (suites outside the manifest) was right and was fixed; the instance was wrong and is logged as such so the tracker does not carry an error forward as fact.</t>
  </si>
  <si>
    <t xml:space="preserve">Verify every quantitative claim in a review against the artefact before recording it; record corrections in the same row.</t>
  </si>
  <si>
    <t xml:space="preserve">COMPLETION GATE (D7) — VoiceBridge is DONE only when every row closes</t>
  </si>
  <si>
    <t xml:space="preserve">R2: code-complete counts for nothing at the gate. Gate decision = Senthil, on evidence Claude prepares. DEFINITION OF DONE (20 Sep, Perplexity §6.1.1): a story is Done only when observed working against a live Salesforce org, a live Postgres and (where relevant) a live carrier, with the evidence artefact committed. "Code-complete (unproven)" is a status, not a gate credit. Coverage scope is gates per artefact class (docs/coverage-scope.md), and every published claim maps to a test (docs/claims-registry.md).</t>
  </si>
  <si>
    <t xml:space="preserve">Gate item</t>
  </si>
  <si>
    <t xml:space="preserve">Source</t>
  </si>
  <si>
    <t xml:space="preserve">G-01</t>
  </si>
  <si>
    <t xml:space="preserve">App LISTED on Salesforce AppExchange (security review passed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</si>
  <si>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</si>
  <si>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</si>
  <si>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</si>
  <si>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</si>
  <si>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</si>
  <si>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</si>
  <si>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Engine ready — S12 kill-criteria evaluation now has SEO/exit-math/dry-run evidence generators; evaluation itself at live | 20 Sep: the review adds a FIRST HONEST KILL POINT at the S16 exit — 15 discovery interviews (VB-E-008) must produce 3 orgs willing to run a paid pilot at the ratified price, or stop.</t>
  </si>
  <si>
    <t xml:space="preserve">G-04</t>
  </si>
  <si>
    <t xml:space="preserve">Kill/continue decision recorded by Senthil</t>
  </si>
  <si>
    <t xml:space="preserve">R5 / D10</t>
  </si>
  <si>
    <t xml:space="preserve">G-05</t>
  </si>
  <si>
    <t xml:space="preserve">On CONTINUE: next-rank build authorised; VoiceBridge enters run-mode</t>
  </si>
  <si>
    <t xml:space="preserve">N4 / R1</t>
  </si>
  <si>
    <t xml:space="preserve">LC-1</t>
  </si>
  <si>
    <t xml:space="preserve">ISV Partner Program application + agreement executed</t>
  </si>
  <si>
    <t xml:space="preserve">v006 LC #1</t>
  </si>
  <si>
    <t xml:space="preserve">Open — gates ST-059 live Checkout</t>
  </si>
  <si>
    <t xml:space="preserve">LC-2</t>
  </si>
  <si>
    <t xml:space="preserve">Developer/scratch orgs + managed package namespace registered</t>
  </si>
  <si>
    <t xml:space="preserve">v006 LC #2</t>
  </si>
  <si>
    <t xml:space="preserve">Open — package SOURCE ready (sfpackage/, create command in sfdx-project.json); Senthil: Dev Hub + namespace registration, then sf package create | VER-V06: the OAuth half is an EXTERNAL CLIENT APP — new Connected Apps cannot be created from Spring '26. ECAs are packageable, so the shim can carry it. | 20 Sep: the shim no longer carries the adapter static resource (served from host, F-P01); whether to register a namespace for an Open CTI package at all is D-V8.</t>
  </si>
  <si>
    <t xml:space="preserve">LC-3</t>
  </si>
  <si>
    <t xml:space="preserve">Security Review: pen-test evidence, code scan clean, Trust questionnaire</t>
  </si>
  <si>
    <t xml:space="preserve">v006 LC #3</t>
  </si>
  <si>
    <t xml:space="preserve">Open — sandbox evidence pack DONE (SECURITY.md, STRIDE model, scripted archive); pen-test vendor = Senthil | VER-V07..V09: four mandatory OAuth controls implemented/configured (docs/oauth-security-controls.md); O5 self-attestation owed. F-V21 (caller-declared identity) is an open review-blocker. Review fee $999 per paid-app submission. | 20 Sep v0.28.0: encryption at rest (F-P02), CSP/HSTS/rate limits/timeouts (F-P04), Postgres RLS (VB-E-080), hash-chained audit (VB-E-081), session lifecycle (VB-E-082), 0 advisories (VB-E-017), claims gate, DPA template — all with tests; pen test (DR-13) and SOC 2 readiness (VB-E-086) remain the vendor/consultant half.</t>
  </si>
  <si>
    <t xml:space="preserve">LC-4</t>
  </si>
  <si>
    <t xml:space="preserve">Open CTI / Service Cloud Voice compatibility decision documented</t>
  </si>
  <si>
    <t xml:space="preserve">v006 LC #4</t>
  </si>
  <si>
    <t xml:space="preserve">OVERTAKEN (20 Sep, R-V21) — Open CTI retires 28 Feb 2028. The compatibility decision is now D-V8 (Partner Telephony re-platform vs AI-layer pivot vs finish on Open CTI). docs/opencti-retirement-impact.md.</t>
  </si>
  <si>
    <t xml:space="preserve">LC-5</t>
  </si>
  <si>
    <t xml:space="preserve">Permission sets + profiles install experience tested in 3 org shapes</t>
  </si>
  <si>
    <t xml:space="preserve">v006 LC #5</t>
  </si>
  <si>
    <t xml:space="preserve">Code + package halves DONE (matrix-generated permsets, drift-tested); 3-org-shape install test at live</t>
  </si>
  <si>
    <t xml:space="preserve">LC-6</t>
  </si>
  <si>
    <t xml:space="preserve">Data residency: Hyperforce region support statement</t>
  </si>
  <si>
    <t xml:space="preserve">v006 LC #6</t>
  </si>
  <si>
    <t xml:space="preserve">In progress — region in config + /health + sweep A8 consistency check; statement doc owed | 20 Sep: residency sentences are in the claims registry (CL-T10/T11); VB-E-093 publishes per region from verified config.</t>
  </si>
  <si>
    <t xml:space="preserve">LC-7</t>
  </si>
  <si>
    <t xml:space="preserve">Managed package upgrade path tested (push upgrades)</t>
  </si>
  <si>
    <t xml:space="preserve">v006 LC #7</t>
  </si>
  <si>
    <t xml:space="preserve">Open — after D-V8 (the package this tests may not be the package that ships)</t>
  </si>
  <si>
    <t xml:space="preserve">LC-8</t>
  </si>
  <si>
    <t xml:space="preserve">AppExchange listing: demo org, video, security tab complete</t>
  </si>
  <si>
    <t xml:space="preserve">v006 LC #8</t>
  </si>
  <si>
    <t xml:space="preserve">In progress — copy A/B + asset plan + DEMO-DATA MODE built (seeds demo org for capture); capture at live</t>
  </si>
  <si>
    <t xml:space="preserve">LC-9</t>
  </si>
  <si>
    <t xml:space="preserve">Pricing: per-seat tiers + annual; PNR reporting process set up</t>
  </si>
  <si>
    <t xml:space="preserve">v006 LC #9</t>
  </si>
  <si>
    <t xml:space="preserve">In progress — tier matrix in code AND published pricing page generated from it (single source); PNR process open | VER-V10: Checkout is NOT mandatory — ISVforce+COA alternative; 15% rev share (25% OEM), ~$150/yr listing. D-V3 open.</t>
  </si>
  <si>
    <t xml:space="preserve">LC-10</t>
  </si>
  <si>
    <t xml:space="preserve">2 lighthouse customers referenced (logo permission) before listing</t>
  </si>
  <si>
    <t xml:space="preserve">v006 LC #10</t>
  </si>
  <si>
    <t xml:space="preserve">Open — Senthil</t>
  </si>
  <si>
    <t xml:space="preserve">G-06</t>
  </si>
  <si>
    <t xml:space="preserve">Independent review decision = ACCEPT (no blocker findings open)</t>
  </si>
  <si>
    <t xml:space="preserve">External review V001, 13 Sep 17:34 BST</t>
  </si>
  <si>
    <t xml:space="preserve">STILL REJECT at 22:48 — v0.25.0 closed 3 of 5 blockers and v0.26.0 closes the CRM half of a fourth (VB-CR-005). Ten of fourteen findings closed. The decision cannot lift while the telephony half of VB-CR-005 and VB-CR-008 (WhatsApp) stand, and the closure package is worth re-submitting only after RM-04 and RM-05 land. DR-12 human second-reviewer sign-off (ST-097) remains separately open. | 20 Sep: unchanged — the telephony half of VB-CR-005 (D-V5) and VB-CR-008 (D-V6) still stand; the WhatsApp CLAIM is withdrawn, the capability is not built.</t>
  </si>
  <si>
    <t xml:space="preserve">G-07</t>
  </si>
  <si>
    <t xml:space="preserve">Second independent review decision (Perplexity V001, 16 Sep 13:53 BST) = no HOLD; strategy ruled (D-V8) and S13 gate closed</t>
  </si>
  <si>
    <t xml:space="preserve">Perplexity review V001 §7</t>
  </si>
  <si>
    <t xml:space="preserve">HOLD at 20 Sep 10:45 — F-P01..F-P05 CLOSED in v0.28.0; F-P06 open on D-V7; the HOLD lifts only on the S13 decision gate (VB-E-001..008): D-V9 confirmation, D-V8 ruling, D-V5, D-V6, D-V7, D-V4. Recommendation carried: do not submit for security review or build another feature sprint on Open CTI until then.</t>
  </si>
  <si>
    <t xml:space="preserve">REVIEW FINDINGS — adversarial cold-review, VoiceBridge codebase</t>
  </si>
  <si>
    <t xml:space="preserve">Pass 1 (22:09): billing, store, lifecycle, sfClient, featureCore + write entry points. Pass 2 (22:34): the remaining ~28 modules — dialer, callLogger, cadence, coaching, analytics, flowActions, onboarding, notifications, audit, permissions, permSets, sfAuth, resilience, backup, config, app, helpCenter, supportChat, demoMode, statusPage, pricingPage, trustPage, dryRun, runbook, designPartners, listingSeo, sweepChecks, softphoneAdapter — plus an external verification sweep vs live Open CTI docs and an artifact-gap audit. COLD REVIEW NOW COMPLETE. Dispositions column is Senthil's. | 20 Sep: PERPLEXITY REVIEW V001 (F-P01..F-P06) — six findings not in either workbook or in external review V001 — plus F-V31..F-V34 found by the remediation itself.</t>
  </si>
  <si>
    <t xml:space="preserve">Severity</t>
  </si>
  <si>
    <t xml:space="preserve">Module(s)</t>
  </si>
  <si>
    <t xml:space="preserve">Finding</t>
  </si>
  <si>
    <t xml:space="preserve">Resolution</t>
  </si>
  <si>
    <t xml:space="preserve">Sibling precedent</t>
  </si>
  <si>
    <t xml:space="preserve">Disposition (Senthil)</t>
  </si>
  <si>
    <t xml:space="preserve">F-V01</t>
  </si>
  <si>
    <t xml:space="preserve">High</t>
  </si>
  <si>
    <t xml:space="preserve">store.ts / lifecycle.ts</t>
  </si>
  <si>
    <t xml:space="preserve">Retention sweep deleted feature bags only — user ROLE records survived forever and the account tombstone kept install source + lifecycle timestamps. Published "permanently deleted" policy (trust page, data-flow doc) was breached.</t>
  </si>
  <si>
    <t xml:space="preserve">FIXED — sweep now deletes all org roles (store.deleteRolesForOrg) and writes a minimal tombstone (orgId, deleted, deletedAt only); regression asserts post-sweep snapshot contains no user ids.</t>
  </si>
  <si>
    <t xml:space="preserve">FlowCast F-007</t>
  </si>
  <si>
    <t xml:space="preserve">F-V02</t>
  </si>
  <si>
    <t xml:space="preserve">billing.ts</t>
  </si>
  <si>
    <t xml:space="preserve">No payment-recovery path: grace/read-only was a one-way street — a successful payment could not restore active status, reset dunning, or clear grace. Help article HC-10 promised "restores full access immediately"; the code could not deliver it.</t>
  </si>
  <si>
    <t xml:space="preserve">FIXED — paymentRecovered(): grace|read-only → active, dunningEmails 0, graceStartedAt cleared, billing.recovered notification; recovering an active account rejected.</t>
  </si>
  <si>
    <t xml:space="preserve">ShiftDesk F-001 / OnCall F-005</t>
  </si>
  <si>
    <t xml:space="preserve">F-V03</t>
  </si>
  <si>
    <t xml:space="preserve">Trial expiry unenforced: after trialEndsAt the org stayed status=trialing with full write access forever, and the banner showed "Trial: 0 day(s) remaining" indefinitely. The 14-day trial was a label.</t>
  </si>
  <si>
    <t xml:space="preserve">FIXED — writeBlocked() treats expired trial as blocked ("Trial ended — choose a plan"), banner states it plainly; choosing a plan unblocks. Old test that pinned the buggy 0-days banner corrected.</t>
  </si>
  <si>
    <t xml:space="preserve">ShiftDesk F-013 class</t>
  </si>
  <si>
    <t xml:space="preserve">F-V04</t>
  </si>
  <si>
    <t xml:space="preserve">Medium</t>
  </si>
  <si>
    <t xml:space="preserve">issueInvoice was the only unguarded billing mutation: no role check (any caller) and no amount validation — zero, negative, and NaN invoices accepted.</t>
  </si>
  <si>
    <t xml:space="preserve">FIXED — assertCan billing.manage + positive-finite amount guard; signature now takes userId.</t>
  </si>
  <si>
    <t xml:space="preserve">ShiftDesk F-005 class</t>
  </si>
  <si>
    <t xml:space="preserve">F-V05</t>
  </si>
  <si>
    <t xml:space="preserve">store.ts</t>
  </si>
  <si>
    <t xml:space="preserve">Every per-org ledger unbounded (notifications 2-per-event, analytics events, audit, activities...) — memory growth defect in a long-lived process; dunning alone kept appending.</t>
  </si>
  <si>
    <t xml:space="preserve">FIXED — FIFO cap 10,000 per (org, kind) with droppedCount() telemetry; oldest evicted; "current subscription = last item" semantics regression-pinned. Live Postgres gets a retention policy instead (noted for deploy).</t>
  </si>
  <si>
    <t xml:space="preserve">ST-070 infra</t>
  </si>
  <si>
    <t xml:space="preserve">FlowCast F-001 / ShiftDesk F-003</t>
  </si>
  <si>
    <t xml:space="preserve">F-V06</t>
  </si>
  <si>
    <t xml:space="preserve">sfClient.ts</t>
  </si>
  <si>
    <t xml:space="preserve">Exponential backoff was a NO-OP in production: default sleep was () =&gt; Promise.resolve() — every retry against a struggling platform API fired with zero delay, defeating the documented backoff and hammering Salesforce during 429/503 storms. Tests always injected their own sleep, so 100% coverage never caught it.</t>
  </si>
  <si>
    <t xml:space="preserve">FIXED — default sleep is a real setTimeout wait; fake-timer regression asserts a pending 375ms timer between attempts on a bare new SfClient().</t>
  </si>
  <si>
    <t xml:space="preserve">ShiftDesk F-004 (exact class)</t>
  </si>
  <si>
    <t xml:space="preserve">F-V07</t>
  </si>
  <si>
    <t xml:space="preserve">featureCore.ts / billing.ts</t>
  </si>
  <si>
    <t xml:space="preserve">read-only status was enforced NOWHERE — an org 8 days into failed payment (or past trial expiry, per F-V03) kept full write access across dial, logging, cadences, and Flow actions. ST-060 had no teeth.</t>
  </si>
  <si>
    <t xml:space="preserve">FIXED — writeBlocked() gate + featureCore.assertWritable() wired into the mutating entry points of dialer, callLogger, cadence (create+enroll), flowActions; coaching reads stay open (ST-060 reads-allowed semantics pinned).</t>
  </si>
  <si>
    <t xml:space="preserve">New (portfolio first: billing-status enforcement)</t>
  </si>
  <si>
    <t xml:space="preserve">OBS-V1</t>
  </si>
  <si>
    <t xml:space="preserve">Low</t>
  </si>
  <si>
    <t xml:space="preserve">analytics.ts</t>
  </si>
  <si>
    <t xml:space="preserve">exportCsv joins fields with commas and no RFC-4180 quoting. Current fields (funnel stage names + counts) cannot contain commas, so not a live defect — but any future field with a comma corrupts the export.</t>
  </si>
  <si>
    <t xml:space="preserve">NO FIX — logged for disposition; quote-all-fields is a 5-line change if ST-076 scope grows.</t>
  </si>
  <si>
    <t xml:space="preserve">ShiftDesk F-006 class (pre-emptive)</t>
  </si>
  <si>
    <t xml:space="preserve">OBS-V2</t>
  </si>
  <si>
    <t xml:space="preserve">Circuit half-open allows unlimited concurrent probes after cooldown: every caller in the half-open window passes the gate until failures re-accumulate. A single-probe half-open is stricter.</t>
  </si>
  <si>
    <t xml:space="preserve">NO FIX — matches FlowCast OBS-002 (also pending disposition); current behaviour recovers correctly, just less politely.</t>
  </si>
  <si>
    <t xml:space="preserve">FlowCast OBS-002</t>
  </si>
  <si>
    <t xml:space="preserve">F-V08</t>
  </si>
  <si>
    <t xml:space="preserve">audit.ts</t>
  </si>
  <si>
    <t xml:space="preserve">Self-serve delete (ST-069, promised in HC-12) purged the feature bags only: the org's user ROLE records and its OAuth tokens survived. Same published-policy breach as F-V01, on the other deletion path.</t>
  </si>
  <si>
    <t xml:space="preserve">FIXED — deleteMyData now purges bags, deletes all org roles and wipes tokens, and returns {rolesDeleted, tokensWiped}; the audit line is written after the purge so the deletion stays evidenced. 3 regressions incl. cross-org isolation.</t>
  </si>
  <si>
    <t xml:space="preserve">VoiceBridge F-V01 (same class, other path)</t>
  </si>
  <si>
    <t xml:space="preserve">F-V09</t>
  </si>
  <si>
    <t xml:space="preserve">writeBlocked() never considered status 'cancelled'. A cancelled org kept full write access indefinitely — the F-V07 gate had a hole exactly where the pricing page promises 'cancel any time'.</t>
  </si>
  <si>
    <t xml:space="preserve">FIXED — cancelled now blocks writes with its own reason; reads and export stay open (2 regressions pin that data is never held hostage).</t>
  </si>
  <si>
    <t xml:space="preserve">ST-063/ST-060</t>
  </si>
  <si>
    <t xml:space="preserve">New (extends F-V07)</t>
  </si>
  <si>
    <t xml:space="preserve">F-V10</t>
  </si>
  <si>
    <t xml:space="preserve">app.ts / softphoneAdapter.ts</t>
  </si>
  <si>
    <t xml:space="preserve">ARTIFACT GAP: the Open CTI softphone has always POSTed hang-ups to /log, and no such route existed. Every hang-up in a live org would have 404'd into the adapter's 'saved locally' branch and the activity would never reach the record — the product's headline feature (F2 auto-logging) silently dead.</t>
  </si>
  <si>
    <t xml:space="preserve">FIXED — /log route added: closes the call via dialer.transition and writes the activity via callLogger.ingest in one hop, externalId call:&lt;id&gt; so provider replays dedupe. 4 supertest regressions (happy path, empty note, replay, unknown id → clean 400).</t>
  </si>
  <si>
    <t xml:space="preserve">ST-011..020 / R-V5</t>
  </si>
  <si>
    <t xml:space="preserve">TestPulse missing Custom UI resource; FlowCast GAP-1/2</t>
  </si>
  <si>
    <t xml:space="preserve">F-V11</t>
  </si>
  <si>
    <t xml:space="preserve">softphoneAdapter.ts</t>
  </si>
  <si>
    <t xml:space="preserve">The failed-hang-up branch told the rep 'Saved locally — will sync when the connection recovers' and then dropped the log on the floor. Nothing queued it, nothing retried it. A promise in the UI with no code behind it.</t>
  </si>
  <si>
    <t xml:space="preserve">FIXED — pending queue on adapter state, flushPending() drains oldest-first and stops at the first failure to preserve order, pollStatus() flushes automatically on recovery; banner shows the waiting count. 3 regressions incl. partial-flush ordering.</t>
  </si>
  <si>
    <t xml:space="preserve">ST-091 / ST-014</t>
  </si>
  <si>
    <t xml:space="preserve">FlowCast F-002 class (promise vs behaviour)</t>
  </si>
  <si>
    <t xml:space="preserve">F-V12</t>
  </si>
  <si>
    <t xml:space="preserve">dial() hard-coded callState='connected' the moment /dial returned — but /dial returns state 'dialing'. A ringing call read 'Connected' on the rep's panel, and coaching connect-rate would have been read against a state the UI contradicted. The pass-1 test suite asserted the wrong behaviour because the mock returned no state at all.</t>
  </si>
  <si>
    <t xml:space="preserve">FIXED — the panel mirrors the server's state machine (Ringing vs Connected); the existing mock corrected to the real /dial shape. 2 regressions incl. a stateless response never reading as connected.</t>
  </si>
  <si>
    <t xml:space="preserve">New</t>
  </si>
  <si>
    <t xml:space="preserve">F-V13</t>
  </si>
  <si>
    <t xml:space="preserve">designPartners.ts</t>
  </si>
  <si>
    <t xml:space="preserve">exitMath.reviewTargetMet compared reviews against SLOTS (10). The S11 exit criterion is FIRST 3 REVIEWS. The 'honest exit math' story would have reported a met gate as unmet anywhere between 3 and 9 reviews.</t>
  </si>
  <si>
    <t xml:space="preserve">FIXED — REVIEW_TARGET = 3 exported and reported alongside the count; G-02 paying-stranger math untouched and still separate. 2 regressions.</t>
  </si>
  <si>
    <t xml:space="preserve">F-V14</t>
  </si>
  <si>
    <t xml:space="preserve">featureCore.ts</t>
  </si>
  <si>
    <t xml:space="preserve">importData() creates records and was not behind the F-V07 write gate — a read-only or expired-trial org could still bulk-import rows.</t>
  </si>
  <si>
    <t xml:space="preserve">FIXED — assertWritable() on the import entry point; setup/customise/pause deliberately stay open so an admin can always fix their configuration. 2 regressions.</t>
  </si>
  <si>
    <t xml:space="preserve">ST-x9 pattern</t>
  </si>
  <si>
    <t xml:space="preserve">Extends F-V07</t>
  </si>
  <si>
    <t xml:space="preserve">F-V15</t>
  </si>
  <si>
    <t xml:space="preserve">cadence.ts</t>
  </si>
  <si>
    <t xml:space="preserve">Four gaps on one module: enroll() skipped requireEnabled (a paused cadence still enrolled); the same contact could be enrolled twice in one cadence, so dueSteps returned them twice and the rep called them twice the same day; advance() mutated state with no write gate; and dueSteps/advance cast the cadence lookup with 'as Cadence', so one enrollment outliving its cadence crashed the whole due list.</t>
  </si>
  <si>
    <t xml:space="preserve">FIXED — enabled gate on enroll, duplicate-active-enrolment refused (re-enrolment allowed once complete), assertWritable on advance, orphan enrolments skipped in dueSteps and named clearly in advance. 5 regressions.</t>
  </si>
  <si>
    <t xml:space="preserve">ST-021..030</t>
  </si>
  <si>
    <t xml:space="preserve">Extends F-V07; FlowCast F-006 (duplicate sends)</t>
  </si>
  <si>
    <t xml:space="preserve">F-V16</t>
  </si>
  <si>
    <t xml:space="preserve">cadence.ts / callLogger.ts / flowActions.ts</t>
  </si>
  <si>
    <t xml:space="preserve">Three declared settings governed nothing: maxActiveCadences (no cap enforced anywhere), logCalls/logWhatsApp (an admin who switched WhatsApp logging off kept getting WhatsApp activities written to records), allowInLoops (a Flow loop invoking StartCall per record could dial a whole list view).</t>
  </si>
  <si>
    <t xml:space="preserve">FIXED — all three now enforced with named errors; allowInLoops stays default-off and refuses loop-context invocations. 3 regressions + a null-limit default-fallback case.</t>
  </si>
  <si>
    <t xml:space="preserve">ST-023/ST-013/ST-043</t>
  </si>
  <si>
    <t xml:space="preserve">FlowCast F-005 (nudgesPerMonth unenforceable); OnCall F-008 (dead config knobs)</t>
  </si>
  <si>
    <t xml:space="preserve">F-V17</t>
  </si>
  <si>
    <t xml:space="preserve">coaching.ts</t>
  </si>
  <si>
    <t xml:space="preserve">scorecard() is a read and pushed a Scorecard record on every call; leaderboard() multiplied it by the number of reps. A manager refreshing the leaderboard registered as feature usage in the ST-073 heatmap and burned the F-V05 FIFO budget.</t>
  </si>
  <si>
    <t xml:space="preserve">FIXED — scorecard() is pure; a new snapshot() is the only write path and obeys the billing gate. 2 regressions incl. heatmap staying at zero after repeated reads.</t>
  </si>
  <si>
    <t xml:space="preserve">ST-032/ST-073</t>
  </si>
  <si>
    <t xml:space="preserve">F-V18</t>
  </si>
  <si>
    <t xml:space="preserve">onboarding.ts</t>
  </si>
  <si>
    <t xml:space="preserve">complete() re-emitted the 'aha' funnel event on EVERY completion once three steps were done, so a single org could inflate the aha count — and activation &gt;40% is an S11 exit gate measured from that funnel.</t>
  </si>
  <si>
    <t xml:space="preserve">FIXED — aha tracked once per org; the single-shot review ask is unaffected and its clock is now injectable. 2 regressions.</t>
  </si>
  <si>
    <t xml:space="preserve">ST-078/ST-071</t>
  </si>
  <si>
    <t xml:space="preserve">supportChat.ts / designPartners.ts / store.ts</t>
  </si>
  <si>
    <t xml:space="preserve">Ids derived from list length (chat-&lt;org&gt;-&lt;len+1&gt;, DP-&lt;len+1&gt;). After the pass-1 F-V05 FIFO cap pins list length at MAX_PER_KIND, every new ticket takes the same id — respond() would answer the wrong ticket. A defect created by the interaction of a pass-1 fix with untouched code.</t>
  </si>
  <si>
    <t xml:space="preserve">FIXED — store.nextSeq(org, kind) monotonic counter, reset with purgeOrg so a reinstall starts clean. 3 regressions incl. one that fills the bag to the cap first.</t>
  </si>
  <si>
    <t xml:space="preserve">ST-081/ST-100</t>
  </si>
  <si>
    <t xml:space="preserve">New (interaction defect — pass-1 fix x pass-2 module)</t>
  </si>
  <si>
    <t xml:space="preserve">F-V20</t>
  </si>
  <si>
    <t xml:space="preserve">pricingPage.ts</t>
  </si>
  <si>
    <t xml:space="preserve">The 'smallest commitment' FAQ answer took the first key of SEAT_PRICE as the cheapest plan. Reorder the plan constants and the published pricing page starts quoting the most expensive tier as the entry price.</t>
  </si>
  <si>
    <t xml:space="preserve">FIXED — cheapest computed by price; regression asserts no dearer tier appears in that answer.</t>
  </si>
  <si>
    <t xml:space="preserve">VER-V01</t>
  </si>
  <si>
    <t xml:space="preserve">widget/softphone.html</t>
  </si>
  <si>
    <t xml:space="preserve">LIVE-BLOCKING (external verification vs the Open CTI Lightning method reference): the softphone page never loaded opencti_min.js. The Open CTI API is not injected into the adapter frame automatically — 'sforce' would be undefined, the whole in-org bootstrap silently no-ops, and the softphone is dead in the org with no error anywhere. Two clean cold reviews did not catch it because the jsdom tests inject a mocked API.</t>
  </si>
  <si>
    <t xml:space="preserve">FIXED — &lt;script src="/support/api/67.0/lightning/opencti_min.js"&gt; added; a regression asserts the tag exists and that its version matches sfdx sourceApiVersion.</t>
  </si>
  <si>
    <t xml:space="preserve">R-V5 / ST-001</t>
  </si>
  <si>
    <t xml:space="preserve">FlowCast VER-001 (exact class: silent day-one failure after clean reviews)</t>
  </si>
  <si>
    <t xml:space="preserve">VER-V02</t>
  </si>
  <si>
    <t xml:space="preserve">widget/softphone.html / softphoneAdapter.ts</t>
  </si>
  <si>
    <t xml:space="preserve">LIVE-BLOCKING: enableClickToDial() was never called. The documented contract is that the phone system must be enabled before a registered onClickToDial listener fires — click-to-dial, the headline demo moment, would have done nothing in the org.</t>
  </si>
  <si>
    <t xml:space="preserve">FIXED — enableClickToDial() added to the OpenCtiApi interface and called first in init(); regression pins the ordering (enable before listener).</t>
  </si>
  <si>
    <t xml:space="preserve">ST-001/ST-002</t>
  </si>
  <si>
    <t xml:space="preserve">VER-V03</t>
  </si>
  <si>
    <t xml:space="preserve">notifyInitializationComplete() was never called, so Salesforce keeps the softphone's loading icon and can fall through to reqStandbyUrl.</t>
  </si>
  <si>
    <t xml:space="preserve">FIXED — called last in init(); regression pins it as the final lifecycle call.</t>
  </si>
  <si>
    <t xml:space="preserve">VER-V04</t>
  </si>
  <si>
    <t xml:space="preserve">sfpackage/sfdx-project.json</t>
  </si>
  <si>
    <t xml:space="preserve">sourceApiVersion was 61.0 (Summer '24) — two years stale as of this release. Verified current GA is 67.0 (Summer '26); 68.0 is Winter '27 preview.</t>
  </si>
  <si>
    <t xml:space="preserve">FIXED — 67.0, and the Open CTI script path is pinned to the same version with a regression asserting the two never drift apart.</t>
  </si>
  <si>
    <t xml:space="preserve">LC-2/D18</t>
  </si>
  <si>
    <t xml:space="preserve">TestPulse runtime nodejs20→22 (same staleness class)</t>
  </si>
  <si>
    <t xml:space="preserve">VER-V05</t>
  </si>
  <si>
    <t xml:space="preserve">Info</t>
  </si>
  <si>
    <t xml:space="preserve">VERIFIED CORRECT, no change: the in-org bootstrap already wraps onClickToDial as { listener: fn } (not a bare callback) and uses sforce.opencti.SCREENPOP_TYPE.SOBJECT, both matching the live method reference. Pinned by regression so a future refactor cannot quietly break them.</t>
  </si>
  <si>
    <t xml:space="preserve">NO CHANGE — verified against live docs and pinned.</t>
  </si>
  <si>
    <t xml:space="preserve">GAP-V1</t>
  </si>
  <si>
    <t xml:space="preserve">docs/ launch/ security/ load/ .github/</t>
  </si>
  <si>
    <t xml:space="preserve">ARTIFACT-GAP AUDIT: every file referenced by the dry-run engine, the runbook pre-flight and the 12-step sweep was checked to exist on disk (ci.yml, k6-load.js, least-privilege.md, data-flow-retention.md, SECURITY.md, threat-model.md, listing-copy-ab.md, asset-plan.md, salesforce-dev-org-guide.md, sweep.ts, widget shells). All present — the only missing artifact found was the /log route (F-V10).</t>
  </si>
  <si>
    <t xml:space="preserve">NO CHANGE — audit clean apart from F-V10.</t>
  </si>
  <si>
    <t xml:space="preserve">ST-097/ST-098</t>
  </si>
  <si>
    <t xml:space="preserve">FlowCast GAP-1/2 (missing CI + blue/green workflows)</t>
  </si>
  <si>
    <t xml:space="preserve">OBS-V3</t>
  </si>
  <si>
    <t xml:space="preserve">init() discards the setInterval handle, so status polling cannot be stopped and a re-init would start a second poller. Harmless in the utility-bar lifecycle (the frame is torn down with the panel), but it is a leak if the panel is ever re-initialised in place.</t>
  </si>
  <si>
    <t xml:space="preserve">NO FIX — logged for disposition; returning the handle is a 2-line change.</t>
  </si>
  <si>
    <t xml:space="preserve">OBS-V4</t>
  </si>
  <si>
    <t xml:space="preserve">notifications.ts</t>
  </si>
  <si>
    <t xml:space="preserve">notify() always writes both an in-app and an email notification with no per-org or per-user preference. Every feature event emails every actor. Not wrong today (volumes are low), but it is the sort of thing a design partner complains about in week two.</t>
  </si>
  <si>
    <t xml:space="preserve">NO FIX — logged for disposition; needs a product call on notification preferences before code.</t>
  </si>
  <si>
    <t xml:space="preserve">ST-x10 pattern</t>
  </si>
  <si>
    <t xml:space="preserve">EngageOS opt-in precedent</t>
  </si>
  <si>
    <t xml:space="preserve">Screens_Wireframes vs widget/ + sfpackage/</t>
  </si>
  <si>
    <t xml:space="preserve">SCREEN-SURFACE GAP: the spec sheet names 9 screens; the codebase shipped 2 (softphone.html, settings.html). Meanwhile ST-005/015/025/035/045 (5 x P0, 25 pts) each claim the feature 'works on the Lightning utility-bar softphone + LWC surface end-to-end' and are marked Done, ST-079 claims empty states on EVERY screen, and ST-089 claims a WCAG pass on primary flows. No LWC bundle exists anywhere in sfpackage/ (callCenters, permissionsets, staticresources only).</t>
  </si>
  <si>
    <t xml:space="preserve">FIXED (code half) — 7 screens built as typed view-models + one accessible renderer (src/views.ts), wired to the live modules via src/screenData.ts and served at /ui/:orgId[/:screenId?format=html]; WCAG audit widened to 9 screens x populated+empty. The 5 surface stories are deliberately NOT re-flipped: see D-V2.</t>
  </si>
  <si>
    <t xml:space="preserve">ST-005/015/025/035/045, ST-079, ST-089</t>
  </si>
  <si>
    <t xml:space="preserve">TestPulse missing Custom UI resource; MeetSync missing web layer</t>
  </si>
  <si>
    <t xml:space="preserve">docs/d18-packaging-decision.md vs story text</t>
  </si>
  <si>
    <t xml:space="preserve">CONTRADICTION NEEDING YOUR RULING: D18 recommends a hybrid-minimal 2GP shim with zero Apex and no LWC (smallest security-review scope). Five story texts demand an LWC surface. Both cannot be true.</t>
  </si>
  <si>
    <t xml:space="preserve">OPEN — (a) add LWC bundles to the package, accepting a larger security-review scope, or (b) keep the static-resource/web surface and reword the five story texts to match what ships. The screens built in v0.14.0 are valid under either.</t>
  </si>
  <si>
    <t xml:space="preserve">ST-005/015/025/035/045, D18</t>
  </si>
  <si>
    <t xml:space="preserve">docs/, src/config.ts, src/sfAuth.ts, src/sweepChecks.ts</t>
  </si>
  <si>
    <t xml:space="preserve">LIVE-BLOCKING (external verification vs the live ISVforce guide): new CONNECTED APPS CANNOT BE CREATED as of the Spring '26 release — External Client Apps replace them. Step 2 of the 30-minute dev-org guide instructs 'Setup -&gt; App Manager -&gt; New Connected App'; that option is not in the org. Sweep checks A1/A2, operator step O1 and the data-flow diagram encoded the same assumption. The dev-org day would have stalled in the first ten minutes.</t>
  </si>
  <si>
    <t xml:space="preserve">FIXED — ECA across config, sfAuth, sweep checks, dev-org guide, live-sweep pack, D18 doc and data-flow diagram; docs/oauth-security-controls.md written; dry-run gains DR-16.</t>
  </si>
  <si>
    <t xml:space="preserve">ST-051,LC-2,D18</t>
  </si>
  <si>
    <t xml:space="preserve">FlowCast VER-001 / OnCall VER-OC1 (silent day-one failure after clean cold reviews)</t>
  </si>
  <si>
    <t xml:space="preserve">src/sfAuth.ts, src/app.ts</t>
  </si>
  <si>
    <t xml:space="preserve">MANDATORY CONTROL MISSING: PKCE on the authorization-code flow, required of every partner CA/ECA regardless of public or confidential client, deadline 11 May 2026, enforceable by interoperability suspension since 25 June 2026. Our flow had no code_challenge and no state parameter at all — which also left the install open to OAuth CSRF.</t>
  </si>
  <si>
    <t xml:space="preserve">FIXED — beginInstall() mints an S256 challenge and a single-use state; the verifier never leaves the server; GET /oauth/start is the only entry point. 6 regressions: replay, forged state, expiry, verifier-not-in-URL, challenge-derivation, distinctness.</t>
  </si>
  <si>
    <t xml:space="preserve">ST-051,LC-3</t>
  </si>
  <si>
    <t xml:space="preserve">MeetSync M-F15 (no OAuth CSRF state)</t>
  </si>
  <si>
    <t xml:space="preserve">src/sfAuth.ts, src/config.ts</t>
  </si>
  <si>
    <t xml:space="preserve">MANDATORY CONTROLS MISSING: refresh-token rotation and a refresh-token idle timeout of at most 30 days. We stored a refresh token indefinitely and, when the platform returned no new one, silently reused the old — so after an idle spell the app would present a token Salesforce had already invalidated and surface a raw OAuth error to the rep.</t>
  </si>
  <si>
    <t xml:space="preserve">FIXED — SF_REFRESH_IDLE_DAYS (default 30, ceiling enforced at config load); an idle token throws REAUTH_REQUIRED with a reconnect instruction WITHOUT calling the platform; a refresh returning no new token records a NO_ROTATION anomaly.</t>
  </si>
  <si>
    <t xml:space="preserve">ST-055,LC-3</t>
  </si>
  <si>
    <t xml:space="preserve">OnCall VER-OC3 (token TTL + single-use refresh)</t>
  </si>
  <si>
    <t xml:space="preserve">src/config.ts, src/sweepChecks.ts, docs/</t>
  </si>
  <si>
    <t xml:space="preserve">MANDATORY CONTROL MISSING: refresh-token IP allowlist. Nothing in env, sweep or guide mentioned it, so the dev-org day would have ended with an ECA that could not be self-attested as compliant.</t>
  </si>
  <si>
    <t xml:space="preserve">FIXED — SF_REFRESH_IP_ALLOWLIST parsed into config, sweep check A9 fails when unset, A10 guards the idle ceiling, and operator step O5 self-attests all four controls AFTER the flow is proven (attestation locks the configuration).</t>
  </si>
  <si>
    <t xml:space="preserve">VER-V10</t>
  </si>
  <si>
    <t xml:space="preserve">ST-059 / LC-1 / LC-9 / Financial_Model</t>
  </si>
  <si>
    <t xml:space="preserve">VERIFIED, CHANGES A DECISION: AppExchange Checkout is NOT mandatory for a paid listing. The alternative is an ISVforce licence agreement with every customer order reported through the Channel Order Application (COA). Revenue share 15% ISVforce / 25% OEM; $999 security-review fee per paid-app submission; ~$150 annual listing renewal; 5-9 months typical for a first listing end to end.</t>
  </si>
  <si>
    <t xml:space="preserve">NO CODE CHANGE — ST-059's provider abstraction already covers both paths. Raised as D-V3; the lead-time figure feeds the D15 sequencing math and LC-1 urgency.</t>
  </si>
  <si>
    <t xml:space="preserve">ST-059,LC-1,LC-9,D15</t>
  </si>
  <si>
    <t xml:space="preserve">TestPulse D18 (per-user pricing fact that blocked partner-console setup)</t>
  </si>
  <si>
    <t xml:space="preserve">src/app.ts, src/permissions.ts</t>
  </si>
  <si>
    <t xml:space="preserve">UNFIXED, YOUR CALL: identity is caller-declared. Every route reads userId from the request body and assertCan() trusts it, so anyone who knows an orgId and an owner's userId acts as owner — role checks are real but the identity behind them is not. AppExchange security review would fail on this, and no amount of coverage finds it because every test supplies an honest userId.</t>
  </si>
  <si>
    <t xml:space="preserve">NOT FIXED IN v0.14.0 — the fix is an HMAC-signed session boundary minted at install and enforced across ~20 routes, with dev header auth opt-in only. That is a release of its own, not a patch. Senthil directed 'continue' rather than 'continue + auth'.</t>
  </si>
  <si>
    <t xml:space="preserve">ST-054,ST-007/017/027/037/047,LC-3</t>
  </si>
  <si>
    <t xml:space="preserve">MeetSync M-F11 (exact class)</t>
  </si>
  <si>
    <t xml:space="preserve">OBS-V5</t>
  </si>
  <si>
    <t xml:space="preserve">src/store.ts</t>
  </si>
  <si>
    <t xml:space="preserve">The PKCE map has no sweep: an abandoned install leaves its entry until the process restarts. Entries are tiny and single-use, and the R-V4 in-memory constraint already bounds the process, so this is noted rather than engineered.</t>
  </si>
  <si>
    <t xml:space="preserve">NO FIX — logged for disposition; a TTL sweep is a few lines once the Postgres adapter lands.</t>
  </si>
  <si>
    <t xml:space="preserve">VoiceBridge F-V05 class (bounded ledgers)</t>
  </si>
  <si>
    <t xml:space="preserve">F-V22</t>
  </si>
  <si>
    <t xml:space="preserve">Sprint_Board (product workbook)</t>
  </si>
  <si>
    <t xml:space="preserve">OFF-BY-ONE IN THE BOARD'S OWN FORMULAS, inherited from every prior version: the TOTAL Done formula sat in E16 (the S12 row) as =SUM(E4:E15), so S12 showed 95 'Done' out of 1 story and the TOTAL Done cell E17 was empty. The board has been misreporting itself for the whole build; caught by recalculating v014 and reading the numbers rather than trusting them.</t>
  </si>
  <si>
    <t xml:space="preserve">FIXED — E16 now carries the same per-sprint COUNTIFS as every other row and E17 is =SUM(E4:E16). Board now reads 96 of 100 (Done + code-complete), agreeing with the tracker rollup computed in a different file.</t>
  </si>
  <si>
    <t xml:space="preserve">Board integrity</t>
  </si>
  <si>
    <t xml:space="preserve">MeetSync Sprint_Board Done-formula defect (same sheet, different cause)</t>
  </si>
  <si>
    <t xml:space="preserve">Critical</t>
  </si>
  <si>
    <t xml:space="preserve">src/app.ts, package.json, (missing) src/server.ts</t>
  </si>
  <si>
    <t xml:space="preserve">NO PROCESS AND NO PRODUCTION OAUTH GATEWAY. createApp() has existed since S1 and nothing ever called listen(); package.json had no start script; the only OAuthGateway implementations were test doubles in test/. The ECA callback, sweep check A7's /health probe, the k6 harness and the softphone's /dial and /log posts all addressed a server that could not be started — and the install flow the 30-minute guide describes had no code path at all. 41 suites at 100% coverage proved every module worked; no product existed around them.</t>
  </si>
  <si>
    <t xml:space="preserve">FIXED — src/server.ts + src/main.ts + npm start/dev; src/sfGateway.ts talks to the real token endpoint with code_verifier and classifies 5xx as retryable, 4xx as terminal; guide step 4 now brings the service up before the sweep.</t>
  </si>
  <si>
    <t xml:space="preserve">ST-051,ST-086,ST-088</t>
  </si>
  <si>
    <t xml:space="preserve">OnCall GAP-OC1 / EngageOS GAP-E1 (exact class)</t>
  </si>
  <si>
    <t xml:space="preserve">GAP-V4</t>
  </si>
  <si>
    <t xml:space="preserve">src/backup.ts, src/lifecycle.ts, src/sweepChecks.ts, (missing) db/</t>
  </si>
  <si>
    <t xml:space="preserve">NO SCHEMA behind a published policy. Sweep check A5 demanded DATABASE_URL, the ST-090 drill ran backup/restore, and lifecycle.sweep() enforced a 30-day deletion policy the trust page publishes — every one of them against an in-memory Map, with no table, no migration and no runner anywhere in the repo.</t>
  </si>
  <si>
    <t xml:space="preserve">FIXED — 5 ordered migrations + npm run migrate + a tested planner (filename order, never re-run, checksum drift is a hard error). Org-scoped tables cascade on delete so the F-V01/F-V08 breach class cannot recur at the storage layer. See R-V11 for what is still open.</t>
  </si>
  <si>
    <t xml:space="preserve">ST-052,ST-090,R-V4</t>
  </si>
  <si>
    <t xml:space="preserve">OnCall GAP-OC2 / EngageOS GAP-E2</t>
  </si>
  <si>
    <t xml:space="preserve">.github/workflows/ci.yml</t>
  </si>
  <si>
    <t xml:space="preserve">CI pinned Node 20 on both jobs. Node 20 reached end of life in April 2026; the local toolchain already runs 22, so CI was validating against a runtime nobody ships on.</t>
  </si>
  <si>
    <t xml:space="preserve">FIXED — Node 22, with a regression that fails the build if a past-EOL pin returns.</t>
  </si>
  <si>
    <t xml:space="preserve">ST-085/086</t>
  </si>
  <si>
    <t xml:space="preserve">TestPulse nodejs20→22; VoiceBridge VER-V04 sourceApiVersion 61.0→67.0</t>
  </si>
  <si>
    <t xml:space="preserve">F-V23</t>
  </si>
  <si>
    <t xml:space="preserve">src/app.ts /ui routes</t>
  </si>
  <si>
    <t xml:space="preserve">INTRODUCED IN v0.14.0 AND CAUGHT BY PASS 3: the seven new screen routes took the org id from the URL and verified nothing, so any caller who knew or guessed an org id could read that org's plan and billing status, invoice list, activation funnel, feature-usage heatmap and open support conversations. Strictly worse than F-V21, which at least required a plausible user id. Closing GAP-V2 opened this; only a review aimed at the newly added surface would have found it.</t>
  </si>
  <si>
    <t xml:space="preserve">FIXED — /ui is behind the session boundary; the org served is the session's org, and a URL claiming another org is 403.</t>
  </si>
  <si>
    <t xml:space="preserve">GAP-V2,ST-005/015/025/035/045</t>
  </si>
  <si>
    <t xml:space="preserve">MeetSync M-F12 (unauthenticated analytics/admin endpoints)</t>
  </si>
  <si>
    <t xml:space="preserve">src/app.ts, src/permissions.ts, src/auth.ts</t>
  </si>
  <si>
    <t xml:space="preserve">CLOSED (was logged unfixed in v0.14.0): identity was caller-declared — every route read userId from the request body and assertCan() trusted it, so anyone who knew an org id and an owner's user id acted as owner.</t>
  </si>
  <si>
    <t xml:space="preserve">FIXED — HMAC-SHA256 sessions over (orgId, userId, issuedAt), constant-time verification, minted only at /oauth/callback, required on every org-scoped route; mismatched claims refused as forgery; VB_SESSION_SECRET required at boot with a 32-char floor; 401/403/400 separated. Dev header auth was deliberately NOT added — there is no bypass to leave switched on by accident.</t>
  </si>
  <si>
    <t xml:space="preserve">src/store.ts, src/app.ts /oauth/start</t>
  </si>
  <si>
    <t xml:space="preserve">The PKCE verifier map had no cap and no sweep, and /oauth/start is a public route — so an unauthenticated caller could grow it indefinitely. OBS-V5 logged this as low on the assumption that only real installs wrote to it; making the route public changed the risk and nobody re-read the observation.</t>
  </si>
  <si>
    <t xml:space="preserve">FIXED — expired entries swept on write, FIFO cap at 10k, size observable. Lesson: an observation's severity is a function of who can reach the code, and that changes when routes change.</t>
  </si>
  <si>
    <t xml:space="preserve">VoiceBridge F-V05 (bounded ledgers)</t>
  </si>
  <si>
    <t xml:space="preserve">F-V25</t>
  </si>
  <si>
    <t xml:space="preserve">src/sfGateway.ts</t>
  </si>
  <si>
    <t xml:space="preserve">No timeout on the Salesforce token endpoint: a hung endpoint hung the install or refresh indefinitely, holding a request open with no status and no user-visible failure.</t>
  </si>
  <si>
    <t xml:space="preserve">FIXED — 10s AbortController, classified retryable with a named user action.</t>
  </si>
  <si>
    <t xml:space="preserve">ST-051,ST-055</t>
  </si>
  <si>
    <t xml:space="preserve">MeetSync M-F21 (request held open with no status)</t>
  </si>
  <si>
    <t xml:space="preserve">F-V26</t>
  </si>
  <si>
    <t xml:space="preserve">src/server.ts</t>
  </si>
  <si>
    <t xml:space="preserve">server.close() waits for every open connection, so one long-lived client could hold the process past the orchestrator's kill window and turn a rolling deploy (ST-092) into a hard kill mid-request. Also F-V26b: the listening log printed the requested port rather than the bound one, so PORT=0 logged 'listening on 0'.</t>
  </si>
  <si>
    <t xml:space="preserve">FIXED — drain() exported and tested on both the clean and the forced path; bound port read from server.address().</t>
  </si>
  <si>
    <t xml:space="preserve">F-V27</t>
  </si>
  <si>
    <t xml:space="preserve">src/flowActions.ts</t>
  </si>
  <si>
    <t xml:space="preserve">FLOATING PROMISE BROKE THE FAILURE PATH: invoke() assigned the promise returned by dialer.dial / cadence.enroll / notifier.notify to `output` without awaiting, so a rejection escaped the try/catch that records the failed run and rethrows. Flow's retry contract depends on that path. TypeScript accepts a floating promise as a valid expression, so nothing flagged it.</t>
  </si>
  <si>
    <t xml:space="preserve">FIXED — collaborator calls awaited across the whole source, not just the site that failed; pinned by the existing failed-invocation regression, which had been passing against the broken code only because the throw happened synchronously before conversion.</t>
  </si>
  <si>
    <t xml:space="preserve">MeetSync M-F21 (promise rejection escaping a handler)</t>
  </si>
  <si>
    <t xml:space="preserve">src/cadence.ts, src/callLogger.ts, src/designPartners.ts</t>
  </si>
  <si>
    <t xml:space="preserve">GUARDS THAT SURVIVED ONLY ON THE EXECUTION MODEL: the cadence limit, the F-V15 duplicate-enrollment check, the activity dedupe and the ten-slot partner cap are read-decide-write sequences. Synchronous code could not be interrupted between the read and the write; the R-V11 conversion put an await there, so two concurrent requests both pass the check and both write — a limit of 10 admits 11, a retried webhook logs twice. The logic is unchanged and correct; the guarantee underneath it was removed. 339 passing tests could not detect it because each test awaits its calls in turn.</t>
  </si>
  <si>
    <t xml:space="preserve">FIXED — per-(org,resource) serial queue in src/locks.ts wrapping each guard; 11 regressions firing calls concurrently. Scope limit logged as R-V15: one process only, so ST-092 blue/green needs database-enforced constraints instead.</t>
  </si>
  <si>
    <t xml:space="preserve">ST-021..030, ST-011..020, ST-100</t>
  </si>
  <si>
    <t xml:space="preserve">New class — introduced by the R-V11 conversion, not present before it</t>
  </si>
  <si>
    <t xml:space="preserve">Blocker</t>
  </si>
  <si>
    <t xml:space="preserve">src/softphoneAdapter.ts:75-80, widget/softphone.html:43-58, src/app.ts:97-109</t>
  </si>
  <si>
    <t xml:space="preserve">SOFTPHONE CANNOT AUTHENTICATE TO ITS OWN API. who() requires Authorization: Bearer &lt;session&gt; on every org-scoped route (the F-V21 fix), but SoftphoneAdapter.post() sends only Content-Type and a body carrying orgId/userId, and the widget constructs the adapter with no session field at all. In a real org every /dial and /log returns 401. Invisible to the suite because the adapter and the server are tested separately, each against a double of the other.</t>
  </si>
  <si>
    <t xml:space="preserve">FIXED v0.25.0 — /softphone/bootstrap trades the HttpOnly install cookie for a bearer; the adapter sends Authorization on every protected call and no identity in the body. Pinned by test/softphoneE2e.test.ts (real adapter → real createApp), including 401 without a bearer, 403 on a mismatched claim, and cookie-alone rejected.</t>
  </si>
  <si>
    <t xml:space="preserve">ST-001..010,ST-054,R-V5</t>
  </si>
  <si>
    <t xml:space="preserve">VER-V01/V02 class (in-org surface silently broken after clean internal reviews)</t>
  </si>
  <si>
    <t xml:space="preserve">VB-CR-002</t>
  </si>
  <si>
    <t xml:space="preserve">src/app.ts:120-130, src/sfAuth.ts:42-51</t>
  </si>
  <si>
    <t xml:space="preserve">OAUTH CALLBACK IS THE WRONG HTTP SHAPE. beginInstall() sets redirect_uri to /oauth/callback, but only app.post('/oauth/callback') is registered and it reads code/state from req.body. An authorization-code redirect returns the browser with code/state in the QUERY STRING, so the production install lands on an unhandled GET. Every test POSTs the callback, so the suite agrees with itself and not with a browser.</t>
  </si>
  <si>
    <t xml:space="preserve">FIXED v0.25.0 — GET /oauth/callback reads req.query, completes the install once, rejects replayed and unknown state, and 302s to the welcome page with the session as an HttpOnly cookie. POST kept for scripted installs only.</t>
  </si>
  <si>
    <t xml:space="preserve">ST-051,ST-056,LC-3</t>
  </si>
  <si>
    <t xml:space="preserve">VER-V06 class (install path unrunnable in a real org)</t>
  </si>
  <si>
    <t xml:space="preserve">VB-CR-003</t>
  </si>
  <si>
    <t xml:space="preserve">src/app.ts:122-129, src/sfGateway.ts:65-79</t>
  </si>
  <si>
    <t xml:space="preserve">INSTALLER IDENTITY IS STILL CALLER-DECLARED, so the F-V21 closure is narrower than we claimed. The gateway returns orgId + tokens; the callback then takes `String(req.body.userId ?? 'installer')`, persists that user as OWNER and signs it. The HMAC faithfully protects an identity nobody verified — an attacker completing an install can name themselves owner.</t>
  </si>
  <si>
    <t xml:space="preserve">FIXED v0.25.0 — exchangeCode returns the identity from the Salesforce identity URL and verifyIdentity() confirms it against the identity endpoint with the new token (timeout, non-200 and mismatch all fail closed). req.body.userId is gone; an attacker-chosen id is ignored and its session gets 403 NO_ROLE.</t>
  </si>
  <si>
    <t xml:space="preserve">ST-051,ST-054,LC-3</t>
  </si>
  <si>
    <t xml:space="preserve">MeetSync M-F11 / TeleField x-user-id header (exact class, one hop further out)</t>
  </si>
  <si>
    <t xml:space="preserve">VB-CR-004</t>
  </si>
  <si>
    <t xml:space="preserve">src/app.ts:33-37, src/repository.ts, docs/runtime-and-schema.md:29-35</t>
  </si>
  <si>
    <t xml:space="preserve">POSTGRES IS IMPLEMENTED BUT IS NOT A RUNTIME. createApp() unconditionally constructs InMemoryRepository; no composition root anywhere constructs PgRepository from DATABASE_URL. Accounts, roles, tokens, calls, activities, billing, audit and retention state all vanish on restart, and multi-instance/blue-green cannot be correct. R-V11 cannot be called code-complete on this basis — O6 alone will not close it.</t>
  </si>
  <si>
    <t xml:space="preserve">FIXED IN CODE v0.25.0 — src/repositoryFactory.ts: DATABASE_URL → pg Pool → PgRepository; createApp() takes the repository; production boot refuses in-memory storage twice over; the boot line states the choice. LIVE HALF OPEN: O6 conformance against a provisioned Postgres closes R-V11/R-V13.</t>
  </si>
  <si>
    <t xml:space="preserve">R-V11,R-V13,ST-092,O6</t>
  </si>
  <si>
    <t xml:space="preserve">MeetSync OBS-M3 (InMemoryStore process-local under every cap and purge)</t>
  </si>
  <si>
    <t xml:space="preserve">VB-CR-005</t>
  </si>
  <si>
    <t xml:space="preserve">src/dialer.ts:23-35, src/callLogger.ts:21-45, src/sfClient.ts, src/app.ts:50-55</t>
  </si>
  <si>
    <t xml:space="preserve">THE PRODUCT PROMISE IS NOT WIRED TO ANYTHING. Dialer.dial() validates a number and writes a CallRecord — it does not place a call. CallLogger.ingest() writes an Activity to our own repository — it does not create a Salesforce Task. SfClient is a generic retry wrapper used for neither. No telephony adapter exists. Click-to-dial with automatic CRM logging is, today, a state machine with a UI.</t>
  </si>
  <si>
    <t xml:space="preserve">HALF CLOSED + PRETENCE REMOVED (v0.26.0 and v0.27.0). CRM half BUILT: Contact/Lead matching and a Task upserted on an external id (platform-side idempotency), honest per-write status and a durable outbox — verified against doubles, live proof is operator step O7 (R-V20). TELEPHONY half STILL BLOCKED on D-V5, but no longer silent: src/telephony.ts defines the adapter contract, and with no adapter every call is marked simulated:true with no provider id and every surface says so, including the softphone panel. RefusingTelephony exists for deployments that prefer failure to simulation. NOT built before the decision: the inbound provider webhook route (provider-specific by nature). The finding does not close and the review decision does not lift until an adapter ships and O7/O8 pass.</t>
  </si>
  <si>
    <t xml:space="preserve">ST-001..020,ST-041..050,D-V4,D-V5</t>
  </si>
  <si>
    <t xml:space="preserve">New — no sibling reached this boundary (portfolio-first finding)</t>
  </si>
  <si>
    <t xml:space="preserve">VB-CR-006</t>
  </si>
  <si>
    <t xml:space="preserve">package.json, scripts/migrate.ts:20-23</t>
  </si>
  <si>
    <t xml:space="preserve">MIGRATION COMMAND IS NOT INSTALL-COMPLETE. migrate.ts dynamically imports pg, and pg appears in neither dependencies nor the lockfile. A clean npm ci → npm run migrate fails at the import on the day it matters, which is the day someone provisions the database.</t>
  </si>
  <si>
    <t xml:space="preserve">FIXED v0.25.0 — pg declared as a production dependency, scripts/ type-checked in CI, and a migration-smoke job applies every migration to Postgres 16 then re-runs it to prove idempotence.</t>
  </si>
  <si>
    <t xml:space="preserve">GAP-V4,ST-090,O6</t>
  </si>
  <si>
    <t xml:space="preserve">TeleField missing npm start (declared step with nothing behind it)</t>
  </si>
  <si>
    <t xml:space="preserve">src/app.ts:113-115,171-180, src/screenData.ts:38-43,74-89</t>
  </si>
  <si>
    <t xml:space="preserve">INTRA-ORG AUTHORISATION IS ABSENT. /ui/:orgId, /ui/:orgId/:screenId and /support/chat/queue call who() and then assert no role or action. buildScreenData assembles subscription status, seats, INVOICES, activation funnel, feature heatmap and the org-wide support queue. F-V23 closed cross-ORG access; least privilege WITHIN an org was never closed — any member sees the owner's billing.</t>
  </si>
  <si>
    <t xml:space="preserve">FIXED v0.25.0 — billing.view / analytics.view / support.queue.view in the matrix, resolved before assembly so ungranted data is never read; member gets 403 on the billing screen and the org queue. Permission-set drift test forced the package artefacts to be regenerated with it.</t>
  </si>
  <si>
    <t xml:space="preserve">ST-005/015/025/035/045,ST-057..063,ST-081</t>
  </si>
  <si>
    <t xml:space="preserve">Extends F-V23 (cross-org) inward; MeetSync M-F12 class</t>
  </si>
  <si>
    <t xml:space="preserve">VB-CR-008</t>
  </si>
  <si>
    <t xml:space="preserve">src/callLogger.ts, docs/data-flow-retention.md:2-4, helpCenter HC-05</t>
  </si>
  <si>
    <t xml:space="preserve">WHATSAPP IS A MODEL, NOT AN INTEGRATION. The code accepts a caller-supplied event with channel='whatsapp' and stores it. There is no provider client, no webhook signature verification, no number onboarding, no outbound send and no credential lifecycle — while help, docs and listing copy describe linking a WhatsApp Business number. The product name is VoiceBridge CTI "omnichannel"; half the omni is copy.</t>
  </si>
  <si>
    <t xml:space="preserve">OPEN — RM-05, blocked on D-V6. Either port the EngageOS Meta Cloud API pattern or withdraw the claim from help/docs/listing. Publishing it unbuilt is the one option that is not available.</t>
  </si>
  <si>
    <t xml:space="preserve">ST-011..020,ST-080,ST-093/094,D-V6</t>
  </si>
  <si>
    <t xml:space="preserve">EngageOS F-009/F-010 (published capability with no send path)</t>
  </si>
  <si>
    <t xml:space="preserve">VB-CR-009</t>
  </si>
  <si>
    <t xml:space="preserve">security/evidence/RUN_STAMP, security/evidence/test-run.log, REVIEW_PACK.md</t>
  </si>
  <si>
    <t xml:space="preserve">RELEASE EVIDENCE IS STALE AND SELF-CONTRADICTORY. RUN_STAMP reads 2026-09-11T07:52:09Z; test-run.log reports 24 suites / 101 tests and lists the since-deleted store.ts; REVIEW_PACK tells a reviewer to expect 30 suites; the package runs 44 suites / 353 tests. A reviewer could accept two-day-old proof as current release evidence — this one nearly had to.</t>
  </si>
  <si>
    <t xml:space="preserve">FIXED v0.25.0 — src/releaseIntegrity.ts + scripts/evidence-manifest.ts bind evidence to version, package hash and source mtime and refuse a release on drift; the reviewer's own 11-Sep timestamp was fed back through the gate and refused. Evidence regenerated: 46 suites / 402 tests, hash 1c9171da0f50.</t>
  </si>
  <si>
    <t xml:space="preserve">ST-068,ST-097,LC-3</t>
  </si>
  <si>
    <t xml:space="preserve">New — portfolio-wide exposure (every sibling ships an evidence folder)</t>
  </si>
  <si>
    <t xml:space="preserve">VB-CR-010</t>
  </si>
  <si>
    <t xml:space="preserve">jest.config.js:3-10</t>
  </si>
  <si>
    <t xml:space="preserve">THE "100% ON ALL CODE" CLAIM IS NARROWER THAN STATED. collectCoverageFrom is src/**/*.ts, so scripts/, the widget bootstrap JS, the sfpackage static-resource bundle, the SQL migrations and all CI/deploy logic are outside the gate — and four of the five blockers live precisely there. The number is true and the sentence around it is not.</t>
  </si>
  <si>
    <t xml:space="preserve">FIXED v0.25.0 — docs/coverage-scope.md states what the number measures (src/**/*.ts) and names the gate for every other artefact class: contract test for the widget bootstrap, migration smoke for SQL, drift tests for the package, type-check for scripts/, CI itself for the workflows. R-V18 carries the portfolio-wide version of the same sentence.</t>
  </si>
  <si>
    <t xml:space="preserve">D13,ST-085/086,R-V18</t>
  </si>
  <si>
    <t xml:space="preserve">L-V1/F-V14 portfolio lesson taken one level up (coverage scope, not coverage depth)</t>
  </si>
  <si>
    <t xml:space="preserve">VB-CR-011</t>
  </si>
  <si>
    <t xml:space="preserve">src/softphoneAdapter.ts:102-134</t>
  </si>
  <si>
    <t xml:space="preserve">THE LOCAL-RECOVERY PROMISE IS NOT DURABLE. The F-V11 fix put failed logs in state.pending — in memory. The UI says "Saved locally (n waiting) — will sync when the connection recovers". A tab refresh, a softphone reload or a browser crash loses the note the rep was promised was safe.</t>
  </si>
  <si>
    <t xml:space="preserve">FIXED v0.25.0 — the pending queue persists to browser storage scoped by org+user, survives a panel reload, flushes once on recovery and clears on logout; a corrupt entry is dropped, not thrown.</t>
  </si>
  <si>
    <t xml:space="preserve">ST-014,ST-091</t>
  </si>
  <si>
    <t xml:space="preserve">F-V11 reopened one layer down (the fix was correct in scope and short of the promise)</t>
  </si>
  <si>
    <t xml:space="preserve">VB-CR-012</t>
  </si>
  <si>
    <t xml:space="preserve">src/config.ts:46-56, src/trustPage.ts</t>
  </si>
  <si>
    <t xml:space="preserve">RESIDENCY CAN BE MISSTATED BY DEFAULT. loadConfig defaults HYPERFORCE_REGION to 'ap-south' when unset, and /health and the trust page publish that value as a residency statement. A forgotten deployment variable produces a confident, false compliance claim — the kind of sentence a security reviewer reads closely.</t>
  </si>
  <si>
    <t xml:space="preserve">FIXED v0.25.0 — production boot requires HYPERFORCE_REGION and APP_HOST_REGION explicitly, the two regions are reported separately, and an unconfigured deployment publishes "Residency is UNVERIFIED" instead of a defaulted claim.</t>
  </si>
  <si>
    <t xml:space="preserve">LC-6,ST-096</t>
  </si>
  <si>
    <t xml:space="preserve">Portfolio class: a published claim generated from an unvalidated default</t>
  </si>
  <si>
    <t xml:space="preserve">security/evidence/npm-audit.json</t>
  </si>
  <si>
    <t xml:space="preserve">THE SUPPLIED AUDIT CARRIES TWO MODERATE ADVISORIES WITH FIXES AVAILABLE (express via qs, and qs directly). Not necessarily exploitable here, but a security-review package should not knowingly ship fixable findings without a disposition.</t>
  </si>
  <si>
    <t xml:space="preserve">MITIGATED, NOT FIXED, v0.25.0 — npm audit fix cannot clear it: Express 4.22.2 is the last 4.x and still depends on the affected qs range, so the only fix is an Express 5 migration (your call). The reachable path is removed instead: simple query parser (no urlencoded bodies are parsed), pinned by a regression, with a dated acceptance expiring 13 Dec 2026 in docs/security-advisories.md. CI fails on any production advisory at high or above.</t>
  </si>
  <si>
    <t xml:space="preserve">LC-3,ST-068</t>
  </si>
  <si>
    <t xml:space="preserve">VB-CR-014</t>
  </si>
  <si>
    <t xml:space="preserve">Product workbook Financial_Model</t>
  </si>
  <si>
    <t xml:space="preserve">THE MODEL DOES NOT REACH BREAKEVEN IN 18 MONTHS. $40,000 month-1 team cost growing 3%/mo, 4 qualified pilots/mo growing 10%, 30% pilot-to-paid, $600 ARPU, 1.2% monthly churn — net cash stays negative through M18 and cumulative cash reaches roughly -$750,126, against a listing lead time the risk register itself puts at 5-9 months.</t>
  </si>
  <si>
    <t xml:space="preserve">OPEN — RM-09, blocked on D-V7. No change to the model in this release.</t>
  </si>
  <si>
    <t xml:space="preserve">R-V10,D15,D-V7</t>
  </si>
  <si>
    <t xml:space="preserve">TestPulse D18 class (a commercial assumption blocking a go-to-market step)</t>
  </si>
  <si>
    <t xml:space="preserve">scripts/security-evidence.sh</t>
  </si>
  <si>
    <t xml:space="preserve">THE EVIDENCE GATE STOPPED RUNNING SILENTLY. `npm audit --omit=dev --audit-level=high` exits non-zero whenever it finds any advisory at all — the flag controls what is REPORTED, not what is fatal. Under `set -e` the run therefore aborted on our two known moderate findings, after RUN_STAMP had been written and before the test run, the coverage copy or the manifest. It leaves the previous evidence pack in place with a fresh timestamp beside it: the exact stale-evidence shape VB-CR-009 was raised against, reintroduced by the fix for VB-CR-009.</t>
  </si>
  <si>
    <t xml:space="preserve">FIXED v0.25.0 (20:33) — the audit report is parsed and only high + critical block the release; the moderate count prints on every run. Found by running the script a second time rather than by reading it.</t>
  </si>
  <si>
    <t xml:space="preserve">ST-068,VB-CR-009,VB-CR-013</t>
  </si>
  <si>
    <t xml:space="preserve">Portfolio class: a gate that has only ever been read is not a gate</t>
  </si>
  <si>
    <t xml:space="preserve">F-V30</t>
  </si>
  <si>
    <t xml:space="preserve">src/releaseIntegrity.ts</t>
  </si>
  <si>
    <t xml:space="preserve">THE STALENESS CHECK WAS STRICTER THAN ITS OWN INPUTS. RUN_STAMP is written with whole-second resolution (`date -u +%Y-%m-%dT%H:%M:%SZ`) while source mtimes carry milliseconds, so an evidence run starting in the same second as the last source write failed with "evidence predates source" — the same instant seen through two clocks. A gate that fires on a rounding artefact trains its owner to bypass it, which is how gates die.</t>
  </si>
  <si>
    <t xml:space="preserve">FIXED v0.25.0 (20:33) — STAMP_RESOLUTION_MS = 1000 grace, with a regression pinning both sides (694ms tolerated, 1.5s refused). The reviewer's 11-Sep-vs-13-Sep case still fails, which is the behaviour that matters.</t>
  </si>
  <si>
    <t xml:space="preserve">ST-068,VB-CR-009</t>
  </si>
  <si>
    <t xml:space="preserve">F-P01</t>
  </si>
  <si>
    <t xml:space="preserve">src/app.ts, sfpackage callCenter, widget/softphone.html</t>
  </si>
  <si>
    <t xml:space="preserve">THE SOFTPHONE PAGE WAS NEVER SERVED. adapterUrl pointed at /widget/softphone.html; no express.static, sendFile or /widget route existed; the page loaded the adapter by a static-resource filename no server served; nothing set window.VB_CONFIG so customSettings.serviceBase was dead. In a live org: 404, no opencti bootstrap, dead panel, no error.</t>
  </si>
  <si>
    <t xml:space="preserve">FIXED v0.28.0 — src/widget.ts serves an allowlist with correct types and injects VB_CONFIG; customSettings deleted; adapter served from the host (widget/dist, npm run build) and retired from the package; test/widget.test.ts boots the app and resolves the CallCenter path against a registered route; 503 WIDGET_NOT_BUILT if the bundle is missing. Live check = O7b.</t>
  </si>
  <si>
    <t xml:space="preserve">ST-001..010,DR-19,VB-E-010/011</t>
  </si>
  <si>
    <t xml:space="preserve">VER-V01/V02/F-V10 class (artefact gap; DR-09 checked existence, not service)</t>
  </si>
  <si>
    <t xml:space="preserve">F-P02</t>
  </si>
  <si>
    <t xml:space="preserve">src/trustPage.ts, db/migrations/001, src/repository.ts</t>
  </si>
  <si>
    <t xml:space="preserve">THE TRUST PAGE CLAIMED ENCRYPTION THE CODE DID NOT HAVE. "OAuth tokens are stored encrypted" over plaintext TEXT columns; grep for encrypt/cipher/kms across src+db hit only the sentence. A Salesforce refresh token is a durable credential to the whole org; answering "encrypted" on the security questionnaire from this page would have been a partner-integrity problem.</t>
  </si>
  <si>
    <t xml:space="preserve">FIXED v0.28.0 — src/tokenCipher.ts AES-256-GCM envelopes, key ring (VB_TOKEN_KEYS, required in production), per-org+field AAD, key_version column, rotation sweep script; conformance test on both stores asserts persisted bytes exclude plaintext. Sentence now reads "encrypted at rest (AES-256-GCM, versioned keys)" and is claim CL-T02. KMS unwrap = live half.</t>
  </si>
  <si>
    <t xml:space="preserve">ST-066,ST-096,LC-3,CL-T02</t>
  </si>
  <si>
    <t xml:space="preserve">VB-CR-012 / VB-CR-008 class (published claim, nothing behind it) — the highest-consequence instance</t>
  </si>
  <si>
    <t xml:space="preserve">F-P03</t>
  </si>
  <si>
    <t xml:space="preserve">src/crmWriteBack.ts, src/app.ts, src/repository.ts</t>
  </si>
  <si>
    <t xml:space="preserve">(a) THE OUTBOX NEVER DRAINED — retry() had one caller, POST /crm/retry; no interval, worker or consumer. (b) ATTEMPT COUNTERS VANISHED ON POSTGRES — enqueue()/retry() mutated rows returned by list(); InMemory returned the live array so tests passed; PgRepository returned fresh objects so attempts stayed at 1 forever.</t>
  </si>
  <si>
    <t xml:space="preserve">FIXED v0.28.0 — (b) Repository.updateWhere on both stores + list() returns DETACHED COPIES so the difference cannot hide; conformance test "mutation via a returned object does not persist" on both; the change also exposed F-V31/F-V32. (a) src/outboxWorker.ts: lease-elected worker, 30s ticks, exponential backoff with full jitter, dead-letter after 8 attempts, depth/oldest-age/dead-letter metrics + VoiceBridgeOutboxStuck rule; ten-minute outage drains unattended on recovery (injected clock).</t>
  </si>
  <si>
    <t xml:space="preserve">ST-011..020,ST-091,VB-E-051/052</t>
  </si>
  <si>
    <t xml:space="preserve">R-V11/R-V15 class (guard that survived only on the execution model)</t>
  </si>
  <si>
    <t xml:space="preserve">F-P04</t>
  </si>
  <si>
    <t xml:space="preserve">src/app.ts (express.json was the only middleware), widget/softphone.html</t>
  </si>
  <si>
    <t xml:space="preserve">NO WEB HARDENING ON A SERVICE SALESFORCE IFRAMES: no rate limit anywhere incl. public /oauth/start (F-V24 bounded memory, not request cost), no CSP/frame-ancestors/HSTS/nosniff/Referrer-Policy, no CORS decision, no body size limit, no request ids, no inbound timeout. AppExchange security review tests clickjacking and CSP directly.</t>
  </si>
  <si>
    <t xml:space="preserve">FIXED v0.28.0 — src/hardening.ts: CSP with Salesforce-only frame-ancestors, HSTS (https only), nosniff, Referrer-Policy, Permissions-Policy, COOP, no-store; 100kB JSON cap; inbound timeout → 503; request ids (hostile values replaced) in every log line; terminal JSON 404. Rate limits on a shared store, per ip (oauth/start, public) and per ORG (authenticated), 429 + Retry-After + RateLimit-*, proven across two instances. Headers pinned per response class.</t>
  </si>
  <si>
    <t xml:space="preserve">ST-068,LC-3,VB-E-013/014</t>
  </si>
  <si>
    <t xml:space="preserve">F-P05</t>
  </si>
  <si>
    <t xml:space="preserve">src/releaseIntegrity.ts, scripts/evidence-manifest.ts, .github/workflows/ci.yml</t>
  </si>
  <si>
    <t xml:space="preserve">THE EVIDENCE GATE WAS ONE-DIRECTIONAL AND TEST FILES SAT OUTSIDE IT. Only "manifest files ⊆ package" was checked, so a source file added after the run shipped inside a 100% report; test suites were not in the manifest at all; CI re-implemented the audit rule with a different mechanism from the evidence script. (Reviewer's "49 vs 48" instance was a helper file — corrected, L-V27; the class stands.)</t>
  </si>
  <si>
    <t xml:space="preserve">FIXED v0.28.0 — symmetric comparison (source files the evidence never saw fail), testFiles[] parsed from the full run log and compared to disk both ways, a pre-F-P05 manifest is told to regenerate; CI and deploy.yml call npm run evidence:check; the security job runs the evidence script. Running the gate from the zip then found F-V34.</t>
  </si>
  <si>
    <t xml:space="preserve">ST-068,ST-085/086,VB-E-015</t>
  </si>
  <si>
    <t xml:space="preserve">VB-CR-009 class reopened one layer out</t>
  </si>
  <si>
    <t xml:space="preserve">F-P06</t>
  </si>
  <si>
    <t xml:space="preserve">Product workbook Financial_Model, ReadMe_Scope, src/billing.ts</t>
  </si>
  <si>
    <t xml:space="preserve">COMMERCIAL MODEL INCONSISTENCIES BEYOND VB-CR-014: $600 ARPU vs 50-500 seat ICP at $29/seat (2.5-5x apart); pricing floor set by D-V5, which is undecided, yet SEAT_PRICE is published on the pricing page and in the model; no per-minute cost line for a telephony product; PLAN_SEAT_LIMIT.scale = 500 = ICP ceiling, no enterprise/annual tier despite Launch_Checklist #9.</t>
  </si>
  <si>
    <t xml:space="preserve">OPEN — R-V22 raised; VB-E-005 / D-V7 Financial_Model_v2 is the fix (base/downside/upside, per-minute cost line, funding requirement, cash-minimum month, solo-build variant, 5-9 month listing lag, ARPU reconciled to ICP, enterprise tier). No code change: pricing artefacts are frozen until D-V3 + D-V5 close (Stop_Doing #3). Product workbook v030 owed.</t>
  </si>
  <si>
    <t xml:space="preserve">R-V10,R-V22,D-V7,D15,LC-9</t>
  </si>
  <si>
    <t xml:space="preserve">VB-CR-014 extended</t>
  </si>
  <si>
    <t xml:space="preserve">F-V31</t>
  </si>
  <si>
    <t xml:space="preserve">src/dialer.ts, src/cadence.ts, src/supportChat.ts, src/designPartners.ts</t>
  </si>
  <si>
    <t xml:space="preserve">FOUND BY THE F-P03 FIX: every state transition in four modules mutated the object list() returned — persisted on the in-memory store, DISCARDED on Postgres. In production no call ever ended (so no activity had a duration, no scorecard counted a connect), no enrollment ever advanced, no support ticket was ever marked responded, no design partner was ever scheduled. 12 tests failed the moment list() returned copies; every one was this.</t>
  </si>
  <si>
    <t xml:space="preserve">FIXED v0.28.0 — enrollments gained ids; every site routed through Repository.updateWhere and returns the merged record; conformance test on both stores pins that mutation via a returned object does not persist.</t>
  </si>
  <si>
    <t xml:space="preserve">ST-001..030,ST-081,ST-100,R-V11</t>
  </si>
  <si>
    <t xml:space="preserve">F-P03(b) class, generalised — L-V23</t>
  </si>
  <si>
    <t xml:space="preserve">F-V32</t>
  </si>
  <si>
    <t xml:space="preserve">src/coaching.ts</t>
  </si>
  <si>
    <t xml:space="preserve">FOUND BY THE SAME CHANGE: coaching.snapshot() pushed `this.scorecard(...)` into the store without awaiting — the R-V11 conversion made scorecard() async and this line was never re-read. The in-memory test read the same Promise object back and passed; on Postgres JSON.stringify(promise) is "{}", so every stored scorecard was empty. structuredClone refused to copy a Promise, which is how it surfaced.</t>
  </si>
  <si>
    <t xml:space="preserve">FIXED v0.28.0 — awaited; pinned by the existing snapshot test now that list() returns copies.</t>
  </si>
  <si>
    <t xml:space="preserve">ST-031..040</t>
  </si>
  <si>
    <t xml:space="preserve">F-V27 class (floating promise)</t>
  </si>
  <si>
    <t xml:space="preserve">F-V33</t>
  </si>
  <si>
    <t xml:space="preserve">A GATE THAT COULD NEVER PASS: the scripts/ type-check step added in v0.25.0 ran `tsc --noEmit --esModuleInterop --strict --skipLibCheck scripts/*.ts` with no --target, so any script importing src/repository.ts (all of them) fails on Map iteration (TS2802). Written, never run, and reported as a gate in docs/coverage-scope.md for three releases.</t>
  </si>
  <si>
    <t xml:space="preserve">FIXED v0.28.0 — tsconfig.scripts.json + npm run typecheck:scripts, run locally and from the zip; green.</t>
  </si>
  <si>
    <t xml:space="preserve">ST-085/086,VB-CR-010</t>
  </si>
  <si>
    <t xml:space="preserve">L-V19 class (a gate that has only ever been read)</t>
  </si>
  <si>
    <t xml:space="preserve">F-V34</t>
  </si>
  <si>
    <t xml:space="preserve">scripts/evidence-manifest.ts</t>
  </si>
  <si>
    <t xml:space="preserve">EVIDENCE GATE FALSE POSITIVE ON BUILD OUTPUT: widget/dist/ (built by npm run build) was walked as source, so running the gate after a build in a clean extraction read the bundle's fresh mtime as "evidence predates source". Found by executing the gate from the zip (L-V25) — the first packaging attempt failed its own verification.</t>
  </si>
  <si>
    <t xml:space="preserve">FIXED v0.28.0 — build output directories excluded from the manifest walk; test asserts the manifest lists nothing under widget/dist.</t>
  </si>
  <si>
    <t xml:space="preserve">ST-068,F-P05</t>
  </si>
  <si>
    <t xml:space="preserve">L-V20 class (a gate that fires on an artefact of its own tooling)</t>
  </si>
  <si>
    <t xml:space="preserve">REMEDIATION PLAN — external review V001 closure package (sequenced to reviewer §8)</t>
  </si>
  <si>
    <t xml:space="preserve">Codeable now = no input needed from Senthil. Blocked = named decision first. RM-01..09 = external review V001 (ChatGPT). RM-10..14 = Perplexity review V001 (20 Sep). Status column dated per row.</t>
  </si>
  <si>
    <t xml:space="preserve">Findings closed</t>
  </si>
  <si>
    <t xml:space="preserve">Work package</t>
  </si>
  <si>
    <t xml:space="preserve">Codeable now?</t>
  </si>
  <si>
    <t xml:space="preserve">Blocked by</t>
  </si>
  <si>
    <t xml:space="preserve">Effort</t>
  </si>
  <si>
    <t xml:space="preserve">Sequence</t>
  </si>
  <si>
    <t xml:space="preserve">Notes</t>
  </si>
  <si>
    <t xml:space="preserve">Status (latest)</t>
  </si>
  <si>
    <t xml:space="preserve">RM-01</t>
  </si>
  <si>
    <t xml:space="preserve">VB-CR-002, VB-CR-003</t>
  </si>
  <si>
    <t xml:space="preserve">GET /oauth/callback reading req.query + installer identity bound to a Salesforce-verified source (id_token validation or identity/userinfo with the exchanged token); POST retained as an internal/test path only; redirect to a welcome/bootstrap surface.</t>
  </si>
  <si>
    <t xml:space="preserve">Yes</t>
  </si>
  <si>
    <t xml:space="preserve">M</t>
  </si>
  <si>
    <t xml:space="preserve">Highest leverage: without it no install completes in a browser, and the owner role is assignable by the caller.</t>
  </si>
  <si>
    <t xml:space="preserve">CLOSED v0.25.0 — GET callback + Salesforce-verified installer identity, pinned</t>
  </si>
  <si>
    <t xml:space="preserve">RM-02</t>
  </si>
  <si>
    <t xml:space="preserve">Authenticated softphone bootstrap: session handed to the in-org surface at load, bearer sent on every protected request, orgId/userId dropped as identity inputs, plus a real end-to-end test driving the actual adapter against createApp().</t>
  </si>
  <si>
    <t xml:space="preserve">The e2e is the point — it is the first test in this codebase that would fail if the two sides disagreed.</t>
  </si>
  <si>
    <t xml:space="preserve">CLOSED v0.25.0 — bootstrap handoff + the softphone→API contract test that never existed</t>
  </si>
  <si>
    <t xml:space="preserve">RM-03</t>
  </si>
  <si>
    <t xml:space="preserve">VB-CR-004, VB-CR-006</t>
  </si>
  <si>
    <t xml:space="preserve">Production repository factory (DATABASE_URL → pg Pool → PgRepository), pg declared as a production dependency, scripts/ type-checked, fail-fast boot when durable storage is missing in production, migration smoke against ephemeral Postgres in CI.</t>
  </si>
  <si>
    <t xml:space="preserve">Yes (live verification = O6)</t>
  </si>
  <si>
    <t xml:space="preserve">Postgres instance for O6</t>
  </si>
  <si>
    <t xml:space="preserve">Closes the code half of R-V11 and R-V13 properly; restart + two-instance tests are the acceptance criteria.</t>
  </si>
  <si>
    <t xml:space="preserve">CLOSED in code v0.25.0 — factory, pg declared, fail-fast boot, CI migration smoke. Live half = O6 (yours)</t>
  </si>
  <si>
    <t xml:space="preserve">RM-04</t>
  </si>
  <si>
    <t xml:space="preserve">Telephony provider adapter (real dial, status webhooks with signature verification, idempotency) + Salesforce REST/Composite Task/Activity write-back with record matching and token refresh.</t>
  </si>
  <si>
    <t xml:space="preserve">No</t>
  </si>
  <si>
    <t xml:space="preserve">D-V5 provider choice + credentials</t>
  </si>
  <si>
    <t xml:space="preserve">L</t>
  </si>
  <si>
    <t xml:space="preserve">4</t>
  </si>
  <si>
    <t xml:space="preserve">The largest package by far and the one that turns the prototype into the product. Story reclassification (D-V4) is the honest interim.</t>
  </si>
  <si>
    <t xml:space="preserve">HALF DONE v0.26.0/v0.27.0 — Salesforce write-back built (live proof = O7); telephony SEAM built and simulation now labelled on every surface. The ADAPTER itself and the inbound webhook route remain, blocked on D-V5. Estimated one file plus one route once chosen.</t>
  </si>
  <si>
    <t xml:space="preserve">RM-05</t>
  </si>
  <si>
    <t xml:space="preserve">WhatsApp: either port the EngageOS Meta Cloud API pattern (signature verify, opt-in, 24h window, templates, idempotent delivery) or withdraw the claim from help/docs/listing until it exists.</t>
  </si>
  <si>
    <t xml:space="preserve">D-V6 scope call</t>
  </si>
  <si>
    <t xml:space="preserve">L or S</t>
  </si>
  <si>
    <t xml:space="preserve">Withdrawing is a day of copy work; building is comparable to RM-04. Either is acceptable — publishing the claim unbuilt is not.</t>
  </si>
  <si>
    <t xml:space="preserve">NOT STARTED — blocked on D-V6 (build the Cloud API path or withdraw the claim)</t>
  </si>
  <si>
    <t xml:space="preserve">RM-06</t>
  </si>
  <si>
    <t xml:space="preserve">Named view permissions (billing.view, analytics.view, support.queue.view) enforced before data assembly in buildScreenData and the support queue; owner/admin/member matrix tests including negatives.</t>
  </si>
  <si>
    <t xml:space="preserve">S</t>
  </si>
  <si>
    <t xml:space="preserve">Small, self-contained, and a certain security-review finding if left.</t>
  </si>
  <si>
    <t xml:space="preserve">CLOSED v0.25.0 — view permissions enforced before assembly; owner/admin/member matrix tested</t>
  </si>
  <si>
    <t xml:space="preserve">RM-07</t>
  </si>
  <si>
    <t xml:space="preserve">VB-CR-009, VB-CR-010, VB-CR-013</t>
  </si>
  <si>
    <t xml:space="preserve">Release integrity: regenerate all evidence from the packaged commit with hash + timestamp embedded, fail packaging on stale or missing-file evidence, rename the coverage metric wherever it is published, and clear or formally accept the two moderate advisories.</t>
  </si>
  <si>
    <t xml:space="preserve">S/M</t>
  </si>
  <si>
    <t xml:space="preserve">7</t>
  </si>
  <si>
    <t xml:space="preserve">Portfolio-wide: the same evidence pattern and the same coverage sentence ship in every sibling product.</t>
  </si>
  <si>
    <t xml:space="preserve">CLOSED v0.25.0 (20:33) — evidence bound to package hash and re-verified after F-V29/F-V30; VB-CR-013 mitigated + accepted to 13 Dec 2026, Express 5 is your call</t>
  </si>
  <si>
    <t xml:space="preserve">RM-08</t>
  </si>
  <si>
    <t xml:space="preserve">VB-CR-011, VB-CR-012</t>
  </si>
  <si>
    <t xml:space="preserve">Durable pending-log queue (IndexedDB/localStorage, tenant+user scoped, expiry, cleared on logout/uninstall) or an honest UI sentence; residency required explicitly in production with unverified values marked unverified.</t>
  </si>
  <si>
    <t xml:space="preserve">Both are promises the product makes to a rep and to a compliance reader respectively.</t>
  </si>
  <si>
    <t xml:space="preserve">CLOSED v0.25.0 — durable pending queue; residency stated or published as unverified</t>
  </si>
  <si>
    <t xml:space="preserve">RM-09</t>
  </si>
  <si>
    <t xml:space="preserve">Financial model: base/downside/upside scenarios, explicit funding requirement and runway, cash-minimum month, smaller-team variant, sales-cycle lag, AppExchange approval delay, pilot revenue separated from marketplace GA revenue.</t>
  </si>
  <si>
    <t xml:space="preserve">D-V7 cost + funding assumptions</t>
  </si>
  <si>
    <t xml:space="preserve">9</t>
  </si>
  <si>
    <t xml:space="preserve">Feeds D15 directly — a 5-9 month listing lead time against this burn is the sequencing argument.</t>
  </si>
  <si>
    <t xml:space="preserve">NOT STARTED — blocked on D-V7</t>
  </si>
  <si>
    <t xml:space="preserve">RM-10</t>
  </si>
  <si>
    <t xml:space="preserve">F-P01, F-P04, F-P05, VB-E-016, VB-E-017</t>
  </si>
  <si>
    <t xml:space="preserve">S14 "truth and hardening": serve the widget + inject config; security headers, rate limits, body cap, timeout, request ids; symmetric evidence gate; claim-to-test registry; Express 5 / Node 22.</t>
  </si>
  <si>
    <t xml:space="preserve">10</t>
  </si>
  <si>
    <t xml:space="preserve">All of S14 as written by the reviewer; every acceptance is a test.</t>
  </si>
  <si>
    <t xml:space="preserve">CLOSED v0.28.0 (20 Sep 10:45) — S14 complete in code; live half = O7b (panel renders in-org)</t>
  </si>
  <si>
    <t xml:space="preserve">RM-11</t>
  </si>
  <si>
    <t xml:space="preserve">Token encryption at rest with key ring + rotation; trust-page sentence backed.</t>
  </si>
  <si>
    <t xml:space="preserve">Yes (KMS wiring = live)</t>
  </si>
  <si>
    <t xml:space="preserve">11</t>
  </si>
  <si>
    <t xml:space="preserve">Conformance test on both stores.</t>
  </si>
  <si>
    <t xml:space="preserve">CLOSED v0.28.0 — VB_TOKEN_KEYS mandatory in production</t>
  </si>
  <si>
    <t xml:space="preserve">RM-12</t>
  </si>
  <si>
    <t xml:space="preserve">F-P03 (+F-V31, F-V32)</t>
  </si>
  <si>
    <t xml:space="preserve">updateWhere + detached copies; background outbox drain with lease, backoff, dead-letter, metrics; the two production-only defects the change exposed.</t>
  </si>
  <si>
    <t xml:space="preserve">12</t>
  </si>
  <si>
    <t xml:space="preserve">The reviewer's acceptance ("Salesforce black-holed 10 minutes; drains unattended") met with an injected clock; live = O10 game day.</t>
  </si>
  <si>
    <t xml:space="preserve">CLOSED v0.28.0</t>
  </si>
  <si>
    <t xml:space="preserve">RM-13</t>
  </si>
  <si>
    <t xml:space="preserve">VB-E-053..057, VB-E-080..084 (codeable halves)</t>
  </si>
  <si>
    <t xml:space="preserve">Transactional caps, observability, SLO/alerts, real deploy pipeline, DR drill script; RLS + tenant context, hash-chained audit, session lifecycle, contacts + DPA template.</t>
  </si>
  <si>
    <t xml:space="preserve">Yes (execution = live)</t>
  </si>
  <si>
    <t xml:space="preserve">O6/O9/O10; pen test + SOC 2 = vendor</t>
  </si>
  <si>
    <t xml:space="preserve">13</t>
  </si>
  <si>
    <t xml:space="preserve">Everything a solo build can do before a live Postgres/org exists.</t>
  </si>
  <si>
    <t xml:space="preserve">CLOSED in code v0.28.0 — live evidence owed at O6/O9/O10; VB-E-085/086 vendor</t>
  </si>
  <si>
    <t xml:space="preserve">RM-14</t>
  </si>
  <si>
    <t xml:space="preserve">F-P06, R-V21, R-V22</t>
  </si>
  <si>
    <t xml:space="preserve">S13 decision gate: VB-E-001 Open CTI confirmation (D-V9), VB-E-002 Partner Telephony spike, VB-E-003 provider (D-V5), VB-E-004 WhatsApp (D-V6), VB-E-005 Financial_Model_v2 (D-V7), VB-E-006 strategy (D-V8), VB-E-007 reclassification (D-V4), VB-E-008 discovery interviews.</t>
  </si>
  <si>
    <t xml:space="preserve">Six decisions + a dev org + 15 interviews — all Senthil</t>
  </si>
  <si>
    <t xml:space="preserve">14</t>
  </si>
  <si>
    <t xml:space="preserve">The review's S13 exit gate; blocks every sprint from S15 onward. G-07 lifts here.</t>
  </si>
  <si>
    <t xml:space="preserve">NOT STARTED — decision packets written (docs/opencti-retirement-impact.md, salesforce-voice-pt-spike.md, telephony-provider-decision.md addendum); Enhancement_Plan sheet tracks each row</t>
  </si>
  <si>
    <t xml:space="preserve">ENHANCEMENT PLAN S13-S29 — Perplexity review V001 §6, tracked per story (Option A shape; Option B deletes S15-S18 and makes S21-S22 optional)</t>
  </si>
  <si>
    <t xml:space="preserve">Statuses: Done (live evidence) | Code-complete (unproven) — built and tested, no live run | Partial — part built, remainder named | Not started | Blocked (decision or live system named). Owner: Claude = codeable; Senthil = decision/live/vendor. Points: the review gave sprint totals (S14 34, S15 42, S16 34, S17-18 76, S19-20 68, S21-22 72, S23-24 64, S25-26 60, S27 30, S28-29 40), not per-story points; per-story values here are Claude's distribution of those totals and differ by a few points in three sprints — treat them as relative. Rows 5-13 are the S13 decision gate; nothing after S14 should start until they close.</t>
  </si>
  <si>
    <t xml:space="preserve">Acceptance (observable evidence)</t>
  </si>
  <si>
    <t xml:space="preserve">Pts</t>
  </si>
  <si>
    <t xml:space="preserve">Status (20 Sep 10:45)</t>
  </si>
  <si>
    <t xml:space="preserve">Evidence / notes</t>
  </si>
  <si>
    <t xml:space="preserve">VB-E-001</t>
  </si>
  <si>
    <t xml:space="preserve">Confirm the Open CTI position with Salesforce directly (partner support case); record whether AppExchange will accept a net-new Open CTI listing at all.</t>
  </si>
  <si>
    <t xml:space="preserve">docs/opencti-retirement-impact.md with the case number</t>
  </si>
  <si>
    <t xml:space="preserve">Partial</t>
  </si>
  <si>
    <t xml:space="preserve">Fact verified against help.salesforce.com 005306437 (EoL 28 Feb 2028; new Agentforce Service orgs excluded) and the packet written; the partner case is the remaining half. D-V9. BLOCKS EVERYTHING.</t>
  </si>
  <si>
    <t xml:space="preserve">Partner case (Senthil)</t>
  </si>
  <si>
    <t xml:space="preserve">VB-E-002</t>
  </si>
  <si>
    <t xml:space="preserve">Spike Salesforce Voice with Partner Telephony in a dev org: install path, connector contract, Contact Center definition, package contents, licence implication.</t>
  </si>
  <si>
    <t xml:space="preserve">docs/salesforce-voice-pt-spike.md + scratch-org deploy log</t>
  </si>
  <si>
    <t xml:space="preserve">Spike PLAN written (questions, deliverables, sources) — explicitly unverified; execution needs a partner dev org with the add-on.</t>
  </si>
  <si>
    <t xml:space="preserve">Dev org with Partner Telephony (Senthil)</t>
  </si>
  <si>
    <t xml:space="preserve">VB-E-003</t>
  </si>
  <si>
    <t xml:space="preserve">D-V5: name the telephony provider on landed cost per minute for the target geography; re-derive SEAT_PRICE.</t>
  </si>
  <si>
    <t xml:space="preserve">Decision recorded; SEAT_PRICE re-derived</t>
  </si>
  <si>
    <t xml:space="preserve">Not started</t>
  </si>
  <si>
    <t xml:space="preserve">Addendum to docs/telephony-provider-decision.md carries the review's rate points; not needed under option (B).</t>
  </si>
  <si>
    <t xml:space="preserve">VB-E-004</t>
  </si>
  <si>
    <t xml:space="preserve">D-V6: WhatsApp — build it and make it the lead capability (reviewer recommendation).</t>
  </si>
  <si>
    <t xml:space="preserve">Decision recorded; listing copy re-sequenced</t>
  </si>
  <si>
    <t xml:space="preserve">The unbacked claim is already withdrawn (HC-05) and the listing copy gated, so the decision is purely build-or-not.</t>
  </si>
  <si>
    <t xml:space="preserve">VB-E-005</t>
  </si>
  <si>
    <t xml:space="preserve">D-V7 + F-P06: rebuild the financial model — base/downside/upside, per-minute cost line, funding requirement, cash-minimum month, solo-build variant, 5-9 month listing lag, ARPU reconciled to ICP, enterprise/annual tier.</t>
  </si>
  <si>
    <t xml:space="preserve">Financial_Model_v2 sheet</t>
  </si>
  <si>
    <t xml:space="preserve">Needs D-V7 cost/funding assumptions and D-V5 per-minute cost; lands in product workbook v030. R-V22.</t>
  </si>
  <si>
    <t xml:space="preserve">D-V7, D-V5</t>
  </si>
  <si>
    <t xml:space="preserve">VB-E-006</t>
  </si>
  <si>
    <t xml:space="preserve">Strategy ruling: (A) re-platform to Partner Telephony + lead with WhatsApp (recommended) / (B) AI activity-intelligence layer that never owns the dial path / (C) finish on Open CTI for a cash window (not recommended).</t>
  </si>
  <si>
    <t xml:space="preserve">Decision recorded; S14+ scope selected</t>
  </si>
  <si>
    <t xml:space="preserve">D-V8. Packet: docs/opencti-retirement-impact.md. If VB-E-001 says no net-new listing, (C) is void.</t>
  </si>
  <si>
    <t xml:space="preserve">D-V8, VB-E-001</t>
  </si>
  <si>
    <t xml:space="preserve">VB-E-007</t>
  </si>
  <si>
    <t xml:space="preserve">Reclassify ST-001..020 to "Code-complete (unproven)"; regenerate the rollup (96/100 → 76/100). Resolves D-V4 as (a).</t>
  </si>
  <si>
    <t xml:space="preserve">Both workbooks updated</t>
  </si>
  <si>
    <t xml:space="preserve">Blocked</t>
  </si>
  <si>
    <t xml:space="preserve">D-V4 is Senthil's; both reviewers and this release recommend (a). The DoD clause is already recorded in Gate_Checklist; the Traceability readiness column names the finding on every affected row.</t>
  </si>
  <si>
    <t xml:space="preserve">VB-E-008</t>
  </si>
  <si>
    <t xml:space="preserve">Unpark D13 for this product: 15 × 30-minute conversations with Salesforce-using sales leaders, in parallel with S13-S15, gating S16.</t>
  </si>
  <si>
    <t xml:space="preserve">Interview notes committed</t>
  </si>
  <si>
    <t xml:space="preserve">Root cause of the review per the reviewer; the S16 exit is the first honest kill point (3 paid-pilot commitments at the ratified price).</t>
  </si>
  <si>
    <t xml:space="preserve">D13 (portfolio)</t>
  </si>
  <si>
    <t xml:space="preserve">VB-E-010</t>
  </si>
  <si>
    <t xml:space="preserve">Serve widget/ from the running app; assert the CallCenter adapterUrl path resolves to a registered route; adapter from the packaged static resource OR delete it from the package. (F-P01)</t>
  </si>
  <si>
    <t xml:space="preserve">Boot test: GET /widget/softphone.html → 200 with both script tags; metadata-path assertion test</t>
  </si>
  <si>
    <t xml:space="preserve">Code-complete (unproven)</t>
  </si>
  <si>
    <t xml:space="preserve">src/widget.ts; test/widget.test.ts (both assertions); decision: served from host, static resource deleted. Live = O7b.</t>
  </si>
  <si>
    <t xml:space="preserve">O7b (dev org)</t>
  </si>
  <si>
    <t xml:space="preserve">VB-E-011</t>
  </si>
  <si>
    <t xml:space="preserve">Set window.VB_CONFIG from CallCenter customSettings, or delete the dead setting. (F-P01)</t>
  </si>
  <si>
    <t xml:space="preserve">serviceBase non-empty in the org-shaped case</t>
  </si>
  <si>
    <t xml:space="preserve">Injected server-side from BASE_URL; customSettings deleted from the CallCenter XML; test asserts the injected script and that customSettings is absent.</t>
  </si>
  <si>
    <t xml:space="preserve">VB-E-012</t>
  </si>
  <si>
    <t xml:space="preserve">Envelope-encrypt token columns (AES-256-GCM, KMS data key, per-org AAD, key version, rotation path). (F-P02)</t>
  </si>
  <si>
    <t xml:space="preserve">Persisted bytes exclude plaintext; rotation re-reads across versions</t>
  </si>
  <si>
    <t xml:space="preserve">src/tokenCipher.ts, migration 009 key_version, scripts/rotate-token-keys.ts; conformance + rotation tests. KMS unwrap at boot = deploy-time.</t>
  </si>
  <si>
    <t xml:space="preserve">KMS wiring at deploy</t>
  </si>
  <si>
    <t xml:space="preserve">VB-E-013</t>
  </si>
  <si>
    <t xml:space="preserve">Explicit CSP with frame-ancestors, HSTS, X-Content-Type-Options, Referrer-Policy; body size limit; inbound timeout. (F-P04)</t>
  </si>
  <si>
    <t xml:space="preserve">Header assertion test per route class</t>
  </si>
  <si>
    <t xml:space="preserve">src/hardening.ts; test/hardening.test.ts pins every header on json/html/404/401 responses; no helmet (eleven visible lines).</t>
  </si>
  <si>
    <t xml:space="preserve">VB-E-014</t>
  </si>
  <si>
    <t xml:space="preserve">Per-route and per-org rate limiting on a shared store; /oauth/start, /log, /events/ingest explicitly covered. (F-P04)</t>
  </si>
  <si>
    <t xml:space="preserve">429 with Retry-After; limits hold across two app instances</t>
  </si>
  <si>
    <t xml:space="preserve">Repository.hitWindow (atomic upsert in Postgres, migration 009); two-instance test passes; RateLimit-* headers.</t>
  </si>
  <si>
    <t xml:space="preserve">VB-E-015</t>
  </si>
  <si>
    <t xml:space="preserve">Symmetric evidence-manifest comparison; testFiles[] in the manifest; CI calls npm run evidence:check. (F-P05)</t>
  </si>
  <si>
    <t xml:space="preserve">Adding a source file without regenerating evidence fails the release</t>
  </si>
  <si>
    <t xml:space="preserve">Test cases both directions; CI + deploy.yml run evidence:check; gate executed from the zip (F-V34 found and fixed). Evidence is a build artefact — no live half.</t>
  </si>
  <si>
    <t xml:space="preserve">VB-E-016</t>
  </si>
  <si>
    <t xml:space="preserve">Claim-to-test registry: every published sentence maps to a test id; unmapped claims fail the build; fix or withdraw every currently unbacked claim.</t>
  </si>
  <si>
    <t xml:space="preserve">docs/claims-registry.md + gate test</t>
  </si>
  <si>
    <t xml:space="preserve">34 claims; test/claims.test.ts both directions; HC-05 WhatsApp withdrawn; contacts honest; DNC registry named. Listing copy (prose) gated by D-V6 note — R-V25 for extending the gate to launch/*.md.</t>
  </si>
  <si>
    <t xml:space="preserve">VB-E-017</t>
  </si>
  <si>
    <t xml:space="preserve">Express 5 migration to clear the qs advisories ahead of the 13 Dec 2026 acceptance expiry; local toolchain to Node 22 LTS.</t>
  </si>
  <si>
    <t xml:space="preserve">npm audit --omit=dev clean; suite green on Node 22</t>
  </si>
  <si>
    <t xml:space="preserve">express@5.2 + qs&gt;=6.16 override; 0 advisories; @types/node 22; engines &gt;=22; F-V33 scripts type-check fixed alongside.</t>
  </si>
  <si>
    <t xml:space="preserve">VB-E-020</t>
  </si>
  <si>
    <t xml:space="preserve">Implement TelephonyProvider for the D-V5 provider against the existing seam; idempotent on our call id; credentials per org from encrypted storage.</t>
  </si>
  <si>
    <t xml:space="preserve">Sandbox call placed; provider call id recorded; replayed request rings once</t>
  </si>
  <si>
    <t xml:space="preserve">Seam exists (src/telephony.ts); encrypted credential storage exists (F-P02). One file once the provider is named.</t>
  </si>
  <si>
    <t xml:space="preserve">VB-E-021</t>
  </si>
  <si>
    <t xml:space="preserve">Inbound webhook route with signature verification delegated to the adapter, replay window, idempotency on providerCallId.</t>
  </si>
  <si>
    <t xml:space="preserve">Unsigned and replayed webhooks rejected; duplicate event → one state change</t>
  </si>
  <si>
    <t xml:space="preserve">Signature scheme and event vocabulary are provider-specific (E115); pushIfAbsent + updateWhere give the idempotent primitives.</t>
  </si>
  <si>
    <t xml:space="preserve">VB-E-022</t>
  </si>
  <si>
    <t xml:space="preserve">Drive dialer.transition() from mapped provider events; remove the local state guess entirely.</t>
  </si>
  <si>
    <t xml:space="preserve">Live call moves ringing → connected → ended from provider events alone</t>
  </si>
  <si>
    <t xml:space="preserve">transition() now persists correctly on Postgres (F-V31) — a prerequisite this sprint would have tripped over.</t>
  </si>
  <si>
    <t xml:space="preserve">VB-E-023</t>
  </si>
  <si>
    <t xml:space="preserve">Hang-up, mute, hold, transfer, DTMF where the provider supports them; RefusingTelephony becomes the default once the adapter exists.</t>
  </si>
  <si>
    <t xml:space="preserve">Each control exercised on a live call</t>
  </si>
  <si>
    <t xml:space="preserve">RefusingTelephony exists.</t>
  </si>
  <si>
    <t xml:space="preserve">VB-E-024</t>
  </si>
  <si>
    <t xml:space="preserve">Call recording with consent: per-org toggle, per-jurisdiction announcement, storage location and retention, recording URL on the Task.</t>
  </si>
  <si>
    <t xml:space="preserve">Recording retrievable; retention sweep deletes it; consent state audited</t>
  </si>
  <si>
    <t xml:space="preserve">Audit chain and retention sweep exist to hang it on.</t>
  </si>
  <si>
    <t xml:space="preserve">D-V5, storage location</t>
  </si>
  <si>
    <t xml:space="preserve">VB-E-025</t>
  </si>
  <si>
    <t xml:space="preserve">Number validation and formatting to E.164 with per-country rules; blocklist and DNC check before placement.</t>
  </si>
  <si>
    <t xml:space="preserve">Malformed and blocklisted numbers refused before any provider call</t>
  </si>
  <si>
    <t xml:space="preserve">src/numbers.ts (15 countries, extensions), Blocklist routes, DncRegistry seam ("none connected" until a registry vendor); dialer refuses before the provider; 25 tests. Registry vendor = with D-V5.</t>
  </si>
  <si>
    <t xml:space="preserve">DNC registry vendor</t>
  </si>
  <si>
    <t xml:space="preserve">VB-E-030</t>
  </si>
  <si>
    <t xml:space="preserve">S16</t>
  </si>
  <si>
    <t xml:space="preserve">Inbound call handling: provider inbound webhook → matched record → screen pop → activity logged on end.</t>
  </si>
  <si>
    <t xml:space="preserve">Inbound call to a test number pops the matching Contact</t>
  </si>
  <si>
    <t xml:space="preserve">Screen-pop path exists in the adapter; matching hardened (VB-E-031).</t>
  </si>
  <si>
    <t xml:space="preserve">D-V5, VB-E-021</t>
  </si>
  <si>
    <t xml:space="preserve">VB-E-031</t>
  </si>
  <si>
    <t xml:space="preserve">Record matching hardened: replace LIKE '%tail' with a normalised, indexed phone-key match; handle multiple matches, no match and extensions deterministically.</t>
  </si>
  <si>
    <t xml:space="preserve">Multi-match returns a disambiguation list, not the first row; 10k-record org query under target latency</t>
  </si>
  <si>
    <t xml:space="preserve">SOSL FIND IN PHONE FIELDS; one/none/ambiguous; ambiguous Tasks written unattached with candidates; extensions stripped. Latency half = live org.</t>
  </si>
  <si>
    <t xml:space="preserve">O7 (latency)</t>
  </si>
  <si>
    <t xml:space="preserve">VB-E-032</t>
  </si>
  <si>
    <t xml:space="preserve">Call-quality telemetry from the provider: MOS, jitter, packet loss, setup time, per-org rollups.</t>
  </si>
  <si>
    <t xml:space="preserve">Metrics visible on the status page and in the analytics export</t>
  </si>
  <si>
    <t xml:space="preserve">Metrics registry + /metrics exist to receive them.</t>
  </si>
  <si>
    <t xml:space="preserve">VB-E-033</t>
  </si>
  <si>
    <t xml:space="preserve">Discovery findings folded back into the backlog; ICP and pricing confirmed or corrected.</t>
  </si>
  <si>
    <t xml:space="preserve">Interview notes committed; SEAT_PRICE and ICP ratified or changed</t>
  </si>
  <si>
    <t xml:space="preserve">FIRST HONEST KILL POINT: 3 orgs willing to run a paid pilot at the ratified price, or stop.</t>
  </si>
  <si>
    <t xml:space="preserve">VB-E-040</t>
  </si>
  <si>
    <t xml:space="preserve">S17-18</t>
  </si>
  <si>
    <t xml:space="preserve">Partner Telephony connector implementing the Salesforce-side contract; managed 2GP package containing it.</t>
  </si>
  <si>
    <t xml:space="preserve">Package installs in a scratch org; Contact Center created from the definition</t>
  </si>
  <si>
    <t xml:space="preserve">Option (A) only.</t>
  </si>
  <si>
    <t xml:space="preserve">D-V8, VB-E-002, dev org</t>
  </si>
  <si>
    <t xml:space="preserve">VB-E-041</t>
  </si>
  <si>
    <t xml:space="preserve">Contact Center definition, Omni-Channel enablement and presence sync; agent status both ways.</t>
  </si>
  <si>
    <t xml:space="preserve">Agent status changes propagate in both directions</t>
  </si>
  <si>
    <t xml:space="preserve">D-V8, VB-E-040</t>
  </si>
  <si>
    <t xml:space="preserve">VB-E-042</t>
  </si>
  <si>
    <t xml:space="preserve">Voice Call records instead of bare Tasks: transcription surface, recording link, participants, disposition.</t>
  </si>
  <si>
    <t xml:space="preserve">A live call produces one Voice Call record with transcript</t>
  </si>
  <si>
    <t xml:space="preserve">VB-E-043</t>
  </si>
  <si>
    <t xml:space="preserve">Retire the Open CTI surface behind a feature flag; document the migration for any org already on it.</t>
  </si>
  <si>
    <t xml:space="preserve">Both surfaces green in CI; migration guide committed</t>
  </si>
  <si>
    <t xml:space="preserve">Spike question 4 covers the migration steps.</t>
  </si>
  <si>
    <t xml:space="preserve">VB-E-044</t>
  </si>
  <si>
    <t xml:space="preserve">Namespace registered, Dev Hub configured, 2GP package versions built and promoted through CI.</t>
  </si>
  <si>
    <t xml:space="preserve">sf package version create runs in CI on every main build</t>
  </si>
  <si>
    <t xml:space="preserve">LC-2; which package (Open CTI shim vs Partner Telephony) depends on D-V8.</t>
  </si>
  <si>
    <t xml:space="preserve">D-V8, LC-2</t>
  </si>
  <si>
    <t xml:space="preserve">VB-E-045</t>
  </si>
  <si>
    <t xml:space="preserve">Install experience tested in three org shapes + push-upgrade test. (LC-5, LC-7)</t>
  </si>
  <si>
    <t xml:space="preserve">Nine documented install runs; upgrade preserves data</t>
  </si>
  <si>
    <t xml:space="preserve">D-V8, dev orgs</t>
  </si>
  <si>
    <t xml:space="preserve">VB-E-050</t>
  </si>
  <si>
    <t xml:space="preserve">S19-20</t>
  </si>
  <si>
    <t xml:space="preserve">Repository conformance suite against live Postgres in CI (testcontainers): FIFO caps, cascades, unique indexes, nextSeq under concurrency. Closes O6, R-V11, R-V13.</t>
  </si>
  <si>
    <t xml:space="preserve">Suite green against Postgres 16; restart and two-instance tests pass</t>
  </si>
  <si>
    <t xml:space="preserve">Migration smoke + RLS + audit checks run against Postgres 16 in CI; the behavioural conformance suite still runs against the recording double (which now enforces the tenant contract). Testcontainers job = next; O6 live.</t>
  </si>
  <si>
    <t xml:space="preserve">CI Postgres job; O6</t>
  </si>
  <si>
    <t xml:space="preserve">VB-E-051</t>
  </si>
  <si>
    <t xml:space="preserve">updateWhere on the Repository contract + a conformance test that mutation via a returned object does not persist; outbox routed through it. (F-P03b)</t>
  </si>
  <si>
    <t xml:space="preserve">Test fails on both stores before the fix, passes after</t>
  </si>
  <si>
    <t xml:space="preserve">Both stores; the test failed on InMemory before list() returned copies (as required) and exposed F-V31/F-V32 across five modules. No live half.</t>
  </si>
  <si>
    <t xml:space="preserve">VB-E-052</t>
  </si>
  <si>
    <t xml:space="preserve">Background outbox drain: leader-elected worker, backoff with jitter, dead-letter after N attempts, alert on depth and oldest-age. (F-P03a)</t>
  </si>
  <si>
    <t xml:space="preserve">Salesforce black-holed 10 minutes; queue drains unattended on recovery</t>
  </si>
  <si>
    <t xml:space="preserve">src/outboxWorker.ts; acceptance met with an injected clock; lease on both stores; VoiceBridgeOutboxStuck rule. Live = O10.</t>
  </si>
  <si>
    <t xml:space="preserve">O10 game day</t>
  </si>
  <si>
    <t xml:space="preserve">VB-E-053</t>
  </si>
  <si>
    <t xml:space="preserve">Transactional caps and counted constraints on SqlClient so R-V15 closes; blue/green with real tenants unblocked.</t>
  </si>
  <si>
    <t xml:space="preserve">Concurrent two-instance test proves the caps hold</t>
  </si>
  <si>
    <t xml:space="preserve">tx() + pushIfCountBelow (advisory xact lock); designPartners slot cap; R-V15 closed at the database; live proof of the lock under two real processes = O6.</t>
  </si>
  <si>
    <t xml:space="preserve">O6</t>
  </si>
  <si>
    <t xml:space="preserve">Observability: structured JSON logs with request/org ids, RED metrics per route, traces across the Salesforce and provider hops, error reporting, a real /metrics.</t>
  </si>
  <si>
    <t xml:space="preserve">Dashboard shows a live call end to end across all three systems</t>
  </si>
  <si>
    <t xml:space="preserve">Logs, RED metrics, /metrics, error sink, request ids done. Cross-hop TRACES (propagating the request id into outbound Salesforce/provider calls and a trace backend) not built; the dashboard is live-side.</t>
  </si>
  <si>
    <t xml:space="preserve">Trace backend; provider (D-V5)</t>
  </si>
  <si>
    <t xml:space="preserve">VB-E-055</t>
  </si>
  <si>
    <t xml:space="preserve">SLOs and alerting matching the published 99.5%: error budget, burn alerts, on-call runbook linked from runbook.ts.</t>
  </si>
  <si>
    <t xml:space="preserve">Alert fires in a game-day exercise</t>
  </si>
  <si>
    <t xml:space="preserve">src/slo.ts, /status/slo rule export wired to RB-10/RB-11; game day = O10.</t>
  </si>
  <si>
    <t xml:space="preserve">O10, alerting backend</t>
  </si>
  <si>
    <t xml:space="preserve">VB-E-056</t>
  </si>
  <si>
    <t xml:space="preserve">Replace the echo deploy job with a real blue/green pipeline: migration gate, health gate, automatic rollback.</t>
  </si>
  <si>
    <t xml:space="preserve">Two deploys and one deliberate rollback executed</t>
  </si>
  <si>
    <t xml:space="preserve">deploy.yml + scripts/deploy/blue-green.sh; workflow shape tested; execution needs a platform (DEPLOY_CMD etc. per environment).</t>
  </si>
  <si>
    <t xml:space="preserve">Hosting platform (ST-092 live)</t>
  </si>
  <si>
    <t xml:space="preserve">VB-E-057</t>
  </si>
  <si>
    <t xml:space="preserve">DR drill executed for real: pg_dump/pg_restore against live Postgres, stated RPO/RTO, evidence committed.</t>
  </si>
  <si>
    <t xml:space="preserve">Restore verified; RPO/RTO published</t>
  </si>
  <si>
    <t xml:space="preserve">scripts/dr-drill.sh (checksum diff, measured RTO, report); execution = O9.</t>
  </si>
  <si>
    <t xml:space="preserve">O9 (live Postgres)</t>
  </si>
  <si>
    <t xml:space="preserve">VB-E-060</t>
  </si>
  <si>
    <t xml:space="preserve">S21-22</t>
  </si>
  <si>
    <t xml:space="preserve">Meta Cloud API integration: BSP or direct onboarding, number registration, webhook signature verification, idempotent delivery. Closes VB-CR-008 by building.</t>
  </si>
  <si>
    <t xml:space="preserve">A real WhatsApp message sent and received end to end</t>
  </si>
  <si>
    <t xml:space="preserve">EngageOS pattern portable (opt-in ledger, 24h window, signature verify).</t>
  </si>
  <si>
    <t xml:space="preserve">D-V6, Meta verification</t>
  </si>
  <si>
    <t xml:space="preserve">VB-E-061</t>
  </si>
  <si>
    <t xml:space="preserve">Opt-in ledger and the 24-hour customer-care window enforced in code, with template messaging outside it.</t>
  </si>
  <si>
    <t xml:space="preserve">Sending outside the window without a template refused with a named error</t>
  </si>
  <si>
    <t xml:space="preserve">VB-E-062</t>
  </si>
  <si>
    <t xml:space="preserve">Template management: submission, approval status, per-locale variants, variable validation.</t>
  </si>
  <si>
    <t xml:space="preserve">Template rejected by Meta surfaces as an actionable admin error</t>
  </si>
  <si>
    <t xml:space="preserve">VB-E-063</t>
  </si>
  <si>
    <t xml:space="preserve">Conversation threading on the CRM record: one thread per contact, participants, unread state, agent assignment.</t>
  </si>
  <si>
    <t xml:space="preserve">Thread visible on the Contact with full history</t>
  </si>
  <si>
    <t xml:space="preserve">VB-E-064</t>
  </si>
  <si>
    <t xml:space="preserve">Per-conversation cost accounting against Meta's conversation pricing, per org, fed into billing.</t>
  </si>
  <si>
    <t xml:space="preserve">Monthly cost report reconciles to the provider invoice</t>
  </si>
  <si>
    <t xml:space="preserve">VB-E-065</t>
  </si>
  <si>
    <t xml:space="preserve">Positioning: total-cost comparison against Service Cloud Enterprise $165 + Digital Engagement $75 becomes the primary listing message.</t>
  </si>
  <si>
    <t xml:space="preserve">Comparison page published with sourced figures</t>
  </si>
  <si>
    <t xml:space="preserve">Would enter the claims registry on publication.</t>
  </si>
  <si>
    <t xml:space="preserve">D-V6, D-V3</t>
  </si>
  <si>
    <t xml:space="preserve">VB-E-070</t>
  </si>
  <si>
    <t xml:space="preserve">S23-24</t>
  </si>
  <si>
    <t xml:space="preserve">Transcription and diarisation on every recorded call, with language coverage for the launch set.</t>
  </si>
  <si>
    <t xml:space="preserve">Transcript on the Voice Call record within target latency</t>
  </si>
  <si>
    <t xml:space="preserve">VB-E-024 recordings, D-V8</t>
  </si>
  <si>
    <t xml:space="preserve">VB-E-071</t>
  </si>
  <si>
    <t xml:space="preserve">AI call summary, next steps and sentiment written to the activity; human-editable draft, never a silent write.</t>
  </si>
  <si>
    <t xml:space="preserve">Summary present, editable, audited</t>
  </si>
  <si>
    <t xml:space="preserve">VB-E-072</t>
  </si>
  <si>
    <t xml:space="preserve">Coaching scorecards derived from real transcripts (talk ratio, monologue length, question rate, objection handling); replaces the synthetic coaching.ts metrics.</t>
  </si>
  <si>
    <t xml:space="preserve">Scorecard reproducible from a stored transcript</t>
  </si>
  <si>
    <t xml:space="preserve">coaching.ts now at least stores what it computes (F-V32).</t>
  </si>
  <si>
    <t xml:space="preserve">VB-E-073</t>
  </si>
  <si>
    <t xml:space="preserve">Agentforce-invocable and Flow/Apex-invocable actions so the product is composable inside the platform's own AI.</t>
  </si>
  <si>
    <t xml:space="preserve">An Agentforce agent places a call and logs the outcome through our action</t>
  </si>
  <si>
    <t xml:space="preserve">flowActions.ts exists (Flow half); Agentforce actions need Apex/metadata in a package — D-V8.</t>
  </si>
  <si>
    <t xml:space="preserve">D-V8, D-V5</t>
  </si>
  <si>
    <t xml:space="preserve">VB-E-074</t>
  </si>
  <si>
    <t xml:space="preserve">AI governance: model and region disclosure, verifiable no-training guarantee, PII redaction before any model call, per-org opt-out.</t>
  </si>
  <si>
    <t xml:space="preserve">Redaction test with synthetic PII; disclosure on the trust page backed by a test</t>
  </si>
  <si>
    <t xml:space="preserve">Deliberately not built ahead of the AI layer (Stop_Doing #3) — it would be a claim with nothing behind it. The claims gate will force it the day a model is called.</t>
  </si>
  <si>
    <t xml:space="preserve">VB-E-080</t>
  </si>
  <si>
    <t xml:space="preserve">S25-26</t>
  </si>
  <si>
    <t xml:space="preserve">Postgres row-level security with a per-request tenant context, so isolation is enforced by the database.</t>
  </si>
  <si>
    <t xml:space="preserve">Cross-tenant query blocked at the database with the app deliberately misconfigured</t>
  </si>
  <si>
    <t xml:space="preserve">Migration 010 (ENABLE + FORCE, policy over vb.org_id); PgRepository.tx per call; superuser refused in production; db/checks/rls-smoke.sql in CI as a non-superuser role proves exactly the acceptance. Live run = O9.</t>
  </si>
  <si>
    <t xml:space="preserve">O9</t>
  </si>
  <si>
    <t xml:space="preserve">VB-E-081</t>
  </si>
  <si>
    <t xml:space="preserve">Tamper-evident audit log: hash-chained entries, append-only grant, separate retention, exportable verification.</t>
  </si>
  <si>
    <t xml:space="preserve">Verifier detects a tampered row</t>
  </si>
  <si>
    <t xml:space="preserve">audit.ts chain + verifyAuditChain + GET /audit/verify; migration 010 trigger (UPDATE refused, DELETE only under purge); exempt from FIFO cap; db/checks/audit-append-only.sql. Live = O9.</t>
  </si>
  <si>
    <t xml:space="preserve">VB-E-082</t>
  </si>
  <si>
    <t xml:space="preserve">Session lifecycle: jti, server-side revocation list, logout, revoke-all-on-role-change, TTL reduced, refresh separated from identity.</t>
  </si>
  <si>
    <t xml:space="preserve">Revoked session rejected immediately</t>
  </si>
  <si>
    <t xml:space="preserve">All in v0.28.0 incl. POST /roles; TTL default 1 day; pre-v0.28 tokens refused. "Refresh separated from identity" = the Salesforce refresh token was never the session — documented rather than built. No live half.</t>
  </si>
  <si>
    <t xml:space="preserve">VB-E-083</t>
  </si>
  <si>
    <t xml:space="preserve">SSO (SAML/OIDC) and SCIM for any surface outside the Salesforce frame; if none, delete the standalone paths so the claim surface shrinks.</t>
  </si>
  <si>
    <t xml:space="preserve">Either working SSO or a smaller attack surface, documented</t>
  </si>
  <si>
    <t xml:space="preserve">Raised as D-V10 with recommendation (a): the only outside surface is /ui behind the install session.</t>
  </si>
  <si>
    <t xml:space="preserve">VB-E-084</t>
  </si>
  <si>
    <t xml:space="preserve">Compliance paperwork made real: DPA, named subprocessors with regions, real contacts, GDPR Art. 28/32 mapping, sub-processor change notice.</t>
  </si>
  <si>
    <t xml:space="preserve">Trust page has no placeholders; DPA published</t>
  </si>
  <si>
    <t xml:space="preserve">Contacts from config (honest "not yet published" until set); docs/dpa-template.md maps every Art. 28(3)/32 clause to evidence with [[...]] for the legal entity, hosting/email/payment vendors and notice periods. Naming the entity and vendors = Senthil.</t>
  </si>
  <si>
    <t xml:space="preserve">Legal entity, vendors (D-V3, hosting)</t>
  </si>
  <si>
    <t xml:space="preserve">VB-E-085</t>
  </si>
  <si>
    <t xml:space="preserve">Third-party penetration test on the live deployment; remediate high and above; retest.</t>
  </si>
  <si>
    <t xml:space="preserve">Pen-test report with all high+ closed</t>
  </si>
  <si>
    <t xml:space="preserve">Senthil (vendor)</t>
  </si>
  <si>
    <t xml:space="preserve">DR-13. Needs a live deployment first.</t>
  </si>
  <si>
    <t xml:space="preserve">Live deployment, vendor</t>
  </si>
  <si>
    <t xml:space="preserve">VB-E-086</t>
  </si>
  <si>
    <t xml:space="preserve">SOC 2 Type I readiness assessment mapped to code and evidence; Type II observation window opened.</t>
  </si>
  <si>
    <t xml:space="preserve">Gap assessment complete; window start date recorded</t>
  </si>
  <si>
    <t xml:space="preserve">Senthil (consultant)</t>
  </si>
  <si>
    <t xml:space="preserve">security/SECURITY.md control table is the starting map.</t>
  </si>
  <si>
    <t xml:space="preserve">Consultant</t>
  </si>
  <si>
    <t xml:space="preserve">VB-E-090</t>
  </si>
  <si>
    <t xml:space="preserve">S27</t>
  </si>
  <si>
    <t xml:space="preserve">ISV Partner Program agreement executed; D-V3 decided (Checkout vs ISVforce + COA), LMA configured. Commercials: $999/submission, ~$150/yr listing, 15% (25% OEM).</t>
  </si>
  <si>
    <t xml:space="preserve">LC-1 and LC-9 closed</t>
  </si>
  <si>
    <t xml:space="preserve">D-V3, LC-1</t>
  </si>
  <si>
    <t xml:space="preserve">VB-E-091</t>
  </si>
  <si>
    <t xml:space="preserve">Security review submitted with the full evidence pack: pen-test report, code-scan output, Trust questionnaire, OAuth control self-attestation.</t>
  </si>
  <si>
    <t xml:space="preserve">Submission accepted into the queue</t>
  </si>
  <si>
    <t xml:space="preserve">Evidence pack generation exists (npm run evidence); O5 self-attestation; pen test.</t>
  </si>
  <si>
    <t xml:space="preserve">VB-E-085, D-V8, G-07</t>
  </si>
  <si>
    <t xml:space="preserve">VB-E-092</t>
  </si>
  <si>
    <t xml:space="preserve">Listing assets from the demo-data mode: five screenshots, two-minute video, security tab, demo org.</t>
  </si>
  <si>
    <t xml:space="preserve">LC-8 closed</t>
  </si>
  <si>
    <t xml:space="preserve">Demo mode + asset plan exist; capture needs a live org and the D-V6-cleared copy.</t>
  </si>
  <si>
    <t xml:space="preserve">Dev org, D-V6</t>
  </si>
  <si>
    <t xml:space="preserve">VB-E-093</t>
  </si>
  <si>
    <t xml:space="preserve">Residency statement published from verified configuration, per region.</t>
  </si>
  <si>
    <t xml:space="preserve">LC-6 closed</t>
  </si>
  <si>
    <t xml:space="preserve">Config-driven sentences exist and are claims CL-T10/T11; per-region statement doc = when regions are chosen.</t>
  </si>
  <si>
    <t xml:space="preserve">Hosting region decision</t>
  </si>
  <si>
    <t xml:space="preserve">VB-E-100</t>
  </si>
  <si>
    <t xml:space="preserve">S28-29</t>
  </si>
  <si>
    <t xml:space="preserve">Three paid pilots live with signed order forms, onboarded in under a day each.</t>
  </si>
  <si>
    <t xml:space="preserve">Three orgs in production, paying</t>
  </si>
  <si>
    <t xml:space="preserve">VB-E-033 kill point</t>
  </si>
  <si>
    <t xml:space="preserve">VB-E-101</t>
  </si>
  <si>
    <t xml:space="preserve">Two lighthouse references with logo permission. (LC-10)</t>
  </si>
  <si>
    <t xml:space="preserve">Written permission committed</t>
  </si>
  <si>
    <t xml:space="preserve">VB-E-102</t>
  </si>
  <si>
    <t xml:space="preserve">Activation instrumented against a real cohort; onboarding iterated on observed drop-off.</t>
  </si>
  <si>
    <t xml:space="preserve">Activation measured, not modelled</t>
  </si>
  <si>
    <t xml:space="preserve">Funnel analytics exist; needs a cohort.</t>
  </si>
  <si>
    <t xml:space="preserve">VB-E-103</t>
  </si>
  <si>
    <t xml:space="preserve">Security-review remediation cycles absorbed; listing published.</t>
  </si>
  <si>
    <t xml:space="preserve">G-01 closed</t>
  </si>
  <si>
    <t xml:space="preserve">VB-E-104</t>
  </si>
  <si>
    <t xml:space="preserve">G-02: ten paying installs from strangers.</t>
  </si>
  <si>
    <t xml:space="preserve">G-02 closed</t>
  </si>
  <si>
    <t xml:space="preserve">VB-E-105</t>
  </si>
  <si>
    <t xml:space="preserve">Kill/continue evaluated against the S13 rebuilt model with real CAC and LTV.</t>
  </si>
  <si>
    <t xml:space="preserve">G-03, G-04 recorded</t>
  </si>
  <si>
    <t xml:space="preserve">VB-E-005, VB-E-104</t>
  </si>
  <si>
    <t xml:space="preserve">ROLLUP (live formulas over this sheet)</t>
  </si>
  <si>
    <t xml:space="preserve">Pts done or code-complete</t>
  </si>
  <si>
    <t xml:space="preserve">Reading this table: "Done" here means live evidence exists (only the pure-code stories VB-E-015/016/017/051/082 qualify today, because their evidence IS the build). Code-complete (unproven) is what a solo build can reach without a live org, Postgres, carrier or vendor. Points: see the note in row 2.</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</si>
</sst>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i val="true"/>
      <sz val="9"/>
      <name val="Arial"/>
      <family val="0"/>
      <charset val="1"/>
    </font>
    <font>
      <b val="true"/>
      <sz val="10"/>
      <color rgb="FFFFFFFF"/>
      <name val="Arial"/>
      <family val="0"/>
      <charset val="1"/>
    </font>
    <font>
      <sz val="10"/>
      <name val="Arial"/>
      <family val="0"/>
      <charset val="1"/>
    </font>
    <font>
      <sz val="9"/>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7B241C"/>
        <bgColor rgb="FF8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7B24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7"/>
    <col collapsed="false" customWidth="true" hidden="false" outlineLevel="0" max="3" min="3" style="1" width="22"/>
    <col collapsed="false" customWidth="true" hidden="false" outlineLevel="0" max="4" min="4" style="1" width="95"/>
    <col collapsed="false" customWidth="true" hidden="false" outlineLevel="0" max="5" min="5" style="1" width="10"/>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45.75" hidden="false" customHeight="true" outlineLevel="0" collapsed="false">
      <c r="A4" s="5" t="s">
        <v>7</v>
      </c>
      <c r="B4" s="5" t="s">
        <v>8</v>
      </c>
      <c r="C4" s="5" t="s">
        <v>9</v>
      </c>
      <c r="D4" s="5" t="s">
        <v>10</v>
      </c>
      <c r="E4" s="5" t="s">
        <v>11</v>
      </c>
    </row>
    <row r="5" customFormat="false" ht="23.25" hidden="false" customHeight="true" outlineLevel="0" collapsed="false">
      <c r="A5" s="5" t="s">
        <v>12</v>
      </c>
      <c r="B5" s="5" t="s">
        <v>13</v>
      </c>
      <c r="C5" s="5" t="s">
        <v>9</v>
      </c>
      <c r="D5" s="5" t="s">
        <v>14</v>
      </c>
      <c r="E5" s="5" t="s">
        <v>11</v>
      </c>
    </row>
    <row r="6" customFormat="false" ht="23.25" hidden="false" customHeight="true" outlineLevel="0" collapsed="false">
      <c r="A6" s="5" t="s">
        <v>15</v>
      </c>
      <c r="B6" s="5" t="s">
        <v>16</v>
      </c>
      <c r="C6" s="5" t="s">
        <v>9</v>
      </c>
      <c r="D6" s="5" t="s">
        <v>17</v>
      </c>
      <c r="E6" s="5" t="s">
        <v>11</v>
      </c>
    </row>
    <row r="7" customFormat="false" ht="23.25" hidden="false" customHeight="true" outlineLevel="0" collapsed="false">
      <c r="A7" s="5" t="s">
        <v>18</v>
      </c>
      <c r="B7" s="5" t="s">
        <v>19</v>
      </c>
      <c r="C7" s="5" t="s">
        <v>9</v>
      </c>
      <c r="D7" s="5" t="s">
        <v>20</v>
      </c>
      <c r="E7" s="5" t="s">
        <v>11</v>
      </c>
    </row>
    <row r="8" customFormat="false" ht="23.25" hidden="false" customHeight="true" outlineLevel="0" collapsed="false">
      <c r="A8" s="5" t="s">
        <v>21</v>
      </c>
      <c r="B8" s="5" t="s">
        <v>22</v>
      </c>
      <c r="C8" s="5" t="s">
        <v>9</v>
      </c>
      <c r="D8" s="5" t="s">
        <v>23</v>
      </c>
      <c r="E8" s="5" t="s">
        <v>11</v>
      </c>
    </row>
    <row r="9" customFormat="false" ht="23.25" hidden="false" customHeight="true" outlineLevel="0" collapsed="false">
      <c r="A9" s="5" t="s">
        <v>24</v>
      </c>
      <c r="B9" s="5" t="s">
        <v>25</v>
      </c>
      <c r="C9" s="5" t="s">
        <v>9</v>
      </c>
      <c r="D9" s="5" t="s">
        <v>26</v>
      </c>
      <c r="E9" s="5" t="s">
        <v>11</v>
      </c>
    </row>
    <row r="10" customFormat="false" ht="23.25" hidden="false" customHeight="true" outlineLevel="0" collapsed="false">
      <c r="A10" s="5" t="s">
        <v>27</v>
      </c>
      <c r="B10" s="5" t="s">
        <v>28</v>
      </c>
      <c r="C10" s="5" t="s">
        <v>9</v>
      </c>
      <c r="D10" s="5" t="s">
        <v>29</v>
      </c>
      <c r="E10" s="5" t="s">
        <v>11</v>
      </c>
    </row>
    <row r="11" customFormat="false" ht="124.5" hidden="false" customHeight="true" outlineLevel="0" collapsed="false">
      <c r="A11" s="5" t="s">
        <v>30</v>
      </c>
      <c r="B11" s="5" t="s">
        <v>31</v>
      </c>
      <c r="C11" s="5" t="s">
        <v>9</v>
      </c>
      <c r="D11" s="5" t="s">
        <v>32</v>
      </c>
      <c r="E11" s="5" t="s">
        <v>11</v>
      </c>
    </row>
    <row r="12" customFormat="false" ht="23.25" hidden="false" customHeight="true" outlineLevel="0" collapsed="false">
      <c r="A12" s="5" t="s">
        <v>33</v>
      </c>
      <c r="B12" s="5" t="s">
        <v>34</v>
      </c>
      <c r="C12" s="5" t="s">
        <v>9</v>
      </c>
      <c r="D12" s="5" t="s">
        <v>35</v>
      </c>
      <c r="E12" s="5" t="s">
        <v>11</v>
      </c>
    </row>
    <row r="13" customFormat="false" ht="23.25" hidden="false" customHeight="true" outlineLevel="0" collapsed="false">
      <c r="A13" s="5" t="s">
        <v>36</v>
      </c>
      <c r="B13" s="5" t="s">
        <v>37</v>
      </c>
      <c r="C13" s="5" t="s">
        <v>9</v>
      </c>
      <c r="D13" s="5" t="s">
        <v>38</v>
      </c>
      <c r="E13" s="5" t="s">
        <v>11</v>
      </c>
    </row>
    <row r="14" customFormat="false" ht="23.25" hidden="false" customHeight="true" outlineLevel="0" collapsed="false">
      <c r="A14" s="5" t="s">
        <v>39</v>
      </c>
      <c r="B14" s="5" t="s">
        <v>40</v>
      </c>
      <c r="C14" s="5" t="s">
        <v>9</v>
      </c>
      <c r="D14" s="5" t="s">
        <v>41</v>
      </c>
      <c r="E14" s="5" t="s">
        <v>11</v>
      </c>
    </row>
    <row r="15" customFormat="false" ht="15" hidden="false" customHeight="true" outlineLevel="0" collapsed="false">
      <c r="A15" s="5" t="s">
        <v>42</v>
      </c>
      <c r="B15" s="5" t="s">
        <v>43</v>
      </c>
      <c r="C15" s="5" t="s">
        <v>9</v>
      </c>
      <c r="D15" s="5" t="s">
        <v>44</v>
      </c>
      <c r="E15" s="5" t="s">
        <v>11</v>
      </c>
    </row>
    <row r="16" customFormat="false" ht="23.25" hidden="false" customHeight="true" outlineLevel="0" collapsed="false">
      <c r="A16" s="5" t="s">
        <v>45</v>
      </c>
      <c r="B16" s="5" t="s">
        <v>46</v>
      </c>
      <c r="C16" s="5" t="s">
        <v>9</v>
      </c>
      <c r="D16" s="5" t="s">
        <v>47</v>
      </c>
      <c r="E16" s="5" t="s">
        <v>11</v>
      </c>
    </row>
    <row r="17" customFormat="false" ht="23.25" hidden="false" customHeight="true" outlineLevel="0" collapsed="false">
      <c r="A17" s="5" t="s">
        <v>48</v>
      </c>
      <c r="B17" s="5" t="s">
        <v>49</v>
      </c>
      <c r="C17" s="5" t="s">
        <v>9</v>
      </c>
      <c r="D17" s="5" t="s">
        <v>50</v>
      </c>
      <c r="E17" s="5" t="s">
        <v>11</v>
      </c>
    </row>
    <row r="18" customFormat="false" ht="23.25" hidden="false" customHeight="true" outlineLevel="0" collapsed="false">
      <c r="A18" s="5" t="s">
        <v>51</v>
      </c>
      <c r="B18" s="5" t="s">
        <v>52</v>
      </c>
      <c r="C18" s="5" t="s">
        <v>9</v>
      </c>
      <c r="D18" s="5" t="s">
        <v>53</v>
      </c>
      <c r="E18" s="5" t="s">
        <v>11</v>
      </c>
    </row>
    <row r="19" customFormat="false" ht="23.25" hidden="false" customHeight="true" outlineLevel="0" collapsed="false">
      <c r="A19" s="5" t="s">
        <v>54</v>
      </c>
      <c r="B19" s="5" t="s">
        <v>55</v>
      </c>
      <c r="C19" s="5" t="s">
        <v>9</v>
      </c>
      <c r="D19" s="5" t="s">
        <v>56</v>
      </c>
      <c r="E19" s="5" t="s">
        <v>11</v>
      </c>
    </row>
    <row r="20" customFormat="false" ht="23.25" hidden="false" customHeight="true" outlineLevel="0" collapsed="false">
      <c r="A20" s="5" t="s">
        <v>57</v>
      </c>
      <c r="B20" s="5" t="s">
        <v>58</v>
      </c>
      <c r="C20" s="5" t="s">
        <v>9</v>
      </c>
      <c r="D20" s="5" t="s">
        <v>59</v>
      </c>
      <c r="E20" s="5" t="s">
        <v>11</v>
      </c>
    </row>
    <row r="21" customFormat="false" ht="23.25" hidden="false" customHeight="true" outlineLevel="0" collapsed="false">
      <c r="A21" s="5" t="s">
        <v>60</v>
      </c>
      <c r="B21" s="5" t="s">
        <v>61</v>
      </c>
      <c r="C21" s="5" t="s">
        <v>9</v>
      </c>
      <c r="D21" s="5" t="s">
        <v>62</v>
      </c>
      <c r="E21" s="5" t="s">
        <v>11</v>
      </c>
    </row>
    <row r="22" customFormat="false" ht="23.25" hidden="false" customHeight="true" outlineLevel="0" collapsed="false">
      <c r="A22" s="5" t="s">
        <v>63</v>
      </c>
      <c r="B22" s="5" t="s">
        <v>64</v>
      </c>
      <c r="C22" s="5" t="s">
        <v>9</v>
      </c>
      <c r="D22" s="5" t="s">
        <v>65</v>
      </c>
      <c r="E22" s="5" t="s">
        <v>11</v>
      </c>
    </row>
    <row r="23" customFormat="false" ht="57" hidden="false" customHeight="true" outlineLevel="0" collapsed="false">
      <c r="A23" s="5" t="s">
        <v>66</v>
      </c>
      <c r="B23" s="5" t="s">
        <v>67</v>
      </c>
      <c r="C23" s="5" t="s">
        <v>9</v>
      </c>
      <c r="D23" s="5" t="s">
        <v>68</v>
      </c>
      <c r="E23" s="5" t="s">
        <v>11</v>
      </c>
    </row>
    <row r="24" customFormat="false" ht="34.5" hidden="false" customHeight="true" outlineLevel="0" collapsed="false">
      <c r="A24" s="5" t="s">
        <v>69</v>
      </c>
      <c r="B24" s="5" t="s">
        <v>70</v>
      </c>
      <c r="C24" s="5" t="s">
        <v>9</v>
      </c>
      <c r="D24" s="5" t="s">
        <v>71</v>
      </c>
      <c r="E24" s="5" t="s">
        <v>11</v>
      </c>
    </row>
    <row r="25" customFormat="false" ht="34.5" hidden="false" customHeight="true" outlineLevel="0" collapsed="false">
      <c r="A25" s="5" t="s">
        <v>72</v>
      </c>
      <c r="B25" s="5" t="s">
        <v>73</v>
      </c>
      <c r="C25" s="5" t="s">
        <v>9</v>
      </c>
      <c r="D25" s="5" t="s">
        <v>74</v>
      </c>
      <c r="E25" s="5" t="s">
        <v>11</v>
      </c>
    </row>
    <row r="26" customFormat="false" ht="34.5" hidden="false" customHeight="true" outlineLevel="0" collapsed="false">
      <c r="A26" s="5" t="s">
        <v>75</v>
      </c>
      <c r="B26" s="5" t="s">
        <v>76</v>
      </c>
      <c r="C26" s="5" t="s">
        <v>9</v>
      </c>
      <c r="D26" s="5" t="s">
        <v>77</v>
      </c>
      <c r="E26" s="5" t="s">
        <v>11</v>
      </c>
    </row>
    <row r="27" customFormat="false" ht="34.5" hidden="false" customHeight="true" outlineLevel="0" collapsed="false">
      <c r="A27" s="5" t="s">
        <v>78</v>
      </c>
      <c r="B27" s="5" t="s">
        <v>79</v>
      </c>
      <c r="C27" s="5" t="s">
        <v>9</v>
      </c>
      <c r="D27" s="5" t="s">
        <v>80</v>
      </c>
      <c r="E27" s="5" t="s">
        <v>11</v>
      </c>
    </row>
    <row r="28" customFormat="false" ht="35.05" hidden="false" customHeight="false" outlineLevel="0" collapsed="false">
      <c r="A28" s="5" t="s">
        <v>81</v>
      </c>
      <c r="B28" s="5"/>
      <c r="C28" s="5"/>
      <c r="D28" s="5" t="s">
        <v>82</v>
      </c>
      <c r="E28" s="5"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7"/>
    <col collapsed="false" customWidth="true" hidden="false" outlineLevel="0" max="4" min="4" style="1" width="72"/>
    <col collapsed="false" customWidth="true" hidden="false" outlineLevel="0" max="5" min="5" style="1" width="26"/>
    <col collapsed="false" customWidth="true" hidden="false" outlineLevel="0" max="7" min="6" style="1" width="30"/>
    <col collapsed="false" customWidth="true" hidden="false" outlineLevel="0" max="8" min="8" style="1" width="16"/>
  </cols>
  <sheetData>
    <row r="1" customFormat="false" ht="15" hidden="false" customHeight="true" outlineLevel="0" collapsed="false">
      <c r="A1" s="2" t="s">
        <v>84</v>
      </c>
    </row>
    <row r="2" customFormat="false" ht="15" hidden="false" customHeight="true" outlineLevel="0" collapsed="false">
      <c r="A2" s="4" t="s">
        <v>85</v>
      </c>
      <c r="B2" s="4" t="s">
        <v>3</v>
      </c>
      <c r="C2" s="4" t="s">
        <v>86</v>
      </c>
      <c r="D2" s="4" t="s">
        <v>87</v>
      </c>
      <c r="E2" s="4" t="s">
        <v>88</v>
      </c>
      <c r="F2" s="4" t="s">
        <v>89</v>
      </c>
      <c r="G2" s="4" t="s">
        <v>90</v>
      </c>
      <c r="H2" s="4" t="s">
        <v>91</v>
      </c>
    </row>
    <row r="3" customFormat="false" ht="45.75" hidden="false" customHeight="true" outlineLevel="0" collapsed="false">
      <c r="A3" s="5" t="s">
        <v>92</v>
      </c>
      <c r="B3" s="5" t="s">
        <v>8</v>
      </c>
      <c r="C3" s="5" t="s">
        <v>93</v>
      </c>
      <c r="D3" s="5" t="s">
        <v>94</v>
      </c>
      <c r="E3" s="5" t="s">
        <v>95</v>
      </c>
      <c r="F3" s="5" t="s">
        <v>96</v>
      </c>
      <c r="G3" s="5" t="s">
        <v>97</v>
      </c>
      <c r="H3" s="5" t="s">
        <v>98</v>
      </c>
    </row>
    <row r="4" customFormat="false" ht="45.75" hidden="false" customHeight="true" outlineLevel="0" collapsed="false">
      <c r="A4" s="5" t="s">
        <v>99</v>
      </c>
      <c r="B4" s="5" t="s">
        <v>8</v>
      </c>
      <c r="C4" s="5" t="s">
        <v>100</v>
      </c>
      <c r="D4" s="5" t="s">
        <v>101</v>
      </c>
      <c r="E4" s="5" t="s">
        <v>102</v>
      </c>
      <c r="F4" s="5" t="s">
        <v>103</v>
      </c>
      <c r="G4" s="5" t="s">
        <v>104</v>
      </c>
      <c r="H4" s="5" t="s">
        <v>105</v>
      </c>
    </row>
    <row r="5" customFormat="false" ht="45.75" hidden="false" customHeight="true" outlineLevel="0" collapsed="false">
      <c r="A5" s="5" t="s">
        <v>105</v>
      </c>
      <c r="B5" s="5" t="s">
        <v>8</v>
      </c>
      <c r="C5" s="5" t="s">
        <v>106</v>
      </c>
      <c r="D5" s="5" t="s">
        <v>107</v>
      </c>
      <c r="E5" s="5" t="s">
        <v>108</v>
      </c>
      <c r="F5" s="5" t="s">
        <v>109</v>
      </c>
      <c r="G5" s="5" t="s">
        <v>97</v>
      </c>
      <c r="H5" s="5" t="s">
        <v>110</v>
      </c>
    </row>
    <row r="6" customFormat="false" ht="45.75" hidden="false" customHeight="true" outlineLevel="0" collapsed="false">
      <c r="A6" s="5" t="s">
        <v>110</v>
      </c>
      <c r="B6" s="5" t="s">
        <v>8</v>
      </c>
      <c r="C6" s="5" t="s">
        <v>111</v>
      </c>
      <c r="D6" s="5" t="s">
        <v>112</v>
      </c>
      <c r="E6" s="5" t="s">
        <v>113</v>
      </c>
      <c r="F6" s="5" t="s">
        <v>114</v>
      </c>
      <c r="G6" s="5" t="s">
        <v>97</v>
      </c>
      <c r="H6" s="5" t="s">
        <v>115</v>
      </c>
    </row>
    <row r="7" customFormat="false" ht="34.5" hidden="false" customHeight="true" outlineLevel="0" collapsed="false">
      <c r="A7" s="5" t="s">
        <v>115</v>
      </c>
      <c r="B7" s="5" t="s">
        <v>8</v>
      </c>
      <c r="C7" s="5" t="s">
        <v>116</v>
      </c>
      <c r="D7" s="5" t="s">
        <v>117</v>
      </c>
      <c r="E7" s="5" t="s">
        <v>118</v>
      </c>
      <c r="F7" s="5" t="s">
        <v>119</v>
      </c>
      <c r="G7" s="5" t="s">
        <v>97</v>
      </c>
      <c r="H7" s="5" t="s">
        <v>120</v>
      </c>
    </row>
    <row r="8" customFormat="false" ht="34.5" hidden="false" customHeight="true" outlineLevel="0" collapsed="false">
      <c r="A8" s="5" t="s">
        <v>120</v>
      </c>
      <c r="B8" s="5" t="s">
        <v>8</v>
      </c>
      <c r="C8" s="5" t="s">
        <v>121</v>
      </c>
      <c r="D8" s="5" t="s">
        <v>122</v>
      </c>
      <c r="E8" s="5" t="s">
        <v>123</v>
      </c>
      <c r="F8" s="5" t="s">
        <v>124</v>
      </c>
      <c r="G8" s="5" t="s">
        <v>125</v>
      </c>
      <c r="H8" s="5" t="s">
        <v>126</v>
      </c>
    </row>
    <row r="9" customFormat="false" ht="45.75" hidden="false" customHeight="true" outlineLevel="0" collapsed="false">
      <c r="A9" s="5" t="s">
        <v>126</v>
      </c>
      <c r="B9" s="5" t="s">
        <v>8</v>
      </c>
      <c r="C9" s="5" t="s">
        <v>127</v>
      </c>
      <c r="D9" s="5" t="s">
        <v>128</v>
      </c>
      <c r="E9" s="5" t="s">
        <v>129</v>
      </c>
      <c r="F9" s="5" t="s">
        <v>130</v>
      </c>
      <c r="G9" s="5" t="s">
        <v>131</v>
      </c>
      <c r="H9" s="5" t="s">
        <v>132</v>
      </c>
    </row>
    <row r="10" customFormat="false" ht="34.5" hidden="false" customHeight="true" outlineLevel="0" collapsed="false">
      <c r="A10" s="5" t="s">
        <v>132</v>
      </c>
      <c r="B10" s="5" t="s">
        <v>8</v>
      </c>
      <c r="C10" s="5" t="s">
        <v>133</v>
      </c>
      <c r="D10" s="5" t="s">
        <v>134</v>
      </c>
      <c r="E10" s="5" t="s">
        <v>135</v>
      </c>
      <c r="F10" s="5" t="s">
        <v>136</v>
      </c>
      <c r="G10" s="5" t="s">
        <v>97</v>
      </c>
      <c r="H10" s="5" t="s">
        <v>137</v>
      </c>
    </row>
    <row r="11" customFormat="false" ht="79.5" hidden="false" customHeight="true" outlineLevel="0" collapsed="false">
      <c r="A11" s="5" t="s">
        <v>137</v>
      </c>
      <c r="B11" s="5" t="s">
        <v>8</v>
      </c>
      <c r="C11" s="5" t="s">
        <v>138</v>
      </c>
      <c r="D11" s="5" t="s">
        <v>139</v>
      </c>
      <c r="E11" s="5" t="s">
        <v>140</v>
      </c>
      <c r="F11" s="5" t="s">
        <v>141</v>
      </c>
      <c r="G11" s="5" t="s">
        <v>142</v>
      </c>
      <c r="H11" s="5" t="s">
        <v>143</v>
      </c>
    </row>
    <row r="12" customFormat="false" ht="34.5" hidden="false" customHeight="true" outlineLevel="0" collapsed="false">
      <c r="A12" s="5" t="s">
        <v>143</v>
      </c>
      <c r="B12" s="5" t="s">
        <v>8</v>
      </c>
      <c r="C12" s="5" t="s">
        <v>93</v>
      </c>
      <c r="D12" s="5" t="s">
        <v>144</v>
      </c>
      <c r="E12" s="5" t="s">
        <v>145</v>
      </c>
      <c r="F12" s="5" t="s">
        <v>146</v>
      </c>
      <c r="G12" s="5" t="s">
        <v>97</v>
      </c>
      <c r="H12" s="5" t="s">
        <v>147</v>
      </c>
    </row>
    <row r="13" customFormat="false" ht="34.5" hidden="false" customHeight="true" outlineLevel="0" collapsed="false">
      <c r="A13" s="5" t="s">
        <v>147</v>
      </c>
      <c r="B13" s="5" t="s">
        <v>8</v>
      </c>
      <c r="C13" s="5" t="s">
        <v>93</v>
      </c>
      <c r="D13" s="5" t="s">
        <v>148</v>
      </c>
      <c r="E13" s="5" t="s">
        <v>149</v>
      </c>
      <c r="F13" s="5" t="s">
        <v>150</v>
      </c>
      <c r="G13" s="5" t="s">
        <v>151</v>
      </c>
      <c r="H13" s="5" t="s">
        <v>12</v>
      </c>
    </row>
    <row r="14" customFormat="false" ht="23.25" hidden="false" customHeight="true" outlineLevel="0" collapsed="false">
      <c r="A14" s="5" t="s">
        <v>152</v>
      </c>
      <c r="B14" s="5" t="s">
        <v>13</v>
      </c>
      <c r="C14" s="5" t="s">
        <v>93</v>
      </c>
      <c r="D14" s="5" t="s">
        <v>153</v>
      </c>
      <c r="E14" s="5" t="s">
        <v>149</v>
      </c>
      <c r="F14" s="5" t="s">
        <v>154</v>
      </c>
      <c r="G14" s="5" t="s">
        <v>97</v>
      </c>
      <c r="H14" s="5" t="s">
        <v>155</v>
      </c>
    </row>
    <row r="15" customFormat="false" ht="79.5" hidden="false" customHeight="true" outlineLevel="0" collapsed="false">
      <c r="A15" s="5" t="s">
        <v>155</v>
      </c>
      <c r="B15" s="5" t="s">
        <v>13</v>
      </c>
      <c r="C15" s="5" t="s">
        <v>156</v>
      </c>
      <c r="D15" s="5" t="s">
        <v>157</v>
      </c>
      <c r="E15" s="5" t="s">
        <v>158</v>
      </c>
      <c r="F15" s="5" t="s">
        <v>159</v>
      </c>
      <c r="G15" s="5" t="s">
        <v>160</v>
      </c>
      <c r="H15" s="5" t="s">
        <v>161</v>
      </c>
    </row>
    <row r="16" customFormat="false" ht="79.5" hidden="false" customHeight="true" outlineLevel="0" collapsed="false">
      <c r="A16" s="5" t="s">
        <v>161</v>
      </c>
      <c r="B16" s="5" t="s">
        <v>13</v>
      </c>
      <c r="C16" s="5" t="s">
        <v>93</v>
      </c>
      <c r="D16" s="5" t="s">
        <v>162</v>
      </c>
      <c r="E16" s="5" t="s">
        <v>163</v>
      </c>
      <c r="F16" s="5" t="s">
        <v>164</v>
      </c>
      <c r="G16" s="5" t="s">
        <v>165</v>
      </c>
      <c r="H16" s="5" t="s">
        <v>166</v>
      </c>
    </row>
    <row r="17" customFormat="false" ht="57" hidden="false" customHeight="true" outlineLevel="0" collapsed="false">
      <c r="A17" s="5" t="s">
        <v>166</v>
      </c>
      <c r="B17" s="5" t="s">
        <v>13</v>
      </c>
      <c r="C17" s="5" t="s">
        <v>93</v>
      </c>
      <c r="D17" s="5" t="s">
        <v>167</v>
      </c>
      <c r="E17" s="5" t="s">
        <v>145</v>
      </c>
      <c r="F17" s="5" t="s">
        <v>168</v>
      </c>
      <c r="G17" s="5" t="s">
        <v>151</v>
      </c>
      <c r="H17" s="5" t="s">
        <v>15</v>
      </c>
    </row>
    <row r="18" customFormat="false" ht="15" hidden="false" customHeight="true" outlineLevel="0" collapsed="false">
      <c r="A18" s="5" t="s">
        <v>169</v>
      </c>
      <c r="B18" s="5" t="s">
        <v>16</v>
      </c>
      <c r="C18" s="5" t="s">
        <v>93</v>
      </c>
      <c r="D18" s="5" t="s">
        <v>170</v>
      </c>
      <c r="E18" s="5" t="s">
        <v>149</v>
      </c>
      <c r="F18" s="5" t="s">
        <v>171</v>
      </c>
      <c r="G18" s="5" t="s">
        <v>97</v>
      </c>
      <c r="H18" s="5" t="s">
        <v>172</v>
      </c>
    </row>
    <row r="19" customFormat="false" ht="124.5" hidden="false" customHeight="true" outlineLevel="0" collapsed="false">
      <c r="A19" s="5" t="s">
        <v>172</v>
      </c>
      <c r="B19" s="5" t="s">
        <v>16</v>
      </c>
      <c r="C19" s="5" t="s">
        <v>173</v>
      </c>
      <c r="D19" s="5" t="s">
        <v>174</v>
      </c>
      <c r="E19" s="5" t="s">
        <v>175</v>
      </c>
      <c r="F19" s="5" t="s">
        <v>176</v>
      </c>
      <c r="G19" s="5" t="s">
        <v>177</v>
      </c>
      <c r="H19" s="5" t="s">
        <v>178</v>
      </c>
    </row>
    <row r="20" customFormat="false" ht="57" hidden="false" customHeight="true" outlineLevel="0" collapsed="false">
      <c r="A20" s="5" t="s">
        <v>178</v>
      </c>
      <c r="B20" s="5" t="s">
        <v>16</v>
      </c>
      <c r="C20" s="5" t="s">
        <v>93</v>
      </c>
      <c r="D20" s="5" t="s">
        <v>179</v>
      </c>
      <c r="E20" s="5" t="s">
        <v>145</v>
      </c>
      <c r="F20" s="5" t="s">
        <v>180</v>
      </c>
      <c r="G20" s="5" t="s">
        <v>181</v>
      </c>
      <c r="H20" s="5" t="s">
        <v>18</v>
      </c>
    </row>
    <row r="21" customFormat="false" ht="15" hidden="false" customHeight="true" outlineLevel="0" collapsed="false">
      <c r="A21" s="5" t="s">
        <v>182</v>
      </c>
      <c r="B21" s="5" t="s">
        <v>19</v>
      </c>
      <c r="C21" s="5" t="s">
        <v>93</v>
      </c>
      <c r="D21" s="5" t="s">
        <v>183</v>
      </c>
      <c r="E21" s="5" t="s">
        <v>149</v>
      </c>
      <c r="F21" s="5" t="s">
        <v>184</v>
      </c>
      <c r="G21" s="5" t="s">
        <v>97</v>
      </c>
      <c r="H21" s="5" t="s">
        <v>185</v>
      </c>
    </row>
    <row r="22" customFormat="false" ht="90.75" hidden="false" customHeight="true" outlineLevel="0" collapsed="false">
      <c r="A22" s="5" t="s">
        <v>185</v>
      </c>
      <c r="B22" s="5" t="s">
        <v>19</v>
      </c>
      <c r="C22" s="5" t="s">
        <v>186</v>
      </c>
      <c r="D22" s="5" t="s">
        <v>187</v>
      </c>
      <c r="E22" s="5" t="s">
        <v>188</v>
      </c>
      <c r="F22" s="5" t="s">
        <v>189</v>
      </c>
      <c r="G22" s="5" t="s">
        <v>190</v>
      </c>
      <c r="H22" s="5" t="s">
        <v>191</v>
      </c>
    </row>
    <row r="23" customFormat="false" ht="57" hidden="false" customHeight="true" outlineLevel="0" collapsed="false">
      <c r="A23" s="5" t="s">
        <v>191</v>
      </c>
      <c r="B23" s="5" t="s">
        <v>19</v>
      </c>
      <c r="C23" s="5" t="s">
        <v>192</v>
      </c>
      <c r="D23" s="5" t="s">
        <v>193</v>
      </c>
      <c r="E23" s="5" t="s">
        <v>194</v>
      </c>
      <c r="F23" s="5" t="s">
        <v>195</v>
      </c>
      <c r="G23" s="5" t="s">
        <v>196</v>
      </c>
      <c r="H23" s="5" t="s">
        <v>197</v>
      </c>
    </row>
    <row r="24" customFormat="false" ht="102" hidden="false" customHeight="true" outlineLevel="0" collapsed="false">
      <c r="A24" s="5" t="s">
        <v>197</v>
      </c>
      <c r="B24" s="5" t="s">
        <v>19</v>
      </c>
      <c r="C24" s="5" t="s">
        <v>93</v>
      </c>
      <c r="D24" s="5" t="s">
        <v>198</v>
      </c>
      <c r="E24" s="5" t="s">
        <v>199</v>
      </c>
      <c r="F24" s="5" t="s">
        <v>200</v>
      </c>
      <c r="G24" s="5" t="s">
        <v>201</v>
      </c>
      <c r="H24" s="5" t="s">
        <v>21</v>
      </c>
    </row>
    <row r="25" customFormat="false" ht="45.75" hidden="false" customHeight="true" outlineLevel="0" collapsed="false">
      <c r="A25" s="5" t="s">
        <v>202</v>
      </c>
      <c r="B25" s="5" t="s">
        <v>22</v>
      </c>
      <c r="C25" s="5" t="s">
        <v>93</v>
      </c>
      <c r="D25" s="5" t="s">
        <v>203</v>
      </c>
      <c r="E25" s="5" t="s">
        <v>204</v>
      </c>
      <c r="F25" s="5" t="s">
        <v>205</v>
      </c>
      <c r="G25" s="5" t="s">
        <v>97</v>
      </c>
      <c r="H25" s="5" t="s">
        <v>206</v>
      </c>
    </row>
    <row r="26" customFormat="false" ht="147" hidden="false" customHeight="true" outlineLevel="0" collapsed="false">
      <c r="A26" s="5" t="s">
        <v>206</v>
      </c>
      <c r="B26" s="5" t="s">
        <v>22</v>
      </c>
      <c r="C26" s="5" t="s">
        <v>93</v>
      </c>
      <c r="D26" s="5" t="s">
        <v>207</v>
      </c>
      <c r="E26" s="5" t="s">
        <v>208</v>
      </c>
      <c r="F26" s="5" t="s">
        <v>209</v>
      </c>
      <c r="G26" s="5" t="s">
        <v>210</v>
      </c>
      <c r="H26" s="5" t="s">
        <v>211</v>
      </c>
    </row>
    <row r="27" customFormat="false" ht="79.5" hidden="false" customHeight="true" outlineLevel="0" collapsed="false">
      <c r="A27" s="5" t="s">
        <v>211</v>
      </c>
      <c r="B27" s="5" t="s">
        <v>22</v>
      </c>
      <c r="C27" s="5" t="s">
        <v>93</v>
      </c>
      <c r="D27" s="5" t="s">
        <v>212</v>
      </c>
      <c r="E27" s="5" t="s">
        <v>145</v>
      </c>
      <c r="F27" s="5" t="s">
        <v>213</v>
      </c>
      <c r="G27" s="5" t="s">
        <v>201</v>
      </c>
      <c r="H27" s="5" t="s">
        <v>24</v>
      </c>
    </row>
    <row r="28" customFormat="false" ht="45.75" hidden="false" customHeight="true" outlineLevel="0" collapsed="false">
      <c r="A28" s="5" t="s">
        <v>214</v>
      </c>
      <c r="B28" s="5" t="s">
        <v>25</v>
      </c>
      <c r="C28" s="5" t="s">
        <v>93</v>
      </c>
      <c r="D28" s="5" t="s">
        <v>215</v>
      </c>
      <c r="E28" s="5" t="s">
        <v>145</v>
      </c>
      <c r="F28" s="5" t="s">
        <v>216</v>
      </c>
      <c r="G28" s="5" t="s">
        <v>97</v>
      </c>
      <c r="H28" s="5" t="s">
        <v>217</v>
      </c>
    </row>
    <row r="29" customFormat="false" ht="113.25" hidden="false" customHeight="true" outlineLevel="0" collapsed="false">
      <c r="A29" s="5" t="s">
        <v>217</v>
      </c>
      <c r="B29" s="5" t="s">
        <v>25</v>
      </c>
      <c r="C29" s="5" t="s">
        <v>93</v>
      </c>
      <c r="D29" s="5" t="s">
        <v>218</v>
      </c>
      <c r="E29" s="5" t="s">
        <v>219</v>
      </c>
      <c r="F29" s="5" t="s">
        <v>220</v>
      </c>
      <c r="G29" s="5" t="s">
        <v>221</v>
      </c>
      <c r="H29" s="5" t="s">
        <v>222</v>
      </c>
    </row>
    <row r="30" customFormat="false" ht="79.5" hidden="false" customHeight="true" outlineLevel="0" collapsed="false">
      <c r="A30" s="5" t="s">
        <v>222</v>
      </c>
      <c r="B30" s="5" t="s">
        <v>25</v>
      </c>
      <c r="C30" s="5" t="s">
        <v>93</v>
      </c>
      <c r="D30" s="5" t="s">
        <v>223</v>
      </c>
      <c r="E30" s="5" t="s">
        <v>145</v>
      </c>
      <c r="F30" s="5" t="s">
        <v>224</v>
      </c>
      <c r="G30" s="5" t="s">
        <v>225</v>
      </c>
      <c r="H30" s="5" t="s">
        <v>27</v>
      </c>
    </row>
    <row r="31" customFormat="false" ht="54.75" hidden="false" customHeight="true" outlineLevel="0" collapsed="false">
      <c r="A31" s="6" t="s">
        <v>226</v>
      </c>
      <c r="B31" s="6" t="s">
        <v>28</v>
      </c>
      <c r="C31" s="6" t="s">
        <v>93</v>
      </c>
      <c r="D31" s="6" t="s">
        <v>227</v>
      </c>
      <c r="E31" s="6" t="s">
        <v>145</v>
      </c>
      <c r="F31" s="6" t="s">
        <v>228</v>
      </c>
      <c r="G31" s="6" t="s">
        <v>97</v>
      </c>
      <c r="H31" s="6" t="s">
        <v>229</v>
      </c>
    </row>
    <row r="32" customFormat="false" ht="95.25" hidden="false" customHeight="true" outlineLevel="0" collapsed="false">
      <c r="A32" s="6" t="s">
        <v>229</v>
      </c>
      <c r="B32" s="6" t="s">
        <v>28</v>
      </c>
      <c r="C32" s="6" t="s">
        <v>93</v>
      </c>
      <c r="D32" s="6" t="s">
        <v>230</v>
      </c>
      <c r="E32" s="6" t="s">
        <v>231</v>
      </c>
      <c r="F32" s="6" t="s">
        <v>232</v>
      </c>
      <c r="G32" s="6" t="s">
        <v>233</v>
      </c>
      <c r="H32" s="6" t="s">
        <v>234</v>
      </c>
    </row>
    <row r="33" customFormat="false" ht="95.25" hidden="false" customHeight="true" outlineLevel="0" collapsed="false">
      <c r="A33" s="6" t="s">
        <v>234</v>
      </c>
      <c r="B33" s="6" t="s">
        <v>28</v>
      </c>
      <c r="C33" s="6" t="s">
        <v>93</v>
      </c>
      <c r="D33" s="6" t="s">
        <v>235</v>
      </c>
      <c r="E33" s="6" t="s">
        <v>236</v>
      </c>
      <c r="F33" s="6" t="s">
        <v>237</v>
      </c>
      <c r="G33" s="6" t="s">
        <v>238</v>
      </c>
      <c r="H33" s="6" t="s">
        <v>239</v>
      </c>
    </row>
    <row r="34" customFormat="false" ht="68.25" hidden="false" customHeight="true" outlineLevel="0" collapsed="false">
      <c r="A34" s="6" t="s">
        <v>239</v>
      </c>
      <c r="B34" s="6" t="s">
        <v>28</v>
      </c>
      <c r="C34" s="6" t="s">
        <v>93</v>
      </c>
      <c r="D34" s="6" t="s">
        <v>240</v>
      </c>
      <c r="E34" s="6" t="s">
        <v>145</v>
      </c>
      <c r="F34" s="6" t="s">
        <v>241</v>
      </c>
      <c r="G34" s="6" t="s">
        <v>201</v>
      </c>
      <c r="H34" s="6" t="s">
        <v>30</v>
      </c>
    </row>
    <row r="35" customFormat="false" ht="41.25" hidden="false" customHeight="true" outlineLevel="0" collapsed="false">
      <c r="A35" s="6" t="s">
        <v>242</v>
      </c>
      <c r="B35" s="6" t="s">
        <v>243</v>
      </c>
      <c r="C35" s="6" t="s">
        <v>93</v>
      </c>
      <c r="D35" s="6" t="s">
        <v>244</v>
      </c>
      <c r="E35" s="6" t="s">
        <v>145</v>
      </c>
      <c r="F35" s="6" t="s">
        <v>245</v>
      </c>
      <c r="G35" s="6" t="s">
        <v>97</v>
      </c>
      <c r="H35" s="6" t="s">
        <v>246</v>
      </c>
    </row>
    <row r="36" customFormat="false" ht="122.25" hidden="false" customHeight="true" outlineLevel="0" collapsed="false">
      <c r="A36" s="6" t="s">
        <v>246</v>
      </c>
      <c r="B36" s="6" t="s">
        <v>247</v>
      </c>
      <c r="C36" s="6" t="s">
        <v>93</v>
      </c>
      <c r="D36" s="6" t="s">
        <v>248</v>
      </c>
      <c r="E36" s="6" t="s">
        <v>249</v>
      </c>
      <c r="F36" s="6" t="s">
        <v>250</v>
      </c>
      <c r="G36" s="6" t="s">
        <v>251</v>
      </c>
      <c r="H36" s="6" t="s">
        <v>252</v>
      </c>
    </row>
    <row r="37" customFormat="false" ht="162" hidden="false" customHeight="true" outlineLevel="0" collapsed="false">
      <c r="A37" s="6" t="s">
        <v>252</v>
      </c>
      <c r="B37" s="6" t="s">
        <v>31</v>
      </c>
      <c r="C37" s="6" t="s">
        <v>93</v>
      </c>
      <c r="D37" s="6" t="s">
        <v>253</v>
      </c>
      <c r="E37" s="6" t="s">
        <v>254</v>
      </c>
      <c r="F37" s="6" t="s">
        <v>255</v>
      </c>
      <c r="G37" s="6" t="s">
        <v>256</v>
      </c>
      <c r="H37" s="6" t="s">
        <v>257</v>
      </c>
    </row>
    <row r="38" customFormat="false" ht="95.25" hidden="false" customHeight="true" outlineLevel="0" collapsed="false">
      <c r="A38" s="6" t="s">
        <v>257</v>
      </c>
      <c r="B38" s="6" t="s">
        <v>31</v>
      </c>
      <c r="C38" s="6" t="s">
        <v>93</v>
      </c>
      <c r="D38" s="6" t="s">
        <v>258</v>
      </c>
      <c r="E38" s="6" t="s">
        <v>259</v>
      </c>
      <c r="F38" s="6" t="s">
        <v>260</v>
      </c>
      <c r="G38" s="6" t="s">
        <v>261</v>
      </c>
      <c r="H38" s="6" t="s">
        <v>262</v>
      </c>
    </row>
    <row r="39" customFormat="false" ht="95.25" hidden="false" customHeight="true" outlineLevel="0" collapsed="false">
      <c r="A39" s="6" t="s">
        <v>262</v>
      </c>
      <c r="B39" s="6" t="s">
        <v>31</v>
      </c>
      <c r="C39" s="6" t="s">
        <v>93</v>
      </c>
      <c r="D39" s="6" t="s">
        <v>263</v>
      </c>
      <c r="E39" s="6" t="s">
        <v>264</v>
      </c>
      <c r="F39" s="6" t="s">
        <v>265</v>
      </c>
      <c r="G39" s="6" t="s">
        <v>266</v>
      </c>
      <c r="H39" s="6" t="s">
        <v>267</v>
      </c>
    </row>
    <row r="40" customFormat="false" ht="81.75" hidden="false" customHeight="true" outlineLevel="0" collapsed="false">
      <c r="A40" s="6" t="s">
        <v>267</v>
      </c>
      <c r="B40" s="6" t="s">
        <v>31</v>
      </c>
      <c r="C40" s="6" t="s">
        <v>93</v>
      </c>
      <c r="D40" s="6" t="s">
        <v>268</v>
      </c>
      <c r="E40" s="6" t="s">
        <v>145</v>
      </c>
      <c r="F40" s="6" t="s">
        <v>269</v>
      </c>
      <c r="G40" s="6" t="s">
        <v>201</v>
      </c>
      <c r="H40" s="6" t="s">
        <v>33</v>
      </c>
    </row>
    <row r="41" customFormat="false" ht="54.75" hidden="false" customHeight="true" outlineLevel="0" collapsed="false">
      <c r="A41" s="6" t="s">
        <v>270</v>
      </c>
      <c r="B41" s="6" t="s">
        <v>34</v>
      </c>
      <c r="C41" s="6" t="s">
        <v>93</v>
      </c>
      <c r="D41" s="6" t="s">
        <v>271</v>
      </c>
      <c r="E41" s="6" t="s">
        <v>272</v>
      </c>
      <c r="F41" s="6" t="s">
        <v>273</v>
      </c>
      <c r="G41" s="6" t="s">
        <v>97</v>
      </c>
      <c r="H41" s="6" t="s">
        <v>274</v>
      </c>
    </row>
    <row r="42" customFormat="false" ht="135.75" hidden="false" customHeight="true" outlineLevel="0" collapsed="false">
      <c r="A42" s="6" t="s">
        <v>274</v>
      </c>
      <c r="B42" s="6" t="s">
        <v>34</v>
      </c>
      <c r="C42" s="6" t="s">
        <v>93</v>
      </c>
      <c r="D42" s="6" t="s">
        <v>275</v>
      </c>
      <c r="E42" s="6" t="s">
        <v>276</v>
      </c>
      <c r="F42" s="6" t="s">
        <v>277</v>
      </c>
      <c r="G42" s="6" t="s">
        <v>97</v>
      </c>
      <c r="H42" s="6" t="s">
        <v>278</v>
      </c>
    </row>
    <row r="43" customFormat="false" ht="108.75" hidden="false" customHeight="true" outlineLevel="0" collapsed="false">
      <c r="A43" s="6" t="s">
        <v>278</v>
      </c>
      <c r="B43" s="6" t="s">
        <v>34</v>
      </c>
      <c r="C43" s="6" t="s">
        <v>93</v>
      </c>
      <c r="D43" s="6" t="s">
        <v>279</v>
      </c>
      <c r="E43" s="6" t="s">
        <v>280</v>
      </c>
      <c r="F43" s="6" t="s">
        <v>281</v>
      </c>
      <c r="G43" s="6" t="s">
        <v>282</v>
      </c>
      <c r="H43" s="6" t="s">
        <v>283</v>
      </c>
    </row>
    <row r="44" customFormat="false" ht="54.75" hidden="false" customHeight="true" outlineLevel="0" collapsed="false">
      <c r="A44" s="6" t="s">
        <v>283</v>
      </c>
      <c r="B44" s="6" t="s">
        <v>34</v>
      </c>
      <c r="C44" s="6" t="s">
        <v>93</v>
      </c>
      <c r="D44" s="6" t="s">
        <v>284</v>
      </c>
      <c r="E44" s="6" t="s">
        <v>285</v>
      </c>
      <c r="F44" s="6" t="s">
        <v>286</v>
      </c>
      <c r="G44" s="6" t="s">
        <v>97</v>
      </c>
      <c r="H44" s="6" t="s">
        <v>287</v>
      </c>
    </row>
    <row r="45" customFormat="false" ht="108.75" hidden="false" customHeight="true" outlineLevel="0" collapsed="false">
      <c r="A45" s="6" t="s">
        <v>287</v>
      </c>
      <c r="B45" s="6" t="s">
        <v>34</v>
      </c>
      <c r="C45" s="6" t="s">
        <v>93</v>
      </c>
      <c r="D45" s="6" t="s">
        <v>288</v>
      </c>
      <c r="E45" s="6" t="s">
        <v>289</v>
      </c>
      <c r="F45" s="6" t="s">
        <v>290</v>
      </c>
      <c r="G45" s="6" t="s">
        <v>291</v>
      </c>
      <c r="H45" s="6" t="s">
        <v>292</v>
      </c>
    </row>
    <row r="46" customFormat="false" ht="81.75" hidden="false" customHeight="true" outlineLevel="0" collapsed="false">
      <c r="A46" s="6" t="s">
        <v>292</v>
      </c>
      <c r="B46" s="6" t="s">
        <v>34</v>
      </c>
      <c r="C46" s="6" t="s">
        <v>93</v>
      </c>
      <c r="D46" s="6" t="s">
        <v>293</v>
      </c>
      <c r="E46" s="6" t="s">
        <v>145</v>
      </c>
      <c r="F46" s="6" t="s">
        <v>294</v>
      </c>
      <c r="G46" s="6" t="s">
        <v>201</v>
      </c>
      <c r="H46" s="6" t="s">
        <v>36</v>
      </c>
    </row>
    <row r="47" customFormat="false" ht="68.25" hidden="false" customHeight="true" outlineLevel="0" collapsed="false">
      <c r="A47" s="6" t="s">
        <v>295</v>
      </c>
      <c r="B47" s="6" t="s">
        <v>37</v>
      </c>
      <c r="C47" s="6" t="s">
        <v>93</v>
      </c>
      <c r="D47" s="6" t="s">
        <v>296</v>
      </c>
      <c r="E47" s="6" t="s">
        <v>297</v>
      </c>
      <c r="F47" s="6" t="s">
        <v>298</v>
      </c>
      <c r="G47" s="6" t="s">
        <v>97</v>
      </c>
      <c r="H47" s="6" t="s">
        <v>299</v>
      </c>
    </row>
    <row r="48" customFormat="false" ht="81.75" hidden="false" customHeight="true" outlineLevel="0" collapsed="false">
      <c r="A48" s="6" t="s">
        <v>299</v>
      </c>
      <c r="B48" s="6" t="s">
        <v>37</v>
      </c>
      <c r="C48" s="6" t="s">
        <v>93</v>
      </c>
      <c r="D48" s="6" t="s">
        <v>300</v>
      </c>
      <c r="E48" s="6" t="s">
        <v>301</v>
      </c>
      <c r="F48" s="6" t="s">
        <v>302</v>
      </c>
      <c r="G48" s="6" t="s">
        <v>303</v>
      </c>
      <c r="H48" s="6" t="s">
        <v>304</v>
      </c>
    </row>
    <row r="49" customFormat="false" ht="108.75" hidden="false" customHeight="true" outlineLevel="0" collapsed="false">
      <c r="A49" s="6" t="s">
        <v>304</v>
      </c>
      <c r="B49" s="6" t="s">
        <v>37</v>
      </c>
      <c r="C49" s="6" t="s">
        <v>93</v>
      </c>
      <c r="D49" s="6" t="s">
        <v>305</v>
      </c>
      <c r="E49" s="6" t="s">
        <v>306</v>
      </c>
      <c r="F49" s="6" t="s">
        <v>307</v>
      </c>
      <c r="G49" s="6" t="s">
        <v>308</v>
      </c>
      <c r="H49" s="6" t="s">
        <v>309</v>
      </c>
    </row>
    <row r="50" customFormat="false" ht="135.75" hidden="false" customHeight="true" outlineLevel="0" collapsed="false">
      <c r="A50" s="6" t="s">
        <v>309</v>
      </c>
      <c r="B50" s="6" t="s">
        <v>37</v>
      </c>
      <c r="C50" s="6" t="s">
        <v>93</v>
      </c>
      <c r="D50" s="6" t="s">
        <v>310</v>
      </c>
      <c r="E50" s="6" t="s">
        <v>311</v>
      </c>
      <c r="F50" s="6" t="s">
        <v>312</v>
      </c>
      <c r="G50" s="6" t="s">
        <v>97</v>
      </c>
      <c r="H50" s="6" t="s">
        <v>313</v>
      </c>
    </row>
    <row r="51" customFormat="false" ht="81.75" hidden="false" customHeight="true" outlineLevel="0" collapsed="false">
      <c r="A51" s="6" t="s">
        <v>313</v>
      </c>
      <c r="B51" s="6" t="s">
        <v>37</v>
      </c>
      <c r="C51" s="6" t="s">
        <v>93</v>
      </c>
      <c r="D51" s="6" t="s">
        <v>314</v>
      </c>
      <c r="E51" s="6" t="s">
        <v>145</v>
      </c>
      <c r="F51" s="6" t="s">
        <v>315</v>
      </c>
      <c r="G51" s="6" t="s">
        <v>316</v>
      </c>
      <c r="H51" s="6" t="s">
        <v>39</v>
      </c>
    </row>
    <row r="52" customFormat="false" ht="95.25" hidden="false" customHeight="true" outlineLevel="0" collapsed="false">
      <c r="A52" s="6" t="s">
        <v>317</v>
      </c>
      <c r="B52" s="6" t="s">
        <v>40</v>
      </c>
      <c r="C52" s="6" t="s">
        <v>93</v>
      </c>
      <c r="D52" s="6" t="s">
        <v>318</v>
      </c>
      <c r="E52" s="6" t="s">
        <v>319</v>
      </c>
      <c r="F52" s="6" t="s">
        <v>320</v>
      </c>
      <c r="G52" s="6" t="s">
        <v>97</v>
      </c>
      <c r="H52" s="6" t="s">
        <v>321</v>
      </c>
    </row>
    <row r="53" customFormat="false" ht="108.75" hidden="false" customHeight="true" outlineLevel="0" collapsed="false">
      <c r="A53" s="6" t="s">
        <v>321</v>
      </c>
      <c r="B53" s="6" t="s">
        <v>40</v>
      </c>
      <c r="C53" s="6" t="s">
        <v>93</v>
      </c>
      <c r="D53" s="6" t="s">
        <v>322</v>
      </c>
      <c r="E53" s="6" t="s">
        <v>323</v>
      </c>
      <c r="F53" s="6" t="s">
        <v>324</v>
      </c>
      <c r="G53" s="6" t="s">
        <v>325</v>
      </c>
      <c r="H53" s="6" t="s">
        <v>326</v>
      </c>
    </row>
    <row r="54" customFormat="false" ht="122.25" hidden="false" customHeight="true" outlineLevel="0" collapsed="false">
      <c r="A54" s="6" t="s">
        <v>326</v>
      </c>
      <c r="B54" s="6" t="s">
        <v>40</v>
      </c>
      <c r="C54" s="6" t="s">
        <v>93</v>
      </c>
      <c r="D54" s="6" t="s">
        <v>327</v>
      </c>
      <c r="E54" s="6" t="s">
        <v>328</v>
      </c>
      <c r="F54" s="6" t="s">
        <v>329</v>
      </c>
      <c r="G54" s="6" t="s">
        <v>330</v>
      </c>
      <c r="H54" s="6" t="s">
        <v>331</v>
      </c>
    </row>
    <row r="55" customFormat="false" ht="54.75" hidden="false" customHeight="true" outlineLevel="0" collapsed="false">
      <c r="A55" s="6" t="s">
        <v>331</v>
      </c>
      <c r="B55" s="6" t="s">
        <v>40</v>
      </c>
      <c r="C55" s="6" t="s">
        <v>93</v>
      </c>
      <c r="D55" s="6" t="s">
        <v>332</v>
      </c>
      <c r="E55" s="6" t="s">
        <v>145</v>
      </c>
      <c r="F55" s="6" t="s">
        <v>333</v>
      </c>
      <c r="G55" s="6" t="s">
        <v>334</v>
      </c>
      <c r="H55" s="6" t="s">
        <v>42</v>
      </c>
    </row>
    <row r="56" customFormat="false" ht="95.25" hidden="false" customHeight="true" outlineLevel="0" collapsed="false">
      <c r="A56" s="6" t="s">
        <v>335</v>
      </c>
      <c r="B56" s="6" t="s">
        <v>43</v>
      </c>
      <c r="C56" s="6" t="s">
        <v>93</v>
      </c>
      <c r="D56" s="6" t="s">
        <v>336</v>
      </c>
      <c r="E56" s="6" t="s">
        <v>337</v>
      </c>
      <c r="F56" s="6" t="s">
        <v>338</v>
      </c>
      <c r="G56" s="6" t="s">
        <v>97</v>
      </c>
      <c r="H56" s="6" t="s">
        <v>339</v>
      </c>
    </row>
    <row r="57" customFormat="false" ht="68.25" hidden="false" customHeight="true" outlineLevel="0" collapsed="false">
      <c r="A57" s="6" t="s">
        <v>339</v>
      </c>
      <c r="B57" s="6" t="s">
        <v>43</v>
      </c>
      <c r="C57" s="6" t="s">
        <v>93</v>
      </c>
      <c r="D57" s="6" t="s">
        <v>340</v>
      </c>
      <c r="E57" s="6" t="s">
        <v>341</v>
      </c>
      <c r="F57" s="6" t="s">
        <v>342</v>
      </c>
      <c r="G57" s="6" t="s">
        <v>97</v>
      </c>
      <c r="H57" s="6" t="s">
        <v>343</v>
      </c>
    </row>
    <row r="58" customFormat="false" ht="95.25" hidden="false" customHeight="true" outlineLevel="0" collapsed="false">
      <c r="A58" s="6" t="s">
        <v>343</v>
      </c>
      <c r="B58" s="6" t="s">
        <v>43</v>
      </c>
      <c r="C58" s="6" t="s">
        <v>93</v>
      </c>
      <c r="D58" s="6" t="s">
        <v>344</v>
      </c>
      <c r="E58" s="6" t="s">
        <v>341</v>
      </c>
      <c r="F58" s="6" t="s">
        <v>345</v>
      </c>
      <c r="G58" s="6" t="s">
        <v>346</v>
      </c>
      <c r="H58" s="6" t="s">
        <v>347</v>
      </c>
    </row>
    <row r="59" customFormat="false" ht="68.25" hidden="false" customHeight="true" outlineLevel="0" collapsed="false">
      <c r="A59" s="6" t="s">
        <v>347</v>
      </c>
      <c r="B59" s="6" t="s">
        <v>43</v>
      </c>
      <c r="C59" s="6" t="s">
        <v>93</v>
      </c>
      <c r="D59" s="6" t="s">
        <v>348</v>
      </c>
      <c r="E59" s="6" t="s">
        <v>349</v>
      </c>
      <c r="F59" s="6" t="s">
        <v>350</v>
      </c>
      <c r="G59" s="6" t="s">
        <v>351</v>
      </c>
      <c r="H59" s="6" t="s">
        <v>45</v>
      </c>
    </row>
    <row r="60" customFormat="false" ht="81.75" hidden="false" customHeight="true" outlineLevel="0" collapsed="false">
      <c r="A60" s="6" t="s">
        <v>352</v>
      </c>
      <c r="B60" s="6" t="s">
        <v>46</v>
      </c>
      <c r="C60" s="6" t="s">
        <v>93</v>
      </c>
      <c r="D60" s="6" t="s">
        <v>353</v>
      </c>
      <c r="E60" s="6" t="s">
        <v>341</v>
      </c>
      <c r="F60" s="6" t="s">
        <v>354</v>
      </c>
      <c r="G60" s="6" t="s">
        <v>97</v>
      </c>
      <c r="H60" s="6" t="s">
        <v>355</v>
      </c>
    </row>
    <row r="61" customFormat="false" ht="68.25" hidden="false" customHeight="true" outlineLevel="0" collapsed="false">
      <c r="A61" s="6" t="s">
        <v>355</v>
      </c>
      <c r="B61" s="6" t="s">
        <v>46</v>
      </c>
      <c r="C61" s="6" t="s">
        <v>93</v>
      </c>
      <c r="D61" s="6" t="s">
        <v>356</v>
      </c>
      <c r="E61" s="6" t="s">
        <v>341</v>
      </c>
      <c r="F61" s="6" t="s">
        <v>357</v>
      </c>
      <c r="G61" s="6" t="s">
        <v>358</v>
      </c>
      <c r="H61" s="6" t="s">
        <v>359</v>
      </c>
    </row>
    <row r="62" customFormat="false" ht="95.25" hidden="false" customHeight="true" outlineLevel="0" collapsed="false">
      <c r="A62" s="6" t="s">
        <v>359</v>
      </c>
      <c r="B62" s="6" t="s">
        <v>46</v>
      </c>
      <c r="C62" s="6" t="s">
        <v>93</v>
      </c>
      <c r="D62" s="6" t="s">
        <v>360</v>
      </c>
      <c r="E62" s="6" t="s">
        <v>361</v>
      </c>
      <c r="F62" s="6" t="s">
        <v>362</v>
      </c>
      <c r="G62" s="6" t="s">
        <v>363</v>
      </c>
      <c r="H62" s="6" t="s">
        <v>364</v>
      </c>
    </row>
    <row r="63" customFormat="false" ht="54.75" hidden="false" customHeight="true" outlineLevel="0" collapsed="false">
      <c r="A63" s="6" t="s">
        <v>364</v>
      </c>
      <c r="B63" s="6" t="s">
        <v>46</v>
      </c>
      <c r="C63" s="6" t="s">
        <v>93</v>
      </c>
      <c r="D63" s="6" t="s">
        <v>365</v>
      </c>
      <c r="E63" s="6" t="s">
        <v>145</v>
      </c>
      <c r="F63" s="6" t="s">
        <v>366</v>
      </c>
      <c r="G63" s="6" t="s">
        <v>367</v>
      </c>
      <c r="H63" s="6" t="s">
        <v>48</v>
      </c>
    </row>
    <row r="64" customFormat="false" ht="54.75" hidden="false" customHeight="true" outlineLevel="0" collapsed="false">
      <c r="A64" s="6" t="s">
        <v>368</v>
      </c>
      <c r="B64" s="6" t="s">
        <v>49</v>
      </c>
      <c r="C64" s="6" t="s">
        <v>93</v>
      </c>
      <c r="D64" s="6" t="s">
        <v>369</v>
      </c>
      <c r="E64" s="6" t="s">
        <v>341</v>
      </c>
      <c r="F64" s="6" t="s">
        <v>370</v>
      </c>
      <c r="G64" s="6" t="s">
        <v>97</v>
      </c>
      <c r="H64" s="6" t="s">
        <v>371</v>
      </c>
    </row>
    <row r="65" customFormat="false" ht="81.75" hidden="false" customHeight="true" outlineLevel="0" collapsed="false">
      <c r="A65" s="6" t="s">
        <v>371</v>
      </c>
      <c r="B65" s="6" t="s">
        <v>49</v>
      </c>
      <c r="C65" s="6" t="s">
        <v>93</v>
      </c>
      <c r="D65" s="6" t="s">
        <v>372</v>
      </c>
      <c r="E65" s="6" t="s">
        <v>373</v>
      </c>
      <c r="F65" s="6" t="s">
        <v>374</v>
      </c>
      <c r="G65" s="6" t="s">
        <v>375</v>
      </c>
      <c r="H65" s="6" t="s">
        <v>376</v>
      </c>
    </row>
    <row r="66" customFormat="false" ht="68.25" hidden="false" customHeight="true" outlineLevel="0" collapsed="false">
      <c r="A66" s="6" t="s">
        <v>376</v>
      </c>
      <c r="B66" s="6" t="s">
        <v>49</v>
      </c>
      <c r="C66" s="6" t="s">
        <v>93</v>
      </c>
      <c r="D66" s="6" t="s">
        <v>377</v>
      </c>
      <c r="E66" s="6" t="s">
        <v>145</v>
      </c>
      <c r="F66" s="6" t="s">
        <v>378</v>
      </c>
      <c r="G66" s="6" t="s">
        <v>379</v>
      </c>
      <c r="H66" s="6" t="s">
        <v>51</v>
      </c>
    </row>
    <row r="67" customFormat="false" ht="81.75" hidden="false" customHeight="true" outlineLevel="0" collapsed="false">
      <c r="A67" s="6" t="s">
        <v>380</v>
      </c>
      <c r="B67" s="6" t="s">
        <v>52</v>
      </c>
      <c r="C67" s="6" t="s">
        <v>93</v>
      </c>
      <c r="D67" s="6" t="s">
        <v>381</v>
      </c>
      <c r="E67" s="6" t="s">
        <v>382</v>
      </c>
      <c r="F67" s="6" t="s">
        <v>383</v>
      </c>
      <c r="G67" s="6" t="s">
        <v>97</v>
      </c>
      <c r="H67" s="6" t="s">
        <v>384</v>
      </c>
    </row>
    <row r="68" customFormat="false" ht="95.25" hidden="false" customHeight="true" outlineLevel="0" collapsed="false">
      <c r="A68" s="6" t="s">
        <v>384</v>
      </c>
      <c r="B68" s="6" t="s">
        <v>52</v>
      </c>
      <c r="C68" s="6" t="s">
        <v>93</v>
      </c>
      <c r="D68" s="6" t="s">
        <v>385</v>
      </c>
      <c r="E68" s="6" t="s">
        <v>386</v>
      </c>
      <c r="F68" s="6" t="s">
        <v>387</v>
      </c>
      <c r="G68" s="6" t="s">
        <v>97</v>
      </c>
      <c r="H68" s="6" t="s">
        <v>388</v>
      </c>
    </row>
    <row r="69" customFormat="false" ht="68.25" hidden="false" customHeight="true" outlineLevel="0" collapsed="false">
      <c r="A69" s="6" t="s">
        <v>388</v>
      </c>
      <c r="B69" s="6" t="s">
        <v>52</v>
      </c>
      <c r="C69" s="6" t="s">
        <v>93</v>
      </c>
      <c r="D69" s="6" t="s">
        <v>389</v>
      </c>
      <c r="E69" s="6" t="s">
        <v>341</v>
      </c>
      <c r="F69" s="6" t="s">
        <v>390</v>
      </c>
      <c r="G69" s="6" t="s">
        <v>391</v>
      </c>
      <c r="H69" s="6" t="s">
        <v>392</v>
      </c>
    </row>
    <row r="70" customFormat="false" ht="54.75" hidden="false" customHeight="true" outlineLevel="0" collapsed="false">
      <c r="A70" s="6" t="s">
        <v>392</v>
      </c>
      <c r="B70" s="6" t="s">
        <v>52</v>
      </c>
      <c r="C70" s="6" t="s">
        <v>93</v>
      </c>
      <c r="D70" s="6" t="s">
        <v>393</v>
      </c>
      <c r="E70" s="6" t="s">
        <v>145</v>
      </c>
      <c r="F70" s="6" t="s">
        <v>394</v>
      </c>
      <c r="G70" s="6" t="s">
        <v>395</v>
      </c>
      <c r="H70" s="6" t="s">
        <v>54</v>
      </c>
    </row>
    <row r="71" customFormat="false" ht="54.75" hidden="false" customHeight="true" outlineLevel="0" collapsed="false">
      <c r="A71" s="6" t="s">
        <v>396</v>
      </c>
      <c r="B71" s="6" t="s">
        <v>55</v>
      </c>
      <c r="C71" s="6" t="s">
        <v>93</v>
      </c>
      <c r="D71" s="6" t="s">
        <v>397</v>
      </c>
      <c r="E71" s="6" t="s">
        <v>341</v>
      </c>
      <c r="F71" s="6" t="s">
        <v>398</v>
      </c>
      <c r="G71" s="6" t="s">
        <v>399</v>
      </c>
      <c r="H71" s="6" t="s">
        <v>400</v>
      </c>
    </row>
    <row r="72" customFormat="false" ht="81.75" hidden="false" customHeight="true" outlineLevel="0" collapsed="false">
      <c r="A72" s="6" t="s">
        <v>400</v>
      </c>
      <c r="B72" s="6" t="s">
        <v>55</v>
      </c>
      <c r="C72" s="6" t="s">
        <v>93</v>
      </c>
      <c r="D72" s="6" t="s">
        <v>401</v>
      </c>
      <c r="E72" s="6" t="s">
        <v>361</v>
      </c>
      <c r="F72" s="6" t="s">
        <v>402</v>
      </c>
      <c r="G72" s="6" t="s">
        <v>97</v>
      </c>
      <c r="H72" s="6" t="s">
        <v>403</v>
      </c>
    </row>
    <row r="73" customFormat="false" ht="95.25" hidden="false" customHeight="true" outlineLevel="0" collapsed="false">
      <c r="A73" s="6" t="s">
        <v>403</v>
      </c>
      <c r="B73" s="6" t="s">
        <v>55</v>
      </c>
      <c r="C73" s="6" t="s">
        <v>93</v>
      </c>
      <c r="D73" s="6" t="s">
        <v>404</v>
      </c>
      <c r="E73" s="6" t="s">
        <v>341</v>
      </c>
      <c r="F73" s="6" t="s">
        <v>405</v>
      </c>
      <c r="G73" s="6" t="s">
        <v>97</v>
      </c>
      <c r="H73" s="6" t="s">
        <v>406</v>
      </c>
    </row>
    <row r="74" customFormat="false" ht="68.25" hidden="false" customHeight="true" outlineLevel="0" collapsed="false">
      <c r="A74" s="6" t="s">
        <v>406</v>
      </c>
      <c r="B74" s="6" t="s">
        <v>55</v>
      </c>
      <c r="C74" s="6" t="s">
        <v>93</v>
      </c>
      <c r="D74" s="6" t="s">
        <v>407</v>
      </c>
      <c r="E74" s="6" t="s">
        <v>349</v>
      </c>
      <c r="F74" s="6" t="s">
        <v>408</v>
      </c>
      <c r="G74" s="6" t="s">
        <v>409</v>
      </c>
      <c r="H74" s="6" t="s">
        <v>57</v>
      </c>
    </row>
    <row r="75" customFormat="false" ht="54.75" hidden="false" customHeight="true" outlineLevel="0" collapsed="false">
      <c r="A75" s="6" t="s">
        <v>410</v>
      </c>
      <c r="B75" s="6" t="s">
        <v>58</v>
      </c>
      <c r="C75" s="6" t="s">
        <v>93</v>
      </c>
      <c r="D75" s="6" t="s">
        <v>411</v>
      </c>
      <c r="E75" s="6" t="s">
        <v>412</v>
      </c>
      <c r="F75" s="6" t="s">
        <v>413</v>
      </c>
      <c r="G75" s="6" t="s">
        <v>97</v>
      </c>
      <c r="H75" s="6" t="s">
        <v>414</v>
      </c>
    </row>
    <row r="76" customFormat="false" ht="122.25" hidden="false" customHeight="true" outlineLevel="0" collapsed="false">
      <c r="A76" s="6" t="s">
        <v>414</v>
      </c>
      <c r="B76" s="6" t="s">
        <v>58</v>
      </c>
      <c r="C76" s="6" t="s">
        <v>93</v>
      </c>
      <c r="D76" s="6" t="s">
        <v>415</v>
      </c>
      <c r="E76" s="6" t="s">
        <v>416</v>
      </c>
      <c r="F76" s="6" t="s">
        <v>417</v>
      </c>
      <c r="G76" s="6" t="s">
        <v>97</v>
      </c>
      <c r="H76" s="6" t="s">
        <v>418</v>
      </c>
    </row>
    <row r="77" customFormat="false" ht="54.75" hidden="false" customHeight="true" outlineLevel="0" collapsed="false">
      <c r="A77" s="6" t="s">
        <v>418</v>
      </c>
      <c r="B77" s="6" t="s">
        <v>58</v>
      </c>
      <c r="C77" s="6" t="s">
        <v>93</v>
      </c>
      <c r="D77" s="6" t="s">
        <v>419</v>
      </c>
      <c r="E77" s="6" t="s">
        <v>420</v>
      </c>
      <c r="F77" s="6" t="s">
        <v>421</v>
      </c>
      <c r="G77" s="6" t="s">
        <v>422</v>
      </c>
      <c r="H77" s="6" t="s">
        <v>423</v>
      </c>
    </row>
    <row r="78" customFormat="false" ht="81.75" hidden="false" customHeight="true" outlineLevel="0" collapsed="false">
      <c r="A78" s="6" t="s">
        <v>423</v>
      </c>
      <c r="B78" s="6" t="s">
        <v>58</v>
      </c>
      <c r="C78" s="6" t="s">
        <v>93</v>
      </c>
      <c r="D78" s="6" t="s">
        <v>424</v>
      </c>
      <c r="E78" s="6" t="s">
        <v>425</v>
      </c>
      <c r="F78" s="6" t="s">
        <v>426</v>
      </c>
      <c r="G78" s="6" t="s">
        <v>427</v>
      </c>
      <c r="H78" s="6" t="s">
        <v>428</v>
      </c>
    </row>
    <row r="79" customFormat="false" ht="54.75" hidden="false" customHeight="true" outlineLevel="0" collapsed="false">
      <c r="A79" s="6" t="s">
        <v>428</v>
      </c>
      <c r="B79" s="6" t="s">
        <v>58</v>
      </c>
      <c r="C79" s="6" t="s">
        <v>93</v>
      </c>
      <c r="D79" s="6" t="s">
        <v>429</v>
      </c>
      <c r="E79" s="6" t="s">
        <v>145</v>
      </c>
      <c r="F79" s="6" t="s">
        <v>430</v>
      </c>
      <c r="G79" s="6" t="s">
        <v>431</v>
      </c>
      <c r="H79" s="6" t="s">
        <v>60</v>
      </c>
    </row>
    <row r="80" customFormat="false" ht="108.75" hidden="false" customHeight="true" outlineLevel="0" collapsed="false">
      <c r="A80" s="6" t="s">
        <v>432</v>
      </c>
      <c r="B80" s="6" t="s">
        <v>61</v>
      </c>
      <c r="C80" s="6" t="s">
        <v>93</v>
      </c>
      <c r="D80" s="6" t="s">
        <v>433</v>
      </c>
      <c r="E80" s="6" t="s">
        <v>434</v>
      </c>
      <c r="F80" s="6" t="s">
        <v>435</v>
      </c>
      <c r="G80" s="6" t="s">
        <v>436</v>
      </c>
      <c r="H80" s="6" t="s">
        <v>437</v>
      </c>
    </row>
    <row r="81" customFormat="false" ht="95.25" hidden="false" customHeight="true" outlineLevel="0" collapsed="false">
      <c r="A81" s="6" t="s">
        <v>437</v>
      </c>
      <c r="B81" s="6" t="s">
        <v>61</v>
      </c>
      <c r="C81" s="6" t="s">
        <v>93</v>
      </c>
      <c r="D81" s="6" t="s">
        <v>438</v>
      </c>
      <c r="E81" s="6" t="s">
        <v>425</v>
      </c>
      <c r="F81" s="6" t="s">
        <v>439</v>
      </c>
      <c r="G81" s="6" t="s">
        <v>440</v>
      </c>
      <c r="H81" s="6" t="s">
        <v>441</v>
      </c>
    </row>
    <row r="82" customFormat="false" ht="41.25" hidden="false" customHeight="true" outlineLevel="0" collapsed="false">
      <c r="A82" s="6" t="s">
        <v>441</v>
      </c>
      <c r="B82" s="6" t="s">
        <v>61</v>
      </c>
      <c r="C82" s="6" t="s">
        <v>93</v>
      </c>
      <c r="D82" s="6" t="s">
        <v>442</v>
      </c>
      <c r="E82" s="6" t="s">
        <v>443</v>
      </c>
      <c r="F82" s="6" t="s">
        <v>444</v>
      </c>
      <c r="G82" s="6" t="s">
        <v>97</v>
      </c>
      <c r="H82" s="6" t="s">
        <v>445</v>
      </c>
    </row>
    <row r="83" customFormat="false" ht="54.75" hidden="false" customHeight="true" outlineLevel="0" collapsed="false">
      <c r="A83" s="6" t="s">
        <v>445</v>
      </c>
      <c r="B83" s="6" t="s">
        <v>61</v>
      </c>
      <c r="C83" s="6" t="s">
        <v>93</v>
      </c>
      <c r="D83" s="6" t="s">
        <v>446</v>
      </c>
      <c r="E83" s="6" t="s">
        <v>145</v>
      </c>
      <c r="F83" s="6" t="s">
        <v>447</v>
      </c>
      <c r="G83" s="6" t="s">
        <v>448</v>
      </c>
      <c r="H83" s="6" t="s">
        <v>63</v>
      </c>
    </row>
    <row r="84" customFormat="false" ht="81.75" hidden="false" customHeight="true" outlineLevel="0" collapsed="false">
      <c r="A84" s="6" t="s">
        <v>449</v>
      </c>
      <c r="B84" s="6" t="s">
        <v>64</v>
      </c>
      <c r="C84" s="6" t="s">
        <v>93</v>
      </c>
      <c r="D84" s="6" t="s">
        <v>450</v>
      </c>
      <c r="E84" s="6" t="s">
        <v>451</v>
      </c>
      <c r="F84" s="6" t="s">
        <v>452</v>
      </c>
      <c r="G84" s="6" t="s">
        <v>97</v>
      </c>
      <c r="H84" s="6" t="s">
        <v>453</v>
      </c>
    </row>
    <row r="85" customFormat="false" ht="122.25" hidden="false" customHeight="true" outlineLevel="0" collapsed="false">
      <c r="A85" s="6" t="s">
        <v>453</v>
      </c>
      <c r="B85" s="6" t="s">
        <v>64</v>
      </c>
      <c r="C85" s="6" t="s">
        <v>93</v>
      </c>
      <c r="D85" s="6" t="s">
        <v>454</v>
      </c>
      <c r="E85" s="6" t="s">
        <v>455</v>
      </c>
      <c r="F85" s="6" t="s">
        <v>456</v>
      </c>
      <c r="G85" s="6" t="s">
        <v>97</v>
      </c>
      <c r="H85" s="6" t="s">
        <v>457</v>
      </c>
    </row>
    <row r="86" customFormat="false" ht="95.25" hidden="false" customHeight="true" outlineLevel="0" collapsed="false">
      <c r="A86" s="6" t="s">
        <v>457</v>
      </c>
      <c r="B86" s="6" t="s">
        <v>64</v>
      </c>
      <c r="C86" s="6" t="s">
        <v>93</v>
      </c>
      <c r="D86" s="6" t="s">
        <v>458</v>
      </c>
      <c r="E86" s="6" t="s">
        <v>459</v>
      </c>
      <c r="F86" s="6" t="s">
        <v>460</v>
      </c>
      <c r="G86" s="6" t="s">
        <v>97</v>
      </c>
      <c r="H86" s="6" t="s">
        <v>461</v>
      </c>
    </row>
    <row r="87" customFormat="false" ht="95.25" hidden="false" customHeight="true" outlineLevel="0" collapsed="false">
      <c r="A87" s="6" t="s">
        <v>461</v>
      </c>
      <c r="B87" s="6" t="s">
        <v>64</v>
      </c>
      <c r="C87" s="6" t="s">
        <v>93</v>
      </c>
      <c r="D87" s="6" t="s">
        <v>462</v>
      </c>
      <c r="E87" s="6" t="s">
        <v>463</v>
      </c>
      <c r="F87" s="6" t="s">
        <v>464</v>
      </c>
      <c r="G87" s="6" t="s">
        <v>465</v>
      </c>
      <c r="H87" s="6" t="s">
        <v>466</v>
      </c>
    </row>
    <row r="88" customFormat="false" ht="81.75" hidden="false" customHeight="true" outlineLevel="0" collapsed="false">
      <c r="A88" s="6" t="s">
        <v>466</v>
      </c>
      <c r="B88" s="6" t="s">
        <v>64</v>
      </c>
      <c r="C88" s="6" t="s">
        <v>93</v>
      </c>
      <c r="D88" s="6" t="s">
        <v>467</v>
      </c>
      <c r="E88" s="6" t="s">
        <v>468</v>
      </c>
      <c r="F88" s="6" t="s">
        <v>469</v>
      </c>
      <c r="G88" s="6" t="s">
        <v>97</v>
      </c>
      <c r="H88" s="6" t="s">
        <v>470</v>
      </c>
    </row>
    <row r="89" customFormat="false" ht="68.25" hidden="false" customHeight="true" outlineLevel="0" collapsed="false">
      <c r="A89" s="6" t="s">
        <v>470</v>
      </c>
      <c r="B89" s="6" t="s">
        <v>64</v>
      </c>
      <c r="C89" s="6" t="s">
        <v>93</v>
      </c>
      <c r="D89" s="6" t="s">
        <v>471</v>
      </c>
      <c r="E89" s="6" t="s">
        <v>472</v>
      </c>
      <c r="F89" s="6" t="s">
        <v>473</v>
      </c>
      <c r="G89" s="6" t="s">
        <v>474</v>
      </c>
      <c r="H89" s="6" t="s">
        <v>475</v>
      </c>
    </row>
    <row r="90" customFormat="false" ht="68.25" hidden="false" customHeight="true" outlineLevel="0" collapsed="false">
      <c r="A90" s="6" t="s">
        <v>475</v>
      </c>
      <c r="B90" s="6" t="s">
        <v>64</v>
      </c>
      <c r="C90" s="6" t="s">
        <v>93</v>
      </c>
      <c r="D90" s="6" t="s">
        <v>476</v>
      </c>
      <c r="E90" s="6" t="s">
        <v>477</v>
      </c>
      <c r="F90" s="6" t="s">
        <v>478</v>
      </c>
      <c r="G90" s="6" t="s">
        <v>479</v>
      </c>
      <c r="H90" s="6" t="s">
        <v>480</v>
      </c>
    </row>
    <row r="91" customFormat="false" ht="68.25" hidden="false" customHeight="true" outlineLevel="0" collapsed="false">
      <c r="A91" s="6" t="s">
        <v>480</v>
      </c>
      <c r="B91" s="6" t="s">
        <v>64</v>
      </c>
      <c r="C91" s="6" t="s">
        <v>93</v>
      </c>
      <c r="D91" s="6" t="s">
        <v>481</v>
      </c>
      <c r="E91" s="6" t="s">
        <v>482</v>
      </c>
      <c r="F91" s="6" t="s">
        <v>483</v>
      </c>
      <c r="G91" s="6" t="s">
        <v>97</v>
      </c>
      <c r="H91" s="6" t="s">
        <v>484</v>
      </c>
    </row>
    <row r="92" customFormat="false" ht="54.75" hidden="false" customHeight="true" outlineLevel="0" collapsed="false">
      <c r="A92" s="6" t="s">
        <v>485</v>
      </c>
      <c r="B92" s="6" t="s">
        <v>486</v>
      </c>
      <c r="C92" s="6" t="s">
        <v>93</v>
      </c>
      <c r="D92" s="6" t="s">
        <v>487</v>
      </c>
      <c r="E92" s="6" t="s">
        <v>472</v>
      </c>
      <c r="F92" s="6" t="s">
        <v>488</v>
      </c>
      <c r="G92" s="6" t="s">
        <v>489</v>
      </c>
      <c r="H92" s="6" t="s">
        <v>490</v>
      </c>
    </row>
    <row r="93" customFormat="false" ht="95.25" hidden="false" customHeight="true" outlineLevel="0" collapsed="false">
      <c r="A93" s="6" t="s">
        <v>490</v>
      </c>
      <c r="B93" s="6" t="s">
        <v>67</v>
      </c>
      <c r="C93" s="6" t="s">
        <v>93</v>
      </c>
      <c r="D93" s="6" t="s">
        <v>491</v>
      </c>
      <c r="E93" s="6" t="s">
        <v>492</v>
      </c>
      <c r="F93" s="6" t="s">
        <v>493</v>
      </c>
      <c r="G93" s="6" t="s">
        <v>97</v>
      </c>
      <c r="H93" s="6" t="s">
        <v>494</v>
      </c>
    </row>
    <row r="94" customFormat="false" ht="81.75" hidden="false" customHeight="true" outlineLevel="0" collapsed="false">
      <c r="A94" s="6" t="s">
        <v>494</v>
      </c>
      <c r="B94" s="6" t="s">
        <v>67</v>
      </c>
      <c r="C94" s="6" t="s">
        <v>93</v>
      </c>
      <c r="D94" s="6" t="s">
        <v>495</v>
      </c>
      <c r="E94" s="6" t="s">
        <v>496</v>
      </c>
      <c r="F94" s="6" t="s">
        <v>497</v>
      </c>
      <c r="G94" s="6" t="s">
        <v>97</v>
      </c>
      <c r="H94" s="6" t="s">
        <v>498</v>
      </c>
    </row>
    <row r="95" customFormat="false" ht="95.25" hidden="false" customHeight="true" outlineLevel="0" collapsed="false">
      <c r="A95" s="6" t="s">
        <v>498</v>
      </c>
      <c r="B95" s="6" t="s">
        <v>67</v>
      </c>
      <c r="C95" s="6" t="s">
        <v>93</v>
      </c>
      <c r="D95" s="6" t="s">
        <v>499</v>
      </c>
      <c r="E95" s="6" t="s">
        <v>500</v>
      </c>
      <c r="F95" s="6" t="s">
        <v>501</v>
      </c>
      <c r="G95" s="6" t="s">
        <v>502</v>
      </c>
      <c r="H95" s="6" t="s">
        <v>503</v>
      </c>
    </row>
    <row r="96" customFormat="false" ht="95.25" hidden="false" customHeight="true" outlineLevel="0" collapsed="false">
      <c r="A96" s="6" t="s">
        <v>503</v>
      </c>
      <c r="B96" s="6" t="s">
        <v>67</v>
      </c>
      <c r="C96" s="6" t="s">
        <v>93</v>
      </c>
      <c r="D96" s="6" t="s">
        <v>504</v>
      </c>
      <c r="E96" s="6" t="s">
        <v>505</v>
      </c>
      <c r="F96" s="6" t="s">
        <v>506</v>
      </c>
      <c r="G96" s="6" t="s">
        <v>97</v>
      </c>
      <c r="H96" s="6" t="s">
        <v>507</v>
      </c>
    </row>
    <row r="97" customFormat="false" ht="135.75" hidden="false" customHeight="true" outlineLevel="0" collapsed="false">
      <c r="A97" s="6" t="s">
        <v>507</v>
      </c>
      <c r="B97" s="6" t="s">
        <v>67</v>
      </c>
      <c r="C97" s="6" t="s">
        <v>93</v>
      </c>
      <c r="D97" s="6" t="s">
        <v>508</v>
      </c>
      <c r="E97" s="6" t="s">
        <v>509</v>
      </c>
      <c r="F97" s="6" t="s">
        <v>510</v>
      </c>
      <c r="G97" s="6" t="s">
        <v>511</v>
      </c>
      <c r="H97" s="6" t="s">
        <v>512</v>
      </c>
    </row>
    <row r="98" customFormat="false" ht="68.25" hidden="false" customHeight="true" outlineLevel="0" collapsed="false">
      <c r="A98" s="6" t="s">
        <v>512</v>
      </c>
      <c r="B98" s="6" t="s">
        <v>67</v>
      </c>
      <c r="C98" s="6" t="s">
        <v>93</v>
      </c>
      <c r="D98" s="6" t="s">
        <v>513</v>
      </c>
      <c r="E98" s="6" t="s">
        <v>514</v>
      </c>
      <c r="F98" s="6" t="s">
        <v>515</v>
      </c>
      <c r="G98" s="6" t="s">
        <v>97</v>
      </c>
      <c r="H98" s="6" t="s">
        <v>516</v>
      </c>
    </row>
    <row r="99" customFormat="false" ht="68.25" hidden="false" customHeight="true" outlineLevel="0" collapsed="false">
      <c r="A99" s="6" t="s">
        <v>516</v>
      </c>
      <c r="B99" s="6" t="s">
        <v>67</v>
      </c>
      <c r="C99" s="6" t="s">
        <v>93</v>
      </c>
      <c r="D99" s="6" t="s">
        <v>517</v>
      </c>
      <c r="E99" s="6" t="s">
        <v>518</v>
      </c>
      <c r="F99" s="6" t="s">
        <v>519</v>
      </c>
      <c r="G99" s="6" t="s">
        <v>97</v>
      </c>
      <c r="H99" s="6" t="s">
        <v>520</v>
      </c>
    </row>
    <row r="100" customFormat="false" ht="68.25" hidden="false" customHeight="true" outlineLevel="0" collapsed="false">
      <c r="A100" s="6" t="s">
        <v>520</v>
      </c>
      <c r="B100" s="6" t="s">
        <v>67</v>
      </c>
      <c r="C100" s="6" t="s">
        <v>93</v>
      </c>
      <c r="D100" s="6" t="s">
        <v>521</v>
      </c>
      <c r="E100" s="6" t="s">
        <v>522</v>
      </c>
      <c r="F100" s="6" t="s">
        <v>523</v>
      </c>
      <c r="G100" s="6" t="s">
        <v>524</v>
      </c>
      <c r="H100" s="6" t="s">
        <v>525</v>
      </c>
    </row>
    <row r="101" customFormat="false" ht="95.25" hidden="false" customHeight="true" outlineLevel="0" collapsed="false">
      <c r="A101" s="6" t="s">
        <v>525</v>
      </c>
      <c r="B101" s="6" t="s">
        <v>67</v>
      </c>
      <c r="C101" s="6" t="s">
        <v>93</v>
      </c>
      <c r="D101" s="6" t="s">
        <v>526</v>
      </c>
      <c r="E101" s="6" t="s">
        <v>527</v>
      </c>
      <c r="F101" s="6" t="s">
        <v>528</v>
      </c>
      <c r="G101" s="6" t="s">
        <v>529</v>
      </c>
      <c r="H101" s="6" t="s">
        <v>69</v>
      </c>
    </row>
    <row r="102" customFormat="false" ht="68.25" hidden="false" customHeight="true" outlineLevel="0" collapsed="false">
      <c r="A102" s="6" t="s">
        <v>530</v>
      </c>
      <c r="B102" s="6" t="s">
        <v>67</v>
      </c>
      <c r="C102" s="6" t="s">
        <v>93</v>
      </c>
      <c r="D102" s="6" t="s">
        <v>531</v>
      </c>
      <c r="E102" s="6" t="s">
        <v>532</v>
      </c>
      <c r="F102" s="6" t="s">
        <v>533</v>
      </c>
      <c r="G102" s="6" t="s">
        <v>534</v>
      </c>
      <c r="H102" s="6" t="s">
        <v>69</v>
      </c>
    </row>
    <row r="103" customFormat="false" ht="122.25" hidden="false" customHeight="true" outlineLevel="0" collapsed="false">
      <c r="A103" s="6" t="s">
        <v>535</v>
      </c>
      <c r="B103" s="6" t="s">
        <v>70</v>
      </c>
      <c r="C103" s="6" t="s">
        <v>93</v>
      </c>
      <c r="D103" s="6" t="s">
        <v>536</v>
      </c>
      <c r="E103" s="6" t="s">
        <v>537</v>
      </c>
      <c r="F103" s="6" t="s">
        <v>538</v>
      </c>
      <c r="G103" s="6" t="s">
        <v>97</v>
      </c>
      <c r="H103" s="6" t="s">
        <v>539</v>
      </c>
    </row>
    <row r="104" customFormat="false" ht="108.75" hidden="false" customHeight="true" outlineLevel="0" collapsed="false">
      <c r="A104" s="6" t="s">
        <v>539</v>
      </c>
      <c r="B104" s="6" t="s">
        <v>70</v>
      </c>
      <c r="C104" s="6" t="s">
        <v>93</v>
      </c>
      <c r="D104" s="6" t="s">
        <v>540</v>
      </c>
      <c r="E104" s="6" t="s">
        <v>541</v>
      </c>
      <c r="F104" s="6" t="s">
        <v>542</v>
      </c>
      <c r="G104" s="6" t="s">
        <v>97</v>
      </c>
      <c r="H104" s="6" t="s">
        <v>543</v>
      </c>
    </row>
    <row r="105" customFormat="false" ht="81.75" hidden="false" customHeight="true" outlineLevel="0" collapsed="false">
      <c r="A105" s="6" t="s">
        <v>543</v>
      </c>
      <c r="B105" s="6" t="s">
        <v>70</v>
      </c>
      <c r="C105" s="6" t="s">
        <v>93</v>
      </c>
      <c r="D105" s="6" t="s">
        <v>544</v>
      </c>
      <c r="E105" s="6" t="s">
        <v>545</v>
      </c>
      <c r="F105" s="6" t="s">
        <v>546</v>
      </c>
      <c r="G105" s="6" t="s">
        <v>524</v>
      </c>
      <c r="H105" s="6" t="s">
        <v>547</v>
      </c>
    </row>
    <row r="106" customFormat="false" ht="68.25" hidden="false" customHeight="true" outlineLevel="0" collapsed="false">
      <c r="A106" s="6" t="s">
        <v>547</v>
      </c>
      <c r="B106" s="6" t="s">
        <v>70</v>
      </c>
      <c r="C106" s="6" t="s">
        <v>93</v>
      </c>
      <c r="D106" s="6" t="s">
        <v>548</v>
      </c>
      <c r="E106" s="6" t="s">
        <v>549</v>
      </c>
      <c r="F106" s="6" t="s">
        <v>550</v>
      </c>
      <c r="G106" s="6" t="s">
        <v>97</v>
      </c>
      <c r="H106" s="6" t="s">
        <v>551</v>
      </c>
    </row>
    <row r="107" customFormat="false" ht="81.75" hidden="false" customHeight="true" outlineLevel="0" collapsed="false">
      <c r="A107" s="6" t="s">
        <v>551</v>
      </c>
      <c r="B107" s="6" t="s">
        <v>70</v>
      </c>
      <c r="C107" s="6" t="s">
        <v>93</v>
      </c>
      <c r="D107" s="6" t="s">
        <v>552</v>
      </c>
      <c r="E107" s="6" t="s">
        <v>553</v>
      </c>
      <c r="F107" s="6" t="s">
        <v>554</v>
      </c>
      <c r="G107" s="6" t="s">
        <v>555</v>
      </c>
      <c r="H107" s="6" t="s">
        <v>72</v>
      </c>
    </row>
    <row r="108" customFormat="false" ht="68.25" hidden="false" customHeight="true" outlineLevel="0" collapsed="false">
      <c r="A108" s="6" t="s">
        <v>556</v>
      </c>
      <c r="B108" s="6" t="s">
        <v>73</v>
      </c>
      <c r="C108" s="6" t="s">
        <v>93</v>
      </c>
      <c r="D108" s="6" t="s">
        <v>557</v>
      </c>
      <c r="E108" s="6" t="s">
        <v>558</v>
      </c>
      <c r="F108" s="6" t="s">
        <v>559</v>
      </c>
      <c r="G108" s="6" t="s">
        <v>560</v>
      </c>
      <c r="H108" s="6" t="s">
        <v>561</v>
      </c>
    </row>
    <row r="109" customFormat="false" ht="108.75" hidden="false" customHeight="true" outlineLevel="0" collapsed="false">
      <c r="A109" s="6" t="s">
        <v>561</v>
      </c>
      <c r="B109" s="6" t="s">
        <v>73</v>
      </c>
      <c r="C109" s="6" t="s">
        <v>93</v>
      </c>
      <c r="D109" s="6" t="s">
        <v>562</v>
      </c>
      <c r="E109" s="6" t="s">
        <v>563</v>
      </c>
      <c r="F109" s="6" t="s">
        <v>564</v>
      </c>
      <c r="G109" s="6" t="s">
        <v>565</v>
      </c>
      <c r="H109" s="6" t="s">
        <v>566</v>
      </c>
    </row>
    <row r="110" customFormat="false" ht="108.75" hidden="false" customHeight="true" outlineLevel="0" collapsed="false">
      <c r="A110" s="6" t="s">
        <v>566</v>
      </c>
      <c r="B110" s="6" t="s">
        <v>73</v>
      </c>
      <c r="C110" s="6" t="s">
        <v>93</v>
      </c>
      <c r="D110" s="6" t="s">
        <v>567</v>
      </c>
      <c r="E110" s="6" t="s">
        <v>568</v>
      </c>
      <c r="F110" s="6" t="s">
        <v>569</v>
      </c>
      <c r="G110" s="6" t="s">
        <v>97</v>
      </c>
      <c r="H110" s="6" t="s">
        <v>570</v>
      </c>
    </row>
    <row r="111" customFormat="false" ht="122.25" hidden="false" customHeight="true" outlineLevel="0" collapsed="false">
      <c r="A111" s="6" t="s">
        <v>570</v>
      </c>
      <c r="B111" s="6" t="s">
        <v>73</v>
      </c>
      <c r="C111" s="6" t="s">
        <v>93</v>
      </c>
      <c r="D111" s="6" t="s">
        <v>571</v>
      </c>
      <c r="E111" s="6" t="s">
        <v>572</v>
      </c>
      <c r="F111" s="6" t="s">
        <v>573</v>
      </c>
      <c r="G111" s="6" t="s">
        <v>165</v>
      </c>
      <c r="H111" s="6" t="s">
        <v>574</v>
      </c>
    </row>
    <row r="112" customFormat="false" ht="122.25" hidden="false" customHeight="true" outlineLevel="0" collapsed="false">
      <c r="A112" s="6" t="s">
        <v>574</v>
      </c>
      <c r="B112" s="6" t="s">
        <v>73</v>
      </c>
      <c r="C112" s="6" t="s">
        <v>93</v>
      </c>
      <c r="D112" s="6" t="s">
        <v>575</v>
      </c>
      <c r="E112" s="6" t="s">
        <v>576</v>
      </c>
      <c r="F112" s="6" t="s">
        <v>577</v>
      </c>
      <c r="G112" s="6" t="s">
        <v>578</v>
      </c>
      <c r="H112" s="6" t="s">
        <v>579</v>
      </c>
    </row>
    <row r="113" customFormat="false" ht="108.75" hidden="false" customHeight="true" outlineLevel="0" collapsed="false">
      <c r="A113" s="6" t="s">
        <v>579</v>
      </c>
      <c r="B113" s="6" t="s">
        <v>73</v>
      </c>
      <c r="C113" s="6" t="s">
        <v>93</v>
      </c>
      <c r="D113" s="6" t="s">
        <v>580</v>
      </c>
      <c r="E113" s="6" t="s">
        <v>581</v>
      </c>
      <c r="F113" s="6" t="s">
        <v>582</v>
      </c>
      <c r="G113" s="6" t="s">
        <v>97</v>
      </c>
      <c r="H113" s="6" t="s">
        <v>583</v>
      </c>
    </row>
    <row r="114" customFormat="false" ht="81.75" hidden="false" customHeight="true" outlineLevel="0" collapsed="false">
      <c r="A114" s="6" t="s">
        <v>583</v>
      </c>
      <c r="B114" s="6" t="s">
        <v>73</v>
      </c>
      <c r="C114" s="6" t="s">
        <v>93</v>
      </c>
      <c r="D114" s="6" t="s">
        <v>584</v>
      </c>
      <c r="E114" s="6" t="s">
        <v>585</v>
      </c>
      <c r="F114" s="6" t="s">
        <v>586</v>
      </c>
      <c r="G114" s="6" t="s">
        <v>534</v>
      </c>
      <c r="H114" s="6" t="s">
        <v>75</v>
      </c>
    </row>
    <row r="115" customFormat="false" ht="81.75" hidden="false" customHeight="true" outlineLevel="0" collapsed="false">
      <c r="A115" s="6" t="s">
        <v>587</v>
      </c>
      <c r="B115" s="6" t="s">
        <v>76</v>
      </c>
      <c r="C115" s="6" t="s">
        <v>93</v>
      </c>
      <c r="D115" s="6" t="s">
        <v>588</v>
      </c>
      <c r="E115" s="6" t="s">
        <v>589</v>
      </c>
      <c r="F115" s="6" t="s">
        <v>590</v>
      </c>
      <c r="G115" s="6" t="s">
        <v>591</v>
      </c>
      <c r="H115" s="6" t="s">
        <v>592</v>
      </c>
    </row>
    <row r="116" customFormat="false" ht="95.25" hidden="false" customHeight="true" outlineLevel="0" collapsed="false">
      <c r="A116" s="6" t="s">
        <v>592</v>
      </c>
      <c r="B116" s="6" t="s">
        <v>76</v>
      </c>
      <c r="C116" s="6" t="s">
        <v>93</v>
      </c>
      <c r="D116" s="6" t="s">
        <v>593</v>
      </c>
      <c r="E116" s="6" t="s">
        <v>594</v>
      </c>
      <c r="F116" s="6" t="s">
        <v>595</v>
      </c>
      <c r="G116" s="6" t="s">
        <v>97</v>
      </c>
      <c r="H116" s="6" t="s">
        <v>596</v>
      </c>
    </row>
    <row r="117" customFormat="false" ht="108.75" hidden="false" customHeight="true" outlineLevel="0" collapsed="false">
      <c r="A117" s="6" t="s">
        <v>596</v>
      </c>
      <c r="B117" s="6" t="s">
        <v>76</v>
      </c>
      <c r="C117" s="6" t="s">
        <v>93</v>
      </c>
      <c r="D117" s="6" t="s">
        <v>597</v>
      </c>
      <c r="E117" s="6" t="s">
        <v>598</v>
      </c>
      <c r="F117" s="6" t="s">
        <v>599</v>
      </c>
      <c r="G117" s="6" t="s">
        <v>600</v>
      </c>
      <c r="H117" s="6" t="s">
        <v>601</v>
      </c>
    </row>
    <row r="118" customFormat="false" ht="95.25" hidden="false" customHeight="true" outlineLevel="0" collapsed="false">
      <c r="A118" s="6" t="s">
        <v>601</v>
      </c>
      <c r="B118" s="6" t="s">
        <v>76</v>
      </c>
      <c r="C118" s="6" t="s">
        <v>93</v>
      </c>
      <c r="D118" s="6" t="s">
        <v>602</v>
      </c>
      <c r="E118" s="6" t="s">
        <v>603</v>
      </c>
      <c r="F118" s="6" t="s">
        <v>604</v>
      </c>
      <c r="G118" s="6" t="s">
        <v>97</v>
      </c>
      <c r="H118" s="6" t="s">
        <v>605</v>
      </c>
    </row>
    <row r="119" customFormat="false" ht="54.75" hidden="false" customHeight="true" outlineLevel="0" collapsed="false">
      <c r="A119" s="6" t="s">
        <v>605</v>
      </c>
      <c r="B119" s="6" t="s">
        <v>76</v>
      </c>
      <c r="C119" s="6" t="s">
        <v>93</v>
      </c>
      <c r="D119" s="6" t="s">
        <v>606</v>
      </c>
      <c r="E119" s="6" t="s">
        <v>607</v>
      </c>
      <c r="F119" s="6" t="s">
        <v>608</v>
      </c>
      <c r="G119" s="6" t="s">
        <v>609</v>
      </c>
      <c r="H119" s="6" t="s">
        <v>78</v>
      </c>
    </row>
    <row r="120" customFormat="false" ht="91" hidden="false" customHeight="false" outlineLevel="0" collapsed="false">
      <c r="A120" s="5" t="s">
        <v>610</v>
      </c>
      <c r="B120" s="5" t="s">
        <v>79</v>
      </c>
      <c r="C120" s="5" t="s">
        <v>611</v>
      </c>
      <c r="D120" s="5" t="s">
        <v>612</v>
      </c>
      <c r="E120" s="5" t="s">
        <v>613</v>
      </c>
      <c r="F120" s="5" t="s">
        <v>614</v>
      </c>
      <c r="G120" s="5" t="s">
        <v>97</v>
      </c>
      <c r="H120" s="5" t="s">
        <v>615</v>
      </c>
    </row>
    <row r="121" customFormat="false" ht="102.2" hidden="false" customHeight="false" outlineLevel="0" collapsed="false">
      <c r="A121" s="5" t="s">
        <v>615</v>
      </c>
      <c r="B121" s="5" t="s">
        <v>79</v>
      </c>
      <c r="C121" s="5" t="s">
        <v>611</v>
      </c>
      <c r="D121" s="5" t="s">
        <v>616</v>
      </c>
      <c r="E121" s="5" t="s">
        <v>617</v>
      </c>
      <c r="F121" s="5" t="s">
        <v>618</v>
      </c>
      <c r="G121" s="5" t="s">
        <v>619</v>
      </c>
      <c r="H121" s="5" t="s">
        <v>620</v>
      </c>
    </row>
    <row r="122" customFormat="false" ht="147" hidden="false" customHeight="false" outlineLevel="0" collapsed="false">
      <c r="A122" s="5" t="s">
        <v>620</v>
      </c>
      <c r="B122" s="5" t="s">
        <v>79</v>
      </c>
      <c r="C122" s="5" t="s">
        <v>621</v>
      </c>
      <c r="D122" s="5" t="s">
        <v>622</v>
      </c>
      <c r="E122" s="5" t="s">
        <v>623</v>
      </c>
      <c r="F122" s="5" t="s">
        <v>624</v>
      </c>
      <c r="G122" s="5" t="s">
        <v>625</v>
      </c>
      <c r="H122" s="5" t="s">
        <v>626</v>
      </c>
    </row>
    <row r="123" customFormat="false" ht="91" hidden="false" customHeight="false" outlineLevel="0" collapsed="false">
      <c r="A123" s="5" t="s">
        <v>626</v>
      </c>
      <c r="B123" s="5" t="s">
        <v>79</v>
      </c>
      <c r="C123" s="5" t="s">
        <v>621</v>
      </c>
      <c r="D123" s="5" t="s">
        <v>627</v>
      </c>
      <c r="E123" s="5" t="s">
        <v>628</v>
      </c>
      <c r="F123" s="5" t="s">
        <v>629</v>
      </c>
      <c r="G123" s="5" t="s">
        <v>630</v>
      </c>
      <c r="H123" s="5" t="s">
        <v>631</v>
      </c>
    </row>
    <row r="124" customFormat="false" ht="135.8" hidden="false" customHeight="false" outlineLevel="0" collapsed="false">
      <c r="A124" s="5" t="s">
        <v>631</v>
      </c>
      <c r="B124" s="5" t="s">
        <v>79</v>
      </c>
      <c r="C124" s="5" t="s">
        <v>621</v>
      </c>
      <c r="D124" s="5" t="s">
        <v>632</v>
      </c>
      <c r="E124" s="5" t="s">
        <v>633</v>
      </c>
      <c r="F124" s="5" t="s">
        <v>634</v>
      </c>
      <c r="G124" s="5" t="s">
        <v>97</v>
      </c>
      <c r="H124" s="5" t="s">
        <v>635</v>
      </c>
    </row>
    <row r="125" customFormat="false" ht="91" hidden="false" customHeight="false" outlineLevel="0" collapsed="false">
      <c r="A125" s="5" t="s">
        <v>635</v>
      </c>
      <c r="B125" s="5" t="s">
        <v>79</v>
      </c>
      <c r="C125" s="5" t="s">
        <v>621</v>
      </c>
      <c r="D125" s="5" t="s">
        <v>636</v>
      </c>
      <c r="E125" s="5" t="s">
        <v>637</v>
      </c>
      <c r="F125" s="5" t="s">
        <v>638</v>
      </c>
      <c r="G125" s="5" t="s">
        <v>97</v>
      </c>
      <c r="H125" s="5" t="s">
        <v>639</v>
      </c>
    </row>
    <row r="126" customFormat="false" ht="124.6" hidden="false" customHeight="false" outlineLevel="0" collapsed="false">
      <c r="A126" s="5" t="s">
        <v>639</v>
      </c>
      <c r="B126" s="5" t="s">
        <v>79</v>
      </c>
      <c r="C126" s="5" t="s">
        <v>621</v>
      </c>
      <c r="D126" s="5" t="s">
        <v>640</v>
      </c>
      <c r="E126" s="5" t="s">
        <v>641</v>
      </c>
      <c r="F126" s="5" t="s">
        <v>642</v>
      </c>
      <c r="G126" s="5" t="s">
        <v>643</v>
      </c>
      <c r="H126" s="5" t="s">
        <v>644</v>
      </c>
    </row>
    <row r="127" customFormat="false" ht="79.85" hidden="false" customHeight="false" outlineLevel="0" collapsed="false">
      <c r="A127" s="5" t="s">
        <v>644</v>
      </c>
      <c r="B127" s="5" t="s">
        <v>79</v>
      </c>
      <c r="C127" s="5" t="s">
        <v>621</v>
      </c>
      <c r="D127" s="5" t="s">
        <v>645</v>
      </c>
      <c r="E127" s="5" t="s">
        <v>646</v>
      </c>
      <c r="F127" s="5" t="s">
        <v>647</v>
      </c>
      <c r="G127" s="5" t="s">
        <v>97</v>
      </c>
      <c r="H127" s="5" t="s">
        <v>648</v>
      </c>
    </row>
    <row r="128" customFormat="false" ht="169.4" hidden="false" customHeight="false" outlineLevel="0" collapsed="false">
      <c r="A128" s="5" t="s">
        <v>648</v>
      </c>
      <c r="B128" s="5" t="s">
        <v>79</v>
      </c>
      <c r="C128" s="5" t="s">
        <v>649</v>
      </c>
      <c r="D128" s="5" t="s">
        <v>650</v>
      </c>
      <c r="E128" s="5" t="s">
        <v>651</v>
      </c>
      <c r="F128" s="5" t="s">
        <v>652</v>
      </c>
      <c r="G128" s="5" t="s">
        <v>97</v>
      </c>
      <c r="H128" s="5" t="s">
        <v>653</v>
      </c>
    </row>
    <row r="129" customFormat="false" ht="158.2" hidden="false" customHeight="false" outlineLevel="0" collapsed="false">
      <c r="A129" s="5" t="s">
        <v>653</v>
      </c>
      <c r="B129" s="5" t="s">
        <v>79</v>
      </c>
      <c r="C129" s="5" t="s">
        <v>649</v>
      </c>
      <c r="D129" s="5" t="s">
        <v>654</v>
      </c>
      <c r="E129" s="5" t="s">
        <v>655</v>
      </c>
      <c r="F129" s="5" t="s">
        <v>656</v>
      </c>
      <c r="G129" s="5" t="s">
        <v>657</v>
      </c>
      <c r="H129" s="5" t="s">
        <v>658</v>
      </c>
    </row>
    <row r="130" customFormat="false" ht="169.4" hidden="false" customHeight="false" outlineLevel="0" collapsed="false">
      <c r="A130" s="5" t="s">
        <v>658</v>
      </c>
      <c r="B130" s="5" t="s">
        <v>79</v>
      </c>
      <c r="C130" s="5" t="s">
        <v>659</v>
      </c>
      <c r="D130" s="5" t="s">
        <v>660</v>
      </c>
      <c r="E130" s="5" t="s">
        <v>661</v>
      </c>
      <c r="F130" s="5" t="s">
        <v>662</v>
      </c>
      <c r="G130" s="5" t="s">
        <v>663</v>
      </c>
      <c r="H130" s="5" t="s">
        <v>664</v>
      </c>
    </row>
    <row r="131" customFormat="false" ht="124.6" hidden="false" customHeight="false" outlineLevel="0" collapsed="false">
      <c r="A131" s="5" t="s">
        <v>664</v>
      </c>
      <c r="B131" s="5" t="s">
        <v>79</v>
      </c>
      <c r="C131" s="5" t="s">
        <v>665</v>
      </c>
      <c r="D131" s="5" t="s">
        <v>666</v>
      </c>
      <c r="E131" s="5" t="s">
        <v>667</v>
      </c>
      <c r="F131" s="5" t="s">
        <v>668</v>
      </c>
      <c r="G131" s="5" t="s">
        <v>669</v>
      </c>
      <c r="H131" s="5" t="s">
        <v>670</v>
      </c>
    </row>
    <row r="132" customFormat="false" ht="91" hidden="false" customHeight="false" outlineLevel="0" collapsed="false">
      <c r="A132" s="5" t="s">
        <v>670</v>
      </c>
      <c r="B132" s="5" t="s">
        <v>79</v>
      </c>
      <c r="C132" s="5" t="s">
        <v>611</v>
      </c>
      <c r="D132" s="5" t="s">
        <v>671</v>
      </c>
      <c r="E132" s="5" t="s">
        <v>672</v>
      </c>
      <c r="F132" s="5" t="s">
        <v>673</v>
      </c>
      <c r="G132" s="5" t="s">
        <v>674</v>
      </c>
      <c r="H132" s="5" t="s">
        <v>675</v>
      </c>
    </row>
    <row r="133" customFormat="false" ht="102.2" hidden="false" customHeight="false" outlineLevel="0" collapsed="false">
      <c r="A133" s="5" t="s">
        <v>675</v>
      </c>
      <c r="B133" s="5" t="s">
        <v>79</v>
      </c>
      <c r="C133" s="5" t="s">
        <v>621</v>
      </c>
      <c r="D133" s="5" t="s">
        <v>676</v>
      </c>
      <c r="E133" s="5" t="s">
        <v>677</v>
      </c>
      <c r="F133" s="5" t="s">
        <v>678</v>
      </c>
      <c r="G133" s="5" t="s">
        <v>679</v>
      </c>
      <c r="H133" s="5"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60"/>
    <col collapsed="false" customWidth="true" hidden="false" outlineLevel="0" max="4" min="4" style="1" width="26"/>
    <col collapsed="false" customWidth="true" hidden="false" outlineLevel="0" max="5" min="5" style="1" width="22"/>
  </cols>
  <sheetData>
    <row r="1" customFormat="false" ht="15" hidden="false" customHeight="true" outlineLevel="0" collapsed="false">
      <c r="A1" s="2" t="s">
        <v>680</v>
      </c>
    </row>
    <row r="2" customFormat="false" ht="15" hidden="false" customHeight="true" outlineLevel="0" collapsed="false">
      <c r="A2" s="4" t="s">
        <v>85</v>
      </c>
      <c r="B2" s="4" t="s">
        <v>681</v>
      </c>
      <c r="C2" s="4" t="s">
        <v>682</v>
      </c>
      <c r="D2" s="4" t="s">
        <v>683</v>
      </c>
      <c r="E2" s="4" t="s">
        <v>6</v>
      </c>
    </row>
    <row r="3" customFormat="false" ht="23.25" hidden="false" customHeight="true" outlineLevel="0" collapsed="false">
      <c r="A3" s="5" t="s">
        <v>145</v>
      </c>
      <c r="B3" s="5" t="s">
        <v>684</v>
      </c>
      <c r="C3" s="5" t="s">
        <v>685</v>
      </c>
      <c r="D3" s="5" t="s">
        <v>686</v>
      </c>
      <c r="E3" s="5" t="s">
        <v>687</v>
      </c>
    </row>
    <row r="4" customFormat="false" ht="23.25" hidden="false" customHeight="true" outlineLevel="0" collapsed="false">
      <c r="A4" s="5" t="s">
        <v>688</v>
      </c>
      <c r="B4" s="5" t="s">
        <v>689</v>
      </c>
      <c r="C4" s="5" t="s">
        <v>690</v>
      </c>
      <c r="D4" s="5" t="s">
        <v>691</v>
      </c>
      <c r="E4" s="5" t="s">
        <v>692</v>
      </c>
    </row>
    <row r="5" customFormat="false" ht="23.25" hidden="false" customHeight="true" outlineLevel="0" collapsed="false">
      <c r="A5" s="5" t="s">
        <v>149</v>
      </c>
      <c r="B5" s="5" t="s">
        <v>693</v>
      </c>
      <c r="C5" s="5" t="s">
        <v>694</v>
      </c>
      <c r="D5" s="5" t="s">
        <v>686</v>
      </c>
      <c r="E5" s="5" t="s">
        <v>687</v>
      </c>
    </row>
    <row r="6" customFormat="false" ht="45.75" hidden="false" customHeight="true" outlineLevel="0" collapsed="false">
      <c r="A6" s="5" t="s">
        <v>695</v>
      </c>
      <c r="B6" s="5" t="s">
        <v>696</v>
      </c>
      <c r="C6" s="5" t="s">
        <v>697</v>
      </c>
      <c r="D6" s="5" t="s">
        <v>698</v>
      </c>
      <c r="E6" s="5" t="s">
        <v>699</v>
      </c>
    </row>
    <row r="7" customFormat="false" ht="23.25" hidden="false" customHeight="true" outlineLevel="0" collapsed="false">
      <c r="A7" s="5" t="s">
        <v>700</v>
      </c>
      <c r="B7" s="5" t="s">
        <v>701</v>
      </c>
      <c r="C7" s="5" t="s">
        <v>702</v>
      </c>
      <c r="D7" s="5" t="s">
        <v>703</v>
      </c>
      <c r="E7" s="5" t="s">
        <v>704</v>
      </c>
    </row>
    <row r="8" customFormat="false" ht="45.75" hidden="false" customHeight="true" outlineLevel="0" collapsed="false">
      <c r="A8" s="5" t="s">
        <v>705</v>
      </c>
      <c r="B8" s="5" t="s">
        <v>706</v>
      </c>
      <c r="C8" s="5" t="s">
        <v>707</v>
      </c>
      <c r="D8" s="5" t="s">
        <v>686</v>
      </c>
      <c r="E8" s="5" t="s">
        <v>708</v>
      </c>
    </row>
    <row r="9" customFormat="false" ht="57" hidden="false" customHeight="true" outlineLevel="0" collapsed="false">
      <c r="A9" s="5" t="s">
        <v>709</v>
      </c>
      <c r="B9" s="5" t="s">
        <v>710</v>
      </c>
      <c r="C9" s="5" t="s">
        <v>711</v>
      </c>
      <c r="D9" s="5" t="s">
        <v>686</v>
      </c>
      <c r="E9" s="5" t="s">
        <v>712</v>
      </c>
    </row>
    <row r="10" customFormat="false" ht="57" hidden="false" customHeight="true" outlineLevel="0" collapsed="false">
      <c r="A10" s="5" t="s">
        <v>713</v>
      </c>
      <c r="B10" s="5" t="s">
        <v>714</v>
      </c>
      <c r="C10" s="5" t="s">
        <v>715</v>
      </c>
      <c r="D10" s="5" t="s">
        <v>686</v>
      </c>
      <c r="E10" s="5" t="s">
        <v>716</v>
      </c>
    </row>
    <row r="11" customFormat="false" ht="68.25" hidden="false" customHeight="true" outlineLevel="0" collapsed="false">
      <c r="A11" s="5" t="s">
        <v>669</v>
      </c>
      <c r="B11" s="5" t="s">
        <v>717</v>
      </c>
      <c r="C11" s="5" t="s">
        <v>718</v>
      </c>
      <c r="D11" s="5" t="s">
        <v>686</v>
      </c>
      <c r="E11" s="5" t="s">
        <v>719</v>
      </c>
    </row>
    <row r="12" customFormat="false" ht="68.25" hidden="false" customHeight="true" outlineLevel="0" collapsed="false">
      <c r="A12" s="5" t="s">
        <v>720</v>
      </c>
      <c r="B12" s="5" t="s">
        <v>721</v>
      </c>
      <c r="C12" s="5" t="s">
        <v>722</v>
      </c>
      <c r="D12" s="5" t="s">
        <v>686</v>
      </c>
      <c r="E12" s="5" t="s">
        <v>723</v>
      </c>
    </row>
    <row r="13" customFormat="false" ht="57" hidden="false" customHeight="true" outlineLevel="0" collapsed="false">
      <c r="A13" s="5" t="s">
        <v>724</v>
      </c>
      <c r="B13" s="5" t="s">
        <v>725</v>
      </c>
      <c r="C13" s="5" t="s">
        <v>726</v>
      </c>
      <c r="D13" s="5" t="s">
        <v>686</v>
      </c>
      <c r="E13" s="5" t="s">
        <v>727</v>
      </c>
    </row>
    <row r="14" customFormat="false" ht="79.85" hidden="false" customHeight="false" outlineLevel="0" collapsed="false">
      <c r="A14" s="5" t="s">
        <v>728</v>
      </c>
      <c r="B14" s="5" t="s">
        <v>729</v>
      </c>
      <c r="C14" s="5" t="s">
        <v>730</v>
      </c>
      <c r="D14" s="5" t="s">
        <v>686</v>
      </c>
      <c r="E14" s="5" t="s">
        <v>731</v>
      </c>
    </row>
    <row r="15" customFormat="false" ht="46.25" hidden="false" customHeight="false" outlineLevel="0" collapsed="false">
      <c r="A15" s="5" t="s">
        <v>732</v>
      </c>
      <c r="B15" s="5" t="s">
        <v>733</v>
      </c>
      <c r="C15" s="5" t="s">
        <v>734</v>
      </c>
      <c r="D15" s="5" t="s">
        <v>735</v>
      </c>
      <c r="E15" s="5" t="s">
        <v>736</v>
      </c>
    </row>
    <row r="16" customFormat="false" ht="57.45" hidden="false" customHeight="false" outlineLevel="0" collapsed="false">
      <c r="A16" s="5" t="s">
        <v>737</v>
      </c>
      <c r="B16" s="5" t="s">
        <v>738</v>
      </c>
      <c r="C16" s="5" t="s">
        <v>739</v>
      </c>
      <c r="D16" s="5" t="s">
        <v>686</v>
      </c>
      <c r="E16" s="5" t="s">
        <v>740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4"/>
    <col collapsed="false" customWidth="true" hidden="false" outlineLevel="0" max="3" min="3" style="1" width="26"/>
    <col collapsed="false" customWidth="true" hidden="false" outlineLevel="0" max="4" min="4" style="1" width="7"/>
    <col collapsed="false" customWidth="true" hidden="false" outlineLevel="0" max="5" min="5" style="1" width="16"/>
    <col collapsed="false" customWidth="true" hidden="false" outlineLevel="0" max="6" min="6" style="1" width="20"/>
    <col collapsed="false" customWidth="true" hidden="false" outlineLevel="0" max="7" min="7" style="1" width="64"/>
  </cols>
  <sheetData>
    <row r="1" customFormat="false" ht="15" hidden="false" customHeight="true" outlineLevel="0" collapsed="false">
      <c r="A1" s="2" t="s">
        <v>741</v>
      </c>
    </row>
    <row r="2" customFormat="false" ht="15" hidden="false" customHeight="true" outlineLevel="0" collapsed="false">
      <c r="A2" s="7" t="s">
        <v>742</v>
      </c>
    </row>
    <row r="3" customFormat="false" ht="15" hidden="false" customHeight="true" outlineLevel="0" collapsed="false">
      <c r="A3" s="4" t="s">
        <v>85</v>
      </c>
      <c r="B3" s="4" t="s">
        <v>743</v>
      </c>
      <c r="C3" s="4" t="s">
        <v>744</v>
      </c>
      <c r="D3" s="4" t="s">
        <v>745</v>
      </c>
      <c r="E3" s="4" t="s">
        <v>746</v>
      </c>
      <c r="F3" s="4" t="s">
        <v>6</v>
      </c>
      <c r="G3" s="4" t="s">
        <v>747</v>
      </c>
    </row>
    <row r="4" customFormat="false" ht="23.25" hidden="false" customHeight="true" outlineLevel="0" collapsed="false">
      <c r="A4" s="5" t="s">
        <v>748</v>
      </c>
      <c r="B4" s="5" t="s">
        <v>749</v>
      </c>
      <c r="C4" s="5" t="s">
        <v>93</v>
      </c>
      <c r="D4" s="5" t="s">
        <v>750</v>
      </c>
      <c r="E4" s="5" t="s">
        <v>751</v>
      </c>
      <c r="F4" s="5" t="s">
        <v>752</v>
      </c>
      <c r="G4" s="5" t="s">
        <v>753</v>
      </c>
    </row>
    <row r="5" customFormat="false" ht="23.25" hidden="false" customHeight="true" outlineLevel="0" collapsed="false">
      <c r="A5" s="5" t="s">
        <v>754</v>
      </c>
      <c r="B5" s="5" t="s">
        <v>755</v>
      </c>
      <c r="C5" s="5" t="s">
        <v>93</v>
      </c>
      <c r="D5" s="5" t="s">
        <v>756</v>
      </c>
      <c r="E5" s="5" t="s">
        <v>751</v>
      </c>
      <c r="F5" s="5" t="s">
        <v>752</v>
      </c>
      <c r="G5" s="5" t="s">
        <v>757</v>
      </c>
    </row>
    <row r="6" customFormat="false" ht="15" hidden="false" customHeight="true" outlineLevel="0" collapsed="false">
      <c r="A6" s="5" t="s">
        <v>758</v>
      </c>
      <c r="B6" s="5" t="s">
        <v>759</v>
      </c>
      <c r="C6" s="5" t="s">
        <v>93</v>
      </c>
      <c r="D6" s="5" t="s">
        <v>750</v>
      </c>
      <c r="E6" s="5" t="s">
        <v>751</v>
      </c>
      <c r="F6" s="5" t="s">
        <v>752</v>
      </c>
      <c r="G6" s="5" t="s">
        <v>760</v>
      </c>
    </row>
    <row r="7" customFormat="false" ht="23.25" hidden="false" customHeight="true" outlineLevel="0" collapsed="false">
      <c r="A7" s="5" t="s">
        <v>761</v>
      </c>
      <c r="B7" s="5" t="s">
        <v>762</v>
      </c>
      <c r="C7" s="5" t="s">
        <v>763</v>
      </c>
      <c r="D7" s="5" t="s">
        <v>764</v>
      </c>
      <c r="E7" s="5" t="s">
        <v>751</v>
      </c>
      <c r="F7" s="5" t="s">
        <v>752</v>
      </c>
      <c r="G7" s="5" t="s">
        <v>765</v>
      </c>
    </row>
    <row r="8" customFormat="false" ht="23.25" hidden="false" customHeight="true" outlineLevel="0" collapsed="false">
      <c r="A8" s="5" t="s">
        <v>766</v>
      </c>
      <c r="B8" s="5" t="s">
        <v>767</v>
      </c>
      <c r="C8" s="5" t="s">
        <v>768</v>
      </c>
      <c r="D8" s="5" t="s">
        <v>769</v>
      </c>
      <c r="E8" s="5" t="s">
        <v>751</v>
      </c>
      <c r="F8" s="5" t="s">
        <v>752</v>
      </c>
      <c r="G8" s="5" t="s">
        <v>770</v>
      </c>
    </row>
    <row r="9" customFormat="false" ht="23.25" hidden="false" customHeight="true" outlineLevel="0" collapsed="false">
      <c r="A9" s="5" t="s">
        <v>771</v>
      </c>
      <c r="B9" s="5" t="s">
        <v>772</v>
      </c>
      <c r="C9" s="5" t="s">
        <v>773</v>
      </c>
      <c r="D9" s="5" t="s">
        <v>769</v>
      </c>
      <c r="E9" s="5" t="s">
        <v>751</v>
      </c>
      <c r="F9" s="5" t="s">
        <v>752</v>
      </c>
      <c r="G9" s="5" t="s">
        <v>774</v>
      </c>
    </row>
    <row r="10" customFormat="false" ht="15" hidden="false" customHeight="true" outlineLevel="0" collapsed="false">
      <c r="A10" s="5" t="s">
        <v>775</v>
      </c>
      <c r="B10" s="5" t="s">
        <v>776</v>
      </c>
      <c r="C10" s="5" t="s">
        <v>777</v>
      </c>
      <c r="D10" s="5" t="s">
        <v>750</v>
      </c>
      <c r="E10" s="5" t="s">
        <v>751</v>
      </c>
      <c r="F10" s="5" t="s">
        <v>752</v>
      </c>
      <c r="G10" s="5" t="s">
        <v>778</v>
      </c>
    </row>
    <row r="11" customFormat="false" ht="23.25" hidden="false" customHeight="true" outlineLevel="0" collapsed="false">
      <c r="A11" s="5" t="s">
        <v>779</v>
      </c>
      <c r="B11" s="5" t="s">
        <v>780</v>
      </c>
      <c r="C11" s="5" t="s">
        <v>781</v>
      </c>
      <c r="D11" s="5" t="s">
        <v>782</v>
      </c>
      <c r="E11" s="5" t="s">
        <v>751</v>
      </c>
      <c r="F11" s="5" t="s">
        <v>752</v>
      </c>
      <c r="G11" s="5" t="s">
        <v>783</v>
      </c>
    </row>
    <row r="12" customFormat="false" ht="23.25" hidden="false" customHeight="true" outlineLevel="0" collapsed="false">
      <c r="A12" s="5" t="s">
        <v>784</v>
      </c>
      <c r="B12" s="5" t="s">
        <v>785</v>
      </c>
      <c r="C12" s="5" t="s">
        <v>786</v>
      </c>
      <c r="D12" s="5" t="s">
        <v>787</v>
      </c>
      <c r="E12" s="5" t="s">
        <v>751</v>
      </c>
      <c r="F12" s="5" t="s">
        <v>752</v>
      </c>
      <c r="G12" s="5" t="s">
        <v>788</v>
      </c>
    </row>
    <row r="13" customFormat="false" ht="23.25" hidden="false" customHeight="true" outlineLevel="0" collapsed="false">
      <c r="A13" s="5" t="s">
        <v>789</v>
      </c>
      <c r="B13" s="5" t="s">
        <v>790</v>
      </c>
      <c r="C13" s="5" t="s">
        <v>791</v>
      </c>
      <c r="D13" s="5" t="s">
        <v>782</v>
      </c>
      <c r="E13" s="5" t="s">
        <v>751</v>
      </c>
      <c r="F13" s="5" t="s">
        <v>752</v>
      </c>
      <c r="G13" s="5" t="s">
        <v>792</v>
      </c>
    </row>
    <row r="14" customFormat="false" ht="23.25" hidden="false" customHeight="true" outlineLevel="0" collapsed="false">
      <c r="A14" s="5" t="s">
        <v>793</v>
      </c>
      <c r="B14" s="5" t="s">
        <v>794</v>
      </c>
      <c r="C14" s="5" t="s">
        <v>795</v>
      </c>
      <c r="D14" s="5" t="s">
        <v>796</v>
      </c>
      <c r="E14" s="5" t="s">
        <v>751</v>
      </c>
      <c r="F14" s="5" t="s">
        <v>752</v>
      </c>
      <c r="G14" s="5" t="s">
        <v>797</v>
      </c>
    </row>
    <row r="15" customFormat="false" ht="23.25" hidden="false" customHeight="true" outlineLevel="0" collapsed="false">
      <c r="A15" s="5" t="s">
        <v>798</v>
      </c>
      <c r="B15" s="5" t="s">
        <v>799</v>
      </c>
      <c r="C15" s="5" t="s">
        <v>118</v>
      </c>
      <c r="D15" s="5" t="s">
        <v>800</v>
      </c>
      <c r="E15" s="5" t="s">
        <v>751</v>
      </c>
      <c r="F15" s="5" t="s">
        <v>752</v>
      </c>
      <c r="G15" s="5" t="s">
        <v>801</v>
      </c>
    </row>
    <row r="16" customFormat="false" ht="15" hidden="false" customHeight="true" outlineLevel="0" collapsed="false">
      <c r="A16" s="5" t="s">
        <v>802</v>
      </c>
      <c r="B16" s="5" t="s">
        <v>803</v>
      </c>
      <c r="C16" s="5" t="s">
        <v>123</v>
      </c>
      <c r="D16" s="5" t="s">
        <v>804</v>
      </c>
      <c r="E16" s="5" t="s">
        <v>751</v>
      </c>
      <c r="F16" s="5" t="s">
        <v>752</v>
      </c>
      <c r="G16" s="5" t="s">
        <v>805</v>
      </c>
    </row>
    <row r="17" customFormat="false" ht="23.25" hidden="false" customHeight="true" outlineLevel="0" collapsed="false">
      <c r="A17" s="5" t="s">
        <v>806</v>
      </c>
      <c r="B17" s="5" t="s">
        <v>807</v>
      </c>
      <c r="C17" s="5" t="s">
        <v>808</v>
      </c>
      <c r="D17" s="5" t="s">
        <v>809</v>
      </c>
      <c r="E17" s="5" t="s">
        <v>751</v>
      </c>
      <c r="F17" s="5" t="s">
        <v>752</v>
      </c>
      <c r="G17" s="5" t="s">
        <v>810</v>
      </c>
    </row>
    <row r="18" customFormat="false" ht="23.25" hidden="false" customHeight="true" outlineLevel="0" collapsed="false">
      <c r="A18" s="5" t="s">
        <v>811</v>
      </c>
      <c r="B18" s="5" t="s">
        <v>812</v>
      </c>
      <c r="C18" s="5" t="s">
        <v>813</v>
      </c>
      <c r="D18" s="5" t="s">
        <v>787</v>
      </c>
      <c r="E18" s="5" t="s">
        <v>751</v>
      </c>
      <c r="F18" s="5" t="s">
        <v>814</v>
      </c>
      <c r="G18" s="5" t="s">
        <v>815</v>
      </c>
    </row>
    <row r="19" customFormat="false" ht="15" hidden="false" customHeight="true" outlineLevel="0" collapsed="false">
      <c r="A19" s="5" t="s">
        <v>816</v>
      </c>
      <c r="B19" s="5" t="s">
        <v>817</v>
      </c>
      <c r="C19" s="5" t="s">
        <v>135</v>
      </c>
      <c r="D19" s="5" t="s">
        <v>818</v>
      </c>
      <c r="E19" s="5" t="s">
        <v>751</v>
      </c>
      <c r="F19" s="5" t="s">
        <v>752</v>
      </c>
      <c r="G19" s="5" t="s">
        <v>819</v>
      </c>
    </row>
    <row r="20" customFormat="false" ht="23.25" hidden="false" customHeight="true" outlineLevel="0" collapsed="false">
      <c r="A20" s="5" t="s">
        <v>820</v>
      </c>
      <c r="B20" s="5" t="s">
        <v>821</v>
      </c>
      <c r="C20" s="5" t="s">
        <v>822</v>
      </c>
      <c r="D20" s="5" t="s">
        <v>823</v>
      </c>
      <c r="E20" s="5" t="s">
        <v>751</v>
      </c>
      <c r="F20" s="5" t="s">
        <v>752</v>
      </c>
      <c r="G20" s="5" t="s">
        <v>824</v>
      </c>
    </row>
    <row r="21" customFormat="false" ht="23.25" hidden="false" customHeight="true" outlineLevel="0" collapsed="false">
      <c r="A21" s="5" t="s">
        <v>825</v>
      </c>
      <c r="B21" s="5" t="s">
        <v>826</v>
      </c>
      <c r="C21" s="5" t="s">
        <v>827</v>
      </c>
      <c r="D21" s="5" t="s">
        <v>828</v>
      </c>
      <c r="E21" s="5" t="s">
        <v>751</v>
      </c>
      <c r="F21" s="5" t="s">
        <v>752</v>
      </c>
      <c r="G21" s="5" t="s">
        <v>829</v>
      </c>
    </row>
    <row r="22" customFormat="false" ht="23.25" hidden="false" customHeight="true" outlineLevel="0" collapsed="false">
      <c r="A22" s="5" t="s">
        <v>830</v>
      </c>
      <c r="B22" s="5" t="s">
        <v>831</v>
      </c>
      <c r="C22" s="5" t="s">
        <v>832</v>
      </c>
      <c r="D22" s="5" t="s">
        <v>833</v>
      </c>
      <c r="E22" s="5" t="s">
        <v>751</v>
      </c>
      <c r="F22" s="5" t="s">
        <v>814</v>
      </c>
      <c r="G22" s="5" t="s">
        <v>834</v>
      </c>
    </row>
    <row r="23" customFormat="false" ht="23.25" hidden="false" customHeight="true" outlineLevel="0" collapsed="false">
      <c r="A23" s="5" t="s">
        <v>835</v>
      </c>
      <c r="B23" s="5" t="s">
        <v>836</v>
      </c>
      <c r="C23" s="5" t="s">
        <v>837</v>
      </c>
      <c r="D23" s="5" t="s">
        <v>838</v>
      </c>
      <c r="E23" s="5" t="s">
        <v>839</v>
      </c>
      <c r="F23" s="5" t="s">
        <v>840</v>
      </c>
      <c r="G23" s="5" t="s">
        <v>841</v>
      </c>
    </row>
    <row r="24" customFormat="false" ht="23.25" hidden="false" customHeight="true" outlineLevel="0" collapsed="false">
      <c r="A24" s="5" t="s">
        <v>842</v>
      </c>
      <c r="B24" s="5" t="s">
        <v>843</v>
      </c>
      <c r="C24" s="5" t="s">
        <v>844</v>
      </c>
      <c r="D24" s="5" t="s">
        <v>769</v>
      </c>
      <c r="E24" s="5" t="s">
        <v>751</v>
      </c>
      <c r="F24" s="5" t="s">
        <v>752</v>
      </c>
      <c r="G24" s="5" t="s">
        <v>845</v>
      </c>
    </row>
    <row r="25" customFormat="false" ht="23.25" hidden="false" customHeight="true" outlineLevel="0" collapsed="false">
      <c r="A25" s="5" t="s">
        <v>846</v>
      </c>
      <c r="B25" s="5" t="s">
        <v>847</v>
      </c>
      <c r="C25" s="5" t="s">
        <v>848</v>
      </c>
      <c r="D25" s="5" t="s">
        <v>769</v>
      </c>
      <c r="E25" s="5" t="s">
        <v>751</v>
      </c>
      <c r="F25" s="5" t="s">
        <v>752</v>
      </c>
      <c r="G25" s="5" t="s">
        <v>849</v>
      </c>
    </row>
    <row r="26" customFormat="false" ht="23.25" hidden="false" customHeight="true" outlineLevel="0" collapsed="false">
      <c r="A26" s="5" t="s">
        <v>850</v>
      </c>
      <c r="B26" s="5" t="s">
        <v>851</v>
      </c>
      <c r="C26" s="5" t="s">
        <v>852</v>
      </c>
      <c r="D26" s="5" t="s">
        <v>769</v>
      </c>
      <c r="E26" s="5" t="s">
        <v>751</v>
      </c>
      <c r="F26" s="5" t="s">
        <v>752</v>
      </c>
      <c r="G26" s="5" t="s">
        <v>853</v>
      </c>
    </row>
    <row r="27" customFormat="false" ht="23.25" hidden="false" customHeight="true" outlineLevel="0" collapsed="false">
      <c r="A27" s="5" t="s">
        <v>854</v>
      </c>
      <c r="B27" s="5" t="s">
        <v>855</v>
      </c>
      <c r="C27" s="5" t="s">
        <v>856</v>
      </c>
      <c r="D27" s="5" t="s">
        <v>787</v>
      </c>
      <c r="E27" s="5" t="s">
        <v>857</v>
      </c>
      <c r="F27" s="5" t="s">
        <v>858</v>
      </c>
      <c r="G27" s="5" t="s">
        <v>859</v>
      </c>
    </row>
    <row r="28" customFormat="false" ht="23.25" hidden="false" customHeight="true" outlineLevel="0" collapsed="false">
      <c r="A28" s="5" t="s">
        <v>860</v>
      </c>
      <c r="B28" s="5" t="s">
        <v>861</v>
      </c>
      <c r="C28" s="5" t="s">
        <v>862</v>
      </c>
      <c r="D28" s="5" t="s">
        <v>787</v>
      </c>
      <c r="E28" s="5" t="s">
        <v>751</v>
      </c>
      <c r="F28" s="5" t="s">
        <v>863</v>
      </c>
      <c r="G28" s="5" t="s">
        <v>864</v>
      </c>
    </row>
    <row r="29" customFormat="false" ht="23.25" hidden="false" customHeight="true" outlineLevel="0" collapsed="false">
      <c r="A29" s="5" t="s">
        <v>865</v>
      </c>
      <c r="B29" s="5" t="s">
        <v>866</v>
      </c>
      <c r="C29" s="5" t="s">
        <v>867</v>
      </c>
      <c r="D29" s="5" t="s">
        <v>868</v>
      </c>
      <c r="E29" s="5" t="s">
        <v>751</v>
      </c>
      <c r="F29" s="5" t="s">
        <v>752</v>
      </c>
      <c r="G29" s="5" t="s">
        <v>869</v>
      </c>
    </row>
    <row r="30" customFormat="false" ht="15" hidden="false" customHeight="true" outlineLevel="0" collapsed="false">
      <c r="A30" s="5" t="s">
        <v>870</v>
      </c>
      <c r="B30" s="5" t="s">
        <v>871</v>
      </c>
      <c r="C30" s="5" t="s">
        <v>872</v>
      </c>
      <c r="D30" s="5" t="s">
        <v>764</v>
      </c>
      <c r="E30" s="5" t="s">
        <v>751</v>
      </c>
      <c r="F30" s="5" t="s">
        <v>752</v>
      </c>
      <c r="G30" s="5" t="s">
        <v>873</v>
      </c>
    </row>
    <row r="31" customFormat="false" ht="23.25" hidden="false" customHeight="true" outlineLevel="0" collapsed="false">
      <c r="A31" s="5" t="s">
        <v>874</v>
      </c>
      <c r="B31" s="5" t="s">
        <v>875</v>
      </c>
      <c r="C31" s="5" t="s">
        <v>876</v>
      </c>
      <c r="D31" s="5" t="s">
        <v>769</v>
      </c>
      <c r="E31" s="5" t="s">
        <v>751</v>
      </c>
      <c r="F31" s="5" t="s">
        <v>752</v>
      </c>
      <c r="G31" s="5" t="s">
        <v>877</v>
      </c>
    </row>
    <row r="32" customFormat="false" ht="23.25" hidden="false" customHeight="true" outlineLevel="0" collapsed="false">
      <c r="A32" s="5" t="s">
        <v>878</v>
      </c>
      <c r="B32" s="5" t="s">
        <v>879</v>
      </c>
      <c r="C32" s="5" t="s">
        <v>880</v>
      </c>
      <c r="D32" s="5" t="s">
        <v>764</v>
      </c>
      <c r="E32" s="5" t="s">
        <v>751</v>
      </c>
      <c r="F32" s="5" t="s">
        <v>814</v>
      </c>
      <c r="G32" s="5" t="s">
        <v>881</v>
      </c>
    </row>
    <row r="33" customFormat="false" ht="23.25" hidden="false" customHeight="true" outlineLevel="0" collapsed="false">
      <c r="A33" s="5" t="s">
        <v>882</v>
      </c>
      <c r="B33" s="5" t="s">
        <v>883</v>
      </c>
      <c r="C33" s="5" t="s">
        <v>884</v>
      </c>
      <c r="D33" s="5" t="s">
        <v>750</v>
      </c>
      <c r="E33" s="5" t="s">
        <v>751</v>
      </c>
      <c r="F33" s="5" t="s">
        <v>752</v>
      </c>
      <c r="G33" s="5" t="s">
        <v>885</v>
      </c>
    </row>
    <row r="34" customFormat="false" ht="15" hidden="false" customHeight="true" outlineLevel="0" collapsed="false">
      <c r="A34" s="5" t="s">
        <v>886</v>
      </c>
      <c r="B34" s="5" t="s">
        <v>887</v>
      </c>
      <c r="C34" s="5" t="s">
        <v>888</v>
      </c>
      <c r="D34" s="5" t="s">
        <v>889</v>
      </c>
      <c r="E34" s="5" t="s">
        <v>751</v>
      </c>
      <c r="F34" s="5" t="s">
        <v>752</v>
      </c>
      <c r="G34" s="5" t="s">
        <v>890</v>
      </c>
    </row>
    <row r="35" customFormat="false" ht="23.25" hidden="false" customHeight="true" outlineLevel="0" collapsed="false">
      <c r="A35" s="5" t="s">
        <v>891</v>
      </c>
      <c r="B35" s="5" t="s">
        <v>892</v>
      </c>
      <c r="C35" s="5" t="s">
        <v>893</v>
      </c>
      <c r="D35" s="5" t="s">
        <v>769</v>
      </c>
      <c r="E35" s="5" t="s">
        <v>894</v>
      </c>
      <c r="F35" s="5" t="s">
        <v>858</v>
      </c>
      <c r="G35" s="5" t="s">
        <v>895</v>
      </c>
    </row>
    <row r="36" customFormat="false" ht="23.25" hidden="false" customHeight="true" outlineLevel="0" collapsed="false">
      <c r="A36" s="5" t="s">
        <v>896</v>
      </c>
      <c r="B36" s="5" t="s">
        <v>897</v>
      </c>
      <c r="C36" s="5" t="s">
        <v>898</v>
      </c>
      <c r="D36" s="5" t="s">
        <v>769</v>
      </c>
      <c r="E36" s="5" t="s">
        <v>751</v>
      </c>
      <c r="F36" s="5" t="s">
        <v>752</v>
      </c>
      <c r="G36" s="5" t="s">
        <v>899</v>
      </c>
    </row>
    <row r="37" customFormat="false" ht="23.25" hidden="false" customHeight="true" outlineLevel="0" collapsed="false">
      <c r="A37" s="5" t="s">
        <v>900</v>
      </c>
      <c r="B37" s="5" t="s">
        <v>901</v>
      </c>
      <c r="C37" s="5" t="s">
        <v>902</v>
      </c>
      <c r="D37" s="5" t="s">
        <v>750</v>
      </c>
      <c r="E37" s="5" t="s">
        <v>857</v>
      </c>
      <c r="F37" s="5" t="s">
        <v>814</v>
      </c>
      <c r="G37" s="5" t="s">
        <v>903</v>
      </c>
    </row>
    <row r="38" customFormat="false" ht="23.25" hidden="false" customHeight="true" outlineLevel="0" collapsed="false">
      <c r="A38" s="5" t="s">
        <v>904</v>
      </c>
      <c r="B38" s="5" t="s">
        <v>905</v>
      </c>
      <c r="C38" s="5" t="s">
        <v>194</v>
      </c>
      <c r="D38" s="5" t="s">
        <v>750</v>
      </c>
      <c r="E38" s="5" t="s">
        <v>857</v>
      </c>
      <c r="F38" s="5" t="s">
        <v>814</v>
      </c>
      <c r="G38" s="5" t="s">
        <v>906</v>
      </c>
    </row>
    <row r="39" customFormat="false" ht="23.25" hidden="false" customHeight="true" outlineLevel="0" collapsed="false">
      <c r="A39" s="5" t="s">
        <v>907</v>
      </c>
      <c r="B39" s="5" t="s">
        <v>908</v>
      </c>
      <c r="C39" s="5" t="s">
        <v>909</v>
      </c>
      <c r="D39" s="5" t="s">
        <v>868</v>
      </c>
      <c r="E39" s="5" t="s">
        <v>751</v>
      </c>
      <c r="F39" s="5" t="s">
        <v>752</v>
      </c>
      <c r="G39" s="5" t="s">
        <v>910</v>
      </c>
    </row>
    <row r="40" customFormat="false" ht="23.25" hidden="false" customHeight="true" outlineLevel="0" collapsed="false">
      <c r="A40" s="5" t="s">
        <v>911</v>
      </c>
      <c r="B40" s="5" t="s">
        <v>912</v>
      </c>
      <c r="C40" s="5" t="s">
        <v>913</v>
      </c>
      <c r="D40" s="5" t="s">
        <v>868</v>
      </c>
      <c r="E40" s="5" t="s">
        <v>751</v>
      </c>
      <c r="F40" s="5" t="s">
        <v>752</v>
      </c>
      <c r="G40" s="5" t="s">
        <v>914</v>
      </c>
    </row>
    <row r="41" customFormat="false" ht="23.25" hidden="false" customHeight="true" outlineLevel="0" collapsed="false">
      <c r="A41" s="5" t="s">
        <v>915</v>
      </c>
      <c r="B41" s="5" t="s">
        <v>916</v>
      </c>
      <c r="C41" s="5" t="s">
        <v>917</v>
      </c>
      <c r="D41" s="5" t="s">
        <v>868</v>
      </c>
      <c r="E41" s="5" t="s">
        <v>751</v>
      </c>
      <c r="F41" s="5" t="s">
        <v>752</v>
      </c>
      <c r="G41" s="5" t="s">
        <v>918</v>
      </c>
    </row>
    <row r="42" customFormat="false" ht="27.75" hidden="false" customHeight="true" outlineLevel="0" collapsed="false">
      <c r="A42" s="6" t="s">
        <v>919</v>
      </c>
      <c r="B42" s="6" t="s">
        <v>920</v>
      </c>
      <c r="C42" s="6" t="s">
        <v>921</v>
      </c>
      <c r="D42" s="6" t="n">
        <v>0</v>
      </c>
      <c r="E42" s="6" t="s">
        <v>751</v>
      </c>
      <c r="F42" s="6" t="s">
        <v>752</v>
      </c>
      <c r="G42" s="6" t="s">
        <v>922</v>
      </c>
    </row>
    <row r="43" customFormat="false" ht="27.75" hidden="false" customHeight="true" outlineLevel="0" collapsed="false">
      <c r="A43" s="6" t="s">
        <v>923</v>
      </c>
      <c r="B43" s="6" t="s">
        <v>924</v>
      </c>
      <c r="C43" s="6" t="s">
        <v>925</v>
      </c>
      <c r="D43" s="6" t="n">
        <v>0</v>
      </c>
      <c r="E43" s="6" t="s">
        <v>751</v>
      </c>
      <c r="F43" s="6" t="s">
        <v>752</v>
      </c>
      <c r="G43" s="6" t="s">
        <v>926</v>
      </c>
    </row>
    <row r="44" customFormat="false" ht="27.75" hidden="false" customHeight="true" outlineLevel="0" collapsed="false">
      <c r="A44" s="6" t="s">
        <v>927</v>
      </c>
      <c r="B44" s="6" t="s">
        <v>928</v>
      </c>
      <c r="C44" s="6" t="s">
        <v>929</v>
      </c>
      <c r="D44" s="6" t="n">
        <v>0</v>
      </c>
      <c r="E44" s="6" t="s">
        <v>751</v>
      </c>
      <c r="F44" s="6" t="s">
        <v>752</v>
      </c>
      <c r="G44" s="6" t="s">
        <v>930</v>
      </c>
    </row>
    <row r="45" customFormat="false" ht="27.75" hidden="false" customHeight="true" outlineLevel="0" collapsed="false">
      <c r="A45" s="6" t="s">
        <v>931</v>
      </c>
      <c r="B45" s="6" t="s">
        <v>932</v>
      </c>
      <c r="C45" s="6" t="s">
        <v>933</v>
      </c>
      <c r="D45" s="6" t="n">
        <v>0</v>
      </c>
      <c r="E45" s="6" t="s">
        <v>751</v>
      </c>
      <c r="F45" s="6" t="s">
        <v>752</v>
      </c>
      <c r="G45" s="6" t="s">
        <v>934</v>
      </c>
    </row>
    <row r="46" customFormat="false" ht="27.75" hidden="false" customHeight="true" outlineLevel="0" collapsed="false">
      <c r="A46" s="6" t="s">
        <v>935</v>
      </c>
      <c r="B46" s="6" t="s">
        <v>936</v>
      </c>
      <c r="C46" s="6" t="s">
        <v>937</v>
      </c>
      <c r="D46" s="6" t="n">
        <v>0</v>
      </c>
      <c r="E46" s="6" t="s">
        <v>751</v>
      </c>
      <c r="F46" s="6" t="s">
        <v>752</v>
      </c>
      <c r="G46" s="6" t="s">
        <v>938</v>
      </c>
    </row>
    <row r="47" customFormat="false" ht="27.75" hidden="false" customHeight="true" outlineLevel="0" collapsed="false">
      <c r="A47" s="6" t="s">
        <v>939</v>
      </c>
      <c r="B47" s="6" t="s">
        <v>940</v>
      </c>
      <c r="C47" s="6" t="s">
        <v>844</v>
      </c>
      <c r="D47" s="6" t="n">
        <v>0</v>
      </c>
      <c r="E47" s="6" t="s">
        <v>751</v>
      </c>
      <c r="F47" s="6" t="s">
        <v>752</v>
      </c>
      <c r="G47" s="6" t="s">
        <v>941</v>
      </c>
    </row>
    <row r="48" customFormat="false" ht="27.75" hidden="false" customHeight="true" outlineLevel="0" collapsed="false">
      <c r="A48" s="6" t="s">
        <v>942</v>
      </c>
      <c r="B48" s="6" t="s">
        <v>943</v>
      </c>
      <c r="C48" s="6" t="s">
        <v>944</v>
      </c>
      <c r="D48" s="6" t="n">
        <v>0</v>
      </c>
      <c r="E48" s="6" t="s">
        <v>751</v>
      </c>
      <c r="F48" s="6" t="s">
        <v>752</v>
      </c>
      <c r="G48" s="6" t="s">
        <v>945</v>
      </c>
    </row>
    <row r="49" customFormat="false" ht="27.75" hidden="false" customHeight="true" outlineLevel="0" collapsed="false">
      <c r="A49" s="6" t="s">
        <v>946</v>
      </c>
      <c r="B49" s="6" t="s">
        <v>947</v>
      </c>
      <c r="C49" s="6" t="s">
        <v>948</v>
      </c>
      <c r="D49" s="6" t="n">
        <v>0</v>
      </c>
      <c r="E49" s="6" t="s">
        <v>751</v>
      </c>
      <c r="F49" s="6" t="s">
        <v>752</v>
      </c>
      <c r="G49" s="6" t="s">
        <v>949</v>
      </c>
    </row>
    <row r="50" customFormat="false" ht="27.75" hidden="false" customHeight="true" outlineLevel="0" collapsed="false">
      <c r="A50" s="6" t="s">
        <v>950</v>
      </c>
      <c r="B50" s="6" t="s">
        <v>951</v>
      </c>
      <c r="C50" s="6" t="s">
        <v>952</v>
      </c>
      <c r="D50" s="6" t="n">
        <v>0</v>
      </c>
      <c r="E50" s="6" t="s">
        <v>751</v>
      </c>
      <c r="F50" s="6" t="s">
        <v>752</v>
      </c>
      <c r="G50" s="6" t="s">
        <v>953</v>
      </c>
    </row>
    <row r="51" customFormat="false" ht="27.75" hidden="false" customHeight="true" outlineLevel="0" collapsed="false">
      <c r="A51" s="6" t="s">
        <v>954</v>
      </c>
      <c r="B51" s="6" t="s">
        <v>955</v>
      </c>
      <c r="C51" s="6" t="s">
        <v>956</v>
      </c>
      <c r="D51" s="6" t="n">
        <v>0</v>
      </c>
      <c r="E51" s="6" t="s">
        <v>751</v>
      </c>
      <c r="F51" s="6" t="s">
        <v>752</v>
      </c>
      <c r="G51" s="6" t="s">
        <v>957</v>
      </c>
    </row>
    <row r="52" customFormat="false" ht="27.75" hidden="false" customHeight="true" outlineLevel="0" collapsed="false">
      <c r="A52" s="6" t="s">
        <v>958</v>
      </c>
      <c r="B52" s="6" t="s">
        <v>959</v>
      </c>
      <c r="C52" s="6" t="s">
        <v>254</v>
      </c>
      <c r="D52" s="6" t="n">
        <v>0</v>
      </c>
      <c r="E52" s="6" t="s">
        <v>751</v>
      </c>
      <c r="F52" s="6" t="s">
        <v>752</v>
      </c>
      <c r="G52" s="6" t="s">
        <v>960</v>
      </c>
    </row>
    <row r="53" customFormat="false" ht="27.75" hidden="false" customHeight="true" outlineLevel="0" collapsed="false">
      <c r="A53" s="6" t="s">
        <v>961</v>
      </c>
      <c r="B53" s="6" t="s">
        <v>962</v>
      </c>
      <c r="C53" s="6" t="s">
        <v>963</v>
      </c>
      <c r="D53" s="6" t="n">
        <v>0</v>
      </c>
      <c r="E53" s="6" t="s">
        <v>751</v>
      </c>
      <c r="F53" s="6" t="s">
        <v>752</v>
      </c>
      <c r="G53" s="6" t="s">
        <v>964</v>
      </c>
    </row>
    <row r="54" customFormat="false" ht="27.75" hidden="false" customHeight="true" outlineLevel="0" collapsed="false">
      <c r="A54" s="6" t="s">
        <v>965</v>
      </c>
      <c r="B54" s="6" t="s">
        <v>966</v>
      </c>
      <c r="C54" s="6" t="s">
        <v>967</v>
      </c>
      <c r="D54" s="6" t="n">
        <v>0</v>
      </c>
      <c r="E54" s="6" t="s">
        <v>751</v>
      </c>
      <c r="F54" s="6" t="s">
        <v>752</v>
      </c>
      <c r="G54" s="6" t="s">
        <v>968</v>
      </c>
    </row>
    <row r="55" customFormat="false" ht="27.75" hidden="false" customHeight="true" outlineLevel="0" collapsed="false">
      <c r="A55" s="6" t="s">
        <v>969</v>
      </c>
      <c r="B55" s="6" t="s">
        <v>970</v>
      </c>
      <c r="C55" s="6" t="s">
        <v>971</v>
      </c>
      <c r="D55" s="6" t="n">
        <v>0</v>
      </c>
      <c r="E55" s="6" t="s">
        <v>751</v>
      </c>
      <c r="F55" s="6" t="s">
        <v>752</v>
      </c>
      <c r="G55" s="6" t="s">
        <v>972</v>
      </c>
    </row>
    <row r="56" customFormat="false" ht="15" hidden="false" customHeight="true" outlineLevel="0" collapsed="false">
      <c r="A56" s="6" t="s">
        <v>973</v>
      </c>
      <c r="B56" s="6" t="s">
        <v>974</v>
      </c>
      <c r="C56" s="6" t="s">
        <v>285</v>
      </c>
      <c r="D56" s="6" t="n">
        <v>0</v>
      </c>
      <c r="E56" s="6" t="s">
        <v>751</v>
      </c>
      <c r="F56" s="6" t="s">
        <v>752</v>
      </c>
      <c r="G56" s="6" t="s">
        <v>975</v>
      </c>
    </row>
    <row r="57" customFormat="false" ht="27.75" hidden="false" customHeight="true" outlineLevel="0" collapsed="false">
      <c r="A57" s="6" t="s">
        <v>976</v>
      </c>
      <c r="B57" s="6" t="s">
        <v>977</v>
      </c>
      <c r="C57" s="6" t="s">
        <v>978</v>
      </c>
      <c r="D57" s="6" t="n">
        <v>0</v>
      </c>
      <c r="E57" s="6" t="s">
        <v>751</v>
      </c>
      <c r="F57" s="6" t="s">
        <v>752</v>
      </c>
      <c r="G57" s="6" t="s">
        <v>979</v>
      </c>
    </row>
    <row r="58" customFormat="false" ht="27.75" hidden="false" customHeight="true" outlineLevel="0" collapsed="false">
      <c r="A58" s="6" t="s">
        <v>980</v>
      </c>
      <c r="B58" s="6" t="s">
        <v>981</v>
      </c>
      <c r="C58" s="6" t="s">
        <v>982</v>
      </c>
      <c r="D58" s="6" t="n">
        <v>0</v>
      </c>
      <c r="E58" s="6" t="s">
        <v>751</v>
      </c>
      <c r="F58" s="6" t="s">
        <v>752</v>
      </c>
      <c r="G58" s="6" t="s">
        <v>983</v>
      </c>
    </row>
    <row r="59" customFormat="false" ht="15" hidden="false" customHeight="true" outlineLevel="0" collapsed="false">
      <c r="A59" s="6" t="s">
        <v>984</v>
      </c>
      <c r="B59" s="6" t="s">
        <v>985</v>
      </c>
      <c r="C59" s="6" t="s">
        <v>264</v>
      </c>
      <c r="D59" s="6" t="n">
        <v>0</v>
      </c>
      <c r="E59" s="6" t="s">
        <v>751</v>
      </c>
      <c r="F59" s="6" t="s">
        <v>752</v>
      </c>
      <c r="G59" s="6" t="s">
        <v>986</v>
      </c>
    </row>
    <row r="60" customFormat="false" ht="15" hidden="false" customHeight="true" outlineLevel="0" collapsed="false">
      <c r="A60" s="6" t="s">
        <v>987</v>
      </c>
      <c r="B60" s="6" t="s">
        <v>988</v>
      </c>
      <c r="C60" s="6" t="s">
        <v>989</v>
      </c>
      <c r="D60" s="6" t="n">
        <v>0</v>
      </c>
      <c r="E60" s="6" t="s">
        <v>751</v>
      </c>
      <c r="F60" s="6" t="s">
        <v>752</v>
      </c>
      <c r="G60" s="6" t="s">
        <v>990</v>
      </c>
    </row>
    <row r="61" customFormat="false" ht="27.75" hidden="false" customHeight="true" outlineLevel="0" collapsed="false">
      <c r="A61" s="6" t="s">
        <v>991</v>
      </c>
      <c r="B61" s="6" t="s">
        <v>992</v>
      </c>
      <c r="C61" s="6" t="s">
        <v>993</v>
      </c>
      <c r="D61" s="6" t="n">
        <v>0</v>
      </c>
      <c r="E61" s="6" t="s">
        <v>751</v>
      </c>
      <c r="F61" s="6" t="s">
        <v>752</v>
      </c>
      <c r="G61" s="6" t="s">
        <v>994</v>
      </c>
    </row>
    <row r="62" customFormat="false" ht="15" hidden="false" customHeight="true" outlineLevel="0" collapsed="false">
      <c r="A62" s="6" t="s">
        <v>995</v>
      </c>
      <c r="B62" s="6" t="s">
        <v>996</v>
      </c>
      <c r="C62" s="6" t="s">
        <v>341</v>
      </c>
      <c r="D62" s="6" t="n">
        <v>0</v>
      </c>
      <c r="E62" s="6" t="s">
        <v>751</v>
      </c>
      <c r="F62" s="6" t="s">
        <v>752</v>
      </c>
      <c r="G62" s="6" t="s">
        <v>997</v>
      </c>
    </row>
    <row r="63" customFormat="false" ht="27.75" hidden="false" customHeight="true" outlineLevel="0" collapsed="false">
      <c r="A63" s="6" t="s">
        <v>998</v>
      </c>
      <c r="B63" s="6" t="s">
        <v>999</v>
      </c>
      <c r="C63" s="6" t="s">
        <v>323</v>
      </c>
      <c r="D63" s="6" t="n">
        <v>0</v>
      </c>
      <c r="E63" s="6" t="s">
        <v>751</v>
      </c>
      <c r="F63" s="6" t="s">
        <v>752</v>
      </c>
      <c r="G63" s="6" t="s">
        <v>1000</v>
      </c>
    </row>
    <row r="64" customFormat="false" ht="27.75" hidden="false" customHeight="true" outlineLevel="0" collapsed="false">
      <c r="A64" s="6" t="s">
        <v>1001</v>
      </c>
      <c r="B64" s="6" t="s">
        <v>1002</v>
      </c>
      <c r="C64" s="6" t="s">
        <v>341</v>
      </c>
      <c r="D64" s="6" t="n">
        <v>0</v>
      </c>
      <c r="E64" s="6" t="s">
        <v>751</v>
      </c>
      <c r="F64" s="6" t="s">
        <v>752</v>
      </c>
      <c r="G64" s="6" t="s">
        <v>1003</v>
      </c>
    </row>
    <row r="65" customFormat="false" ht="15" hidden="false" customHeight="true" outlineLevel="0" collapsed="false">
      <c r="A65" s="6" t="s">
        <v>1004</v>
      </c>
      <c r="B65" s="6" t="s">
        <v>1005</v>
      </c>
      <c r="C65" s="6" t="s">
        <v>341</v>
      </c>
      <c r="D65" s="6" t="n">
        <v>0</v>
      </c>
      <c r="E65" s="6" t="s">
        <v>751</v>
      </c>
      <c r="F65" s="6" t="s">
        <v>752</v>
      </c>
      <c r="G65" s="6" t="s">
        <v>1006</v>
      </c>
    </row>
    <row r="66" customFormat="false" ht="27.75" hidden="false" customHeight="true" outlineLevel="0" collapsed="false">
      <c r="A66" s="6" t="s">
        <v>1007</v>
      </c>
      <c r="B66" s="6" t="s">
        <v>1008</v>
      </c>
      <c r="C66" s="6" t="s">
        <v>337</v>
      </c>
      <c r="D66" s="6" t="n">
        <v>0</v>
      </c>
      <c r="E66" s="6" t="s">
        <v>751</v>
      </c>
      <c r="F66" s="6" t="s">
        <v>752</v>
      </c>
      <c r="G66" s="6" t="s">
        <v>1009</v>
      </c>
    </row>
    <row r="67" customFormat="false" ht="27.75" hidden="false" customHeight="true" outlineLevel="0" collapsed="false">
      <c r="A67" s="6" t="s">
        <v>1010</v>
      </c>
      <c r="B67" s="6" t="s">
        <v>1011</v>
      </c>
      <c r="C67" s="6" t="s">
        <v>341</v>
      </c>
      <c r="D67" s="6" t="n">
        <v>0</v>
      </c>
      <c r="E67" s="6" t="s">
        <v>751</v>
      </c>
      <c r="F67" s="6" t="s">
        <v>752</v>
      </c>
      <c r="G67" s="6" t="s">
        <v>1012</v>
      </c>
    </row>
    <row r="68" customFormat="false" ht="27.75" hidden="false" customHeight="true" outlineLevel="0" collapsed="false">
      <c r="A68" s="6" t="s">
        <v>1013</v>
      </c>
      <c r="B68" s="6" t="s">
        <v>1014</v>
      </c>
      <c r="C68" s="6" t="s">
        <v>341</v>
      </c>
      <c r="D68" s="6" t="n">
        <v>0</v>
      </c>
      <c r="E68" s="6" t="s">
        <v>751</v>
      </c>
      <c r="F68" s="6" t="s">
        <v>752</v>
      </c>
      <c r="G68" s="6" t="s">
        <v>1015</v>
      </c>
    </row>
    <row r="69" customFormat="false" ht="27.75" hidden="false" customHeight="true" outlineLevel="0" collapsed="false">
      <c r="A69" s="6" t="s">
        <v>1016</v>
      </c>
      <c r="B69" s="6" t="s">
        <v>1017</v>
      </c>
      <c r="C69" s="6" t="s">
        <v>373</v>
      </c>
      <c r="D69" s="6" t="n">
        <v>0</v>
      </c>
      <c r="E69" s="6" t="s">
        <v>751</v>
      </c>
      <c r="F69" s="6" t="s">
        <v>752</v>
      </c>
      <c r="G69" s="6" t="s">
        <v>1018</v>
      </c>
    </row>
    <row r="70" customFormat="false" ht="27.75" hidden="false" customHeight="true" outlineLevel="0" collapsed="false">
      <c r="A70" s="6" t="s">
        <v>1019</v>
      </c>
      <c r="B70" s="6" t="s">
        <v>1020</v>
      </c>
      <c r="C70" s="6" t="s">
        <v>341</v>
      </c>
      <c r="D70" s="6" t="n">
        <v>0</v>
      </c>
      <c r="E70" s="6" t="s">
        <v>751</v>
      </c>
      <c r="F70" s="6" t="s">
        <v>752</v>
      </c>
      <c r="G70" s="6" t="s">
        <v>1021</v>
      </c>
    </row>
    <row r="71" customFormat="false" ht="27.75" hidden="false" customHeight="true" outlineLevel="0" collapsed="false">
      <c r="A71" s="6" t="s">
        <v>1022</v>
      </c>
      <c r="B71" s="6" t="s">
        <v>1023</v>
      </c>
      <c r="C71" s="6" t="s">
        <v>373</v>
      </c>
      <c r="D71" s="6" t="n">
        <v>0</v>
      </c>
      <c r="E71" s="6" t="s">
        <v>751</v>
      </c>
      <c r="F71" s="6" t="s">
        <v>752</v>
      </c>
      <c r="G71" s="6" t="s">
        <v>1024</v>
      </c>
    </row>
    <row r="72" customFormat="false" ht="27.75" hidden="false" customHeight="true" outlineLevel="0" collapsed="false">
      <c r="A72" s="6" t="s">
        <v>1025</v>
      </c>
      <c r="B72" s="6" t="s">
        <v>1026</v>
      </c>
      <c r="C72" s="6" t="s">
        <v>1027</v>
      </c>
      <c r="D72" s="6" t="n">
        <v>0</v>
      </c>
      <c r="E72" s="6" t="s">
        <v>751</v>
      </c>
      <c r="F72" s="6" t="s">
        <v>752</v>
      </c>
      <c r="G72" s="6" t="s">
        <v>1028</v>
      </c>
    </row>
    <row r="73" customFormat="false" ht="27.75" hidden="false" customHeight="true" outlineLevel="0" collapsed="false">
      <c r="A73" s="6" t="s">
        <v>1029</v>
      </c>
      <c r="B73" s="6" t="s">
        <v>1030</v>
      </c>
      <c r="C73" s="6" t="s">
        <v>1031</v>
      </c>
      <c r="D73" s="6" t="n">
        <v>0</v>
      </c>
      <c r="E73" s="6" t="s">
        <v>751</v>
      </c>
      <c r="F73" s="6" t="s">
        <v>752</v>
      </c>
      <c r="G73" s="6" t="s">
        <v>1032</v>
      </c>
    </row>
    <row r="74" customFormat="false" ht="27.75" hidden="false" customHeight="true" outlineLevel="0" collapsed="false">
      <c r="A74" s="6" t="s">
        <v>1033</v>
      </c>
      <c r="B74" s="6" t="s">
        <v>1034</v>
      </c>
      <c r="C74" s="6" t="s">
        <v>1035</v>
      </c>
      <c r="D74" s="6" t="n">
        <v>0</v>
      </c>
      <c r="E74" s="6" t="s">
        <v>751</v>
      </c>
      <c r="F74" s="6" t="s">
        <v>752</v>
      </c>
      <c r="G74" s="6" t="s">
        <v>1036</v>
      </c>
    </row>
    <row r="75" customFormat="false" ht="41.25" hidden="false" customHeight="true" outlineLevel="0" collapsed="false">
      <c r="A75" s="6" t="s">
        <v>1037</v>
      </c>
      <c r="B75" s="6" t="s">
        <v>1038</v>
      </c>
      <c r="C75" s="6" t="s">
        <v>1039</v>
      </c>
      <c r="D75" s="6" t="n">
        <v>0</v>
      </c>
      <c r="E75" s="6" t="s">
        <v>751</v>
      </c>
      <c r="F75" s="6" t="s">
        <v>752</v>
      </c>
      <c r="G75" s="6" t="s">
        <v>1040</v>
      </c>
    </row>
    <row r="76" customFormat="false" ht="41.25" hidden="false" customHeight="true" outlineLevel="0" collapsed="false">
      <c r="A76" s="6" t="s">
        <v>1041</v>
      </c>
      <c r="B76" s="6" t="s">
        <v>1042</v>
      </c>
      <c r="C76" s="6" t="s">
        <v>1043</v>
      </c>
      <c r="D76" s="6" t="n">
        <v>0</v>
      </c>
      <c r="E76" s="6" t="s">
        <v>751</v>
      </c>
      <c r="F76" s="6" t="s">
        <v>752</v>
      </c>
      <c r="G76" s="6" t="s">
        <v>1044</v>
      </c>
    </row>
    <row r="77" customFormat="false" ht="27.75" hidden="false" customHeight="true" outlineLevel="0" collapsed="false">
      <c r="A77" s="6" t="s">
        <v>1045</v>
      </c>
      <c r="B77" s="6" t="s">
        <v>1046</v>
      </c>
      <c r="C77" s="6" t="s">
        <v>1047</v>
      </c>
      <c r="D77" s="6" t="n">
        <v>0</v>
      </c>
      <c r="E77" s="6" t="s">
        <v>751</v>
      </c>
      <c r="F77" s="6" t="s">
        <v>752</v>
      </c>
      <c r="G77" s="6" t="s">
        <v>1048</v>
      </c>
    </row>
    <row r="78" customFormat="false" ht="41.25" hidden="false" customHeight="true" outlineLevel="0" collapsed="false">
      <c r="A78" s="6" t="s">
        <v>1049</v>
      </c>
      <c r="B78" s="6" t="s">
        <v>1050</v>
      </c>
      <c r="C78" s="6" t="s">
        <v>1051</v>
      </c>
      <c r="D78" s="6" t="n">
        <v>0</v>
      </c>
      <c r="E78" s="6" t="s">
        <v>751</v>
      </c>
      <c r="F78" s="6" t="s">
        <v>752</v>
      </c>
      <c r="G78" s="6" t="s">
        <v>1052</v>
      </c>
    </row>
    <row r="79" customFormat="false" ht="27.75" hidden="false" customHeight="true" outlineLevel="0" collapsed="false">
      <c r="A79" s="6" t="s">
        <v>1053</v>
      </c>
      <c r="B79" s="6" t="s">
        <v>1054</v>
      </c>
      <c r="C79" s="6" t="s">
        <v>1055</v>
      </c>
      <c r="D79" s="6" t="n">
        <v>0</v>
      </c>
      <c r="E79" s="6" t="s">
        <v>751</v>
      </c>
      <c r="F79" s="6" t="s">
        <v>752</v>
      </c>
      <c r="G79" s="6" t="s">
        <v>1056</v>
      </c>
    </row>
    <row r="80" customFormat="false" ht="27.75" hidden="false" customHeight="true" outlineLevel="0" collapsed="false">
      <c r="A80" s="6" t="s">
        <v>1057</v>
      </c>
      <c r="B80" s="6" t="s">
        <v>1058</v>
      </c>
      <c r="C80" s="6" t="s">
        <v>1059</v>
      </c>
      <c r="D80" s="6" t="n">
        <v>0</v>
      </c>
      <c r="E80" s="6" t="s">
        <v>751</v>
      </c>
      <c r="F80" s="6" t="s">
        <v>752</v>
      </c>
      <c r="G80" s="6" t="s">
        <v>1060</v>
      </c>
    </row>
    <row r="81" customFormat="false" ht="27.75" hidden="false" customHeight="true" outlineLevel="0" collapsed="false">
      <c r="A81" s="6" t="s">
        <v>1061</v>
      </c>
      <c r="B81" s="6" t="s">
        <v>1062</v>
      </c>
      <c r="C81" s="6" t="s">
        <v>1063</v>
      </c>
      <c r="D81" s="6" t="n">
        <v>0</v>
      </c>
      <c r="E81" s="6" t="s">
        <v>751</v>
      </c>
      <c r="F81" s="6" t="s">
        <v>752</v>
      </c>
      <c r="G81" s="6" t="s">
        <v>1064</v>
      </c>
    </row>
    <row r="82" customFormat="false" ht="41.25" hidden="false" customHeight="true" outlineLevel="0" collapsed="false">
      <c r="A82" s="6" t="s">
        <v>1065</v>
      </c>
      <c r="B82" s="6" t="s">
        <v>1066</v>
      </c>
      <c r="C82" s="6" t="s">
        <v>541</v>
      </c>
      <c r="D82" s="6" t="n">
        <v>0</v>
      </c>
      <c r="E82" s="6" t="s">
        <v>751</v>
      </c>
      <c r="F82" s="6" t="s">
        <v>752</v>
      </c>
      <c r="G82" s="6" t="s">
        <v>1067</v>
      </c>
    </row>
    <row r="83" customFormat="false" ht="41.25" hidden="false" customHeight="true" outlineLevel="0" collapsed="false">
      <c r="A83" s="6" t="s">
        <v>1068</v>
      </c>
      <c r="B83" s="6" t="s">
        <v>1069</v>
      </c>
      <c r="C83" s="6" t="s">
        <v>1070</v>
      </c>
      <c r="D83" s="6" t="n">
        <v>0</v>
      </c>
      <c r="E83" s="6" t="s">
        <v>751</v>
      </c>
      <c r="F83" s="6" t="s">
        <v>814</v>
      </c>
      <c r="G83" s="6" t="s">
        <v>1071</v>
      </c>
    </row>
    <row r="84" customFormat="false" ht="27.75" hidden="false" customHeight="true" outlineLevel="0" collapsed="false">
      <c r="A84" s="6" t="s">
        <v>1072</v>
      </c>
      <c r="B84" s="6" t="s">
        <v>1073</v>
      </c>
      <c r="C84" s="6" t="s">
        <v>1074</v>
      </c>
      <c r="D84" s="6" t="n">
        <v>0</v>
      </c>
      <c r="E84" s="6" t="s">
        <v>751</v>
      </c>
      <c r="F84" s="6" t="s">
        <v>814</v>
      </c>
      <c r="G84" s="6" t="s">
        <v>1075</v>
      </c>
    </row>
    <row r="85" customFormat="false" ht="41.25" hidden="false" customHeight="true" outlineLevel="0" collapsed="false">
      <c r="A85" s="6" t="s">
        <v>1076</v>
      </c>
      <c r="B85" s="6" t="s">
        <v>1077</v>
      </c>
      <c r="C85" s="6" t="s">
        <v>1078</v>
      </c>
      <c r="D85" s="6" t="n">
        <v>0</v>
      </c>
      <c r="E85" s="6" t="s">
        <v>751</v>
      </c>
      <c r="F85" s="6" t="s">
        <v>752</v>
      </c>
      <c r="G85" s="6" t="s">
        <v>1079</v>
      </c>
    </row>
    <row r="86" customFormat="false" ht="27.75" hidden="false" customHeight="true" outlineLevel="0" collapsed="false">
      <c r="A86" s="6" t="s">
        <v>1080</v>
      </c>
      <c r="B86" s="6" t="s">
        <v>1081</v>
      </c>
      <c r="C86" s="6" t="s">
        <v>1082</v>
      </c>
      <c r="D86" s="6" t="n">
        <v>0</v>
      </c>
      <c r="E86" s="6" t="s">
        <v>751</v>
      </c>
      <c r="F86" s="6" t="s">
        <v>752</v>
      </c>
      <c r="G86" s="6" t="s">
        <v>1083</v>
      </c>
    </row>
    <row r="87" customFormat="false" ht="41.25" hidden="false" customHeight="true" outlineLevel="0" collapsed="false">
      <c r="A87" s="6" t="s">
        <v>1084</v>
      </c>
      <c r="B87" s="6" t="s">
        <v>1085</v>
      </c>
      <c r="C87" s="6" t="s">
        <v>1086</v>
      </c>
      <c r="D87" s="6" t="n">
        <v>0</v>
      </c>
      <c r="E87" s="6" t="s">
        <v>751</v>
      </c>
      <c r="F87" s="6" t="s">
        <v>752</v>
      </c>
      <c r="G87" s="6" t="s">
        <v>1087</v>
      </c>
    </row>
    <row r="88" customFormat="false" ht="27.75" hidden="false" customHeight="true" outlineLevel="0" collapsed="false">
      <c r="A88" s="6" t="s">
        <v>1088</v>
      </c>
      <c r="B88" s="6" t="s">
        <v>1089</v>
      </c>
      <c r="C88" s="6" t="s">
        <v>1090</v>
      </c>
      <c r="D88" s="6" t="n">
        <v>0</v>
      </c>
      <c r="E88" s="6" t="s">
        <v>751</v>
      </c>
      <c r="F88" s="6" t="s">
        <v>752</v>
      </c>
      <c r="G88" s="6" t="s">
        <v>1091</v>
      </c>
    </row>
    <row r="89" customFormat="false" ht="27.75" hidden="false" customHeight="true" outlineLevel="0" collapsed="false">
      <c r="A89" s="6" t="s">
        <v>1092</v>
      </c>
      <c r="B89" s="6" t="s">
        <v>1093</v>
      </c>
      <c r="C89" s="6" t="s">
        <v>1074</v>
      </c>
      <c r="D89" s="6" t="n">
        <v>0</v>
      </c>
      <c r="E89" s="6" t="s">
        <v>751</v>
      </c>
      <c r="F89" s="6" t="s">
        <v>752</v>
      </c>
      <c r="G89" s="6" t="s">
        <v>1094</v>
      </c>
    </row>
    <row r="90" customFormat="false" ht="41.25" hidden="false" customHeight="true" outlineLevel="0" collapsed="false">
      <c r="A90" s="6" t="s">
        <v>1095</v>
      </c>
      <c r="B90" s="6" t="s">
        <v>1096</v>
      </c>
      <c r="C90" s="6" t="s">
        <v>1097</v>
      </c>
      <c r="D90" s="6" t="n">
        <v>0</v>
      </c>
      <c r="E90" s="6" t="s">
        <v>751</v>
      </c>
      <c r="F90" s="6" t="s">
        <v>752</v>
      </c>
      <c r="G90" s="6" t="s">
        <v>1098</v>
      </c>
    </row>
    <row r="91" customFormat="false" ht="46.25" hidden="false" customHeight="false" outlineLevel="0" collapsed="false">
      <c r="A91" s="5" t="s">
        <v>1099</v>
      </c>
      <c r="B91" s="5" t="s">
        <v>1100</v>
      </c>
      <c r="C91" s="5" t="s">
        <v>1101</v>
      </c>
      <c r="D91" s="5" t="n">
        <v>0</v>
      </c>
      <c r="E91" s="5" t="s">
        <v>751</v>
      </c>
      <c r="F91" s="5" t="s">
        <v>752</v>
      </c>
      <c r="G91" s="5" t="s">
        <v>1102</v>
      </c>
    </row>
    <row r="92" customFormat="false" ht="23.85" hidden="false" customHeight="false" outlineLevel="0" collapsed="false">
      <c r="A92" s="5" t="s">
        <v>1103</v>
      </c>
      <c r="B92" s="5" t="s">
        <v>1104</v>
      </c>
      <c r="C92" s="5" t="s">
        <v>1105</v>
      </c>
      <c r="D92" s="5" t="n">
        <v>0</v>
      </c>
      <c r="E92" s="5" t="s">
        <v>751</v>
      </c>
      <c r="F92" s="5" t="s">
        <v>752</v>
      </c>
      <c r="G92" s="5" t="s">
        <v>1106</v>
      </c>
    </row>
    <row r="93" customFormat="false" ht="35.05" hidden="false" customHeight="false" outlineLevel="0" collapsed="false">
      <c r="A93" s="5" t="s">
        <v>1107</v>
      </c>
      <c r="B93" s="5" t="s">
        <v>1108</v>
      </c>
      <c r="C93" s="5" t="s">
        <v>1109</v>
      </c>
      <c r="D93" s="5" t="n">
        <v>0</v>
      </c>
      <c r="E93" s="5" t="s">
        <v>751</v>
      </c>
      <c r="F93" s="5" t="s">
        <v>752</v>
      </c>
      <c r="G93" s="5" t="s">
        <v>1110</v>
      </c>
    </row>
    <row r="94" customFormat="false" ht="35.05" hidden="false" customHeight="false" outlineLevel="0" collapsed="false">
      <c r="A94" s="5" t="s">
        <v>1111</v>
      </c>
      <c r="B94" s="5" t="s">
        <v>1112</v>
      </c>
      <c r="C94" s="5" t="s">
        <v>1113</v>
      </c>
      <c r="D94" s="5" t="n">
        <v>0</v>
      </c>
      <c r="E94" s="5" t="s">
        <v>751</v>
      </c>
      <c r="F94" s="5" t="s">
        <v>752</v>
      </c>
      <c r="G94" s="5" t="s">
        <v>1114</v>
      </c>
    </row>
    <row r="95" customFormat="false" ht="35.05" hidden="false" customHeight="false" outlineLevel="0" collapsed="false">
      <c r="A95" s="5" t="s">
        <v>1115</v>
      </c>
      <c r="B95" s="5" t="s">
        <v>1116</v>
      </c>
      <c r="C95" s="5" t="s">
        <v>1117</v>
      </c>
      <c r="D95" s="5" t="n">
        <v>0</v>
      </c>
      <c r="E95" s="5" t="s">
        <v>751</v>
      </c>
      <c r="F95" s="5" t="s">
        <v>752</v>
      </c>
      <c r="G95" s="5" t="s">
        <v>1118</v>
      </c>
    </row>
    <row r="96" customFormat="false" ht="46.25" hidden="false" customHeight="false" outlineLevel="0" collapsed="false">
      <c r="A96" s="5" t="s">
        <v>1119</v>
      </c>
      <c r="B96" s="5" t="s">
        <v>1120</v>
      </c>
      <c r="C96" s="5" t="s">
        <v>1121</v>
      </c>
      <c r="D96" s="5" t="n">
        <v>0</v>
      </c>
      <c r="E96" s="5" t="s">
        <v>751</v>
      </c>
      <c r="F96" s="5" t="s">
        <v>752</v>
      </c>
      <c r="G96" s="5" t="s">
        <v>1122</v>
      </c>
    </row>
    <row r="97" customFormat="false" ht="23.85" hidden="false" customHeight="false" outlineLevel="0" collapsed="false">
      <c r="A97" s="5" t="s">
        <v>1123</v>
      </c>
      <c r="B97" s="5" t="s">
        <v>1124</v>
      </c>
      <c r="C97" s="5" t="s">
        <v>1125</v>
      </c>
      <c r="D97" s="5" t="n">
        <v>0</v>
      </c>
      <c r="E97" s="5" t="s">
        <v>751</v>
      </c>
      <c r="F97" s="5" t="s">
        <v>752</v>
      </c>
      <c r="G97" s="5" t="s">
        <v>1126</v>
      </c>
    </row>
    <row r="98" customFormat="false" ht="46.25" hidden="false" customHeight="false" outlineLevel="0" collapsed="false">
      <c r="A98" s="5" t="s">
        <v>1127</v>
      </c>
      <c r="B98" s="5" t="s">
        <v>1128</v>
      </c>
      <c r="C98" s="5" t="s">
        <v>1129</v>
      </c>
      <c r="D98" s="5" t="n">
        <v>0</v>
      </c>
      <c r="E98" s="5" t="s">
        <v>751</v>
      </c>
      <c r="F98" s="5" t="s">
        <v>752</v>
      </c>
      <c r="G98" s="5" t="s">
        <v>1130</v>
      </c>
    </row>
    <row r="99" customFormat="false" ht="35.05" hidden="false" customHeight="false" outlineLevel="0" collapsed="false">
      <c r="A99" s="5" t="s">
        <v>1131</v>
      </c>
      <c r="B99" s="5" t="s">
        <v>1132</v>
      </c>
      <c r="C99" s="5" t="s">
        <v>1133</v>
      </c>
      <c r="D99" s="5" t="n">
        <v>0</v>
      </c>
      <c r="E99" s="5" t="s">
        <v>751</v>
      </c>
      <c r="F99" s="5" t="s">
        <v>752</v>
      </c>
      <c r="G99" s="5" t="s">
        <v>1134</v>
      </c>
    </row>
    <row r="100" customFormat="false" ht="57.45" hidden="false" customHeight="false" outlineLevel="0" collapsed="false">
      <c r="A100" s="5" t="s">
        <v>1135</v>
      </c>
      <c r="B100" s="5" t="s">
        <v>1136</v>
      </c>
      <c r="C100" s="5" t="s">
        <v>1137</v>
      </c>
      <c r="D100" s="5" t="n">
        <v>0</v>
      </c>
      <c r="E100" s="5" t="s">
        <v>751</v>
      </c>
      <c r="F100" s="5" t="s">
        <v>752</v>
      </c>
      <c r="G100" s="5" t="s">
        <v>1138</v>
      </c>
    </row>
    <row r="101" customFormat="false" ht="35.05" hidden="false" customHeight="false" outlineLevel="0" collapsed="false">
      <c r="A101" s="5" t="s">
        <v>1139</v>
      </c>
      <c r="B101" s="5" t="s">
        <v>1140</v>
      </c>
      <c r="C101" s="5" t="s">
        <v>1141</v>
      </c>
      <c r="D101" s="5" t="n">
        <v>0</v>
      </c>
      <c r="E101" s="5" t="s">
        <v>751</v>
      </c>
      <c r="F101" s="5" t="s">
        <v>752</v>
      </c>
      <c r="G101" s="5" t="s">
        <v>1142</v>
      </c>
    </row>
    <row r="102" customFormat="false" ht="23.85" hidden="false" customHeight="false" outlineLevel="0" collapsed="false">
      <c r="A102" s="5" t="s">
        <v>1143</v>
      </c>
      <c r="B102" s="5" t="s">
        <v>1144</v>
      </c>
      <c r="C102" s="5" t="s">
        <v>1145</v>
      </c>
      <c r="D102" s="5" t="n">
        <v>0</v>
      </c>
      <c r="E102" s="5" t="s">
        <v>751</v>
      </c>
      <c r="F102" s="5" t="s">
        <v>752</v>
      </c>
      <c r="G102" s="5" t="s">
        <v>1146</v>
      </c>
    </row>
    <row r="103" customFormat="false" ht="35.05" hidden="false" customHeight="false" outlineLevel="0" collapsed="false">
      <c r="A103" s="5" t="s">
        <v>1147</v>
      </c>
      <c r="B103" s="5" t="s">
        <v>1148</v>
      </c>
      <c r="C103" s="5" t="s">
        <v>1149</v>
      </c>
      <c r="D103" s="5" t="n">
        <v>0</v>
      </c>
      <c r="E103" s="5" t="s">
        <v>751</v>
      </c>
      <c r="F103" s="5" t="s">
        <v>752</v>
      </c>
      <c r="G103" s="5" t="s">
        <v>1150</v>
      </c>
    </row>
    <row r="104" customFormat="false" ht="46.25" hidden="false" customHeight="false" outlineLevel="0" collapsed="false">
      <c r="A104" s="5" t="s">
        <v>1151</v>
      </c>
      <c r="B104" s="5" t="s">
        <v>1152</v>
      </c>
      <c r="C104" s="5" t="s">
        <v>1153</v>
      </c>
      <c r="D104" s="5" t="n">
        <v>0</v>
      </c>
      <c r="E104" s="5" t="s">
        <v>751</v>
      </c>
      <c r="F104" s="5" t="s">
        <v>752</v>
      </c>
      <c r="G104" s="5" t="s">
        <v>1154</v>
      </c>
    </row>
    <row r="105" customFormat="false" ht="57.45" hidden="false" customHeight="false" outlineLevel="0" collapsed="false">
      <c r="A105" s="5" t="s">
        <v>1155</v>
      </c>
      <c r="B105" s="5" t="s">
        <v>1156</v>
      </c>
      <c r="C105" s="5" t="s">
        <v>1157</v>
      </c>
      <c r="D105" s="5" t="n">
        <v>0</v>
      </c>
      <c r="E105" s="5" t="s">
        <v>751</v>
      </c>
      <c r="F105" s="5" t="s">
        <v>752</v>
      </c>
      <c r="G105" s="5" t="s">
        <v>1158</v>
      </c>
    </row>
    <row r="106" customFormat="false" ht="35.05" hidden="false" customHeight="false" outlineLevel="0" collapsed="false">
      <c r="A106" s="5" t="s">
        <v>1159</v>
      </c>
      <c r="B106" s="5" t="s">
        <v>1160</v>
      </c>
      <c r="C106" s="5" t="s">
        <v>1161</v>
      </c>
      <c r="D106" s="5" t="n">
        <v>0</v>
      </c>
      <c r="E106" s="5" t="s">
        <v>751</v>
      </c>
      <c r="F106" s="5" t="s">
        <v>752</v>
      </c>
      <c r="G106" s="5" t="s">
        <v>1162</v>
      </c>
    </row>
    <row r="107" customFormat="false" ht="35.05" hidden="false" customHeight="false" outlineLevel="0" collapsed="false">
      <c r="A107" s="5" t="s">
        <v>1163</v>
      </c>
      <c r="B107" s="5" t="s">
        <v>1164</v>
      </c>
      <c r="C107" s="5" t="s">
        <v>1165</v>
      </c>
      <c r="D107" s="5" t="n">
        <v>0</v>
      </c>
      <c r="E107" s="5" t="s">
        <v>751</v>
      </c>
      <c r="F107" s="5" t="s">
        <v>752</v>
      </c>
      <c r="G107" s="5" t="s">
        <v>1166</v>
      </c>
    </row>
    <row r="108" customFormat="false" ht="68.65" hidden="false" customHeight="false" outlineLevel="0" collapsed="false">
      <c r="A108" s="5" t="s">
        <v>1167</v>
      </c>
      <c r="B108" s="5" t="s">
        <v>1168</v>
      </c>
      <c r="C108" s="5" t="s">
        <v>1169</v>
      </c>
      <c r="D108" s="5" t="n">
        <v>0</v>
      </c>
      <c r="E108" s="5" t="s">
        <v>751</v>
      </c>
      <c r="F108" s="5" t="s">
        <v>752</v>
      </c>
      <c r="G108" s="5" t="s">
        <v>1170</v>
      </c>
    </row>
    <row r="109" customFormat="false" ht="23.85" hidden="false" customHeight="false" outlineLevel="0" collapsed="false">
      <c r="A109" s="5" t="s">
        <v>1171</v>
      </c>
      <c r="B109" s="5" t="s">
        <v>1172</v>
      </c>
      <c r="C109" s="5" t="s">
        <v>1173</v>
      </c>
      <c r="D109" s="5" t="n">
        <v>0</v>
      </c>
      <c r="E109" s="5" t="s">
        <v>751</v>
      </c>
      <c r="F109" s="5" t="s">
        <v>752</v>
      </c>
      <c r="G109" s="5" t="s">
        <v>1174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4"/>
    <col collapsed="false" customWidth="true" hidden="false" outlineLevel="0" max="4" min="4" style="1" width="58"/>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0"/>
    <col collapsed="false" customWidth="true" hidden="false" outlineLevel="0" max="10" min="9" style="1" width="26"/>
    <col collapsed="false" customWidth="true" hidden="false" outlineLevel="0" max="11" min="11" style="1" width="64"/>
    <col collapsed="false" customWidth="true" hidden="false" outlineLevel="0" max="12" min="12" style="1" width="60"/>
  </cols>
  <sheetData>
    <row r="1" customFormat="false" ht="15" hidden="false" customHeight="true" outlineLevel="0" collapsed="false">
      <c r="A1" s="2" t="s">
        <v>1175</v>
      </c>
    </row>
    <row r="2" customFormat="false" ht="15" hidden="false" customHeight="true" outlineLevel="0" collapsed="false">
      <c r="A2" s="3" t="s">
        <v>1176</v>
      </c>
      <c r="L2" s="7" t="s">
        <v>1177</v>
      </c>
    </row>
    <row r="3" customFormat="false" ht="15" hidden="false" customHeight="true" outlineLevel="0" collapsed="false">
      <c r="A3" s="4" t="s">
        <v>1178</v>
      </c>
      <c r="B3" s="4" t="s">
        <v>1179</v>
      </c>
      <c r="C3" s="4" t="s">
        <v>1180</v>
      </c>
      <c r="D3" s="4" t="s">
        <v>1181</v>
      </c>
      <c r="E3" s="4" t="s">
        <v>745</v>
      </c>
      <c r="F3" s="4" t="s">
        <v>1182</v>
      </c>
      <c r="G3" s="4" t="s">
        <v>86</v>
      </c>
      <c r="H3" s="4" t="s">
        <v>1183</v>
      </c>
      <c r="I3" s="4" t="s">
        <v>1184</v>
      </c>
      <c r="J3" s="4" t="s">
        <v>6</v>
      </c>
      <c r="K3" s="4" t="s">
        <v>1185</v>
      </c>
      <c r="L3" s="4" t="s">
        <v>1186</v>
      </c>
    </row>
    <row r="4" customFormat="false" ht="23.25" hidden="false" customHeight="true" outlineLevel="0" collapsed="false">
      <c r="A4" s="5" t="s">
        <v>1187</v>
      </c>
      <c r="B4" s="5" t="s">
        <v>1188</v>
      </c>
      <c r="C4" s="5" t="s">
        <v>1189</v>
      </c>
      <c r="D4" s="5" t="s">
        <v>1190</v>
      </c>
      <c r="E4" s="5" t="n">
        <v>5</v>
      </c>
      <c r="F4" s="5" t="s">
        <v>1191</v>
      </c>
      <c r="G4" s="5" t="s">
        <v>106</v>
      </c>
      <c r="H4" s="5" t="s">
        <v>1192</v>
      </c>
      <c r="I4" s="5" t="s">
        <v>1193</v>
      </c>
      <c r="J4" s="5" t="s">
        <v>752</v>
      </c>
      <c r="K4" s="5" t="s">
        <v>1194</v>
      </c>
      <c r="L4" s="5" t="s">
        <v>1195</v>
      </c>
    </row>
    <row r="5" customFormat="false" ht="23.25" hidden="false" customHeight="true" outlineLevel="0" collapsed="false">
      <c r="A5" s="5" t="s">
        <v>1196</v>
      </c>
      <c r="B5" s="5" t="s">
        <v>1188</v>
      </c>
      <c r="C5" s="5" t="s">
        <v>1189</v>
      </c>
      <c r="D5" s="5" t="s">
        <v>1197</v>
      </c>
      <c r="E5" s="5" t="n">
        <v>8</v>
      </c>
      <c r="F5" s="5" t="s">
        <v>1191</v>
      </c>
      <c r="G5" s="5" t="s">
        <v>106</v>
      </c>
      <c r="H5" s="5" t="s">
        <v>1192</v>
      </c>
      <c r="I5" s="5" t="s">
        <v>1193</v>
      </c>
      <c r="J5" s="5" t="s">
        <v>752</v>
      </c>
      <c r="K5" s="5" t="s">
        <v>1198</v>
      </c>
      <c r="L5" s="5" t="s">
        <v>1195</v>
      </c>
    </row>
    <row r="6" customFormat="false" ht="23.25" hidden="false" customHeight="true" outlineLevel="0" collapsed="false">
      <c r="A6" s="5" t="s">
        <v>1199</v>
      </c>
      <c r="B6" s="5" t="s">
        <v>1188</v>
      </c>
      <c r="C6" s="5" t="s">
        <v>1189</v>
      </c>
      <c r="D6" s="5" t="s">
        <v>1200</v>
      </c>
      <c r="E6" s="5" t="n">
        <v>5</v>
      </c>
      <c r="F6" s="5" t="s">
        <v>1201</v>
      </c>
      <c r="G6" s="5" t="s">
        <v>106</v>
      </c>
      <c r="H6" s="5" t="s">
        <v>1192</v>
      </c>
      <c r="I6" s="5" t="s">
        <v>1193</v>
      </c>
      <c r="J6" s="5" t="s">
        <v>752</v>
      </c>
      <c r="K6" s="5" t="s">
        <v>1202</v>
      </c>
      <c r="L6" s="5" t="s">
        <v>1195</v>
      </c>
    </row>
    <row r="7" customFormat="false" ht="23.25" hidden="false" customHeight="true" outlineLevel="0" collapsed="false">
      <c r="A7" s="5" t="s">
        <v>1203</v>
      </c>
      <c r="B7" s="5" t="s">
        <v>1188</v>
      </c>
      <c r="C7" s="5" t="s">
        <v>1189</v>
      </c>
      <c r="D7" s="5" t="s">
        <v>1204</v>
      </c>
      <c r="E7" s="5" t="n">
        <v>3</v>
      </c>
      <c r="F7" s="5" t="s">
        <v>1191</v>
      </c>
      <c r="G7" s="5" t="s">
        <v>106</v>
      </c>
      <c r="H7" s="5" t="s">
        <v>1192</v>
      </c>
      <c r="I7" s="5" t="s">
        <v>1193</v>
      </c>
      <c r="J7" s="5" t="s">
        <v>752</v>
      </c>
      <c r="K7" s="5" t="s">
        <v>1205</v>
      </c>
      <c r="L7" s="5" t="s">
        <v>1195</v>
      </c>
    </row>
    <row r="8" customFormat="false" ht="23.25" hidden="false" customHeight="true" outlineLevel="0" collapsed="false">
      <c r="A8" s="5" t="s">
        <v>1206</v>
      </c>
      <c r="B8" s="5" t="s">
        <v>1188</v>
      </c>
      <c r="C8" s="5" t="s">
        <v>1189</v>
      </c>
      <c r="D8" s="5" t="s">
        <v>1207</v>
      </c>
      <c r="E8" s="5" t="n">
        <v>5</v>
      </c>
      <c r="F8" s="5" t="s">
        <v>1191</v>
      </c>
      <c r="G8" s="5" t="s">
        <v>111</v>
      </c>
      <c r="H8" s="5" t="s">
        <v>1192</v>
      </c>
      <c r="I8" s="5" t="s">
        <v>1193</v>
      </c>
      <c r="J8" s="5" t="s">
        <v>752</v>
      </c>
      <c r="K8" s="5" t="s">
        <v>1208</v>
      </c>
      <c r="L8" s="5" t="s">
        <v>1195</v>
      </c>
    </row>
    <row r="9" customFormat="false" ht="23.25" hidden="false" customHeight="true" outlineLevel="0" collapsed="false">
      <c r="A9" s="5" t="s">
        <v>1209</v>
      </c>
      <c r="B9" s="5" t="s">
        <v>1188</v>
      </c>
      <c r="C9" s="5" t="s">
        <v>1189</v>
      </c>
      <c r="D9" s="5" t="s">
        <v>1210</v>
      </c>
      <c r="E9" s="5" t="n">
        <v>3</v>
      </c>
      <c r="F9" s="5" t="s">
        <v>1201</v>
      </c>
      <c r="G9" s="5" t="s">
        <v>111</v>
      </c>
      <c r="H9" s="5" t="s">
        <v>1192</v>
      </c>
      <c r="I9" s="5" t="s">
        <v>1193</v>
      </c>
      <c r="J9" s="5" t="s">
        <v>752</v>
      </c>
      <c r="K9" s="5" t="s">
        <v>1211</v>
      </c>
      <c r="L9" s="5" t="s">
        <v>1195</v>
      </c>
    </row>
    <row r="10" customFormat="false" ht="23.25" hidden="false" customHeight="true" outlineLevel="0" collapsed="false">
      <c r="A10" s="5" t="s">
        <v>1212</v>
      </c>
      <c r="B10" s="5" t="s">
        <v>1188</v>
      </c>
      <c r="C10" s="5" t="s">
        <v>1189</v>
      </c>
      <c r="D10" s="5" t="s">
        <v>1213</v>
      </c>
      <c r="E10" s="5" t="n">
        <v>3</v>
      </c>
      <c r="F10" s="5" t="s">
        <v>1201</v>
      </c>
      <c r="G10" s="5" t="s">
        <v>111</v>
      </c>
      <c r="H10" s="5" t="s">
        <v>1192</v>
      </c>
      <c r="I10" s="5" t="s">
        <v>1193</v>
      </c>
      <c r="J10" s="5" t="s">
        <v>752</v>
      </c>
      <c r="K10" s="5" t="s">
        <v>1214</v>
      </c>
      <c r="L10" s="5" t="s">
        <v>1195</v>
      </c>
    </row>
    <row r="11" customFormat="false" ht="23.25" hidden="false" customHeight="true" outlineLevel="0" collapsed="false">
      <c r="A11" s="5" t="s">
        <v>1215</v>
      </c>
      <c r="B11" s="5" t="s">
        <v>1188</v>
      </c>
      <c r="C11" s="5" t="s">
        <v>1189</v>
      </c>
      <c r="D11" s="5" t="s">
        <v>1216</v>
      </c>
      <c r="E11" s="5" t="n">
        <v>2</v>
      </c>
      <c r="F11" s="5" t="s">
        <v>1217</v>
      </c>
      <c r="G11" s="5" t="s">
        <v>111</v>
      </c>
      <c r="H11" s="5" t="s">
        <v>1192</v>
      </c>
      <c r="I11" s="5" t="s">
        <v>1193</v>
      </c>
      <c r="J11" s="5" t="s">
        <v>752</v>
      </c>
      <c r="K11" s="5" t="s">
        <v>1218</v>
      </c>
      <c r="L11" s="5" t="s">
        <v>1195</v>
      </c>
    </row>
    <row r="12" customFormat="false" ht="23.25" hidden="false" customHeight="true" outlineLevel="0" collapsed="false">
      <c r="A12" s="5" t="s">
        <v>1219</v>
      </c>
      <c r="B12" s="5" t="s">
        <v>1188</v>
      </c>
      <c r="C12" s="5" t="s">
        <v>1189</v>
      </c>
      <c r="D12" s="5" t="s">
        <v>1220</v>
      </c>
      <c r="E12" s="5" t="n">
        <v>5</v>
      </c>
      <c r="F12" s="5" t="s">
        <v>1201</v>
      </c>
      <c r="G12" s="5" t="s">
        <v>111</v>
      </c>
      <c r="H12" s="5" t="s">
        <v>1192</v>
      </c>
      <c r="I12" s="5" t="s">
        <v>1193</v>
      </c>
      <c r="J12" s="5" t="s">
        <v>752</v>
      </c>
      <c r="K12" s="5" t="s">
        <v>1221</v>
      </c>
      <c r="L12" s="5" t="s">
        <v>1195</v>
      </c>
    </row>
    <row r="13" customFormat="false" ht="23.25" hidden="false" customHeight="true" outlineLevel="0" collapsed="false">
      <c r="A13" s="5" t="s">
        <v>1222</v>
      </c>
      <c r="B13" s="5" t="s">
        <v>1188</v>
      </c>
      <c r="C13" s="5" t="s">
        <v>1189</v>
      </c>
      <c r="D13" s="5" t="s">
        <v>1223</v>
      </c>
      <c r="E13" s="5" t="n">
        <v>3</v>
      </c>
      <c r="F13" s="5" t="s">
        <v>1217</v>
      </c>
      <c r="G13" s="5" t="s">
        <v>111</v>
      </c>
      <c r="H13" s="5" t="s">
        <v>1192</v>
      </c>
      <c r="I13" s="5" t="s">
        <v>1193</v>
      </c>
      <c r="J13" s="5" t="s">
        <v>752</v>
      </c>
      <c r="K13" s="5" t="s">
        <v>1224</v>
      </c>
      <c r="L13" s="5" t="s">
        <v>1195</v>
      </c>
    </row>
    <row r="14" customFormat="false" ht="23.25" hidden="false" customHeight="true" outlineLevel="0" collapsed="false">
      <c r="A14" s="5" t="s">
        <v>1225</v>
      </c>
      <c r="B14" s="5" t="s">
        <v>1226</v>
      </c>
      <c r="C14" s="5" t="s">
        <v>1227</v>
      </c>
      <c r="D14" s="5" t="s">
        <v>1228</v>
      </c>
      <c r="E14" s="5" t="n">
        <v>5</v>
      </c>
      <c r="F14" s="5" t="s">
        <v>1191</v>
      </c>
      <c r="G14" s="5" t="s">
        <v>111</v>
      </c>
      <c r="H14" s="5" t="s">
        <v>1229</v>
      </c>
      <c r="I14" s="5" t="s">
        <v>1193</v>
      </c>
      <c r="J14" s="5" t="s">
        <v>752</v>
      </c>
      <c r="K14" s="5" t="s">
        <v>1230</v>
      </c>
      <c r="L14" s="5" t="s">
        <v>1231</v>
      </c>
    </row>
    <row r="15" customFormat="false" ht="23.25" hidden="false" customHeight="true" outlineLevel="0" collapsed="false">
      <c r="A15" s="5" t="s">
        <v>1232</v>
      </c>
      <c r="B15" s="5" t="s">
        <v>1226</v>
      </c>
      <c r="C15" s="5" t="s">
        <v>1227</v>
      </c>
      <c r="D15" s="5" t="s">
        <v>1233</v>
      </c>
      <c r="E15" s="5" t="n">
        <v>8</v>
      </c>
      <c r="F15" s="5" t="s">
        <v>1191</v>
      </c>
      <c r="G15" s="5" t="s">
        <v>111</v>
      </c>
      <c r="H15" s="5" t="s">
        <v>1229</v>
      </c>
      <c r="I15" s="5" t="s">
        <v>1193</v>
      </c>
      <c r="J15" s="5" t="s">
        <v>752</v>
      </c>
      <c r="K15" s="5" t="s">
        <v>1234</v>
      </c>
      <c r="L15" s="5" t="s">
        <v>1231</v>
      </c>
    </row>
    <row r="16" customFormat="false" ht="23.25" hidden="false" customHeight="true" outlineLevel="0" collapsed="false">
      <c r="A16" s="5" t="s">
        <v>1235</v>
      </c>
      <c r="B16" s="5" t="s">
        <v>1226</v>
      </c>
      <c r="C16" s="5" t="s">
        <v>1227</v>
      </c>
      <c r="D16" s="5" t="s">
        <v>1236</v>
      </c>
      <c r="E16" s="5" t="n">
        <v>5</v>
      </c>
      <c r="F16" s="5" t="s">
        <v>1201</v>
      </c>
      <c r="G16" s="5" t="s">
        <v>111</v>
      </c>
      <c r="H16" s="5" t="s">
        <v>1229</v>
      </c>
      <c r="I16" s="5" t="s">
        <v>1193</v>
      </c>
      <c r="J16" s="5" t="s">
        <v>752</v>
      </c>
      <c r="K16" s="5" t="s">
        <v>1202</v>
      </c>
      <c r="L16" s="5" t="s">
        <v>1231</v>
      </c>
    </row>
    <row r="17" customFormat="false" ht="23.25" hidden="false" customHeight="true" outlineLevel="0" collapsed="false">
      <c r="A17" s="5" t="s">
        <v>1237</v>
      </c>
      <c r="B17" s="5" t="s">
        <v>1226</v>
      </c>
      <c r="C17" s="5" t="s">
        <v>1227</v>
      </c>
      <c r="D17" s="5" t="s">
        <v>1238</v>
      </c>
      <c r="E17" s="5" t="n">
        <v>3</v>
      </c>
      <c r="F17" s="5" t="s">
        <v>1191</v>
      </c>
      <c r="G17" s="5" t="s">
        <v>111</v>
      </c>
      <c r="H17" s="5" t="s">
        <v>1229</v>
      </c>
      <c r="I17" s="5" t="s">
        <v>1193</v>
      </c>
      <c r="J17" s="5" t="s">
        <v>752</v>
      </c>
      <c r="K17" s="5" t="s">
        <v>1239</v>
      </c>
      <c r="L17" s="5" t="s">
        <v>1231</v>
      </c>
    </row>
    <row r="18" customFormat="false" ht="23.25" hidden="false" customHeight="true" outlineLevel="0" collapsed="false">
      <c r="A18" s="5" t="s">
        <v>1240</v>
      </c>
      <c r="B18" s="5" t="s">
        <v>1226</v>
      </c>
      <c r="C18" s="5" t="s">
        <v>1227</v>
      </c>
      <c r="D18" s="5" t="s">
        <v>1241</v>
      </c>
      <c r="E18" s="5" t="n">
        <v>5</v>
      </c>
      <c r="F18" s="5" t="s">
        <v>1191</v>
      </c>
      <c r="G18" s="5" t="s">
        <v>116</v>
      </c>
      <c r="H18" s="5" t="s">
        <v>1229</v>
      </c>
      <c r="I18" s="5" t="s">
        <v>1193</v>
      </c>
      <c r="J18" s="5" t="s">
        <v>752</v>
      </c>
      <c r="K18" s="5" t="s">
        <v>1208</v>
      </c>
      <c r="L18" s="5" t="s">
        <v>1231</v>
      </c>
    </row>
    <row r="19" customFormat="false" ht="23.25" hidden="false" customHeight="true" outlineLevel="0" collapsed="false">
      <c r="A19" s="5" t="s">
        <v>1242</v>
      </c>
      <c r="B19" s="5" t="s">
        <v>1226</v>
      </c>
      <c r="C19" s="5" t="s">
        <v>1227</v>
      </c>
      <c r="D19" s="5" t="s">
        <v>1243</v>
      </c>
      <c r="E19" s="5" t="n">
        <v>3</v>
      </c>
      <c r="F19" s="5" t="s">
        <v>1201</v>
      </c>
      <c r="G19" s="5" t="s">
        <v>116</v>
      </c>
      <c r="H19" s="5" t="s">
        <v>1229</v>
      </c>
      <c r="I19" s="5" t="s">
        <v>1193</v>
      </c>
      <c r="J19" s="5" t="s">
        <v>752</v>
      </c>
      <c r="K19" s="5" t="s">
        <v>1211</v>
      </c>
      <c r="L19" s="5" t="s">
        <v>1231</v>
      </c>
    </row>
    <row r="20" customFormat="false" ht="23.25" hidden="false" customHeight="true" outlineLevel="0" collapsed="false">
      <c r="A20" s="5" t="s">
        <v>1244</v>
      </c>
      <c r="B20" s="5" t="s">
        <v>1226</v>
      </c>
      <c r="C20" s="5" t="s">
        <v>1227</v>
      </c>
      <c r="D20" s="5" t="s">
        <v>1245</v>
      </c>
      <c r="E20" s="5" t="n">
        <v>3</v>
      </c>
      <c r="F20" s="5" t="s">
        <v>1201</v>
      </c>
      <c r="G20" s="5" t="s">
        <v>116</v>
      </c>
      <c r="H20" s="5" t="s">
        <v>1229</v>
      </c>
      <c r="I20" s="5" t="s">
        <v>1193</v>
      </c>
      <c r="J20" s="5" t="s">
        <v>752</v>
      </c>
      <c r="K20" s="5" t="s">
        <v>1214</v>
      </c>
      <c r="L20" s="5" t="s">
        <v>1231</v>
      </c>
    </row>
    <row r="21" customFormat="false" ht="23.25" hidden="false" customHeight="true" outlineLevel="0" collapsed="false">
      <c r="A21" s="5" t="s">
        <v>1246</v>
      </c>
      <c r="B21" s="5" t="s">
        <v>1226</v>
      </c>
      <c r="C21" s="5" t="s">
        <v>1227</v>
      </c>
      <c r="D21" s="5" t="s">
        <v>1247</v>
      </c>
      <c r="E21" s="5" t="n">
        <v>2</v>
      </c>
      <c r="F21" s="5" t="s">
        <v>1217</v>
      </c>
      <c r="G21" s="5" t="s">
        <v>116</v>
      </c>
      <c r="H21" s="5" t="s">
        <v>1229</v>
      </c>
      <c r="I21" s="5" t="s">
        <v>1193</v>
      </c>
      <c r="J21" s="5" t="s">
        <v>752</v>
      </c>
      <c r="K21" s="5" t="s">
        <v>1218</v>
      </c>
      <c r="L21" s="5" t="s">
        <v>1231</v>
      </c>
    </row>
    <row r="22" customFormat="false" ht="23.25" hidden="false" customHeight="true" outlineLevel="0" collapsed="false">
      <c r="A22" s="5" t="s">
        <v>1248</v>
      </c>
      <c r="B22" s="5" t="s">
        <v>1226</v>
      </c>
      <c r="C22" s="5" t="s">
        <v>1227</v>
      </c>
      <c r="D22" s="5" t="s">
        <v>1249</v>
      </c>
      <c r="E22" s="5" t="n">
        <v>5</v>
      </c>
      <c r="F22" s="5" t="s">
        <v>1201</v>
      </c>
      <c r="G22" s="5" t="s">
        <v>116</v>
      </c>
      <c r="H22" s="5" t="s">
        <v>1229</v>
      </c>
      <c r="I22" s="5" t="s">
        <v>1193</v>
      </c>
      <c r="J22" s="5" t="s">
        <v>752</v>
      </c>
      <c r="K22" s="5" t="s">
        <v>1221</v>
      </c>
      <c r="L22" s="5" t="s">
        <v>1231</v>
      </c>
    </row>
    <row r="23" customFormat="false" ht="23.25" hidden="false" customHeight="true" outlineLevel="0" collapsed="false">
      <c r="A23" s="5" t="s">
        <v>1250</v>
      </c>
      <c r="B23" s="5" t="s">
        <v>1226</v>
      </c>
      <c r="C23" s="5" t="s">
        <v>1227</v>
      </c>
      <c r="D23" s="5" t="s">
        <v>1251</v>
      </c>
      <c r="E23" s="5" t="n">
        <v>3</v>
      </c>
      <c r="F23" s="5" t="s">
        <v>1217</v>
      </c>
      <c r="G23" s="5" t="s">
        <v>116</v>
      </c>
      <c r="H23" s="5" t="s">
        <v>1229</v>
      </c>
      <c r="I23" s="5" t="s">
        <v>1193</v>
      </c>
      <c r="J23" s="5" t="s">
        <v>752</v>
      </c>
      <c r="K23" s="5" t="s">
        <v>1224</v>
      </c>
      <c r="L23" s="5" t="s">
        <v>1231</v>
      </c>
    </row>
    <row r="24" customFormat="false" ht="23.25" hidden="false" customHeight="true" outlineLevel="0" collapsed="false">
      <c r="A24" s="5" t="s">
        <v>1252</v>
      </c>
      <c r="B24" s="5" t="s">
        <v>1253</v>
      </c>
      <c r="C24" s="5" t="s">
        <v>1254</v>
      </c>
      <c r="D24" s="5" t="s">
        <v>1255</v>
      </c>
      <c r="E24" s="5" t="n">
        <v>5</v>
      </c>
      <c r="F24" s="5" t="s">
        <v>1191</v>
      </c>
      <c r="G24" s="5" t="s">
        <v>121</v>
      </c>
      <c r="H24" s="5" t="s">
        <v>1256</v>
      </c>
      <c r="I24" s="5" t="s">
        <v>1193</v>
      </c>
      <c r="J24" s="5" t="s">
        <v>752</v>
      </c>
      <c r="K24" s="5" t="s">
        <v>1257</v>
      </c>
      <c r="L24" s="5" t="s">
        <v>1258</v>
      </c>
    </row>
    <row r="25" customFormat="false" ht="23.25" hidden="false" customHeight="true" outlineLevel="0" collapsed="false">
      <c r="A25" s="5" t="s">
        <v>1259</v>
      </c>
      <c r="B25" s="5" t="s">
        <v>1253</v>
      </c>
      <c r="C25" s="5" t="s">
        <v>1254</v>
      </c>
      <c r="D25" s="5" t="s">
        <v>1260</v>
      </c>
      <c r="E25" s="5" t="n">
        <v>8</v>
      </c>
      <c r="F25" s="5" t="s">
        <v>1191</v>
      </c>
      <c r="G25" s="5" t="s">
        <v>121</v>
      </c>
      <c r="H25" s="5" t="s">
        <v>1256</v>
      </c>
      <c r="I25" s="5" t="s">
        <v>1193</v>
      </c>
      <c r="J25" s="5" t="s">
        <v>752</v>
      </c>
      <c r="K25" s="5" t="s">
        <v>1261</v>
      </c>
      <c r="L25" s="5" t="s">
        <v>1258</v>
      </c>
    </row>
    <row r="26" customFormat="false" ht="23.25" hidden="false" customHeight="true" outlineLevel="0" collapsed="false">
      <c r="A26" s="5" t="s">
        <v>1262</v>
      </c>
      <c r="B26" s="5" t="s">
        <v>1253</v>
      </c>
      <c r="C26" s="5" t="s">
        <v>1254</v>
      </c>
      <c r="D26" s="5" t="s">
        <v>1263</v>
      </c>
      <c r="E26" s="5" t="n">
        <v>5</v>
      </c>
      <c r="F26" s="5" t="s">
        <v>1201</v>
      </c>
      <c r="G26" s="5" t="s">
        <v>121</v>
      </c>
      <c r="H26" s="5" t="s">
        <v>1256</v>
      </c>
      <c r="I26" s="5" t="s">
        <v>1193</v>
      </c>
      <c r="J26" s="5" t="s">
        <v>752</v>
      </c>
      <c r="K26" s="5" t="s">
        <v>1202</v>
      </c>
      <c r="L26" s="5" t="s">
        <v>1258</v>
      </c>
    </row>
    <row r="27" customFormat="false" ht="23.25" hidden="false" customHeight="true" outlineLevel="0" collapsed="false">
      <c r="A27" s="5" t="s">
        <v>1264</v>
      </c>
      <c r="B27" s="5" t="s">
        <v>1253</v>
      </c>
      <c r="C27" s="5" t="s">
        <v>1254</v>
      </c>
      <c r="D27" s="5" t="s">
        <v>1265</v>
      </c>
      <c r="E27" s="5" t="n">
        <v>3</v>
      </c>
      <c r="F27" s="5" t="s">
        <v>1191</v>
      </c>
      <c r="G27" s="5" t="s">
        <v>121</v>
      </c>
      <c r="H27" s="5" t="s">
        <v>1256</v>
      </c>
      <c r="I27" s="5" t="s">
        <v>1193</v>
      </c>
      <c r="J27" s="5" t="s">
        <v>752</v>
      </c>
      <c r="K27" s="5" t="s">
        <v>1266</v>
      </c>
      <c r="L27" s="5" t="s">
        <v>1258</v>
      </c>
    </row>
    <row r="28" customFormat="false" ht="23.25" hidden="false" customHeight="true" outlineLevel="0" collapsed="false">
      <c r="A28" s="5" t="s">
        <v>1267</v>
      </c>
      <c r="B28" s="5" t="s">
        <v>1253</v>
      </c>
      <c r="C28" s="5" t="s">
        <v>1254</v>
      </c>
      <c r="D28" s="5" t="s">
        <v>1268</v>
      </c>
      <c r="E28" s="5" t="n">
        <v>5</v>
      </c>
      <c r="F28" s="5" t="s">
        <v>1191</v>
      </c>
      <c r="G28" s="5" t="s">
        <v>121</v>
      </c>
      <c r="H28" s="5" t="s">
        <v>1256</v>
      </c>
      <c r="I28" s="5" t="s">
        <v>1193</v>
      </c>
      <c r="J28" s="5" t="s">
        <v>752</v>
      </c>
      <c r="K28" s="5" t="s">
        <v>1208</v>
      </c>
      <c r="L28" s="5" t="s">
        <v>1258</v>
      </c>
    </row>
    <row r="29" customFormat="false" ht="23.25" hidden="false" customHeight="true" outlineLevel="0" collapsed="false">
      <c r="A29" s="5" t="s">
        <v>1269</v>
      </c>
      <c r="B29" s="5" t="s">
        <v>1253</v>
      </c>
      <c r="C29" s="5" t="s">
        <v>1254</v>
      </c>
      <c r="D29" s="5" t="s">
        <v>1270</v>
      </c>
      <c r="E29" s="5" t="n">
        <v>3</v>
      </c>
      <c r="F29" s="5" t="s">
        <v>1201</v>
      </c>
      <c r="G29" s="5" t="s">
        <v>121</v>
      </c>
      <c r="H29" s="5" t="s">
        <v>1256</v>
      </c>
      <c r="I29" s="5" t="s">
        <v>1193</v>
      </c>
      <c r="J29" s="5" t="s">
        <v>752</v>
      </c>
      <c r="K29" s="5" t="s">
        <v>1211</v>
      </c>
      <c r="L29" s="5" t="s">
        <v>1258</v>
      </c>
    </row>
    <row r="30" customFormat="false" ht="23.25" hidden="false" customHeight="true" outlineLevel="0" collapsed="false">
      <c r="A30" s="5" t="s">
        <v>1271</v>
      </c>
      <c r="B30" s="5" t="s">
        <v>1253</v>
      </c>
      <c r="C30" s="5" t="s">
        <v>1254</v>
      </c>
      <c r="D30" s="5" t="s">
        <v>1272</v>
      </c>
      <c r="E30" s="5" t="n">
        <v>3</v>
      </c>
      <c r="F30" s="5" t="s">
        <v>1201</v>
      </c>
      <c r="G30" s="5" t="s">
        <v>121</v>
      </c>
      <c r="H30" s="5" t="s">
        <v>1256</v>
      </c>
      <c r="I30" s="5" t="s">
        <v>1193</v>
      </c>
      <c r="J30" s="5" t="s">
        <v>752</v>
      </c>
      <c r="K30" s="5" t="s">
        <v>1214</v>
      </c>
      <c r="L30" s="5" t="s">
        <v>1258</v>
      </c>
    </row>
    <row r="31" customFormat="false" ht="23.25" hidden="false" customHeight="true" outlineLevel="0" collapsed="false">
      <c r="A31" s="5" t="s">
        <v>1273</v>
      </c>
      <c r="B31" s="5" t="s">
        <v>1253</v>
      </c>
      <c r="C31" s="5" t="s">
        <v>1254</v>
      </c>
      <c r="D31" s="5" t="s">
        <v>1274</v>
      </c>
      <c r="E31" s="5" t="n">
        <v>2</v>
      </c>
      <c r="F31" s="5" t="s">
        <v>1217</v>
      </c>
      <c r="G31" s="5" t="s">
        <v>121</v>
      </c>
      <c r="H31" s="5" t="s">
        <v>1256</v>
      </c>
      <c r="I31" s="5" t="s">
        <v>1193</v>
      </c>
      <c r="J31" s="5" t="s">
        <v>752</v>
      </c>
      <c r="K31" s="5" t="s">
        <v>1218</v>
      </c>
      <c r="L31" s="5" t="s">
        <v>1258</v>
      </c>
    </row>
    <row r="32" customFormat="false" ht="23.25" hidden="false" customHeight="true" outlineLevel="0" collapsed="false">
      <c r="A32" s="5" t="s">
        <v>1275</v>
      </c>
      <c r="B32" s="5" t="s">
        <v>1253</v>
      </c>
      <c r="C32" s="5" t="s">
        <v>1254</v>
      </c>
      <c r="D32" s="5" t="s">
        <v>1276</v>
      </c>
      <c r="E32" s="5" t="n">
        <v>5</v>
      </c>
      <c r="F32" s="5" t="s">
        <v>1201</v>
      </c>
      <c r="G32" s="5" t="s">
        <v>121</v>
      </c>
      <c r="H32" s="5" t="s">
        <v>1256</v>
      </c>
      <c r="I32" s="5" t="s">
        <v>1193</v>
      </c>
      <c r="J32" s="5" t="s">
        <v>752</v>
      </c>
      <c r="K32" s="5" t="s">
        <v>1221</v>
      </c>
      <c r="L32" s="5" t="s">
        <v>1258</v>
      </c>
    </row>
    <row r="33" customFormat="false" ht="23.25" hidden="false" customHeight="true" outlineLevel="0" collapsed="false">
      <c r="A33" s="5" t="s">
        <v>1277</v>
      </c>
      <c r="B33" s="5" t="s">
        <v>1253</v>
      </c>
      <c r="C33" s="5" t="s">
        <v>1254</v>
      </c>
      <c r="D33" s="5" t="s">
        <v>1278</v>
      </c>
      <c r="E33" s="5" t="n">
        <v>3</v>
      </c>
      <c r="F33" s="5" t="s">
        <v>1217</v>
      </c>
      <c r="G33" s="5" t="s">
        <v>121</v>
      </c>
      <c r="H33" s="5" t="s">
        <v>1256</v>
      </c>
      <c r="I33" s="5" t="s">
        <v>1193</v>
      </c>
      <c r="J33" s="5" t="s">
        <v>752</v>
      </c>
      <c r="K33" s="5" t="s">
        <v>1224</v>
      </c>
      <c r="L33" s="5" t="s">
        <v>1258</v>
      </c>
    </row>
    <row r="34" customFormat="false" ht="23.25" hidden="false" customHeight="true" outlineLevel="0" collapsed="false">
      <c r="A34" s="5" t="s">
        <v>1279</v>
      </c>
      <c r="B34" s="5" t="s">
        <v>1280</v>
      </c>
      <c r="C34" s="5" t="s">
        <v>1281</v>
      </c>
      <c r="D34" s="5" t="s">
        <v>1282</v>
      </c>
      <c r="E34" s="5" t="n">
        <v>5</v>
      </c>
      <c r="F34" s="5" t="s">
        <v>1191</v>
      </c>
      <c r="G34" s="5" t="s">
        <v>127</v>
      </c>
      <c r="H34" s="5" t="s">
        <v>1283</v>
      </c>
      <c r="I34" s="5" t="s">
        <v>1193</v>
      </c>
      <c r="J34" s="5" t="s">
        <v>752</v>
      </c>
      <c r="K34" s="5" t="s">
        <v>1284</v>
      </c>
      <c r="L34" s="5" t="s">
        <v>1285</v>
      </c>
    </row>
    <row r="35" customFormat="false" ht="23.25" hidden="false" customHeight="true" outlineLevel="0" collapsed="false">
      <c r="A35" s="5" t="s">
        <v>1286</v>
      </c>
      <c r="B35" s="5" t="s">
        <v>1280</v>
      </c>
      <c r="C35" s="5" t="s">
        <v>1281</v>
      </c>
      <c r="D35" s="5" t="s">
        <v>1287</v>
      </c>
      <c r="E35" s="5" t="n">
        <v>8</v>
      </c>
      <c r="F35" s="5" t="s">
        <v>1191</v>
      </c>
      <c r="G35" s="5" t="s">
        <v>127</v>
      </c>
      <c r="H35" s="5" t="s">
        <v>1283</v>
      </c>
      <c r="I35" s="5" t="s">
        <v>1193</v>
      </c>
      <c r="J35" s="5" t="s">
        <v>752</v>
      </c>
      <c r="K35" s="5" t="s">
        <v>1288</v>
      </c>
      <c r="L35" s="5" t="s">
        <v>1285</v>
      </c>
    </row>
    <row r="36" customFormat="false" ht="23.25" hidden="false" customHeight="true" outlineLevel="0" collapsed="false">
      <c r="A36" s="5" t="s">
        <v>1289</v>
      </c>
      <c r="B36" s="5" t="s">
        <v>1280</v>
      </c>
      <c r="C36" s="5" t="s">
        <v>1281</v>
      </c>
      <c r="D36" s="5" t="s">
        <v>1290</v>
      </c>
      <c r="E36" s="5" t="n">
        <v>5</v>
      </c>
      <c r="F36" s="5" t="s">
        <v>1201</v>
      </c>
      <c r="G36" s="5" t="s">
        <v>127</v>
      </c>
      <c r="H36" s="5" t="s">
        <v>1283</v>
      </c>
      <c r="I36" s="5" t="s">
        <v>1193</v>
      </c>
      <c r="J36" s="5" t="s">
        <v>752</v>
      </c>
      <c r="K36" s="5" t="s">
        <v>1202</v>
      </c>
      <c r="L36" s="5" t="s">
        <v>1285</v>
      </c>
    </row>
    <row r="37" customFormat="false" ht="23.25" hidden="false" customHeight="true" outlineLevel="0" collapsed="false">
      <c r="A37" s="5" t="s">
        <v>1291</v>
      </c>
      <c r="B37" s="5" t="s">
        <v>1280</v>
      </c>
      <c r="C37" s="5" t="s">
        <v>1281</v>
      </c>
      <c r="D37" s="5" t="s">
        <v>1292</v>
      </c>
      <c r="E37" s="5" t="n">
        <v>3</v>
      </c>
      <c r="F37" s="5" t="s">
        <v>1191</v>
      </c>
      <c r="G37" s="5" t="s">
        <v>127</v>
      </c>
      <c r="H37" s="5" t="s">
        <v>1283</v>
      </c>
      <c r="I37" s="5" t="s">
        <v>1193</v>
      </c>
      <c r="J37" s="5" t="s">
        <v>752</v>
      </c>
      <c r="K37" s="5" t="s">
        <v>1293</v>
      </c>
      <c r="L37" s="5" t="s">
        <v>1285</v>
      </c>
    </row>
    <row r="38" customFormat="false" ht="23.25" hidden="false" customHeight="true" outlineLevel="0" collapsed="false">
      <c r="A38" s="5" t="s">
        <v>1294</v>
      </c>
      <c r="B38" s="5" t="s">
        <v>1280</v>
      </c>
      <c r="C38" s="5" t="s">
        <v>1281</v>
      </c>
      <c r="D38" s="5" t="s">
        <v>1295</v>
      </c>
      <c r="E38" s="5" t="n">
        <v>5</v>
      </c>
      <c r="F38" s="5" t="s">
        <v>1191</v>
      </c>
      <c r="G38" s="5" t="s">
        <v>127</v>
      </c>
      <c r="H38" s="5" t="s">
        <v>1283</v>
      </c>
      <c r="I38" s="5" t="s">
        <v>1193</v>
      </c>
      <c r="J38" s="5" t="s">
        <v>752</v>
      </c>
      <c r="K38" s="5" t="s">
        <v>1208</v>
      </c>
      <c r="L38" s="5" t="s">
        <v>1285</v>
      </c>
    </row>
    <row r="39" customFormat="false" ht="23.25" hidden="false" customHeight="true" outlineLevel="0" collapsed="false">
      <c r="A39" s="5" t="s">
        <v>1296</v>
      </c>
      <c r="B39" s="5" t="s">
        <v>1280</v>
      </c>
      <c r="C39" s="5" t="s">
        <v>1281</v>
      </c>
      <c r="D39" s="5" t="s">
        <v>1297</v>
      </c>
      <c r="E39" s="5" t="n">
        <v>3</v>
      </c>
      <c r="F39" s="5" t="s">
        <v>1201</v>
      </c>
      <c r="G39" s="5" t="s">
        <v>127</v>
      </c>
      <c r="H39" s="5" t="s">
        <v>1283</v>
      </c>
      <c r="I39" s="5" t="s">
        <v>1193</v>
      </c>
      <c r="J39" s="5" t="s">
        <v>752</v>
      </c>
      <c r="K39" s="5" t="s">
        <v>1211</v>
      </c>
      <c r="L39" s="5" t="s">
        <v>1285</v>
      </c>
    </row>
    <row r="40" customFormat="false" ht="23.25" hidden="false" customHeight="true" outlineLevel="0" collapsed="false">
      <c r="A40" s="5" t="s">
        <v>1298</v>
      </c>
      <c r="B40" s="5" t="s">
        <v>1280</v>
      </c>
      <c r="C40" s="5" t="s">
        <v>1281</v>
      </c>
      <c r="D40" s="5" t="s">
        <v>1299</v>
      </c>
      <c r="E40" s="5" t="n">
        <v>3</v>
      </c>
      <c r="F40" s="5" t="s">
        <v>1201</v>
      </c>
      <c r="G40" s="5" t="s">
        <v>127</v>
      </c>
      <c r="H40" s="5" t="s">
        <v>1283</v>
      </c>
      <c r="I40" s="5" t="s">
        <v>1193</v>
      </c>
      <c r="J40" s="5" t="s">
        <v>752</v>
      </c>
      <c r="K40" s="5" t="s">
        <v>1214</v>
      </c>
      <c r="L40" s="5" t="s">
        <v>1285</v>
      </c>
    </row>
    <row r="41" customFormat="false" ht="23.25" hidden="false" customHeight="true" outlineLevel="0" collapsed="false">
      <c r="A41" s="5" t="s">
        <v>1300</v>
      </c>
      <c r="B41" s="5" t="s">
        <v>1280</v>
      </c>
      <c r="C41" s="5" t="s">
        <v>1281</v>
      </c>
      <c r="D41" s="5" t="s">
        <v>1301</v>
      </c>
      <c r="E41" s="5" t="n">
        <v>2</v>
      </c>
      <c r="F41" s="5" t="s">
        <v>1217</v>
      </c>
      <c r="G41" s="5" t="s">
        <v>127</v>
      </c>
      <c r="H41" s="5" t="s">
        <v>1283</v>
      </c>
      <c r="I41" s="5" t="s">
        <v>1193</v>
      </c>
      <c r="J41" s="5" t="s">
        <v>752</v>
      </c>
      <c r="K41" s="5" t="s">
        <v>1218</v>
      </c>
      <c r="L41" s="5" t="s">
        <v>1285</v>
      </c>
    </row>
    <row r="42" customFormat="false" ht="23.25" hidden="false" customHeight="true" outlineLevel="0" collapsed="false">
      <c r="A42" s="5" t="s">
        <v>1302</v>
      </c>
      <c r="B42" s="5" t="s">
        <v>1280</v>
      </c>
      <c r="C42" s="5" t="s">
        <v>1281</v>
      </c>
      <c r="D42" s="5" t="s">
        <v>1303</v>
      </c>
      <c r="E42" s="5" t="n">
        <v>5</v>
      </c>
      <c r="F42" s="5" t="s">
        <v>1201</v>
      </c>
      <c r="G42" s="5" t="s">
        <v>127</v>
      </c>
      <c r="H42" s="5" t="s">
        <v>1283</v>
      </c>
      <c r="I42" s="5" t="s">
        <v>1193</v>
      </c>
      <c r="J42" s="5" t="s">
        <v>752</v>
      </c>
      <c r="K42" s="5" t="s">
        <v>1221</v>
      </c>
      <c r="L42" s="5" t="s">
        <v>1285</v>
      </c>
    </row>
    <row r="43" customFormat="false" ht="23.25" hidden="false" customHeight="true" outlineLevel="0" collapsed="false">
      <c r="A43" s="5" t="s">
        <v>1304</v>
      </c>
      <c r="B43" s="5" t="s">
        <v>1280</v>
      </c>
      <c r="C43" s="5" t="s">
        <v>1281</v>
      </c>
      <c r="D43" s="5" t="s">
        <v>1305</v>
      </c>
      <c r="E43" s="5" t="n">
        <v>3</v>
      </c>
      <c r="F43" s="5" t="s">
        <v>1217</v>
      </c>
      <c r="G43" s="5" t="s">
        <v>127</v>
      </c>
      <c r="H43" s="5" t="s">
        <v>1283</v>
      </c>
      <c r="I43" s="5" t="s">
        <v>1193</v>
      </c>
      <c r="J43" s="5" t="s">
        <v>752</v>
      </c>
      <c r="K43" s="5" t="s">
        <v>1224</v>
      </c>
      <c r="L43" s="5" t="s">
        <v>1285</v>
      </c>
    </row>
    <row r="44" customFormat="false" ht="23.25" hidden="false" customHeight="true" outlineLevel="0" collapsed="false">
      <c r="A44" s="5" t="s">
        <v>1306</v>
      </c>
      <c r="B44" s="5" t="s">
        <v>1307</v>
      </c>
      <c r="C44" s="5" t="s">
        <v>1308</v>
      </c>
      <c r="D44" s="5" t="s">
        <v>1309</v>
      </c>
      <c r="E44" s="5" t="n">
        <v>5</v>
      </c>
      <c r="F44" s="5" t="s">
        <v>1191</v>
      </c>
      <c r="G44" s="5" t="s">
        <v>138</v>
      </c>
      <c r="H44" s="5" t="s">
        <v>1310</v>
      </c>
      <c r="I44" s="5" t="s">
        <v>1193</v>
      </c>
      <c r="J44" s="5" t="s">
        <v>752</v>
      </c>
      <c r="K44" s="5" t="s">
        <v>1311</v>
      </c>
      <c r="L44" s="5" t="s">
        <v>1312</v>
      </c>
    </row>
    <row r="45" customFormat="false" ht="23.25" hidden="false" customHeight="true" outlineLevel="0" collapsed="false">
      <c r="A45" s="5" t="s">
        <v>1313</v>
      </c>
      <c r="B45" s="5" t="s">
        <v>1307</v>
      </c>
      <c r="C45" s="5" t="s">
        <v>1308</v>
      </c>
      <c r="D45" s="5" t="s">
        <v>1314</v>
      </c>
      <c r="E45" s="5" t="n">
        <v>8</v>
      </c>
      <c r="F45" s="5" t="s">
        <v>1191</v>
      </c>
      <c r="G45" s="5" t="s">
        <v>138</v>
      </c>
      <c r="H45" s="5" t="s">
        <v>1310</v>
      </c>
      <c r="I45" s="5" t="s">
        <v>1193</v>
      </c>
      <c r="J45" s="5" t="s">
        <v>752</v>
      </c>
      <c r="K45" s="5" t="s">
        <v>1315</v>
      </c>
      <c r="L45" s="5" t="s">
        <v>1312</v>
      </c>
    </row>
    <row r="46" customFormat="false" ht="23.25" hidden="false" customHeight="true" outlineLevel="0" collapsed="false">
      <c r="A46" s="5" t="s">
        <v>1316</v>
      </c>
      <c r="B46" s="5" t="s">
        <v>1307</v>
      </c>
      <c r="C46" s="5" t="s">
        <v>1308</v>
      </c>
      <c r="D46" s="5" t="s">
        <v>1317</v>
      </c>
      <c r="E46" s="5" t="n">
        <v>5</v>
      </c>
      <c r="F46" s="5" t="s">
        <v>1201</v>
      </c>
      <c r="G46" s="5" t="s">
        <v>138</v>
      </c>
      <c r="H46" s="5" t="s">
        <v>1310</v>
      </c>
      <c r="I46" s="5" t="s">
        <v>1193</v>
      </c>
      <c r="J46" s="5" t="s">
        <v>752</v>
      </c>
      <c r="K46" s="5" t="s">
        <v>1202</v>
      </c>
      <c r="L46" s="5" t="s">
        <v>1312</v>
      </c>
    </row>
    <row r="47" customFormat="false" ht="23.25" hidden="false" customHeight="true" outlineLevel="0" collapsed="false">
      <c r="A47" s="5" t="s">
        <v>1318</v>
      </c>
      <c r="B47" s="5" t="s">
        <v>1307</v>
      </c>
      <c r="C47" s="5" t="s">
        <v>1308</v>
      </c>
      <c r="D47" s="5" t="s">
        <v>1319</v>
      </c>
      <c r="E47" s="5" t="n">
        <v>3</v>
      </c>
      <c r="F47" s="5" t="s">
        <v>1191</v>
      </c>
      <c r="G47" s="5" t="s">
        <v>138</v>
      </c>
      <c r="H47" s="5" t="s">
        <v>1310</v>
      </c>
      <c r="I47" s="5" t="s">
        <v>1193</v>
      </c>
      <c r="J47" s="5" t="s">
        <v>752</v>
      </c>
      <c r="K47" s="5" t="s">
        <v>1320</v>
      </c>
      <c r="L47" s="5" t="s">
        <v>1312</v>
      </c>
    </row>
    <row r="48" customFormat="false" ht="23.25" hidden="false" customHeight="true" outlineLevel="0" collapsed="false">
      <c r="A48" s="5" t="s">
        <v>1321</v>
      </c>
      <c r="B48" s="5" t="s">
        <v>1307</v>
      </c>
      <c r="C48" s="5" t="s">
        <v>1308</v>
      </c>
      <c r="D48" s="5" t="s">
        <v>1322</v>
      </c>
      <c r="E48" s="5" t="n">
        <v>5</v>
      </c>
      <c r="F48" s="5" t="s">
        <v>1191</v>
      </c>
      <c r="G48" s="5" t="s">
        <v>138</v>
      </c>
      <c r="H48" s="5" t="s">
        <v>1310</v>
      </c>
      <c r="I48" s="5" t="s">
        <v>1193</v>
      </c>
      <c r="J48" s="5" t="s">
        <v>752</v>
      </c>
      <c r="K48" s="5" t="s">
        <v>1208</v>
      </c>
      <c r="L48" s="5" t="s">
        <v>1312</v>
      </c>
    </row>
    <row r="49" customFormat="false" ht="23.25" hidden="false" customHeight="true" outlineLevel="0" collapsed="false">
      <c r="A49" s="5" t="s">
        <v>1323</v>
      </c>
      <c r="B49" s="5" t="s">
        <v>1307</v>
      </c>
      <c r="C49" s="5" t="s">
        <v>1308</v>
      </c>
      <c r="D49" s="5" t="s">
        <v>1324</v>
      </c>
      <c r="E49" s="5" t="n">
        <v>3</v>
      </c>
      <c r="F49" s="5" t="s">
        <v>1201</v>
      </c>
      <c r="G49" s="5" t="s">
        <v>138</v>
      </c>
      <c r="H49" s="5" t="s">
        <v>1310</v>
      </c>
      <c r="I49" s="5" t="s">
        <v>1193</v>
      </c>
      <c r="J49" s="5" t="s">
        <v>752</v>
      </c>
      <c r="K49" s="5" t="s">
        <v>1211</v>
      </c>
      <c r="L49" s="5" t="s">
        <v>1312</v>
      </c>
    </row>
    <row r="50" customFormat="false" ht="23.25" hidden="false" customHeight="true" outlineLevel="0" collapsed="false">
      <c r="A50" s="5" t="s">
        <v>1325</v>
      </c>
      <c r="B50" s="5" t="s">
        <v>1307</v>
      </c>
      <c r="C50" s="5" t="s">
        <v>1308</v>
      </c>
      <c r="D50" s="5" t="s">
        <v>1326</v>
      </c>
      <c r="E50" s="5" t="n">
        <v>3</v>
      </c>
      <c r="F50" s="5" t="s">
        <v>1201</v>
      </c>
      <c r="G50" s="5" t="s">
        <v>138</v>
      </c>
      <c r="H50" s="5" t="s">
        <v>1310</v>
      </c>
      <c r="I50" s="5" t="s">
        <v>1193</v>
      </c>
      <c r="J50" s="5" t="s">
        <v>752</v>
      </c>
      <c r="K50" s="5" t="s">
        <v>1214</v>
      </c>
      <c r="L50" s="5" t="s">
        <v>1312</v>
      </c>
    </row>
    <row r="51" customFormat="false" ht="23.25" hidden="false" customHeight="true" outlineLevel="0" collapsed="false">
      <c r="A51" s="5" t="s">
        <v>1327</v>
      </c>
      <c r="B51" s="5" t="s">
        <v>1307</v>
      </c>
      <c r="C51" s="5" t="s">
        <v>1308</v>
      </c>
      <c r="D51" s="5" t="s">
        <v>1328</v>
      </c>
      <c r="E51" s="5" t="n">
        <v>2</v>
      </c>
      <c r="F51" s="5" t="s">
        <v>1217</v>
      </c>
      <c r="G51" s="5" t="s">
        <v>138</v>
      </c>
      <c r="H51" s="5" t="s">
        <v>1310</v>
      </c>
      <c r="I51" s="5" t="s">
        <v>1193</v>
      </c>
      <c r="J51" s="5" t="s">
        <v>752</v>
      </c>
      <c r="K51" s="5" t="s">
        <v>1218</v>
      </c>
      <c r="L51" s="5" t="s">
        <v>1312</v>
      </c>
    </row>
    <row r="52" customFormat="false" ht="23.25" hidden="false" customHeight="true" outlineLevel="0" collapsed="false">
      <c r="A52" s="5" t="s">
        <v>1329</v>
      </c>
      <c r="B52" s="5" t="s">
        <v>1307</v>
      </c>
      <c r="C52" s="5" t="s">
        <v>1308</v>
      </c>
      <c r="D52" s="5" t="s">
        <v>1330</v>
      </c>
      <c r="E52" s="5" t="n">
        <v>5</v>
      </c>
      <c r="F52" s="5" t="s">
        <v>1201</v>
      </c>
      <c r="G52" s="5" t="s">
        <v>138</v>
      </c>
      <c r="H52" s="5" t="s">
        <v>1310</v>
      </c>
      <c r="I52" s="5" t="s">
        <v>1193</v>
      </c>
      <c r="J52" s="5" t="s">
        <v>752</v>
      </c>
      <c r="K52" s="5" t="s">
        <v>1221</v>
      </c>
      <c r="L52" s="5" t="s">
        <v>1312</v>
      </c>
    </row>
    <row r="53" customFormat="false" ht="23.25" hidden="false" customHeight="true" outlineLevel="0" collapsed="false">
      <c r="A53" s="5" t="s">
        <v>1331</v>
      </c>
      <c r="B53" s="5" t="s">
        <v>1307</v>
      </c>
      <c r="C53" s="5" t="s">
        <v>1308</v>
      </c>
      <c r="D53" s="5" t="s">
        <v>1332</v>
      </c>
      <c r="E53" s="5" t="n">
        <v>3</v>
      </c>
      <c r="F53" s="5" t="s">
        <v>1217</v>
      </c>
      <c r="G53" s="5" t="s">
        <v>138</v>
      </c>
      <c r="H53" s="5" t="s">
        <v>1310</v>
      </c>
      <c r="I53" s="5" t="s">
        <v>1193</v>
      </c>
      <c r="J53" s="5" t="s">
        <v>752</v>
      </c>
      <c r="K53" s="5" t="s">
        <v>1224</v>
      </c>
      <c r="L53" s="5" t="s">
        <v>1312</v>
      </c>
    </row>
    <row r="54" customFormat="false" ht="23.25" hidden="false" customHeight="true" outlineLevel="0" collapsed="false">
      <c r="A54" s="5" t="s">
        <v>763</v>
      </c>
      <c r="B54" s="5" t="s">
        <v>1333</v>
      </c>
      <c r="C54" s="5" t="s">
        <v>1334</v>
      </c>
      <c r="D54" s="5" t="s">
        <v>1335</v>
      </c>
      <c r="E54" s="5" t="n">
        <v>5</v>
      </c>
      <c r="F54" s="5" t="s">
        <v>1191</v>
      </c>
      <c r="G54" s="5" t="s">
        <v>100</v>
      </c>
      <c r="H54" s="5" t="s">
        <v>1336</v>
      </c>
      <c r="I54" s="5" t="s">
        <v>1193</v>
      </c>
      <c r="J54" s="5" t="s">
        <v>752</v>
      </c>
      <c r="K54" s="5" t="s">
        <v>1337</v>
      </c>
      <c r="L54" s="5" t="s">
        <v>1338</v>
      </c>
    </row>
    <row r="55" customFormat="false" ht="23.25" hidden="false" customHeight="true" outlineLevel="0" collapsed="false">
      <c r="A55" s="5" t="s">
        <v>768</v>
      </c>
      <c r="B55" s="5" t="s">
        <v>1333</v>
      </c>
      <c r="C55" s="5" t="s">
        <v>1334</v>
      </c>
      <c r="D55" s="5" t="s">
        <v>1339</v>
      </c>
      <c r="E55" s="5" t="n">
        <v>3</v>
      </c>
      <c r="F55" s="5" t="s">
        <v>1191</v>
      </c>
      <c r="G55" s="5" t="s">
        <v>100</v>
      </c>
      <c r="H55" s="5" t="s">
        <v>1336</v>
      </c>
      <c r="I55" s="5" t="s">
        <v>1193</v>
      </c>
      <c r="J55" s="5" t="s">
        <v>752</v>
      </c>
      <c r="K55" s="5" t="s">
        <v>1340</v>
      </c>
      <c r="L55" s="5" t="s">
        <v>1338</v>
      </c>
    </row>
    <row r="56" customFormat="false" ht="23.25" hidden="false" customHeight="true" outlineLevel="0" collapsed="false">
      <c r="A56" s="5" t="s">
        <v>1341</v>
      </c>
      <c r="B56" s="5" t="s">
        <v>1333</v>
      </c>
      <c r="C56" s="5" t="s">
        <v>1334</v>
      </c>
      <c r="D56" s="5" t="s">
        <v>1342</v>
      </c>
      <c r="E56" s="5" t="n">
        <v>3</v>
      </c>
      <c r="F56" s="5" t="s">
        <v>1201</v>
      </c>
      <c r="G56" s="5" t="s">
        <v>106</v>
      </c>
      <c r="H56" s="5" t="s">
        <v>1336</v>
      </c>
      <c r="I56" s="5" t="s">
        <v>1193</v>
      </c>
      <c r="J56" s="5" t="s">
        <v>752</v>
      </c>
      <c r="K56" s="5" t="s">
        <v>1343</v>
      </c>
      <c r="L56" s="5" t="s">
        <v>1338</v>
      </c>
    </row>
    <row r="57" customFormat="false" ht="23.25" hidden="false" customHeight="true" outlineLevel="0" collapsed="false">
      <c r="A57" s="5" t="s">
        <v>1344</v>
      </c>
      <c r="B57" s="5" t="s">
        <v>1333</v>
      </c>
      <c r="C57" s="5" t="s">
        <v>1334</v>
      </c>
      <c r="D57" s="5" t="s">
        <v>1345</v>
      </c>
      <c r="E57" s="5" t="n">
        <v>5</v>
      </c>
      <c r="F57" s="5" t="s">
        <v>1191</v>
      </c>
      <c r="G57" s="5" t="s">
        <v>106</v>
      </c>
      <c r="H57" s="5" t="s">
        <v>1336</v>
      </c>
      <c r="I57" s="5" t="s">
        <v>1193</v>
      </c>
      <c r="J57" s="5" t="s">
        <v>752</v>
      </c>
      <c r="K57" s="5" t="s">
        <v>1346</v>
      </c>
      <c r="L57" s="5" t="s">
        <v>1347</v>
      </c>
    </row>
    <row r="58" customFormat="false" ht="23.25" hidden="false" customHeight="true" outlineLevel="0" collapsed="false">
      <c r="A58" s="5" t="s">
        <v>773</v>
      </c>
      <c r="B58" s="5" t="s">
        <v>1333</v>
      </c>
      <c r="C58" s="5" t="s">
        <v>1334</v>
      </c>
      <c r="D58" s="5" t="s">
        <v>1348</v>
      </c>
      <c r="E58" s="5" t="n">
        <v>3</v>
      </c>
      <c r="F58" s="5" t="s">
        <v>1191</v>
      </c>
      <c r="G58" s="5" t="s">
        <v>100</v>
      </c>
      <c r="H58" s="5" t="s">
        <v>1336</v>
      </c>
      <c r="I58" s="5" t="s">
        <v>1193</v>
      </c>
      <c r="J58" s="5" t="s">
        <v>752</v>
      </c>
      <c r="K58" s="5" t="s">
        <v>1349</v>
      </c>
      <c r="L58" s="5" t="s">
        <v>1338</v>
      </c>
    </row>
    <row r="59" customFormat="false" ht="23.25" hidden="false" customHeight="true" outlineLevel="0" collapsed="false">
      <c r="A59" s="5" t="s">
        <v>777</v>
      </c>
      <c r="B59" s="5" t="s">
        <v>1333</v>
      </c>
      <c r="C59" s="5" t="s">
        <v>1334</v>
      </c>
      <c r="D59" s="5" t="s">
        <v>1350</v>
      </c>
      <c r="E59" s="5" t="n">
        <v>2</v>
      </c>
      <c r="F59" s="5" t="s">
        <v>1201</v>
      </c>
      <c r="G59" s="5" t="s">
        <v>100</v>
      </c>
      <c r="H59" s="5" t="s">
        <v>1336</v>
      </c>
      <c r="I59" s="5" t="s">
        <v>1193</v>
      </c>
      <c r="J59" s="5" t="s">
        <v>752</v>
      </c>
      <c r="K59" s="5" t="s">
        <v>1351</v>
      </c>
      <c r="L59" s="5" t="s">
        <v>1338</v>
      </c>
    </row>
    <row r="60" customFormat="false" ht="23.25" hidden="false" customHeight="true" outlineLevel="0" collapsed="false">
      <c r="A60" s="5" t="s">
        <v>1352</v>
      </c>
      <c r="B60" s="5" t="s">
        <v>1353</v>
      </c>
      <c r="C60" s="5" t="s">
        <v>1354</v>
      </c>
      <c r="D60" s="5" t="s">
        <v>1355</v>
      </c>
      <c r="E60" s="5" t="n">
        <v>5</v>
      </c>
      <c r="F60" s="5" t="s">
        <v>1191</v>
      </c>
      <c r="G60" s="5" t="s">
        <v>127</v>
      </c>
      <c r="H60" s="5" t="s">
        <v>1356</v>
      </c>
      <c r="I60" s="5" t="s">
        <v>1193</v>
      </c>
      <c r="J60" s="5" t="s">
        <v>752</v>
      </c>
      <c r="K60" s="5" t="s">
        <v>1357</v>
      </c>
      <c r="L60" s="5" t="s">
        <v>1358</v>
      </c>
    </row>
    <row r="61" customFormat="false" ht="23.25" hidden="false" customHeight="true" outlineLevel="0" collapsed="false">
      <c r="A61" s="5" t="s">
        <v>1359</v>
      </c>
      <c r="B61" s="5" t="s">
        <v>1353</v>
      </c>
      <c r="C61" s="5" t="s">
        <v>1354</v>
      </c>
      <c r="D61" s="5" t="s">
        <v>1360</v>
      </c>
      <c r="E61" s="5" t="n">
        <v>5</v>
      </c>
      <c r="F61" s="5" t="s">
        <v>1191</v>
      </c>
      <c r="G61" s="5" t="s">
        <v>127</v>
      </c>
      <c r="H61" s="5" t="s">
        <v>1356</v>
      </c>
      <c r="I61" s="5" t="s">
        <v>1193</v>
      </c>
      <c r="J61" s="5" t="s">
        <v>752</v>
      </c>
      <c r="K61" s="5" t="s">
        <v>1361</v>
      </c>
      <c r="L61" s="5" t="s">
        <v>1358</v>
      </c>
    </row>
    <row r="62" customFormat="false" ht="23.25" hidden="false" customHeight="true" outlineLevel="0" collapsed="false">
      <c r="A62" s="5" t="s">
        <v>813</v>
      </c>
      <c r="B62" s="5" t="s">
        <v>1353</v>
      </c>
      <c r="C62" s="5" t="s">
        <v>1354</v>
      </c>
      <c r="D62" s="5" t="s">
        <v>1362</v>
      </c>
      <c r="E62" s="5" t="n">
        <v>8</v>
      </c>
      <c r="F62" s="5" t="s">
        <v>1191</v>
      </c>
      <c r="G62" s="5" t="s">
        <v>127</v>
      </c>
      <c r="H62" s="5" t="s">
        <v>1356</v>
      </c>
      <c r="I62" s="5" t="s">
        <v>1193</v>
      </c>
      <c r="J62" s="5" t="s">
        <v>814</v>
      </c>
      <c r="K62" s="5" t="s">
        <v>1363</v>
      </c>
      <c r="L62" s="5" t="s">
        <v>1358</v>
      </c>
    </row>
    <row r="63" customFormat="false" ht="23.25" hidden="false" customHeight="true" outlineLevel="0" collapsed="false">
      <c r="A63" s="5" t="s">
        <v>1364</v>
      </c>
      <c r="B63" s="5" t="s">
        <v>1353</v>
      </c>
      <c r="C63" s="5" t="s">
        <v>1354</v>
      </c>
      <c r="D63" s="5" t="s">
        <v>1365</v>
      </c>
      <c r="E63" s="5" t="n">
        <v>3</v>
      </c>
      <c r="F63" s="5" t="s">
        <v>1201</v>
      </c>
      <c r="G63" s="5" t="s">
        <v>133</v>
      </c>
      <c r="H63" s="5" t="s">
        <v>1356</v>
      </c>
      <c r="I63" s="5" t="s">
        <v>1193</v>
      </c>
      <c r="J63" s="5" t="s">
        <v>752</v>
      </c>
      <c r="K63" s="5" t="s">
        <v>1366</v>
      </c>
      <c r="L63" s="5" t="s">
        <v>1358</v>
      </c>
    </row>
    <row r="64" customFormat="false" ht="23.25" hidden="false" customHeight="true" outlineLevel="0" collapsed="false">
      <c r="A64" s="5" t="s">
        <v>1367</v>
      </c>
      <c r="B64" s="5" t="s">
        <v>1353</v>
      </c>
      <c r="C64" s="5" t="s">
        <v>1354</v>
      </c>
      <c r="D64" s="5" t="s">
        <v>1368</v>
      </c>
      <c r="E64" s="5" t="n">
        <v>3</v>
      </c>
      <c r="F64" s="5" t="s">
        <v>1201</v>
      </c>
      <c r="G64" s="5" t="s">
        <v>133</v>
      </c>
      <c r="H64" s="5" t="s">
        <v>1356</v>
      </c>
      <c r="I64" s="5" t="s">
        <v>1193</v>
      </c>
      <c r="J64" s="5" t="s">
        <v>752</v>
      </c>
      <c r="K64" s="5" t="s">
        <v>1369</v>
      </c>
      <c r="L64" s="5" t="s">
        <v>1358</v>
      </c>
    </row>
    <row r="65" customFormat="false" ht="23.25" hidden="false" customHeight="true" outlineLevel="0" collapsed="false">
      <c r="A65" s="5" t="s">
        <v>1370</v>
      </c>
      <c r="B65" s="5" t="s">
        <v>1353</v>
      </c>
      <c r="C65" s="5" t="s">
        <v>1354</v>
      </c>
      <c r="D65" s="5" t="s">
        <v>1371</v>
      </c>
      <c r="E65" s="5" t="n">
        <v>3</v>
      </c>
      <c r="F65" s="5" t="s">
        <v>1217</v>
      </c>
      <c r="G65" s="5" t="s">
        <v>133</v>
      </c>
      <c r="H65" s="5" t="s">
        <v>1356</v>
      </c>
      <c r="I65" s="5" t="s">
        <v>1193</v>
      </c>
      <c r="J65" s="5" t="s">
        <v>752</v>
      </c>
      <c r="K65" s="5" t="s">
        <v>1372</v>
      </c>
      <c r="L65" s="5" t="s">
        <v>1358</v>
      </c>
    </row>
    <row r="66" customFormat="false" ht="23.25" hidden="false" customHeight="true" outlineLevel="0" collapsed="false">
      <c r="A66" s="5" t="s">
        <v>1373</v>
      </c>
      <c r="B66" s="5" t="s">
        <v>1353</v>
      </c>
      <c r="C66" s="5" t="s">
        <v>1354</v>
      </c>
      <c r="D66" s="5" t="s">
        <v>1374</v>
      </c>
      <c r="E66" s="5" t="n">
        <v>3</v>
      </c>
      <c r="F66" s="5" t="s">
        <v>1201</v>
      </c>
      <c r="G66" s="5" t="s">
        <v>133</v>
      </c>
      <c r="H66" s="5" t="s">
        <v>1356</v>
      </c>
      <c r="I66" s="5" t="s">
        <v>1193</v>
      </c>
      <c r="J66" s="5" t="s">
        <v>752</v>
      </c>
      <c r="K66" s="5" t="s">
        <v>1375</v>
      </c>
      <c r="L66" s="5" t="s">
        <v>1358</v>
      </c>
    </row>
    <row r="67" customFormat="false" ht="23.25" hidden="false" customHeight="true" outlineLevel="0" collapsed="false">
      <c r="A67" s="5" t="s">
        <v>1376</v>
      </c>
      <c r="B67" s="5" t="s">
        <v>1377</v>
      </c>
      <c r="C67" s="5" t="s">
        <v>1378</v>
      </c>
      <c r="D67" s="5" t="s">
        <v>1379</v>
      </c>
      <c r="E67" s="5" t="n">
        <v>3</v>
      </c>
      <c r="F67" s="5" t="s">
        <v>1191</v>
      </c>
      <c r="G67" s="5" t="s">
        <v>133</v>
      </c>
      <c r="H67" s="5" t="s">
        <v>1380</v>
      </c>
      <c r="I67" s="5" t="s">
        <v>1193</v>
      </c>
      <c r="J67" s="5" t="s">
        <v>752</v>
      </c>
      <c r="K67" s="5" t="s">
        <v>1381</v>
      </c>
      <c r="L67" s="5" t="s">
        <v>1382</v>
      </c>
    </row>
    <row r="68" customFormat="false" ht="23.25" hidden="false" customHeight="true" outlineLevel="0" collapsed="false">
      <c r="A68" s="5" t="s">
        <v>1383</v>
      </c>
      <c r="B68" s="5" t="s">
        <v>1377</v>
      </c>
      <c r="C68" s="5" t="s">
        <v>1378</v>
      </c>
      <c r="D68" s="5" t="s">
        <v>1384</v>
      </c>
      <c r="E68" s="5" t="n">
        <v>3</v>
      </c>
      <c r="F68" s="5" t="s">
        <v>1191</v>
      </c>
      <c r="G68" s="5" t="s">
        <v>138</v>
      </c>
      <c r="H68" s="5" t="s">
        <v>1380</v>
      </c>
      <c r="I68" s="5" t="s">
        <v>1193</v>
      </c>
      <c r="J68" s="5" t="s">
        <v>814</v>
      </c>
      <c r="K68" s="5" t="s">
        <v>1385</v>
      </c>
      <c r="L68" s="5" t="s">
        <v>1382</v>
      </c>
    </row>
    <row r="69" customFormat="false" ht="23.25" hidden="false" customHeight="true" outlineLevel="0" collapsed="false">
      <c r="A69" s="5" t="s">
        <v>1386</v>
      </c>
      <c r="B69" s="5" t="s">
        <v>1377</v>
      </c>
      <c r="C69" s="5" t="s">
        <v>1378</v>
      </c>
      <c r="D69" s="5" t="s">
        <v>1387</v>
      </c>
      <c r="E69" s="5" t="n">
        <v>5</v>
      </c>
      <c r="F69" s="5" t="s">
        <v>1191</v>
      </c>
      <c r="G69" s="5" t="s">
        <v>138</v>
      </c>
      <c r="H69" s="5" t="s">
        <v>1380</v>
      </c>
      <c r="I69" s="5" t="s">
        <v>1193</v>
      </c>
      <c r="J69" s="5" t="s">
        <v>814</v>
      </c>
      <c r="K69" s="5" t="s">
        <v>1388</v>
      </c>
      <c r="L69" s="5" t="s">
        <v>1389</v>
      </c>
    </row>
    <row r="70" customFormat="false" ht="23.25" hidden="false" customHeight="true" outlineLevel="0" collapsed="false">
      <c r="A70" s="5" t="s">
        <v>1390</v>
      </c>
      <c r="B70" s="5" t="s">
        <v>1377</v>
      </c>
      <c r="C70" s="5" t="s">
        <v>1378</v>
      </c>
      <c r="D70" s="5" t="s">
        <v>1391</v>
      </c>
      <c r="E70" s="5" t="n">
        <v>5</v>
      </c>
      <c r="F70" s="5" t="s">
        <v>1201</v>
      </c>
      <c r="G70" s="5" t="s">
        <v>138</v>
      </c>
      <c r="H70" s="5" t="s">
        <v>1380</v>
      </c>
      <c r="I70" s="5" t="s">
        <v>1193</v>
      </c>
      <c r="J70" s="5" t="s">
        <v>752</v>
      </c>
      <c r="K70" s="5" t="s">
        <v>1392</v>
      </c>
      <c r="L70" s="5" t="s">
        <v>1393</v>
      </c>
    </row>
    <row r="71" customFormat="false" ht="15" hidden="false" customHeight="true" outlineLevel="0" collapsed="false">
      <c r="A71" s="5" t="s">
        <v>856</v>
      </c>
      <c r="B71" s="5" t="s">
        <v>1377</v>
      </c>
      <c r="C71" s="5" t="s">
        <v>1378</v>
      </c>
      <c r="D71" s="5" t="s">
        <v>1394</v>
      </c>
      <c r="E71" s="5" t="n">
        <v>8</v>
      </c>
      <c r="F71" s="5" t="s">
        <v>1191</v>
      </c>
      <c r="G71" s="5" t="s">
        <v>156</v>
      </c>
      <c r="H71" s="5" t="s">
        <v>1380</v>
      </c>
      <c r="I71" s="5" t="s">
        <v>1395</v>
      </c>
      <c r="J71" s="5" t="s">
        <v>858</v>
      </c>
      <c r="K71" s="5" t="s">
        <v>1396</v>
      </c>
      <c r="L71" s="5" t="s">
        <v>1397</v>
      </c>
    </row>
    <row r="72" customFormat="false" ht="23.25" hidden="false" customHeight="true" outlineLevel="0" collapsed="false">
      <c r="A72" s="5" t="s">
        <v>1398</v>
      </c>
      <c r="B72" s="5" t="s">
        <v>1377</v>
      </c>
      <c r="C72" s="5" t="s">
        <v>1378</v>
      </c>
      <c r="D72" s="5" t="s">
        <v>1399</v>
      </c>
      <c r="E72" s="5" t="n">
        <v>5</v>
      </c>
      <c r="F72" s="5" t="s">
        <v>1191</v>
      </c>
      <c r="G72" s="5" t="s">
        <v>156</v>
      </c>
      <c r="H72" s="5" t="s">
        <v>1380</v>
      </c>
      <c r="I72" s="5" t="s">
        <v>1193</v>
      </c>
      <c r="J72" s="5" t="s">
        <v>752</v>
      </c>
      <c r="K72" s="5" t="s">
        <v>1400</v>
      </c>
      <c r="L72" s="5" t="s">
        <v>1382</v>
      </c>
    </row>
    <row r="73" customFormat="false" ht="23.25" hidden="false" customHeight="true" outlineLevel="0" collapsed="false">
      <c r="A73" s="5" t="s">
        <v>1401</v>
      </c>
      <c r="B73" s="5" t="s">
        <v>1377</v>
      </c>
      <c r="C73" s="5" t="s">
        <v>1378</v>
      </c>
      <c r="D73" s="5" t="s">
        <v>1402</v>
      </c>
      <c r="E73" s="5" t="n">
        <v>5</v>
      </c>
      <c r="F73" s="5" t="s">
        <v>1191</v>
      </c>
      <c r="G73" s="5" t="s">
        <v>138</v>
      </c>
      <c r="H73" s="5" t="s">
        <v>1380</v>
      </c>
      <c r="I73" s="5" t="s">
        <v>1193</v>
      </c>
      <c r="J73" s="5" t="s">
        <v>752</v>
      </c>
      <c r="K73" s="5" t="s">
        <v>1403</v>
      </c>
      <c r="L73" s="5" t="s">
        <v>1382</v>
      </c>
    </row>
    <row r="74" customFormat="false" ht="23.25" hidden="false" customHeight="true" outlineLevel="0" collapsed="false">
      <c r="A74" s="5" t="s">
        <v>1404</v>
      </c>
      <c r="B74" s="5" t="s">
        <v>1405</v>
      </c>
      <c r="C74" s="5" t="s">
        <v>1406</v>
      </c>
      <c r="D74" s="5" t="s">
        <v>1407</v>
      </c>
      <c r="E74" s="5" t="n">
        <v>5</v>
      </c>
      <c r="F74" s="5" t="s">
        <v>1191</v>
      </c>
      <c r="G74" s="5" t="s">
        <v>116</v>
      </c>
      <c r="H74" s="5" t="s">
        <v>1283</v>
      </c>
      <c r="I74" s="5" t="s">
        <v>1193</v>
      </c>
      <c r="J74" s="5" t="s">
        <v>752</v>
      </c>
      <c r="K74" s="5" t="s">
        <v>1408</v>
      </c>
    </row>
    <row r="75" customFormat="false" ht="23.25" hidden="false" customHeight="true" outlineLevel="0" collapsed="false">
      <c r="A75" s="5" t="s">
        <v>1409</v>
      </c>
      <c r="B75" s="5" t="s">
        <v>1405</v>
      </c>
      <c r="C75" s="5" t="s">
        <v>1406</v>
      </c>
      <c r="D75" s="5" t="s">
        <v>1410</v>
      </c>
      <c r="E75" s="5" t="n">
        <v>3</v>
      </c>
      <c r="F75" s="5" t="s">
        <v>1191</v>
      </c>
      <c r="G75" s="5" t="s">
        <v>116</v>
      </c>
      <c r="H75" s="5" t="s">
        <v>1283</v>
      </c>
      <c r="I75" s="5" t="s">
        <v>1193</v>
      </c>
      <c r="J75" s="5" t="s">
        <v>752</v>
      </c>
      <c r="K75" s="5" t="s">
        <v>1411</v>
      </c>
    </row>
    <row r="76" customFormat="false" ht="23.25" hidden="false" customHeight="true" outlineLevel="0" collapsed="false">
      <c r="A76" s="5" t="s">
        <v>1412</v>
      </c>
      <c r="B76" s="5" t="s">
        <v>1405</v>
      </c>
      <c r="C76" s="5" t="s">
        <v>1406</v>
      </c>
      <c r="D76" s="5" t="s">
        <v>1413</v>
      </c>
      <c r="E76" s="5" t="n">
        <v>3</v>
      </c>
      <c r="F76" s="5" t="s">
        <v>1217</v>
      </c>
      <c r="G76" s="5" t="s">
        <v>138</v>
      </c>
      <c r="H76" s="5" t="s">
        <v>1283</v>
      </c>
      <c r="I76" s="5" t="s">
        <v>1193</v>
      </c>
      <c r="J76" s="5" t="s">
        <v>752</v>
      </c>
      <c r="K76" s="5" t="s">
        <v>1414</v>
      </c>
    </row>
    <row r="77" customFormat="false" ht="23.25" hidden="false" customHeight="true" outlineLevel="0" collapsed="false">
      <c r="A77" s="5" t="s">
        <v>1415</v>
      </c>
      <c r="B77" s="5" t="s">
        <v>1405</v>
      </c>
      <c r="C77" s="5" t="s">
        <v>1406</v>
      </c>
      <c r="D77" s="5" t="s">
        <v>1416</v>
      </c>
      <c r="E77" s="5" t="n">
        <v>2</v>
      </c>
      <c r="F77" s="5" t="s">
        <v>1217</v>
      </c>
      <c r="G77" s="5" t="s">
        <v>138</v>
      </c>
      <c r="H77" s="5" t="s">
        <v>1283</v>
      </c>
      <c r="I77" s="5" t="s">
        <v>1193</v>
      </c>
      <c r="J77" s="5" t="s">
        <v>752</v>
      </c>
      <c r="K77" s="5" t="s">
        <v>1417</v>
      </c>
    </row>
    <row r="78" customFormat="false" ht="23.25" hidden="false" customHeight="true" outlineLevel="0" collapsed="false">
      <c r="A78" s="5" t="s">
        <v>1418</v>
      </c>
      <c r="B78" s="5" t="s">
        <v>1405</v>
      </c>
      <c r="C78" s="5" t="s">
        <v>1406</v>
      </c>
      <c r="D78" s="5" t="s">
        <v>1419</v>
      </c>
      <c r="E78" s="5" t="n">
        <v>5</v>
      </c>
      <c r="F78" s="5" t="s">
        <v>1201</v>
      </c>
      <c r="G78" s="5" t="s">
        <v>138</v>
      </c>
      <c r="H78" s="5" t="s">
        <v>1283</v>
      </c>
      <c r="I78" s="5" t="s">
        <v>1193</v>
      </c>
      <c r="J78" s="5" t="s">
        <v>752</v>
      </c>
      <c r="K78" s="5" t="s">
        <v>1420</v>
      </c>
    </row>
    <row r="79" customFormat="false" ht="23.25" hidden="false" customHeight="true" outlineLevel="0" collapsed="false">
      <c r="A79" s="5" t="s">
        <v>1421</v>
      </c>
      <c r="B79" s="5" t="s">
        <v>1405</v>
      </c>
      <c r="C79" s="5" t="s">
        <v>1406</v>
      </c>
      <c r="D79" s="5" t="s">
        <v>1422</v>
      </c>
      <c r="E79" s="5" t="n">
        <v>3</v>
      </c>
      <c r="F79" s="5" t="s">
        <v>1217</v>
      </c>
      <c r="G79" s="5" t="s">
        <v>138</v>
      </c>
      <c r="H79" s="5" t="s">
        <v>1283</v>
      </c>
      <c r="I79" s="5" t="s">
        <v>1193</v>
      </c>
      <c r="J79" s="5" t="s">
        <v>752</v>
      </c>
      <c r="K79" s="5" t="s">
        <v>1423</v>
      </c>
    </row>
    <row r="80" customFormat="false" ht="23.25" hidden="false" customHeight="true" outlineLevel="0" collapsed="false">
      <c r="A80" s="5" t="s">
        <v>1424</v>
      </c>
      <c r="B80" s="5" t="s">
        <v>1405</v>
      </c>
      <c r="C80" s="5" t="s">
        <v>1406</v>
      </c>
      <c r="D80" s="5" t="s">
        <v>1425</v>
      </c>
      <c r="E80" s="5" t="n">
        <v>3</v>
      </c>
      <c r="F80" s="5" t="s">
        <v>1217</v>
      </c>
      <c r="G80" s="5" t="s">
        <v>138</v>
      </c>
      <c r="H80" s="5" t="s">
        <v>1283</v>
      </c>
      <c r="I80" s="5" t="s">
        <v>1193</v>
      </c>
      <c r="J80" s="5" t="s">
        <v>752</v>
      </c>
      <c r="K80" s="5" t="s">
        <v>1426</v>
      </c>
    </row>
    <row r="81" customFormat="false" ht="23.25" hidden="false" customHeight="true" outlineLevel="0" collapsed="false">
      <c r="A81" s="5" t="s">
        <v>1427</v>
      </c>
      <c r="B81" s="5" t="s">
        <v>1428</v>
      </c>
      <c r="C81" s="5" t="s">
        <v>1429</v>
      </c>
      <c r="D81" s="5" t="s">
        <v>1430</v>
      </c>
      <c r="E81" s="5" t="n">
        <v>5</v>
      </c>
      <c r="F81" s="5" t="s">
        <v>1191</v>
      </c>
      <c r="G81" s="5" t="s">
        <v>121</v>
      </c>
      <c r="H81" s="5" t="s">
        <v>1431</v>
      </c>
      <c r="I81" s="5" t="s">
        <v>1193</v>
      </c>
      <c r="J81" s="5" t="s">
        <v>752</v>
      </c>
      <c r="K81" s="5" t="s">
        <v>1432</v>
      </c>
    </row>
    <row r="82" customFormat="false" ht="23.25" hidden="false" customHeight="true" outlineLevel="0" collapsed="false">
      <c r="A82" s="5" t="s">
        <v>1433</v>
      </c>
      <c r="B82" s="5" t="s">
        <v>1428</v>
      </c>
      <c r="C82" s="5" t="s">
        <v>1429</v>
      </c>
      <c r="D82" s="5" t="s">
        <v>1434</v>
      </c>
      <c r="E82" s="5" t="n">
        <v>3</v>
      </c>
      <c r="F82" s="5" t="s">
        <v>1201</v>
      </c>
      <c r="G82" s="5" t="s">
        <v>121</v>
      </c>
      <c r="H82" s="5" t="s">
        <v>1431</v>
      </c>
      <c r="I82" s="5" t="s">
        <v>1193</v>
      </c>
      <c r="J82" s="5" t="s">
        <v>752</v>
      </c>
      <c r="K82" s="5" t="s">
        <v>1435</v>
      </c>
    </row>
    <row r="83" customFormat="false" ht="15" hidden="false" customHeight="true" outlineLevel="0" collapsed="false">
      <c r="A83" s="5" t="s">
        <v>872</v>
      </c>
      <c r="B83" s="5" t="s">
        <v>1428</v>
      </c>
      <c r="C83" s="5" t="s">
        <v>1429</v>
      </c>
      <c r="D83" s="5" t="s">
        <v>1436</v>
      </c>
      <c r="E83" s="5" t="n">
        <v>5</v>
      </c>
      <c r="F83" s="5" t="s">
        <v>1201</v>
      </c>
      <c r="G83" s="5" t="s">
        <v>173</v>
      </c>
      <c r="H83" s="5" t="s">
        <v>1431</v>
      </c>
      <c r="I83" s="5" t="s">
        <v>1193</v>
      </c>
      <c r="J83" s="5" t="s">
        <v>752</v>
      </c>
      <c r="K83" s="5" t="s">
        <v>1437</v>
      </c>
    </row>
    <row r="84" customFormat="false" ht="15" hidden="false" customHeight="true" outlineLevel="0" collapsed="false">
      <c r="A84" s="5" t="s">
        <v>876</v>
      </c>
      <c r="B84" s="5" t="s">
        <v>1428</v>
      </c>
      <c r="C84" s="5" t="s">
        <v>1429</v>
      </c>
      <c r="D84" s="5" t="s">
        <v>1438</v>
      </c>
      <c r="E84" s="5" t="n">
        <v>3</v>
      </c>
      <c r="F84" s="5" t="s">
        <v>1191</v>
      </c>
      <c r="G84" s="5" t="s">
        <v>173</v>
      </c>
      <c r="H84" s="5" t="s">
        <v>1431</v>
      </c>
      <c r="I84" s="5" t="s">
        <v>1193</v>
      </c>
      <c r="J84" s="5" t="s">
        <v>752</v>
      </c>
      <c r="K84" s="5" t="s">
        <v>1439</v>
      </c>
      <c r="L84" s="5" t="s">
        <v>1440</v>
      </c>
    </row>
    <row r="85" customFormat="false" ht="23.25" hidden="false" customHeight="true" outlineLevel="0" collapsed="false">
      <c r="A85" s="5" t="s">
        <v>1441</v>
      </c>
      <c r="B85" s="5" t="s">
        <v>1428</v>
      </c>
      <c r="C85" s="5" t="s">
        <v>1429</v>
      </c>
      <c r="D85" s="5" t="s">
        <v>1442</v>
      </c>
      <c r="E85" s="5" t="n">
        <v>3</v>
      </c>
      <c r="F85" s="5" t="s">
        <v>1201</v>
      </c>
      <c r="G85" s="5" t="s">
        <v>186</v>
      </c>
      <c r="H85" s="5" t="s">
        <v>1431</v>
      </c>
      <c r="I85" s="5" t="s">
        <v>1193</v>
      </c>
      <c r="J85" s="5" t="s">
        <v>752</v>
      </c>
      <c r="K85" s="5" t="s">
        <v>1443</v>
      </c>
    </row>
    <row r="86" customFormat="false" ht="15" hidden="false" customHeight="true" outlineLevel="0" collapsed="false">
      <c r="A86" s="5" t="s">
        <v>880</v>
      </c>
      <c r="B86" s="5" t="s">
        <v>1428</v>
      </c>
      <c r="C86" s="5" t="s">
        <v>1429</v>
      </c>
      <c r="D86" s="5" t="s">
        <v>1444</v>
      </c>
      <c r="E86" s="5" t="n">
        <v>5</v>
      </c>
      <c r="F86" s="5" t="s">
        <v>1201</v>
      </c>
      <c r="G86" s="5" t="s">
        <v>173</v>
      </c>
      <c r="H86" s="5" t="s">
        <v>1431</v>
      </c>
      <c r="I86" s="5" t="s">
        <v>1445</v>
      </c>
      <c r="J86" s="5" t="s">
        <v>814</v>
      </c>
      <c r="K86" s="5" t="s">
        <v>1446</v>
      </c>
    </row>
    <row r="87" customFormat="false" ht="15" hidden="false" customHeight="true" outlineLevel="0" collapsed="false">
      <c r="A87" s="5" t="s">
        <v>884</v>
      </c>
      <c r="B87" s="5" t="s">
        <v>1428</v>
      </c>
      <c r="C87" s="5" t="s">
        <v>1429</v>
      </c>
      <c r="D87" s="5" t="s">
        <v>1447</v>
      </c>
      <c r="E87" s="5" t="n">
        <v>2</v>
      </c>
      <c r="F87" s="5" t="s">
        <v>1217</v>
      </c>
      <c r="G87" s="5" t="s">
        <v>173</v>
      </c>
      <c r="H87" s="5" t="s">
        <v>1431</v>
      </c>
      <c r="I87" s="5" t="s">
        <v>1193</v>
      </c>
      <c r="J87" s="5" t="s">
        <v>752</v>
      </c>
      <c r="K87" s="5" t="s">
        <v>1448</v>
      </c>
      <c r="L87" s="5" t="s">
        <v>1449</v>
      </c>
    </row>
    <row r="88" customFormat="false" ht="23.25" hidden="false" customHeight="true" outlineLevel="0" collapsed="false">
      <c r="A88" s="5" t="s">
        <v>1450</v>
      </c>
      <c r="B88" s="5" t="s">
        <v>1451</v>
      </c>
      <c r="C88" s="5" t="s">
        <v>1452</v>
      </c>
      <c r="D88" s="5" t="s">
        <v>1453</v>
      </c>
      <c r="E88" s="5" t="n">
        <v>5</v>
      </c>
      <c r="F88" s="5" t="s">
        <v>1191</v>
      </c>
      <c r="G88" s="5" t="s">
        <v>111</v>
      </c>
      <c r="H88" s="5" t="s">
        <v>93</v>
      </c>
      <c r="I88" s="5" t="s">
        <v>1193</v>
      </c>
      <c r="J88" s="5" t="s">
        <v>752</v>
      </c>
      <c r="K88" s="5" t="s">
        <v>1454</v>
      </c>
      <c r="L88" s="5" t="s">
        <v>1455</v>
      </c>
    </row>
    <row r="89" customFormat="false" ht="23.25" hidden="false" customHeight="true" outlineLevel="0" collapsed="false">
      <c r="A89" s="5" t="s">
        <v>1456</v>
      </c>
      <c r="B89" s="5" t="s">
        <v>1451</v>
      </c>
      <c r="C89" s="5" t="s">
        <v>1452</v>
      </c>
      <c r="D89" s="5" t="s">
        <v>1457</v>
      </c>
      <c r="E89" s="5" t="n">
        <v>5</v>
      </c>
      <c r="F89" s="5" t="s">
        <v>1191</v>
      </c>
      <c r="G89" s="5" t="s">
        <v>116</v>
      </c>
      <c r="H89" s="5" t="s">
        <v>93</v>
      </c>
      <c r="I89" s="5" t="s">
        <v>1193</v>
      </c>
      <c r="J89" s="5" t="s">
        <v>752</v>
      </c>
      <c r="K89" s="5" t="s">
        <v>1458</v>
      </c>
      <c r="L89" s="5" t="s">
        <v>1455</v>
      </c>
    </row>
    <row r="90" customFormat="false" ht="23.25" hidden="false" customHeight="true" outlineLevel="0" collapsed="false">
      <c r="A90" s="5" t="s">
        <v>1459</v>
      </c>
      <c r="B90" s="5" t="s">
        <v>1451</v>
      </c>
      <c r="C90" s="5" t="s">
        <v>1452</v>
      </c>
      <c r="D90" s="5" t="s">
        <v>1460</v>
      </c>
      <c r="E90" s="5" t="n">
        <v>3</v>
      </c>
      <c r="F90" s="5" t="s">
        <v>1191</v>
      </c>
      <c r="G90" s="5" t="s">
        <v>138</v>
      </c>
      <c r="H90" s="5" t="s">
        <v>93</v>
      </c>
      <c r="I90" s="5" t="s">
        <v>1193</v>
      </c>
      <c r="J90" s="5" t="s">
        <v>752</v>
      </c>
      <c r="K90" s="5" t="s">
        <v>1461</v>
      </c>
      <c r="L90" s="5" t="s">
        <v>1462</v>
      </c>
    </row>
    <row r="91" customFormat="false" ht="23.25" hidden="false" customHeight="true" outlineLevel="0" collapsed="false">
      <c r="A91" s="5" t="s">
        <v>1463</v>
      </c>
      <c r="B91" s="5" t="s">
        <v>1451</v>
      </c>
      <c r="C91" s="5" t="s">
        <v>1452</v>
      </c>
      <c r="D91" s="5" t="s">
        <v>1464</v>
      </c>
      <c r="E91" s="5" t="n">
        <v>5</v>
      </c>
      <c r="F91" s="5" t="s">
        <v>1201</v>
      </c>
      <c r="G91" s="5" t="s">
        <v>138</v>
      </c>
      <c r="H91" s="5" t="s">
        <v>93</v>
      </c>
      <c r="I91" s="5" t="s">
        <v>1193</v>
      </c>
      <c r="J91" s="5" t="s">
        <v>814</v>
      </c>
      <c r="K91" s="5" t="s">
        <v>1465</v>
      </c>
      <c r="L91" s="5" t="s">
        <v>1462</v>
      </c>
    </row>
    <row r="92" customFormat="false" ht="15" hidden="false" customHeight="true" outlineLevel="0" collapsed="false">
      <c r="A92" s="5" t="s">
        <v>844</v>
      </c>
      <c r="B92" s="5" t="s">
        <v>1451</v>
      </c>
      <c r="C92" s="5" t="s">
        <v>1452</v>
      </c>
      <c r="D92" s="5" t="s">
        <v>1466</v>
      </c>
      <c r="E92" s="5" t="n">
        <v>3</v>
      </c>
      <c r="F92" s="5" t="s">
        <v>1201</v>
      </c>
      <c r="G92" s="5" t="s">
        <v>156</v>
      </c>
      <c r="H92" s="5" t="s">
        <v>93</v>
      </c>
      <c r="I92" s="5" t="s">
        <v>1193</v>
      </c>
      <c r="J92" s="5" t="s">
        <v>752</v>
      </c>
      <c r="K92" s="5" t="s">
        <v>1467</v>
      </c>
      <c r="L92" s="5" t="s">
        <v>1462</v>
      </c>
    </row>
    <row r="93" customFormat="false" ht="15" hidden="false" customHeight="true" outlineLevel="0" collapsed="false">
      <c r="A93" s="5" t="s">
        <v>848</v>
      </c>
      <c r="B93" s="5" t="s">
        <v>1451</v>
      </c>
      <c r="C93" s="5" t="s">
        <v>1452</v>
      </c>
      <c r="D93" s="5" t="s">
        <v>1468</v>
      </c>
      <c r="E93" s="5" t="n">
        <v>3</v>
      </c>
      <c r="F93" s="5" t="s">
        <v>1201</v>
      </c>
      <c r="G93" s="5" t="s">
        <v>156</v>
      </c>
      <c r="H93" s="5" t="s">
        <v>93</v>
      </c>
      <c r="I93" s="5" t="s">
        <v>1193</v>
      </c>
      <c r="J93" s="5" t="s">
        <v>752</v>
      </c>
      <c r="K93" s="5" t="s">
        <v>1469</v>
      </c>
      <c r="L93" s="5" t="s">
        <v>1470</v>
      </c>
    </row>
    <row r="94" customFormat="false" ht="15" hidden="false" customHeight="true" outlineLevel="0" collapsed="false">
      <c r="A94" s="5" t="s">
        <v>852</v>
      </c>
      <c r="B94" s="5" t="s">
        <v>1451</v>
      </c>
      <c r="C94" s="5" t="s">
        <v>1452</v>
      </c>
      <c r="D94" s="5" t="s">
        <v>1471</v>
      </c>
      <c r="E94" s="5" t="n">
        <v>3</v>
      </c>
      <c r="F94" s="5" t="s">
        <v>1217</v>
      </c>
      <c r="G94" s="5" t="s">
        <v>156</v>
      </c>
      <c r="H94" s="5" t="s">
        <v>93</v>
      </c>
      <c r="I94" s="5" t="s">
        <v>1193</v>
      </c>
      <c r="J94" s="5" t="s">
        <v>752</v>
      </c>
      <c r="K94" s="5" t="s">
        <v>1472</v>
      </c>
      <c r="L94" s="5" t="s">
        <v>1462</v>
      </c>
    </row>
    <row r="95" customFormat="false" ht="23.25" hidden="false" customHeight="true" outlineLevel="0" collapsed="false">
      <c r="A95" s="5" t="s">
        <v>1473</v>
      </c>
      <c r="B95" s="5" t="s">
        <v>1451</v>
      </c>
      <c r="C95" s="5" t="s">
        <v>1452</v>
      </c>
      <c r="D95" s="5" t="s">
        <v>1474</v>
      </c>
      <c r="E95" s="5" t="n">
        <v>3</v>
      </c>
      <c r="F95" s="5" t="s">
        <v>1217</v>
      </c>
      <c r="G95" s="5" t="s">
        <v>138</v>
      </c>
      <c r="H95" s="5" t="s">
        <v>93</v>
      </c>
      <c r="I95" s="5" t="s">
        <v>1193</v>
      </c>
      <c r="J95" s="5" t="s">
        <v>814</v>
      </c>
      <c r="K95" s="5" t="s">
        <v>1475</v>
      </c>
      <c r="L95" s="5" t="s">
        <v>1476</v>
      </c>
    </row>
    <row r="96" customFormat="false" ht="15" hidden="false" customHeight="true" outlineLevel="0" collapsed="false">
      <c r="A96" s="5" t="s">
        <v>1477</v>
      </c>
      <c r="B96" s="5" t="s">
        <v>1478</v>
      </c>
      <c r="C96" s="5" t="s">
        <v>1479</v>
      </c>
      <c r="D96" s="5" t="s">
        <v>1480</v>
      </c>
      <c r="E96" s="5" t="n">
        <v>3</v>
      </c>
      <c r="F96" s="5" t="s">
        <v>1191</v>
      </c>
      <c r="G96" s="5" t="s">
        <v>156</v>
      </c>
      <c r="H96" s="5" t="s">
        <v>93</v>
      </c>
      <c r="I96" s="5" t="s">
        <v>1395</v>
      </c>
      <c r="J96" s="5" t="s">
        <v>863</v>
      </c>
      <c r="K96" s="5" t="s">
        <v>1481</v>
      </c>
      <c r="L96" s="5" t="s">
        <v>1482</v>
      </c>
    </row>
    <row r="97" customFormat="false" ht="15" hidden="false" customHeight="true" outlineLevel="0" collapsed="false">
      <c r="A97" s="5" t="s">
        <v>1483</v>
      </c>
      <c r="B97" s="5" t="s">
        <v>1478</v>
      </c>
      <c r="C97" s="5" t="s">
        <v>1479</v>
      </c>
      <c r="D97" s="5" t="s">
        <v>1484</v>
      </c>
      <c r="E97" s="5" t="n">
        <v>5</v>
      </c>
      <c r="F97" s="5" t="s">
        <v>1191</v>
      </c>
      <c r="G97" s="5" t="s">
        <v>156</v>
      </c>
      <c r="H97" s="5" t="s">
        <v>93</v>
      </c>
      <c r="I97" s="5" t="s">
        <v>1395</v>
      </c>
      <c r="J97" s="5" t="s">
        <v>863</v>
      </c>
      <c r="K97" s="5" t="s">
        <v>1485</v>
      </c>
      <c r="L97" s="5" t="s">
        <v>1482</v>
      </c>
    </row>
    <row r="98" customFormat="false" ht="15" hidden="false" customHeight="true" outlineLevel="0" collapsed="false">
      <c r="A98" s="5" t="s">
        <v>1486</v>
      </c>
      <c r="B98" s="5" t="s">
        <v>1478</v>
      </c>
      <c r="C98" s="5" t="s">
        <v>1479</v>
      </c>
      <c r="D98" s="5" t="s">
        <v>1487</v>
      </c>
      <c r="E98" s="5" t="n">
        <v>3</v>
      </c>
      <c r="F98" s="5" t="s">
        <v>1191</v>
      </c>
      <c r="G98" s="5" t="s">
        <v>173</v>
      </c>
      <c r="H98" s="5" t="s">
        <v>93</v>
      </c>
      <c r="I98" s="5" t="s">
        <v>1193</v>
      </c>
      <c r="J98" s="5" t="s">
        <v>752</v>
      </c>
      <c r="K98" s="5" t="s">
        <v>1488</v>
      </c>
    </row>
    <row r="99" customFormat="false" ht="15" hidden="false" customHeight="true" outlineLevel="0" collapsed="false">
      <c r="A99" s="5" t="s">
        <v>1489</v>
      </c>
      <c r="B99" s="5" t="s">
        <v>1478</v>
      </c>
      <c r="C99" s="5" t="s">
        <v>1479</v>
      </c>
      <c r="D99" s="5" t="s">
        <v>1490</v>
      </c>
      <c r="E99" s="5" t="n">
        <v>3</v>
      </c>
      <c r="F99" s="5" t="s">
        <v>1191</v>
      </c>
      <c r="G99" s="5" t="s">
        <v>173</v>
      </c>
      <c r="H99" s="5" t="s">
        <v>93</v>
      </c>
      <c r="I99" s="5" t="s">
        <v>1193</v>
      </c>
      <c r="J99" s="5" t="s">
        <v>752</v>
      </c>
      <c r="K99" s="5" t="s">
        <v>1491</v>
      </c>
      <c r="L99" s="5" t="s">
        <v>1492</v>
      </c>
    </row>
    <row r="100" customFormat="false" ht="15" hidden="false" customHeight="true" outlineLevel="0" collapsed="false">
      <c r="A100" s="5" t="s">
        <v>893</v>
      </c>
      <c r="B100" s="5" t="s">
        <v>1478</v>
      </c>
      <c r="C100" s="5" t="s">
        <v>1479</v>
      </c>
      <c r="D100" s="5" t="s">
        <v>1493</v>
      </c>
      <c r="E100" s="5" t="n">
        <v>3</v>
      </c>
      <c r="F100" s="5" t="s">
        <v>1191</v>
      </c>
      <c r="G100" s="5" t="s">
        <v>173</v>
      </c>
      <c r="H100" s="5" t="s">
        <v>93</v>
      </c>
      <c r="I100" s="5" t="s">
        <v>1395</v>
      </c>
      <c r="J100" s="5" t="s">
        <v>858</v>
      </c>
      <c r="K100" s="5" t="s">
        <v>1494</v>
      </c>
      <c r="L100" s="5" t="s">
        <v>1495</v>
      </c>
    </row>
    <row r="101" customFormat="false" ht="15" hidden="false" customHeight="true" outlineLevel="0" collapsed="false">
      <c r="A101" s="5" t="s">
        <v>898</v>
      </c>
      <c r="B101" s="5" t="s">
        <v>1478</v>
      </c>
      <c r="C101" s="5" t="s">
        <v>1479</v>
      </c>
      <c r="D101" s="5" t="s">
        <v>1496</v>
      </c>
      <c r="E101" s="5" t="n">
        <v>3</v>
      </c>
      <c r="F101" s="5" t="s">
        <v>1201</v>
      </c>
      <c r="G101" s="5" t="s">
        <v>186</v>
      </c>
      <c r="H101" s="5" t="s">
        <v>93</v>
      </c>
      <c r="I101" s="5" t="s">
        <v>1193</v>
      </c>
      <c r="J101" s="5" t="s">
        <v>752</v>
      </c>
      <c r="K101" s="5" t="s">
        <v>1497</v>
      </c>
    </row>
    <row r="102" customFormat="false" ht="15" hidden="false" customHeight="true" outlineLevel="0" collapsed="false">
      <c r="A102" s="5" t="s">
        <v>194</v>
      </c>
      <c r="B102" s="5" t="s">
        <v>1478</v>
      </c>
      <c r="C102" s="5" t="s">
        <v>1479</v>
      </c>
      <c r="D102" s="5" t="s">
        <v>1498</v>
      </c>
      <c r="E102" s="5" t="n">
        <v>2</v>
      </c>
      <c r="F102" s="5" t="s">
        <v>1217</v>
      </c>
      <c r="G102" s="5" t="s">
        <v>192</v>
      </c>
      <c r="H102" s="5" t="s">
        <v>93</v>
      </c>
      <c r="I102" s="5" t="s">
        <v>1499</v>
      </c>
      <c r="J102" s="5" t="s">
        <v>814</v>
      </c>
      <c r="K102" s="5" t="s">
        <v>1500</v>
      </c>
    </row>
    <row r="103" customFormat="false" ht="15" hidden="false" customHeight="true" outlineLevel="0" collapsed="false">
      <c r="A103" s="5" t="s">
        <v>902</v>
      </c>
      <c r="B103" s="5" t="s">
        <v>1478</v>
      </c>
      <c r="C103" s="5" t="s">
        <v>1479</v>
      </c>
      <c r="D103" s="5" t="s">
        <v>1501</v>
      </c>
      <c r="E103" s="5" t="n">
        <v>2</v>
      </c>
      <c r="F103" s="5" t="s">
        <v>1201</v>
      </c>
      <c r="G103" s="5" t="s">
        <v>186</v>
      </c>
      <c r="H103" s="5" t="s">
        <v>93</v>
      </c>
      <c r="I103" s="5" t="s">
        <v>1445</v>
      </c>
      <c r="J103" s="5" t="s">
        <v>814</v>
      </c>
      <c r="K103" s="5" t="s">
        <v>1502</v>
      </c>
      <c r="L103" s="5" t="s">
        <v>1503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8"/>
    <col collapsed="false" customWidth="true" hidden="false" outlineLevel="0" max="5" min="3" style="1" width="8"/>
    <col collapsed="false" customWidth="true" hidden="false" outlineLevel="0" max="6" min="6" style="1" width="11"/>
    <col collapsed="false" customWidth="true" hidden="false" outlineLevel="0" max="7" min="7" style="1" width="13"/>
    <col collapsed="false" customWidth="true" hidden="false" outlineLevel="0" max="8" min="8" style="1" width="44"/>
    <col collapsed="false" customWidth="true" hidden="false" outlineLevel="0" max="9" min="9" style="1" width="52"/>
  </cols>
  <sheetData>
    <row r="1" customFormat="false" ht="15" hidden="false" customHeight="true" outlineLevel="0" collapsed="false">
      <c r="A1" s="2" t="s">
        <v>1504</v>
      </c>
    </row>
    <row r="2" customFormat="false" ht="15" hidden="false" customHeight="true" outlineLevel="0" collapsed="false">
      <c r="A2" s="3" t="s">
        <v>1505</v>
      </c>
    </row>
    <row r="3" customFormat="false" ht="15" hidden="false" customHeight="true" outlineLevel="0" collapsed="false">
      <c r="A3" s="4" t="s">
        <v>86</v>
      </c>
      <c r="B3" s="4" t="s">
        <v>1506</v>
      </c>
      <c r="C3" s="4" t="s">
        <v>1507</v>
      </c>
      <c r="D3" s="4" t="s">
        <v>745</v>
      </c>
      <c r="E3" s="4" t="s">
        <v>752</v>
      </c>
      <c r="F3" s="4" t="s">
        <v>1508</v>
      </c>
      <c r="G3" s="4" t="s">
        <v>1509</v>
      </c>
      <c r="H3" s="4" t="s">
        <v>1510</v>
      </c>
      <c r="I3" s="4" t="s">
        <v>1511</v>
      </c>
    </row>
    <row r="4" customFormat="false" ht="15" hidden="false" customHeight="true" outlineLevel="0" collapsed="false">
      <c r="A4" s="5" t="s">
        <v>1512</v>
      </c>
      <c r="B4" s="5" t="s">
        <v>1513</v>
      </c>
      <c r="C4" s="5" t="n">
        <f aca="false">COUNTIF(Traceability_Matrix!$G$4:$G$103,$A4)</f>
        <v>0</v>
      </c>
      <c r="D4" s="5" t="n">
        <f aca="false">SUMIF(Traceability_Matrix!$G$4:$G$103,$A4,Traceability_Matrix!$E$4:$E$103)</f>
        <v>0</v>
      </c>
      <c r="E4" s="5" t="n">
        <f aca="false">COUNTIFS(Traceability_Matrix!$G$4:$G$103,$A4,Traceability_Matrix!$J$4:$J$103,"Done")+COUNTIFS(Traceability_Matrix!$G$4:$G$103,$A4,Traceability_Matrix!$J$4:$J$103,"Code-complete (pending live)")</f>
        <v>0</v>
      </c>
      <c r="F4" s="5" t="n">
        <f aca="false">SUMIFS(Traceability_Matrix!$E$4:$E$103,Traceability_Matrix!$G$4:$G$103,$A4,Traceability_Matrix!$J$4:$J$103,"Done")+SUMIFS(Traceability_Matrix!$E$4:$E$103,Traceability_Matrix!$G$4:$G$103,$A4,Traceability_Matrix!$J$4:$J$103,"Code-complete (pending live)")</f>
        <v>0</v>
      </c>
      <c r="G4" s="8" t="n">
        <f aca="false">IF(D4=0,0,F4/D4)</f>
        <v>0</v>
      </c>
      <c r="H4" s="5"/>
      <c r="I4" s="5" t="s">
        <v>1514</v>
      </c>
    </row>
    <row r="5" customFormat="false" ht="23.25" hidden="false" customHeight="true" outlineLevel="0" collapsed="false">
      <c r="A5" s="5" t="s">
        <v>100</v>
      </c>
      <c r="B5" s="5" t="s">
        <v>1515</v>
      </c>
      <c r="C5" s="5" t="n">
        <f aca="false">COUNTIF(Traceability_Matrix!$G$4:$G$103,$A5)</f>
        <v>4</v>
      </c>
      <c r="D5" s="5" t="n">
        <f aca="false">SUMIF(Traceability_Matrix!$G$4:$G$103,$A5,Traceability_Matrix!$E$4:$E$103)</f>
        <v>13</v>
      </c>
      <c r="E5" s="5" t="n">
        <f aca="false">COUNTIFS(Traceability_Matrix!$G$4:$G$103,$A5,Traceability_Matrix!$J$4:$J$103,"Done")+COUNTIFS(Traceability_Matrix!$G$4:$G$103,$A5,Traceability_Matrix!$J$4:$J$103,"Code-complete (pending live)")</f>
        <v>4</v>
      </c>
      <c r="F5" s="5" t="n">
        <f aca="false">SUMIFS(Traceability_Matrix!$E$4:$E$103,Traceability_Matrix!$G$4:$G$103,$A5,Traceability_Matrix!$J$4:$J$103,"Done")+SUMIFS(Traceability_Matrix!$E$4:$E$103,Traceability_Matrix!$G$4:$G$103,$A5,Traceability_Matrix!$J$4:$J$103,"Code-complete (pending live)")</f>
        <v>13</v>
      </c>
      <c r="G5" s="8" t="n">
        <f aca="false">IF(D5=0,0,F5/D5)</f>
        <v>1</v>
      </c>
      <c r="H5" s="5" t="s">
        <v>1516</v>
      </c>
      <c r="I5" s="5" t="s">
        <v>1517</v>
      </c>
    </row>
    <row r="6" customFormat="false" ht="15" hidden="false" customHeight="true" outlineLevel="0" collapsed="false">
      <c r="A6" s="5" t="s">
        <v>106</v>
      </c>
      <c r="B6" s="5" t="s">
        <v>1518</v>
      </c>
      <c r="C6" s="5" t="n">
        <f aca="false">COUNTIF(Traceability_Matrix!$G$4:$G$103,$A6)</f>
        <v>6</v>
      </c>
      <c r="D6" s="5" t="n">
        <f aca="false">SUMIF(Traceability_Matrix!$G$4:$G$103,$A6,Traceability_Matrix!$E$4:$E$103)</f>
        <v>29</v>
      </c>
      <c r="E6" s="5" t="n">
        <f aca="false">COUNTIFS(Traceability_Matrix!$G$4:$G$103,$A6,Traceability_Matrix!$J$4:$J$103,"Done")+COUNTIFS(Traceability_Matrix!$G$4:$G$103,$A6,Traceability_Matrix!$J$4:$J$103,"Code-complete (pending live)")</f>
        <v>6</v>
      </c>
      <c r="F6" s="5" t="n">
        <f aca="false">SUMIFS(Traceability_Matrix!$E$4:$E$103,Traceability_Matrix!$G$4:$G$103,$A6,Traceability_Matrix!$J$4:$J$103,"Done")+SUMIFS(Traceability_Matrix!$E$4:$E$103,Traceability_Matrix!$G$4:$G$103,$A6,Traceability_Matrix!$J$4:$J$103,"Code-complete (pending live)")</f>
        <v>29</v>
      </c>
      <c r="G6" s="8" t="n">
        <f aca="false">IF(D6=0,0,F6/D6)</f>
        <v>1</v>
      </c>
      <c r="H6" s="5" t="s">
        <v>1519</v>
      </c>
      <c r="I6" s="5" t="s">
        <v>1520</v>
      </c>
    </row>
    <row r="7" customFormat="false" ht="23.25" hidden="false" customHeight="true" outlineLevel="0" collapsed="false">
      <c r="A7" s="5" t="s">
        <v>111</v>
      </c>
      <c r="B7" s="5" t="s">
        <v>1521</v>
      </c>
      <c r="C7" s="5" t="n">
        <f aca="false">COUNTIF(Traceability_Matrix!$G$4:$G$103,$A7)</f>
        <v>11</v>
      </c>
      <c r="D7" s="5" t="n">
        <f aca="false">SUMIF(Traceability_Matrix!$G$4:$G$103,$A7,Traceability_Matrix!$E$4:$E$103)</f>
        <v>47</v>
      </c>
      <c r="E7" s="5" t="n">
        <f aca="false">COUNTIFS(Traceability_Matrix!$G$4:$G$103,$A7,Traceability_Matrix!$J$4:$J$103,"Done")+COUNTIFS(Traceability_Matrix!$G$4:$G$103,$A7,Traceability_Matrix!$J$4:$J$103,"Code-complete (pending live)")</f>
        <v>11</v>
      </c>
      <c r="F7" s="5" t="n">
        <f aca="false">SUMIFS(Traceability_Matrix!$E$4:$E$103,Traceability_Matrix!$G$4:$G$103,$A7,Traceability_Matrix!$J$4:$J$103,"Done")+SUMIFS(Traceability_Matrix!$E$4:$E$103,Traceability_Matrix!$G$4:$G$103,$A7,Traceability_Matrix!$J$4:$J$103,"Code-complete (pending live)")</f>
        <v>47</v>
      </c>
      <c r="G7" s="8" t="n">
        <f aca="false">IF(D7=0,0,F7/D7)</f>
        <v>1</v>
      </c>
      <c r="H7" s="5" t="s">
        <v>1519</v>
      </c>
      <c r="I7" s="5" t="s">
        <v>1522</v>
      </c>
    </row>
    <row r="8" customFormat="false" ht="15" hidden="false" customHeight="true" outlineLevel="0" collapsed="false">
      <c r="A8" s="5" t="s">
        <v>116</v>
      </c>
      <c r="B8" s="5" t="s">
        <v>1523</v>
      </c>
      <c r="C8" s="5" t="n">
        <f aca="false">COUNTIF(Traceability_Matrix!$G$4:$G$103,$A8)</f>
        <v>9</v>
      </c>
      <c r="D8" s="5" t="n">
        <f aca="false">SUMIF(Traceability_Matrix!$G$4:$G$103,$A8,Traceability_Matrix!$E$4:$E$103)</f>
        <v>34</v>
      </c>
      <c r="E8" s="5" t="n">
        <f aca="false">COUNTIFS(Traceability_Matrix!$G$4:$G$103,$A8,Traceability_Matrix!$J$4:$J$103,"Done")+COUNTIFS(Traceability_Matrix!$G$4:$G$103,$A8,Traceability_Matrix!$J$4:$J$103,"Code-complete (pending live)")</f>
        <v>9</v>
      </c>
      <c r="F8" s="5" t="n">
        <f aca="false">SUMIFS(Traceability_Matrix!$E$4:$E$103,Traceability_Matrix!$G$4:$G$103,$A8,Traceability_Matrix!$J$4:$J$103,"Done")+SUMIFS(Traceability_Matrix!$E$4:$E$103,Traceability_Matrix!$G$4:$G$103,$A8,Traceability_Matrix!$J$4:$J$103,"Code-complete (pending live)")</f>
        <v>34</v>
      </c>
      <c r="G8" s="8" t="n">
        <f aca="false">IF(D8=0,0,F8/D8)</f>
        <v>1</v>
      </c>
      <c r="H8" s="5" t="s">
        <v>1524</v>
      </c>
      <c r="I8" s="5" t="s">
        <v>1525</v>
      </c>
    </row>
    <row r="9" customFormat="false" ht="23.25" hidden="false" customHeight="true" outlineLevel="0" collapsed="false">
      <c r="A9" s="5" t="s">
        <v>121</v>
      </c>
      <c r="B9" s="5" t="s">
        <v>1526</v>
      </c>
      <c r="C9" s="5" t="n">
        <f aca="false">COUNTIF(Traceability_Matrix!$G$4:$G$103,$A9)</f>
        <v>12</v>
      </c>
      <c r="D9" s="5" t="n">
        <f aca="false">SUMIF(Traceability_Matrix!$G$4:$G$103,$A9,Traceability_Matrix!$E$4:$E$103)</f>
        <v>50</v>
      </c>
      <c r="E9" s="5" t="n">
        <f aca="false">COUNTIFS(Traceability_Matrix!$G$4:$G$103,$A9,Traceability_Matrix!$J$4:$J$103,"Done")+COUNTIFS(Traceability_Matrix!$G$4:$G$103,$A9,Traceability_Matrix!$J$4:$J$103,"Code-complete (pending live)")</f>
        <v>12</v>
      </c>
      <c r="F9" s="5" t="n">
        <f aca="false">SUMIFS(Traceability_Matrix!$E$4:$E$103,Traceability_Matrix!$G$4:$G$103,$A9,Traceability_Matrix!$J$4:$J$103,"Done")+SUMIFS(Traceability_Matrix!$E$4:$E$103,Traceability_Matrix!$G$4:$G$103,$A9,Traceability_Matrix!$J$4:$J$103,"Code-complete (pending live)")</f>
        <v>50</v>
      </c>
      <c r="G9" s="8" t="n">
        <f aca="false">IF(D9=0,0,F9/D9)</f>
        <v>1</v>
      </c>
      <c r="H9" s="5" t="s">
        <v>1519</v>
      </c>
      <c r="I9" s="5" t="s">
        <v>1527</v>
      </c>
    </row>
    <row r="10" customFormat="false" ht="23.25" hidden="false" customHeight="true" outlineLevel="0" collapsed="false">
      <c r="A10" s="5" t="s">
        <v>127</v>
      </c>
      <c r="B10" s="5" t="s">
        <v>1528</v>
      </c>
      <c r="C10" s="5" t="n">
        <f aca="false">COUNTIF(Traceability_Matrix!$G$4:$G$103,$A10)</f>
        <v>13</v>
      </c>
      <c r="D10" s="5" t="n">
        <f aca="false">SUMIF(Traceability_Matrix!$G$4:$G$103,$A10,Traceability_Matrix!$E$4:$E$103)</f>
        <v>60</v>
      </c>
      <c r="E10" s="5" t="n">
        <f aca="false">COUNTIFS(Traceability_Matrix!$G$4:$G$103,$A10,Traceability_Matrix!$J$4:$J$103,"Done")+COUNTIFS(Traceability_Matrix!$G$4:$G$103,$A10,Traceability_Matrix!$J$4:$J$103,"Code-complete (pending live)")</f>
        <v>13</v>
      </c>
      <c r="F10" s="5" t="n">
        <f aca="false">SUMIFS(Traceability_Matrix!$E$4:$E$103,Traceability_Matrix!$G$4:$G$103,$A10,Traceability_Matrix!$J$4:$J$103,"Done")+SUMIFS(Traceability_Matrix!$E$4:$E$103,Traceability_Matrix!$G$4:$G$103,$A10,Traceability_Matrix!$J$4:$J$103,"Code-complete (pending live)")</f>
        <v>60</v>
      </c>
      <c r="G10" s="8" t="n">
        <f aca="false">IF(D10=0,0,F10/D10)</f>
        <v>1</v>
      </c>
      <c r="H10" s="5" t="s">
        <v>1529</v>
      </c>
      <c r="I10" s="5" t="s">
        <v>1530</v>
      </c>
    </row>
    <row r="11" customFormat="false" ht="15" hidden="false" customHeight="true" outlineLevel="0" collapsed="false">
      <c r="A11" s="5" t="s">
        <v>133</v>
      </c>
      <c r="B11" s="5" t="s">
        <v>1531</v>
      </c>
      <c r="C11" s="5" t="n">
        <f aca="false">COUNTIF(Traceability_Matrix!$G$4:$G$103,$A11)</f>
        <v>5</v>
      </c>
      <c r="D11" s="5" t="n">
        <f aca="false">SUMIF(Traceability_Matrix!$G$4:$G$103,$A11,Traceability_Matrix!$E$4:$E$103)</f>
        <v>15</v>
      </c>
      <c r="E11" s="5" t="n">
        <f aca="false">COUNTIFS(Traceability_Matrix!$G$4:$G$103,$A11,Traceability_Matrix!$J$4:$J$103,"Done")+COUNTIFS(Traceability_Matrix!$G$4:$G$103,$A11,Traceability_Matrix!$J$4:$J$103,"Code-complete (pending live)")</f>
        <v>5</v>
      </c>
      <c r="F11" s="5" t="n">
        <f aca="false">SUMIFS(Traceability_Matrix!$E$4:$E$103,Traceability_Matrix!$G$4:$G$103,$A11,Traceability_Matrix!$J$4:$J$103,"Done")+SUMIFS(Traceability_Matrix!$E$4:$E$103,Traceability_Matrix!$G$4:$G$103,$A11,Traceability_Matrix!$J$4:$J$103,"Code-complete (pending live)")</f>
        <v>15</v>
      </c>
      <c r="G11" s="8" t="n">
        <f aca="false">IF(D11=0,0,F11/D11)</f>
        <v>1</v>
      </c>
      <c r="H11" s="5" t="s">
        <v>1519</v>
      </c>
      <c r="I11" s="5" t="s">
        <v>1532</v>
      </c>
    </row>
    <row r="12" customFormat="false" ht="23.25" hidden="false" customHeight="true" outlineLevel="0" collapsed="false">
      <c r="A12" s="5" t="s">
        <v>138</v>
      </c>
      <c r="B12" s="5" t="s">
        <v>1533</v>
      </c>
      <c r="C12" s="5" t="n">
        <f aca="false">COUNTIF(Traceability_Matrix!$G$4:$G$103,$A12)</f>
        <v>22</v>
      </c>
      <c r="D12" s="5" t="n">
        <f aca="false">SUMIF(Traceability_Matrix!$G$4:$G$103,$A12,Traceability_Matrix!$E$4:$E$103)</f>
        <v>87</v>
      </c>
      <c r="E12" s="5" t="n">
        <f aca="false">COUNTIFS(Traceability_Matrix!$G$4:$G$103,$A12,Traceability_Matrix!$J$4:$J$103,"Done")+COUNTIFS(Traceability_Matrix!$G$4:$G$103,$A12,Traceability_Matrix!$J$4:$J$103,"Code-complete (pending live)")</f>
        <v>22</v>
      </c>
      <c r="F12" s="5" t="n">
        <f aca="false">SUMIFS(Traceability_Matrix!$E$4:$E$103,Traceability_Matrix!$G$4:$G$103,$A12,Traceability_Matrix!$J$4:$J$103,"Done")+SUMIFS(Traceability_Matrix!$E$4:$E$103,Traceability_Matrix!$G$4:$G$103,$A12,Traceability_Matrix!$J$4:$J$103,"Code-complete (pending live)")</f>
        <v>87</v>
      </c>
      <c r="G12" s="8" t="n">
        <f aca="false">IF(D12=0,0,F12/D12)</f>
        <v>1</v>
      </c>
      <c r="H12" s="5" t="s">
        <v>1534</v>
      </c>
      <c r="I12" s="5" t="s">
        <v>1535</v>
      </c>
    </row>
    <row r="13" customFormat="false" ht="15" hidden="false" customHeight="true" outlineLevel="0" collapsed="false">
      <c r="A13" s="5" t="s">
        <v>156</v>
      </c>
      <c r="B13" s="5" t="s">
        <v>1536</v>
      </c>
      <c r="C13" s="5" t="n">
        <f aca="false">COUNTIF(Traceability_Matrix!$G$4:$G$103,$A13)</f>
        <v>7</v>
      </c>
      <c r="D13" s="5" t="n">
        <f aca="false">SUMIF(Traceability_Matrix!$G$4:$G$103,$A13,Traceability_Matrix!$E$4:$E$103)</f>
        <v>30</v>
      </c>
      <c r="E13" s="5" t="n">
        <f aca="false">COUNTIFS(Traceability_Matrix!$G$4:$G$103,$A13,Traceability_Matrix!$J$4:$J$103,"Done")+COUNTIFS(Traceability_Matrix!$G$4:$G$103,$A13,Traceability_Matrix!$J$4:$J$103,"Code-complete (pending live)")</f>
        <v>4</v>
      </c>
      <c r="F13" s="5" t="n">
        <f aca="false">SUMIFS(Traceability_Matrix!$E$4:$E$103,Traceability_Matrix!$G$4:$G$103,$A13,Traceability_Matrix!$J$4:$J$103,"Done")+SUMIFS(Traceability_Matrix!$E$4:$E$103,Traceability_Matrix!$G$4:$G$103,$A13,Traceability_Matrix!$J$4:$J$103,"Code-complete (pending live)")</f>
        <v>14</v>
      </c>
      <c r="G13" s="8" t="n">
        <f aca="false">IF(D13=0,0,F13/D13)</f>
        <v>0.466666666666667</v>
      </c>
      <c r="H13" s="5" t="s">
        <v>1537</v>
      </c>
      <c r="I13" s="5" t="s">
        <v>1538</v>
      </c>
    </row>
    <row r="14" customFormat="false" ht="15" hidden="false" customHeight="true" outlineLevel="0" collapsed="false">
      <c r="A14" s="5" t="s">
        <v>173</v>
      </c>
      <c r="B14" s="5" t="s">
        <v>1539</v>
      </c>
      <c r="C14" s="5" t="n">
        <f aca="false">COUNTIF(Traceability_Matrix!$G$4:$G$103,$A14)</f>
        <v>7</v>
      </c>
      <c r="D14" s="5" t="n">
        <f aca="false">SUMIF(Traceability_Matrix!$G$4:$G$103,$A14,Traceability_Matrix!$E$4:$E$103)</f>
        <v>24</v>
      </c>
      <c r="E14" s="5" t="n">
        <f aca="false">COUNTIFS(Traceability_Matrix!$G$4:$G$103,$A14,Traceability_Matrix!$J$4:$J$103,"Done")+COUNTIFS(Traceability_Matrix!$G$4:$G$103,$A14,Traceability_Matrix!$J$4:$J$103,"Code-complete (pending live)")</f>
        <v>6</v>
      </c>
      <c r="F14" s="5" t="n">
        <f aca="false">SUMIFS(Traceability_Matrix!$E$4:$E$103,Traceability_Matrix!$G$4:$G$103,$A14,Traceability_Matrix!$J$4:$J$103,"Done")+SUMIFS(Traceability_Matrix!$E$4:$E$103,Traceability_Matrix!$G$4:$G$103,$A14,Traceability_Matrix!$J$4:$J$103,"Code-complete (pending live)")</f>
        <v>21</v>
      </c>
      <c r="G14" s="8" t="n">
        <f aca="false">IF(D14=0,0,F14/D14)</f>
        <v>0.875</v>
      </c>
      <c r="H14" s="5"/>
      <c r="I14" s="5" t="s">
        <v>1540</v>
      </c>
    </row>
    <row r="15" customFormat="false" ht="15" hidden="false" customHeight="true" outlineLevel="0" collapsed="false">
      <c r="A15" s="5" t="s">
        <v>186</v>
      </c>
      <c r="B15" s="5" t="s">
        <v>1541</v>
      </c>
      <c r="C15" s="5" t="n">
        <f aca="false">COUNTIF(Traceability_Matrix!$G$4:$G$103,$A15)</f>
        <v>3</v>
      </c>
      <c r="D15" s="5" t="n">
        <f aca="false">SUMIF(Traceability_Matrix!$G$4:$G$103,$A15,Traceability_Matrix!$E$4:$E$103)</f>
        <v>8</v>
      </c>
      <c r="E15" s="5" t="n">
        <f aca="false">COUNTIFS(Traceability_Matrix!$G$4:$G$103,$A15,Traceability_Matrix!$J$4:$J$103,"Done")+COUNTIFS(Traceability_Matrix!$G$4:$G$103,$A15,Traceability_Matrix!$J$4:$J$103,"Code-complete (pending live)")</f>
        <v>3</v>
      </c>
      <c r="F15" s="5" t="n">
        <f aca="false">SUMIFS(Traceability_Matrix!$E$4:$E$103,Traceability_Matrix!$G$4:$G$103,$A15,Traceability_Matrix!$J$4:$J$103,"Done")+SUMIFS(Traceability_Matrix!$E$4:$E$103,Traceability_Matrix!$G$4:$G$103,$A15,Traceability_Matrix!$J$4:$J$103,"Code-complete (pending live)")</f>
        <v>8</v>
      </c>
      <c r="G15" s="8" t="n">
        <f aca="false">IF(D15=0,0,F15/D15)</f>
        <v>1</v>
      </c>
      <c r="H15" s="5" t="s">
        <v>1542</v>
      </c>
      <c r="I15" s="5" t="s">
        <v>1543</v>
      </c>
    </row>
    <row r="16" customFormat="false" ht="15" hidden="false" customHeight="true" outlineLevel="0" collapsed="false">
      <c r="A16" s="5" t="s">
        <v>192</v>
      </c>
      <c r="B16" s="5" t="s">
        <v>1544</v>
      </c>
      <c r="C16" s="5" t="n">
        <f aca="false">COUNTIF(Traceability_Matrix!$G$4:$G$103,$A16)</f>
        <v>1</v>
      </c>
      <c r="D16" s="5" t="n">
        <f aca="false">SUMIF(Traceability_Matrix!$G$4:$G$103,$A16,Traceability_Matrix!$E$4:$E$103)</f>
        <v>2</v>
      </c>
      <c r="E16" s="5" t="n">
        <f aca="false">COUNTIFS(Traceability_Matrix!$G$4:$G$103,$A16,Traceability_Matrix!$J$4:$J$103,"Done")+COUNTIFS(Traceability_Matrix!$G$4:$G$103,$A16,Traceability_Matrix!$J$4:$J$103,"Code-complete (pending live)")</f>
        <v>1</v>
      </c>
      <c r="F16" s="5" t="n">
        <f aca="false">SUMIFS(Traceability_Matrix!$E$4:$E$103,Traceability_Matrix!$G$4:$G$103,$A16,Traceability_Matrix!$J$4:$J$103,"Done")+SUMIFS(Traceability_Matrix!$E$4:$E$103,Traceability_Matrix!$G$4:$G$103,$A16,Traceability_Matrix!$J$4:$J$103,"Code-complete (pending live)")</f>
        <v>2</v>
      </c>
      <c r="G16" s="8" t="n">
        <f aca="false">IF(D16=0,0,F16/D16)</f>
        <v>1</v>
      </c>
      <c r="H16" s="5"/>
      <c r="I16" s="5" t="s">
        <v>1545</v>
      </c>
    </row>
    <row r="17" customFormat="false" ht="15" hidden="false" customHeight="true" outlineLevel="0" collapsed="false">
      <c r="A17" s="9" t="s">
        <v>1546</v>
      </c>
      <c r="B17" s="10" t="s">
        <v>1547</v>
      </c>
      <c r="C17" s="9" t="n">
        <f aca="false">SUM(C4:C16)</f>
        <v>100</v>
      </c>
      <c r="D17" s="9" t="n">
        <f aca="false">SUM(D4:D16)</f>
        <v>399</v>
      </c>
      <c r="E17" s="9" t="n">
        <f aca="false">SUM(E4:E16)</f>
        <v>96</v>
      </c>
      <c r="F17" s="9" t="n">
        <f aca="false">SUM(F4:F16)</f>
        <v>380</v>
      </c>
      <c r="G17" s="11" t="n">
        <f aca="false">IF(D17=0,0,F17/D17)</f>
        <v>0.952380952380952</v>
      </c>
    </row>
    <row r="18" customFormat="false" ht="15" hidden="false" customHeight="true" outlineLevel="0" collapsed="false">
      <c r="A18" s="9" t="s">
        <v>1548</v>
      </c>
      <c r="B18" s="10" t="s">
        <v>1549</v>
      </c>
      <c r="C18" s="9"/>
      <c r="D18" s="9"/>
      <c r="E18" s="9"/>
      <c r="F18" s="9"/>
      <c r="G18" s="11"/>
      <c r="I18" s="1" t="s">
        <v>1550</v>
      </c>
    </row>
    <row r="19" customFormat="false" ht="68.65" hidden="false" customHeight="false" outlineLevel="0" collapsed="false">
      <c r="A19" s="12" t="s">
        <v>1548</v>
      </c>
      <c r="B19" s="12" t="s">
        <v>1551</v>
      </c>
      <c r="C19" s="12"/>
      <c r="D19" s="12"/>
      <c r="E19" s="12"/>
      <c r="F19" s="12"/>
      <c r="G19" s="12"/>
      <c r="H19" s="12"/>
      <c r="I19" s="12" t="s">
        <v>1552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60"/>
    <col collapsed="false" customWidth="true" hidden="false" outlineLevel="0" max="5" min="5" style="1" width="8"/>
    <col collapsed="false" customWidth="true" hidden="false" outlineLevel="0" max="6" min="6" style="1" width="60"/>
  </cols>
  <sheetData>
    <row r="1" customFormat="false" ht="15" hidden="false" customHeight="true" outlineLevel="0" collapsed="false">
      <c r="A1" s="2" t="s">
        <v>1553</v>
      </c>
    </row>
    <row r="2" customFormat="false" ht="15" hidden="false" customHeight="true" outlineLevel="0" collapsed="false">
      <c r="A2" s="4" t="s">
        <v>85</v>
      </c>
      <c r="B2" s="4" t="s">
        <v>1554</v>
      </c>
      <c r="C2" s="4" t="s">
        <v>1555</v>
      </c>
      <c r="D2" s="4" t="s">
        <v>743</v>
      </c>
      <c r="E2" s="4" t="s">
        <v>6</v>
      </c>
      <c r="F2" s="4" t="s">
        <v>1556</v>
      </c>
    </row>
    <row r="3" customFormat="false" ht="23.25" hidden="false" customHeight="true" outlineLevel="0" collapsed="false">
      <c r="A3" s="5" t="s">
        <v>1557</v>
      </c>
      <c r="B3" s="5" t="s">
        <v>1558</v>
      </c>
      <c r="C3" s="5" t="s">
        <v>24</v>
      </c>
      <c r="D3" s="5" t="s">
        <v>1559</v>
      </c>
      <c r="E3" s="5" t="s">
        <v>1560</v>
      </c>
      <c r="F3" s="5" t="s">
        <v>1561</v>
      </c>
    </row>
    <row r="4" customFormat="false" ht="23.25" hidden="false" customHeight="true" outlineLevel="0" collapsed="false">
      <c r="A4" s="5" t="s">
        <v>1562</v>
      </c>
      <c r="B4" s="5" t="s">
        <v>1558</v>
      </c>
      <c r="C4" s="5" t="s">
        <v>24</v>
      </c>
      <c r="D4" s="5" t="s">
        <v>1563</v>
      </c>
      <c r="E4" s="5" t="s">
        <v>1564</v>
      </c>
      <c r="F4" s="5" t="s">
        <v>1565</v>
      </c>
    </row>
    <row r="5" customFormat="false" ht="15" hidden="false" customHeight="true" outlineLevel="0" collapsed="false">
      <c r="A5" s="5" t="s">
        <v>1566</v>
      </c>
      <c r="B5" s="5" t="s">
        <v>1558</v>
      </c>
      <c r="C5" s="5" t="s">
        <v>24</v>
      </c>
      <c r="D5" s="5" t="s">
        <v>1567</v>
      </c>
      <c r="E5" s="5" t="s">
        <v>1560</v>
      </c>
      <c r="F5" s="5" t="s">
        <v>1568</v>
      </c>
    </row>
    <row r="6" customFormat="false" ht="23.25" hidden="false" customHeight="true" outlineLevel="0" collapsed="false">
      <c r="A6" s="5" t="s">
        <v>1569</v>
      </c>
      <c r="B6" s="5" t="s">
        <v>1570</v>
      </c>
      <c r="C6" s="5" t="s">
        <v>1571</v>
      </c>
      <c r="D6" s="5" t="s">
        <v>1572</v>
      </c>
      <c r="E6" s="5" t="s">
        <v>1560</v>
      </c>
      <c r="F6" s="5" t="s">
        <v>1573</v>
      </c>
    </row>
    <row r="7" customFormat="false" ht="23.25" hidden="false" customHeight="true" outlineLevel="0" collapsed="false">
      <c r="A7" s="5" t="s">
        <v>1574</v>
      </c>
      <c r="B7" s="5" t="s">
        <v>1575</v>
      </c>
      <c r="C7" s="5" t="s">
        <v>1571</v>
      </c>
      <c r="D7" s="5" t="s">
        <v>1576</v>
      </c>
      <c r="E7" s="5" t="s">
        <v>1577</v>
      </c>
      <c r="F7" s="5" t="s">
        <v>1578</v>
      </c>
    </row>
    <row r="8" customFormat="false" ht="23.25" hidden="false" customHeight="true" outlineLevel="0" collapsed="false">
      <c r="A8" s="5" t="s">
        <v>1579</v>
      </c>
      <c r="B8" s="5" t="s">
        <v>1575</v>
      </c>
      <c r="C8" s="5" t="s">
        <v>1571</v>
      </c>
      <c r="D8" s="5" t="s">
        <v>1580</v>
      </c>
      <c r="E8" s="5" t="s">
        <v>1560</v>
      </c>
      <c r="F8" s="5" t="s">
        <v>1581</v>
      </c>
    </row>
    <row r="9" customFormat="false" ht="23.25" hidden="false" customHeight="true" outlineLevel="0" collapsed="false">
      <c r="A9" s="5" t="s">
        <v>1582</v>
      </c>
      <c r="B9" s="5" t="s">
        <v>1575</v>
      </c>
      <c r="C9" s="5" t="s">
        <v>1571</v>
      </c>
      <c r="D9" s="5" t="s">
        <v>1583</v>
      </c>
      <c r="E9" s="5" t="s">
        <v>1560</v>
      </c>
      <c r="F9" s="5" t="s">
        <v>1584</v>
      </c>
    </row>
    <row r="10" customFormat="false" ht="23.25" hidden="false" customHeight="true" outlineLevel="0" collapsed="false">
      <c r="A10" s="5" t="s">
        <v>1585</v>
      </c>
      <c r="B10" s="5" t="s">
        <v>1575</v>
      </c>
      <c r="C10" s="5" t="s">
        <v>1571</v>
      </c>
      <c r="D10" s="5" t="s">
        <v>1586</v>
      </c>
      <c r="E10" s="5" t="s">
        <v>1560</v>
      </c>
      <c r="F10" s="5" t="s">
        <v>1587</v>
      </c>
    </row>
    <row r="11" customFormat="false" ht="23.25" hidden="false" customHeight="true" outlineLevel="0" collapsed="false">
      <c r="A11" s="5" t="s">
        <v>1588</v>
      </c>
      <c r="B11" s="5" t="s">
        <v>1558</v>
      </c>
      <c r="C11" s="5" t="s">
        <v>1589</v>
      </c>
      <c r="D11" s="5" t="s">
        <v>1590</v>
      </c>
      <c r="E11" s="5" t="s">
        <v>1560</v>
      </c>
      <c r="F11" s="5" t="s">
        <v>1591</v>
      </c>
    </row>
    <row r="12" customFormat="false" ht="34.5" hidden="false" customHeight="true" outlineLevel="0" collapsed="false">
      <c r="A12" s="5" t="s">
        <v>1592</v>
      </c>
      <c r="B12" s="5" t="s">
        <v>1593</v>
      </c>
      <c r="C12" s="5" t="s">
        <v>1589</v>
      </c>
      <c r="D12" s="5" t="s">
        <v>1594</v>
      </c>
      <c r="E12" s="5" t="s">
        <v>1595</v>
      </c>
      <c r="F12" s="5" t="s">
        <v>1596</v>
      </c>
    </row>
    <row r="13" customFormat="false" ht="54.75" hidden="false" customHeight="true" outlineLevel="0" collapsed="false">
      <c r="A13" s="5" t="s">
        <v>1597</v>
      </c>
      <c r="B13" s="5" t="s">
        <v>1593</v>
      </c>
      <c r="C13" s="5" t="s">
        <v>1589</v>
      </c>
      <c r="D13" s="5" t="s">
        <v>1598</v>
      </c>
      <c r="E13" s="5" t="s">
        <v>1595</v>
      </c>
      <c r="F13" s="5" t="s">
        <v>1599</v>
      </c>
    </row>
    <row r="14" customFormat="false" ht="54.75" hidden="false" customHeight="true" outlineLevel="0" collapsed="false">
      <c r="A14" s="5" t="s">
        <v>1600</v>
      </c>
      <c r="B14" s="5" t="s">
        <v>1593</v>
      </c>
      <c r="C14" s="5" t="s">
        <v>1589</v>
      </c>
      <c r="D14" s="5" t="s">
        <v>1601</v>
      </c>
      <c r="E14" s="5" t="s">
        <v>1595</v>
      </c>
      <c r="F14" s="5" t="s">
        <v>1602</v>
      </c>
    </row>
    <row r="15" customFormat="false" ht="54.75" hidden="false" customHeight="true" outlineLevel="0" collapsed="false">
      <c r="A15" s="5" t="s">
        <v>1603</v>
      </c>
      <c r="B15" s="5" t="s">
        <v>1558</v>
      </c>
      <c r="C15" s="5" t="s">
        <v>1589</v>
      </c>
      <c r="D15" s="5" t="s">
        <v>1604</v>
      </c>
      <c r="E15" s="5" t="s">
        <v>1560</v>
      </c>
      <c r="F15" s="5" t="s">
        <v>1605</v>
      </c>
    </row>
    <row r="16" customFormat="false" ht="68.25" hidden="false" customHeight="true" outlineLevel="0" collapsed="false">
      <c r="A16" s="5" t="s">
        <v>1606</v>
      </c>
      <c r="B16" s="5" t="s">
        <v>1558</v>
      </c>
      <c r="C16" s="5" t="s">
        <v>1607</v>
      </c>
      <c r="D16" s="5" t="s">
        <v>1608</v>
      </c>
      <c r="E16" s="5" t="s">
        <v>1560</v>
      </c>
      <c r="F16" s="5" t="s">
        <v>1609</v>
      </c>
    </row>
    <row r="17" customFormat="false" ht="54.75" hidden="false" customHeight="true" outlineLevel="0" collapsed="false">
      <c r="A17" s="5" t="s">
        <v>1610</v>
      </c>
      <c r="B17" s="5" t="s">
        <v>1558</v>
      </c>
      <c r="C17" s="5" t="s">
        <v>1607</v>
      </c>
      <c r="D17" s="5" t="s">
        <v>1611</v>
      </c>
      <c r="E17" s="5" t="s">
        <v>1560</v>
      </c>
      <c r="F17" s="5" t="s">
        <v>1612</v>
      </c>
    </row>
    <row r="18" customFormat="false" ht="54.75" hidden="false" customHeight="true" outlineLevel="0" collapsed="false">
      <c r="A18" s="5" t="s">
        <v>1613</v>
      </c>
      <c r="B18" s="5" t="s">
        <v>1593</v>
      </c>
      <c r="C18" s="5" t="s">
        <v>1607</v>
      </c>
      <c r="D18" s="5" t="s">
        <v>1614</v>
      </c>
      <c r="E18" s="5" t="s">
        <v>1595</v>
      </c>
      <c r="F18" s="5" t="s">
        <v>1615</v>
      </c>
    </row>
    <row r="19" customFormat="false" ht="41.25" hidden="false" customHeight="true" outlineLevel="0" collapsed="false">
      <c r="A19" s="5" t="s">
        <v>1616</v>
      </c>
      <c r="B19" s="5" t="s">
        <v>1575</v>
      </c>
      <c r="C19" s="5" t="s">
        <v>1607</v>
      </c>
      <c r="D19" s="5" t="s">
        <v>1617</v>
      </c>
      <c r="E19" s="5" t="s">
        <v>1560</v>
      </c>
      <c r="F19" s="5" t="s">
        <v>1618</v>
      </c>
    </row>
    <row r="20" customFormat="false" ht="81.75" hidden="false" customHeight="true" outlineLevel="0" collapsed="false">
      <c r="A20" s="5" t="s">
        <v>341</v>
      </c>
      <c r="B20" s="5" t="s">
        <v>1558</v>
      </c>
      <c r="C20" s="5" t="s">
        <v>1607</v>
      </c>
      <c r="D20" s="5" t="s">
        <v>1619</v>
      </c>
      <c r="E20" s="5" t="s">
        <v>1560</v>
      </c>
      <c r="F20" s="5" t="s">
        <v>1620</v>
      </c>
    </row>
    <row r="21" customFormat="false" ht="81.75" hidden="false" customHeight="true" outlineLevel="0" collapsed="false">
      <c r="A21" s="5" t="s">
        <v>1621</v>
      </c>
      <c r="B21" s="5" t="s">
        <v>1593</v>
      </c>
      <c r="C21" s="5" t="s">
        <v>1607</v>
      </c>
      <c r="D21" s="5" t="s">
        <v>1622</v>
      </c>
      <c r="E21" s="5" t="s">
        <v>1595</v>
      </c>
      <c r="F21" s="5" t="s">
        <v>1623</v>
      </c>
    </row>
    <row r="22" customFormat="false" ht="81.75" hidden="false" customHeight="true" outlineLevel="0" collapsed="false">
      <c r="A22" s="5" t="s">
        <v>1624</v>
      </c>
      <c r="B22" s="5" t="s">
        <v>1593</v>
      </c>
      <c r="C22" s="5" t="s">
        <v>1607</v>
      </c>
      <c r="D22" s="5" t="s">
        <v>1625</v>
      </c>
      <c r="E22" s="5" t="s">
        <v>1595</v>
      </c>
      <c r="F22" s="5" t="s">
        <v>1626</v>
      </c>
    </row>
    <row r="23" customFormat="false" ht="68.25" hidden="false" customHeight="true" outlineLevel="0" collapsed="false">
      <c r="A23" s="5" t="s">
        <v>1627</v>
      </c>
      <c r="B23" s="5" t="s">
        <v>1593</v>
      </c>
      <c r="C23" s="5" t="s">
        <v>1607</v>
      </c>
      <c r="D23" s="5" t="s">
        <v>1628</v>
      </c>
      <c r="E23" s="5" t="s">
        <v>1595</v>
      </c>
      <c r="F23" s="5" t="s">
        <v>1629</v>
      </c>
    </row>
    <row r="24" customFormat="false" ht="41.25" hidden="false" customHeight="true" outlineLevel="0" collapsed="false">
      <c r="A24" s="5" t="s">
        <v>1630</v>
      </c>
      <c r="B24" s="5" t="s">
        <v>1575</v>
      </c>
      <c r="C24" s="5" t="s">
        <v>1607</v>
      </c>
      <c r="D24" s="5" t="s">
        <v>1631</v>
      </c>
      <c r="E24" s="5" t="s">
        <v>1560</v>
      </c>
      <c r="F24" s="5" t="s">
        <v>1632</v>
      </c>
    </row>
    <row r="25" customFormat="false" ht="68.25" hidden="false" customHeight="true" outlineLevel="0" collapsed="false">
      <c r="A25" s="5" t="s">
        <v>1633</v>
      </c>
      <c r="B25" s="5" t="s">
        <v>1593</v>
      </c>
      <c r="C25" s="5" t="s">
        <v>1607</v>
      </c>
      <c r="D25" s="5" t="s">
        <v>1634</v>
      </c>
      <c r="E25" s="5" t="s">
        <v>1595</v>
      </c>
      <c r="F25" s="5" t="s">
        <v>1635</v>
      </c>
    </row>
    <row r="26" customFormat="false" ht="54.75" hidden="false" customHeight="true" outlineLevel="0" collapsed="false">
      <c r="A26" s="5" t="s">
        <v>1636</v>
      </c>
      <c r="B26" s="5" t="s">
        <v>1558</v>
      </c>
      <c r="C26" s="5" t="s">
        <v>1607</v>
      </c>
      <c r="D26" s="5" t="s">
        <v>1637</v>
      </c>
      <c r="E26" s="5" t="s">
        <v>1560</v>
      </c>
      <c r="F26" s="5" t="s">
        <v>1638</v>
      </c>
    </row>
    <row r="27" customFormat="false" ht="81.75" hidden="false" customHeight="true" outlineLevel="0" collapsed="false">
      <c r="A27" s="5" t="s">
        <v>1639</v>
      </c>
      <c r="B27" s="5" t="s">
        <v>1593</v>
      </c>
      <c r="C27" s="5" t="s">
        <v>1607</v>
      </c>
      <c r="D27" s="5" t="s">
        <v>1640</v>
      </c>
      <c r="E27" s="5" t="s">
        <v>1595</v>
      </c>
      <c r="F27" s="5" t="s">
        <v>1641</v>
      </c>
    </row>
    <row r="28" customFormat="false" ht="81.75" hidden="false" customHeight="true" outlineLevel="0" collapsed="false">
      <c r="A28" s="5" t="s">
        <v>1642</v>
      </c>
      <c r="B28" s="5" t="s">
        <v>1558</v>
      </c>
      <c r="C28" s="5" t="s">
        <v>1607</v>
      </c>
      <c r="D28" s="5" t="s">
        <v>1643</v>
      </c>
      <c r="E28" s="5" t="s">
        <v>444</v>
      </c>
      <c r="F28" s="5" t="s">
        <v>1644</v>
      </c>
    </row>
    <row r="29" customFormat="false" ht="68.25" hidden="false" customHeight="true" outlineLevel="0" collapsed="false">
      <c r="A29" s="5" t="s">
        <v>1645</v>
      </c>
      <c r="B29" s="5" t="s">
        <v>1593</v>
      </c>
      <c r="C29" s="5" t="s">
        <v>1607</v>
      </c>
      <c r="D29" s="5" t="s">
        <v>1646</v>
      </c>
      <c r="E29" s="5" t="s">
        <v>1595</v>
      </c>
      <c r="F29" s="5" t="s">
        <v>1647</v>
      </c>
    </row>
    <row r="30" customFormat="false" ht="81.75" hidden="false" customHeight="true" outlineLevel="0" collapsed="false">
      <c r="A30" s="5" t="s">
        <v>1648</v>
      </c>
      <c r="B30" s="5" t="s">
        <v>1593</v>
      </c>
      <c r="C30" s="5" t="s">
        <v>1607</v>
      </c>
      <c r="D30" s="5" t="s">
        <v>1649</v>
      </c>
      <c r="E30" s="5" t="s">
        <v>1595</v>
      </c>
      <c r="F30" s="5" t="s">
        <v>1650</v>
      </c>
    </row>
    <row r="31" customFormat="false" ht="81.75" hidden="false" customHeight="true" outlineLevel="0" collapsed="false">
      <c r="A31" s="5" t="s">
        <v>1651</v>
      </c>
      <c r="B31" s="5" t="s">
        <v>1593</v>
      </c>
      <c r="C31" s="5" t="s">
        <v>1607</v>
      </c>
      <c r="D31" s="5" t="s">
        <v>1652</v>
      </c>
      <c r="E31" s="5" t="s">
        <v>1595</v>
      </c>
      <c r="F31" s="5" t="s">
        <v>1653</v>
      </c>
    </row>
    <row r="32" customFormat="false" ht="68.25" hidden="false" customHeight="true" outlineLevel="0" collapsed="false">
      <c r="A32" s="5" t="s">
        <v>1654</v>
      </c>
      <c r="B32" s="5" t="s">
        <v>1593</v>
      </c>
      <c r="C32" s="5" t="s">
        <v>1607</v>
      </c>
      <c r="D32" s="5" t="s">
        <v>1655</v>
      </c>
      <c r="E32" s="5" t="s">
        <v>1595</v>
      </c>
      <c r="F32" s="5" t="s">
        <v>1656</v>
      </c>
    </row>
    <row r="33" customFormat="false" ht="54.75" hidden="false" customHeight="true" outlineLevel="0" collapsed="false">
      <c r="A33" s="5" t="s">
        <v>1657</v>
      </c>
      <c r="B33" s="5" t="s">
        <v>1558</v>
      </c>
      <c r="C33" s="5" t="s">
        <v>1607</v>
      </c>
      <c r="D33" s="5" t="s">
        <v>1658</v>
      </c>
      <c r="E33" s="5" t="s">
        <v>1659</v>
      </c>
      <c r="F33" s="5" t="s">
        <v>1660</v>
      </c>
    </row>
    <row r="34" customFormat="false" ht="54.75" hidden="false" customHeight="true" outlineLevel="0" collapsed="false">
      <c r="A34" s="5" t="s">
        <v>1661</v>
      </c>
      <c r="B34" s="5" t="s">
        <v>1558</v>
      </c>
      <c r="C34" s="5" t="s">
        <v>1607</v>
      </c>
      <c r="D34" s="5" t="s">
        <v>1662</v>
      </c>
      <c r="E34" s="5" t="s">
        <v>444</v>
      </c>
      <c r="F34" s="5" t="s">
        <v>1663</v>
      </c>
    </row>
    <row r="35" customFormat="false" ht="81.75" hidden="false" customHeight="true" outlineLevel="0" collapsed="false">
      <c r="A35" s="5" t="s">
        <v>1664</v>
      </c>
      <c r="B35" s="5" t="s">
        <v>1593</v>
      </c>
      <c r="C35" s="5" t="s">
        <v>1607</v>
      </c>
      <c r="D35" s="5" t="s">
        <v>1665</v>
      </c>
      <c r="E35" s="5" t="s">
        <v>1595</v>
      </c>
      <c r="F35" s="5" t="s">
        <v>1666</v>
      </c>
    </row>
    <row r="36" customFormat="false" ht="81.75" hidden="false" customHeight="true" outlineLevel="0" collapsed="false">
      <c r="A36" s="5" t="s">
        <v>1667</v>
      </c>
      <c r="B36" s="5" t="s">
        <v>1558</v>
      </c>
      <c r="C36" s="5" t="s">
        <v>1607</v>
      </c>
      <c r="D36" s="5" t="s">
        <v>1668</v>
      </c>
      <c r="E36" s="5" t="s">
        <v>1560</v>
      </c>
      <c r="F36" s="5" t="s">
        <v>1669</v>
      </c>
    </row>
    <row r="37" customFormat="false" ht="68.25" hidden="false" customHeight="true" outlineLevel="0" collapsed="false">
      <c r="A37" s="5" t="s">
        <v>1670</v>
      </c>
      <c r="B37" s="5" t="s">
        <v>1558</v>
      </c>
      <c r="C37" s="5" t="s">
        <v>1607</v>
      </c>
      <c r="D37" s="5" t="s">
        <v>1671</v>
      </c>
      <c r="E37" s="5" t="s">
        <v>1560</v>
      </c>
      <c r="F37" s="5" t="s">
        <v>1672</v>
      </c>
    </row>
    <row r="38" customFormat="false" ht="81.75" hidden="false" customHeight="true" outlineLevel="0" collapsed="false">
      <c r="A38" s="5" t="s">
        <v>1673</v>
      </c>
      <c r="B38" s="5" t="s">
        <v>1593</v>
      </c>
      <c r="C38" s="5" t="s">
        <v>1607</v>
      </c>
      <c r="D38" s="5" t="s">
        <v>1674</v>
      </c>
      <c r="E38" s="5" t="s">
        <v>1595</v>
      </c>
      <c r="F38" s="5" t="s">
        <v>1675</v>
      </c>
    </row>
    <row r="39" customFormat="false" ht="54.75" hidden="false" customHeight="true" outlineLevel="0" collapsed="false">
      <c r="A39" s="5" t="s">
        <v>1676</v>
      </c>
      <c r="B39" s="5" t="s">
        <v>1593</v>
      </c>
      <c r="C39" s="5" t="s">
        <v>1607</v>
      </c>
      <c r="D39" s="5" t="s">
        <v>1677</v>
      </c>
      <c r="E39" s="5" t="s">
        <v>1595</v>
      </c>
      <c r="F39" s="5" t="s">
        <v>1678</v>
      </c>
    </row>
    <row r="40" customFormat="false" ht="54.75" hidden="false" customHeight="true" outlineLevel="0" collapsed="false">
      <c r="A40" s="5" t="s">
        <v>1667</v>
      </c>
      <c r="B40" s="5" t="s">
        <v>1558</v>
      </c>
      <c r="C40" s="5" t="s">
        <v>1607</v>
      </c>
      <c r="D40" s="5" t="s">
        <v>1679</v>
      </c>
      <c r="E40" s="5" t="s">
        <v>1560</v>
      </c>
      <c r="F40" s="5" t="s">
        <v>1680</v>
      </c>
    </row>
    <row r="41" customFormat="false" ht="54.75" hidden="false" customHeight="true" outlineLevel="0" collapsed="false">
      <c r="A41" s="5" t="s">
        <v>1681</v>
      </c>
      <c r="B41" s="5" t="s">
        <v>1558</v>
      </c>
      <c r="C41" s="5" t="s">
        <v>1607</v>
      </c>
      <c r="D41" s="5" t="s">
        <v>1682</v>
      </c>
      <c r="E41" s="5" t="s">
        <v>1560</v>
      </c>
      <c r="F41" s="5" t="s">
        <v>1683</v>
      </c>
    </row>
    <row r="42" customFormat="false" ht="54.75" hidden="false" customHeight="true" outlineLevel="0" collapsed="false">
      <c r="A42" s="5" t="s">
        <v>1684</v>
      </c>
      <c r="B42" s="5" t="s">
        <v>1593</v>
      </c>
      <c r="C42" s="5" t="s">
        <v>1607</v>
      </c>
      <c r="D42" s="5" t="s">
        <v>1685</v>
      </c>
      <c r="E42" s="5" t="s">
        <v>1595</v>
      </c>
      <c r="F42" s="5" t="s">
        <v>1686</v>
      </c>
    </row>
    <row r="43" customFormat="false" ht="68.25" hidden="false" customHeight="true" outlineLevel="0" collapsed="false">
      <c r="A43" s="5" t="s">
        <v>1687</v>
      </c>
      <c r="B43" s="5" t="s">
        <v>1593</v>
      </c>
      <c r="C43" s="5" t="s">
        <v>1607</v>
      </c>
      <c r="D43" s="5" t="s">
        <v>1688</v>
      </c>
      <c r="E43" s="5" t="s">
        <v>1595</v>
      </c>
      <c r="F43" s="5" t="s">
        <v>1689</v>
      </c>
    </row>
    <row r="44" customFormat="false" ht="68.25" hidden="false" customHeight="true" outlineLevel="0" collapsed="false">
      <c r="A44" s="5" t="s">
        <v>1690</v>
      </c>
      <c r="B44" s="5" t="s">
        <v>1593</v>
      </c>
      <c r="C44" s="5" t="s">
        <v>1607</v>
      </c>
      <c r="D44" s="5" t="s">
        <v>1691</v>
      </c>
      <c r="E44" s="5" t="s">
        <v>1595</v>
      </c>
      <c r="F44" s="5" t="s">
        <v>1692</v>
      </c>
    </row>
    <row r="45" customFormat="false" ht="68.25" hidden="false" customHeight="true" outlineLevel="0" collapsed="false">
      <c r="A45" s="5" t="s">
        <v>1693</v>
      </c>
      <c r="B45" s="5" t="s">
        <v>1593</v>
      </c>
      <c r="C45" s="5" t="s">
        <v>1607</v>
      </c>
      <c r="D45" s="5" t="s">
        <v>1694</v>
      </c>
      <c r="E45" s="5" t="s">
        <v>1595</v>
      </c>
      <c r="F45" s="5" t="s">
        <v>1695</v>
      </c>
    </row>
    <row r="46" customFormat="false" ht="81.75" hidden="false" customHeight="true" outlineLevel="0" collapsed="false">
      <c r="A46" s="5" t="s">
        <v>1696</v>
      </c>
      <c r="B46" s="5" t="s">
        <v>1558</v>
      </c>
      <c r="C46" s="5" t="s">
        <v>1607</v>
      </c>
      <c r="D46" s="5" t="s">
        <v>1697</v>
      </c>
      <c r="E46" s="5" t="s">
        <v>1560</v>
      </c>
      <c r="F46" s="5" t="s">
        <v>1698</v>
      </c>
    </row>
    <row r="47" customFormat="false" ht="68.25" hidden="false" customHeight="true" outlineLevel="0" collapsed="false">
      <c r="A47" s="5" t="s">
        <v>1699</v>
      </c>
      <c r="B47" s="5" t="s">
        <v>1593</v>
      </c>
      <c r="C47" s="5" t="s">
        <v>1607</v>
      </c>
      <c r="D47" s="5" t="s">
        <v>1700</v>
      </c>
      <c r="E47" s="5" t="s">
        <v>1595</v>
      </c>
      <c r="F47" s="5" t="s">
        <v>1701</v>
      </c>
    </row>
    <row r="48" customFormat="false" ht="68.25" hidden="false" customHeight="true" outlineLevel="0" collapsed="false">
      <c r="A48" s="5" t="s">
        <v>1702</v>
      </c>
      <c r="B48" s="5" t="s">
        <v>1593</v>
      </c>
      <c r="C48" s="5" t="s">
        <v>1607</v>
      </c>
      <c r="D48" s="5" t="s">
        <v>1703</v>
      </c>
      <c r="E48" s="5" t="s">
        <v>1595</v>
      </c>
      <c r="F48" s="5" t="s">
        <v>1704</v>
      </c>
    </row>
    <row r="49" customFormat="false" ht="91" hidden="false" customHeight="false" outlineLevel="0" collapsed="false">
      <c r="A49" s="5" t="s">
        <v>1705</v>
      </c>
      <c r="B49" s="5" t="s">
        <v>1558</v>
      </c>
      <c r="C49" s="5" t="s">
        <v>1706</v>
      </c>
      <c r="D49" s="5" t="s">
        <v>1707</v>
      </c>
      <c r="E49" s="5" t="s">
        <v>1560</v>
      </c>
      <c r="F49" s="5" t="s">
        <v>1708</v>
      </c>
    </row>
    <row r="50" customFormat="false" ht="68.65" hidden="false" customHeight="false" outlineLevel="0" collapsed="false">
      <c r="A50" s="5" t="s">
        <v>1709</v>
      </c>
      <c r="B50" s="5" t="s">
        <v>1558</v>
      </c>
      <c r="C50" s="5" t="s">
        <v>1706</v>
      </c>
      <c r="D50" s="5" t="s">
        <v>1710</v>
      </c>
      <c r="E50" s="5" t="s">
        <v>1560</v>
      </c>
      <c r="F50" s="5" t="s">
        <v>1711</v>
      </c>
    </row>
    <row r="51" customFormat="false" ht="46.25" hidden="false" customHeight="false" outlineLevel="0" collapsed="false">
      <c r="A51" s="5" t="s">
        <v>1712</v>
      </c>
      <c r="B51" s="5" t="s">
        <v>1558</v>
      </c>
      <c r="C51" s="5" t="s">
        <v>1706</v>
      </c>
      <c r="D51" s="5" t="s">
        <v>1713</v>
      </c>
      <c r="E51" s="5" t="s">
        <v>1560</v>
      </c>
      <c r="F51" s="5" t="s">
        <v>1714</v>
      </c>
    </row>
    <row r="52" customFormat="false" ht="46.25" hidden="false" customHeight="false" outlineLevel="0" collapsed="false">
      <c r="A52" s="5" t="s">
        <v>1715</v>
      </c>
      <c r="B52" s="5" t="s">
        <v>1558</v>
      </c>
      <c r="C52" s="5" t="s">
        <v>1706</v>
      </c>
      <c r="D52" s="5" t="s">
        <v>1716</v>
      </c>
      <c r="E52" s="5" t="s">
        <v>1560</v>
      </c>
      <c r="F52" s="5" t="s">
        <v>1717</v>
      </c>
    </row>
    <row r="53" customFormat="false" ht="57.45" hidden="false" customHeight="false" outlineLevel="0" collapsed="false">
      <c r="A53" s="5" t="s">
        <v>1718</v>
      </c>
      <c r="B53" s="5" t="s">
        <v>1558</v>
      </c>
      <c r="C53" s="5" t="s">
        <v>1706</v>
      </c>
      <c r="D53" s="5" t="s">
        <v>1719</v>
      </c>
      <c r="E53" s="5" t="s">
        <v>1560</v>
      </c>
      <c r="F53" s="5" t="s">
        <v>1720</v>
      </c>
    </row>
    <row r="54" customFormat="false" ht="57.45" hidden="false" customHeight="false" outlineLevel="0" collapsed="false">
      <c r="A54" s="5" t="s">
        <v>1721</v>
      </c>
      <c r="B54" s="5" t="s">
        <v>1593</v>
      </c>
      <c r="C54" s="5" t="s">
        <v>1706</v>
      </c>
      <c r="D54" s="5" t="s">
        <v>1722</v>
      </c>
      <c r="E54" s="5" t="s">
        <v>1595</v>
      </c>
      <c r="F54" s="5" t="s">
        <v>1723</v>
      </c>
    </row>
    <row r="55" customFormat="false" ht="46.25" hidden="false" customHeight="false" outlineLevel="0" collapsed="false">
      <c r="A55" s="5" t="s">
        <v>1724</v>
      </c>
      <c r="B55" s="5" t="s">
        <v>1593</v>
      </c>
      <c r="C55" s="5" t="s">
        <v>1706</v>
      </c>
      <c r="D55" s="5" t="s">
        <v>1725</v>
      </c>
      <c r="E55" s="5" t="s">
        <v>1595</v>
      </c>
      <c r="F55" s="5" t="s">
        <v>1726</v>
      </c>
    </row>
    <row r="56" customFormat="false" ht="46.25" hidden="false" customHeight="false" outlineLevel="0" collapsed="false">
      <c r="A56" s="5" t="s">
        <v>1727</v>
      </c>
      <c r="B56" s="5" t="s">
        <v>1593</v>
      </c>
      <c r="C56" s="5" t="s">
        <v>1706</v>
      </c>
      <c r="D56" s="5" t="s">
        <v>1728</v>
      </c>
      <c r="E56" s="5" t="s">
        <v>1595</v>
      </c>
      <c r="F56" s="5" t="s">
        <v>1729</v>
      </c>
    </row>
    <row r="57" customFormat="false" ht="46.25" hidden="false" customHeight="false" outlineLevel="0" collapsed="false">
      <c r="A57" s="5" t="s">
        <v>1730</v>
      </c>
      <c r="B57" s="5" t="s">
        <v>1593</v>
      </c>
      <c r="C57" s="5" t="s">
        <v>1706</v>
      </c>
      <c r="D57" s="5" t="s">
        <v>1731</v>
      </c>
      <c r="E57" s="5" t="s">
        <v>1595</v>
      </c>
      <c r="F57" s="5" t="s">
        <v>1732</v>
      </c>
    </row>
    <row r="58" customFormat="false" ht="46.25" hidden="false" customHeight="false" outlineLevel="0" collapsed="false">
      <c r="A58" s="5" t="s">
        <v>1733</v>
      </c>
      <c r="B58" s="5" t="s">
        <v>1593</v>
      </c>
      <c r="C58" s="5" t="s">
        <v>1706</v>
      </c>
      <c r="D58" s="5" t="s">
        <v>1734</v>
      </c>
      <c r="E58" s="5" t="s">
        <v>1595</v>
      </c>
      <c r="F58" s="5" t="s">
        <v>1735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80"/>
    <col collapsed="false" customWidth="true" hidden="false" outlineLevel="0" max="3" min="3" style="1" width="14"/>
    <col collapsed="false" customWidth="true" hidden="false" outlineLevel="0" max="4" min="4" style="1" width="50"/>
  </cols>
  <sheetData>
    <row r="1" customFormat="false" ht="15" hidden="false" customHeight="true" outlineLevel="0" collapsed="false">
      <c r="A1" s="2" t="s">
        <v>1736</v>
      </c>
    </row>
    <row r="2" customFormat="false" ht="15" hidden="false" customHeight="true" outlineLevel="0" collapsed="false">
      <c r="A2" s="13" t="s">
        <v>1737</v>
      </c>
    </row>
    <row r="3" customFormat="false" ht="15" hidden="false" customHeight="true" outlineLevel="0" collapsed="false">
      <c r="A3" s="4" t="s">
        <v>85</v>
      </c>
      <c r="B3" s="4" t="s">
        <v>1738</v>
      </c>
      <c r="C3" s="4" t="s">
        <v>1739</v>
      </c>
      <c r="D3" s="4" t="s">
        <v>6</v>
      </c>
    </row>
    <row r="4" customFormat="false" ht="15" hidden="false" customHeight="true" outlineLevel="0" collapsed="false">
      <c r="A4" s="5" t="s">
        <v>1740</v>
      </c>
      <c r="B4" s="5" t="s">
        <v>1741</v>
      </c>
      <c r="C4" s="5" t="s">
        <v>1742</v>
      </c>
      <c r="D4" s="5" t="s">
        <v>1560</v>
      </c>
    </row>
    <row r="5" customFormat="false" ht="15" hidden="false" customHeight="true" outlineLevel="0" collapsed="false">
      <c r="A5" s="5" t="s">
        <v>1743</v>
      </c>
      <c r="B5" s="5" t="s">
        <v>1744</v>
      </c>
      <c r="C5" s="5" t="s">
        <v>1742</v>
      </c>
      <c r="D5" s="5" t="s">
        <v>1560</v>
      </c>
    </row>
    <row r="6" customFormat="false" ht="15" hidden="false" customHeight="true" outlineLevel="0" collapsed="false">
      <c r="A6" s="5" t="s">
        <v>1745</v>
      </c>
      <c r="B6" s="5" t="s">
        <v>1746</v>
      </c>
      <c r="C6" s="5" t="s">
        <v>1747</v>
      </c>
      <c r="D6" s="5" t="s">
        <v>1748</v>
      </c>
    </row>
    <row r="7" customFormat="false" ht="15" hidden="false" customHeight="true" outlineLevel="0" collapsed="false">
      <c r="A7" s="5" t="s">
        <v>1749</v>
      </c>
      <c r="B7" s="5" t="s">
        <v>1750</v>
      </c>
      <c r="C7" s="5" t="s">
        <v>1751</v>
      </c>
      <c r="D7" s="5" t="s">
        <v>1560</v>
      </c>
    </row>
    <row r="8" customFormat="false" ht="15" hidden="false" customHeight="true" outlineLevel="0" collapsed="false">
      <c r="A8" s="5" t="s">
        <v>1752</v>
      </c>
      <c r="B8" s="5" t="s">
        <v>1753</v>
      </c>
      <c r="C8" s="5" t="s">
        <v>1754</v>
      </c>
      <c r="D8" s="5" t="s">
        <v>1560</v>
      </c>
    </row>
    <row r="9" customFormat="false" ht="15" hidden="false" customHeight="true" outlineLevel="0" collapsed="false">
      <c r="A9" s="5" t="s">
        <v>1755</v>
      </c>
      <c r="B9" s="5" t="s">
        <v>1756</v>
      </c>
      <c r="C9" s="5" t="s">
        <v>1757</v>
      </c>
      <c r="D9" s="5" t="s">
        <v>1758</v>
      </c>
    </row>
    <row r="10" customFormat="false" ht="15" hidden="false" customHeight="true" outlineLevel="0" collapsed="false">
      <c r="A10" s="5" t="s">
        <v>1759</v>
      </c>
      <c r="B10" s="5" t="s">
        <v>1760</v>
      </c>
      <c r="C10" s="5" t="s">
        <v>1761</v>
      </c>
      <c r="D10" s="5" t="s">
        <v>1762</v>
      </c>
    </row>
    <row r="11" customFormat="false" ht="15" hidden="false" customHeight="true" outlineLevel="0" collapsed="false">
      <c r="A11" s="5" t="s">
        <v>1763</v>
      </c>
      <c r="B11" s="5" t="s">
        <v>1764</v>
      </c>
      <c r="C11" s="5" t="s">
        <v>1765</v>
      </c>
      <c r="D11" s="5" t="s">
        <v>1766</v>
      </c>
    </row>
    <row r="12" customFormat="false" ht="15" hidden="false" customHeight="true" outlineLevel="0" collapsed="false">
      <c r="A12" s="5" t="s">
        <v>1767</v>
      </c>
      <c r="B12" s="5" t="s">
        <v>1768</v>
      </c>
      <c r="C12" s="5" t="s">
        <v>1769</v>
      </c>
      <c r="D12" s="5" t="s">
        <v>1770</v>
      </c>
    </row>
    <row r="13" customFormat="false" ht="23.25" hidden="false" customHeight="true" outlineLevel="0" collapsed="false">
      <c r="A13" s="5" t="s">
        <v>1771</v>
      </c>
      <c r="B13" s="5" t="s">
        <v>1772</v>
      </c>
      <c r="C13" s="5" t="s">
        <v>1773</v>
      </c>
      <c r="D13" s="5" t="s">
        <v>1774</v>
      </c>
    </row>
    <row r="14" customFormat="false" ht="15" hidden="false" customHeight="true" outlineLevel="0" collapsed="false">
      <c r="A14" s="5" t="s">
        <v>1775</v>
      </c>
      <c r="B14" s="5" t="s">
        <v>1776</v>
      </c>
      <c r="C14" s="5" t="s">
        <v>1777</v>
      </c>
      <c r="D14" s="5" t="s">
        <v>1778</v>
      </c>
    </row>
    <row r="15" customFormat="false" ht="15" hidden="false" customHeight="true" outlineLevel="0" collapsed="false">
      <c r="A15" s="5" t="s">
        <v>1779</v>
      </c>
      <c r="B15" s="5" t="s">
        <v>1780</v>
      </c>
      <c r="C15" s="5" t="s">
        <v>1781</v>
      </c>
      <c r="D15" s="5" t="s">
        <v>1782</v>
      </c>
    </row>
    <row r="16" customFormat="false" ht="15" hidden="false" customHeight="true" outlineLevel="0" collapsed="false">
      <c r="A16" s="5" t="s">
        <v>1783</v>
      </c>
      <c r="B16" s="5" t="s">
        <v>1784</v>
      </c>
      <c r="C16" s="5" t="s">
        <v>1785</v>
      </c>
      <c r="D16" s="5" t="s">
        <v>1786</v>
      </c>
    </row>
    <row r="17" customFormat="false" ht="23.25" hidden="false" customHeight="true" outlineLevel="0" collapsed="false">
      <c r="A17" s="5" t="s">
        <v>1787</v>
      </c>
      <c r="B17" s="5" t="s">
        <v>1788</v>
      </c>
      <c r="C17" s="5" t="s">
        <v>1789</v>
      </c>
      <c r="D17" s="5" t="s">
        <v>1790</v>
      </c>
    </row>
    <row r="18" customFormat="false" ht="15" hidden="false" customHeight="true" outlineLevel="0" collapsed="false">
      <c r="A18" s="5" t="s">
        <v>1791</v>
      </c>
      <c r="B18" s="5" t="s">
        <v>1792</v>
      </c>
      <c r="C18" s="5" t="s">
        <v>1793</v>
      </c>
      <c r="D18" s="5" t="s">
        <v>1794</v>
      </c>
    </row>
    <row r="19" customFormat="false" ht="57" hidden="false" customHeight="true" outlineLevel="0" collapsed="false">
      <c r="A19" s="5" t="s">
        <v>1795</v>
      </c>
      <c r="B19" s="5" t="s">
        <v>1796</v>
      </c>
      <c r="C19" s="5" t="s">
        <v>1797</v>
      </c>
      <c r="D19" s="5" t="s">
        <v>1798</v>
      </c>
    </row>
    <row r="20" customFormat="false" ht="68.65" hidden="false" customHeight="false" outlineLevel="0" collapsed="false">
      <c r="A20" s="5" t="s">
        <v>1799</v>
      </c>
      <c r="B20" s="5" t="s">
        <v>1800</v>
      </c>
      <c r="C20" s="5" t="s">
        <v>1801</v>
      </c>
      <c r="D20" s="5" t="s">
        <v>1802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20"/>
    <col collapsed="false" customWidth="true" hidden="false" outlineLevel="0" max="4" min="4" style="1" width="70"/>
    <col collapsed="false" customWidth="true" hidden="false" outlineLevel="0" max="5" min="5" style="1" width="60"/>
    <col collapsed="false" customWidth="true" hidden="false" outlineLevel="0" max="6" min="6" style="1" width="10"/>
    <col collapsed="false" customWidth="true" hidden="false" outlineLevel="0" max="7" min="7" style="1" width="22"/>
    <col collapsed="false" customWidth="true" hidden="false" outlineLevel="0" max="8" min="8" style="1" width="20"/>
  </cols>
  <sheetData>
    <row r="1" customFormat="false" ht="15" hidden="false" customHeight="true" outlineLevel="0" collapsed="false">
      <c r="A1" s="2" t="s">
        <v>1803</v>
      </c>
    </row>
    <row r="2" customFormat="false" ht="15" hidden="false" customHeight="true" outlineLevel="0" collapsed="false">
      <c r="A2" s="14" t="s">
        <v>1804</v>
      </c>
    </row>
    <row r="3" customFormat="false" ht="15" hidden="false" customHeight="true" outlineLevel="0" collapsed="false">
      <c r="A3" s="15" t="s">
        <v>85</v>
      </c>
      <c r="B3" s="15" t="s">
        <v>1805</v>
      </c>
      <c r="C3" s="15" t="s">
        <v>1806</v>
      </c>
      <c r="D3" s="15" t="s">
        <v>1807</v>
      </c>
      <c r="E3" s="15" t="s">
        <v>1808</v>
      </c>
      <c r="F3" s="15" t="s">
        <v>1181</v>
      </c>
      <c r="G3" s="15" t="s">
        <v>1809</v>
      </c>
      <c r="H3" s="15" t="s">
        <v>1810</v>
      </c>
    </row>
    <row r="4" customFormat="false" ht="34.5" hidden="false" customHeight="true" outlineLevel="0" collapsed="false">
      <c r="A4" s="5" t="s">
        <v>1811</v>
      </c>
      <c r="B4" s="5" t="s">
        <v>1812</v>
      </c>
      <c r="C4" s="5" t="s">
        <v>1813</v>
      </c>
      <c r="D4" s="5" t="s">
        <v>1814</v>
      </c>
      <c r="E4" s="5" t="s">
        <v>1815</v>
      </c>
      <c r="F4" s="5" t="s">
        <v>768</v>
      </c>
      <c r="G4" s="5" t="s">
        <v>1816</v>
      </c>
      <c r="H4" s="5"/>
    </row>
    <row r="5" customFormat="false" ht="34.5" hidden="false" customHeight="true" outlineLevel="0" collapsed="false">
      <c r="A5" s="5" t="s">
        <v>1817</v>
      </c>
      <c r="B5" s="5" t="s">
        <v>1812</v>
      </c>
      <c r="C5" s="5" t="s">
        <v>1818</v>
      </c>
      <c r="D5" s="5" t="s">
        <v>1819</v>
      </c>
      <c r="E5" s="5" t="s">
        <v>1820</v>
      </c>
      <c r="F5" s="5" t="s">
        <v>1364</v>
      </c>
      <c r="G5" s="5" t="s">
        <v>1821</v>
      </c>
      <c r="H5" s="5"/>
    </row>
    <row r="6" customFormat="false" ht="34.5" hidden="false" customHeight="true" outlineLevel="0" collapsed="false">
      <c r="A6" s="5" t="s">
        <v>1822</v>
      </c>
      <c r="B6" s="5" t="s">
        <v>1812</v>
      </c>
      <c r="C6" s="5" t="s">
        <v>1818</v>
      </c>
      <c r="D6" s="5" t="s">
        <v>1823</v>
      </c>
      <c r="E6" s="5" t="s">
        <v>1824</v>
      </c>
      <c r="F6" s="5" t="s">
        <v>1352</v>
      </c>
      <c r="G6" s="5" t="s">
        <v>1825</v>
      </c>
      <c r="H6" s="5"/>
    </row>
    <row r="7" customFormat="false" ht="23.25" hidden="false" customHeight="true" outlineLevel="0" collapsed="false">
      <c r="A7" s="5" t="s">
        <v>1826</v>
      </c>
      <c r="B7" s="5" t="s">
        <v>1827</v>
      </c>
      <c r="C7" s="5" t="s">
        <v>1818</v>
      </c>
      <c r="D7" s="5" t="s">
        <v>1828</v>
      </c>
      <c r="E7" s="5" t="s">
        <v>1829</v>
      </c>
      <c r="F7" s="5" t="s">
        <v>1370</v>
      </c>
      <c r="G7" s="5" t="s">
        <v>1830</v>
      </c>
      <c r="H7" s="5"/>
    </row>
    <row r="8" customFormat="false" ht="34.5" hidden="false" customHeight="true" outlineLevel="0" collapsed="false">
      <c r="A8" s="5" t="s">
        <v>1831</v>
      </c>
      <c r="B8" s="5" t="s">
        <v>1827</v>
      </c>
      <c r="C8" s="5" t="s">
        <v>1832</v>
      </c>
      <c r="D8" s="5" t="s">
        <v>1833</v>
      </c>
      <c r="E8" s="5" t="s">
        <v>1834</v>
      </c>
      <c r="F8" s="5" t="s">
        <v>1835</v>
      </c>
      <c r="G8" s="5" t="s">
        <v>1836</v>
      </c>
      <c r="H8" s="5"/>
    </row>
    <row r="9" customFormat="false" ht="45.75" hidden="false" customHeight="true" outlineLevel="0" collapsed="false">
      <c r="A9" s="5" t="s">
        <v>1837</v>
      </c>
      <c r="B9" s="5" t="s">
        <v>1812</v>
      </c>
      <c r="C9" s="5" t="s">
        <v>1838</v>
      </c>
      <c r="D9" s="5" t="s">
        <v>1839</v>
      </c>
      <c r="E9" s="5" t="s">
        <v>1840</v>
      </c>
      <c r="F9" s="5" t="s">
        <v>1401</v>
      </c>
      <c r="G9" s="5" t="s">
        <v>1841</v>
      </c>
      <c r="H9" s="5"/>
    </row>
    <row r="10" customFormat="false" ht="45.75" hidden="false" customHeight="true" outlineLevel="0" collapsed="false">
      <c r="A10" s="5" t="s">
        <v>1842</v>
      </c>
      <c r="B10" s="5" t="s">
        <v>1812</v>
      </c>
      <c r="C10" s="5" t="s">
        <v>1843</v>
      </c>
      <c r="D10" s="5" t="s">
        <v>1844</v>
      </c>
      <c r="E10" s="5" t="s">
        <v>1845</v>
      </c>
      <c r="F10" s="5" t="s">
        <v>1364</v>
      </c>
      <c r="G10" s="5" t="s">
        <v>1846</v>
      </c>
      <c r="H10" s="5"/>
    </row>
    <row r="11" customFormat="false" ht="34.5" hidden="false" customHeight="true" outlineLevel="0" collapsed="false">
      <c r="A11" s="5" t="s">
        <v>1847</v>
      </c>
      <c r="B11" s="5" t="s">
        <v>1848</v>
      </c>
      <c r="C11" s="5" t="s">
        <v>1849</v>
      </c>
      <c r="D11" s="5" t="s">
        <v>1850</v>
      </c>
      <c r="E11" s="5" t="s">
        <v>1851</v>
      </c>
      <c r="F11" s="5" t="s">
        <v>1421</v>
      </c>
      <c r="G11" s="5" t="s">
        <v>1852</v>
      </c>
      <c r="H11" s="5"/>
    </row>
    <row r="12" customFormat="false" ht="34.5" hidden="false" customHeight="true" outlineLevel="0" collapsed="false">
      <c r="A12" s="5" t="s">
        <v>1853</v>
      </c>
      <c r="B12" s="5" t="s">
        <v>1848</v>
      </c>
      <c r="C12" s="5" t="s">
        <v>1838</v>
      </c>
      <c r="D12" s="5" t="s">
        <v>1854</v>
      </c>
      <c r="E12" s="5" t="s">
        <v>1855</v>
      </c>
      <c r="F12" s="5" t="s">
        <v>1401</v>
      </c>
      <c r="G12" s="5" t="s">
        <v>1856</v>
      </c>
      <c r="H12" s="5"/>
    </row>
    <row r="13" customFormat="false" ht="54.75" hidden="false" customHeight="true" outlineLevel="0" collapsed="false">
      <c r="A13" s="6" t="s">
        <v>1857</v>
      </c>
      <c r="B13" s="6" t="s">
        <v>1812</v>
      </c>
      <c r="C13" s="6" t="s">
        <v>1858</v>
      </c>
      <c r="D13" s="6" t="s">
        <v>1859</v>
      </c>
      <c r="E13" s="6" t="s">
        <v>1860</v>
      </c>
      <c r="F13" s="6" t="s">
        <v>1398</v>
      </c>
      <c r="G13" s="6" t="s">
        <v>1861</v>
      </c>
      <c r="H13" s="6"/>
    </row>
    <row r="14" customFormat="false" ht="41.25" hidden="false" customHeight="true" outlineLevel="0" collapsed="false">
      <c r="A14" s="6" t="s">
        <v>1862</v>
      </c>
      <c r="B14" s="6" t="s">
        <v>1812</v>
      </c>
      <c r="C14" s="6" t="s">
        <v>1818</v>
      </c>
      <c r="D14" s="6" t="s">
        <v>1863</v>
      </c>
      <c r="E14" s="6" t="s">
        <v>1864</v>
      </c>
      <c r="F14" s="6" t="s">
        <v>1865</v>
      </c>
      <c r="G14" s="6" t="s">
        <v>1866</v>
      </c>
      <c r="H14" s="6"/>
    </row>
    <row r="15" customFormat="false" ht="54.75" hidden="false" customHeight="true" outlineLevel="0" collapsed="false">
      <c r="A15" s="6" t="s">
        <v>1867</v>
      </c>
      <c r="B15" s="6" t="s">
        <v>1812</v>
      </c>
      <c r="C15" s="6" t="s">
        <v>1868</v>
      </c>
      <c r="D15" s="6" t="s">
        <v>1869</v>
      </c>
      <c r="E15" s="6" t="s">
        <v>1870</v>
      </c>
      <c r="F15" s="6" t="s">
        <v>1871</v>
      </c>
      <c r="G15" s="6" t="s">
        <v>1872</v>
      </c>
      <c r="H15" s="6"/>
    </row>
    <row r="16" customFormat="false" ht="54.75" hidden="false" customHeight="true" outlineLevel="0" collapsed="false">
      <c r="A16" s="6" t="s">
        <v>1873</v>
      </c>
      <c r="B16" s="6" t="s">
        <v>1812</v>
      </c>
      <c r="C16" s="6" t="s">
        <v>1874</v>
      </c>
      <c r="D16" s="6" t="s">
        <v>1875</v>
      </c>
      <c r="E16" s="6" t="s">
        <v>1876</v>
      </c>
      <c r="F16" s="6" t="s">
        <v>1877</v>
      </c>
      <c r="G16" s="6" t="s">
        <v>1878</v>
      </c>
      <c r="H16" s="6"/>
    </row>
    <row r="17" customFormat="false" ht="68.25" hidden="false" customHeight="true" outlineLevel="0" collapsed="false">
      <c r="A17" s="6" t="s">
        <v>1879</v>
      </c>
      <c r="B17" s="6" t="s">
        <v>1827</v>
      </c>
      <c r="C17" s="6" t="s">
        <v>1874</v>
      </c>
      <c r="D17" s="6" t="s">
        <v>1880</v>
      </c>
      <c r="E17" s="6" t="s">
        <v>1881</v>
      </c>
      <c r="F17" s="6" t="s">
        <v>1196</v>
      </c>
      <c r="G17" s="6" t="s">
        <v>1882</v>
      </c>
      <c r="H17" s="6"/>
    </row>
    <row r="18" customFormat="false" ht="41.25" hidden="false" customHeight="true" outlineLevel="0" collapsed="false">
      <c r="A18" s="6" t="s">
        <v>1883</v>
      </c>
      <c r="B18" s="6" t="s">
        <v>1827</v>
      </c>
      <c r="C18" s="6" t="s">
        <v>1884</v>
      </c>
      <c r="D18" s="6" t="s">
        <v>1885</v>
      </c>
      <c r="E18" s="6" t="s">
        <v>1886</v>
      </c>
      <c r="F18" s="6" t="s">
        <v>902</v>
      </c>
      <c r="G18" s="6" t="s">
        <v>1882</v>
      </c>
      <c r="H18" s="6"/>
    </row>
    <row r="19" customFormat="false" ht="41.25" hidden="false" customHeight="true" outlineLevel="0" collapsed="false">
      <c r="A19" s="6" t="s">
        <v>1887</v>
      </c>
      <c r="B19" s="6" t="s">
        <v>1827</v>
      </c>
      <c r="C19" s="6" t="s">
        <v>1888</v>
      </c>
      <c r="D19" s="6" t="s">
        <v>1889</v>
      </c>
      <c r="E19" s="6" t="s">
        <v>1890</v>
      </c>
      <c r="F19" s="6" t="s">
        <v>1891</v>
      </c>
      <c r="G19" s="6" t="s">
        <v>1892</v>
      </c>
      <c r="H19" s="6"/>
    </row>
    <row r="20" customFormat="false" ht="81.75" hidden="false" customHeight="true" outlineLevel="0" collapsed="false">
      <c r="A20" s="6" t="s">
        <v>1893</v>
      </c>
      <c r="B20" s="6" t="s">
        <v>1827</v>
      </c>
      <c r="C20" s="6" t="s">
        <v>1894</v>
      </c>
      <c r="D20" s="6" t="s">
        <v>1895</v>
      </c>
      <c r="E20" s="6" t="s">
        <v>1896</v>
      </c>
      <c r="F20" s="6" t="s">
        <v>1897</v>
      </c>
      <c r="G20" s="6" t="s">
        <v>1898</v>
      </c>
      <c r="H20" s="6"/>
    </row>
    <row r="21" customFormat="false" ht="68.25" hidden="false" customHeight="true" outlineLevel="0" collapsed="false">
      <c r="A21" s="6" t="s">
        <v>1899</v>
      </c>
      <c r="B21" s="6" t="s">
        <v>1827</v>
      </c>
      <c r="C21" s="6" t="s">
        <v>1900</v>
      </c>
      <c r="D21" s="6" t="s">
        <v>1901</v>
      </c>
      <c r="E21" s="6" t="s">
        <v>1902</v>
      </c>
      <c r="F21" s="6" t="s">
        <v>1903</v>
      </c>
      <c r="G21" s="6" t="s">
        <v>1904</v>
      </c>
      <c r="H21" s="6"/>
    </row>
    <row r="22" customFormat="false" ht="54.75" hidden="false" customHeight="true" outlineLevel="0" collapsed="false">
      <c r="A22" s="6" t="s">
        <v>1905</v>
      </c>
      <c r="B22" s="6" t="s">
        <v>1827</v>
      </c>
      <c r="C22" s="6" t="s">
        <v>1906</v>
      </c>
      <c r="D22" s="6" t="s">
        <v>1907</v>
      </c>
      <c r="E22" s="6" t="s">
        <v>1908</v>
      </c>
      <c r="F22" s="6" t="s">
        <v>1909</v>
      </c>
      <c r="G22" s="6" t="s">
        <v>1882</v>
      </c>
      <c r="H22" s="6"/>
    </row>
    <row r="23" customFormat="false" ht="41.25" hidden="false" customHeight="true" outlineLevel="0" collapsed="false">
      <c r="A23" s="6" t="s">
        <v>1910</v>
      </c>
      <c r="B23" s="6" t="s">
        <v>1827</v>
      </c>
      <c r="C23" s="6" t="s">
        <v>1911</v>
      </c>
      <c r="D23" s="6" t="s">
        <v>1912</v>
      </c>
      <c r="E23" s="6" t="s">
        <v>1913</v>
      </c>
      <c r="F23" s="6" t="s">
        <v>1914</v>
      </c>
      <c r="G23" s="6" t="s">
        <v>1882</v>
      </c>
      <c r="H23" s="6"/>
    </row>
    <row r="24" customFormat="false" ht="54.75" hidden="false" customHeight="true" outlineLevel="0" collapsed="false">
      <c r="A24" s="6" t="s">
        <v>420</v>
      </c>
      <c r="B24" s="6" t="s">
        <v>1827</v>
      </c>
      <c r="C24" s="6" t="s">
        <v>1915</v>
      </c>
      <c r="D24" s="6" t="s">
        <v>1916</v>
      </c>
      <c r="E24" s="6" t="s">
        <v>1917</v>
      </c>
      <c r="F24" s="6" t="s">
        <v>1918</v>
      </c>
      <c r="G24" s="6" t="s">
        <v>1919</v>
      </c>
      <c r="H24" s="6"/>
    </row>
    <row r="25" customFormat="false" ht="41.25" hidden="false" customHeight="true" outlineLevel="0" collapsed="false">
      <c r="A25" s="6" t="s">
        <v>1920</v>
      </c>
      <c r="B25" s="6" t="s">
        <v>1848</v>
      </c>
      <c r="C25" s="6" t="s">
        <v>1921</v>
      </c>
      <c r="D25" s="6" t="s">
        <v>1922</v>
      </c>
      <c r="E25" s="6" t="s">
        <v>1923</v>
      </c>
      <c r="F25" s="6" t="s">
        <v>1486</v>
      </c>
      <c r="G25" s="6" t="s">
        <v>1882</v>
      </c>
      <c r="H25" s="6"/>
    </row>
    <row r="26" customFormat="false" ht="81.75" hidden="false" customHeight="true" outlineLevel="0" collapsed="false">
      <c r="A26" s="6" t="s">
        <v>1924</v>
      </c>
      <c r="B26" s="6" t="s">
        <v>1812</v>
      </c>
      <c r="C26" s="6" t="s">
        <v>1925</v>
      </c>
      <c r="D26" s="6" t="s">
        <v>1926</v>
      </c>
      <c r="E26" s="6" t="s">
        <v>1927</v>
      </c>
      <c r="F26" s="6" t="s">
        <v>1928</v>
      </c>
      <c r="G26" s="6" t="s">
        <v>1929</v>
      </c>
      <c r="H26" s="6"/>
    </row>
    <row r="27" customFormat="false" ht="54.75" hidden="false" customHeight="true" outlineLevel="0" collapsed="false">
      <c r="A27" s="6" t="s">
        <v>1930</v>
      </c>
      <c r="B27" s="6" t="s">
        <v>1812</v>
      </c>
      <c r="C27" s="6" t="s">
        <v>1931</v>
      </c>
      <c r="D27" s="6" t="s">
        <v>1932</v>
      </c>
      <c r="E27" s="6" t="s">
        <v>1933</v>
      </c>
      <c r="F27" s="6" t="s">
        <v>1934</v>
      </c>
      <c r="G27" s="6" t="s">
        <v>1882</v>
      </c>
      <c r="H27" s="6"/>
    </row>
    <row r="28" customFormat="false" ht="41.25" hidden="false" customHeight="true" outlineLevel="0" collapsed="false">
      <c r="A28" s="6" t="s">
        <v>1935</v>
      </c>
      <c r="B28" s="6" t="s">
        <v>1827</v>
      </c>
      <c r="C28" s="6" t="s">
        <v>1931</v>
      </c>
      <c r="D28" s="6" t="s">
        <v>1936</v>
      </c>
      <c r="E28" s="6" t="s">
        <v>1937</v>
      </c>
      <c r="F28" s="6" t="s">
        <v>1574</v>
      </c>
      <c r="G28" s="6" t="s">
        <v>1882</v>
      </c>
      <c r="H28" s="6"/>
    </row>
    <row r="29" customFormat="false" ht="41.25" hidden="false" customHeight="true" outlineLevel="0" collapsed="false">
      <c r="A29" s="6" t="s">
        <v>1938</v>
      </c>
      <c r="B29" s="6" t="s">
        <v>1827</v>
      </c>
      <c r="C29" s="6" t="s">
        <v>1939</v>
      </c>
      <c r="D29" s="6" t="s">
        <v>1940</v>
      </c>
      <c r="E29" s="6" t="s">
        <v>1941</v>
      </c>
      <c r="F29" s="6" t="s">
        <v>1942</v>
      </c>
      <c r="G29" s="6" t="s">
        <v>1943</v>
      </c>
      <c r="H29" s="6"/>
    </row>
    <row r="30" customFormat="false" ht="54.75" hidden="false" customHeight="true" outlineLevel="0" collapsed="false">
      <c r="A30" s="6" t="s">
        <v>1944</v>
      </c>
      <c r="B30" s="6" t="s">
        <v>1945</v>
      </c>
      <c r="C30" s="6" t="s">
        <v>1925</v>
      </c>
      <c r="D30" s="6" t="s">
        <v>1946</v>
      </c>
      <c r="E30" s="6" t="s">
        <v>1947</v>
      </c>
      <c r="F30" s="6" t="s">
        <v>1574</v>
      </c>
      <c r="G30" s="6" t="s">
        <v>93</v>
      </c>
      <c r="H30" s="6"/>
    </row>
    <row r="31" customFormat="false" ht="68.25" hidden="false" customHeight="true" outlineLevel="0" collapsed="false">
      <c r="A31" s="6" t="s">
        <v>1948</v>
      </c>
      <c r="B31" s="6" t="s">
        <v>1945</v>
      </c>
      <c r="C31" s="6" t="s">
        <v>1949</v>
      </c>
      <c r="D31" s="6" t="s">
        <v>1950</v>
      </c>
      <c r="E31" s="6" t="s">
        <v>1951</v>
      </c>
      <c r="F31" s="6" t="s">
        <v>1952</v>
      </c>
      <c r="G31" s="6" t="s">
        <v>1953</v>
      </c>
      <c r="H31" s="6"/>
    </row>
    <row r="32" customFormat="false" ht="54.75" hidden="false" customHeight="true" outlineLevel="0" collapsed="false">
      <c r="A32" s="6" t="s">
        <v>1954</v>
      </c>
      <c r="B32" s="6" t="s">
        <v>1848</v>
      </c>
      <c r="C32" s="6" t="s">
        <v>1874</v>
      </c>
      <c r="D32" s="6" t="s">
        <v>1955</v>
      </c>
      <c r="E32" s="6" t="s">
        <v>1956</v>
      </c>
      <c r="F32" s="6" t="s">
        <v>1574</v>
      </c>
      <c r="G32" s="6" t="s">
        <v>93</v>
      </c>
      <c r="H32" s="6"/>
    </row>
    <row r="33" customFormat="false" ht="54.75" hidden="false" customHeight="true" outlineLevel="0" collapsed="false">
      <c r="A33" s="6" t="s">
        <v>1957</v>
      </c>
      <c r="B33" s="6" t="s">
        <v>1848</v>
      </c>
      <c r="C33" s="6" t="s">
        <v>1958</v>
      </c>
      <c r="D33" s="6" t="s">
        <v>1959</v>
      </c>
      <c r="E33" s="6" t="s">
        <v>1960</v>
      </c>
      <c r="F33" s="6" t="s">
        <v>1961</v>
      </c>
      <c r="G33" s="6" t="s">
        <v>1962</v>
      </c>
      <c r="H33" s="6"/>
    </row>
    <row r="34" customFormat="false" ht="81.75" hidden="false" customHeight="true" outlineLevel="0" collapsed="false">
      <c r="A34" s="6" t="s">
        <v>937</v>
      </c>
      <c r="B34" s="6" t="s">
        <v>1812</v>
      </c>
      <c r="C34" s="6" t="s">
        <v>1963</v>
      </c>
      <c r="D34" s="6" t="s">
        <v>1964</v>
      </c>
      <c r="E34" s="6" t="s">
        <v>1965</v>
      </c>
      <c r="F34" s="6" t="s">
        <v>1966</v>
      </c>
      <c r="G34" s="6" t="s">
        <v>1967</v>
      </c>
      <c r="H34" s="6"/>
    </row>
    <row r="35" customFormat="false" ht="54.75" hidden="false" customHeight="true" outlineLevel="0" collapsed="false">
      <c r="A35" s="6" t="s">
        <v>705</v>
      </c>
      <c r="B35" s="6" t="s">
        <v>681</v>
      </c>
      <c r="C35" s="6" t="s">
        <v>1968</v>
      </c>
      <c r="D35" s="6" t="s">
        <v>1969</v>
      </c>
      <c r="E35" s="6" t="s">
        <v>1970</v>
      </c>
      <c r="F35" s="6" t="s">
        <v>1971</v>
      </c>
      <c r="G35" s="6" t="s">
        <v>1882</v>
      </c>
      <c r="H35" s="6"/>
    </row>
    <row r="36" customFormat="false" ht="81.75" hidden="false" customHeight="true" outlineLevel="0" collapsed="false">
      <c r="A36" s="6" t="s">
        <v>944</v>
      </c>
      <c r="B36" s="6" t="s">
        <v>1812</v>
      </c>
      <c r="C36" s="6" t="s">
        <v>1972</v>
      </c>
      <c r="D36" s="6" t="s">
        <v>1973</v>
      </c>
      <c r="E36" s="6" t="s">
        <v>1974</v>
      </c>
      <c r="F36" s="6" t="s">
        <v>1975</v>
      </c>
      <c r="G36" s="6" t="s">
        <v>1976</v>
      </c>
      <c r="H36" s="6"/>
    </row>
    <row r="37" customFormat="false" ht="68.25" hidden="false" customHeight="true" outlineLevel="0" collapsed="false">
      <c r="A37" s="6" t="s">
        <v>948</v>
      </c>
      <c r="B37" s="6" t="s">
        <v>1812</v>
      </c>
      <c r="C37" s="6" t="s">
        <v>1977</v>
      </c>
      <c r="D37" s="6" t="s">
        <v>1978</v>
      </c>
      <c r="E37" s="6" t="s">
        <v>1979</v>
      </c>
      <c r="F37" s="6" t="s">
        <v>1980</v>
      </c>
      <c r="G37" s="6" t="s">
        <v>1981</v>
      </c>
      <c r="H37" s="6"/>
    </row>
    <row r="38" customFormat="false" ht="68.25" hidden="false" customHeight="true" outlineLevel="0" collapsed="false">
      <c r="A38" s="6" t="s">
        <v>952</v>
      </c>
      <c r="B38" s="6" t="s">
        <v>1812</v>
      </c>
      <c r="C38" s="6" t="s">
        <v>1982</v>
      </c>
      <c r="D38" s="6" t="s">
        <v>1983</v>
      </c>
      <c r="E38" s="6" t="s">
        <v>1984</v>
      </c>
      <c r="F38" s="6" t="s">
        <v>1985</v>
      </c>
      <c r="G38" s="6" t="s">
        <v>1986</v>
      </c>
      <c r="H38" s="6"/>
    </row>
    <row r="39" customFormat="false" ht="54.75" hidden="false" customHeight="true" outlineLevel="0" collapsed="false">
      <c r="A39" s="6" t="s">
        <v>956</v>
      </c>
      <c r="B39" s="6" t="s">
        <v>1827</v>
      </c>
      <c r="C39" s="6" t="s">
        <v>1987</v>
      </c>
      <c r="D39" s="6" t="s">
        <v>1988</v>
      </c>
      <c r="E39" s="6" t="s">
        <v>1989</v>
      </c>
      <c r="F39" s="6" t="s">
        <v>1763</v>
      </c>
      <c r="G39" s="6" t="s">
        <v>1882</v>
      </c>
      <c r="H39" s="6"/>
    </row>
    <row r="40" customFormat="false" ht="68.25" hidden="false" customHeight="true" outlineLevel="0" collapsed="false">
      <c r="A40" s="6" t="s">
        <v>1990</v>
      </c>
      <c r="B40" s="6" t="s">
        <v>1945</v>
      </c>
      <c r="C40" s="6" t="s">
        <v>1991</v>
      </c>
      <c r="D40" s="6" t="s">
        <v>1992</v>
      </c>
      <c r="E40" s="6" t="s">
        <v>1993</v>
      </c>
      <c r="F40" s="6" t="s">
        <v>1994</v>
      </c>
      <c r="G40" s="6" t="s">
        <v>1995</v>
      </c>
      <c r="H40" s="6"/>
    </row>
    <row r="41" customFormat="false" ht="68.25" hidden="false" customHeight="true" outlineLevel="0" collapsed="false">
      <c r="A41" s="6" t="s">
        <v>264</v>
      </c>
      <c r="B41" s="6" t="s">
        <v>1812</v>
      </c>
      <c r="C41" s="6" t="s">
        <v>1996</v>
      </c>
      <c r="D41" s="6" t="s">
        <v>1997</v>
      </c>
      <c r="E41" s="6" t="s">
        <v>1998</v>
      </c>
      <c r="F41" s="6" t="s">
        <v>1999</v>
      </c>
      <c r="G41" s="6" t="s">
        <v>2000</v>
      </c>
      <c r="H41" s="6"/>
    </row>
    <row r="42" customFormat="false" ht="41.25" hidden="false" customHeight="true" outlineLevel="0" collapsed="false">
      <c r="A42" s="6" t="s">
        <v>2001</v>
      </c>
      <c r="B42" s="6" t="s">
        <v>1848</v>
      </c>
      <c r="C42" s="6" t="s">
        <v>2002</v>
      </c>
      <c r="D42" s="6" t="s">
        <v>2003</v>
      </c>
      <c r="E42" s="6" t="s">
        <v>2004</v>
      </c>
      <c r="F42" s="6" t="s">
        <v>763</v>
      </c>
      <c r="G42" s="6" t="s">
        <v>2005</v>
      </c>
      <c r="H42" s="6"/>
    </row>
    <row r="43" customFormat="false" ht="68.25" hidden="false" customHeight="true" outlineLevel="0" collapsed="false">
      <c r="A43" s="6" t="s">
        <v>2006</v>
      </c>
      <c r="B43" s="6" t="s">
        <v>1827</v>
      </c>
      <c r="C43" s="6" t="s">
        <v>2007</v>
      </c>
      <c r="D43" s="6" t="s">
        <v>2008</v>
      </c>
      <c r="E43" s="6" t="s">
        <v>2009</v>
      </c>
      <c r="F43" s="6" t="s">
        <v>2010</v>
      </c>
      <c r="G43" s="6" t="s">
        <v>2011</v>
      </c>
      <c r="H43" s="6"/>
    </row>
    <row r="44" customFormat="false" ht="95.25" hidden="false" customHeight="true" outlineLevel="0" collapsed="false">
      <c r="A44" s="6" t="s">
        <v>963</v>
      </c>
      <c r="B44" s="6" t="s">
        <v>2012</v>
      </c>
      <c r="C44" s="6" t="s">
        <v>2013</v>
      </c>
      <c r="D44" s="6" t="s">
        <v>2014</v>
      </c>
      <c r="E44" s="6" t="s">
        <v>2015</v>
      </c>
      <c r="F44" s="6" t="s">
        <v>2016</v>
      </c>
      <c r="G44" s="6" t="s">
        <v>2017</v>
      </c>
      <c r="H44" s="6"/>
    </row>
    <row r="45" customFormat="false" ht="68.25" hidden="false" customHeight="true" outlineLevel="0" collapsed="false">
      <c r="A45" s="6" t="s">
        <v>2018</v>
      </c>
      <c r="B45" s="6" t="s">
        <v>2012</v>
      </c>
      <c r="C45" s="6" t="s">
        <v>2019</v>
      </c>
      <c r="D45" s="6" t="s">
        <v>2020</v>
      </c>
      <c r="E45" s="6" t="s">
        <v>2021</v>
      </c>
      <c r="F45" s="6" t="s">
        <v>2022</v>
      </c>
      <c r="G45" s="6" t="s">
        <v>2023</v>
      </c>
      <c r="H45" s="6"/>
    </row>
    <row r="46" customFormat="false" ht="54.75" hidden="false" customHeight="true" outlineLevel="0" collapsed="false">
      <c r="A46" s="6" t="s">
        <v>285</v>
      </c>
      <c r="B46" s="6" t="s">
        <v>1848</v>
      </c>
      <c r="C46" s="6" t="s">
        <v>2024</v>
      </c>
      <c r="D46" s="6" t="s">
        <v>2025</v>
      </c>
      <c r="E46" s="6" t="s">
        <v>2026</v>
      </c>
      <c r="F46" s="6" t="s">
        <v>2027</v>
      </c>
      <c r="G46" s="6" t="s">
        <v>2028</v>
      </c>
      <c r="H46" s="6"/>
    </row>
    <row r="47" customFormat="false" ht="95.25" hidden="false" customHeight="true" outlineLevel="0" collapsed="false">
      <c r="A47" s="6" t="s">
        <v>2029</v>
      </c>
      <c r="B47" s="6" t="s">
        <v>2012</v>
      </c>
      <c r="C47" s="6" t="s">
        <v>2030</v>
      </c>
      <c r="D47" s="6" t="s">
        <v>2031</v>
      </c>
      <c r="E47" s="6" t="s">
        <v>2032</v>
      </c>
      <c r="F47" s="6" t="s">
        <v>2033</v>
      </c>
      <c r="G47" s="6" t="s">
        <v>2034</v>
      </c>
      <c r="H47" s="6"/>
    </row>
    <row r="48" customFormat="false" ht="81.75" hidden="false" customHeight="true" outlineLevel="0" collapsed="false">
      <c r="A48" s="6" t="s">
        <v>264</v>
      </c>
      <c r="B48" s="6" t="s">
        <v>1812</v>
      </c>
      <c r="C48" s="6" t="s">
        <v>2035</v>
      </c>
      <c r="D48" s="6" t="s">
        <v>2036</v>
      </c>
      <c r="E48" s="6" t="s">
        <v>2037</v>
      </c>
      <c r="F48" s="6" t="s">
        <v>1999</v>
      </c>
      <c r="G48" s="6" t="s">
        <v>2000</v>
      </c>
      <c r="H48" s="6"/>
    </row>
    <row r="49" customFormat="false" ht="54.75" hidden="false" customHeight="true" outlineLevel="0" collapsed="false">
      <c r="A49" s="6" t="s">
        <v>989</v>
      </c>
      <c r="B49" s="6" t="s">
        <v>1827</v>
      </c>
      <c r="C49" s="6" t="s">
        <v>2038</v>
      </c>
      <c r="D49" s="6" t="s">
        <v>2039</v>
      </c>
      <c r="E49" s="6" t="s">
        <v>2040</v>
      </c>
      <c r="F49" s="6" t="s">
        <v>763</v>
      </c>
      <c r="G49" s="6" t="s">
        <v>2041</v>
      </c>
      <c r="H49" s="6"/>
    </row>
    <row r="50" customFormat="false" ht="41.25" hidden="false" customHeight="true" outlineLevel="0" collapsed="false">
      <c r="A50" s="6" t="s">
        <v>2042</v>
      </c>
      <c r="B50" s="6" t="s">
        <v>1827</v>
      </c>
      <c r="C50" s="6" t="s">
        <v>2043</v>
      </c>
      <c r="D50" s="6" t="s">
        <v>2044</v>
      </c>
      <c r="E50" s="6" t="s">
        <v>2045</v>
      </c>
      <c r="F50" s="6" t="s">
        <v>2046</v>
      </c>
      <c r="G50" s="6" t="s">
        <v>2047</v>
      </c>
      <c r="H50" s="6"/>
    </row>
    <row r="51" customFormat="false" ht="54.75" hidden="false" customHeight="true" outlineLevel="0" collapsed="false">
      <c r="A51" s="6" t="s">
        <v>2048</v>
      </c>
      <c r="B51" s="6" t="s">
        <v>1827</v>
      </c>
      <c r="C51" s="6" t="s">
        <v>2049</v>
      </c>
      <c r="D51" s="6" t="s">
        <v>2050</v>
      </c>
      <c r="E51" s="6" t="s">
        <v>2051</v>
      </c>
      <c r="F51" s="6" t="s">
        <v>1473</v>
      </c>
      <c r="G51" s="6" t="s">
        <v>1882</v>
      </c>
      <c r="H51" s="6"/>
    </row>
    <row r="52" customFormat="false" ht="68.25" hidden="false" customHeight="true" outlineLevel="0" collapsed="false">
      <c r="A52" s="6" t="s">
        <v>2052</v>
      </c>
      <c r="B52" s="6" t="s">
        <v>1812</v>
      </c>
      <c r="C52" s="6" t="s">
        <v>2053</v>
      </c>
      <c r="D52" s="6" t="s">
        <v>2054</v>
      </c>
      <c r="E52" s="6" t="s">
        <v>2055</v>
      </c>
      <c r="F52" s="6" t="s">
        <v>822</v>
      </c>
      <c r="G52" s="6" t="s">
        <v>2056</v>
      </c>
      <c r="H52" s="6"/>
    </row>
    <row r="53" customFormat="false" ht="108.75" hidden="false" customHeight="true" outlineLevel="0" collapsed="false">
      <c r="A53" s="6" t="s">
        <v>1027</v>
      </c>
      <c r="B53" s="6" t="s">
        <v>1812</v>
      </c>
      <c r="C53" s="6" t="s">
        <v>2057</v>
      </c>
      <c r="D53" s="6" t="s">
        <v>2058</v>
      </c>
      <c r="E53" s="6" t="s">
        <v>2059</v>
      </c>
      <c r="F53" s="6" t="s">
        <v>2060</v>
      </c>
      <c r="G53" s="6" t="s">
        <v>2061</v>
      </c>
      <c r="H53" s="6"/>
    </row>
    <row r="54" customFormat="false" ht="81.75" hidden="false" customHeight="true" outlineLevel="0" collapsed="false">
      <c r="A54" s="6" t="s">
        <v>1039</v>
      </c>
      <c r="B54" s="6" t="s">
        <v>2062</v>
      </c>
      <c r="C54" s="6" t="s">
        <v>2063</v>
      </c>
      <c r="D54" s="6" t="s">
        <v>2064</v>
      </c>
      <c r="E54" s="6" t="s">
        <v>2065</v>
      </c>
      <c r="F54" s="6" t="s">
        <v>2066</v>
      </c>
      <c r="G54" s="6" t="s">
        <v>2067</v>
      </c>
      <c r="H54" s="6"/>
    </row>
    <row r="55" customFormat="false" ht="81.75" hidden="false" customHeight="true" outlineLevel="0" collapsed="false">
      <c r="A55" s="6" t="s">
        <v>2068</v>
      </c>
      <c r="B55" s="6" t="s">
        <v>2062</v>
      </c>
      <c r="C55" s="6" t="s">
        <v>2069</v>
      </c>
      <c r="D55" s="6" t="s">
        <v>2070</v>
      </c>
      <c r="E55" s="6" t="s">
        <v>2071</v>
      </c>
      <c r="F55" s="6" t="s">
        <v>2072</v>
      </c>
      <c r="G55" s="6" t="s">
        <v>2073</v>
      </c>
      <c r="H55" s="6"/>
    </row>
    <row r="56" customFormat="false" ht="81.75" hidden="false" customHeight="true" outlineLevel="0" collapsed="false">
      <c r="A56" s="6" t="s">
        <v>2074</v>
      </c>
      <c r="B56" s="6" t="s">
        <v>2062</v>
      </c>
      <c r="C56" s="6" t="s">
        <v>2075</v>
      </c>
      <c r="D56" s="6" t="s">
        <v>2076</v>
      </c>
      <c r="E56" s="6" t="s">
        <v>2077</v>
      </c>
      <c r="F56" s="6" t="s">
        <v>2078</v>
      </c>
      <c r="G56" s="6" t="s">
        <v>2079</v>
      </c>
      <c r="H56" s="6"/>
    </row>
    <row r="57" customFormat="false" ht="81.75" hidden="false" customHeight="true" outlineLevel="0" collapsed="false">
      <c r="A57" s="6" t="s">
        <v>2080</v>
      </c>
      <c r="B57" s="6" t="s">
        <v>2062</v>
      </c>
      <c r="C57" s="6" t="s">
        <v>2081</v>
      </c>
      <c r="D57" s="6" t="s">
        <v>2082</v>
      </c>
      <c r="E57" s="6" t="s">
        <v>2083</v>
      </c>
      <c r="F57" s="6" t="s">
        <v>2084</v>
      </c>
      <c r="G57" s="6" t="s">
        <v>2085</v>
      </c>
      <c r="H57" s="6"/>
    </row>
    <row r="58" customFormat="false" ht="81.75" hidden="false" customHeight="true" outlineLevel="0" collapsed="false">
      <c r="A58" s="6" t="s">
        <v>2086</v>
      </c>
      <c r="B58" s="6" t="s">
        <v>2062</v>
      </c>
      <c r="C58" s="6" t="s">
        <v>2087</v>
      </c>
      <c r="D58" s="6" t="s">
        <v>2088</v>
      </c>
      <c r="E58" s="6" t="s">
        <v>2089</v>
      </c>
      <c r="F58" s="6" t="s">
        <v>2090</v>
      </c>
      <c r="G58" s="6" t="s">
        <v>2091</v>
      </c>
      <c r="H58" s="6"/>
    </row>
    <row r="59" customFormat="false" ht="54.75" hidden="false" customHeight="true" outlineLevel="0" collapsed="false">
      <c r="A59" s="6" t="s">
        <v>2092</v>
      </c>
      <c r="B59" s="6" t="s">
        <v>1812</v>
      </c>
      <c r="C59" s="6" t="s">
        <v>2093</v>
      </c>
      <c r="D59" s="6" t="s">
        <v>2094</v>
      </c>
      <c r="E59" s="6" t="s">
        <v>2095</v>
      </c>
      <c r="F59" s="6" t="s">
        <v>2096</v>
      </c>
      <c r="G59" s="6" t="s">
        <v>2097</v>
      </c>
      <c r="H59" s="6"/>
    </row>
    <row r="60" customFormat="false" ht="81.75" hidden="false" customHeight="true" outlineLevel="0" collapsed="false">
      <c r="A60" s="6" t="s">
        <v>1047</v>
      </c>
      <c r="B60" s="6" t="s">
        <v>1812</v>
      </c>
      <c r="C60" s="6" t="s">
        <v>2098</v>
      </c>
      <c r="D60" s="6" t="s">
        <v>2099</v>
      </c>
      <c r="E60" s="6" t="s">
        <v>2100</v>
      </c>
      <c r="F60" s="6" t="s">
        <v>2101</v>
      </c>
      <c r="G60" s="6" t="s">
        <v>2102</v>
      </c>
      <c r="H60" s="6"/>
    </row>
    <row r="61" customFormat="false" ht="81.75" hidden="false" customHeight="true" outlineLevel="0" collapsed="false">
      <c r="A61" s="6" t="s">
        <v>2103</v>
      </c>
      <c r="B61" s="6" t="s">
        <v>1812</v>
      </c>
      <c r="C61" s="6" t="s">
        <v>2104</v>
      </c>
      <c r="D61" s="6" t="s">
        <v>2105</v>
      </c>
      <c r="E61" s="6" t="s">
        <v>2106</v>
      </c>
      <c r="F61" s="6" t="s">
        <v>2107</v>
      </c>
      <c r="G61" s="6" t="s">
        <v>2108</v>
      </c>
      <c r="H61" s="6"/>
    </row>
    <row r="62" customFormat="false" ht="68.25" hidden="false" customHeight="true" outlineLevel="0" collapsed="false">
      <c r="A62" s="6" t="s">
        <v>2109</v>
      </c>
      <c r="B62" s="6" t="s">
        <v>1812</v>
      </c>
      <c r="C62" s="6" t="s">
        <v>2110</v>
      </c>
      <c r="D62" s="6" t="s">
        <v>2111</v>
      </c>
      <c r="E62" s="6" t="s">
        <v>2112</v>
      </c>
      <c r="F62" s="6" t="s">
        <v>2113</v>
      </c>
      <c r="G62" s="6" t="s">
        <v>2114</v>
      </c>
      <c r="H62" s="6"/>
    </row>
    <row r="63" customFormat="false" ht="68.25" hidden="false" customHeight="true" outlineLevel="0" collapsed="false">
      <c r="A63" s="6" t="s">
        <v>2115</v>
      </c>
      <c r="B63" s="6" t="s">
        <v>1812</v>
      </c>
      <c r="C63" s="6" t="s">
        <v>2116</v>
      </c>
      <c r="D63" s="6" t="s">
        <v>2117</v>
      </c>
      <c r="E63" s="6" t="s">
        <v>2118</v>
      </c>
      <c r="F63" s="6" t="s">
        <v>2119</v>
      </c>
      <c r="G63" s="6" t="s">
        <v>2120</v>
      </c>
      <c r="H63" s="6"/>
    </row>
    <row r="64" customFormat="false" ht="68.25" hidden="false" customHeight="true" outlineLevel="0" collapsed="false">
      <c r="A64" s="6" t="s">
        <v>2121</v>
      </c>
      <c r="B64" s="6" t="s">
        <v>1827</v>
      </c>
      <c r="C64" s="6" t="s">
        <v>2122</v>
      </c>
      <c r="D64" s="6" t="s">
        <v>2123</v>
      </c>
      <c r="E64" s="6" t="s">
        <v>2124</v>
      </c>
      <c r="F64" s="6" t="s">
        <v>2125</v>
      </c>
      <c r="G64" s="6" t="s">
        <v>2126</v>
      </c>
      <c r="H64" s="6"/>
    </row>
    <row r="65" customFormat="false" ht="68.25" hidden="false" customHeight="true" outlineLevel="0" collapsed="false">
      <c r="A65" s="6" t="s">
        <v>2127</v>
      </c>
      <c r="B65" s="6" t="s">
        <v>1827</v>
      </c>
      <c r="C65" s="6" t="s">
        <v>2128</v>
      </c>
      <c r="D65" s="6" t="s">
        <v>2129</v>
      </c>
      <c r="E65" s="6" t="s">
        <v>2130</v>
      </c>
      <c r="F65" s="6" t="s">
        <v>2131</v>
      </c>
      <c r="G65" s="6" t="s">
        <v>2132</v>
      </c>
      <c r="H65" s="6"/>
    </row>
    <row r="66" customFormat="false" ht="54.75" hidden="false" customHeight="true" outlineLevel="0" collapsed="false">
      <c r="A66" s="6" t="s">
        <v>1059</v>
      </c>
      <c r="B66" s="6" t="s">
        <v>1827</v>
      </c>
      <c r="C66" s="6" t="s">
        <v>2133</v>
      </c>
      <c r="D66" s="6" t="s">
        <v>2134</v>
      </c>
      <c r="E66" s="6" t="s">
        <v>2135</v>
      </c>
      <c r="F66" s="6" t="s">
        <v>2136</v>
      </c>
      <c r="G66" s="6" t="s">
        <v>1882</v>
      </c>
      <c r="H66" s="6"/>
    </row>
    <row r="67" customFormat="false" ht="68.25" hidden="false" customHeight="true" outlineLevel="0" collapsed="false">
      <c r="A67" s="6" t="s">
        <v>2137</v>
      </c>
      <c r="B67" s="6" t="s">
        <v>1827</v>
      </c>
      <c r="C67" s="6" t="s">
        <v>2138</v>
      </c>
      <c r="D67" s="6" t="s">
        <v>2139</v>
      </c>
      <c r="E67" s="6" t="s">
        <v>2140</v>
      </c>
      <c r="F67" s="6" t="s">
        <v>2141</v>
      </c>
      <c r="G67" s="6" t="s">
        <v>2142</v>
      </c>
      <c r="H67" s="6"/>
    </row>
    <row r="68" customFormat="false" ht="95.25" hidden="false" customHeight="true" outlineLevel="0" collapsed="false">
      <c r="A68" s="6" t="s">
        <v>1063</v>
      </c>
      <c r="B68" s="6" t="s">
        <v>1827</v>
      </c>
      <c r="C68" s="6" t="s">
        <v>2143</v>
      </c>
      <c r="D68" s="6" t="s">
        <v>2144</v>
      </c>
      <c r="E68" s="6" t="s">
        <v>2145</v>
      </c>
      <c r="F68" s="6" t="s">
        <v>2146</v>
      </c>
      <c r="G68" s="6" t="s">
        <v>2147</v>
      </c>
      <c r="H68" s="6"/>
    </row>
    <row r="69" customFormat="false" ht="81.75" hidden="false" customHeight="true" outlineLevel="0" collapsed="false">
      <c r="A69" s="6" t="s">
        <v>2148</v>
      </c>
      <c r="B69" s="6" t="s">
        <v>1848</v>
      </c>
      <c r="C69" s="6" t="s">
        <v>2149</v>
      </c>
      <c r="D69" s="6" t="s">
        <v>2150</v>
      </c>
      <c r="E69" s="6" t="s">
        <v>2151</v>
      </c>
      <c r="F69" s="6" t="s">
        <v>2152</v>
      </c>
      <c r="G69" s="6" t="s">
        <v>1882</v>
      </c>
      <c r="H69" s="6"/>
    </row>
    <row r="70" customFormat="false" ht="68.65" hidden="false" customHeight="false" outlineLevel="0" collapsed="false">
      <c r="A70" s="5" t="s">
        <v>2153</v>
      </c>
      <c r="B70" s="5" t="s">
        <v>2012</v>
      </c>
      <c r="C70" s="5" t="s">
        <v>2154</v>
      </c>
      <c r="D70" s="5" t="s">
        <v>2155</v>
      </c>
      <c r="E70" s="5" t="s">
        <v>2156</v>
      </c>
      <c r="F70" s="5" t="s">
        <v>2157</v>
      </c>
      <c r="G70" s="5" t="s">
        <v>2158</v>
      </c>
      <c r="H70" s="5"/>
    </row>
    <row r="71" customFormat="false" ht="68.65" hidden="false" customHeight="false" outlineLevel="0" collapsed="false">
      <c r="A71" s="5" t="s">
        <v>2159</v>
      </c>
      <c r="B71" s="5" t="s">
        <v>1812</v>
      </c>
      <c r="C71" s="5" t="s">
        <v>2160</v>
      </c>
      <c r="D71" s="5" t="s">
        <v>2161</v>
      </c>
      <c r="E71" s="5" t="s">
        <v>2162</v>
      </c>
      <c r="F71" s="5" t="s">
        <v>2163</v>
      </c>
      <c r="G71" s="5" t="s">
        <v>2164</v>
      </c>
      <c r="H71" s="5"/>
    </row>
    <row r="72" customFormat="false" ht="79.85" hidden="false" customHeight="false" outlineLevel="0" collapsed="false">
      <c r="A72" s="5" t="s">
        <v>2165</v>
      </c>
      <c r="B72" s="5" t="s">
        <v>1812</v>
      </c>
      <c r="C72" s="5" t="s">
        <v>2166</v>
      </c>
      <c r="D72" s="5" t="s">
        <v>2167</v>
      </c>
      <c r="E72" s="5" t="s">
        <v>2168</v>
      </c>
      <c r="F72" s="5" t="s">
        <v>2169</v>
      </c>
      <c r="G72" s="5" t="s">
        <v>2170</v>
      </c>
      <c r="H72" s="5"/>
    </row>
    <row r="73" customFormat="false" ht="79.85" hidden="false" customHeight="false" outlineLevel="0" collapsed="false">
      <c r="A73" s="5" t="s">
        <v>2171</v>
      </c>
      <c r="B73" s="5" t="s">
        <v>1812</v>
      </c>
      <c r="C73" s="5" t="s">
        <v>2172</v>
      </c>
      <c r="D73" s="5" t="s">
        <v>2173</v>
      </c>
      <c r="E73" s="5" t="s">
        <v>2174</v>
      </c>
      <c r="F73" s="5" t="s">
        <v>2175</v>
      </c>
      <c r="G73" s="5" t="s">
        <v>1882</v>
      </c>
      <c r="H73" s="5"/>
    </row>
    <row r="74" customFormat="false" ht="68.65" hidden="false" customHeight="false" outlineLevel="0" collapsed="false">
      <c r="A74" s="5" t="s">
        <v>2176</v>
      </c>
      <c r="B74" s="5" t="s">
        <v>1827</v>
      </c>
      <c r="C74" s="5" t="s">
        <v>2177</v>
      </c>
      <c r="D74" s="5" t="s">
        <v>2178</v>
      </c>
      <c r="E74" s="5" t="s">
        <v>2179</v>
      </c>
      <c r="F74" s="5" t="s">
        <v>2180</v>
      </c>
      <c r="G74" s="5" t="s">
        <v>2181</v>
      </c>
      <c r="H74" s="5"/>
    </row>
    <row r="75" customFormat="false" ht="57.45" hidden="false" customHeight="false" outlineLevel="0" collapsed="false">
      <c r="A75" s="5" t="s">
        <v>2182</v>
      </c>
      <c r="B75" s="5" t="s">
        <v>1827</v>
      </c>
      <c r="C75" s="5" t="s">
        <v>2183</v>
      </c>
      <c r="D75" s="5" t="s">
        <v>2184</v>
      </c>
      <c r="E75" s="5" t="s">
        <v>2185</v>
      </c>
      <c r="F75" s="5" t="s">
        <v>2186</v>
      </c>
      <c r="G75" s="5" t="s">
        <v>2187</v>
      </c>
      <c r="H75" s="5"/>
    </row>
    <row r="76" customFormat="false" ht="68.65" hidden="false" customHeight="false" outlineLevel="0" collapsed="false">
      <c r="A76" s="5" t="s">
        <v>2188</v>
      </c>
      <c r="B76" s="5" t="s">
        <v>2012</v>
      </c>
      <c r="C76" s="5" t="s">
        <v>2189</v>
      </c>
      <c r="D76" s="5" t="s">
        <v>2190</v>
      </c>
      <c r="E76" s="5" t="s">
        <v>2191</v>
      </c>
      <c r="F76" s="5" t="s">
        <v>2192</v>
      </c>
      <c r="G76" s="5" t="s">
        <v>2193</v>
      </c>
      <c r="H76" s="5"/>
    </row>
    <row r="77" customFormat="false" ht="57.45" hidden="false" customHeight="false" outlineLevel="0" collapsed="false">
      <c r="A77" s="5" t="s">
        <v>2194</v>
      </c>
      <c r="B77" s="5" t="s">
        <v>1812</v>
      </c>
      <c r="C77" s="5" t="s">
        <v>2195</v>
      </c>
      <c r="D77" s="5" t="s">
        <v>2196</v>
      </c>
      <c r="E77" s="5" t="s">
        <v>2197</v>
      </c>
      <c r="F77" s="5" t="s">
        <v>2198</v>
      </c>
      <c r="G77" s="5" t="s">
        <v>2199</v>
      </c>
      <c r="H77" s="5"/>
    </row>
    <row r="78" customFormat="false" ht="57.45" hidden="false" customHeight="false" outlineLevel="0" collapsed="false">
      <c r="A78" s="5" t="s">
        <v>2200</v>
      </c>
      <c r="B78" s="5" t="s">
        <v>1827</v>
      </c>
      <c r="C78" s="5" t="s">
        <v>2024</v>
      </c>
      <c r="D78" s="5" t="s">
        <v>2201</v>
      </c>
      <c r="E78" s="5" t="s">
        <v>2202</v>
      </c>
      <c r="F78" s="5" t="s">
        <v>2203</v>
      </c>
      <c r="G78" s="5" t="s">
        <v>2204</v>
      </c>
      <c r="H78" s="5"/>
    </row>
    <row r="79" customFormat="false" ht="46.25" hidden="false" customHeight="false" outlineLevel="0" collapsed="false">
      <c r="A79" s="5" t="s">
        <v>2205</v>
      </c>
      <c r="B79" s="5" t="s">
        <v>1848</v>
      </c>
      <c r="C79" s="5" t="s">
        <v>2206</v>
      </c>
      <c r="D79" s="5" t="s">
        <v>2207</v>
      </c>
      <c r="E79" s="5" t="s">
        <v>2208</v>
      </c>
      <c r="F79" s="5" t="s">
        <v>2209</v>
      </c>
      <c r="G79" s="5" t="s">
        <v>2210</v>
      </c>
      <c r="H7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62"/>
    <col collapsed="false" customWidth="true" hidden="false" outlineLevel="0" max="4" min="4" style="1" width="18"/>
    <col collapsed="false" customWidth="true" hidden="false" outlineLevel="0" max="5" min="5" style="1" width="26"/>
    <col collapsed="false" customWidth="true" hidden="false" outlineLevel="0" max="6" min="6" style="1" width="9"/>
    <col collapsed="false" customWidth="true" hidden="false" outlineLevel="0" max="7" min="7" style="1" width="10"/>
    <col collapsed="false" customWidth="true" hidden="false" outlineLevel="0" max="8" min="8" style="1" width="52"/>
    <col collapsed="false" customWidth="true" hidden="false" outlineLevel="0" max="9" min="9" style="1" width="58"/>
  </cols>
  <sheetData>
    <row r="1" customFormat="false" ht="15" hidden="false" customHeight="true" outlineLevel="0" collapsed="false">
      <c r="A1" s="1" t="s">
        <v>2211</v>
      </c>
    </row>
    <row r="2" customFormat="false" ht="15" hidden="false" customHeight="true" outlineLevel="0" collapsed="false">
      <c r="A2" s="7" t="s">
        <v>2212</v>
      </c>
    </row>
    <row r="3" customFormat="false" ht="15" hidden="false" customHeight="true" outlineLevel="0" collapsed="false">
      <c r="A3" s="15" t="s">
        <v>85</v>
      </c>
      <c r="B3" s="15" t="s">
        <v>2213</v>
      </c>
      <c r="C3" s="15" t="s">
        <v>2214</v>
      </c>
      <c r="D3" s="15" t="s">
        <v>2215</v>
      </c>
      <c r="E3" s="15" t="s">
        <v>2216</v>
      </c>
      <c r="F3" s="15" t="s">
        <v>2217</v>
      </c>
      <c r="G3" s="15" t="s">
        <v>2218</v>
      </c>
      <c r="H3" s="15" t="s">
        <v>2219</v>
      </c>
      <c r="I3" s="15" t="s">
        <v>2220</v>
      </c>
    </row>
    <row r="4" customFormat="false" ht="45.75" hidden="false" customHeight="true" outlineLevel="0" collapsed="false">
      <c r="A4" s="5" t="s">
        <v>2221</v>
      </c>
      <c r="B4" s="5" t="s">
        <v>2222</v>
      </c>
      <c r="C4" s="5" t="s">
        <v>2223</v>
      </c>
      <c r="D4" s="5" t="s">
        <v>2224</v>
      </c>
      <c r="E4" s="5" t="s">
        <v>93</v>
      </c>
      <c r="F4" s="5" t="s">
        <v>2225</v>
      </c>
      <c r="G4" s="5" t="s">
        <v>756</v>
      </c>
      <c r="H4" s="5" t="s">
        <v>2226</v>
      </c>
      <c r="I4" s="5" t="s">
        <v>2227</v>
      </c>
    </row>
    <row r="5" customFormat="false" ht="45.75" hidden="false" customHeight="true" outlineLevel="0" collapsed="false">
      <c r="A5" s="5" t="s">
        <v>2228</v>
      </c>
      <c r="B5" s="5" t="s">
        <v>1039</v>
      </c>
      <c r="C5" s="5" t="s">
        <v>2229</v>
      </c>
      <c r="D5" s="5" t="s">
        <v>2224</v>
      </c>
      <c r="E5" s="5" t="s">
        <v>93</v>
      </c>
      <c r="F5" s="5" t="s">
        <v>2225</v>
      </c>
      <c r="G5" s="5" t="s">
        <v>750</v>
      </c>
      <c r="H5" s="5" t="s">
        <v>2230</v>
      </c>
      <c r="I5" s="5" t="s">
        <v>2231</v>
      </c>
    </row>
    <row r="6" customFormat="false" ht="45.75" hidden="false" customHeight="true" outlineLevel="0" collapsed="false">
      <c r="A6" s="5" t="s">
        <v>2232</v>
      </c>
      <c r="B6" s="5" t="s">
        <v>2233</v>
      </c>
      <c r="C6" s="5" t="s">
        <v>2234</v>
      </c>
      <c r="D6" s="5" t="s">
        <v>2235</v>
      </c>
      <c r="E6" s="5" t="s">
        <v>2236</v>
      </c>
      <c r="F6" s="5" t="s">
        <v>2225</v>
      </c>
      <c r="G6" s="5" t="s">
        <v>769</v>
      </c>
      <c r="H6" s="5" t="s">
        <v>2237</v>
      </c>
      <c r="I6" s="5" t="s">
        <v>2238</v>
      </c>
    </row>
    <row r="7" customFormat="false" ht="34.5" hidden="false" customHeight="true" outlineLevel="0" collapsed="false">
      <c r="A7" s="5" t="s">
        <v>2239</v>
      </c>
      <c r="B7" s="5" t="s">
        <v>2086</v>
      </c>
      <c r="C7" s="5" t="s">
        <v>2240</v>
      </c>
      <c r="D7" s="5" t="s">
        <v>2241</v>
      </c>
      <c r="E7" s="5" t="s">
        <v>2242</v>
      </c>
      <c r="F7" s="5" t="s">
        <v>2243</v>
      </c>
      <c r="G7" s="5" t="s">
        <v>2244</v>
      </c>
      <c r="H7" s="5" t="s">
        <v>2245</v>
      </c>
      <c r="I7" s="5" t="s">
        <v>2246</v>
      </c>
    </row>
    <row r="8" customFormat="false" ht="34.5" hidden="false" customHeight="true" outlineLevel="0" collapsed="false">
      <c r="A8" s="5" t="s">
        <v>2247</v>
      </c>
      <c r="B8" s="5" t="s">
        <v>2103</v>
      </c>
      <c r="C8" s="5" t="s">
        <v>2248</v>
      </c>
      <c r="D8" s="5" t="s">
        <v>2241</v>
      </c>
      <c r="E8" s="5" t="s">
        <v>2249</v>
      </c>
      <c r="F8" s="5" t="s">
        <v>2250</v>
      </c>
      <c r="G8" s="5" t="s">
        <v>764</v>
      </c>
      <c r="H8" s="5" t="s">
        <v>2251</v>
      </c>
      <c r="I8" s="5" t="s">
        <v>2252</v>
      </c>
    </row>
    <row r="9" customFormat="false" ht="34.5" hidden="false" customHeight="true" outlineLevel="0" collapsed="false">
      <c r="A9" s="5" t="s">
        <v>2253</v>
      </c>
      <c r="B9" s="5" t="s">
        <v>1047</v>
      </c>
      <c r="C9" s="5" t="s">
        <v>2254</v>
      </c>
      <c r="D9" s="5" t="s">
        <v>2224</v>
      </c>
      <c r="E9" s="5" t="s">
        <v>93</v>
      </c>
      <c r="F9" s="5" t="s">
        <v>2255</v>
      </c>
      <c r="G9" s="5" t="s">
        <v>889</v>
      </c>
      <c r="H9" s="5" t="s">
        <v>2256</v>
      </c>
      <c r="I9" s="5" t="s">
        <v>2257</v>
      </c>
    </row>
    <row r="10" customFormat="false" ht="45.75" hidden="false" customHeight="true" outlineLevel="0" collapsed="false">
      <c r="A10" s="5" t="s">
        <v>2258</v>
      </c>
      <c r="B10" s="5" t="s">
        <v>2259</v>
      </c>
      <c r="C10" s="5" t="s">
        <v>2260</v>
      </c>
      <c r="D10" s="5" t="s">
        <v>2224</v>
      </c>
      <c r="E10" s="5" t="s">
        <v>93</v>
      </c>
      <c r="F10" s="5" t="s">
        <v>2261</v>
      </c>
      <c r="G10" s="5" t="s">
        <v>2262</v>
      </c>
      <c r="H10" s="5" t="s">
        <v>2263</v>
      </c>
      <c r="I10" s="5" t="s">
        <v>2264</v>
      </c>
    </row>
    <row r="11" customFormat="false" ht="34.5" hidden="false" customHeight="true" outlineLevel="0" collapsed="false">
      <c r="A11" s="5" t="s">
        <v>2265</v>
      </c>
      <c r="B11" s="5" t="s">
        <v>2266</v>
      </c>
      <c r="C11" s="5" t="s">
        <v>2267</v>
      </c>
      <c r="D11" s="5" t="s">
        <v>2224</v>
      </c>
      <c r="E11" s="5" t="s">
        <v>93</v>
      </c>
      <c r="F11" s="5" t="s">
        <v>2255</v>
      </c>
      <c r="G11" s="5" t="s">
        <v>787</v>
      </c>
      <c r="H11" s="5" t="s">
        <v>2268</v>
      </c>
      <c r="I11" s="5" t="s">
        <v>2269</v>
      </c>
    </row>
    <row r="12" customFormat="false" ht="45.75" hidden="false" customHeight="true" outlineLevel="0" collapsed="false">
      <c r="A12" s="5" t="s">
        <v>2270</v>
      </c>
      <c r="B12" s="5" t="s">
        <v>2137</v>
      </c>
      <c r="C12" s="5" t="s">
        <v>2271</v>
      </c>
      <c r="D12" s="5" t="s">
        <v>2241</v>
      </c>
      <c r="E12" s="5" t="s">
        <v>2272</v>
      </c>
      <c r="F12" s="5" t="s">
        <v>2225</v>
      </c>
      <c r="G12" s="5" t="s">
        <v>2273</v>
      </c>
      <c r="H12" s="5" t="s">
        <v>2274</v>
      </c>
      <c r="I12" s="5" t="s">
        <v>2275</v>
      </c>
    </row>
    <row r="13" customFormat="false" ht="35.05" hidden="false" customHeight="false" outlineLevel="0" collapsed="false">
      <c r="A13" s="5" t="s">
        <v>2276</v>
      </c>
      <c r="B13" s="5" t="s">
        <v>2277</v>
      </c>
      <c r="C13" s="5" t="s">
        <v>2278</v>
      </c>
      <c r="D13" s="5" t="s">
        <v>2224</v>
      </c>
      <c r="E13" s="5" t="s">
        <v>93</v>
      </c>
      <c r="F13" s="5" t="s">
        <v>2225</v>
      </c>
      <c r="G13" s="5" t="s">
        <v>2279</v>
      </c>
      <c r="H13" s="5" t="s">
        <v>2280</v>
      </c>
      <c r="I13" s="5" t="s">
        <v>2281</v>
      </c>
    </row>
    <row r="14" customFormat="false" ht="23.85" hidden="false" customHeight="false" outlineLevel="0" collapsed="false">
      <c r="A14" s="5" t="s">
        <v>2282</v>
      </c>
      <c r="B14" s="5" t="s">
        <v>2159</v>
      </c>
      <c r="C14" s="5" t="s">
        <v>2283</v>
      </c>
      <c r="D14" s="5" t="s">
        <v>2284</v>
      </c>
      <c r="E14" s="5" t="s">
        <v>93</v>
      </c>
      <c r="F14" s="5" t="s">
        <v>2255</v>
      </c>
      <c r="G14" s="5" t="s">
        <v>2285</v>
      </c>
      <c r="H14" s="5" t="s">
        <v>2286</v>
      </c>
      <c r="I14" s="5" t="s">
        <v>2287</v>
      </c>
    </row>
    <row r="15" customFormat="false" ht="35.05" hidden="false" customHeight="false" outlineLevel="0" collapsed="false">
      <c r="A15" s="5" t="s">
        <v>2288</v>
      </c>
      <c r="B15" s="5" t="s">
        <v>2289</v>
      </c>
      <c r="C15" s="5" t="s">
        <v>2290</v>
      </c>
      <c r="D15" s="5" t="s">
        <v>2224</v>
      </c>
      <c r="E15" s="5" t="s">
        <v>93</v>
      </c>
      <c r="F15" s="5" t="s">
        <v>2225</v>
      </c>
      <c r="G15" s="5" t="s">
        <v>2291</v>
      </c>
      <c r="H15" s="5" t="s">
        <v>2292</v>
      </c>
      <c r="I15" s="5" t="s">
        <v>2293</v>
      </c>
    </row>
    <row r="16" customFormat="false" ht="35.05" hidden="false" customHeight="false" outlineLevel="0" collapsed="false">
      <c r="A16" s="5" t="s">
        <v>2294</v>
      </c>
      <c r="B16" s="5" t="s">
        <v>2295</v>
      </c>
      <c r="C16" s="5" t="s">
        <v>2296</v>
      </c>
      <c r="D16" s="5" t="s">
        <v>2297</v>
      </c>
      <c r="E16" s="5" t="s">
        <v>2298</v>
      </c>
      <c r="F16" s="5" t="s">
        <v>2243</v>
      </c>
      <c r="G16" s="5" t="s">
        <v>2299</v>
      </c>
      <c r="H16" s="5" t="s">
        <v>2300</v>
      </c>
      <c r="I16" s="5" t="s">
        <v>2301</v>
      </c>
    </row>
    <row r="17" customFormat="false" ht="46.25" hidden="false" customHeight="false" outlineLevel="0" collapsed="false">
      <c r="A17" s="5" t="s">
        <v>2302</v>
      </c>
      <c r="B17" s="5" t="s">
        <v>2303</v>
      </c>
      <c r="C17" s="5" t="s">
        <v>2304</v>
      </c>
      <c r="D17" s="5" t="s">
        <v>2241</v>
      </c>
      <c r="E17" s="5" t="s">
        <v>2305</v>
      </c>
      <c r="F17" s="5" t="s">
        <v>93</v>
      </c>
      <c r="G17" s="5" t="s">
        <v>2306</v>
      </c>
      <c r="H17" s="5" t="s">
        <v>2307</v>
      </c>
      <c r="I17" s="5" t="s">
        <v>2308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62"/>
    <col collapsed="false" customWidth="true" hidden="false" outlineLevel="0" max="4" min="4" style="0" width="46"/>
    <col collapsed="false" customWidth="true" hidden="false" outlineLevel="0" max="5" min="5" style="0" width="5"/>
    <col collapsed="false" customWidth="true" hidden="false" outlineLevel="0" max="6" min="6" style="0" width="10"/>
    <col collapsed="false" customWidth="true" hidden="false" outlineLevel="0" max="7" min="7" style="0" width="24"/>
    <col collapsed="false" customWidth="true" hidden="false" outlineLevel="0" max="8" min="8" style="0" width="60"/>
    <col collapsed="false" customWidth="true" hidden="false" outlineLevel="0" max="9" min="9" style="0" width="22"/>
  </cols>
  <sheetData>
    <row r="1" customFormat="false" ht="15" hidden="false" customHeight="false" outlineLevel="0" collapsed="false">
      <c r="A1" s="16" t="s">
        <v>2309</v>
      </c>
    </row>
    <row r="2" customFormat="false" ht="42" hidden="false" customHeight="true" outlineLevel="0" collapsed="false">
      <c r="A2" s="17" t="s">
        <v>2310</v>
      </c>
      <c r="B2" s="17"/>
      <c r="C2" s="17"/>
      <c r="D2" s="17"/>
      <c r="E2" s="17"/>
      <c r="F2" s="17"/>
      <c r="G2" s="17"/>
      <c r="H2" s="17"/>
      <c r="I2" s="17"/>
    </row>
    <row r="3" customFormat="false" ht="15" hidden="false" customHeight="false" outlineLevel="0" collapsed="false">
      <c r="A3" s="18" t="s">
        <v>85</v>
      </c>
      <c r="B3" s="18" t="s">
        <v>86</v>
      </c>
      <c r="C3" s="18" t="s">
        <v>1181</v>
      </c>
      <c r="D3" s="18" t="s">
        <v>2311</v>
      </c>
      <c r="E3" s="18" t="s">
        <v>2312</v>
      </c>
      <c r="F3" s="18" t="s">
        <v>746</v>
      </c>
      <c r="G3" s="18" t="s">
        <v>2313</v>
      </c>
      <c r="H3" s="18" t="s">
        <v>2314</v>
      </c>
      <c r="I3" s="18" t="s">
        <v>2216</v>
      </c>
    </row>
    <row r="4" customFormat="false" ht="35.05" hidden="false" customHeight="false" outlineLevel="0" collapsed="false">
      <c r="A4" s="5" t="s">
        <v>2315</v>
      </c>
      <c r="B4" s="5" t="s">
        <v>611</v>
      </c>
      <c r="C4" s="5" t="s">
        <v>2316</v>
      </c>
      <c r="D4" s="5" t="s">
        <v>2317</v>
      </c>
      <c r="E4" s="5" t="n">
        <v>0</v>
      </c>
      <c r="F4" s="5" t="s">
        <v>839</v>
      </c>
      <c r="G4" s="5" t="s">
        <v>2318</v>
      </c>
      <c r="H4" s="5" t="s">
        <v>2319</v>
      </c>
      <c r="I4" s="5" t="s">
        <v>2320</v>
      </c>
    </row>
    <row r="5" customFormat="false" ht="35.05" hidden="false" customHeight="false" outlineLevel="0" collapsed="false">
      <c r="A5" s="5" t="s">
        <v>2321</v>
      </c>
      <c r="B5" s="5" t="s">
        <v>611</v>
      </c>
      <c r="C5" s="5" t="s">
        <v>2322</v>
      </c>
      <c r="D5" s="5" t="s">
        <v>2323</v>
      </c>
      <c r="E5" s="5" t="n">
        <v>0</v>
      </c>
      <c r="F5" s="5" t="s">
        <v>751</v>
      </c>
      <c r="G5" s="5" t="s">
        <v>2318</v>
      </c>
      <c r="H5" s="5" t="s">
        <v>2324</v>
      </c>
      <c r="I5" s="5" t="s">
        <v>2325</v>
      </c>
    </row>
    <row r="6" customFormat="false" ht="23.85" hidden="false" customHeight="false" outlineLevel="0" collapsed="false">
      <c r="A6" s="5" t="s">
        <v>2326</v>
      </c>
      <c r="B6" s="5" t="s">
        <v>611</v>
      </c>
      <c r="C6" s="5" t="s">
        <v>2327</v>
      </c>
      <c r="D6" s="5" t="s">
        <v>2328</v>
      </c>
      <c r="E6" s="5" t="n">
        <v>0</v>
      </c>
      <c r="F6" s="5" t="s">
        <v>686</v>
      </c>
      <c r="G6" s="5" t="s">
        <v>2329</v>
      </c>
      <c r="H6" s="5" t="s">
        <v>2330</v>
      </c>
      <c r="I6" s="5" t="s">
        <v>669</v>
      </c>
    </row>
    <row r="7" customFormat="false" ht="23.85" hidden="false" customHeight="false" outlineLevel="0" collapsed="false">
      <c r="A7" s="5" t="s">
        <v>2331</v>
      </c>
      <c r="B7" s="5" t="s">
        <v>611</v>
      </c>
      <c r="C7" s="5" t="s">
        <v>2332</v>
      </c>
      <c r="D7" s="5" t="s">
        <v>2333</v>
      </c>
      <c r="E7" s="5" t="n">
        <v>0</v>
      </c>
      <c r="F7" s="5" t="s">
        <v>686</v>
      </c>
      <c r="G7" s="5" t="s">
        <v>2329</v>
      </c>
      <c r="H7" s="5" t="s">
        <v>2334</v>
      </c>
      <c r="I7" s="5" t="s">
        <v>720</v>
      </c>
    </row>
    <row r="8" customFormat="false" ht="35.05" hidden="false" customHeight="false" outlineLevel="0" collapsed="false">
      <c r="A8" s="5" t="s">
        <v>2335</v>
      </c>
      <c r="B8" s="5" t="s">
        <v>611</v>
      </c>
      <c r="C8" s="5" t="s">
        <v>2336</v>
      </c>
      <c r="D8" s="5" t="s">
        <v>2337</v>
      </c>
      <c r="E8" s="5" t="n">
        <v>0</v>
      </c>
      <c r="F8" s="5" t="s">
        <v>857</v>
      </c>
      <c r="G8" s="5" t="s">
        <v>2329</v>
      </c>
      <c r="H8" s="5" t="s">
        <v>2338</v>
      </c>
      <c r="I8" s="5" t="s">
        <v>2339</v>
      </c>
    </row>
    <row r="9" customFormat="false" ht="35.05" hidden="false" customHeight="false" outlineLevel="0" collapsed="false">
      <c r="A9" s="5" t="s">
        <v>2340</v>
      </c>
      <c r="B9" s="5" t="s">
        <v>611</v>
      </c>
      <c r="C9" s="5" t="s">
        <v>2341</v>
      </c>
      <c r="D9" s="5" t="s">
        <v>2342</v>
      </c>
      <c r="E9" s="5" t="n">
        <v>0</v>
      </c>
      <c r="F9" s="5" t="s">
        <v>686</v>
      </c>
      <c r="G9" s="5" t="s">
        <v>2329</v>
      </c>
      <c r="H9" s="5" t="s">
        <v>2343</v>
      </c>
      <c r="I9" s="5" t="s">
        <v>2344</v>
      </c>
    </row>
    <row r="10" customFormat="false" ht="35.05" hidden="false" customHeight="false" outlineLevel="0" collapsed="false">
      <c r="A10" s="5" t="s">
        <v>2345</v>
      </c>
      <c r="B10" s="5" t="s">
        <v>611</v>
      </c>
      <c r="C10" s="5" t="s">
        <v>2346</v>
      </c>
      <c r="D10" s="5" t="s">
        <v>2347</v>
      </c>
      <c r="E10" s="5" t="n">
        <v>0</v>
      </c>
      <c r="F10" s="5" t="s">
        <v>751</v>
      </c>
      <c r="G10" s="5" t="s">
        <v>2348</v>
      </c>
      <c r="H10" s="5" t="s">
        <v>2349</v>
      </c>
      <c r="I10" s="5" t="s">
        <v>713</v>
      </c>
    </row>
    <row r="11" customFormat="false" ht="23.85" hidden="false" customHeight="false" outlineLevel="0" collapsed="false">
      <c r="A11" s="5" t="s">
        <v>2350</v>
      </c>
      <c r="B11" s="5" t="s">
        <v>611</v>
      </c>
      <c r="C11" s="5" t="s">
        <v>2351</v>
      </c>
      <c r="D11" s="5" t="s">
        <v>2352</v>
      </c>
      <c r="E11" s="5" t="n">
        <v>0</v>
      </c>
      <c r="F11" s="5" t="s">
        <v>686</v>
      </c>
      <c r="G11" s="5" t="s">
        <v>2329</v>
      </c>
      <c r="H11" s="5" t="s">
        <v>2353</v>
      </c>
      <c r="I11" s="5" t="s">
        <v>2354</v>
      </c>
    </row>
    <row r="12" customFormat="false" ht="35.05" hidden="false" customHeight="false" outlineLevel="0" collapsed="false">
      <c r="A12" s="5" t="s">
        <v>2355</v>
      </c>
      <c r="B12" s="5" t="s">
        <v>621</v>
      </c>
      <c r="C12" s="5" t="s">
        <v>2356</v>
      </c>
      <c r="D12" s="5" t="s">
        <v>2357</v>
      </c>
      <c r="E12" s="5" t="n">
        <v>5</v>
      </c>
      <c r="F12" s="5" t="s">
        <v>751</v>
      </c>
      <c r="G12" s="5" t="s">
        <v>2358</v>
      </c>
      <c r="H12" s="5" t="s">
        <v>2359</v>
      </c>
      <c r="I12" s="5" t="s">
        <v>2360</v>
      </c>
    </row>
    <row r="13" customFormat="false" ht="35.05" hidden="false" customHeight="false" outlineLevel="0" collapsed="false">
      <c r="A13" s="5" t="s">
        <v>2361</v>
      </c>
      <c r="B13" s="5" t="s">
        <v>621</v>
      </c>
      <c r="C13" s="5" t="s">
        <v>2362</v>
      </c>
      <c r="D13" s="5" t="s">
        <v>2363</v>
      </c>
      <c r="E13" s="5" t="n">
        <v>2</v>
      </c>
      <c r="F13" s="5" t="s">
        <v>751</v>
      </c>
      <c r="G13" s="5" t="s">
        <v>2358</v>
      </c>
      <c r="H13" s="5" t="s">
        <v>2364</v>
      </c>
      <c r="I13" s="5" t="s">
        <v>93</v>
      </c>
    </row>
    <row r="14" customFormat="false" ht="23.85" hidden="false" customHeight="false" outlineLevel="0" collapsed="false">
      <c r="A14" s="5" t="s">
        <v>2365</v>
      </c>
      <c r="B14" s="5" t="s">
        <v>621</v>
      </c>
      <c r="C14" s="5" t="s">
        <v>2366</v>
      </c>
      <c r="D14" s="5" t="s">
        <v>2367</v>
      </c>
      <c r="E14" s="5" t="n">
        <v>5</v>
      </c>
      <c r="F14" s="5" t="s">
        <v>751</v>
      </c>
      <c r="G14" s="5" t="s">
        <v>2358</v>
      </c>
      <c r="H14" s="5" t="s">
        <v>2368</v>
      </c>
      <c r="I14" s="5" t="s">
        <v>2369</v>
      </c>
    </row>
    <row r="15" customFormat="false" ht="23.85" hidden="false" customHeight="false" outlineLevel="0" collapsed="false">
      <c r="A15" s="5" t="s">
        <v>2370</v>
      </c>
      <c r="B15" s="5" t="s">
        <v>621</v>
      </c>
      <c r="C15" s="5" t="s">
        <v>2371</v>
      </c>
      <c r="D15" s="5" t="s">
        <v>2372</v>
      </c>
      <c r="E15" s="5" t="n">
        <v>5</v>
      </c>
      <c r="F15" s="5" t="s">
        <v>751</v>
      </c>
      <c r="G15" s="5" t="s">
        <v>2358</v>
      </c>
      <c r="H15" s="5" t="s">
        <v>2373</v>
      </c>
      <c r="I15" s="5" t="s">
        <v>93</v>
      </c>
    </row>
    <row r="16" customFormat="false" ht="23.85" hidden="false" customHeight="false" outlineLevel="0" collapsed="false">
      <c r="A16" s="5" t="s">
        <v>2374</v>
      </c>
      <c r="B16" s="5" t="s">
        <v>621</v>
      </c>
      <c r="C16" s="5" t="s">
        <v>2375</v>
      </c>
      <c r="D16" s="5" t="s">
        <v>2376</v>
      </c>
      <c r="E16" s="5" t="n">
        <v>5</v>
      </c>
      <c r="F16" s="5" t="s">
        <v>751</v>
      </c>
      <c r="G16" s="5" t="s">
        <v>2358</v>
      </c>
      <c r="H16" s="5" t="s">
        <v>2377</v>
      </c>
      <c r="I16" s="5" t="s">
        <v>93</v>
      </c>
    </row>
    <row r="17" customFormat="false" ht="35.05" hidden="false" customHeight="false" outlineLevel="0" collapsed="false">
      <c r="A17" s="5" t="s">
        <v>2378</v>
      </c>
      <c r="B17" s="5" t="s">
        <v>621</v>
      </c>
      <c r="C17" s="5" t="s">
        <v>2379</v>
      </c>
      <c r="D17" s="5" t="s">
        <v>2380</v>
      </c>
      <c r="E17" s="5" t="n">
        <v>3</v>
      </c>
      <c r="F17" s="5" t="s">
        <v>751</v>
      </c>
      <c r="G17" s="5" t="s">
        <v>752</v>
      </c>
      <c r="H17" s="5" t="s">
        <v>2381</v>
      </c>
      <c r="I17" s="5" t="s">
        <v>93</v>
      </c>
    </row>
    <row r="18" customFormat="false" ht="35.05" hidden="false" customHeight="false" outlineLevel="0" collapsed="false">
      <c r="A18" s="5" t="s">
        <v>2382</v>
      </c>
      <c r="B18" s="5" t="s">
        <v>621</v>
      </c>
      <c r="C18" s="5" t="s">
        <v>2383</v>
      </c>
      <c r="D18" s="5" t="s">
        <v>2384</v>
      </c>
      <c r="E18" s="5" t="n">
        <v>5</v>
      </c>
      <c r="F18" s="5" t="s">
        <v>751</v>
      </c>
      <c r="G18" s="5" t="s">
        <v>752</v>
      </c>
      <c r="H18" s="5" t="s">
        <v>2385</v>
      </c>
      <c r="I18" s="5" t="s">
        <v>93</v>
      </c>
    </row>
    <row r="19" customFormat="false" ht="23.85" hidden="false" customHeight="false" outlineLevel="0" collapsed="false">
      <c r="A19" s="5" t="s">
        <v>2386</v>
      </c>
      <c r="B19" s="5" t="s">
        <v>621</v>
      </c>
      <c r="C19" s="5" t="s">
        <v>2387</v>
      </c>
      <c r="D19" s="5" t="s">
        <v>2388</v>
      </c>
      <c r="E19" s="5" t="n">
        <v>4</v>
      </c>
      <c r="F19" s="5" t="s">
        <v>751</v>
      </c>
      <c r="G19" s="5" t="s">
        <v>752</v>
      </c>
      <c r="H19" s="5" t="s">
        <v>2389</v>
      </c>
      <c r="I19" s="5" t="s">
        <v>93</v>
      </c>
    </row>
    <row r="20" customFormat="false" ht="23.85" hidden="false" customHeight="false" outlineLevel="0" collapsed="false">
      <c r="A20" s="5" t="s">
        <v>2390</v>
      </c>
      <c r="B20" s="5" t="s">
        <v>665</v>
      </c>
      <c r="C20" s="5" t="s">
        <v>2391</v>
      </c>
      <c r="D20" s="5" t="s">
        <v>2392</v>
      </c>
      <c r="E20" s="5" t="n">
        <v>8</v>
      </c>
      <c r="F20" s="5" t="s">
        <v>751</v>
      </c>
      <c r="G20" s="5" t="s">
        <v>2348</v>
      </c>
      <c r="H20" s="5" t="s">
        <v>2393</v>
      </c>
      <c r="I20" s="5" t="s">
        <v>669</v>
      </c>
    </row>
    <row r="21" customFormat="false" ht="23.85" hidden="false" customHeight="false" outlineLevel="0" collapsed="false">
      <c r="A21" s="5" t="s">
        <v>2394</v>
      </c>
      <c r="B21" s="5" t="s">
        <v>665</v>
      </c>
      <c r="C21" s="5" t="s">
        <v>2395</v>
      </c>
      <c r="D21" s="5" t="s">
        <v>2396</v>
      </c>
      <c r="E21" s="5" t="n">
        <v>8</v>
      </c>
      <c r="F21" s="5" t="s">
        <v>751</v>
      </c>
      <c r="G21" s="5" t="s">
        <v>2348</v>
      </c>
      <c r="H21" s="5" t="s">
        <v>2397</v>
      </c>
      <c r="I21" s="5" t="s">
        <v>669</v>
      </c>
    </row>
    <row r="22" customFormat="false" ht="23.85" hidden="false" customHeight="false" outlineLevel="0" collapsed="false">
      <c r="A22" s="5" t="s">
        <v>2398</v>
      </c>
      <c r="B22" s="5" t="s">
        <v>665</v>
      </c>
      <c r="C22" s="5" t="s">
        <v>2399</v>
      </c>
      <c r="D22" s="5" t="s">
        <v>2400</v>
      </c>
      <c r="E22" s="5" t="n">
        <v>5</v>
      </c>
      <c r="F22" s="5" t="s">
        <v>751</v>
      </c>
      <c r="G22" s="5" t="s">
        <v>2348</v>
      </c>
      <c r="H22" s="5" t="s">
        <v>2401</v>
      </c>
      <c r="I22" s="5" t="s">
        <v>669</v>
      </c>
    </row>
    <row r="23" customFormat="false" ht="23.85" hidden="false" customHeight="false" outlineLevel="0" collapsed="false">
      <c r="A23" s="5" t="s">
        <v>2402</v>
      </c>
      <c r="B23" s="5" t="s">
        <v>665</v>
      </c>
      <c r="C23" s="5" t="s">
        <v>2403</v>
      </c>
      <c r="D23" s="5" t="s">
        <v>2404</v>
      </c>
      <c r="E23" s="5" t="n">
        <v>8</v>
      </c>
      <c r="F23" s="5" t="s">
        <v>751</v>
      </c>
      <c r="G23" s="5" t="s">
        <v>2348</v>
      </c>
      <c r="H23" s="5" t="s">
        <v>2405</v>
      </c>
      <c r="I23" s="5" t="s">
        <v>669</v>
      </c>
    </row>
    <row r="24" customFormat="false" ht="23.85" hidden="false" customHeight="false" outlineLevel="0" collapsed="false">
      <c r="A24" s="5" t="s">
        <v>2406</v>
      </c>
      <c r="B24" s="5" t="s">
        <v>665</v>
      </c>
      <c r="C24" s="5" t="s">
        <v>2407</v>
      </c>
      <c r="D24" s="5" t="s">
        <v>2408</v>
      </c>
      <c r="E24" s="5" t="n">
        <v>8</v>
      </c>
      <c r="F24" s="5" t="s">
        <v>751</v>
      </c>
      <c r="G24" s="5" t="s">
        <v>2348</v>
      </c>
      <c r="H24" s="5" t="s">
        <v>2409</v>
      </c>
      <c r="I24" s="5" t="s">
        <v>2410</v>
      </c>
    </row>
    <row r="25" customFormat="false" ht="35.05" hidden="false" customHeight="false" outlineLevel="0" collapsed="false">
      <c r="A25" s="5" t="s">
        <v>2411</v>
      </c>
      <c r="B25" s="5" t="s">
        <v>665</v>
      </c>
      <c r="C25" s="5" t="s">
        <v>2412</v>
      </c>
      <c r="D25" s="5" t="s">
        <v>2413</v>
      </c>
      <c r="E25" s="5" t="n">
        <v>5</v>
      </c>
      <c r="F25" s="5" t="s">
        <v>751</v>
      </c>
      <c r="G25" s="5" t="s">
        <v>2358</v>
      </c>
      <c r="H25" s="5" t="s">
        <v>2414</v>
      </c>
      <c r="I25" s="5" t="s">
        <v>2415</v>
      </c>
    </row>
    <row r="26" customFormat="false" ht="23.85" hidden="false" customHeight="false" outlineLevel="0" collapsed="false">
      <c r="A26" s="5" t="s">
        <v>2416</v>
      </c>
      <c r="B26" s="5" t="s">
        <v>2417</v>
      </c>
      <c r="C26" s="5" t="s">
        <v>2418</v>
      </c>
      <c r="D26" s="5" t="s">
        <v>2419</v>
      </c>
      <c r="E26" s="5" t="n">
        <v>13</v>
      </c>
      <c r="F26" s="5" t="s">
        <v>751</v>
      </c>
      <c r="G26" s="5" t="s">
        <v>2348</v>
      </c>
      <c r="H26" s="5" t="s">
        <v>2420</v>
      </c>
      <c r="I26" s="5" t="s">
        <v>2421</v>
      </c>
    </row>
    <row r="27" customFormat="false" ht="35.05" hidden="false" customHeight="false" outlineLevel="0" collapsed="false">
      <c r="A27" s="5" t="s">
        <v>2422</v>
      </c>
      <c r="B27" s="5" t="s">
        <v>2417</v>
      </c>
      <c r="C27" s="5" t="s">
        <v>2423</v>
      </c>
      <c r="D27" s="5" t="s">
        <v>2424</v>
      </c>
      <c r="E27" s="5" t="n">
        <v>8</v>
      </c>
      <c r="F27" s="5" t="s">
        <v>751</v>
      </c>
      <c r="G27" s="5" t="s">
        <v>2358</v>
      </c>
      <c r="H27" s="5" t="s">
        <v>2425</v>
      </c>
      <c r="I27" s="5" t="s">
        <v>2426</v>
      </c>
    </row>
    <row r="28" customFormat="false" ht="23.85" hidden="false" customHeight="false" outlineLevel="0" collapsed="false">
      <c r="A28" s="5" t="s">
        <v>2427</v>
      </c>
      <c r="B28" s="5" t="s">
        <v>2417</v>
      </c>
      <c r="C28" s="5" t="s">
        <v>2428</v>
      </c>
      <c r="D28" s="5" t="s">
        <v>2429</v>
      </c>
      <c r="E28" s="5" t="n">
        <v>5</v>
      </c>
      <c r="F28" s="5" t="s">
        <v>751</v>
      </c>
      <c r="G28" s="5" t="s">
        <v>2348</v>
      </c>
      <c r="H28" s="5" t="s">
        <v>2430</v>
      </c>
      <c r="I28" s="5" t="s">
        <v>669</v>
      </c>
    </row>
    <row r="29" customFormat="false" ht="23.85" hidden="false" customHeight="false" outlineLevel="0" collapsed="false">
      <c r="A29" s="5" t="s">
        <v>2431</v>
      </c>
      <c r="B29" s="5" t="s">
        <v>2417</v>
      </c>
      <c r="C29" s="5" t="s">
        <v>2432</v>
      </c>
      <c r="D29" s="5" t="s">
        <v>2433</v>
      </c>
      <c r="E29" s="5" t="n">
        <v>8</v>
      </c>
      <c r="F29" s="5" t="s">
        <v>839</v>
      </c>
      <c r="G29" s="5" t="s">
        <v>2329</v>
      </c>
      <c r="H29" s="5" t="s">
        <v>2434</v>
      </c>
      <c r="I29" s="5" t="s">
        <v>2350</v>
      </c>
    </row>
    <row r="30" customFormat="false" ht="23.85" hidden="false" customHeight="false" outlineLevel="0" collapsed="false">
      <c r="A30" s="5" t="s">
        <v>2435</v>
      </c>
      <c r="B30" s="5" t="s">
        <v>2436</v>
      </c>
      <c r="C30" s="5" t="s">
        <v>2437</v>
      </c>
      <c r="D30" s="5" t="s">
        <v>2438</v>
      </c>
      <c r="E30" s="5" t="n">
        <v>21</v>
      </c>
      <c r="F30" s="5" t="s">
        <v>751</v>
      </c>
      <c r="G30" s="5" t="s">
        <v>2348</v>
      </c>
      <c r="H30" s="5" t="s">
        <v>2439</v>
      </c>
      <c r="I30" s="5" t="s">
        <v>2440</v>
      </c>
    </row>
    <row r="31" customFormat="false" ht="23.85" hidden="false" customHeight="false" outlineLevel="0" collapsed="false">
      <c r="A31" s="5" t="s">
        <v>2441</v>
      </c>
      <c r="B31" s="5" t="s">
        <v>2436</v>
      </c>
      <c r="C31" s="5" t="s">
        <v>2442</v>
      </c>
      <c r="D31" s="5" t="s">
        <v>2443</v>
      </c>
      <c r="E31" s="5" t="n">
        <v>13</v>
      </c>
      <c r="F31" s="5" t="s">
        <v>751</v>
      </c>
      <c r="G31" s="5" t="s">
        <v>2348</v>
      </c>
      <c r="H31" s="5"/>
      <c r="I31" s="5" t="s">
        <v>2444</v>
      </c>
    </row>
    <row r="32" customFormat="false" ht="23.85" hidden="false" customHeight="false" outlineLevel="0" collapsed="false">
      <c r="A32" s="5" t="s">
        <v>2445</v>
      </c>
      <c r="B32" s="5" t="s">
        <v>2436</v>
      </c>
      <c r="C32" s="5" t="s">
        <v>2446</v>
      </c>
      <c r="D32" s="5" t="s">
        <v>2447</v>
      </c>
      <c r="E32" s="5" t="n">
        <v>13</v>
      </c>
      <c r="F32" s="5" t="s">
        <v>751</v>
      </c>
      <c r="G32" s="5" t="s">
        <v>2348</v>
      </c>
      <c r="H32" s="5"/>
      <c r="I32" s="5" t="s">
        <v>2444</v>
      </c>
    </row>
    <row r="33" customFormat="false" ht="23.85" hidden="false" customHeight="false" outlineLevel="0" collapsed="false">
      <c r="A33" s="5" t="s">
        <v>2448</v>
      </c>
      <c r="B33" s="5" t="s">
        <v>2436</v>
      </c>
      <c r="C33" s="5" t="s">
        <v>2449</v>
      </c>
      <c r="D33" s="5" t="s">
        <v>2450</v>
      </c>
      <c r="E33" s="5" t="n">
        <v>8</v>
      </c>
      <c r="F33" s="5" t="s">
        <v>751</v>
      </c>
      <c r="G33" s="5" t="s">
        <v>2348</v>
      </c>
      <c r="H33" s="5" t="s">
        <v>2451</v>
      </c>
      <c r="I33" s="5" t="s">
        <v>728</v>
      </c>
    </row>
    <row r="34" customFormat="false" ht="23.85" hidden="false" customHeight="false" outlineLevel="0" collapsed="false">
      <c r="A34" s="5" t="s">
        <v>2452</v>
      </c>
      <c r="B34" s="5" t="s">
        <v>2436</v>
      </c>
      <c r="C34" s="5" t="s">
        <v>2453</v>
      </c>
      <c r="D34" s="5" t="s">
        <v>2454</v>
      </c>
      <c r="E34" s="5" t="n">
        <v>8</v>
      </c>
      <c r="F34" s="5" t="s">
        <v>839</v>
      </c>
      <c r="G34" s="5" t="s">
        <v>2348</v>
      </c>
      <c r="H34" s="5" t="s">
        <v>2455</v>
      </c>
      <c r="I34" s="5" t="s">
        <v>2456</v>
      </c>
    </row>
    <row r="35" customFormat="false" ht="23.85" hidden="false" customHeight="false" outlineLevel="0" collapsed="false">
      <c r="A35" s="5" t="s">
        <v>2457</v>
      </c>
      <c r="B35" s="5" t="s">
        <v>2436</v>
      </c>
      <c r="C35" s="5" t="s">
        <v>2458</v>
      </c>
      <c r="D35" s="5" t="s">
        <v>2459</v>
      </c>
      <c r="E35" s="5" t="n">
        <v>13</v>
      </c>
      <c r="F35" s="5" t="s">
        <v>839</v>
      </c>
      <c r="G35" s="5" t="s">
        <v>2348</v>
      </c>
      <c r="H35" s="5"/>
      <c r="I35" s="5" t="s">
        <v>2460</v>
      </c>
    </row>
    <row r="36" customFormat="false" ht="46.25" hidden="false" customHeight="false" outlineLevel="0" collapsed="false">
      <c r="A36" s="5" t="s">
        <v>2461</v>
      </c>
      <c r="B36" s="5" t="s">
        <v>2462</v>
      </c>
      <c r="C36" s="5" t="s">
        <v>2463</v>
      </c>
      <c r="D36" s="5" t="s">
        <v>2464</v>
      </c>
      <c r="E36" s="5" t="n">
        <v>13</v>
      </c>
      <c r="F36" s="5" t="s">
        <v>751</v>
      </c>
      <c r="G36" s="5" t="s">
        <v>2318</v>
      </c>
      <c r="H36" s="5" t="s">
        <v>2465</v>
      </c>
      <c r="I36" s="5" t="s">
        <v>2466</v>
      </c>
    </row>
    <row r="37" customFormat="false" ht="23.85" hidden="false" customHeight="false" outlineLevel="0" collapsed="false">
      <c r="A37" s="5" t="s">
        <v>2467</v>
      </c>
      <c r="B37" s="5" t="s">
        <v>2462</v>
      </c>
      <c r="C37" s="5" t="s">
        <v>2468</v>
      </c>
      <c r="D37" s="5" t="s">
        <v>2469</v>
      </c>
      <c r="E37" s="5" t="n">
        <v>5</v>
      </c>
      <c r="F37" s="5" t="s">
        <v>751</v>
      </c>
      <c r="G37" s="5" t="s">
        <v>752</v>
      </c>
      <c r="H37" s="5" t="s">
        <v>2470</v>
      </c>
      <c r="I37" s="5" t="s">
        <v>93</v>
      </c>
    </row>
    <row r="38" customFormat="false" ht="23.85" hidden="false" customHeight="false" outlineLevel="0" collapsed="false">
      <c r="A38" s="5" t="s">
        <v>2471</v>
      </c>
      <c r="B38" s="5" t="s">
        <v>2462</v>
      </c>
      <c r="C38" s="5" t="s">
        <v>2472</v>
      </c>
      <c r="D38" s="5" t="s">
        <v>2473</v>
      </c>
      <c r="E38" s="5" t="n">
        <v>8</v>
      </c>
      <c r="F38" s="5" t="s">
        <v>751</v>
      </c>
      <c r="G38" s="5" t="s">
        <v>2358</v>
      </c>
      <c r="H38" s="5" t="s">
        <v>2474</v>
      </c>
      <c r="I38" s="5" t="s">
        <v>2475</v>
      </c>
    </row>
    <row r="39" customFormat="false" ht="35.05" hidden="false" customHeight="false" outlineLevel="0" collapsed="false">
      <c r="A39" s="5" t="s">
        <v>2476</v>
      </c>
      <c r="B39" s="5" t="s">
        <v>2462</v>
      </c>
      <c r="C39" s="5" t="s">
        <v>2477</v>
      </c>
      <c r="D39" s="5" t="s">
        <v>2478</v>
      </c>
      <c r="E39" s="5" t="n">
        <v>8</v>
      </c>
      <c r="F39" s="5" t="s">
        <v>751</v>
      </c>
      <c r="G39" s="5" t="s">
        <v>2358</v>
      </c>
      <c r="H39" s="5" t="s">
        <v>2479</v>
      </c>
      <c r="I39" s="5" t="s">
        <v>2480</v>
      </c>
    </row>
    <row r="40" customFormat="false" ht="35.05" hidden="false" customHeight="false" outlineLevel="0" collapsed="false">
      <c r="A40" s="5" t="s">
        <v>1141</v>
      </c>
      <c r="B40" s="5" t="s">
        <v>2462</v>
      </c>
      <c r="C40" s="5" t="s">
        <v>2481</v>
      </c>
      <c r="D40" s="5" t="s">
        <v>2482</v>
      </c>
      <c r="E40" s="5" t="n">
        <v>13</v>
      </c>
      <c r="F40" s="5" t="s">
        <v>751</v>
      </c>
      <c r="G40" s="5" t="s">
        <v>2318</v>
      </c>
      <c r="H40" s="5" t="s">
        <v>2483</v>
      </c>
      <c r="I40" s="5" t="s">
        <v>2484</v>
      </c>
    </row>
    <row r="41" customFormat="false" ht="23.85" hidden="false" customHeight="false" outlineLevel="0" collapsed="false">
      <c r="A41" s="5" t="s">
        <v>2485</v>
      </c>
      <c r="B41" s="5" t="s">
        <v>2462</v>
      </c>
      <c r="C41" s="5" t="s">
        <v>2486</v>
      </c>
      <c r="D41" s="5" t="s">
        <v>2487</v>
      </c>
      <c r="E41" s="5" t="n">
        <v>8</v>
      </c>
      <c r="F41" s="5" t="s">
        <v>751</v>
      </c>
      <c r="G41" s="5" t="s">
        <v>2358</v>
      </c>
      <c r="H41" s="5" t="s">
        <v>2488</v>
      </c>
      <c r="I41" s="5" t="s">
        <v>2489</v>
      </c>
    </row>
    <row r="42" customFormat="false" ht="23.85" hidden="false" customHeight="false" outlineLevel="0" collapsed="false">
      <c r="A42" s="5" t="s">
        <v>2490</v>
      </c>
      <c r="B42" s="5" t="s">
        <v>2462</v>
      </c>
      <c r="C42" s="5" t="s">
        <v>2491</v>
      </c>
      <c r="D42" s="5" t="s">
        <v>2492</v>
      </c>
      <c r="E42" s="5" t="n">
        <v>8</v>
      </c>
      <c r="F42" s="5" t="s">
        <v>751</v>
      </c>
      <c r="G42" s="5" t="s">
        <v>2358</v>
      </c>
      <c r="H42" s="5" t="s">
        <v>2493</v>
      </c>
      <c r="I42" s="5" t="s">
        <v>2494</v>
      </c>
    </row>
    <row r="43" customFormat="false" ht="23.85" hidden="false" customHeight="false" outlineLevel="0" collapsed="false">
      <c r="A43" s="5" t="s">
        <v>2495</v>
      </c>
      <c r="B43" s="5" t="s">
        <v>2462</v>
      </c>
      <c r="C43" s="5" t="s">
        <v>2496</v>
      </c>
      <c r="D43" s="5" t="s">
        <v>2497</v>
      </c>
      <c r="E43" s="5" t="n">
        <v>5</v>
      </c>
      <c r="F43" s="5" t="s">
        <v>857</v>
      </c>
      <c r="G43" s="5" t="s">
        <v>2358</v>
      </c>
      <c r="H43" s="5" t="s">
        <v>2498</v>
      </c>
      <c r="I43" s="5" t="s">
        <v>2499</v>
      </c>
    </row>
    <row r="44" customFormat="false" ht="35.05" hidden="false" customHeight="false" outlineLevel="0" collapsed="false">
      <c r="A44" s="5" t="s">
        <v>2500</v>
      </c>
      <c r="B44" s="5" t="s">
        <v>2501</v>
      </c>
      <c r="C44" s="5" t="s">
        <v>2502</v>
      </c>
      <c r="D44" s="5" t="s">
        <v>2503</v>
      </c>
      <c r="E44" s="5" t="n">
        <v>21</v>
      </c>
      <c r="F44" s="5" t="s">
        <v>751</v>
      </c>
      <c r="G44" s="5" t="s">
        <v>2348</v>
      </c>
      <c r="H44" s="5" t="s">
        <v>2504</v>
      </c>
      <c r="I44" s="5" t="s">
        <v>2505</v>
      </c>
    </row>
    <row r="45" customFormat="false" ht="23.85" hidden="false" customHeight="false" outlineLevel="0" collapsed="false">
      <c r="A45" s="5" t="s">
        <v>2506</v>
      </c>
      <c r="B45" s="5" t="s">
        <v>2501</v>
      </c>
      <c r="C45" s="5" t="s">
        <v>2507</v>
      </c>
      <c r="D45" s="5" t="s">
        <v>2508</v>
      </c>
      <c r="E45" s="5" t="n">
        <v>8</v>
      </c>
      <c r="F45" s="5" t="s">
        <v>751</v>
      </c>
      <c r="G45" s="5" t="s">
        <v>2348</v>
      </c>
      <c r="H45" s="5"/>
      <c r="I45" s="5" t="s">
        <v>720</v>
      </c>
    </row>
    <row r="46" customFormat="false" ht="23.85" hidden="false" customHeight="false" outlineLevel="0" collapsed="false">
      <c r="A46" s="5" t="s">
        <v>2509</v>
      </c>
      <c r="B46" s="5" t="s">
        <v>2501</v>
      </c>
      <c r="C46" s="5" t="s">
        <v>2510</v>
      </c>
      <c r="D46" s="5" t="s">
        <v>2511</v>
      </c>
      <c r="E46" s="5" t="n">
        <v>8</v>
      </c>
      <c r="F46" s="5" t="s">
        <v>751</v>
      </c>
      <c r="G46" s="5" t="s">
        <v>2348</v>
      </c>
      <c r="H46" s="5"/>
      <c r="I46" s="5" t="s">
        <v>720</v>
      </c>
    </row>
    <row r="47" customFormat="false" ht="23.85" hidden="false" customHeight="false" outlineLevel="0" collapsed="false">
      <c r="A47" s="5" t="s">
        <v>2512</v>
      </c>
      <c r="B47" s="5" t="s">
        <v>2501</v>
      </c>
      <c r="C47" s="5" t="s">
        <v>2513</v>
      </c>
      <c r="D47" s="5" t="s">
        <v>2514</v>
      </c>
      <c r="E47" s="5" t="n">
        <v>13</v>
      </c>
      <c r="F47" s="5" t="s">
        <v>751</v>
      </c>
      <c r="G47" s="5" t="s">
        <v>2348</v>
      </c>
      <c r="H47" s="5"/>
      <c r="I47" s="5" t="s">
        <v>720</v>
      </c>
    </row>
    <row r="48" customFormat="false" ht="23.85" hidden="false" customHeight="false" outlineLevel="0" collapsed="false">
      <c r="A48" s="5" t="s">
        <v>2515</v>
      </c>
      <c r="B48" s="5" t="s">
        <v>2501</v>
      </c>
      <c r="C48" s="5" t="s">
        <v>2516</v>
      </c>
      <c r="D48" s="5" t="s">
        <v>2517</v>
      </c>
      <c r="E48" s="5" t="n">
        <v>8</v>
      </c>
      <c r="F48" s="5" t="s">
        <v>751</v>
      </c>
      <c r="G48" s="5" t="s">
        <v>2348</v>
      </c>
      <c r="H48" s="5"/>
      <c r="I48" s="5" t="s">
        <v>720</v>
      </c>
    </row>
    <row r="49" customFormat="false" ht="23.85" hidden="false" customHeight="false" outlineLevel="0" collapsed="false">
      <c r="A49" s="5" t="s">
        <v>2518</v>
      </c>
      <c r="B49" s="5" t="s">
        <v>2501</v>
      </c>
      <c r="C49" s="5" t="s">
        <v>2519</v>
      </c>
      <c r="D49" s="5" t="s">
        <v>2520</v>
      </c>
      <c r="E49" s="5" t="n">
        <v>5</v>
      </c>
      <c r="F49" s="5" t="s">
        <v>857</v>
      </c>
      <c r="G49" s="5" t="s">
        <v>2348</v>
      </c>
      <c r="H49" s="5" t="s">
        <v>2521</v>
      </c>
      <c r="I49" s="5" t="s">
        <v>2522</v>
      </c>
    </row>
    <row r="50" customFormat="false" ht="23.85" hidden="false" customHeight="false" outlineLevel="0" collapsed="false">
      <c r="A50" s="5" t="s">
        <v>2523</v>
      </c>
      <c r="B50" s="5" t="s">
        <v>2524</v>
      </c>
      <c r="C50" s="5" t="s">
        <v>2525</v>
      </c>
      <c r="D50" s="5" t="s">
        <v>2526</v>
      </c>
      <c r="E50" s="5" t="n">
        <v>13</v>
      </c>
      <c r="F50" s="5" t="s">
        <v>751</v>
      </c>
      <c r="G50" s="5" t="s">
        <v>2348</v>
      </c>
      <c r="H50" s="5"/>
      <c r="I50" s="5" t="s">
        <v>2527</v>
      </c>
    </row>
    <row r="51" customFormat="false" ht="23.85" hidden="false" customHeight="false" outlineLevel="0" collapsed="false">
      <c r="A51" s="5" t="s">
        <v>2528</v>
      </c>
      <c r="B51" s="5" t="s">
        <v>2524</v>
      </c>
      <c r="C51" s="5" t="s">
        <v>2529</v>
      </c>
      <c r="D51" s="5" t="s">
        <v>2530</v>
      </c>
      <c r="E51" s="5" t="n">
        <v>13</v>
      </c>
      <c r="F51" s="5" t="s">
        <v>751</v>
      </c>
      <c r="G51" s="5" t="s">
        <v>2348</v>
      </c>
      <c r="H51" s="5"/>
      <c r="I51" s="5" t="s">
        <v>2523</v>
      </c>
    </row>
    <row r="52" customFormat="false" ht="35.05" hidden="false" customHeight="false" outlineLevel="0" collapsed="false">
      <c r="A52" s="5" t="s">
        <v>2531</v>
      </c>
      <c r="B52" s="5" t="s">
        <v>2524</v>
      </c>
      <c r="C52" s="5" t="s">
        <v>2532</v>
      </c>
      <c r="D52" s="5" t="s">
        <v>2533</v>
      </c>
      <c r="E52" s="5" t="n">
        <v>13</v>
      </c>
      <c r="F52" s="5" t="s">
        <v>751</v>
      </c>
      <c r="G52" s="5" t="s">
        <v>2348</v>
      </c>
      <c r="H52" s="5" t="s">
        <v>2534</v>
      </c>
      <c r="I52" s="5" t="s">
        <v>2523</v>
      </c>
    </row>
    <row r="53" customFormat="false" ht="23.85" hidden="false" customHeight="false" outlineLevel="0" collapsed="false">
      <c r="A53" s="5" t="s">
        <v>2535</v>
      </c>
      <c r="B53" s="5" t="s">
        <v>2524</v>
      </c>
      <c r="C53" s="5" t="s">
        <v>2536</v>
      </c>
      <c r="D53" s="5" t="s">
        <v>2537</v>
      </c>
      <c r="E53" s="5" t="n">
        <v>13</v>
      </c>
      <c r="F53" s="5" t="s">
        <v>751</v>
      </c>
      <c r="G53" s="5" t="s">
        <v>2348</v>
      </c>
      <c r="H53" s="5" t="s">
        <v>2538</v>
      </c>
      <c r="I53" s="5" t="s">
        <v>2539</v>
      </c>
    </row>
    <row r="54" customFormat="false" ht="35.05" hidden="false" customHeight="false" outlineLevel="0" collapsed="false">
      <c r="A54" s="5" t="s">
        <v>2540</v>
      </c>
      <c r="B54" s="5" t="s">
        <v>2524</v>
      </c>
      <c r="C54" s="5" t="s">
        <v>2541</v>
      </c>
      <c r="D54" s="5" t="s">
        <v>2542</v>
      </c>
      <c r="E54" s="5" t="n">
        <v>8</v>
      </c>
      <c r="F54" s="5" t="s">
        <v>751</v>
      </c>
      <c r="G54" s="5" t="s">
        <v>2329</v>
      </c>
      <c r="H54" s="5" t="s">
        <v>2543</v>
      </c>
      <c r="I54" s="5" t="s">
        <v>2523</v>
      </c>
    </row>
    <row r="55" customFormat="false" ht="46.25" hidden="false" customHeight="false" outlineLevel="0" collapsed="false">
      <c r="A55" s="5" t="s">
        <v>2544</v>
      </c>
      <c r="B55" s="5" t="s">
        <v>2545</v>
      </c>
      <c r="C55" s="5" t="s">
        <v>2546</v>
      </c>
      <c r="D55" s="5" t="s">
        <v>2547</v>
      </c>
      <c r="E55" s="5" t="n">
        <v>13</v>
      </c>
      <c r="F55" s="5" t="s">
        <v>751</v>
      </c>
      <c r="G55" s="5" t="s">
        <v>2358</v>
      </c>
      <c r="H55" s="5" t="s">
        <v>2548</v>
      </c>
      <c r="I55" s="5" t="s">
        <v>2549</v>
      </c>
    </row>
    <row r="56" customFormat="false" ht="35.05" hidden="false" customHeight="false" outlineLevel="0" collapsed="false">
      <c r="A56" s="5" t="s">
        <v>2550</v>
      </c>
      <c r="B56" s="5" t="s">
        <v>2545</v>
      </c>
      <c r="C56" s="5" t="s">
        <v>2551</v>
      </c>
      <c r="D56" s="5" t="s">
        <v>2552</v>
      </c>
      <c r="E56" s="5" t="n">
        <v>8</v>
      </c>
      <c r="F56" s="5" t="s">
        <v>751</v>
      </c>
      <c r="G56" s="5" t="s">
        <v>2358</v>
      </c>
      <c r="H56" s="5" t="s">
        <v>2553</v>
      </c>
      <c r="I56" s="5" t="s">
        <v>2549</v>
      </c>
    </row>
    <row r="57" customFormat="false" ht="35.05" hidden="false" customHeight="false" outlineLevel="0" collapsed="false">
      <c r="A57" s="5" t="s">
        <v>2554</v>
      </c>
      <c r="B57" s="5" t="s">
        <v>2545</v>
      </c>
      <c r="C57" s="5" t="s">
        <v>2555</v>
      </c>
      <c r="D57" s="5" t="s">
        <v>2556</v>
      </c>
      <c r="E57" s="5" t="n">
        <v>8</v>
      </c>
      <c r="F57" s="5" t="s">
        <v>751</v>
      </c>
      <c r="G57" s="5" t="s">
        <v>752</v>
      </c>
      <c r="H57" s="5" t="s">
        <v>2557</v>
      </c>
      <c r="I57" s="5" t="s">
        <v>93</v>
      </c>
    </row>
    <row r="58" customFormat="false" ht="23.85" hidden="false" customHeight="false" outlineLevel="0" collapsed="false">
      <c r="A58" s="5" t="s">
        <v>2558</v>
      </c>
      <c r="B58" s="5" t="s">
        <v>2545</v>
      </c>
      <c r="C58" s="5" t="s">
        <v>2559</v>
      </c>
      <c r="D58" s="5" t="s">
        <v>2560</v>
      </c>
      <c r="E58" s="5" t="n">
        <v>13</v>
      </c>
      <c r="F58" s="5" t="s">
        <v>686</v>
      </c>
      <c r="G58" s="5" t="s">
        <v>2348</v>
      </c>
      <c r="H58" s="5" t="s">
        <v>2561</v>
      </c>
      <c r="I58" s="5" t="s">
        <v>737</v>
      </c>
    </row>
    <row r="59" customFormat="false" ht="46.25" hidden="false" customHeight="false" outlineLevel="0" collapsed="false">
      <c r="A59" s="5" t="s">
        <v>2562</v>
      </c>
      <c r="B59" s="5" t="s">
        <v>2545</v>
      </c>
      <c r="C59" s="5" t="s">
        <v>2563</v>
      </c>
      <c r="D59" s="5" t="s">
        <v>2564</v>
      </c>
      <c r="E59" s="5" t="n">
        <v>8</v>
      </c>
      <c r="F59" s="5" t="s">
        <v>857</v>
      </c>
      <c r="G59" s="5" t="s">
        <v>2318</v>
      </c>
      <c r="H59" s="5" t="s">
        <v>2565</v>
      </c>
      <c r="I59" s="5" t="s">
        <v>2566</v>
      </c>
    </row>
    <row r="60" customFormat="false" ht="23.85" hidden="false" customHeight="false" outlineLevel="0" collapsed="false">
      <c r="A60" s="5" t="s">
        <v>2567</v>
      </c>
      <c r="B60" s="5" t="s">
        <v>2545</v>
      </c>
      <c r="C60" s="5" t="s">
        <v>2568</v>
      </c>
      <c r="D60" s="5" t="s">
        <v>2569</v>
      </c>
      <c r="E60" s="5" t="n">
        <v>5</v>
      </c>
      <c r="F60" s="5" t="s">
        <v>2570</v>
      </c>
      <c r="G60" s="5" t="s">
        <v>2348</v>
      </c>
      <c r="H60" s="5" t="s">
        <v>2571</v>
      </c>
      <c r="I60" s="5" t="s">
        <v>2572</v>
      </c>
    </row>
    <row r="61" customFormat="false" ht="23.85" hidden="false" customHeight="false" outlineLevel="0" collapsed="false">
      <c r="A61" s="5" t="s">
        <v>2573</v>
      </c>
      <c r="B61" s="5" t="s">
        <v>2545</v>
      </c>
      <c r="C61" s="5" t="s">
        <v>2574</v>
      </c>
      <c r="D61" s="5" t="s">
        <v>2575</v>
      </c>
      <c r="E61" s="5" t="n">
        <v>5</v>
      </c>
      <c r="F61" s="5" t="s">
        <v>2576</v>
      </c>
      <c r="G61" s="5" t="s">
        <v>2348</v>
      </c>
      <c r="H61" s="5" t="s">
        <v>2577</v>
      </c>
      <c r="I61" s="5" t="s">
        <v>2578</v>
      </c>
    </row>
    <row r="62" customFormat="false" ht="35.05" hidden="false" customHeight="false" outlineLevel="0" collapsed="false">
      <c r="A62" s="5" t="s">
        <v>2579</v>
      </c>
      <c r="B62" s="5" t="s">
        <v>2580</v>
      </c>
      <c r="C62" s="5" t="s">
        <v>2581</v>
      </c>
      <c r="D62" s="5" t="s">
        <v>2582</v>
      </c>
      <c r="E62" s="5" t="n">
        <v>8</v>
      </c>
      <c r="F62" s="5" t="s">
        <v>686</v>
      </c>
      <c r="G62" s="5" t="s">
        <v>2348</v>
      </c>
      <c r="H62" s="5"/>
      <c r="I62" s="5" t="s">
        <v>2583</v>
      </c>
    </row>
    <row r="63" customFormat="false" ht="23.85" hidden="false" customHeight="false" outlineLevel="0" collapsed="false">
      <c r="A63" s="5" t="s">
        <v>2584</v>
      </c>
      <c r="B63" s="5" t="s">
        <v>2580</v>
      </c>
      <c r="C63" s="5" t="s">
        <v>2585</v>
      </c>
      <c r="D63" s="5" t="s">
        <v>2586</v>
      </c>
      <c r="E63" s="5" t="n">
        <v>8</v>
      </c>
      <c r="F63" s="5" t="s">
        <v>839</v>
      </c>
      <c r="G63" s="5" t="s">
        <v>2348</v>
      </c>
      <c r="H63" s="5" t="s">
        <v>2587</v>
      </c>
      <c r="I63" s="5" t="s">
        <v>2588</v>
      </c>
    </row>
    <row r="64" customFormat="false" ht="23.85" hidden="false" customHeight="false" outlineLevel="0" collapsed="false">
      <c r="A64" s="5" t="s">
        <v>2589</v>
      </c>
      <c r="B64" s="5" t="s">
        <v>2580</v>
      </c>
      <c r="C64" s="5" t="s">
        <v>2590</v>
      </c>
      <c r="D64" s="5" t="s">
        <v>2591</v>
      </c>
      <c r="E64" s="5" t="n">
        <v>8</v>
      </c>
      <c r="F64" s="5" t="s">
        <v>839</v>
      </c>
      <c r="G64" s="5" t="s">
        <v>2348</v>
      </c>
      <c r="H64" s="5" t="s">
        <v>2592</v>
      </c>
      <c r="I64" s="5" t="s">
        <v>2593</v>
      </c>
    </row>
    <row r="65" customFormat="false" ht="23.85" hidden="false" customHeight="false" outlineLevel="0" collapsed="false">
      <c r="A65" s="5" t="s">
        <v>2594</v>
      </c>
      <c r="B65" s="5" t="s">
        <v>2580</v>
      </c>
      <c r="C65" s="5" t="s">
        <v>2595</v>
      </c>
      <c r="D65" s="5" t="s">
        <v>2596</v>
      </c>
      <c r="E65" s="5" t="n">
        <v>3</v>
      </c>
      <c r="F65" s="5" t="s">
        <v>751</v>
      </c>
      <c r="G65" s="5" t="s">
        <v>2358</v>
      </c>
      <c r="H65" s="5" t="s">
        <v>2597</v>
      </c>
      <c r="I65" s="5" t="s">
        <v>2598</v>
      </c>
    </row>
    <row r="66" customFormat="false" ht="23.85" hidden="false" customHeight="false" outlineLevel="0" collapsed="false">
      <c r="A66" s="5" t="s">
        <v>2599</v>
      </c>
      <c r="B66" s="5" t="s">
        <v>2600</v>
      </c>
      <c r="C66" s="5" t="s">
        <v>2601</v>
      </c>
      <c r="D66" s="5" t="s">
        <v>2602</v>
      </c>
      <c r="E66" s="5" t="n">
        <v>13</v>
      </c>
      <c r="F66" s="5" t="s">
        <v>686</v>
      </c>
      <c r="G66" s="5" t="s">
        <v>2348</v>
      </c>
      <c r="H66" s="5"/>
      <c r="I66" s="5" t="s">
        <v>2603</v>
      </c>
    </row>
    <row r="67" customFormat="false" ht="15" hidden="false" customHeight="false" outlineLevel="0" collapsed="false">
      <c r="A67" s="5" t="s">
        <v>2604</v>
      </c>
      <c r="B67" s="5" t="s">
        <v>2600</v>
      </c>
      <c r="C67" s="5" t="s">
        <v>2605</v>
      </c>
      <c r="D67" s="5" t="s">
        <v>2606</v>
      </c>
      <c r="E67" s="5" t="n">
        <v>3</v>
      </c>
      <c r="F67" s="5" t="s">
        <v>686</v>
      </c>
      <c r="G67" s="5" t="s">
        <v>2348</v>
      </c>
      <c r="H67" s="5"/>
      <c r="I67" s="5" t="s">
        <v>2599</v>
      </c>
    </row>
    <row r="68" customFormat="false" ht="23.85" hidden="false" customHeight="false" outlineLevel="0" collapsed="false">
      <c r="A68" s="5" t="s">
        <v>2607</v>
      </c>
      <c r="B68" s="5" t="s">
        <v>2600</v>
      </c>
      <c r="C68" s="5" t="s">
        <v>2608</v>
      </c>
      <c r="D68" s="5" t="s">
        <v>2609</v>
      </c>
      <c r="E68" s="5" t="n">
        <v>8</v>
      </c>
      <c r="F68" s="5" t="s">
        <v>751</v>
      </c>
      <c r="G68" s="5" t="s">
        <v>2348</v>
      </c>
      <c r="H68" s="5" t="s">
        <v>2610</v>
      </c>
      <c r="I68" s="5" t="s">
        <v>2599</v>
      </c>
    </row>
    <row r="69" customFormat="false" ht="23.85" hidden="false" customHeight="false" outlineLevel="0" collapsed="false">
      <c r="A69" s="5" t="s">
        <v>2611</v>
      </c>
      <c r="B69" s="5" t="s">
        <v>2600</v>
      </c>
      <c r="C69" s="5" t="s">
        <v>2612</v>
      </c>
      <c r="D69" s="5" t="s">
        <v>2613</v>
      </c>
      <c r="E69" s="5" t="n">
        <v>8</v>
      </c>
      <c r="F69" s="5" t="s">
        <v>839</v>
      </c>
      <c r="G69" s="5" t="s">
        <v>2348</v>
      </c>
      <c r="H69" s="5"/>
      <c r="I69" s="5" t="s">
        <v>2584</v>
      </c>
    </row>
    <row r="70" customFormat="false" ht="15" hidden="false" customHeight="false" outlineLevel="0" collapsed="false">
      <c r="A70" s="5" t="s">
        <v>2614</v>
      </c>
      <c r="B70" s="5" t="s">
        <v>2600</v>
      </c>
      <c r="C70" s="5" t="s">
        <v>2615</v>
      </c>
      <c r="D70" s="5" t="s">
        <v>2616</v>
      </c>
      <c r="E70" s="5" t="n">
        <v>5</v>
      </c>
      <c r="F70" s="5" t="s">
        <v>686</v>
      </c>
      <c r="G70" s="5" t="s">
        <v>2348</v>
      </c>
      <c r="H70" s="5"/>
      <c r="I70" s="5" t="s">
        <v>2611</v>
      </c>
    </row>
    <row r="71" customFormat="false" ht="15" hidden="false" customHeight="false" outlineLevel="0" collapsed="false">
      <c r="A71" s="5" t="s">
        <v>2617</v>
      </c>
      <c r="B71" s="5" t="s">
        <v>2600</v>
      </c>
      <c r="C71" s="5" t="s">
        <v>2618</v>
      </c>
      <c r="D71" s="5" t="s">
        <v>2619</v>
      </c>
      <c r="E71" s="5" t="n">
        <v>3</v>
      </c>
      <c r="F71" s="5" t="s">
        <v>686</v>
      </c>
      <c r="G71" s="5" t="s">
        <v>2348</v>
      </c>
      <c r="H71" s="5"/>
      <c r="I71" s="5" t="s">
        <v>2620</v>
      </c>
    </row>
    <row r="72" customFormat="false" ht="15" hidden="false" customHeight="false" outlineLevel="0" collapsed="false">
      <c r="A72" s="19" t="s">
        <v>2621</v>
      </c>
    </row>
    <row r="73" customFormat="false" ht="15" hidden="false" customHeight="false" outlineLevel="0" collapsed="false">
      <c r="A73" s="18" t="s">
        <v>86</v>
      </c>
      <c r="B73" s="18" t="s">
        <v>1507</v>
      </c>
      <c r="C73" s="18" t="s">
        <v>2312</v>
      </c>
      <c r="D73" s="18" t="s">
        <v>752</v>
      </c>
      <c r="E73" s="18" t="s">
        <v>2358</v>
      </c>
      <c r="F73" s="18" t="s">
        <v>2318</v>
      </c>
      <c r="G73" s="18" t="s">
        <v>2329</v>
      </c>
      <c r="H73" s="18" t="s">
        <v>2348</v>
      </c>
      <c r="I73" s="18" t="s">
        <v>2622</v>
      </c>
    </row>
    <row r="74" customFormat="false" ht="15" hidden="false" customHeight="false" outlineLevel="0" collapsed="false">
      <c r="A74" s="5" t="s">
        <v>611</v>
      </c>
      <c r="B74" s="5" t="n">
        <f aca="false">COUNTIF($B$4:$B$71,$A74)</f>
        <v>8</v>
      </c>
      <c r="C74" s="5" t="n">
        <f aca="false">SUMIF($B$4:$B$71,$A74,$E$4:$E$71)</f>
        <v>0</v>
      </c>
      <c r="D74" s="5" t="n">
        <f aca="false">COUNTIFS($B$4:$B$71,$A74,$G$4:$G$71,"Done")</f>
        <v>0</v>
      </c>
      <c r="E74" s="5" t="n">
        <f aca="false">COUNTIFS($B$4:$B$71,$A74,$G$4:$G$71,"Code-complete (unproven)")</f>
        <v>0</v>
      </c>
      <c r="F74" s="5" t="n">
        <f aca="false">COUNTIFS($B$4:$B$71,$A74,$G$4:$G$71,"Partial")</f>
        <v>2</v>
      </c>
      <c r="G74" s="5" t="n">
        <f aca="false">COUNTIFS($B$4:$B$71,$A74,$G$4:$G$71,"Not started")</f>
        <v>5</v>
      </c>
      <c r="H74" s="5" t="n">
        <f aca="false">COUNTIFS($B$4:$B$71,$A74,$G$4:$G$71,"Blocked")</f>
        <v>1</v>
      </c>
      <c r="I74" s="5" t="n">
        <f aca="false">SUMIFS($E$4:$E$71,$B$4:$B$71,$A74,$G$4:$G$71,"Done")+SUMIFS($E$4:$E$71,$B$4:$B$71,$A74,$G$4:$G$71,"Code-complete (unproven)")</f>
        <v>0</v>
      </c>
    </row>
    <row r="75" customFormat="false" ht="15" hidden="false" customHeight="false" outlineLevel="0" collapsed="false">
      <c r="A75" s="5" t="s">
        <v>621</v>
      </c>
      <c r="B75" s="5" t="n">
        <f aca="false">COUNTIF($B$4:$B$71,$A75)</f>
        <v>8</v>
      </c>
      <c r="C75" s="5" t="n">
        <f aca="false">SUMIF($B$4:$B$71,$A75,$E$4:$E$71)</f>
        <v>34</v>
      </c>
      <c r="D75" s="5" t="n">
        <f aca="false">COUNTIFS($B$4:$B$71,$A75,$G$4:$G$71,"Done")</f>
        <v>3</v>
      </c>
      <c r="E75" s="5" t="n">
        <f aca="false">COUNTIFS($B$4:$B$71,$A75,$G$4:$G$71,"Code-complete (unproven)")</f>
        <v>5</v>
      </c>
      <c r="F75" s="5" t="n">
        <f aca="false">COUNTIFS($B$4:$B$71,$A75,$G$4:$G$71,"Partial")</f>
        <v>0</v>
      </c>
      <c r="G75" s="5" t="n">
        <f aca="false">COUNTIFS($B$4:$B$71,$A75,$G$4:$G$71,"Not started")</f>
        <v>0</v>
      </c>
      <c r="H75" s="5" t="n">
        <f aca="false">COUNTIFS($B$4:$B$71,$A75,$G$4:$G$71,"Blocked")</f>
        <v>0</v>
      </c>
      <c r="I75" s="5" t="n">
        <f aca="false">SUMIFS($E$4:$E$71,$B$4:$B$71,$A75,$G$4:$G$71,"Done")+SUMIFS($E$4:$E$71,$B$4:$B$71,$A75,$G$4:$G$71,"Code-complete (unproven)")</f>
        <v>34</v>
      </c>
    </row>
    <row r="76" customFormat="false" ht="15" hidden="false" customHeight="false" outlineLevel="0" collapsed="false">
      <c r="A76" s="5" t="s">
        <v>665</v>
      </c>
      <c r="B76" s="5" t="n">
        <f aca="false">COUNTIF($B$4:$B$71,$A76)</f>
        <v>6</v>
      </c>
      <c r="C76" s="5" t="n">
        <f aca="false">SUMIF($B$4:$B$71,$A76,$E$4:$E$71)</f>
        <v>42</v>
      </c>
      <c r="D76" s="5" t="n">
        <f aca="false">COUNTIFS($B$4:$B$71,$A76,$G$4:$G$71,"Done")</f>
        <v>0</v>
      </c>
      <c r="E76" s="5" t="n">
        <f aca="false">COUNTIFS($B$4:$B$71,$A76,$G$4:$G$71,"Code-complete (unproven)")</f>
        <v>1</v>
      </c>
      <c r="F76" s="5" t="n">
        <f aca="false">COUNTIFS($B$4:$B$71,$A76,$G$4:$G$71,"Partial")</f>
        <v>0</v>
      </c>
      <c r="G76" s="5" t="n">
        <f aca="false">COUNTIFS($B$4:$B$71,$A76,$G$4:$G$71,"Not started")</f>
        <v>0</v>
      </c>
      <c r="H76" s="5" t="n">
        <f aca="false">COUNTIFS($B$4:$B$71,$A76,$G$4:$G$71,"Blocked")</f>
        <v>5</v>
      </c>
      <c r="I76" s="5" t="n">
        <f aca="false">SUMIFS($E$4:$E$71,$B$4:$B$71,$A76,$G$4:$G$71,"Done")+SUMIFS($E$4:$E$71,$B$4:$B$71,$A76,$G$4:$G$71,"Code-complete (unproven)")</f>
        <v>5</v>
      </c>
    </row>
    <row r="77" customFormat="false" ht="15" hidden="false" customHeight="false" outlineLevel="0" collapsed="false">
      <c r="A77" s="5" t="s">
        <v>2417</v>
      </c>
      <c r="B77" s="5" t="n">
        <f aca="false">COUNTIF($B$4:$B$71,$A77)</f>
        <v>4</v>
      </c>
      <c r="C77" s="5" t="n">
        <f aca="false">SUMIF($B$4:$B$71,$A77,$E$4:$E$71)</f>
        <v>34</v>
      </c>
      <c r="D77" s="5" t="n">
        <f aca="false">COUNTIFS($B$4:$B$71,$A77,$G$4:$G$71,"Done")</f>
        <v>0</v>
      </c>
      <c r="E77" s="5" t="n">
        <f aca="false">COUNTIFS($B$4:$B$71,$A77,$G$4:$G$71,"Code-complete (unproven)")</f>
        <v>1</v>
      </c>
      <c r="F77" s="5" t="n">
        <f aca="false">COUNTIFS($B$4:$B$71,$A77,$G$4:$G$71,"Partial")</f>
        <v>0</v>
      </c>
      <c r="G77" s="5" t="n">
        <f aca="false">COUNTIFS($B$4:$B$71,$A77,$G$4:$G$71,"Not started")</f>
        <v>1</v>
      </c>
      <c r="H77" s="5" t="n">
        <f aca="false">COUNTIFS($B$4:$B$71,$A77,$G$4:$G$71,"Blocked")</f>
        <v>2</v>
      </c>
      <c r="I77" s="5" t="n">
        <f aca="false">SUMIFS($E$4:$E$71,$B$4:$B$71,$A77,$G$4:$G$71,"Done")+SUMIFS($E$4:$E$71,$B$4:$B$71,$A77,$G$4:$G$71,"Code-complete (unproven)")</f>
        <v>8</v>
      </c>
    </row>
    <row r="78" customFormat="false" ht="15" hidden="false" customHeight="false" outlineLevel="0" collapsed="false">
      <c r="A78" s="5" t="s">
        <v>2436</v>
      </c>
      <c r="B78" s="5" t="n">
        <f aca="false">COUNTIF($B$4:$B$71,$A78)</f>
        <v>6</v>
      </c>
      <c r="C78" s="5" t="n">
        <f aca="false">SUMIF($B$4:$B$71,$A78,$E$4:$E$71)</f>
        <v>76</v>
      </c>
      <c r="D78" s="5" t="n">
        <f aca="false">COUNTIFS($B$4:$B$71,$A78,$G$4:$G$71,"Done")</f>
        <v>0</v>
      </c>
      <c r="E78" s="5" t="n">
        <f aca="false">COUNTIFS($B$4:$B$71,$A78,$G$4:$G$71,"Code-complete (unproven)")</f>
        <v>0</v>
      </c>
      <c r="F78" s="5" t="n">
        <f aca="false">COUNTIFS($B$4:$B$71,$A78,$G$4:$G$71,"Partial")</f>
        <v>0</v>
      </c>
      <c r="G78" s="5" t="n">
        <f aca="false">COUNTIFS($B$4:$B$71,$A78,$G$4:$G$71,"Not started")</f>
        <v>0</v>
      </c>
      <c r="H78" s="5" t="n">
        <f aca="false">COUNTIFS($B$4:$B$71,$A78,$G$4:$G$71,"Blocked")</f>
        <v>6</v>
      </c>
      <c r="I78" s="5" t="n">
        <f aca="false">SUMIFS($E$4:$E$71,$B$4:$B$71,$A78,$G$4:$G$71,"Done")+SUMIFS($E$4:$E$71,$B$4:$B$71,$A78,$G$4:$G$71,"Code-complete (unproven)")</f>
        <v>0</v>
      </c>
    </row>
    <row r="79" customFormat="false" ht="15" hidden="false" customHeight="false" outlineLevel="0" collapsed="false">
      <c r="A79" s="5" t="s">
        <v>2462</v>
      </c>
      <c r="B79" s="5" t="n">
        <f aca="false">COUNTIF($B$4:$B$71,$A79)</f>
        <v>8</v>
      </c>
      <c r="C79" s="5" t="n">
        <f aca="false">SUMIF($B$4:$B$71,$A79,$E$4:$E$71)</f>
        <v>68</v>
      </c>
      <c r="D79" s="5" t="n">
        <f aca="false">COUNTIFS($B$4:$B$71,$A79,$G$4:$G$71,"Done")</f>
        <v>1</v>
      </c>
      <c r="E79" s="5" t="n">
        <f aca="false">COUNTIFS($B$4:$B$71,$A79,$G$4:$G$71,"Code-complete (unproven)")</f>
        <v>5</v>
      </c>
      <c r="F79" s="5" t="n">
        <f aca="false">COUNTIFS($B$4:$B$71,$A79,$G$4:$G$71,"Partial")</f>
        <v>2</v>
      </c>
      <c r="G79" s="5" t="n">
        <f aca="false">COUNTIFS($B$4:$B$71,$A79,$G$4:$G$71,"Not started")</f>
        <v>0</v>
      </c>
      <c r="H79" s="5" t="n">
        <f aca="false">COUNTIFS($B$4:$B$71,$A79,$G$4:$G$71,"Blocked")</f>
        <v>0</v>
      </c>
      <c r="I79" s="5" t="n">
        <f aca="false">SUMIFS($E$4:$E$71,$B$4:$B$71,$A79,$G$4:$G$71,"Done")+SUMIFS($E$4:$E$71,$B$4:$B$71,$A79,$G$4:$G$71,"Code-complete (unproven)")</f>
        <v>42</v>
      </c>
    </row>
    <row r="80" customFormat="false" ht="15" hidden="false" customHeight="false" outlineLevel="0" collapsed="false">
      <c r="A80" s="5" t="s">
        <v>2501</v>
      </c>
      <c r="B80" s="5" t="n">
        <f aca="false">COUNTIF($B$4:$B$71,$A80)</f>
        <v>6</v>
      </c>
      <c r="C80" s="5" t="n">
        <f aca="false">SUMIF($B$4:$B$71,$A80,$E$4:$E$71)</f>
        <v>63</v>
      </c>
      <c r="D80" s="5" t="n">
        <f aca="false">COUNTIFS($B$4:$B$71,$A80,$G$4:$G$71,"Done")</f>
        <v>0</v>
      </c>
      <c r="E80" s="5" t="n">
        <f aca="false">COUNTIFS($B$4:$B$71,$A80,$G$4:$G$71,"Code-complete (unproven)")</f>
        <v>0</v>
      </c>
      <c r="F80" s="5" t="n">
        <f aca="false">COUNTIFS($B$4:$B$71,$A80,$G$4:$G$71,"Partial")</f>
        <v>0</v>
      </c>
      <c r="G80" s="5" t="n">
        <f aca="false">COUNTIFS($B$4:$B$71,$A80,$G$4:$G$71,"Not started")</f>
        <v>0</v>
      </c>
      <c r="H80" s="5" t="n">
        <f aca="false">COUNTIFS($B$4:$B$71,$A80,$G$4:$G$71,"Blocked")</f>
        <v>6</v>
      </c>
      <c r="I80" s="5" t="n">
        <f aca="false">SUMIFS($E$4:$E$71,$B$4:$B$71,$A80,$G$4:$G$71,"Done")+SUMIFS($E$4:$E$71,$B$4:$B$71,$A80,$G$4:$G$71,"Code-complete (unproven)")</f>
        <v>0</v>
      </c>
    </row>
    <row r="81" customFormat="false" ht="15" hidden="false" customHeight="false" outlineLevel="0" collapsed="false">
      <c r="A81" s="5" t="s">
        <v>2524</v>
      </c>
      <c r="B81" s="5" t="n">
        <f aca="false">COUNTIF($B$4:$B$71,$A81)</f>
        <v>5</v>
      </c>
      <c r="C81" s="5" t="n">
        <f aca="false">SUMIF($B$4:$B$71,$A81,$E$4:$E$71)</f>
        <v>60</v>
      </c>
      <c r="D81" s="5" t="n">
        <f aca="false">COUNTIFS($B$4:$B$71,$A81,$G$4:$G$71,"Done")</f>
        <v>0</v>
      </c>
      <c r="E81" s="5" t="n">
        <f aca="false">COUNTIFS($B$4:$B$71,$A81,$G$4:$G$71,"Code-complete (unproven)")</f>
        <v>0</v>
      </c>
      <c r="F81" s="5" t="n">
        <f aca="false">COUNTIFS($B$4:$B$71,$A81,$G$4:$G$71,"Partial")</f>
        <v>0</v>
      </c>
      <c r="G81" s="5" t="n">
        <f aca="false">COUNTIFS($B$4:$B$71,$A81,$G$4:$G$71,"Not started")</f>
        <v>1</v>
      </c>
      <c r="H81" s="5" t="n">
        <f aca="false">COUNTIFS($B$4:$B$71,$A81,$G$4:$G$71,"Blocked")</f>
        <v>4</v>
      </c>
      <c r="I81" s="5" t="n">
        <f aca="false">SUMIFS($E$4:$E$71,$B$4:$B$71,$A81,$G$4:$G$71,"Done")+SUMIFS($E$4:$E$71,$B$4:$B$71,$A81,$G$4:$G$71,"Code-complete (unproven)")</f>
        <v>0</v>
      </c>
    </row>
    <row r="82" customFormat="false" ht="15" hidden="false" customHeight="false" outlineLevel="0" collapsed="false">
      <c r="A82" s="5" t="s">
        <v>2545</v>
      </c>
      <c r="B82" s="5" t="n">
        <f aca="false">COUNTIF($B$4:$B$71,$A82)</f>
        <v>7</v>
      </c>
      <c r="C82" s="5" t="n">
        <f aca="false">SUMIF($B$4:$B$71,$A82,$E$4:$E$71)</f>
        <v>60</v>
      </c>
      <c r="D82" s="5" t="n">
        <f aca="false">COUNTIFS($B$4:$B$71,$A82,$G$4:$G$71,"Done")</f>
        <v>1</v>
      </c>
      <c r="E82" s="5" t="n">
        <f aca="false">COUNTIFS($B$4:$B$71,$A82,$G$4:$G$71,"Code-complete (unproven)")</f>
        <v>2</v>
      </c>
      <c r="F82" s="5" t="n">
        <f aca="false">COUNTIFS($B$4:$B$71,$A82,$G$4:$G$71,"Partial")</f>
        <v>1</v>
      </c>
      <c r="G82" s="5" t="n">
        <f aca="false">COUNTIFS($B$4:$B$71,$A82,$G$4:$G$71,"Not started")</f>
        <v>0</v>
      </c>
      <c r="H82" s="5" t="n">
        <f aca="false">COUNTIFS($B$4:$B$71,$A82,$G$4:$G$71,"Blocked")</f>
        <v>3</v>
      </c>
      <c r="I82" s="5" t="n">
        <f aca="false">SUMIFS($E$4:$E$71,$B$4:$B$71,$A82,$G$4:$G$71,"Done")+SUMIFS($E$4:$E$71,$B$4:$B$71,$A82,$G$4:$G$71,"Code-complete (unproven)")</f>
        <v>29</v>
      </c>
    </row>
    <row r="83" customFormat="false" ht="15" hidden="false" customHeight="false" outlineLevel="0" collapsed="false">
      <c r="A83" s="5" t="s">
        <v>2580</v>
      </c>
      <c r="B83" s="5" t="n">
        <f aca="false">COUNTIF($B$4:$B$71,$A83)</f>
        <v>4</v>
      </c>
      <c r="C83" s="5" t="n">
        <f aca="false">SUMIF($B$4:$B$71,$A83,$E$4:$E$71)</f>
        <v>27</v>
      </c>
      <c r="D83" s="5" t="n">
        <f aca="false">COUNTIFS($B$4:$B$71,$A83,$G$4:$G$71,"Done")</f>
        <v>0</v>
      </c>
      <c r="E83" s="5" t="n">
        <f aca="false">COUNTIFS($B$4:$B$71,$A83,$G$4:$G$71,"Code-complete (unproven)")</f>
        <v>1</v>
      </c>
      <c r="F83" s="5" t="n">
        <f aca="false">COUNTIFS($B$4:$B$71,$A83,$G$4:$G$71,"Partial")</f>
        <v>0</v>
      </c>
      <c r="G83" s="5" t="n">
        <f aca="false">COUNTIFS($B$4:$B$71,$A83,$G$4:$G$71,"Not started")</f>
        <v>0</v>
      </c>
      <c r="H83" s="5" t="n">
        <f aca="false">COUNTIFS($B$4:$B$71,$A83,$G$4:$G$71,"Blocked")</f>
        <v>3</v>
      </c>
      <c r="I83" s="5" t="n">
        <f aca="false">SUMIFS($E$4:$E$71,$B$4:$B$71,$A83,$G$4:$G$71,"Done")+SUMIFS($E$4:$E$71,$B$4:$B$71,$A83,$G$4:$G$71,"Code-complete (unproven)")</f>
        <v>3</v>
      </c>
    </row>
    <row r="84" customFormat="false" ht="15" hidden="false" customHeight="false" outlineLevel="0" collapsed="false">
      <c r="A84" s="5" t="s">
        <v>2600</v>
      </c>
      <c r="B84" s="5" t="n">
        <f aca="false">COUNTIF($B$4:$B$71,$A84)</f>
        <v>6</v>
      </c>
      <c r="C84" s="5" t="n">
        <f aca="false">SUMIF($B$4:$B$71,$A84,$E$4:$E$71)</f>
        <v>40</v>
      </c>
      <c r="D84" s="5" t="n">
        <f aca="false">COUNTIFS($B$4:$B$71,$A84,$G$4:$G$71,"Done")</f>
        <v>0</v>
      </c>
      <c r="E84" s="5" t="n">
        <f aca="false">COUNTIFS($B$4:$B$71,$A84,$G$4:$G$71,"Code-complete (unproven)")</f>
        <v>0</v>
      </c>
      <c r="F84" s="5" t="n">
        <f aca="false">COUNTIFS($B$4:$B$71,$A84,$G$4:$G$71,"Partial")</f>
        <v>0</v>
      </c>
      <c r="G84" s="5" t="n">
        <f aca="false">COUNTIFS($B$4:$B$71,$A84,$G$4:$G$71,"Not started")</f>
        <v>0</v>
      </c>
      <c r="H84" s="5" t="n">
        <f aca="false">COUNTIFS($B$4:$B$71,$A84,$G$4:$G$71,"Blocked")</f>
        <v>6</v>
      </c>
      <c r="I84" s="5" t="n">
        <f aca="false">SUMIFS($E$4:$E$71,$B$4:$B$71,$A84,$G$4:$G$71,"Done")+SUMIFS($E$4:$E$71,$B$4:$B$71,$A84,$G$4:$G$71,"Code-complete (unproven)")</f>
        <v>0</v>
      </c>
    </row>
    <row r="85" customFormat="false" ht="15" hidden="false" customHeight="false" outlineLevel="0" collapsed="false">
      <c r="A85" s="12" t="s">
        <v>1546</v>
      </c>
      <c r="B85" s="12" t="n">
        <f aca="false">SUM(B74:B84)</f>
        <v>68</v>
      </c>
      <c r="C85" s="12" t="n">
        <f aca="false">SUM(C74:C84)</f>
        <v>504</v>
      </c>
      <c r="D85" s="12" t="n">
        <f aca="false">SUM(D74:D84)</f>
        <v>5</v>
      </c>
      <c r="E85" s="12" t="n">
        <f aca="false">SUM(E74:E84)</f>
        <v>15</v>
      </c>
      <c r="F85" s="12" t="n">
        <f aca="false">SUM(F74:F84)</f>
        <v>5</v>
      </c>
      <c r="G85" s="12" t="n">
        <f aca="false">SUM(G74:G84)</f>
        <v>7</v>
      </c>
      <c r="H85" s="12" t="n">
        <f aca="false">SUM(H74:H84)</f>
        <v>36</v>
      </c>
      <c r="I85" s="12" t="n">
        <f aca="false">SUM(I74:I84)</f>
        <v>121</v>
      </c>
    </row>
    <row r="86" customFormat="false" ht="30" hidden="false" customHeight="true" outlineLevel="0" collapsed="false">
      <c r="A86" s="20" t="s">
        <v>2623</v>
      </c>
      <c r="B86" s="20"/>
      <c r="C86" s="20"/>
      <c r="D86" s="20"/>
      <c r="E86" s="20"/>
      <c r="F86" s="20"/>
      <c r="G86" s="20"/>
      <c r="H86" s="20"/>
      <c r="I86" s="20"/>
    </row>
  </sheetData>
  <mergeCells count="2">
    <mergeCell ref="A2:I2"/>
    <mergeCell ref="A86:I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2026-09-10T22:14:40Z</dcterms:created>
  <dc:creator>openpyxl</dc:creator>
  <dc:description/>
  <dc:language>en-US</dc:language>
  <cp:lastModifiedBy/>
  <dcterms:modified xsi:type="dcterms:W3CDTF">2026-09-20T11:11:29Z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