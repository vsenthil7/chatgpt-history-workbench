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sion_Control" sheetId="1" state="visible" r:id="rId1"/>
    <sheet xmlns:r="http://schemas.openxmlformats.org/officeDocument/2006/relationships" name="Sprint_Tracker_Log" sheetId="2" state="visible" r:id="rId2"/>
    <sheet xmlns:r="http://schemas.openxmlformats.org/officeDocument/2006/relationships" name="PR_Sprint_Plan" sheetId="3" state="visible" r:id="rId3"/>
    <sheet xmlns:r="http://schemas.openxmlformats.org/officeDocument/2006/relationships" name="PRX_Findings_Closure" sheetId="4" state="visible" r:id="rId4"/>
    <sheet xmlns:r="http://schemas.openxmlformats.org/officeDocument/2006/relationships" name="Corrections_C1_C7" sheetId="5" state="visible" r:id="rId5"/>
    <sheet xmlns:r="http://schemas.openxmlformats.org/officeDocument/2006/relationships" name="Decisions" sheetId="6" state="visible" r:id="rId6"/>
    <sheet xmlns:r="http://schemas.openxmlformats.org/officeDocument/2006/relationships" name="S1_S8_Build_Board" sheetId="7" state="visible" r:id="rId7"/>
    <sheet xmlns:r="http://schemas.openxmlformats.org/officeDocument/2006/relationships" name="Traceability_Matrix" sheetId="8" state="visible" r:id="rId8"/>
    <sheet xmlns:r="http://schemas.openxmlformats.org/officeDocument/2006/relationships" name="Sprint_Status_Rollup" sheetId="9" state="visible" r:id="rId9"/>
    <sheet xmlns:r="http://schemas.openxmlformats.org/officeDocument/2006/relationships" name="RAID_Carryover" sheetId="10" state="visible" r:id="rId10"/>
    <sheet xmlns:r="http://schemas.openxmlformats.org/officeDocument/2006/relationships" name="Gate_Checklist" sheetId="11" state="visible" r:id="rId11"/>
    <sheet xmlns:r="http://schemas.openxmlformats.org/officeDocument/2006/relationships" name="Code_Inventory"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7">
    <fill>
      <patternFill/>
    </fill>
    <fill>
      <patternFill patternType="gray125"/>
    </fill>
    <fill>
      <patternFill patternType="solid">
        <fgColor rgb="FFD9D9D9"/>
      </patternFill>
    </fill>
    <fill>
      <patternFill patternType="solid">
        <fgColor rgb="FFE7F0F8"/>
      </patternFill>
    </fill>
    <fill>
      <patternFill patternType="solid">
        <fgColor rgb="FFE2EFDA"/>
      </patternFill>
    </fill>
    <fill>
      <patternFill patternType="solid">
        <fgColor rgb="FFFCE4EC"/>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9"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pane ySplit="3" topLeftCell="A4" activePane="bottomLeft" state="frozen"/>
      <selection pane="bottomLeft" activeCell="A1" sqref="A1"/>
    </sheetView>
  </sheetViews>
  <sheetFormatPr baseColWidth="8" defaultRowHeight="15" outlineLevelCol="0"/>
  <cols>
    <col width="9" customWidth="1" min="1" max="1"/>
    <col width="17" customWidth="1" min="2" max="2"/>
    <col width="20" customWidth="1" min="3" max="3"/>
    <col width="150" customWidth="1" min="4" max="4"/>
    <col width="11" customWidth="1" min="5" max="5"/>
  </cols>
  <sheetData>
    <row r="1">
      <c r="A1" s="1" t="inlineStr">
        <is>
          <t>VERSION CONTROL — TestPulse Sprint Tracker &amp; Traceability</t>
        </is>
      </c>
    </row>
    <row r="2">
      <c r="A2" s="2" t="inlineStr">
        <is>
          <t>File naming: claude_v&lt;NNN&gt;_&lt;proper file name&gt;_YYYYMMDD_HHMI.xlsx. Companion: workbook v035 + handover v003 released same timestamp.</t>
        </is>
      </c>
    </row>
    <row r="3">
      <c r="A3" s="3" t="inlineStr">
        <is>
          <t>Version</t>
        </is>
      </c>
      <c r="B3" s="3" t="inlineStr">
        <is>
          <t>Date/Time</t>
        </is>
      </c>
      <c r="C3" s="3" t="inlineStr">
        <is>
          <t>Author</t>
        </is>
      </c>
      <c r="D3" s="3" t="inlineStr">
        <is>
          <t>Change Description</t>
        </is>
      </c>
      <c r="E3" s="3" t="inlineStr">
        <is>
          <t>Status</t>
        </is>
      </c>
    </row>
    <row r="4">
      <c r="A4" s="4" t="inlineStr">
        <is>
          <t>v001</t>
        </is>
      </c>
      <c r="B4" s="4" t="inlineStr">
        <is>
          <t>2026-09-10 22:58</t>
        </is>
      </c>
      <c r="C4" s="4" t="inlineStr">
        <is>
          <t>Claude for Senthil/KP</t>
        </is>
      </c>
      <c r="D4" s="4" t="inlineStr">
        <is>
          <t>THIS FILE — Live execution tracker for TestPulse (P03, Atlassian Marketplace), opened on Senthil's 22:58 'continue work as per sprint' instruction. S1-S8 code scope executed done-in-code under D13: TypeScript core, 16 Jest suites / 105 tests at 100% branches/functions/lines/statements, CI gate + E2E smoke. 71 stories Done, 7 code-complete pending live Forge/billing, 22 backlog (pen-test, onboarding content, listing/GTM).</t>
        </is>
      </c>
      <c r="E4" s="4" t="inlineStr">
        <is>
          <t>Released</t>
        </is>
      </c>
    </row>
    <row r="5">
      <c r="A5" s="4" t="inlineStr">
        <is>
          <t>v002</t>
        </is>
      </c>
      <c r="B5" s="4" t="inlineStr">
        <is>
          <t>2026-09-10 23:13</t>
        </is>
      </c>
      <c r="C5" s="4" t="inlineStr">
        <is>
          <t>Claude for Senthil/KP</t>
        </is>
      </c>
      <c r="D5" s="4" t="inlineStr">
        <is>
          <t>S9-S12 executable scope done on 23:13 'continue': E8 onboarding/helpcenter/support/review-ask/demo-mode, EQ latency budgets+p95/load test EXECUTED (5,238 rps, 0 errors)/backup drill/chaos degrade/status page, EL listing copy A+B/pricing FAQ/trust page/runbook/dry-run/asset+WCAG specs, AnthropicProvider wired behind AI seam (clears R-P6 in code). 21 suites / 129 tests / 100x4. Now 80 Done / 15 code-complete / 5 backlog (379/399 pts).</t>
        </is>
      </c>
      <c r="E5" s="4" t="inlineStr">
        <is>
          <t>Released</t>
        </is>
      </c>
    </row>
    <row r="6">
      <c r="A6" s="4" t="inlineStr">
        <is>
          <t>v003</t>
        </is>
      </c>
      <c r="B6" s="4" t="inlineStr">
        <is>
          <t>2026-09-11 08:31</t>
        </is>
      </c>
      <c r="C6" s="4" t="inlineStr">
        <is>
          <t>Claude for Senthil/KP</t>
        </is>
      </c>
      <c r="D6" s="4" t="inlineStr">
        <is>
          <t>LC-1 made TURNKEY on 08:31 'continue': ForgeStore hosted-storage adapter shipped+tested behind Store seam (closes R-P4 in code), forge/manifest.yml paste-ready, 30-min deploy guide with Senthil steps marked. Owed docs closed: LC-2 review pack, LC-3 Cloud Fortified gap assessment (formal, no structural gaps), LC-4 residency statement, S0 PRD rollup (A-P1). 22 suites / 132 tests / 100% x4. Story counts unchanged (80/15/5) — remaining flips all need Senthil-side live actions.</t>
        </is>
      </c>
      <c r="E6" s="4" t="inlineStr">
        <is>
          <t>Released</t>
        </is>
      </c>
    </row>
    <row r="7">
      <c r="A7" s="4" t="inlineStr">
        <is>
          <t>v004</t>
        </is>
      </c>
      <c r="B7" s="4" t="inlineStr">
        <is>
          <t>2026-09-11 12:51</t>
        </is>
      </c>
      <c r="C7" s="4" t="inlineStr">
        <is>
          <t>Claude for Senthil/KP</t>
        </is>
      </c>
      <c r="D7" s="4" t="inlineStr">
        <is>
          <t>12:51 'continue' — deploy-glue + LC-5 de-risking: src/forgeGlue.ts ships the actual Forge resolver+webtrigger handlers (hydrate-&gt;dispatch-&gt;flush, permission guard, 6 suites incl. cross-invocation KVS persistence) — deploy-guide step 5 is now zero-code; importer hardened for real export shapes (RFC-4180 quotes/newlines, Xray Test Case Exporter multi-step aggregation, Zephyr Scale variant, ragged rows). Coverage regression caught mid-pass (99.87%) and closed. 23 suites / 146 tests / 100% x4. Counts unchanged 80/15/5.</t>
        </is>
      </c>
      <c r="E7" s="4" t="inlineStr">
        <is>
          <t>Released</t>
        </is>
      </c>
    </row>
    <row r="8">
      <c r="A8" s="4" t="inlineStr">
        <is>
          <t>v005</t>
        </is>
      </c>
      <c r="B8" s="4" t="inlineStr">
        <is>
          <t>2026-09-11 13:32</t>
        </is>
      </c>
      <c r="C8" s="4" t="inlineStr">
        <is>
          <t>Claude for Senthil/KP</t>
        </is>
      </c>
      <c r="D8" s="4" t="inlineStr">
        <is>
          <t>13:32 'continue' — CUSTOM UI LAYER SHIPPED: view-models + escape-safe HTML renderers + bridge-injected mountPanel (src/ui/*, 15 tests incl. jsdom DOM assertions), compiled static/build/app.js bundle, Forge index.html with bridge hook, demo.html with canned data VERIFIED HEADLESS (banner/checklist/cases/board bar/quarantine/readiness dial all render). Manifest's static resource now exists. Screenshot capture available pre-LC-1 via demo.html. 25 suites / 161 tests / 100% x4. Counts unchanged 80/15/5; panel-story evidence upgraded to full-stack.</t>
        </is>
      </c>
      <c r="E8" s="4" t="inlineStr">
        <is>
          <t>Released</t>
        </is>
      </c>
    </row>
    <row r="9">
      <c r="A9" s="4" t="inlineStr">
        <is>
          <t>v006</t>
        </is>
      </c>
      <c r="B9" s="4" t="inlineStr">
        <is>
          <t>2026-09-11 15:27</t>
        </is>
      </c>
      <c r="C9" s="4" t="inlineStr">
        <is>
          <t>Claude for Senthil/KP</t>
        </is>
      </c>
      <c r="D9" s="4" t="inlineStr">
        <is>
          <t>15:27 'continue' — EXTERNAL VERIFICATION SWEEP against live Atlassian docs: (1) R-P5 CLOSED — Forge officially does NOT authenticate webtrigger URLs, own-auth-in-handler is the prescribed pattern, so our HMAC design is correct-by-design; webtrigger needs urlFormat v2 + dynamic response (statusCode contract already met). (2) Runtime corrected nodejs20.x -&gt; nodejs22.x (Node 20 EOL 2026-04-30). (3) @forge/kvs has no listKeys — kvsAdapter shipped+tested mapping query().where(beginsWith).cursor paging to the seam; entrypoint updated. (4) Marketplace asset spec was WRONG (5x1600x1000 + 2min video) — rewritten to verified Rule-of-3: 1840x900 + 580x330 crops + &lt;=50/220-char text + banner 1120x548 + &lt;30s video. 25 suites / 163 tests / 100% x4.</t>
        </is>
      </c>
      <c r="E9" s="4" t="inlineStr">
        <is>
          <t>Released</t>
        </is>
      </c>
    </row>
    <row r="10">
      <c r="A10" s="4" t="inlineStr">
        <is>
          <t>v007</t>
        </is>
      </c>
      <c r="B10" s="4" t="inlineStr">
        <is>
          <t>2026-09-11 22:09</t>
        </is>
      </c>
      <c r="C10" s="4" t="inlineStr">
        <is>
          <t>Claude for Senthil/KP</t>
        </is>
      </c>
      <c r="D10" s="4" t="inlineStr">
        <is>
          <t>22:09 'continue' — B-17 DE-RISKED + ST-100 KIT: verified Paid-via-Atlassian model (manifest app.licensing.enabled shipped; ATLASSIAN owns purchase/trial/proration/dunning — our billing.ts payment engine honestly marked superseded for the Marketplace channel, seat limits + read-only behavior reused); licensing gate shipped (inactive =&gt; mutating calls read-only, reads never blocked) wired into forgeGlue + tested. Economics cited: Forge revenue 100% to partner up to $1M lifetime (from Jan 2026). PRICING DECISION SURFACED: Atlassian cloud pricing is per-user tiers — flat $99/$299 must be re-anchored (B-17 step 2, Senthil). Design-partner kit shipped (outreach + A1-A4 interview guide + demo script). 26 suites / 167 tests / 100% x4.</t>
        </is>
      </c>
      <c r="E10" s="4" t="inlineStr">
        <is>
          <t>Released</t>
        </is>
      </c>
    </row>
    <row r="11">
      <c r="A11" s="4" t="inlineStr">
        <is>
          <t>v008</t>
        </is>
      </c>
      <c r="B11" s="4" t="inlineStr">
        <is>
          <t>2026-09-11 22:28</t>
        </is>
      </c>
      <c r="C11" s="4" t="inlineStr">
        <is>
          <t>Claude for Senthil/KP</t>
        </is>
      </c>
      <c r="D11" s="4" t="inlineStr">
        <is>
          <t>22:28 'continue' — COLD REVIEW PASS 1 EXECUTED (first for TestPulse). 27 modules read adversarially against their claims; 13 defects fixed with pinned regressions (test/review.pass1.test.ts), 4 observations logged for Senthil's disposition in the workbook's new Review_Findings sheet. Severity-high: F-TP01 delete/export-my-data missed every non-cloudId-keyed namespace and F-TP02 the retention sweep did the same (published 30-day hard-delete breached); F-TP03/F-TP04 both live panels would have rendered NaN; F-TP05 Forge writes could be dropped when a handler threw; F-TP06 five unbounded ledgers would eventually hard-fail hosted-storage writes. New shared modules: tenantData.ts (one registry driving export+delete+sweep, with a drift test), ledger.ts (FIFO caps + drop counters), csv.ts (RFC-4180 in/out). Gate: 27 suites / 203 tests / 100% x4, zero pragmas. Story counts unchanged 80/15/5 — corrections, not scope.</t>
        </is>
      </c>
      <c r="E11" s="4" t="inlineStr">
        <is>
          <t>Released</t>
        </is>
      </c>
    </row>
    <row r="12">
      <c r="A12" s="4" t="inlineStr">
        <is>
          <t>v009</t>
        </is>
      </c>
      <c r="B12" s="4" t="inlineStr">
        <is>
          <t>2026-09-13 09:52</t>
        </is>
      </c>
      <c r="C12" s="4" t="inlineStr">
        <is>
          <t>Claude for Senthil/KP</t>
        </is>
      </c>
      <c r="D12" s="4" t="inlineStr">
        <is>
          <t>09:52 'continue' — COLD REVIEW PASS 2 + VERIFICATION SWEEP EXECUTED. Modules pass 1 touched lightly (helpcenter, support, onboarding, aiProvider, billing, xrayImport) reviewed, plus the shipped ARTIFACTS checked against live Atlassian documentation. 10 defects fixed with pinned regressions in test/review.pass2.test.ts; 3 were live-blocking (VER-P01 entrypoint commented out and wrong shape; VER-P02 Custom UI never mounted and shipped without the bridge; VER-P03 license field mismatch) and 2 were security (F-TP14 caller-supplied role; F-TP15 app-wide CI secret). New modules: src/forgeAdapter.ts, src/roles.ts, static/demo-entry.ts; forge/index.ts is now real compiled code. New CI gates: typecheck:forge and build:ui. 28 suites / 233 tests / 100% x4 zero pragmas. Story counts unchanged 80/15/5 — corrections, not scope. Portfolio lessons L-P1/L-P2/L-P3 logged.</t>
        </is>
      </c>
      <c r="E12" s="4" t="inlineStr">
        <is>
          <t>Released</t>
        </is>
      </c>
    </row>
    <row r="13">
      <c r="A13" s="4" t="inlineStr">
        <is>
          <t>v010</t>
        </is>
      </c>
      <c r="B13" s="4" t="inlineStr">
        <is>
          <t>2026-09-13 10:24</t>
        </is>
      </c>
      <c r="C13" s="4" t="inlineStr">
        <is>
          <t>Claude for Senthil/KP</t>
        </is>
      </c>
      <c r="D13" s="4" t="inlineStr">
        <is>
          <t>10:24 'continue' — COLD REVIEW PASS 3 (REACHABILITY) EXECUTED. 9 findings fixed with pinned regressions in test/review.pass3.test.ts + test/ui.settings.test.ts. Headline: F-TP21 self-serve export/delete had no resolver call and F-TP22 the retention sweep had no scheduled trigger — between them, every published data-rights and retention claim was unreachable in the installed app even after pass 1 made them correct. F-TP23/24 settings, pauses and notifications were library-only (notify() was never called in the Forge path at all). F-TP25/26/27 error tracking, support intake and latency budgets had no caller or surface. F-TP28 the panel bound no events — no control did anything. Shipped: data-rights/settings/support/audit/status resolver calls, daily scheduledTrigger (syntax verified live), notifications on the real paths, per-invocation latency sampling, and a Settings screen with working controls. 30 suites / 263 tests / 100% x4; typecheck:forge + build:ui green; demo page re-verified headless with the Settings screen. Story counts unchanged 80/15/5. Lesson L-P4 logged.</t>
        </is>
      </c>
      <c r="E13" s="4" t="inlineStr">
        <is>
          <t>Released</t>
        </is>
      </c>
    </row>
    <row r="14">
      <c r="A14" s="4" t="inlineStr">
        <is>
          <t>v011</t>
        </is>
      </c>
      <c r="B14" s="4" t="inlineStr">
        <is>
          <t>2026-09-13 10:37</t>
        </is>
      </c>
      <c r="C14" s="4" t="inlineStr">
        <is>
          <t>Claude for Senthil/KP</t>
        </is>
      </c>
      <c r="D14" s="4" t="inlineStr">
        <is>
          <t>10:37 'continue' — COLD REVIEW PASS 4 (CLAIMS) EXECUTED + AUTOMATED A11Y SHIPPED. 5 findings fixed with pinned regressions in test/review.pass4.test.ts: F-TP30 the live Jira calls bypassed ST-070's retry/breaker entirely; F-TP31 and F-TP32 two pieces of published evidence (backup drill, 'posture asserted in CI') rested on code nobody ran; F-TP33 four false document statements including an email subprocessor the app has no egress permission to reach; F-TP29 an unnamed table header found by the new axe pass. ST-089's automated WCAG audit now runs over all five panels on every build instead of waiting for LC-1. 32 suites / 280 tests / 100% x4; CI gates now check:posture + typecheck:forge + build:ui + jest. Story counts unchanged 80/15/5. Four passes complete: 37 defects, all found in code already at 100% coverage. Lesson L-P5 logged.</t>
        </is>
      </c>
      <c r="E14" s="4" t="inlineStr">
        <is>
          <t>Released</t>
        </is>
      </c>
    </row>
    <row r="15">
      <c r="A15" s="4" t="inlineStr">
        <is>
          <t>v012</t>
        </is>
      </c>
      <c r="B15" s="4" t="inlineStr">
        <is>
          <t>2026-09-13 10:44</t>
        </is>
      </c>
      <c r="C15" s="4" t="inlineStr">
        <is>
          <t>Claude for Senthil/KP</t>
        </is>
      </c>
      <c r="D15" s="4" t="inlineStr">
        <is>
          <t>10:44 'continue' — REVIEW GATES SHIPPED (L-P4 reachability + L-P5 published claims) as dependency-free, tested, portable Node tooling wired into CI, with a porting README for the other 10 products. On its first run against TestPulse the reachability gate found 4 defects four manual passes had missed (F-TP34 analytics recorded but never readable and heatmap never fed; F-TP35 support tickets could never be answered; F-TP36 both CSV importers unreachable; F-TP37 duplicate writers for empty states and notification preferences) plus 11 legitimate cases now carrying written reasons, and one open question (ST-075 health score is unfed — cut or fund). 34 suites / 295 tests / 100% x4; five CI gates (gates, check:posture, typecheck:forge, build:ui, jest incl. axe). Story counts unchanged 80/15/5.</t>
        </is>
      </c>
      <c r="E15" s="4" t="inlineStr">
        <is>
          <t>Released</t>
        </is>
      </c>
    </row>
    <row r="16">
      <c r="A16" s="4" t="inlineStr">
        <is>
          <t>v013</t>
        </is>
      </c>
      <c r="B16" s="4" t="inlineStr">
        <is>
          <t>2026-09-13 10:57</t>
        </is>
      </c>
      <c r="C16" s="4" t="inlineStr">
        <is>
          <t>Claude for Senthil/KP</t>
        </is>
      </c>
      <c r="D16" s="4" t="inlineStr">
        <is>
          <t>10:57 'continue' — COLD REVIEW PASS 6 (CUSTOMER'S PATH) EXECUTED. 4 findings fixed with pinned regressions in test/review.pass6.test.ts: F-TP39 (HIGH) mounting the issue panel called generate — a write — duplicating cases and billing an AI call per view; F-TP38 no read path for cases; F-TP40 a member could not complete the MVP loop in the UI; F-TP41 two funnel stages declared and never recorded. The panel now reads, generates on a button, records runs against a default board with per-case pass/fail/blocked controls, and the funnel records all four stages. 35 suites / 304 tests / 100% x4; five CI gates green; demo page verified. Story counts unchanged 80/15/5. Lesson L-P6 logged: no tool catches this class — walk the primary loop as the user before launch. Portable review-gates package also emitted for the other products.</t>
        </is>
      </c>
      <c r="E16" s="4" t="inlineStr">
        <is>
          <t>Released</t>
        </is>
      </c>
    </row>
    <row r="17">
      <c r="A17" s="4" t="inlineStr">
        <is>
          <t>v014</t>
        </is>
      </c>
      <c r="B17" s="4" t="inlineStr">
        <is>
          <t>2026-09-13 11:03</t>
        </is>
      </c>
      <c r="C17" s="4" t="inlineStr">
        <is>
          <t>Claude for Senthil/KP</t>
        </is>
      </c>
      <c r="D17" s="4" t="inlineStr">
        <is>
          <t>11:03 'continue' — COLD REVIEW PASS 7 (INSTALL + NAVIGATION) EXECUTED. 4 findings fixed with pinned regressions in test/review.pass7.test.ts: F-TP42 (HIGH) no trigger module meant Forge never invoked install or uninstall — no trial, owner, CI secret or telemetry on install, no token wipe or deletion schedule on uninstall, and nothing for the retention sweep to act on; F-TP42b lazy bootstrap for the documented multi-minute install-event lag, deliberately without claiming ownership; F-TP43 (HIGH) the panel had no navigation, so four of five screens had no door and the project page was permanently stuck on an empty state; F-TP44 the run-board screen had no board. 36 suites / 316 tests / 100% x4; five CI gates green. Story counts unchanged 80/15/5. Lesson L-P7 logged: reachable is not invoked.</t>
        </is>
      </c>
      <c r="E17" s="4" t="inlineStr">
        <is>
          <t>Released</t>
        </is>
      </c>
    </row>
    <row r="18">
      <c r="A18" s="4" t="inlineStr">
        <is>
          <t>v015</t>
        </is>
      </c>
      <c r="B18" s="4" t="inlineStr">
        <is>
          <t>2026-09-13 11:10</t>
        </is>
      </c>
      <c r="C18" s="4" t="inlineStr">
        <is>
          <t>Claude for Senthil/KP</t>
        </is>
      </c>
      <c r="D18" s="4" t="inlineStr">
        <is>
          <t>11:10 'continue' — PLATFORM-ENTRYPOINT GATE SHIPPED (L-P7) + F-TP45 FIXED. Third gate reads manifest and entrypoint together (undeclared hooks, unexported handlers, orphan functions, required module declarations), tested against the two historical defects it would have caught (F-TP42, VER-P01) and wired into npm run gates; portable package updated. The gate contained the defect it exists to catch — a commented-out export counted as exported — found by its own tests. F-TP45 found while writing those tests: a repeat install event reset installedAt, re-sourced attribution and overwrote tokens, showing up only as an intermittent 1ms test failure. 36 suites / 323 tests / 100% x4; six CI gates green. Story counts unchanged 80/15/5.</t>
        </is>
      </c>
      <c r="E18" s="4" t="inlineStr">
        <is>
          <t>Released</t>
        </is>
      </c>
    </row>
    <row r="19">
      <c r="A19" s="4" t="inlineStr">
        <is>
          <t>v016</t>
        </is>
      </c>
      <c r="B19" s="4" t="inlineStr">
        <is>
          <t>2026-09-13 11:18</t>
        </is>
      </c>
      <c r="C19" s="4" t="inlineStr">
        <is>
          <t>Claude for Senthil/KP</t>
        </is>
      </c>
      <c r="D19" s="4" t="inlineStr">
        <is>
          <t>11:18 'continue' — PORTFOLIO ROLLOUT KIT SHIPPED (init.js bootstrapper + docs/portfolio-gate-rollout.md + packaged review-gates kit with ROLLOUT.md). init scans a repo and writes a starter config, validated by reproducing TestPulse's hand-written one exactly; it refuses to guess where it cannot detect, because a gate on the wrong entrypoint reports a clean run over nothing. Rollout guide covers the per-repo procedure, first-red-run triage (fix / allow with a reason / cut), order, and per-platform hook tables. Recorded honestly: 34 of 50 defects are gate-catchable; the other 16 needed someone using the product. 36 suites / 327 tests / 100% x4; six CI gates. Story counts unchanged 80/15/5. TestPulse itself needs LC-1 next, not another pass.</t>
        </is>
      </c>
      <c r="E19" s="4" t="inlineStr">
        <is>
          <t>Released</t>
        </is>
      </c>
    </row>
    <row r="20">
      <c r="A20" s="4" t="inlineStr">
        <is>
          <t>v017</t>
        </is>
      </c>
      <c r="B20" s="4" t="inlineStr">
        <is>
          <t>2026-09-13 11:22</t>
        </is>
      </c>
      <c r="C20" s="4" t="inlineStr">
        <is>
          <t>Claude for Senthil/KP</t>
        </is>
      </c>
      <c r="D20" s="4" t="inlineStr">
        <is>
          <t>11:22 'continue' — LC-1 SESSION PACK SHIPPED: scripts/lc1-verify.js (live webtrigger verification against the deployed app, tested against the real handler, prints tracker-ready evidence and states what it cannot check), docs/lc1-session-pack.md (45-minute run sheet with an evidence table mapping captures to the stories they flip), and static/build/capture.html (asset capture at the verified Rule-of-3 dimensions, verified headlessly). 37 suites / 332 tests / 100% x4; six CI gates green. Story counts deliberately unchanged 80/15/5 — the 15 code-complete stories flip at LC-1 with evidence attached, not before.</t>
        </is>
      </c>
      <c r="E20" s="4" t="inlineStr">
        <is>
          <t>Released</t>
        </is>
      </c>
    </row>
    <row r="21">
      <c r="A21" s="4" t="inlineStr">
        <is>
          <t>v018</t>
        </is>
      </c>
      <c r="B21" s="4" t="inlineStr">
        <is>
          <t>2026-09-13 18:57</t>
        </is>
      </c>
      <c r="C21" s="4" t="inlineStr">
        <is>
          <t>Claude for Senthil/KP</t>
        </is>
      </c>
      <c r="D21" s="4" t="inlineStr">
        <is>
          <t>18:57 EXTERNAL REVIEW V001 INCORPORATED — all 15 findings accepted and closed in code with pinned regressions in test/review.external-v001.test.ts (17 tests). Five landed on work previously reported complete; TPR-001 landed on a previous FIX. Product changes: AI provider constructed in the real entrypoint; email removed from the product surface (5 stories rescoped in-app only); write:jira-work scope removed; app-level residency claim and its unused variable removed; owner control preserved through delete-my-data. Evidence repairs: DC-11 rebuilt against two real installations (recorded N-A, platform-enforced), DC-06 measured for the first time against the real default sleep, vendored baseline hash-pinned, @forge/api declared, review pack runtime corrected, DATA_FLOW_DOC egress corrected. Full CI captured at evidence/ci-run-20260913-1857.log: 40 suites / 369 tests / 100% x4, gates + posture + typecheck + UI build green. Status corrections in the workbook's Release_Traceability_Corrections sheet. Release position unchanged: NOT RELEASE READY until LC-1.</t>
        </is>
      </c>
      <c r="E21" s="4" t="inlineStr">
        <is>
          <t>Released</t>
        </is>
      </c>
    </row>
    <row r="22">
      <c r="A22" s="4" t="inlineStr">
        <is>
          <t>v019</t>
        </is>
      </c>
      <c r="B22" s="4" t="inlineStr">
        <is>
          <t>2026-09-13 19:27</t>
        </is>
      </c>
      <c r="C22" s="4" t="inlineStr">
        <is>
          <t>Claude for Senthil/KP</t>
        </is>
      </c>
      <c r="D22" s="4" t="inlineStr">
        <is>
          <t>19:27 ENTRYPOINT-WIRING GATE SHIPPED (L-8) — the external review's TPR-001 was the third instance of 'closed at the glue, unwired in production' and the first to land on a prior fix, so the class now has a gate. Checks that each declared capability is constructed in the deploy entrypoint AND passed to its consumer (constructs alone would have passed TPR-001). Nine capabilities registered, all green; tests mutate the real entrypoint to prove the gate goes red on both TPR-001 and F-TP42 shapes; init.js scaffolds a TODO register rather than an empty one, since an empty register passes vacuously. Four gates now run in CI. 40 suites / 374 tests / 100% x4, full chain captured at evidence/ci-run-20260913-1927.log. Release position unchanged: not release ready until LC-1.</t>
        </is>
      </c>
      <c r="E22" s="4" t="inlineStr">
        <is>
          <t>Released</t>
        </is>
      </c>
    </row>
    <row r="23">
      <c r="A23" s="4" t="inlineStr">
        <is>
          <t>v020</t>
        </is>
      </c>
      <c r="B23" s="4" t="inlineStr">
        <is>
          <t>2026-09-13 19:38</t>
        </is>
      </c>
      <c r="C23" s="4" t="inlineStr">
        <is>
          <t>Claude for Senthil/KP</t>
        </is>
      </c>
      <c r="D23" s="4" t="inlineStr">
        <is>
          <t>19:33-19:38 EXTERNAL-REVIEW PRACTICE MADE REUSABLE (no product code behaviour changed; this release is process + tooling + evidence). scripts/make-review-bundle.js produces a hashed reviewable inventory (126 files, 780 KB, SHA-256 per file) plus a MANIFEST that states entrypoints and KNOWN LIMITS up front — the V001 reviewer spent part of its budget hashing 132 files by hand and rediscovering that src/app.ts is a harness. docs/external-review-request.md captures the brief that made V001 effective: the six things to check against runtime rather than documentation (published claims, scopes, user controls, wired capabilities, workbook statuses, conformance harnesses) and the findings shape to ask for, since every V001 row already carried its own acceptance criteria. Portfolio standard released at v004 with five new defect classes taken from the review (DC-14 capability closed at the glue; DC-15 control with nothing behind it; DC-16 privilege requested and unused; DC-17 validated setting nothing consumes; DC-18 data rights that revoke the user's own control) — taxonomy now 18 classes / 64 product-incidences — plus lessons L-8 and L-9 and a new pre-submission phase gate requiring one external review. Gate check re-run green: 40 suites / 374 tests / 100% x4, four gates, posture, Forge typecheck, UI build. Release position unchanged: NOT RELEASE READY until LC-1.</t>
        </is>
      </c>
      <c r="E23" s="4" t="inlineStr">
        <is>
          <t>Released</t>
        </is>
      </c>
    </row>
    <row r="24">
      <c r="A24" s="4" t="inlineStr">
        <is>
          <t>v021</t>
        </is>
      </c>
      <c r="B24" s="4" t="inlineStr">
        <is>
          <t>2026-09-13 19:41</t>
        </is>
      </c>
      <c r="C24" s="4" t="inlineStr">
        <is>
          <t>Claude for Senthil/KP</t>
        </is>
      </c>
      <c r="D24" s="4" t="inlineStr">
        <is>
          <t>19:41 EXTERNAL REVIEW V002 INCORPORATED (market + enterprise roadmap). Different in kind from V001: no new code defects, a strategic assessment — strong category demand, TestPulse NOT market-ready and NOT enterprise-grade at ~5.1/10, continue building but with a sharper wedge (Release Quality Intelligence rather than beating Xray/Zephyr feature-for-feature), plus a 30-sprint enterprise roadmap E00-E29, a 14-rule build protocol CB-01..14 and 15 enterprise gates EG-01..15. ACTIONED IN CODE TODAY: the two protocol rules that demand automation. CB-06/EG-02 scope-egress gate — every Jira scope and egress host must name a live call path, and removing the last caller now fails the build; it reproduces V001's TPR-003 (write:jira-work outliving its use) in test. CB-10 secret/PII scan — 123 files, 0 findings, one written allowance; my own fixtures tripped it, so they are built at runtime and the repo stays literally clean rather than allowlisted. Six gates now run in CI. ENTERPRISE GATES RE-SCORED against current code (V002 scored the pre-18:57 package): EG-01 runtime truth FAIL-&gt;PASS, EG-02 least privilege FAIL-&gt;PASS, EG-03 data rights FAIL-&gt;PASS, EG-08 AI governance FAIL-&gt;PARTIAL (provider is real but no evals, admin control or cost budget — CB-07 unmet). Nothing else moved and the verdict does not change: not enterprise-grade, because the remaining gaps are scope not yet built. E00 (V001 carryover) is CLOSED with named evidence. 40 suites / 381 tests / 100% x4; CI captured at evidence/ci-run-20260913-1941.log.</t>
        </is>
      </c>
      <c r="E24" s="4" t="inlineStr">
        <is>
          <t>Released</t>
        </is>
      </c>
    </row>
    <row r="25">
      <c r="A25" s="4" t="inlineStr">
        <is>
          <t>v022</t>
        </is>
      </c>
      <c r="B25" s="4" t="inlineStr">
        <is>
          <t>2026-09-13 19:52</t>
        </is>
      </c>
      <c r="C25" s="4" t="inlineStr">
        <is>
          <t>Claude for Senthil/KP</t>
        </is>
      </c>
      <c r="D25" s="4" t="inlineStr">
        <is>
          <t>19:52 AI GOVERNANCE SHIPPED (E07/E08, closing CB-07) — the single rule both external reviews left unmet, and the reason EG-08 could not pass. Now that TPR-001 made the provider real, every control here is load-bearing: AI is OFF BY DEFAULT (no story text leaves Atlassian until an admin enables it, which also preserves the zero-egress posture E09 depends on); story text is REDACTED of credential and PII shapes before egress and MINIMISED to a character budget; a PER-DAY CALL CAP protects the bill, because a wired provider charges per generation and the panel is one click from a loop; every decision — sent, disabled, over-budget, provider-failed — is written to an owner-readable AUDIT TRAIL with the model used; and provider, model and today's usage are DISCLOSED in Settings. 17 eval fixtures cover what a real model actually returns: good output, markdown-fenced JSON, malformed JSON, wrong-shaped cases, an empty array, prompt injection inside the story, and a 429 — each asserting rule-engine fallback and an audit entry, so a model failure never reaches the user as a crash. Trust page and a new help article HC-16 disclose the posture, both pinned by the claims gate. EG-08 re-scored FAIL -&gt; PASS with a NAMED GAP: the evals test the product's handling of model output, not model quality, which needs live usage. 41 suites / 398 tests / 100% x4; six gates green; CI at evidence/ci-run-20260913-1952.log. Release position unchanged: not release ready until LC-1.</t>
        </is>
      </c>
      <c r="E25" s="4" t="inlineStr">
        <is>
          <t>Released</t>
        </is>
      </c>
    </row>
    <row r="26">
      <c r="A26" s="4" t="inlineStr">
        <is>
          <t>v023</t>
        </is>
      </c>
      <c r="B26" s="4" t="inlineStr">
        <is>
          <t>2026-09-13 20:01</t>
        </is>
      </c>
      <c r="C26" s="4" t="inlineStr">
        <is>
          <t>Claude for Senthil/KP</t>
        </is>
      </c>
      <c r="D26" s="4" t="inlineStr">
        <is>
          <t>20:01 E09 RUNS ON ATLASSIAN ASSESSED against live Atlassian documentation — V002 made this P0 and the answer is decisive: TESTPULSE IS NOT ELIGIBLE, AND SWITCHING AI OFF DOES NOT CHANGE THAT. Eligibility is assessed FROM THE MANIFEST, automatically and continuously, not from runtime behaviour; eligible apps declare no external resource domains at all except analytics egress carrying no end-user data. Declaring api.anthropic.com is disqualifying whether or not any tenant enables AI. This corrects an assumption I had built into the trust page at 19:52 — the off-by-default posture is a real privacy control and a real zero-egress RUNTIME state, but it is not a route to the badge, and the trust page now says so rather than letting a reader infer otherwise. SECOND DISQUALIFIER FOUND AND FIXED: web triggers are eligible only when declared `static`, and both 'explicitly dynamic' and 'no type defined' are ineligible — the CI webtrigger had no type at all, so TestPulse would have failed even with zero egress. Declared static this release at no cost, since authentication is HMAC with a per-installation secret and never relied on URL secrecy (note: `type` and `response.type` are different fields; the dynamic response returning 202/400/401 is unrelated to eligibility). docs/runs-on-atlassian-assessment.md sets out three options — drop AI and be eligible, keep AI and forfeit the badge, or run two major versions — with a recommendation offered as input, not a decision, and the evidence that should flip it (regulated design partners in E25). forge eligibility added to the LC-1 run sheet as the authoritative check. 41 suites / 401 tests / 100% x4; six gates green; CI at evidence/ci-run-20260913-2001.log.</t>
        </is>
      </c>
      <c r="E26" s="4" t="inlineStr">
        <is>
          <t>Released</t>
        </is>
      </c>
    </row>
    <row r="27">
      <c r="A27" s="4" t="inlineStr">
        <is>
          <t>v024</t>
        </is>
      </c>
      <c r="B27" s="4" t="inlineStr">
        <is>
          <t>2026-09-13 20:05</t>
        </is>
      </c>
      <c r="C27" s="4" t="inlineStr">
        <is>
          <t>Claude for Senthil/KP</t>
        </is>
      </c>
      <c r="D27" s="4" t="inlineStr">
        <is>
          <t>20:05 TWO NOT-MET PROTOCOL RULES CLOSED BY DOING THEM (CB-14, CB-09) — and the second found a defect in my own earlier fix. CB-14 clean-room: a fresh tree, npm ci from the lockfile alone (577 packages, 10s), then build, six gates, posture, Forge typecheck, UI build and the full suite — all green, logged at evidence/cleanroom-ci-20260913-2005.log. That also independently validates TPR-012/TPR-014: the lockfile is complete and the package installs without the sandbox's existing tree. CB-09 envelope: scripts/perf-envelope.js over 50,000 cases / 10,000 runs / 100,000 CI results. Every operation is sub-10ms, which is the UNINTERESTING result — publishing only that would have been exactly the micro-benchmark failure CB-09 names. The binding constraint on Forge is the 240 KiB PER-VALUE ceiling, and TestPulse keeps whole collections in single values, so supported scale is a ROW COUNT reached long before anything gets slow. PERF-01 FOUND AND FIXED: the 10,000-entry FIFO cap I introduced for F-TP06 measured 542 KiB — 2.3x OVER the ceiling. The cap meant to stop hard-fail writes was itself too large, because counting entries does not bound bytes; appendCapped now trims by bytes as well as count and every product ledger inherits it. PERF-02/03 measured and NOT fixed, because they need a data-model change (E01/E12), and published as honest supported scale: ~1,500-2,900 test cases per site and ~5,000 runs per board. docs/performance-envelope.md carries the numbers and states plainly what is not measured — KVS latency, the 25s invocation timeout, cold starts, concurrent tenants and hydrate-all cost (OBS-TP1) — all LC-1 work; an in-process p95 is not a production p95. test/performance.test.ts is the standing guard and asserts SIZE not speed, because timing tests get retried away. EG-10 UNPROVEN -&gt; PARTIAL. 42 suites / 408 tests / 100% x4.</t>
        </is>
      </c>
      <c r="E27" s="4" t="inlineStr">
        <is>
          <t>Released</t>
        </is>
      </c>
    </row>
    <row r="28">
      <c r="A28" s="4" t="inlineStr">
        <is>
          <t>v025</t>
        </is>
      </c>
      <c r="B28" s="4" t="inlineStr">
        <is>
          <t>2026-09-13 20:24</t>
        </is>
      </c>
      <c r="C28" s="4" t="inlineStr">
        <is>
          <t>Claude for Senthil/KP</t>
        </is>
      </c>
      <c r="D28" s="4" t="inlineStr">
        <is>
          <t>20:24 CONNECTOR HEALTH SHIPPED (CB-04's named gap, EG-11 narrowed) — the CI webtrigger is the one surface a customer wires up themselves, and its failure mode is SILENCE: a pipeline that stops posting, or keeps posting with a secret that was rotated, produces no error anyone sees. The flaky panel simply goes quiet, which a user reads as 'no flaky tests' rather than 'no data'. src/connectorHealth.ts derives four states — never-connected, healthy, stale, rejecting — from outcomes the webhook path already decides, so nothing new is instrumented at the call site, and surfaces them in statusReport with a settable staleness window. Each state carries an instruction rather than a status word: the rejecting message names the rotated secret as the likely cause, and the stale message says explicitly that an empty panel means no data, not no flakiness. THE TEST FOUND A REAL BUG IN IT: ordering was inferred by comparing timestamps, so a post and its rejection inside the same millisecond resolved to 'healthy' — precisely the case the metric exists for. The last outcome is now recorded explicitly rather than inferred, and Webhooks.verify became a discriminated result so callers get the rejection reason without a defensive fallback nobody could reach. 43 suites / 417 tests / 100% x4; six gates green; CI at evidence/ci-run-20260913-2024.log. Release position unchanged: not release ready until LC-1.</t>
        </is>
      </c>
      <c r="E28" s="4" t="inlineStr">
        <is>
          <t>Released</t>
        </is>
      </c>
    </row>
    <row r="29">
      <c r="A29" s="4" t="inlineStr">
        <is>
          <t>v026</t>
        </is>
      </c>
      <c r="B29" s="4" t="inlineStr">
        <is>
          <t>2026-09-13 20:33</t>
        </is>
      </c>
      <c r="C29" s="4" t="inlineStr">
        <is>
          <t>Claude for Senthil/KP</t>
        </is>
      </c>
      <c r="D29" s="4" t="inlineStr">
        <is>
          <t>20:33 PERF-04 — HYDRATE WAS DOING A ROUND TRIP PER KEY, ON EVERY INVOCATION. Quantifying OBS-TP1 (flagged twice today as 'not measured') turned it from an architectural decision without numbers into a measured defect. ForgeStore.hydrate() runs at the start of every resolver call — every panel open, every tab switch, every settings read — and it listed the keys then fetched each one with a SEPARATE, SEQUENTIAL get: ceil(K/20) query pages PLUS K gets, 63 round trips for a 60-key tenant. The @forge/kvs query already returns { key, value } per result (ListResult&lt;T&gt;/Result&lt;T&gt;, verified against the installed package), so every one of those gets re-fetched a value the page had already delivered. Hydrate now reads values straight from the pages and the page size moves to 100, the documented maximum: 63 round trips become 1. WHY IT SURVIVED EIGHT REVIEW PASSES AND TWO EXTERNAL REVIEWS: the test double for the KVS query returned KEYS WITHOUT VALUES, so the redundant fetch looked necessary — the L-6 shape, a mock encoding the wrong contract. The double is now faithful to Result&lt;T&gt;, and a test counts round trips and asserts ZERO gets during hydrate, so a regression fails the build instead of quietly taxing every invocation. STATED PLAINLY: this does NOT close OBS-TP1. Hydrate still loads all keys, so cost still grows with tenant data; the multiplier is gone, the linearity is not. Prefix-scoped hydration remains your call, now framed as one round trip per 100 keys rather than one per key. 43 suites / 419 tests / 100% x4; six gates green; CI at evidence/ci-run-20260913-2033.log.</t>
        </is>
      </c>
      <c r="E29" s="4" t="inlineStr">
        <is>
          <t>Released</t>
        </is>
      </c>
    </row>
    <row r="30">
      <c r="A30" s="4" t="inlineStr">
        <is>
          <t>v027</t>
        </is>
      </c>
      <c r="B30" s="4" t="inlineStr">
        <is>
          <t>2026-09-13 20:49</t>
        </is>
      </c>
      <c r="C30" s="4" t="inlineStr">
        <is>
          <t>Claude for Senthil/KP</t>
        </is>
      </c>
      <c r="D30" s="4" t="inlineStr">
        <is>
          <t>20:49 VENDOR CONTRACT GUARD — generalising PERF-04 so the class cannot repeat. PERF-04 cost a wasted storage round trip per key on every invocation and survived eight internal passes and two external reviews for one reason: the KVS test double returned { key } where the vendor's Result&lt;T&gt; returns { key, value }. Nobody misread the code; everyone read a double thinner than the API it stood for. test/vendor-contracts.test.ts now assigns every seam to or from the vendor's own published type, so a thin double is a COMPILE ERROR: KVS ListResult/Result (hydrate), @forge/resolver Request (the invocation shape), @forge/bridge LicenseDetails (isEvaluation vs evaluation — the VER-P03 defect), FullContext (the panel boot context), and @forge/api Response/Headers (headers.get returning string|null, which the Retry-After path depends on). All four vendor contracts were audited against the installed packages and every one currently holds. THE GUARD CAUGHT ME ON ITS FIRST RUN: I asserted the resolver contract in the wrong DIRECTION. For an inbound contract the vendor's type must be assignable to ours — we must accept whatever they send, and tolerating more is correct; for an outbound contract ours must satisfy theirs. Asserting the wrong way either passes for the wrong reason or fails in a way that looks like a defect and is not. One assumption stays unprovable by types and is recorded rather than buried: ExtensionData is an open map in the vendor definitions, so extension.issue.key — which the generate tab depends on — can only be verified live at LC-1. 44 suites / 426 tests / 100% x4; six gates green; CI at evidence/ci-run-20260913-2049.log.</t>
        </is>
      </c>
      <c r="E30" s="4" t="inlineStr">
        <is>
          <t>Released</t>
        </is>
      </c>
    </row>
    <row r="31">
      <c r="A31" s="4" t="inlineStr">
        <is>
          <t>v028</t>
        </is>
      </c>
      <c r="B31" s="4" t="inlineStr">
        <is>
          <t>PLANNED: LC-1 install evidence (incl. verifying extension.issue.key live); the five open decisions; D18 pricing.</t>
        </is>
      </c>
      <c r="C31" s="4" t="n"/>
      <c r="D31" s="4" t="n"/>
      <c r="E31" s="4" t="inlineStr">
        <is>
          <t>Planned</t>
        </is>
      </c>
    </row>
    <row r="32">
      <c r="A32" s="4" t="inlineStr">
        <is>
          <t>v028</t>
        </is>
      </c>
      <c r="B32" s="4" t="inlineStr">
        <is>
          <t>2026-09-20 11:40</t>
        </is>
      </c>
      <c r="C32" s="4" t="inlineStr">
        <is>
          <t>Claude for Senthil/KP</t>
        </is>
      </c>
      <c r="D32" s="5" t="inlineStr">
        <is>
          <t>EXTERNAL REVIEW V001 (Perplexity, 16/09) INCORPORATED — 14-sprint plan executed as far as code can take it: PR-01..PR-11 built, C-1..C-7 corrected, PR-04/PR-12/PR-13/PR-14 prepared and left Open because they need a live site, a purchase or a person. ALL FIVE PRX FINDINGS CLOSED IN CODE. PRX-02 (CRITICAL, concurrent write loss) was the finding that mattered: storage now carries a version on every value, writes with compare-and-set, stores ONE KEY PER ENTITY, and merges ledgers commutatively at flush — two invocations can no longer lose each other's work, and a genuine conflict surfaces as a 409 telling the user to reload instead of silently clobbering. PRX-01 duplicate ids: unique time-sortable ids on every creation path incl. AI, asserted at write by insert-if-absent. PRX-03 scope logged-not-enforced: Permissions.check now evaluates scope against Jira BROWSE_PROJECTS via asUser(), fails CLOSED on an unanswered check; the regression asserts a scoped DENIAL. PRX-04 one noisy test evicting the flaky signal: per-run storage under a bounded 50-run index, scoring over per-test/per-branch windows. PRX-05 whole-tenant hydration: every resolver call declares its storage scope and a read outside it throws — whoami loads 2 keys, not 500. PRODUCT (the wedge): readiness is DERIVED (Jira JQL for P0s, CI results for coverage, run boards for pass rate), every factor names its source on the panel, and a manual override is attributed and labelled — Decision 4 positioning is now earned by the code. JUnit/Playwright/Cucumber ingestion against real fixtures, idempotent by run id, 413 on oversize. Flaky 2.0: branch-aware, clusters, quarantine with owner+expiry, new-vs-chronic. Traceability graph + coverage by release (EG-05 was MISSING). ENTERPRISE: project-scoped RBAC; BYO Anthropic key in Forge Secret Storage with per-source cost attribution, a monthly shared-key ceiling and prompt-injection hardening (story text is data, never instructions); Atlassian Enterprise Certified gap assessment REPLACING the retired Cloud Fortified one; all Atlassian credential storage removed (AEC 1.5); express moved to devDependencies. NEW STANDING GATE G-5 (concurrent write safety, lesson L-P8) — static half refuses a plain read-modify-write on any shared key, dynamic half is test/concurrency.test.ts; IT WENT RED ON ITS OWN FIRST RUN for 8 of 13 registered keys, and that coverage was written to answer it. Seven gates now run in CI. Envelope re-baselined and an honest trade published: per-entity keys make a 10,000-run board 102 storage round trips where one value used to suffice (and could not exist at that size anyway) — the strongest argument for the shipped Forge SQL adapter, decided at PR-04 with real latency. 55 suites / 530 tests / 100% x4, zero pragmas; clean-room reproduced from the lockfile (evidence/cleanroom-ci-20260920-1204.log); 0 production vulnerabilities. Release position UNCHANGED: NOT RELEASE READY until LC-1 (PR-04) and D18 (PR-13).</t>
        </is>
      </c>
      <c r="E32" s="4" t="inlineStr">
        <is>
          <t>Released</t>
        </is>
      </c>
    </row>
    <row r="33">
      <c r="A33" s="4" t="inlineStr">
        <is>
          <t>v029</t>
        </is>
      </c>
      <c r="B33" s="4" t="inlineStr">
        <is>
          <t>PLANNED: PR-04 LC-1 live install evidence; PR-12 envelope on live infrastructure; PR-13 per-user pricing + test purchase; PR-14 design partners.</t>
        </is>
      </c>
      <c r="C33" s="4" t="inlineStr"/>
      <c r="D33" s="4" t="inlineStr"/>
      <c r="E33" s="4" t="inlineStr">
        <is>
          <t>Planned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4"/>
  <sheetViews>
    <sheetView workbookViewId="0">
      <pane ySplit="2" topLeftCell="A3" activePane="bottomLeft" state="frozen"/>
      <selection pane="bottomLeft" activeCell="A1" sqref="A1"/>
    </sheetView>
  </sheetViews>
  <sheetFormatPr baseColWidth="8" defaultRowHeight="15" outlineLevelCol="0"/>
  <cols>
    <col width="7" customWidth="1" min="1" max="1"/>
    <col width="17" customWidth="1" min="2" max="2"/>
    <col width="10" customWidth="1" min="3" max="3"/>
    <col width="130" customWidth="1" min="4" max="4"/>
    <col width="22" customWidth="1" min="5" max="5"/>
    <col width="34" customWidth="1" min="6" max="6"/>
    <col width="28" customWidth="1" min="7" max="7"/>
    <col width="18" customWidth="1" min="8" max="8"/>
  </cols>
  <sheetData>
    <row r="1">
      <c r="A1" s="1" t="inlineStr">
        <is>
          <t>SPRINT TRACKER LOG — every execution event, newest last</t>
        </is>
      </c>
    </row>
    <row r="2">
      <c r="A2" s="3" t="inlineStr">
        <is>
          <t>ID</t>
        </is>
      </c>
      <c r="B2" s="3" t="inlineStr">
        <is>
          <t>Date/Time</t>
        </is>
      </c>
      <c r="C2" s="3" t="inlineStr">
        <is>
          <t>Sprint</t>
        </is>
      </c>
      <c r="D2" s="3" t="inlineStr">
        <is>
          <t>What happened</t>
        </is>
      </c>
      <c r="E2" s="3" t="inlineStr">
        <is>
          <t>Refs</t>
        </is>
      </c>
      <c r="F2" s="3" t="inlineStr">
        <is>
          <t>State changes</t>
        </is>
      </c>
      <c r="G2" s="3" t="inlineStr">
        <is>
          <t>Blockers</t>
        </is>
      </c>
      <c r="H2" s="3" t="inlineStr">
        <is>
          <t>Next</t>
        </is>
      </c>
    </row>
    <row r="3">
      <c r="A3" s="4" t="inlineStr">
        <is>
          <t>E001</t>
        </is>
      </c>
      <c r="B3" s="4" t="inlineStr">
        <is>
          <t>2026-09-10 22:58</t>
        </is>
      </c>
      <c r="C3" s="4" t="inlineStr">
        <is>
          <t>—</t>
        </is>
      </c>
      <c r="D3" s="4" t="inlineStr">
        <is>
          <t>INSTRUCTION RECORDED — Senthil 22:58: continue work as per sprint on TestPulse from v007 workbook; complete development with 100% automation testing; produce tracker+traceability like TeleField v001 and workbook next version. D13 applies (interviews parked, 100% coverage). Ninth concurrent build under open D15.</t>
        </is>
      </c>
      <c r="E3" s="4" t="inlineStr">
        <is>
          <t>D13,D15</t>
        </is>
      </c>
      <c r="F3" s="4" t="inlineStr">
        <is>
          <t>TestPulse S1 opened</t>
        </is>
      </c>
      <c r="G3" s="4" t="inlineStr">
        <is>
          <t>None</t>
        </is>
      </c>
      <c r="H3" s="4" t="inlineStr">
        <is>
          <t>S1 build</t>
        </is>
      </c>
    </row>
    <row r="4">
      <c r="A4" s="4" t="inlineStr">
        <is>
          <t>E002</t>
        </is>
      </c>
      <c r="B4" s="4" t="inlineStr">
        <is>
          <t>2026-09-10 22:58</t>
        </is>
      </c>
      <c r="C4" s="4" t="inlineStr">
        <is>
          <t>S1</t>
        </is>
      </c>
      <c r="D4" s="4" t="inlineStr">
        <is>
          <t>S1 FOUNDATION BUILT (TypeScript/Node core, Forge-adapter seams per D17): config validation (residency global/eu/us, trial days), typed Store (in-memory behind interface — Forge hosted storage adapter at deploy), lifecycle install-&gt;welcome/uninstall token-wipe+30d deletion schedule+sweep/re-install restore/rotation-safe refresh/source attribution, webhook HMAC timing-safe verify+replay+dedupe, jiraClient 429/5xx backoff+jitter+circuit breaker, CI with jest coverageThreshold 100x4.</t>
        </is>
      </c>
      <c r="E4" s="4" t="inlineStr">
        <is>
          <t>ST-051,052,053,055,056,070</t>
        </is>
      </c>
      <c r="F4" s="4" t="inlineStr">
        <is>
          <t>6 E1 stories Done-in-code</t>
        </is>
      </c>
      <c r="G4" s="4" t="inlineStr">
        <is>
          <t>Live Forge dev site = Senthil (LC-1)</t>
        </is>
      </c>
      <c r="H4" s="4" t="inlineStr">
        <is>
          <t>S2</t>
        </is>
      </c>
    </row>
    <row r="5">
      <c r="A5" s="4" t="inlineStr">
        <is>
          <t>E003</t>
        </is>
      </c>
      <c r="B5" s="4" t="inlineStr">
        <is>
          <t>2026-09-10 22:58</t>
        </is>
      </c>
      <c r="C5" s="4" t="inlineStr">
        <is>
          <t>S2</t>
        </is>
      </c>
      <c r="D5" s="4" t="inlineStr">
        <is>
          <t>S2 EXECUTED — F1 AI test-case generation part 1: rule engine behind AI seam (provider-swappable), defaults one-screen, happy+edge+permission case output, clear errors, rules customisation; owner/admin/member permission matrix + audit log wired to all routes.</t>
        </is>
      </c>
      <c r="E5" s="4" t="inlineStr">
        <is>
          <t>ST-001..004,053,054</t>
        </is>
      </c>
      <c r="F5" s="4" t="inlineStr">
        <is>
          <t>6/6 S2 stories Done (29 pts)</t>
        </is>
      </c>
      <c r="G5" s="4" t="inlineStr">
        <is>
          <t>None</t>
        </is>
      </c>
      <c r="H5" s="4" t="inlineStr">
        <is>
          <t>S3</t>
        </is>
      </c>
    </row>
    <row r="6">
      <c r="A6" s="4" t="inlineStr">
        <is>
          <t>E004</t>
        </is>
      </c>
      <c r="B6" s="4" t="inlineStr">
        <is>
          <t>2026-09-10 22:58</t>
        </is>
      </c>
      <c r="C6" s="4" t="inlineStr">
        <is>
          <t>S3</t>
        </is>
      </c>
      <c r="D6" s="4" t="inlineStr">
        <is>
          <t>S3 EXECUTED — F1 completed (metrics, pause-no-loss, CSV import, notifications) + F2 run boards started (defaults, happy path, rules, errors). ST-085 coverage gate SUPERSEDED by D13: shipped at 100x4, not &gt;=70. ST-005 Forge-panel surface = code-complete pending live.</t>
        </is>
      </c>
      <c r="E6" s="4" t="inlineStr">
        <is>
          <t>ST-005..014,085</t>
        </is>
      </c>
      <c r="F6" s="4" t="inlineStr">
        <is>
          <t>10 Done + 1 code-complete</t>
        </is>
      </c>
      <c r="G6" s="4" t="inlineStr">
        <is>
          <t>Forge panel render needs LC-1</t>
        </is>
      </c>
      <c r="H6" s="4" t="inlineStr">
        <is>
          <t>S4</t>
        </is>
      </c>
    </row>
    <row r="7">
      <c r="A7" s="4" t="inlineStr">
        <is>
          <t>E005</t>
        </is>
      </c>
      <c r="B7" s="4" t="inlineStr">
        <is>
          <t>2026-09-10 22:58</t>
        </is>
      </c>
      <c r="C7" s="4" t="inlineStr">
        <is>
          <t>S4</t>
        </is>
      </c>
      <c r="D7" s="4" t="inlineStr">
        <is>
          <t>S4 EXECUTED — F2 completed (metrics/passRate, permissions, pause, CSV import, notifications); E7 activation funnel + error tracking with spike alert; E2E smoke suite wired into CI on every deploy. MVP loop (install-&gt;generate-&gt;board-&gt;metrics) passes end-to-end in e2e.smoke.test.ts.</t>
        </is>
      </c>
      <c r="E7" s="4" t="inlineStr">
        <is>
          <t>ST-015..020,071,072,086</t>
        </is>
      </c>
      <c r="F7" s="4" t="inlineStr">
        <is>
          <t>8 Done + 1 code-complete; S4 exit criterion met in-code</t>
        </is>
      </c>
      <c r="G7" s="4" t="inlineStr">
        <is>
          <t>None</t>
        </is>
      </c>
      <c r="H7" s="4" t="inlineStr">
        <is>
          <t>S5</t>
        </is>
      </c>
    </row>
    <row r="8">
      <c r="A8" s="4" t="inlineStr">
        <is>
          <t>E006</t>
        </is>
      </c>
      <c r="B8" s="4" t="inlineStr">
        <is>
          <t>2026-09-10 22:58</t>
        </is>
      </c>
      <c r="C8" s="4" t="inlineStr">
        <is>
          <t>S5</t>
        </is>
      </c>
      <c r="D8" s="4" t="inlineStr">
        <is>
          <t>S5 EXECUTED — F3 flaky-test detector: signed CI-webhook ingest, flip-rate scoring, quarantine threshold (custom, validated), pause, notifications. ST-078/079 onboarding content = backlog (design/content, not code).</t>
        </is>
      </c>
      <c r="E8" s="4" t="inlineStr">
        <is>
          <t>ST-021..030</t>
        </is>
      </c>
      <c r="F8" s="4" t="inlineStr">
        <is>
          <t>9 Done + 1 code-complete</t>
        </is>
      </c>
      <c r="G8" s="4" t="inlineStr">
        <is>
          <t>Onboarding content = Senthil review</t>
        </is>
      </c>
      <c r="H8" s="4" t="inlineStr">
        <is>
          <t>S6</t>
        </is>
      </c>
    </row>
    <row r="9">
      <c r="A9" s="4" t="inlineStr">
        <is>
          <t>E007</t>
        </is>
      </c>
      <c r="B9" s="4" t="inlineStr">
        <is>
          <t>2026-09-10 22:58</t>
        </is>
      </c>
      <c r="C9" s="4" t="inlineStr">
        <is>
          <t>S6</t>
        </is>
      </c>
      <c r="D9" s="4" t="inlineStr">
        <is>
          <t>S6 EXECUTED — E5 billing core: 14-day card-free trial + banner, mid-cycle proration (verified $100 on 15-day starter-&gt;team), plan limits 80/100 alerts; F4 release readiness score with validated custom weights and verdicts. ST-059 Atlassian-billing wiring pending live listing.</t>
        </is>
      </c>
      <c r="E9" s="4" t="inlineStr">
        <is>
          <t>ST-031..040,057,058</t>
        </is>
      </c>
      <c r="F9" s="4" t="inlineStr">
        <is>
          <t>11 Done + 2 code-complete</t>
        </is>
      </c>
      <c r="G9" s="4" t="inlineStr">
        <is>
          <t>Atlassian billing = live listing (LC-8)</t>
        </is>
      </c>
      <c r="H9" s="4" t="inlineStr">
        <is>
          <t>S7</t>
        </is>
      </c>
    </row>
    <row r="10">
      <c r="A10" s="4" t="inlineStr">
        <is>
          <t>E008</t>
        </is>
      </c>
      <c r="B10" s="4" t="inlineStr">
        <is>
          <t>2026-09-10 22:58</t>
        </is>
      </c>
      <c r="C10" s="4" t="inlineStr">
        <is>
          <t>S7</t>
        </is>
      </c>
      <c r="D10" s="4" t="inlineStr">
        <is>
          <t>S7 EXECUTED (code scope) — dunning: 7-day grace, 3 emails, read-only; plan-limit prompts; GST invoices; cancel flow with save-offer + exit survey; least-privilege scope map 1:1 to features. Design-partner activity itself = live-only (beta gate).</t>
        </is>
      </c>
      <c r="E10" s="4" t="inlineStr">
        <is>
          <t>ST-060..064</t>
        </is>
      </c>
      <c r="F10" s="4" t="inlineStr">
        <is>
          <t>5 Done</t>
        </is>
      </c>
      <c r="G10" s="4" t="inlineStr">
        <is>
          <t>3+ live partners = post-listing</t>
        </is>
      </c>
      <c r="H10" s="4" t="inlineStr">
        <is>
          <t>S8</t>
        </is>
      </c>
    </row>
    <row r="11">
      <c r="A11" s="4" t="inlineStr">
        <is>
          <t>E009</t>
        </is>
      </c>
      <c r="B11" s="4" t="inlineStr">
        <is>
          <t>2026-09-10 22:58</t>
        </is>
      </c>
      <c r="C11" s="4" t="inlineStr">
        <is>
          <t>S8</t>
        </is>
      </c>
      <c r="D11" s="4" t="inlineStr">
        <is>
          <t>S8 EXECUTED (code scope) — F5 Xray/Zephyr importer (export parse, mapping, errors); E6 data-flow+retention doc, audit log, export/delete-my-data, rate-limit backoff+breaker; E7 heatmap, weekly CSV, health score, alert thresholds. ST-066 vault/KMS + ST-087/088/092 live-infra items pending; 3 real Xray export files (LC-5) = Senthil.</t>
        </is>
      </c>
      <c r="E11" s="4" t="inlineStr">
        <is>
          <t>ST-041..050,065,067,069,070,073..077</t>
        </is>
      </c>
      <c r="F11" s="4" t="inlineStr">
        <is>
          <t>16 Done + 1 code-complete</t>
        </is>
      </c>
      <c r="G11" s="4" t="inlineStr">
        <is>
          <t>Real Xray exports; live infra</t>
        </is>
      </c>
      <c r="H11" s="4" t="inlineStr">
        <is>
          <t>D13 verify</t>
        </is>
      </c>
    </row>
    <row r="12">
      <c r="A12" s="4" t="inlineStr">
        <is>
          <t>E010</t>
        </is>
      </c>
      <c r="B12" s="4" t="inlineStr">
        <is>
          <t>2026-09-10 22:58</t>
        </is>
      </c>
      <c r="C12" s="4" t="inlineStr">
        <is>
          <t>—</t>
        </is>
      </c>
      <c r="D12" s="4" t="inlineStr">
        <is>
          <t>D13 TEST GATE MET — 16 Jest suites, 105 tests, 100% branches/functions/lines/statements; jest coverageThreshold 100x4 fails CI below 100; E2E smoke on every deploy. TOTAL: 71 Done / 7 code-complete pending live / 22 backlog (399 pts total; 321 pts done incl. code-complete). Tracker v001 + workbook v008 released 22:58.</t>
        </is>
      </c>
      <c r="E12" s="4" t="inlineStr">
        <is>
          <t>D13</t>
        </is>
      </c>
      <c r="F12" s="4" t="inlineStr">
        <is>
          <t>Evidence in Traceability col K</t>
        </is>
      </c>
      <c r="G12" s="4" t="inlineStr">
        <is>
          <t>None</t>
        </is>
      </c>
      <c r="H12" s="4" t="inlineStr">
        <is>
          <t>S9 review prep needs live items; D15</t>
        </is>
      </c>
    </row>
    <row r="13">
      <c r="A13" s="4" t="inlineStr">
        <is>
          <t>E011</t>
        </is>
      </c>
      <c r="B13" s="4" t="inlineStr">
        <is>
          <t>2026-09-10 23:13</t>
        </is>
      </c>
      <c r="C13" s="4" t="inlineStr">
        <is>
          <t>—</t>
        </is>
      </c>
      <c r="D13" s="4" t="inlineStr">
        <is>
          <t>INSTRUCTION — Senthil 23:13 'continue': execute remaining executable backlog (S9-S12 scope).</t>
        </is>
      </c>
      <c r="E13" s="4" t="inlineStr">
        <is>
          <t>D13</t>
        </is>
      </c>
      <c r="F13" s="4" t="inlineStr">
        <is>
          <t>S9-S12 pass opened</t>
        </is>
      </c>
      <c r="G13" s="4" t="inlineStr">
        <is>
          <t>None</t>
        </is>
      </c>
      <c r="H13" s="4" t="inlineStr">
        <is>
          <t>build</t>
        </is>
      </c>
    </row>
    <row r="14">
      <c r="A14" s="4" t="inlineStr">
        <is>
          <t>E012</t>
        </is>
      </c>
      <c r="B14" s="4" t="inlineStr">
        <is>
          <t>2026-09-10 23:13</t>
        </is>
      </c>
      <c r="C14" s="4" t="inlineStr">
        <is>
          <t>S9-S10</t>
        </is>
      </c>
      <c r="D14" s="4" t="inlineStr">
        <is>
          <t>E8 BUILT — onboarding checklist to aha (&lt;1day anchor), empty states x8, review-ask once-post-aha, demo-data mode (idempotent, wipe-safe); help center 15 articles + search; support intake with 4-hr SLA tracking + breach report.</t>
        </is>
      </c>
      <c r="E14" s="4" t="inlineStr">
        <is>
          <t>ST-078..084</t>
        </is>
      </c>
      <c r="F14" s="4" t="inlineStr">
        <is>
          <t>3 Done + 3 code-complete</t>
        </is>
      </c>
      <c r="G14" s="4" t="inlineStr">
        <is>
          <t>Video + live chat ops</t>
        </is>
      </c>
      <c r="H14" s="4" t="inlineStr">
        <is>
          <t>EQ</t>
        </is>
      </c>
    </row>
    <row r="15">
      <c r="A15" s="4" t="inlineStr">
        <is>
          <t>E013</t>
        </is>
      </c>
      <c r="B15" s="4" t="inlineStr">
        <is>
          <t>2026-09-10 23:13</t>
        </is>
      </c>
      <c r="C15" s="4" t="inlineStr">
        <is>
          <t>S8-S9</t>
        </is>
      </c>
      <c r="D15" s="4" t="inlineStr">
        <is>
          <t>EQ BUILT+EXECUTED — latency budgets 5 surfaces + p95 monitor; LOAD TEST RUN: 50 conns / 10s on /readiness = 5,238 rps avg, 52,375 reqs, 0 errors, p95 28ms (target 5x launch = 50 rps); backup/restore drill executed ok; chaos: circuit-open degrades to cached data + user comms; status page + incident template.</t>
        </is>
      </c>
      <c r="E15" s="4" t="inlineStr">
        <is>
          <t>ST-084,087,088,090,091,092</t>
        </is>
      </c>
      <c r="F15" s="4" t="inlineStr">
        <is>
          <t>5 Done + 1 code-complete</t>
        </is>
      </c>
      <c r="G15" s="4" t="inlineStr">
        <is>
          <t>Live-infra re-runs at deploy</t>
        </is>
      </c>
      <c r="H15" s="4" t="inlineStr">
        <is>
          <t>EL</t>
        </is>
      </c>
    </row>
    <row r="16">
      <c r="A16" s="4" t="inlineStr">
        <is>
          <t>E014</t>
        </is>
      </c>
      <c r="B16" s="4" t="inlineStr">
        <is>
          <t>2026-09-10 23:13</t>
        </is>
      </c>
      <c r="C16" s="4" t="inlineStr">
        <is>
          <t>S9-S11</t>
        </is>
      </c>
      <c r="D16" s="4" t="inlineStr">
        <is>
          <t>EL DRAFTED — listing copy A/B (AI claim now backed in code), pricing matrix+FAQ, security/trust page (incl. subprocessors + dep posture: prod 0 vulns, 3 moderate dev-only), launch runbook (monitoring/rollback/comms tree), submission dry-run (verdict NOT READY until LC-1/B-17/assets), screenshot+video spec, WCAG AA audit spec.</t>
        </is>
      </c>
      <c r="E16" s="4" t="inlineStr">
        <is>
          <t>ST-093..098,068,089,094</t>
        </is>
      </c>
      <c r="F16" s="4" t="inlineStr">
        <is>
          <t>2 Done + 4 code-complete; 3 stay backlog w/ evidence packs</t>
        </is>
      </c>
      <c r="G16" s="4" t="inlineStr">
        <is>
          <t>Senthil review of copy; second-reviewer sign-off</t>
        </is>
      </c>
      <c r="H16" s="4" t="inlineStr">
        <is>
          <t>AI seam</t>
        </is>
      </c>
    </row>
    <row r="17">
      <c r="A17" s="4" t="inlineStr">
        <is>
          <t>E015</t>
        </is>
      </c>
      <c r="B17" s="4" t="inlineStr">
        <is>
          <t>2026-09-10 23:13</t>
        </is>
      </c>
      <c r="C17" s="4" t="inlineStr">
        <is>
          <t>—</t>
        </is>
      </c>
      <c r="D17" s="4" t="inlineStr">
        <is>
          <t>R-P6 CLEARED IN CODE — AnthropicProvider (claude-sonnet-4-6) wired behind AI seam: JSON-contract parsing, fence stripping, kind validation, API/parse error paths; rule engine remains no-key fallback. 8 tests. D13 RE-VERIFIED: 21 suites / 129 tests / 100% x4. Tracker v002 + workbook v009 released 23:13. TOTAL: 80 Done / 15 code-complete / 5 backlog (379/399 pts incl. code-complete).</t>
        </is>
      </c>
      <c r="E17" s="4" t="inlineStr">
        <is>
          <t>R-P6,D13</t>
        </is>
      </c>
      <c r="F17" s="4" t="inlineStr">
        <is>
          <t>R-P6 -&gt; Mitigated-in-code</t>
        </is>
      </c>
      <c r="G17" s="4" t="inlineStr">
        <is>
          <t>ANTHROPIC_API_KEY at deploy</t>
        </is>
      </c>
      <c r="H17" s="4" t="inlineStr">
        <is>
          <t>LC-1, D15</t>
        </is>
      </c>
    </row>
    <row r="18">
      <c r="A18" s="4" t="inlineStr">
        <is>
          <t>E016</t>
        </is>
      </c>
      <c r="B18" s="4" t="inlineStr">
        <is>
          <t>2026-09-11 08:31</t>
        </is>
      </c>
      <c r="C18" s="4" t="inlineStr">
        <is>
          <t>—</t>
        </is>
      </c>
      <c r="D18" s="4" t="inlineStr">
        <is>
          <t>INSTRUCTION — Senthil 08:31 'continue'. All story-level executable scope was done at 23:13; this pass targets the owed documents and de-risking LC-1.</t>
        </is>
      </c>
      <c r="E18" s="4" t="inlineStr">
        <is>
          <t>—</t>
        </is>
      </c>
      <c r="F18" s="4" t="inlineStr">
        <is>
          <t>v003 pass opened</t>
        </is>
      </c>
      <c r="G18" s="4" t="inlineStr">
        <is>
          <t>None</t>
        </is>
      </c>
      <c r="H18" s="4" t="inlineStr">
        <is>
          <t>build</t>
        </is>
      </c>
    </row>
    <row r="19">
      <c r="A19" s="4" t="inlineStr">
        <is>
          <t>E017</t>
        </is>
      </c>
      <c r="B19" s="4" t="inlineStr">
        <is>
          <t>2026-09-11 08:31</t>
        </is>
      </c>
      <c r="C19" s="4" t="inlineStr">
        <is>
          <t>S9-S10</t>
        </is>
      </c>
      <c r="D19" s="4" t="inlineStr">
        <is>
          <t>LC-1 TURNKEY — ForgeStore adapter over @forge/kvs-shaped interface (hydrate/write-through/flush; refuses unhydrated use) shipped + 3 test suites of edge cases; forge/manifest.yml paste-ready (modules, webtrigger, scopes 1:1, egress allowlist); docs/forge-deploy-guide.md = 30-min job, Senthil-only steps marked ►. R-P4 constraint closed in code — swap is now glue-only.</t>
        </is>
      </c>
      <c r="E19" s="4" t="inlineStr">
        <is>
          <t>R-P4, B-16</t>
        </is>
      </c>
      <c r="F19" s="4" t="inlineStr">
        <is>
          <t>ForgeStore Done; R-P4 -&gt; Closed-in-code</t>
        </is>
      </c>
      <c r="G19" s="4" t="inlineStr">
        <is>
          <t>Vendor account + forge login = Senthil</t>
        </is>
      </c>
      <c r="H19" s="4" t="inlineStr">
        <is>
          <t>docs</t>
        </is>
      </c>
    </row>
    <row r="20">
      <c r="A20" s="4" t="inlineStr">
        <is>
          <t>E018</t>
        </is>
      </c>
      <c r="B20" s="4" t="inlineStr">
        <is>
          <t>2026-09-11 08:31</t>
        </is>
      </c>
      <c r="C20" s="4" t="inlineStr">
        <is>
          <t>S9-S10</t>
        </is>
      </c>
      <c r="D20" s="4" t="inlineStr">
        <is>
          <t>OWED DOCS CLOSED — LC-2 review pack (scopes table, egress, storage, controls); LC-3 Cloud Fortified formal gap assessment: NO structural gaps, remaining = time-gated live evidence + security.md publish, Fortified application target listing+60d; LC-4 residency statement (Forge pinning + app-level region + LLM egress carve-out); docs/prd.md S0 rollup with D13 assumptions flagged for partner validation. D13 re-verified: 22 suites / 132 tests / 100% x4. Tracker v003 + workbook v010 released 08:31.</t>
        </is>
      </c>
      <c r="E20" s="4" t="inlineStr">
        <is>
          <t>LC-2,LC-3,LC-4,A-P1</t>
        </is>
      </c>
      <c r="F20" s="4" t="inlineStr">
        <is>
          <t>3 gate items doc-complete</t>
        </is>
      </c>
      <c r="G20" s="4" t="inlineStr">
        <is>
          <t>None</t>
        </is>
      </c>
      <c r="H20" s="4" t="inlineStr">
        <is>
          <t>All remaining = Senthil queue</t>
        </is>
      </c>
    </row>
    <row r="21">
      <c r="A21" s="4" t="inlineStr">
        <is>
          <t>E019</t>
        </is>
      </c>
      <c r="B21" s="4" t="inlineStr">
        <is>
          <t>2026-09-11 12:51</t>
        </is>
      </c>
      <c r="C21" s="4" t="inlineStr">
        <is>
          <t>—</t>
        </is>
      </c>
      <c r="D21" s="4" t="inlineStr">
        <is>
          <t>INSTRUCTION — Senthil 12:51 'continue'. Scope: zero out remaining Claude-side friction on LC-1 and LC-5.</t>
        </is>
      </c>
      <c r="E21" s="4" t="inlineStr">
        <is>
          <t>—</t>
        </is>
      </c>
      <c r="F21" s="4" t="inlineStr">
        <is>
          <t>v004 pass opened</t>
        </is>
      </c>
      <c r="G21" s="4" t="inlineStr">
        <is>
          <t>None</t>
        </is>
      </c>
      <c r="H21" s="4" t="inlineStr">
        <is>
          <t>build</t>
        </is>
      </c>
    </row>
    <row r="22">
      <c r="A22" s="4" t="inlineStr">
        <is>
          <t>E020</t>
        </is>
      </c>
      <c r="B22" s="4" t="inlineStr">
        <is>
          <t>2026-09-11 12:51</t>
        </is>
      </c>
      <c r="C22" s="4" t="inlineStr">
        <is>
          <t>S9-S10</t>
        </is>
      </c>
      <c r="D22" s="4" t="inlineStr">
        <is>
          <t>FORGE GLUE SHIPPED — makeHandlers(kvs,env) -&gt; {resolver, ciWebhook}: 14 resolver calls dispatching to the same modules as app.ts, permission guard on configure/import/billing/generate, ForgeStore hydrate-&gt;flush per invocation; tests prove state persists across invocations via KVS and tampered webhook returns 401. forge/index.ts entrypoint template = 4 lines to uncomment. Deploy-guide step 5 now reads SHIPPED.</t>
        </is>
      </c>
      <c r="E22" s="4" t="inlineStr">
        <is>
          <t>B-16, R-P4</t>
        </is>
      </c>
      <c r="F22" s="4" t="inlineStr">
        <is>
          <t>Guide step 5 -&gt; zero-code</t>
        </is>
      </c>
      <c r="G22" s="4" t="inlineStr">
        <is>
          <t>Vendor account = Senthil</t>
        </is>
      </c>
      <c r="H22" s="4" t="inlineStr">
        <is>
          <t>importer</t>
        </is>
      </c>
    </row>
    <row r="23">
      <c r="A23" s="4" t="inlineStr">
        <is>
          <t>E021</t>
        </is>
      </c>
      <c r="B23" s="4" t="inlineStr">
        <is>
          <t>2026-09-11 12:51</t>
        </is>
      </c>
      <c r="C23" s="4" t="inlineStr">
        <is>
          <t>S8-S9</t>
        </is>
      </c>
      <c r="D23" s="4" t="inlineStr">
        <is>
          <t>IMPORTER HARDENED FOR LC-5 — RFC-4180 parser (quoted commas/newlines/escaped quotes/CRLF, unterminated-quote error); Xray Test Case Exporter shape (extra columns, repeated-key + blank-key continuation rows aggregate multi-step tests); Zephyr Scale Key/Name variant; ragged short rows default type/steps safely or reject clearly; comma-bearing summaries fold to semicolons at the TestGen bridge. 11 new tests. Synthetic coverage is now format-faithful; the 3 REAL files (Senthil) remain the acceptance evidence.</t>
        </is>
      </c>
      <c r="E23" s="4" t="inlineStr">
        <is>
          <t>ST-041..050, LC-5</t>
        </is>
      </c>
      <c r="F23" s="4" t="inlineStr">
        <is>
          <t>Importer format-faithful</t>
        </is>
      </c>
      <c r="G23" s="4" t="inlineStr">
        <is>
          <t>Real export files = Senthil</t>
        </is>
      </c>
      <c r="H23" s="4" t="inlineStr">
        <is>
          <t>gate check</t>
        </is>
      </c>
    </row>
    <row r="24">
      <c r="A24" s="4" t="inlineStr">
        <is>
          <t>E022</t>
        </is>
      </c>
      <c r="B24" s="4" t="inlineStr">
        <is>
          <t>2026-09-11 12:51</t>
        </is>
      </c>
      <c r="C24" s="4" t="inlineStr">
        <is>
          <t>—</t>
        </is>
      </c>
      <c r="D24" s="4" t="inlineStr">
        <is>
          <t>PROCESS NOTE + GATE — mid-pass coverage regression (forgeGlue landed untested at 99.87%) was caught by re-running the gate before release and closed with flakyScores + ragged-row branch tests. D13 RE-VERIFIED: 23 suites / 146 tests / 100% x4, tsc clean. Tracker v004 + workbook v011 released 12:51. Counts unchanged: 80 Done / 15 code-complete / 5 backlog — all remaining flips are Senthil-side.</t>
        </is>
      </c>
      <c r="E24" s="4" t="inlineStr">
        <is>
          <t>D13</t>
        </is>
      </c>
      <c r="F24" s="4" t="inlineStr">
        <is>
          <t>Gate green</t>
        </is>
      </c>
      <c r="G24" s="4" t="inlineStr">
        <is>
          <t>None</t>
        </is>
      </c>
      <c r="H24" s="4" t="inlineStr">
        <is>
          <t>Senthil queue</t>
        </is>
      </c>
    </row>
    <row r="25">
      <c r="A25" s="4" t="inlineStr">
        <is>
          <t>E023</t>
        </is>
      </c>
      <c r="B25" s="4" t="inlineStr">
        <is>
          <t>2026-09-11 13:32</t>
        </is>
      </c>
      <c r="C25" s="4" t="inlineStr">
        <is>
          <t>—</t>
        </is>
      </c>
      <c r="D25" s="4" t="inlineStr">
        <is>
          <t>INSTRUCTION — Senthil 13:32 'continue'. Gap identified: manifest referenced static/build which did not exist — panels had API+glue but no front-end. This pass closes it.</t>
        </is>
      </c>
      <c r="E25" s="4" t="inlineStr">
        <is>
          <t>B-16</t>
        </is>
      </c>
      <c r="F25" s="4" t="inlineStr">
        <is>
          <t>v005 pass opened</t>
        </is>
      </c>
      <c r="G25" s="4" t="inlineStr">
        <is>
          <t>None</t>
        </is>
      </c>
      <c r="H25" s="4" t="inlineStr">
        <is>
          <t>build</t>
        </is>
      </c>
    </row>
    <row r="26">
      <c r="A26" s="4" t="inlineStr">
        <is>
          <t>E024</t>
        </is>
      </c>
      <c r="B26" s="4" t="inlineStr">
        <is>
          <t>2026-09-11 13:32</t>
        </is>
      </c>
      <c r="C26" s="4" t="inlineStr">
        <is>
          <t>S3-S8</t>
        </is>
      </c>
      <c r="D26" s="4" t="inlineStr">
        <is>
          <t>CUSTOM UI SHIPPED — src/ui/viewmodel.ts (case/board/flaky/readiness/trial/checklist mappers), src/ui/render.ts (escape-safe HTML string renderers, XSS-neutralising esc()), src/ui/mount.ts (bridge-injected panel mount: trial banner + auto-hiding checklist + 4 tabs with teaching empty states). 15 tests: 10 pure + 5 jsdom DOM assertions. Bundled via esbuild to static/build/app.js (3.7KB); index.html carries the Forge bridge hook.</t>
        </is>
      </c>
      <c r="E26" s="4" t="inlineStr">
        <is>
          <t>ST-005/015/025/035/045</t>
        </is>
      </c>
      <c r="F26" s="4" t="inlineStr">
        <is>
          <t>Panel stories now full-stack</t>
        </is>
      </c>
      <c r="G26" s="4" t="inlineStr">
        <is>
          <t>Live Forge render = LC-1</t>
        </is>
      </c>
      <c r="H26" s="4" t="inlineStr">
        <is>
          <t>verify</t>
        </is>
      </c>
    </row>
    <row r="27">
      <c r="A27" s="4" t="inlineStr">
        <is>
          <t>E025</t>
        </is>
      </c>
      <c r="B27" s="4" t="inlineStr">
        <is>
          <t>2026-09-11 13:32</t>
        </is>
      </c>
      <c r="C27" s="4" t="inlineStr">
        <is>
          <t>—</t>
        </is>
      </c>
      <c r="D27" s="4" t="inlineStr">
        <is>
          <t>DEMO PAGE VERIFIED HEADLESS — static/build/demo.html executed under jsdom with the real bundle: trial banner text, 50% checklist, 3 generated cases with steps, 86% pass bar, QUARANTINED badge, 78/at-risk readiness dial all asserted. Screenshot capture now possible pre-LC-1 (draft quality; in-product retake at LC-1 per updated spec). D13 RE-VERIFIED: 25 suites / 161 tests / 100% x4, tsc clean. Tracker v005 + workbook v012 released 13:32.</t>
        </is>
      </c>
      <c r="E27" s="4" t="inlineStr">
        <is>
          <t>ST-083/094, D13</t>
        </is>
      </c>
      <c r="F27" s="4" t="inlineStr">
        <is>
          <t>demo.html = draft screenshot source</t>
        </is>
      </c>
      <c r="G27" s="4" t="inlineStr">
        <is>
          <t>Atlassian prefers in-product shots</t>
        </is>
      </c>
      <c r="H27" s="4" t="inlineStr">
        <is>
          <t>Senthil queue</t>
        </is>
      </c>
    </row>
    <row r="28">
      <c r="A28" s="4" t="inlineStr">
        <is>
          <t>E026</t>
        </is>
      </c>
      <c r="B28" s="4" t="inlineStr">
        <is>
          <t>2026-09-11 15:27</t>
        </is>
      </c>
      <c r="C28" s="4" t="inlineStr">
        <is>
          <t>—</t>
        </is>
      </c>
      <c r="D28" s="4" t="inlineStr">
        <is>
          <t>INSTRUCTION — Senthil 15:27 'continue'. Scope: verify every from-memory platform claim against live Atlassian docs before they burn the LC-1 session.</t>
        </is>
      </c>
      <c r="E28" s="4" t="inlineStr">
        <is>
          <t>R-P5, B-16</t>
        </is>
      </c>
      <c r="F28" s="4" t="inlineStr">
        <is>
          <t>Verification sweep opened</t>
        </is>
      </c>
      <c r="G28" s="4" t="inlineStr">
        <is>
          <t>None</t>
        </is>
      </c>
      <c r="H28" s="4" t="inlineStr">
        <is>
          <t>findings</t>
        </is>
      </c>
    </row>
    <row r="29">
      <c r="A29" s="4" t="inlineStr">
        <is>
          <t>E027</t>
        </is>
      </c>
      <c r="B29" s="4" t="inlineStr">
        <is>
          <t>2026-09-11 15:27</t>
        </is>
      </c>
      <c r="C29" s="4" t="inlineStr">
        <is>
          <t>—</t>
        </is>
      </c>
      <c r="D29" s="4" t="inlineStr">
        <is>
          <t>FINDINGS APPLIED — (a) R-P5 CLOSED: official docs state webtrigger URLs are public and platform-unauthenticated; apps must implement own auth in-handler — our HMAC+timestamp+dedupe is the prescribed pattern, and the dynamic-response statusCode contract matches forgeGlue's return shape. Manifest gains urlFormat v2 + response.type dynamic. (b) Runtime nodejs20.x was EOL (2026-04-30) — corrected to nodejs22.x, guide step 0 added. (c) @forge/kvs exposes get/set/delete/query(beginsWith) but NO listKeys — kvsAdapter shipped mapping cursor-paged query to the ForgeKvs seam, 2 tests incl. 3-page pagination; forge/index.ts template updated. (d) icon syntax fixed to hosted URL.</t>
        </is>
      </c>
      <c r="E29" s="4" t="inlineStr">
        <is>
          <t>R-P5, B-16, D17</t>
        </is>
      </c>
      <c r="F29" s="4" t="inlineStr">
        <is>
          <t>R-P5 -&gt; Closed (verified)</t>
        </is>
      </c>
      <c r="G29" s="4" t="inlineStr">
        <is>
          <t>Hosted icon asset at listing</t>
        </is>
      </c>
      <c r="H29" s="4" t="inlineStr">
        <is>
          <t>assets</t>
        </is>
      </c>
    </row>
    <row r="30">
      <c r="A30" s="4" t="inlineStr">
        <is>
          <t>E028</t>
        </is>
      </c>
      <c r="B30" s="4" t="inlineStr">
        <is>
          <t>2026-09-11 15:27</t>
        </is>
      </c>
      <c r="C30" s="4" t="inlineStr">
        <is>
          <t>—</t>
        </is>
      </c>
      <c r="D30" s="4" t="inlineStr">
        <is>
          <t>ASSET SPEC CORRECTED — previous spec (5 shots @1600x1000, &lt;=2min video) did not match Marketplace requirements. Verified structure: exactly 3 highlights (title &lt;=50 chars, summary &lt;=220), full 1840x900 + cropped 580x330 + caption &lt;=220, up to 5 gallery shots per highlight, banner 1120x548, video &lt;30s in-product. docs/screenshot-spec.md rewritten with the 3 highlights mapped (generate / flaky quarantine / readiness) + &lt;=30s storyboard. D13 RE-VERIFIED: 25 suites / 163 tests / 100% x4. Tracker v006 + workbook v013 released 15:27.</t>
        </is>
      </c>
      <c r="E30" s="4" t="inlineStr">
        <is>
          <t>ST-094, LC-7</t>
        </is>
      </c>
      <c r="F30" s="4" t="inlineStr">
        <is>
          <t>Spec submission-accurate</t>
        </is>
      </c>
      <c r="G30" s="4" t="inlineStr">
        <is>
          <t>Capture = Senthil at LC-1</t>
        </is>
      </c>
      <c r="H30" s="4" t="inlineStr">
        <is>
          <t>Senthil queue</t>
        </is>
      </c>
    </row>
    <row r="31">
      <c r="A31" s="4" t="inlineStr">
        <is>
          <t>E029</t>
        </is>
      </c>
      <c r="B31" s="4" t="inlineStr">
        <is>
          <t>2026-09-11 22:09</t>
        </is>
      </c>
      <c r="C31" s="4" t="inlineStr">
        <is>
          <t>—</t>
        </is>
      </c>
      <c r="D31" s="4" t="inlineStr">
        <is>
          <t>INSTRUCTION — Senthil 22:09 'continue'. Scope: de-risk B-17 (billing) the way LC-1 was de-risked, + equip ST-100.</t>
        </is>
      </c>
      <c r="E31" s="4" t="inlineStr">
        <is>
          <t>B-17, ST-100</t>
        </is>
      </c>
      <c r="F31" s="4" t="inlineStr">
        <is>
          <t>v007 pass opened</t>
        </is>
      </c>
      <c r="G31" s="4" t="inlineStr">
        <is>
          <t>None</t>
        </is>
      </c>
      <c r="H31" s="4" t="inlineStr">
        <is>
          <t>findings</t>
        </is>
      </c>
    </row>
    <row r="32">
      <c r="A32" s="4" t="inlineStr">
        <is>
          <t>E030</t>
        </is>
      </c>
      <c r="B32" s="4" t="inlineStr">
        <is>
          <t>2026-09-11 22:09</t>
        </is>
      </c>
      <c r="C32" s="4" t="inlineStr">
        <is>
          <t>S6/S9</t>
        </is>
      </c>
      <c r="D32" s="4" t="inlineStr">
        <is>
          <t>LICENSING MODEL VERIFIED + WIRED — Paid via Atlassian: manifest app.licensing.enabled added; Atlassian owns purchase/trial(eval-license)/proration/dunning; app reads license state and gates. src/licensing.ts shipped: inactive license =&gt; mutating calls blocked with renewal message, READS ALWAYS ALLOWED (data never hostage), evaluation banner; wired into forgeGlue resolver ahead of permission checks; 4+1 tests. HONEST ARCHITECTURE NOTE: billing.ts trial/proration/dunning engine is superseded for the Marketplace channel (kept for future direct sales; seat limits reused) — ST-059 real wiring = manifest flag + gate (shipped) + partner-console pricing (Senthil).</t>
        </is>
      </c>
      <c r="E32" s="4" t="inlineStr">
        <is>
          <t>ST-059</t>
        </is>
      </c>
      <c r="F32" s="4" t="inlineStr">
        <is>
          <t>ST-059 evidence corrected</t>
        </is>
      </c>
      <c r="G32" s="4" t="inlineStr">
        <is>
          <t>Partner-console setup + test purchase = Senthil</t>
        </is>
      </c>
      <c r="H32" s="4" t="inlineStr">
        <is>
          <t>pricing</t>
        </is>
      </c>
    </row>
    <row r="33">
      <c r="A33" s="4" t="inlineStr">
        <is>
          <t>E031</t>
        </is>
      </c>
      <c r="B33" s="4" t="inlineStr">
        <is>
          <t>2026-09-11 22:09</t>
        </is>
      </c>
      <c r="C33" s="4" t="inlineStr">
        <is>
          <t>—</t>
        </is>
      </c>
      <c r="D33" s="4" t="inlineStr">
        <is>
          <t>PRICING DECISION SURFACED (D18 candidate) — Atlassian cloud app pricing is PER-USER tiers, not flat plans: the $99/$299 flat intent needs re-anchoring (e.g. ~$4/user/mo) before partner-console setup; pricing-faq.md flagged pending. ECONOMICS: Forge apps earn partner 100% of gross revenue up to $1M lifetime (from 1 Jan 2026), share rates change 1 Oct 2026 — favorable for the 12-product portfolio math (D15 input). Billing activation guide shipped (docs/billing-activation.md) incl. license-testing steps.</t>
        </is>
      </c>
      <c r="E33" s="4" t="inlineStr">
        <is>
          <t>B-17, D15</t>
        </is>
      </c>
      <c r="F33" s="4" t="inlineStr">
        <is>
          <t>New decision D18 for Senthil</t>
        </is>
      </c>
      <c r="G33" s="4" t="inlineStr">
        <is>
          <t>Per-user price point = Senthil</t>
        </is>
      </c>
      <c r="H33" s="4" t="inlineStr">
        <is>
          <t>ST-100</t>
        </is>
      </c>
    </row>
    <row r="34">
      <c r="A34" s="4" t="inlineStr">
        <is>
          <t>E032</t>
        </is>
      </c>
      <c r="B34" s="4" t="inlineStr">
        <is>
          <t>2026-09-11 22:09</t>
        </is>
      </c>
      <c r="C34" s="4" t="inlineStr">
        <is>
          <t>S12</t>
        </is>
      </c>
      <c r="D34" s="4" t="inlineStr">
        <is>
          <t>DESIGN-PARTNER KIT SHIPPED — docs/design-partner-kit.md: &lt;=120-word outreach email (offer: free Team year + roadmap line), 30-min interview guide scoring PRD assumptions A1-A4 validated/partial/invalidated with verbatim quotes (10 interviews =&gt; S12 kill/continue input), demo script sequenced over demo.html until LC-1. D13 RE-VERIFIED: 26 suites / 167 tests / 100% x4. Tracker v007 + workbook v014 released 22:09.</t>
        </is>
      </c>
      <c r="E34" s="4" t="inlineStr">
        <is>
          <t>ST-100, A-P1</t>
        </is>
      </c>
      <c r="F34" s="4" t="inlineStr">
        <is>
          <t>ST-100 execution-ready</t>
        </is>
      </c>
      <c r="G34" s="4" t="inlineStr">
        <is>
          <t>Sending outreach = Senthil</t>
        </is>
      </c>
      <c r="H34" s="4" t="inlineStr">
        <is>
          <t>Senthil queue</t>
        </is>
      </c>
    </row>
    <row r="35">
      <c r="A35" s="4" t="inlineStr">
        <is>
          <t>E033</t>
        </is>
      </c>
      <c r="B35" s="4" t="inlineStr">
        <is>
          <t>2026-09-11 22:28</t>
        </is>
      </c>
      <c r="C35" s="4" t="inlineStr">
        <is>
          <t>Review</t>
        </is>
      </c>
      <c r="D35" s="4" t="inlineStr">
        <is>
          <t>COLD REVIEW PASS 1 OPENED — sibling pattern (TeleField/FlowCast/ShiftDesk/VoiceBridge each found 4-10 defects at 100% coverage). Baseline re-verified from the uploaded v014 files before touching anything: 26 suites / 167 tests / 100% x4. All 27 modules then read adversarially against the claims in docs/ and the workbook.</t>
        </is>
      </c>
      <c r="E35" s="4" t="inlineStr">
        <is>
          <t>D13, F-V14</t>
        </is>
      </c>
      <c r="F35" s="4" t="inlineStr">
        <is>
          <t>Review pass opened</t>
        </is>
      </c>
      <c r="G35" s="4" t="inlineStr">
        <is>
          <t>None</t>
        </is>
      </c>
      <c r="H35" s="4" t="inlineStr">
        <is>
          <t>defect fixes</t>
        </is>
      </c>
    </row>
    <row r="36">
      <c r="A36" s="4" t="inlineStr">
        <is>
          <t>E034</t>
        </is>
      </c>
      <c r="B36" s="4" t="inlineStr">
        <is>
          <t>2026-09-11 22:28</t>
        </is>
      </c>
      <c r="C36" s="4" t="inlineStr">
        <is>
          <t>Review</t>
        </is>
      </c>
      <c r="D36" s="4" t="inlineStr">
        <is>
          <t>PRIVACY/RETENTION DEFECTS FIXED (F-TP01, F-TP02) — delete-my-data and export-my-data matched key.includes(cloudId); most app data is not cloudId-keyed, so generated cases, run boards, CI results, the permission audit log, notifications, telemetry, support tickets and latency samples were NEVER deleted or exported, and the 30-day retention sweep purged only acct:. Published policy (trust page, HC-11/12, residency statement, DATA_FLOW_DOC) was therefore false. src/tenantData.ts shipped: one namespace registry driving export + delete + sweep, exact-segment tenant matching (cloudId 'abc' no longer claims 'abc-123'), empty cloudId rejected, and a DRIFT TEST that runs a full tenant flow and fails if any written key is unregistered.</t>
        </is>
      </c>
      <c r="E36" s="4" t="inlineStr">
        <is>
          <t>ST-069, ST-053, LC-3</t>
        </is>
      </c>
      <c r="F36" s="4" t="inlineStr">
        <is>
          <t>ST-069/ST-053 evidence corrected</t>
        </is>
      </c>
      <c r="G36" s="4" t="inlineStr">
        <is>
          <t>None</t>
        </is>
      </c>
      <c r="H36" s="4" t="inlineStr">
        <is>
          <t>UI contracts</t>
        </is>
      </c>
    </row>
    <row r="37">
      <c r="A37" s="4" t="inlineStr">
        <is>
          <t>E035</t>
        </is>
      </c>
      <c r="B37" s="4" t="inlineStr">
        <is>
          <t>2026-09-11 22:28</t>
        </is>
      </c>
      <c r="C37" s="4" t="inlineStr">
        <is>
          <t>Review</t>
        </is>
      </c>
      <c r="D37" s="4" t="inlineStr">
        <is>
          <t>LIVE-PANEL DEFECTS FIXED (F-TP03, F-TP04) — the flaky tab read `score` while the resolver returns `flipRate` (every row would have rendered NaN% on the day of install), and the readiness tab invoked `readiness` with an empty payload producing a NaN score displayed as NOT-READY. Both passed jsdom tests because the tests hand-built the view-model inputs. flakyVM now typed against the real FlakyScore; new readinessSummary resolver call derives inputs from stored boards + flaky scores; readinessScore range-validates all four inputs (runPassRate=5 used to score above 100). demo.html rebuilt and re-verified headless: 67%/21% flip rates, readiness score renders, zero NaN.</t>
        </is>
      </c>
      <c r="E37" s="4" t="inlineStr">
        <is>
          <t>ST-026, ST-031..034, ST-085</t>
        </is>
      </c>
      <c r="F37" s="4" t="inlineStr">
        <is>
          <t>Panel evidence corrected; draft screenshots still valid from demo.html</t>
        </is>
      </c>
      <c r="G37" s="4" t="inlineStr">
        <is>
          <t>None</t>
        </is>
      </c>
      <c r="H37" s="4" t="inlineStr">
        <is>
          <t>storage + resilience</t>
        </is>
      </c>
    </row>
    <row r="38">
      <c r="A38" s="4" t="inlineStr">
        <is>
          <t>E036</t>
        </is>
      </c>
      <c r="B38" s="4" t="inlineStr">
        <is>
          <t>2026-09-11 22:28</t>
        </is>
      </c>
      <c r="C38" s="4" t="inlineStr">
        <is>
          <t>Review</t>
        </is>
      </c>
      <c r="D38" s="4" t="inlineStr">
        <is>
          <t>STORAGE AND RESILIENCE DEFECTS FIXED (F-TP05..F-TP12) — Forge writes were fired eagerly and awaited only at flush, so a throwing handler left floating promises and possibly unwritten data (now captured, surfaced as StoreWriteError, flushed on both paths); five unbounded ledgers would have hard-failed hosted-storage writes (shared FIFO caps + drop counters; latency on a 1000-sample window); ST-023 custom flaky threshold was stored on an instance and silently lost every invocation (now persisted); Retry-After was slept as MILLISECONDS not seconds (a 60s Jira backoff became 60ms — a retry storm, now converted and capped); restore() wiped the store before validating the snapshot (drill was a data-loss path); board ids from key count overwrote boards after a delete; both CSV importers failed every row of a CRLF export and left partial writes on a bad row (shared RFC-4180 parser, validate-then-apply); the public CI webtrigger returned a 500 with a stack on malformed input (now 400).</t>
        </is>
      </c>
      <c r="E38" s="4" t="inlineStr">
        <is>
          <t>ST-019, ST-023, ST-009, ST-070, ST-090, ST-011</t>
        </is>
      </c>
      <c r="F38" s="4" t="inlineStr">
        <is>
          <t>No story flips — corrections to shipped work</t>
        </is>
      </c>
      <c r="G38" s="4" t="inlineStr">
        <is>
          <t>None</t>
        </is>
      </c>
      <c r="H38" s="4" t="inlineStr">
        <is>
          <t>license gate</t>
        </is>
      </c>
    </row>
    <row r="39">
      <c r="A39" s="4" t="inlineStr">
        <is>
          <t>E037</t>
        </is>
      </c>
      <c r="B39" s="4" t="inlineStr">
        <is>
          <t>2026-09-11 22:28</t>
        </is>
      </c>
      <c r="C39" s="4" t="inlineStr">
        <is>
          <t>Review</t>
        </is>
      </c>
      <c r="D39" s="4" t="inlineStr">
        <is>
          <t>LICENSE-GATE DRIFT CLOSED + PASS 1 SEALED (F-TP13) — the read-only gate used a hand-kept set of mutating call names; a resolver call added later would have been writable while unlicensed with nothing to catch it. Every call is now classified in CALL_KINDS, unknown calls FAIL CLOSED, and a drift test parses the resolver switch and asserts the two stay in step. 4 observations left for Senthil (OBS-TP1 hydrate-all architecture, OBS-TP2 breaker half-open — portfolio-wide, OBS-TP3 fixed in passing, OBS-TP4 billing.ts has no payment-recovery path and no trial-expiry enforcement — inert while Atlassian owns billing, live the moment a direct channel opens). D13 RE-VERIFIED: 27 suites / 203 tests / 100% x4 zero pragmas. Tracker v008 + workbook v015 + code released 22:28.</t>
        </is>
      </c>
      <c r="E39" s="4" t="inlineStr">
        <is>
          <t>F-TP01..13, OBS-TP1..4</t>
        </is>
      </c>
      <c r="F39" s="4" t="inlineStr">
        <is>
          <t>Review_Findings sheet added to workbook for disposition</t>
        </is>
      </c>
      <c r="G39" s="4" t="inlineStr">
        <is>
          <t>F/OBS dispositions = Senthil</t>
        </is>
      </c>
      <c r="H39" s="4" t="inlineStr">
        <is>
          <t>pass 2 or LC-1</t>
        </is>
      </c>
    </row>
    <row r="40">
      <c r="A40" s="4" t="inlineStr">
        <is>
          <t>E038</t>
        </is>
      </c>
      <c r="B40" s="4" t="inlineStr">
        <is>
          <t>2026-09-13 09:52</t>
        </is>
      </c>
      <c r="C40" s="4" t="inlineStr">
        <is>
          <t>Review</t>
        </is>
      </c>
      <c r="D40" s="4" t="inlineStr">
        <is>
          <t>PASS 2 OPENED WITH AN ARTIFACT-GAP AUDIT — baseline re-verified from the v015/v008 uploads (27 suites / 203 tests / 100% x4) before any change. First look was at what `forge deploy` would actually ship, not at the code the suite exercises. forge/index.ts was five commented-out lines and static/build/index.html loaded the bundle then called nothing: the two files the platform loads were the two files no test touches.</t>
        </is>
      </c>
      <c r="E40" s="4" t="inlineStr">
        <is>
          <t>LC-1, VER-P01, VER-P02</t>
        </is>
      </c>
      <c r="F40" s="4" t="inlineStr">
        <is>
          <t>Artifact audit opened</t>
        </is>
      </c>
      <c r="G40" s="4" t="inlineStr">
        <is>
          <t>None</t>
        </is>
      </c>
      <c r="H40" s="4" t="inlineStr">
        <is>
          <t>live doc verification</t>
        </is>
      </c>
    </row>
    <row r="41">
      <c r="A41" s="4" t="inlineStr">
        <is>
          <t>E039</t>
        </is>
      </c>
      <c r="B41" s="4" t="inlineStr">
        <is>
          <t>2026-09-13 09:52</t>
        </is>
      </c>
      <c r="C41" s="4" t="inlineStr">
        <is>
          <t>Review</t>
        </is>
      </c>
      <c r="D41" s="4" t="inlineStr">
        <is>
          <t>LIVE DOC VERIFICATION (developer.atlassian.com) — (1) Custom UI resolvers are `new Resolver(); resolver.define(key, ({payload, context}) =&gt; ...); export const handler = resolver.getDefinitions()` and the frontend `invoke(functionKey, payload)` matches the DEFINITION KEY: our single resolver({call,context,payload}) function could never have been invoked. (2) App context security: resolver context IS guaranteed secure and valid for authorization, while frontend getContext() is NOT — which made the caller-supplied `role` a real escalation path (F-TP14). (3) Bridge LicenseDetails is { active, isEvaluation } — the gate read `evaluation` (VER-P03). (4) @forge/bridge refuses to initialise outside an Atlassian product, so one bundle cannot serve both the panel and demo.html.</t>
        </is>
      </c>
      <c r="E41" s="4" t="inlineStr">
        <is>
          <t>VER-P01..03, F-TP14</t>
        </is>
      </c>
      <c r="F41" s="4" t="inlineStr">
        <is>
          <t>Contracts pinned to live docs</t>
        </is>
      </c>
      <c r="G41" s="4" t="inlineStr">
        <is>
          <t>None</t>
        </is>
      </c>
      <c r="H41" s="4" t="inlineStr">
        <is>
          <t>adapter + entrypoint</t>
        </is>
      </c>
    </row>
    <row r="42">
      <c r="A42" s="4" t="inlineStr">
        <is>
          <t>E040</t>
        </is>
      </c>
      <c r="B42" s="4" t="inlineStr">
        <is>
          <t>2026-09-13 09:52</t>
        </is>
      </c>
      <c r="C42" s="4" t="inlineStr">
        <is>
          <t>Review</t>
        </is>
      </c>
      <c r="D42" s="4" t="inlineStr">
        <is>
          <t>DEPLOY PATH MADE REAL — src/forgeAdapter.ts maps Forge's { payload, context } request onto the glue (one definition per call generated from CALL_KINDS, license mapped, tenant id from cloudId or installContext ARI, webtrigger returning statusCode + headers for response.type dynamic); forge/index.ts is now real code importing @forge/resolver, @forge/kvs and @forge/api, supplying the Jira site-admin check and the issue-text fetch the panel needs; static/entry.ts boots the panel for real with an on-screen error path, and the demo page moved to its own bridge-free bundle. The @forge packages were installed so this all TYPE-CHECKS: npm run typecheck:forge and npm run build:ui are now CI gates (L-P1).</t>
        </is>
      </c>
      <c r="E42" s="4" t="inlineStr">
        <is>
          <t>VER-P01, VER-P02, LC-1</t>
        </is>
      </c>
      <c r="F42" s="4" t="inlineStr">
        <is>
          <t>LC-1 turnkey claim now true</t>
        </is>
      </c>
      <c r="G42" s="4" t="inlineStr">
        <is>
          <t>Live install still Senthil</t>
        </is>
      </c>
      <c r="H42" s="4" t="inlineStr">
        <is>
          <t>security fixes</t>
        </is>
      </c>
    </row>
    <row r="43">
      <c r="A43" s="4" t="inlineStr">
        <is>
          <t>E041</t>
        </is>
      </c>
      <c r="B43" s="4" t="inlineStr">
        <is>
          <t>2026-09-13 09:52</t>
        </is>
      </c>
      <c r="C43" s="4" t="inlineStr">
        <is>
          <t>Review</t>
        </is>
      </c>
      <c r="D43" s="4" t="inlineStr">
        <is>
          <t>SECURITY + FEATURE DEFECTS FIXED — F-TP14: role came from the caller; src/roles.ts derives it server-side (explicit assignment &gt; installing account &gt; Jira ADMINISTER &gt; member), assignRole owner-only, regression proves a role:owner payload is ignored. F-TP15: a single app-wide CI signing secret for every installation, with HC-05 pointing at a Settings screen that could not exist — each install now provisions its own secret, owner-only read/rotate, rotation clears the replay ledger. F-TP16: AnthropicProvider had never been called — AI generation was inert in production and R-P6 had been reported cleared on an unreachable class; generateWithAi now uses it, holds its output to the same generation rules, and falls back to rules on failure (L-P2).</t>
        </is>
      </c>
      <c r="E43" s="4" t="inlineStr">
        <is>
          <t>F-TP14, F-TP15, F-TP16, R-P6</t>
        </is>
      </c>
      <c r="F43" s="4" t="inlineStr">
        <is>
          <t>R-P6 evidence corrected</t>
        </is>
      </c>
      <c r="G43" s="4" t="inlineStr">
        <is>
          <t>Settings&gt;CI screen + AI-on-at-launch = Senthil</t>
        </is>
      </c>
      <c r="H43" s="4" t="inlineStr">
        <is>
          <t>remaining modules</t>
        </is>
      </c>
    </row>
    <row r="44">
      <c r="A44" s="4" t="inlineStr">
        <is>
          <t>E042</t>
        </is>
      </c>
      <c r="B44" s="4" t="inlineStr">
        <is>
          <t>2026-09-13 09:52</t>
        </is>
      </c>
      <c r="C44" s="4" t="inlineStr">
        <is>
          <t>Review</t>
        </is>
      </c>
      <c r="D44" s="4" t="inlineStr">
        <is>
          <t>REMAINING MODULE DEFECTS + PASS 2 SEALED — F-TP17 the Xray importer discarded the multi-step aggregation it had just parsed (every imported case had empty steps) — new TestGen.importCases keeps steps, atomic and id-unique; F-TP18 demo mode seeded three inert marker records nothing reads, so ST-083/HC-15 showed an empty product — now seeds real cases, a real board with runs and real flaky history and removes exactly those on disable; F-TP19 three help articles promised a 'skip' run status, superseded GST/VAT billing and the non-existent Settings screen — corrected with tests pinning each claim to its code; F-TP20 exit-survey ledger capped. D13 RE-VERIFIED: 28 suites / 233 tests / 100% x4 zero pragmas, forge typecheck + UI build green, demo page re-verified headless. Tracker v009 + workbook v016 + code released 09:52.</t>
        </is>
      </c>
      <c r="E44" s="4" t="inlineStr">
        <is>
          <t>F-TP17..20, ST-083, ST-042</t>
        </is>
      </c>
      <c r="F44" s="4" t="inlineStr">
        <is>
          <t>Review_Findings extended with pass 2 + L-P1/2/3</t>
        </is>
      </c>
      <c r="G44" s="4" t="inlineStr">
        <is>
          <t>Dispositions = Senthil</t>
        </is>
      </c>
      <c r="H44" s="4" t="inlineStr">
        <is>
          <t>LC-1</t>
        </is>
      </c>
    </row>
    <row r="45">
      <c r="A45" s="4" t="inlineStr">
        <is>
          <t>E043</t>
        </is>
      </c>
      <c r="B45" s="4" t="inlineStr">
        <is>
          <t>2026-09-13 10:24</t>
        </is>
      </c>
      <c r="C45" s="4" t="inlineStr">
        <is>
          <t>Review</t>
        </is>
      </c>
      <c r="D45" s="4" t="inlineStr">
        <is>
          <t>PASS 3 OPENED — REACHABILITY AUDIT. Baseline re-verified (28 suites / 233 tests / 100% x4). Listed every exported capability against the resolver switch: of 29 modules the resolver reached eight. Compliance (export/delete), lifecycle retention sweep, all settings/pause methods, notifications, support, audit log, telemetry error tracking and latency monitoring had no caller and no screen — code that passes its tests and that no user can trigger.</t>
        </is>
      </c>
      <c r="E45" s="4" t="inlineStr">
        <is>
          <t>L-P4</t>
        </is>
      </c>
      <c r="F45" s="4" t="inlineStr">
        <is>
          <t>Reachability gaps enumerated</t>
        </is>
      </c>
      <c r="G45" s="4" t="inlineStr">
        <is>
          <t>None</t>
        </is>
      </c>
      <c r="H45" s="4" t="inlineStr">
        <is>
          <t>data rights + retention</t>
        </is>
      </c>
    </row>
    <row r="46">
      <c r="A46" s="4" t="inlineStr">
        <is>
          <t>E044</t>
        </is>
      </c>
      <c r="B46" s="4" t="inlineStr">
        <is>
          <t>2026-09-13 10:24</t>
        </is>
      </c>
      <c r="C46" s="4" t="inlineStr">
        <is>
          <t>Review</t>
        </is>
      </c>
      <c r="D46" s="4" t="inlineStr">
        <is>
          <t>DATA RIGHTS AND RETENTION MADE REACHABLE (F-TP21, F-TP22) — owner-only exportMyData/deleteMyData resolver calls (deletion requires typing the site id), both exempt from the license gate so an unlicensed customer can still get their data out. Manifest gains a daily scheduledTrigger for the retention sweep with a 120s timeout; syntax verified live (key+function+interval, max five per app, duplicate delivery possible so the handler stays idempotent) and the entrypoint exports retentionSweep. Until this pass the published 30-day hard delete had no scheduler and the self-serve export had no button.</t>
        </is>
      </c>
      <c r="E46" s="4" t="inlineStr">
        <is>
          <t>ST-069, ST-053, LC-3</t>
        </is>
      </c>
      <c r="F46" s="4" t="inlineStr">
        <is>
          <t>ST-069/ST-053 reachable, not just correct</t>
        </is>
      </c>
      <c r="G46" s="4" t="inlineStr">
        <is>
          <t>None</t>
        </is>
      </c>
      <c r="H46" s="4" t="inlineStr">
        <is>
          <t>settings + notifications</t>
        </is>
      </c>
    </row>
    <row r="47">
      <c r="A47" s="4" t="inlineStr">
        <is>
          <t>E045</t>
        </is>
      </c>
      <c r="B47" s="4" t="inlineStr">
        <is>
          <t>2026-09-13 10:24</t>
        </is>
      </c>
      <c r="C47" s="4" t="inlineStr">
        <is>
          <t>Review</t>
        </is>
      </c>
      <c r="D47" s="4" t="inlineStr">
        <is>
          <t>SETTINGS, NOTIFICATIONS AND OPS SURFACES SHIPPED (F-TP23..F-TP27) — settings/setSettings calls covering generation rules, flaky threshold, pause toggles, notification preferences and readiness inputs (members read-only); notify() wired into generate/recordRun/importXray so notifications are finally raised in the Forge path; failed invocations record resolver:&lt;call&gt; on a separate store write so the ST-072/077 error-spike alert has data without masking the original error; every panel-facing call now samples latency against its budget surface INSIDE the invocation (a fire-and-forget write raced the next read and lost samples); supportOpen/supportTickets, auditLog and statusReport exposed.</t>
        </is>
      </c>
      <c r="E47" s="4" t="inlineStr">
        <is>
          <t>ST-003,008,018,023,028,072,077,081,087</t>
        </is>
      </c>
      <c r="F47" s="4" t="inlineStr">
        <is>
          <t>Customisation and ops stories reachable</t>
        </is>
      </c>
      <c r="G47" s="4" t="inlineStr">
        <is>
          <t>Email provider + alert delivery = Senthil</t>
        </is>
      </c>
      <c r="H47" s="4" t="inlineStr">
        <is>
          <t>settings screen</t>
        </is>
      </c>
    </row>
    <row r="48">
      <c r="A48" s="4" t="inlineStr">
        <is>
          <t>E046</t>
        </is>
      </c>
      <c r="B48" s="4" t="inlineStr">
        <is>
          <t>2026-09-13 10:24</t>
        </is>
      </c>
      <c r="C48" s="4" t="inlineStr">
        <is>
          <t>Review</t>
        </is>
      </c>
      <c r="D48" s="4" t="inlineStr">
        <is>
          <t>SETTINGS SCREEN + FIRST WORKING CONTROLS (F-TP28) — the panel rendered HTML and bound nothing; no control in the product did anything. Delegated action binding on the mount root (data-action/data-field), failures surfaced on screen instead of swallowed, state re-read after each success. The screen carries the CI secret + rotate (making HC-05 true), generation rules, flaky threshold, pause toggles, the notification matrix, demo data on/off and export/delete. HC-03 also corrected — it promised reorderable rules that never existed. Demo page rebuilt and verified headless with the Settings screen, so it is now listing-screenshot material.</t>
        </is>
      </c>
      <c r="E48" s="4" t="inlineStr">
        <is>
          <t>F-TP28, F-TP19b, HC-03, HC-05</t>
        </is>
      </c>
      <c r="F48" s="4" t="inlineStr">
        <is>
          <t>Panel is interactive; asset capture unblocked</t>
        </is>
      </c>
      <c r="G48" s="4" t="inlineStr">
        <is>
          <t>Asset capture = Senthil</t>
        </is>
      </c>
      <c r="H48" s="4" t="inlineStr">
        <is>
          <t>LC-1</t>
        </is>
      </c>
    </row>
    <row r="49">
      <c r="A49" s="4" t="inlineStr">
        <is>
          <t>E047</t>
        </is>
      </c>
      <c r="B49" s="4" t="inlineStr">
        <is>
          <t>2026-09-13 10:24</t>
        </is>
      </c>
      <c r="C49" s="4" t="inlineStr">
        <is>
          <t>Review</t>
        </is>
      </c>
      <c r="D49" s="4" t="inlineStr">
        <is>
          <t>PASS 3 SEALED — D13 re-verified: 30 suites / 263 tests / 100% x4 zero pragmas, typecheck:forge and build:ui green. Three cold-review passes complete: correctness (13 findings), deployability (10), reachability (9) — 32 defects total, all found in code that was already at 100% coverage. Lesson L-P4 logged: a module with no caller is not a feature and a test suite cannot tell the difference; the standing fix is a reachability column naming what reaches each capability. Tracker v010 + workbook v017 + code released 10:24.</t>
        </is>
      </c>
      <c r="E49" s="4" t="inlineStr">
        <is>
          <t>L-P1..L-P4</t>
        </is>
      </c>
      <c r="F49" s="4" t="inlineStr">
        <is>
          <t>Review_Findings extended with pass 3</t>
        </is>
      </c>
      <c r="G49" s="4" t="inlineStr">
        <is>
          <t>Portfolio reachability audit = Senthil</t>
        </is>
      </c>
      <c r="H49" s="4" t="inlineStr">
        <is>
          <t>LC-1 or portfolio</t>
        </is>
      </c>
    </row>
    <row r="50">
      <c r="A50" s="4" t="inlineStr">
        <is>
          <t>E048</t>
        </is>
      </c>
      <c r="B50" s="4" t="inlineStr">
        <is>
          <t>2026-09-13 10:37</t>
        </is>
      </c>
      <c r="C50" s="4" t="inlineStr">
        <is>
          <t>Review</t>
        </is>
      </c>
      <c r="D50" s="4" t="inlineStr">
        <is>
          <t>PASS 4 OPENED — CLAIMS SWEEP. Baseline re-verified (30 suites / 263 tests / 100% x4). Read all 13 published documents (trust page, security self-assessment, Cloud Fortified gap, submission dry-run, WCAG checklist, residency statement, pricing FAQ, listing copy, runbook, review pack, deploy guide, billing activation, design-partner kit) against the product that passes 1-3 rebuilt underneath them. Two classes found: statements that were never true, and evidence resting on code with no runner.</t>
        </is>
      </c>
      <c r="E50" s="4" t="inlineStr">
        <is>
          <t>L-P5</t>
        </is>
      </c>
      <c r="F50" s="4" t="inlineStr">
        <is>
          <t>Claims audit opened</t>
        </is>
      </c>
      <c r="G50" s="4" t="inlineStr">
        <is>
          <t>None</t>
        </is>
      </c>
      <c r="H50" s="4" t="inlineStr">
        <is>
          <t>resilience</t>
        </is>
      </c>
    </row>
    <row r="51">
      <c r="A51" s="4" t="inlineStr">
        <is>
          <t>E049</t>
        </is>
      </c>
      <c r="B51" s="4" t="inlineStr">
        <is>
          <t>2026-09-13 10:37</t>
        </is>
      </c>
      <c r="C51" s="4" t="inlineStr">
        <is>
          <t>Review</t>
        </is>
      </c>
      <c r="D51" s="4" t="inlineStr">
        <is>
          <t>F-TP30 — ST-070 RESILIENCE DID NOT COVER THE ONLY LIVE CALLS. The backoff/jitter/breaker wrapped an injected http fn that nothing in the Forge path used; the entrypoint's story fetch and Jira admin check went out raw, while the security assessment listed rate-limit resilience as a verified control. JiraClient.run(label, op) now applies the policy to any operation — including @forge/api calls built with the route tagged template, which cannot be expressed as a path string — both entrypoint calls share one client so the breaker is real across them, and Retry-After is read from the response header (seconds, capped at 60s per F-TP08).</t>
        </is>
      </c>
      <c r="E51" s="4" t="inlineStr">
        <is>
          <t>ST-070</t>
        </is>
      </c>
      <c r="F51" s="4" t="inlineStr">
        <is>
          <t>Security-assessment control now true</t>
        </is>
      </c>
      <c r="G51" s="4" t="inlineStr">
        <is>
          <t>None</t>
        </is>
      </c>
      <c r="H51" s="4" t="inlineStr">
        <is>
          <t>fortified evidence</t>
        </is>
      </c>
    </row>
    <row r="52">
      <c r="A52" s="4" t="inlineStr">
        <is>
          <t>E050</t>
        </is>
      </c>
      <c r="B52" s="4" t="inlineStr">
        <is>
          <t>2026-09-13 10:37</t>
        </is>
      </c>
      <c r="C52" s="4" t="inlineStr">
        <is>
          <t>Review</t>
        </is>
      </c>
      <c r="D52" s="4" t="inlineStr">
        <is>
          <t>F-TP31/F-TP32 — TWO PIECES OF PUBLISHED EVIDENCE RESTED ON UNRUNNABLE CODE. Cloud Fortified 'Backup/recovery: DONE (drill)' pointed at BackupOps.drill(), which had no caller and is destructive by design (restores over live data) — replaced for production use by a non-destructive verify() (keys, bytes, content digest) surfaced in statusReport, with the drill documented as a staging tool. The trust page claimed the encryption posture was 'asserted by config check in CI' when verifyEncryptionPosture had tests and no runner — scripts/check-posture.js now runs as a CI gate, failing on TLS disabled and failing at deploy without a bound KMS key.</t>
        </is>
      </c>
      <c r="E52" s="4" t="inlineStr">
        <is>
          <t>ST-066, B-18, LC-3</t>
        </is>
      </c>
      <c r="F52" s="4" t="inlineStr">
        <is>
          <t>Fortified + trust-page evidence made real</t>
        </is>
      </c>
      <c r="G52" s="4" t="inlineStr">
        <is>
          <t>B-18 KMS binding = Senthil</t>
        </is>
      </c>
      <c r="H52" s="4" t="inlineStr">
        <is>
          <t>doc corrections</t>
        </is>
      </c>
    </row>
    <row r="53">
      <c r="A53" s="4" t="inlineStr">
        <is>
          <t>E051</t>
        </is>
      </c>
      <c r="B53" s="4" t="inlineStr">
        <is>
          <t>2026-09-13 10:37</t>
        </is>
      </c>
      <c r="C53" s="4" t="inlineStr">
        <is>
          <t>Review</t>
        </is>
      </c>
      <c r="D53" s="4" t="inlineStr">
        <is>
          <t>F-TP33 — FOUR FALSE PUBLISHED STATEMENTS CORRECTED, EACH PINNED BY A TEST. (1) Trust page and subprocessor list named an EMAIL PROVIDER: there is no email integration and the manifest permits exactly one external host (api.anthropic.com), so the app could not reach one. (2) The submission dry-run still cited the 5-shot asset spec that v006 had already corrected to the verified Rule-of-3. (3) The security assessment described authorization from the Express smoke harness (x-tp-role header) rather than the product's server-derived roles. (4) The WCAG checklist deferred its automated pass 'because there is no UI'. Each correction is now greppable by a test that fails the build if doc and code diverge (L-P5).</t>
        </is>
      </c>
      <c r="E53" s="4" t="inlineStr">
        <is>
          <t>ST-096, ST-097, ST-089</t>
        </is>
      </c>
      <c r="F53" s="4" t="inlineStr">
        <is>
          <t>Customer-facing docs true again</t>
        </is>
      </c>
      <c r="G53" s="4" t="inlineStr">
        <is>
          <t>Read trust page + security assessment before listing</t>
        </is>
      </c>
      <c r="H53" s="4" t="inlineStr">
        <is>
          <t>a11y</t>
        </is>
      </c>
    </row>
    <row r="54">
      <c r="A54" s="4" t="inlineStr">
        <is>
          <t>E052</t>
        </is>
      </c>
      <c r="B54" s="4" t="inlineStr">
        <is>
          <t>2026-09-13 10:37</t>
        </is>
      </c>
      <c r="C54" s="4" t="inlineStr">
        <is>
          <t>Review</t>
        </is>
      </c>
      <c r="D54" s="4" t="inlineStr">
        <is>
          <t>ST-089 AUTOMATED WCAG PASS SHIPPED + PASS 4 SEALED. test/a11y.test.ts drives axe-core over all five panels (generate, board, flaky, readiness, settings) and the empty states on every build; it found F-TP29 on its first run — the flaky table shipped an unnamed column header, so a screen-reader user got an unlabelled column (now captioned and scoped). Contrast needs the stylesheet and keyboard/NVDA need the live iframe, so those are the only remaining a11y items for LC-1. D13 re-verified: 32 suites / 280 tests / 100% x4 zero pragmas, four CI gates green, demo page re-verified headless. FOUR COLD-REVIEW PASSES COMPLETE — 37 defects, every one in code already at 100% coverage, and no story count moved in any pass: all of it was shipped scope that did not work. Tracker v011 + workbook v018 + code released 10:37.</t>
        </is>
      </c>
      <c r="E54" s="4" t="inlineStr">
        <is>
          <t>ST-089, L-P1..L-P5</t>
        </is>
      </c>
      <c r="F54" s="4" t="inlineStr">
        <is>
          <t>Review programme complete</t>
        </is>
      </c>
      <c r="G54" s="4" t="inlineStr">
        <is>
          <t>Dispositions + LC-1 = Senthil</t>
        </is>
      </c>
      <c r="H54" s="4" t="inlineStr">
        <is>
          <t>LC-1 or portfolio</t>
        </is>
      </c>
    </row>
    <row r="55">
      <c r="A55" s="4" t="inlineStr">
        <is>
          <t>E053</t>
        </is>
      </c>
      <c r="B55" s="4" t="inlineStr">
        <is>
          <t>2026-09-13 10:44</t>
        </is>
      </c>
      <c r="C55" s="4" t="inlineStr">
        <is>
          <t>Gates</t>
        </is>
      </c>
      <c r="D55" s="4" t="inlineStr">
        <is>
          <t>REACHABILITY GATE BUILT (L-P4 as code) — walks the import graph from the real entrypoints (forge/index.ts, static/entry.ts, src/app.ts, scripts/check-posture.js via a dist-&gt;src alias), reporting orphan modules and orphan METHODS; tests are deliberately excluded from the graph because they reference everything, which is exactly why 100% coverage cannot see this defect class. Exceptions require a written reason and stale exceptions are reported so they expire. First run on TestPulse: 23 candidates.</t>
        </is>
      </c>
      <c r="E55" s="4" t="inlineStr">
        <is>
          <t>L-P4</t>
        </is>
      </c>
      <c r="F55" s="4" t="inlineStr">
        <is>
          <t>Gate shipped</t>
        </is>
      </c>
      <c r="G55" s="4" t="inlineStr">
        <is>
          <t>None</t>
        </is>
      </c>
      <c r="H55" s="4" t="inlineStr">
        <is>
          <t>triage</t>
        </is>
      </c>
    </row>
    <row r="56">
      <c r="A56" s="4" t="inlineStr">
        <is>
          <t>E054</t>
        </is>
      </c>
      <c r="B56" s="4" t="inlineStr">
        <is>
          <t>2026-09-13 10:44</t>
        </is>
      </c>
      <c r="C56" s="4" t="inlineStr">
        <is>
          <t>Gates</t>
        </is>
      </c>
      <c r="D56" s="4" t="inlineStr">
        <is>
          <t>TRIAGE OF THE GATE'S 23 CANDIDATES — 4 real defects fixed (F-TP34 feature heatmap never fed, funnel/CSV never readable, error threshold untunable; F-TP35 support tickets could be opened but never answered so the SLA report could only accumulate breaches; F-TP36 both CSV importers unreachable; F-TP37 duplicate writers for the empty-state map and notification preferences — dead Onboarding.emptyState deleted rather than allowlisted), 11 recorded as legitimate with reasons (superseded billing engine, Forge-owned token rotation, destructive staging drill, customer-side webhook signing), and 1 surfaced as a product question (ST-075 health score needs WAU that nothing tracks).</t>
        </is>
      </c>
      <c r="E56" s="4" t="inlineStr">
        <is>
          <t>F-TP34..37, OBS-TP5</t>
        </is>
      </c>
      <c r="F56" s="4" t="inlineStr">
        <is>
          <t>4 defects fixed, register written</t>
        </is>
      </c>
      <c r="G56" s="4" t="inlineStr">
        <is>
          <t>ST-075 cut-or-fund = Senthil</t>
        </is>
      </c>
      <c r="H56" s="4" t="inlineStr">
        <is>
          <t>claims gate</t>
        </is>
      </c>
    </row>
    <row r="57">
      <c r="A57" s="4" t="inlineStr">
        <is>
          <t>E055</t>
        </is>
      </c>
      <c r="B57" s="4" t="inlineStr">
        <is>
          <t>2026-09-13 10:44</t>
        </is>
      </c>
      <c r="C57" s="4" t="inlineStr">
        <is>
          <t>Gates</t>
        </is>
      </c>
      <c r="D57" s="4" t="inlineStr">
        <is>
          <t>PUBLISHED-CLAIMS GATE BUILT (L-P5 as code) + BOTH WIRED INTO CI — 15 claims registered, each tying a customer-facing promise to the code evidence that must hold (deletion, retention trigger, scopes, subprocessors/egress, encryption posture check, server-derived roles, Retry-After seconds, per-installation secret, asset spec, a11y pass, residency). test/gates.test.ts tests both gates INCLUDING that each goes red when what it guards breaks — a gate that cannot fail is worse than no gate. tools/review-gates/README.md is the drop-in guide for the other products, with per-platform entrypoint notes. D13 re-verified: 34 suites / 295 tests / 100% x4; five CI gates green. Tracker v012 + workbook v019 + code released 10:44.</t>
        </is>
      </c>
      <c r="E57" s="4" t="inlineStr">
        <is>
          <t>L-P5, GATE-1, GATE-2</t>
        </is>
      </c>
      <c r="F57" s="4" t="inlineStr">
        <is>
          <t>Gates in CI + portable</t>
        </is>
      </c>
      <c r="G57" s="4" t="inlineStr">
        <is>
          <t>Portfolio rollout = Senthil</t>
        </is>
      </c>
      <c r="H57" s="4" t="inlineStr">
        <is>
          <t>LC-1 or rollout</t>
        </is>
      </c>
    </row>
    <row r="58">
      <c r="A58" s="4" t="inlineStr">
        <is>
          <t>E056</t>
        </is>
      </c>
      <c r="B58" s="4" t="inlineStr">
        <is>
          <t>2026-09-13 10:57</t>
        </is>
      </c>
      <c r="C58" s="4" t="inlineStr">
        <is>
          <t>Review</t>
        </is>
      </c>
      <c r="D58" s="4" t="inlineStr">
        <is>
          <t>PASS 6 OPENED — WALKED THE PRIMARY LOOP AS A CUSTOMER (open an issue, see cases, mark a run, watch readiness move), which five previous passes had never done: each of them READ something (code, manifest, docs, export graph) rather than USING the product. First step of the walk found F-TP39: mountPanel invoked 'generate' — a write — so opening an issue generated and persisted another 3 cases every time, and with an LLM provider configured billed an Anthropic call per panel render. Invisible to every prior pass because the call, the resolver, the reachability and the documentation are each individually correct; it is only wrong as a sequence.</t>
        </is>
      </c>
      <c r="E58" s="4" t="inlineStr">
        <is>
          <t>F-TP39</t>
        </is>
      </c>
      <c r="F58" s="4" t="inlineStr">
        <is>
          <t>HIGH defect found</t>
        </is>
      </c>
      <c r="G58" s="4" t="inlineStr">
        <is>
          <t>None</t>
        </is>
      </c>
      <c r="H58" s="4" t="inlineStr">
        <is>
          <t>fix the loop</t>
        </is>
      </c>
    </row>
    <row r="59">
      <c r="A59" s="4" t="inlineStr">
        <is>
          <t>E057</t>
        </is>
      </c>
      <c r="B59" s="4" t="inlineStr">
        <is>
          <t>2026-09-13 10:57</t>
        </is>
      </c>
      <c r="C59" s="4" t="inlineStr">
        <is>
          <t>Review</t>
        </is>
      </c>
      <c r="D59" s="4" t="inlineStr">
        <is>
          <t>CORE LOOP MADE WORKABLE (F-TP38, F-TP39, F-TP40) — TestGen.list + listCases resolver call give the panel a read path (classified read, so it survives an inactive license); mounting now reads and generating is an explicit button carrying its own data-story-key; each case row has pass/fail/blocked controls whose data-case-id/data-status become the payload; recordRun without a boardId lands on a default board created on demand ('Current release'), because board creation needs the configure permission a MEMBER DOES NOT HAVE — the MVP loop the product is built around was previously not completable by a member in the UI. Generate -&gt; run -&gt; readiness now completes in-panel and is pinned end to end.</t>
        </is>
      </c>
      <c r="E59" s="4" t="inlineStr">
        <is>
          <t>ST-002, ST-012, ST-031, F-TP38..40</t>
        </is>
      </c>
      <c r="F59" s="4" t="inlineStr">
        <is>
          <t>MVP loop usable by a member</t>
        </is>
      </c>
      <c r="G59" s="4" t="inlineStr">
        <is>
          <t>Default board name = Senthil</t>
        </is>
      </c>
      <c r="H59" s="4" t="inlineStr">
        <is>
          <t>funnel</t>
        </is>
      </c>
    </row>
    <row r="60">
      <c r="A60" s="4" t="inlineStr">
        <is>
          <t>E058</t>
        </is>
      </c>
      <c r="B60" s="4" t="inlineStr">
        <is>
          <t>2026-09-13 10:57</t>
        </is>
      </c>
      <c r="C60" s="4" t="inlineStr">
        <is>
          <t>Review</t>
        </is>
      </c>
      <c r="D60" s="4" t="inlineStr">
        <is>
          <t>FUNNEL COMPLETED + PASS 6 SEALED (F-TP41) — 'setup' and 'habit' were declared stages that nothing recorded, so the activation funnel behind the Metrics_Targets launch numbers could never exceed install -&gt; aha and activation rate would have read as a permanent failure. setup now records on the first board, habit once a tenant records runs on three distinct days (distinct days, not repeat actions). D13 re-verified: 35 suites / 304 tests / 100% x4 zero pragmas; gates, posture, forge typecheck, UI build and axe all green; demo page renders 6 cases, a generate control and 9 run controls with no NaN. SIX PASSES COMPLETE: 45 defects, none moving a story count, all in code at 100% coverage throughout. Lesson L-P6 logged. Tracker v013 + workbook v020 + code + portable gates released 10:57.</t>
        </is>
      </c>
      <c r="E60" s="4" t="inlineStr">
        <is>
          <t>ST-071, L-P6</t>
        </is>
      </c>
      <c r="F60" s="4" t="inlineStr">
        <is>
          <t>Funnel records all four stages</t>
        </is>
      </c>
      <c r="G60" s="4" t="inlineStr">
        <is>
          <t>Habit = 3 distinct days?</t>
        </is>
      </c>
      <c r="H60" s="4" t="inlineStr">
        <is>
          <t>LC-1</t>
        </is>
      </c>
    </row>
    <row r="61">
      <c r="A61" s="4" t="inlineStr">
        <is>
          <t>E059</t>
        </is>
      </c>
      <c r="B61" s="4" t="inlineStr">
        <is>
          <t>2026-09-13 11:03</t>
        </is>
      </c>
      <c r="C61" s="4" t="inlineStr">
        <is>
          <t>Review</t>
        </is>
      </c>
      <c r="D61" s="4" t="inlineStr">
        <is>
          <t>PASS 7 — INSTALL PATH FOUND DEAD (F-TP42). Continuing the pass-6 walk to the step BEFORE everything: how does the app get installed? Verified against developer.atlassian.com life-cycle events — install and uninstall reach an app only through a trigger module on avi:forge:installed:app / avi:forge:uninstalled:app; there is no implicit call. TestPulse's manifest had no trigger module at all, so in a deployed app nothing bootstrapped (no trial, no owner claim, no per-install CI secret, no install telemetry) and uninstall never wiped tokens or scheduled the 30-day deletion — leaving the retention sweep shipped in pass 3 with nothing to sweep. Fixed: trigger module on both events, makeLifecycleTrigger in the adapter, lifecycleTrigger exported, ownership from installerAccountId, idempotent for repeat delivery, plus lazy bootstrap (F-TP42b) for the documented multi-minute lag that deliberately does not claim ownership.</t>
        </is>
      </c>
      <c r="E61" s="4" t="inlineStr">
        <is>
          <t>ST-051..056, F-TP42</t>
        </is>
      </c>
      <c r="F61" s="4" t="inlineStr">
        <is>
          <t>E1 lifecycle reachable in a deployed app</t>
        </is>
      </c>
      <c r="G61" s="4" t="inlineStr">
        <is>
          <t>Live verification at LC-1</t>
        </is>
      </c>
      <c r="H61" s="4" t="inlineStr">
        <is>
          <t>navigation</t>
        </is>
      </c>
    </row>
    <row r="62">
      <c r="A62" s="4" t="inlineStr">
        <is>
          <t>E060</t>
        </is>
      </c>
      <c r="B62" s="4" t="inlineStr">
        <is>
          <t>2026-09-13 11:03</t>
        </is>
      </c>
      <c r="C62" s="4" t="inlineStr">
        <is>
          <t>Review</t>
        </is>
      </c>
      <c r="D62" s="4" t="inlineStr">
        <is>
          <t>PANEL NAVIGATION SHIPPED (F-TP43, F-TP44) — the panel had five screens and no way to move between them: one hardcoded data-tab in a single index.html serving BOTH the project page and the issue panel, so the project page showed 'pick a story' forever and run boards, flaky, readiness and settings had no door. Added a tab bar (role=tablist + aria-selected, so the axe pass covers it), switching that re-mounts without writing, the cases tab only when a story is in context, and an entry that picks its default tab from the Forge context (issue panel -&gt; cases, project page -&gt; readiness). The run-board screen also asked for a boardId nothing supplied — boardMetrics now resolves the default board, matching how runs are recorded.</t>
        </is>
      </c>
      <c r="E62" s="4" t="inlineStr">
        <is>
          <t>F-TP43, F-TP44, ST-016</t>
        </is>
      </c>
      <c r="F62" s="4" t="inlineStr">
        <is>
          <t>Four screens reachable by a user</t>
        </is>
      </c>
      <c r="G62" s="4" t="inlineStr">
        <is>
          <t>Tab labels are customer-visible</t>
        </is>
      </c>
      <c r="H62" s="4" t="inlineStr">
        <is>
          <t>seal</t>
        </is>
      </c>
    </row>
    <row r="63">
      <c r="A63" s="4" t="inlineStr">
        <is>
          <t>E061</t>
        </is>
      </c>
      <c r="B63" s="4" t="inlineStr">
        <is>
          <t>2026-09-13 11:03</t>
        </is>
      </c>
      <c r="C63" s="4" t="inlineStr">
        <is>
          <t>Review</t>
        </is>
      </c>
      <c r="D63" s="4" t="inlineStr">
        <is>
          <t>PASS 7 SEALED — D13 re-verified: 36 suites / 316 tests / 100% x4 zero pragmas; gates, posture, forge typecheck, UI build and axe all green; demo page renders the tab bar and six cases with no NaN. SEVEN PASSES: 49 defects, all in code at 100% coverage, none moving a story count. Lesson L-P7 logged — REACHABLE IS NOT INVOKED: the install path passed the pass-5 reachability gate because 'installed' is a registered resolver call; only the manifest says whether the platform ever calls it. Proposed gate extension: assert every platform-owned entrypoint (lifecycle, scheduled, webtrigger, product events) is declared in the manifest. Tracker v014 + workbook v021 + code released 11:03.</t>
        </is>
      </c>
      <c r="E63" s="4" t="inlineStr">
        <is>
          <t>L-P7</t>
        </is>
      </c>
      <c r="F63" s="4" t="inlineStr">
        <is>
          <t>Gate extension proposed</t>
        </is>
      </c>
      <c r="G63" s="4" t="inlineStr">
        <is>
          <t>Manifest-declaration gate = next</t>
        </is>
      </c>
      <c r="H63" s="4" t="inlineStr">
        <is>
          <t>LC-1</t>
        </is>
      </c>
    </row>
    <row r="64">
      <c r="A64" s="4" t="inlineStr">
        <is>
          <t>E062</t>
        </is>
      </c>
      <c r="B64" s="4" t="inlineStr">
        <is>
          <t>2026-09-13 11:10</t>
        </is>
      </c>
      <c r="C64" s="4" t="inlineStr">
        <is>
          <t>Gates</t>
        </is>
      </c>
      <c r="D64" s="4" t="inlineStr">
        <is>
          <t>PLATFORM-ENTRYPOINT GATE BUILT (L-P7 as code) — reads forge/manifest.yml and forge/index.ts together and reports four disagreements: a manifest handler the entrypoint does not export (VER-P01 shape), an entrypoint export no handler points at, a declared function no module references, and missing module declarations from a config 'expect' list (lifecycle trigger on installed+uninstalled, daily scheduledTrigger, v2 webtrigger, panel resource). The expect list is where a platform contract is written down once instead of being rediscovered at launch. Tested against both historical defects plus missing-file and partial-declaration cases.</t>
        </is>
      </c>
      <c r="E64" s="4" t="inlineStr">
        <is>
          <t>L-P7, GATE-3</t>
        </is>
      </c>
      <c r="F64" s="4" t="inlineStr">
        <is>
          <t>Third gate shipped</t>
        </is>
      </c>
      <c r="G64" s="4" t="inlineStr">
        <is>
          <t>None</t>
        </is>
      </c>
      <c r="H64" s="4" t="inlineStr">
        <is>
          <t>self-check</t>
        </is>
      </c>
    </row>
    <row r="65">
      <c r="A65" s="4" t="inlineStr">
        <is>
          <t>E063</t>
        </is>
      </c>
      <c r="B65" s="4" t="inlineStr">
        <is>
          <t>2026-09-13 11:10</t>
        </is>
      </c>
      <c r="C65" s="4" t="inlineStr">
        <is>
          <t>Gates</t>
        </is>
      </c>
      <c r="D65" s="4" t="inlineStr">
        <is>
          <t>THE GATE HAD THE DEFECT IT EXISTS TO CATCH — its first fixture (a commented-out export, exactly the VER-P01 shape) passed when it should have failed: the export scanner counted commented code as exported. Fixed by stripping comments before scanning. Found by the gate's own tests, which is the argument for treating gates as code with negative tests rather than as scripts that merely print green.</t>
        </is>
      </c>
      <c r="E65" s="4" t="inlineStr">
        <is>
          <t>GATE-3b</t>
        </is>
      </c>
      <c r="F65" s="4" t="inlineStr">
        <is>
          <t>Self-check bug fixed</t>
        </is>
      </c>
      <c r="G65" s="4" t="inlineStr">
        <is>
          <t>None</t>
        </is>
      </c>
      <c r="H65" s="4" t="inlineStr">
        <is>
          <t>F-TP45</t>
        </is>
      </c>
    </row>
    <row r="66">
      <c r="A66" s="4" t="inlineStr">
        <is>
          <t>E064</t>
        </is>
      </c>
      <c r="B66" s="4" t="inlineStr">
        <is>
          <t>2026-09-13 11:10</t>
        </is>
      </c>
      <c r="C66" s="4" t="inlineStr">
        <is>
          <t>Review</t>
        </is>
      </c>
      <c r="D66" s="4" t="inlineStr">
        <is>
          <t>F-TP45 FIXED — A REPEAT INSTALL EVENT RESET THE INSTALLATION. Forge may deliver avi:forge:installed:app more than once; each delivery re-ran Lifecycle.install, resetting installedAt, re-sourcing install attribution (ST-056) and overwriting stored tokens with the event's empty ones. It surfaced as an intermittent 1ms difference in an idempotency assertion — the kind of failure usually dismissed as a flaky clock. Bootstrap is now idempotent and the account is written only when the event carries tokens. D13 re-verified: 36 suites / 323 tests / 100% x4 zero pragmas; six CI gates green. Tracker v015 + workbook v022 + code + portable gates v2 released 11:10.</t>
        </is>
      </c>
      <c r="E66" s="4" t="inlineStr">
        <is>
          <t>F-TP45, ST-056</t>
        </is>
      </c>
      <c r="F66" s="4" t="inlineStr">
        <is>
          <t>Install idempotent</t>
        </is>
      </c>
      <c r="G66" s="4" t="inlineStr">
        <is>
          <t>None</t>
        </is>
      </c>
      <c r="H66" s="4" t="inlineStr">
        <is>
          <t>LC-1 or rollout</t>
        </is>
      </c>
    </row>
    <row r="67">
      <c r="A67" s="4" t="inlineStr">
        <is>
          <t>E065</t>
        </is>
      </c>
      <c r="B67" s="4" t="inlineStr">
        <is>
          <t>2026-09-13 11:18</t>
        </is>
      </c>
      <c r="C67" s="4" t="inlineStr">
        <is>
          <t>Rollout</t>
        </is>
      </c>
      <c r="D67" s="4" t="inlineStr">
        <is>
          <t>ROLLOUT BOOTSTRAPPER BUILT (init.js) — scans a repository for the platform manifest, deploy entrypoint, UI/server entries, ops scripts CI runs, and source roots, then writes a starter review-gates.json with claim stubs proposed from documents that already make promises (retention, export, encryption, subprocessors, accessibility, SLA). Validated against TestPulse: the first version missed scripts/check-posture.js, which is the ONLY caller of verifyEncryptionPosture — a scan that missed it would have reported a live capability as dead, so ops scripts are now detected as entrypoints. It now reproduces the hand-written config exactly, aliases included.</t>
        </is>
      </c>
      <c r="E67" s="4" t="inlineStr">
        <is>
          <t>KIT-1</t>
        </is>
      </c>
      <c r="F67" s="4" t="inlineStr">
        <is>
          <t>Porting is now a scan, not an authoring exercise</t>
        </is>
      </c>
      <c r="G67" s="4" t="inlineStr">
        <is>
          <t>None</t>
        </is>
      </c>
      <c r="H67" s="4" t="inlineStr">
        <is>
          <t>rollout doc</t>
        </is>
      </c>
    </row>
    <row r="68">
      <c r="A68" s="4" t="inlineStr">
        <is>
          <t>E066</t>
        </is>
      </c>
      <c r="B68" s="4" t="inlineStr">
        <is>
          <t>2026-09-13 11:18</t>
        </is>
      </c>
      <c r="C68" s="4" t="inlineStr">
        <is>
          <t>Rollout</t>
        </is>
      </c>
      <c r="D68" s="4" t="inlineStr">
        <is>
          <t>ROLLOUT GUIDE WRITTEN (docs/portfolio-gate-rollout.md) — 5-minute per-repo procedure; expect the first run RED (TestPulse's own first run: 23 candidates -&gt; 4 real defects, 11 allowlisted with written reasons, 1 product question); triage buckets fix / allow-with-a-reason / CUT, with cutting unfunded scope named as a legitimate and usually honest outcome; rollout order by proximity to a live install, platform-entrypoint gate first because an app that deploys and does nothing is the portfolio's most expensive failure and has happened twice; per-platform hook tables for Forge, Salesforce, Devvit and Shopify; and a plain statement of what the gates do NOT catch — 16 of 50 defects came from using the product (L-P6), which needs one honest walkthrough per product and does not automate.</t>
        </is>
      </c>
      <c r="E68" s="4" t="inlineStr">
        <is>
          <t>KIT-2, KIT-3</t>
        </is>
      </c>
      <c r="F68" s="4" t="inlineStr">
        <is>
          <t>Rollout executable by Senthil or a delegate</t>
        </is>
      </c>
      <c r="G68" s="4" t="inlineStr">
        <is>
          <t>Pick the first product + order</t>
        </is>
      </c>
      <c r="H68" s="4" t="inlineStr">
        <is>
          <t>LC-1</t>
        </is>
      </c>
    </row>
    <row r="69">
      <c r="A69" s="4" t="inlineStr">
        <is>
          <t>E067</t>
        </is>
      </c>
      <c r="B69" s="4" t="inlineStr">
        <is>
          <t>2026-09-13 11:18</t>
        </is>
      </c>
      <c r="C69" s="4" t="inlineStr">
        <is>
          <t>Review</t>
        </is>
      </c>
      <c r="D69" s="4" t="inlineStr">
        <is>
          <t>TESTPULSE STATUS CALLED HONESTLY — eight passes, 50 defects, all in code at 100% coverage, no story count moved in any pass. The product is past the point where further review passes pay: the remaining items need a live install (LC-1), a pricing decision (D18), asset capture and a pen-test, none of which can be done from here. D13 re-verified: 36 suites / 327 tests / 100% x4 zero pragmas; six CI gates green. Tracker v016 + workbook v023 + code + rollout kit released 11:18.</t>
        </is>
      </c>
      <c r="E69" s="4" t="inlineStr">
        <is>
          <t>LC-1, D18, ST-094, ST-068</t>
        </is>
      </c>
      <c r="F69" s="4" t="inlineStr">
        <is>
          <t>No further passes planned</t>
        </is>
      </c>
      <c r="G69" s="4" t="inlineStr">
        <is>
          <t>LC-1 = the unblock</t>
        </is>
      </c>
      <c r="H69" s="4" t="inlineStr">
        <is>
          <t>LC-1</t>
        </is>
      </c>
    </row>
    <row r="70">
      <c r="A70" s="4" t="inlineStr">
        <is>
          <t>E068</t>
        </is>
      </c>
      <c r="B70" s="4" t="inlineStr">
        <is>
          <t>2026-09-13 11:22</t>
        </is>
      </c>
      <c r="C70" s="4" t="inlineStr">
        <is>
          <t>LC-1</t>
        </is>
      </c>
      <c r="D70" s="4" t="inlineStr">
        <is>
          <t>LIVE VERIFICATION SCRIPT SHIPPED (scripts/lc1-verify.js) — the CI webtrigger is the only surface a deployed Forge app exposes externally, so it is the one contract checkable without a browser. The script exercises signed-accept (202), duplicate-id reject, tampered-signature reject, stale-timestamp reject and malformed-body 400, then prints evidence lines for the tracker. Tested against the real webtrigger handler (not a mock) plus wrong-secret and network-failure paths, so on the day a red result means the DEPLOYMENT differs from this codebase. It also states in its own output what it cannot verify — panel, resolver, roles, licensing, lifecycle trigger, retention sweep — so a green run cannot be recorded as full verification.</t>
        </is>
      </c>
      <c r="E70" s="4" t="inlineStr">
        <is>
          <t>ST-070, LC-1</t>
        </is>
      </c>
      <c r="F70" s="4" t="inlineStr">
        <is>
          <t>Live verification is now a one-liner</t>
        </is>
      </c>
      <c r="G70" s="4" t="inlineStr">
        <is>
          <t>Run after forge webtrigger</t>
        </is>
      </c>
      <c r="H70" s="4" t="inlineStr">
        <is>
          <t>session pack</t>
        </is>
      </c>
    </row>
    <row r="71">
      <c r="A71" s="4" t="inlineStr">
        <is>
          <t>E069</t>
        </is>
      </c>
      <c r="B71" s="4" t="inlineStr">
        <is>
          <t>2026-09-13 11:22</t>
        </is>
      </c>
      <c r="C71" s="4" t="inlineStr">
        <is>
          <t>LC-1</t>
        </is>
      </c>
      <c r="D71" s="4" t="inlineStr">
        <is>
          <t>SESSION PACK + ASSET HARNESS (docs/lc1-session-pack.md, static/build/capture.html) — 45-minute run sheet: pre-work, install commands, what the lifecycle trigger bootstraps and what to do if it lags (self-bootstrap covers everything except the owner claim), an evidence table naming each file to capture and the stories it flips, and the two questions only a live site can answer: the manual keyboard/contrast pass that automated axe cannot do (ST-089), and whether the customer-visible default board name and the 3-distinct-days habit definition are what you want. The capture harness renders the panels inside frames at the verified Rule-of-3 dimensions (3x 1840x900 + 580x330 crops + 1120x548 banner), verified headlessly at 7/7 frames populated with no NaN, so one screenshot pass produces correctly sized listing assets.</t>
        </is>
      </c>
      <c r="E71" s="4" t="inlineStr">
        <is>
          <t>ST-094, ST-089, LC-1</t>
        </is>
      </c>
      <c r="F71" s="4" t="inlineStr">
        <is>
          <t>Assets and evidence prep complete</t>
        </is>
      </c>
      <c r="G71" s="4" t="inlineStr">
        <is>
          <t>Book the session</t>
        </is>
      </c>
      <c r="H71" s="4" t="inlineStr">
        <is>
          <t>LC-1</t>
        </is>
      </c>
    </row>
    <row r="72">
      <c r="A72" s="4" t="inlineStr">
        <is>
          <t>E070</t>
        </is>
      </c>
      <c r="B72" s="4" t="inlineStr">
        <is>
          <t>2026-09-13 11:22</t>
        </is>
      </c>
      <c r="C72" s="4" t="inlineStr">
        <is>
          <t>Status</t>
        </is>
      </c>
      <c r="D72" s="4" t="inlineStr">
        <is>
          <t>TESTPULSE HANDOVER STATE — nine sittings of work: 8 cold-review passes (50 defects, all in code at 100% coverage, no story count moved), 4 standing gates covering 34 of them, a portfolio rollout kit, and now the LC-1 pack. Everything remaining is gated on a live install, a pricing decision, asset capture or a pen-test. D13 re-verified: 37 suites / 332 tests / 100% x4 zero pragmas; gates, posture, forge typecheck, UI build and axe all green. Tracker v017 + workbook v024 + code released 11:22.</t>
        </is>
      </c>
      <c r="E72" s="4" t="inlineStr">
        <is>
          <t>LC-1, D18, ST-094, ST-068</t>
        </is>
      </c>
      <c r="F72" s="4" t="inlineStr">
        <is>
          <t>Handover-ready</t>
        </is>
      </c>
      <c r="G72" s="4" t="inlineStr">
        <is>
          <t>LC-1 is the unblock</t>
        </is>
      </c>
      <c r="H72" s="4" t="inlineStr">
        <is>
          <t>—</t>
        </is>
      </c>
    </row>
    <row r="73">
      <c r="A73" s="4" t="inlineStr">
        <is>
          <t>E071</t>
        </is>
      </c>
      <c r="B73" s="4" t="inlineStr">
        <is>
          <t>2026-09-13 18:57</t>
        </is>
      </c>
      <c r="C73" s="4" t="inlineStr">
        <is>
          <t>External review</t>
        </is>
      </c>
      <c r="D73" s="4" t="inlineStr">
        <is>
          <t>EXTERNAL REVIEW V001 RECEIVED AND ACCEPTED IN FULL — 15 findings from an independent static review of 7 artifacts. Read against the code before responding: every finding checked out. Five landed on work this project had reported complete, and the review's release verdict (NOT RELEASE READY) was correct. The most instructive: TPR-001 — the AI provider was never constructed in the real Forge entrypoint, so AI generation was rule-engine-only in the deployed app and R-P6 had been closed on a seam. This is the THIRD instance of that shape here (F-TP16 pass 2, F-TP42 pass 7) and the first to land on a previous FIX, which sharpens L-5: a capability is closed when the production entrypoint CONSTRUCTS it, not when the glue accepts it — and the reachability gate structurally cannot see it.</t>
        </is>
      </c>
      <c r="E73" s="4" t="inlineStr">
        <is>
          <t>TPR-001..015, R-P6</t>
        </is>
      </c>
      <c r="F73" s="4" t="inlineStr">
        <is>
          <t>Review accepted</t>
        </is>
      </c>
      <c r="G73" s="4" t="inlineStr">
        <is>
          <t>None</t>
        </is>
      </c>
      <c r="H73" s="4" t="inlineStr">
        <is>
          <t>high findings</t>
        </is>
      </c>
    </row>
    <row r="74">
      <c r="A74" s="4" t="inlineStr">
        <is>
          <t>E072</t>
        </is>
      </c>
      <c r="B74" s="4" t="inlineStr">
        <is>
          <t>2026-09-13 18:57</t>
        </is>
      </c>
      <c r="C74" s="4" t="inlineStr">
        <is>
          <t>External review</t>
        </is>
      </c>
      <c r="D74" s="4" t="inlineStr">
        <is>
          <t>HIGH FINDINGS CLOSED (TPR-001..005) — AI provider built in forge/index.ts from ANTHROPIC_API_KEY over Forge external fetch with the rule fallback preserved; EMAIL REMOVED from the product entirely (preference, checkbox, delivery channel and HC-13) rather than faked, since there was no transport, provider or egress permission while the trust page correctly said no email is sent; write:jira-work REMOVED from the manifest, SCOPE_MAP, trust page and review pack because nothing wrote to Jira; the published app-level residency control removed from the statement AND TP_DATA_RESIDENCY removed from config.ts, because a validated variable nothing consumes is what made the claim look supported; and delete-my-data no longer strips the acting owner of control — deletion resets tenant DATA, not ownership of the installation.</t>
        </is>
      </c>
      <c r="E74" s="4" t="inlineStr">
        <is>
          <t>TPR-001..005, ST-010/020/030/040/050, ST-064/065, ST-069</t>
        </is>
      </c>
      <c r="F74" s="4" t="inlineStr">
        <is>
          <t>5 stories rescoped; 1 scope removed</t>
        </is>
      </c>
      <c r="G74" s="4" t="inlineStr">
        <is>
          <t>Email, write-back and AI-at-launch = Senthil</t>
        </is>
      </c>
      <c r="H74" s="4" t="inlineStr">
        <is>
          <t>evidence repair</t>
        </is>
      </c>
    </row>
    <row r="75">
      <c r="A75" s="4" t="inlineStr">
        <is>
          <t>E073</t>
        </is>
      </c>
      <c r="B75" s="4" t="inlineStr">
        <is>
          <t>2026-09-13 18:57</t>
        </is>
      </c>
      <c r="C75" s="4" t="inlineStr">
        <is>
          <t>External review</t>
        </is>
      </c>
      <c r="D75" s="4" t="inlineStr">
        <is>
          <t>CONFORMANCE AND EVIDENCE REPAIRED (TPR-006..012, 014, 015) — DC-11 had measured the vendored baseline helper with hard-coded visibility and still reported PASS; rebuilt against two real installations driven through the real resolver and recorded honestly as N-A platform-enforced. DC-06 had been marked N-A on the false premise that TestPulse makes no live HTTP call, while the entrypoint calls Jira on every panel open; it now runs against JiraClient with NO injected sleep and a lower-bound elapsed assertion, and the stale retryAfter fixture (a field the client ignores) is fixed. Settings no longer fabricate trialDays; review-pack runtime and DATA_FLOW_DOC egress corrected and both registered as claims; the vendored baseline is hash-pinned so it cannot drift behind a coverage headline that never measured it; @forge/api declared explicitly; the baseline package ships a real generated lockfile and CI workflow.</t>
        </is>
      </c>
      <c r="E75" s="4" t="inlineStr">
        <is>
          <t>TPR-006..012, 014, 015, DC-06, DC-11</t>
        </is>
      </c>
      <c r="F75" s="4" t="inlineStr">
        <is>
          <t>Conformance evidence now product-real</t>
        </is>
      </c>
      <c r="G75" s="4" t="inlineStr">
        <is>
          <t>None</t>
        </is>
      </c>
      <c r="H75" s="4" t="inlineStr">
        <is>
          <t>CI evidence</t>
        </is>
      </c>
    </row>
    <row r="76">
      <c r="A76" s="4" t="inlineStr">
        <is>
          <t>E074</t>
        </is>
      </c>
      <c r="B76" s="4" t="inlineStr">
        <is>
          <t>2026-09-13 18:57</t>
        </is>
      </c>
      <c r="C76" s="4" t="inlineStr">
        <is>
          <t>External review</t>
        </is>
      </c>
      <c r="D76" s="4" t="inlineStr">
        <is>
          <t>FULL CI CAPTURED AND STATUSES CORRECTED — the reviewer could not reproduce the suite in their sandbox, so the complete chain was run and retained at evidence/ci-run-20260913-1857.log: Node v22.22.2, npm run build, three review gates (reachability 0 unexplained, claims 25 checked 0 broken, platform entrypoints 0 mismatched), posture check, Forge typecheck, UI build, and jest --coverage at 40 suites / 369 tests / 100% x4 zero pragmas. Status corrections applied per TPR-013: R-P6 closed with entrypoint proof; the five notification stories recorded as RESCOPED rather than silently Done; LC-2/3/4 marked corrected; DC-11 and DC-06 conformance results restated. RELEASE POSITION UNCHANGED AND STATED PLAINLY: not release ready until LC-1. Tracker v018 + workbook v025 + code released 18:57.</t>
        </is>
      </c>
      <c r="E76" s="4" t="inlineStr">
        <is>
          <t>TPR-013, TPR-015, LC-1</t>
        </is>
      </c>
      <c r="F76" s="4" t="inlineStr">
        <is>
          <t>Status rollups now match executable evidence</t>
        </is>
      </c>
      <c r="G76" s="4" t="inlineStr">
        <is>
          <t>LC-1 remains the gate</t>
        </is>
      </c>
      <c r="H76" s="4" t="inlineStr">
        <is>
          <t>LC-1</t>
        </is>
      </c>
    </row>
    <row r="77">
      <c r="A77" s="4" t="inlineStr">
        <is>
          <t>E075</t>
        </is>
      </c>
      <c r="B77" s="4" t="inlineStr">
        <is>
          <t>2026-09-13 19:27</t>
        </is>
      </c>
      <c r="C77" s="4" t="inlineStr">
        <is>
          <t>Gates</t>
        </is>
      </c>
      <c r="D77" s="4" t="inlineStr">
        <is>
          <t>FOURTH GATE BUILT (entrypoint wiring, L-8) — motivated by TPR-001 being the THIRD instance of a capability closed at the glue while the production entrypoint never wired it, and the first to land on a previous fix (F-TP16). The gate reads the deploy entrypoint and, per declared capability, requires both a construction and a hand-over to the consumer; `constructs` alone would have passed TPR-001 unchanged. Nine capabilities registered for TestPulse. The tests mutate the REAL forge/index.ts — removing the aiProvider line and stubbing makeLifecycleTrigger — and assert the gate reports exactly those ids, so the register is load-bearing for this repo rather than for fixtures. Commented-out construction does not count as wiring (the VER-P01 lesson, already fixed once in another gate). init.js now scaffolds a TODO wiring register with a warning, because an inferred or empty register would pass vacuously — the opposite of what this gate is for. CI runs four gates; full chain green at 40 suites / 374 tests / 100% x4.</t>
        </is>
      </c>
      <c r="E77" s="4" t="inlineStr">
        <is>
          <t>TPR-001, F-TP16, F-TP42, L-8</t>
        </is>
      </c>
      <c r="F77" s="4" t="inlineStr">
        <is>
          <t>Gate added to CI and to the portable kit</t>
        </is>
      </c>
      <c r="G77" s="4" t="inlineStr">
        <is>
          <t>Port to the other products with the rollout</t>
        </is>
      </c>
      <c r="H77" s="4" t="inlineStr">
        <is>
          <t>LC-1</t>
        </is>
      </c>
    </row>
    <row r="78">
      <c r="A78" s="4" t="inlineStr">
        <is>
          <t>E076</t>
        </is>
      </c>
      <c r="B78" s="4" t="inlineStr">
        <is>
          <t>2026-09-13 19:38</t>
        </is>
      </c>
      <c r="C78" s="4" t="inlineStr">
        <is>
          <t>Process</t>
        </is>
      </c>
      <c r="D78" s="4" t="inlineStr">
        <is>
          <t>EXTERNAL-REVIEW PRACTICE CAPTURED AS AN ARTIFACT — the V001 review found five high findings that eight internal passes and three gates had missed, and its worst landed on a prior fix, so the practice is now repeatable rather than a one-off. Three pieces: (1) scripts/make-review-bundle.js writes MANIFEST.json + file-ledger.csv with SHA-256 per file and declares entrypoints and known limits, so findings tie to exact bytes and the reviewer's budget goes on analysis; (2) docs/external-review-request.md is the brief — six checks against RUNTIME rather than documentation, each corresponding to a class this portfolio has actually shipped, plus the findings schema that made V001 absorbable in one session; (3) the portfolio standard at v004 carries the five new classes, L-8 (a capability is closed when the production entrypoint constructs it) and L-9 (an independent reader is worth more than another internal pass), with a new pre-submission phase gate. Noted honestly in the brief: telling a reviewer the product has had N internal passes biases them toward gaps over basics, so this must not be a product's only review.</t>
        </is>
      </c>
      <c r="E78" s="4" t="inlineStr">
        <is>
          <t>L-8, L-9, DC-14..DC-18</t>
        </is>
      </c>
      <c r="F78" s="4" t="inlineStr">
        <is>
          <t>Standard v004; kit v3 packaged</t>
        </is>
      </c>
      <c r="G78" s="4" t="inlineStr">
        <is>
          <t>Send the same brief with the next product</t>
        </is>
      </c>
      <c r="H78" s="4" t="inlineStr">
        <is>
          <t>LC-1</t>
        </is>
      </c>
    </row>
    <row r="79">
      <c r="A79" s="4" t="inlineStr">
        <is>
          <t>E077</t>
        </is>
      </c>
      <c r="B79" s="4" t="inlineStr">
        <is>
          <t>2026-09-13 19:41</t>
        </is>
      </c>
      <c r="C79" s="4" t="inlineStr">
        <is>
          <t>External review V002</t>
        </is>
      </c>
      <c r="D79" s="4" t="inlineStr">
        <is>
          <t>V002 RECEIVED — market-demand and enterprise-readiness review rather than a code review. Findings accepted as an assessment: category demand is proven (incumbents at thousands to tens of thousands of installs), TestPulse is NOT market-ready and NOT enterprise-grade (~5.1/10), and the recommendation is to continue with a sharper wedge — Release Quality Intelligence (evidence-driven readiness, flaky risk, traceability) rather than competing feature-for-feature with Xray/Zephyr. It carries all 15 V001 findings forward as mandatory Sprint E00; those closed at 18:57 today and the closure is now evidenced rule by rule. The 30-sprint roadmap, the 14-rule build protocol and the 15 enterprise gates are recorded in the workbook.</t>
        </is>
      </c>
      <c r="E79" s="4" t="inlineStr">
        <is>
          <t>V002, E00, TPR-001..015</t>
        </is>
      </c>
      <c r="F79" s="4" t="inlineStr">
        <is>
          <t>Assessment accepted; E00 evidenced closed</t>
        </is>
      </c>
      <c r="G79" s="4" t="inlineStr">
        <is>
          <t>Positioning + 30-sprint scope = Senthil</t>
        </is>
      </c>
      <c r="H79" s="4" t="inlineStr">
        <is>
          <t>protocol rules</t>
        </is>
      </c>
    </row>
    <row r="80">
      <c r="A80" s="4" t="inlineStr">
        <is>
          <t>E078</t>
        </is>
      </c>
      <c r="B80" s="4" t="inlineStr">
        <is>
          <t>2026-09-13 19:41</t>
        </is>
      </c>
      <c r="C80" s="4" t="inlineStr">
        <is>
          <t>Gates</t>
        </is>
      </c>
      <c r="D80" s="4" t="inlineStr">
        <is>
          <t>TWO PROTOCOL RULES TURNED INTO GATES (CB-06/EG-02 and CB-10). scope-egress.js: every manifest scope and egress host must name the call path that justifies it, checked in both directions — an unjustified declaration fails, and so does a justification whose call has gone. It reproduces TPR-003 in test (a scope whose justifying call was removed) and treats commented-out construction as absent. V002 asked for an 'automated scope/egress gate' as EG-02's target evidence; this is it. secret-scan.js: scans shipped source, docs, fixtures and evidence logs for credential and PII shapes this product can actually produce — Anthropic keys, Atlassian tokens, bearer tokens, private keys, 64-hex secrets (the shape of a provisioned webhook secret), AWS ids and real-looking email addresses. First run flagged its own test fixtures, so the fixtures are assembled at runtime and the repository contains no literal credential shape at all. 123 files, 0 findings, one written allowance for the vendored hash pin.</t>
        </is>
      </c>
      <c r="E80" s="4" t="inlineStr">
        <is>
          <t>CB-06, CB-10, EG-02, TPR-003</t>
        </is>
      </c>
      <c r="F80" s="4" t="inlineStr">
        <is>
          <t>Six gates in CI</t>
        </is>
      </c>
      <c r="G80" s="4" t="inlineStr">
        <is>
          <t>None</t>
        </is>
      </c>
      <c r="H80" s="4" t="inlineStr">
        <is>
          <t>gate re-score</t>
        </is>
      </c>
    </row>
    <row r="81">
      <c r="A81" s="4" t="inlineStr">
        <is>
          <t>E079</t>
        </is>
      </c>
      <c r="B81" s="4" t="inlineStr">
        <is>
          <t>2026-09-13 19:41</t>
        </is>
      </c>
      <c r="C81" s="4" t="inlineStr">
        <is>
          <t>External review V002</t>
        </is>
      </c>
      <c r="D81" s="4" t="inlineStr">
        <is>
          <t>ENTERPRISE GATES RE-SCORED HONESTLY — V002 assessed the package as it stood before this afternoon's V001 fixes, so three of its five FAILs are now PASS with named evidence: EG-01 runtime truth (provider constructed in the entrypoint; email removed rather than faked), EG-02 least privilege (write scope removed plus the automated gate V002 itself specified), EG-03 data rights (owner survives deletion, pinned both directions). EG-08 AI governance moves FAIL -&gt; PARTIAL and NOT to PASS: the provider is real and falls back to rules, but there are no eval fixtures, no admin enable/disable and no cost or latency budget, so CB-07 is unmet. Everything else stands as V002 scored it. docs/build-protocol-adoption.md records all 14 protocol rules with what enforces each and, where nothing does, says so — four rules are explicitly NOT MET (CB-07 AI evals, CB-09 performance envelope, CB-14 clean-room CI, CB-02 only partly) rather than quietly claimed.</t>
        </is>
      </c>
      <c r="E81" s="4" t="inlineStr">
        <is>
          <t>EG-01..15, CB-01..14</t>
        </is>
      </c>
      <c r="F81" s="4" t="inlineStr">
        <is>
          <t>Gate scores now match executable evidence</t>
        </is>
      </c>
      <c r="G81" s="4" t="inlineStr">
        <is>
          <t>EG-08 needs E07/E08 scope</t>
        </is>
      </c>
      <c r="H81" s="4" t="inlineStr">
        <is>
          <t>roadmap decision</t>
        </is>
      </c>
    </row>
    <row r="82">
      <c r="A82" s="4" t="inlineStr">
        <is>
          <t>E080</t>
        </is>
      </c>
      <c r="B82" s="4" t="inlineStr">
        <is>
          <t>2026-09-13 19:41</t>
        </is>
      </c>
      <c r="C82" s="4" t="inlineStr">
        <is>
          <t>Decision needed</t>
        </is>
      </c>
      <c r="D82" s="4" t="inlineStr">
        <is>
          <t>ROADMAP SCOPE IS A DECISION, NOT A PLAN TO ABSORB — V002 proposes 30 sprints (E00-E29) covering a canonical test domain model, traceability, automation ingestion, CI connectors, release governance, AI governance, RBAC, audit, scale, observability, DR, bulk UX, dashboards, migration, BDD, triage, policies, open API, security programme, packaging, onboarding, design partners, an evidence graph, change-risk selection, government-cloud compatibility and a release factory. That is a multi-quarter programme for one product in a twelve-product portfolio with eleven other products already built and unreviewed. Recorded as a decision for Senthil rather than started: which wedge, how many sprints, and at what cost to the rest of the portfolio.</t>
        </is>
      </c>
      <c r="E82" s="4" t="inlineStr">
        <is>
          <t>E01..E29, D15</t>
        </is>
      </c>
      <c r="F82" s="4" t="inlineStr">
        <is>
          <t>Roadmap recorded in the workbook</t>
        </is>
      </c>
      <c r="G82" s="4" t="inlineStr">
        <is>
          <t>SCOPE DECISION = Senthil</t>
        </is>
      </c>
      <c r="H82" s="4" t="inlineStr">
        <is>
          <t>LC-1</t>
        </is>
      </c>
    </row>
    <row r="83">
      <c r="A83" s="4" t="inlineStr">
        <is>
          <t>E081</t>
        </is>
      </c>
      <c r="B83" s="4" t="inlineStr">
        <is>
          <t>2026-09-13 19:52</t>
        </is>
      </c>
      <c r="C83" s="4" t="inlineStr">
        <is>
          <t>E07/E08</t>
        </is>
      </c>
      <c r="D83" s="4" t="inlineStr">
        <is>
          <t>AI GOVERNANCE BUILT — src/aiGovernance.ts is the single decision point before anything leaves the tenant: policy (off by default, admin-settable model, daily call cap, character cap), redaction of the same credential and PII shapes the secret-scan gate looks for (so what we refuse to ship and what we refuse to store agree), data minimisation with an explicit truncation marker, per-day budget counters, and a capped audit ledger recording every outcome with its reason. Wired into TestGen.generateWithAi so the provider is only reached through it, and surfaced through settings (policy + model + usage) and an owner-only aiAudit call. Five existing tests had assumed a configured provider would be used; they now enable the policy first, and a new test pins the default-off behaviour — the behaviour change is deliberate and visible.</t>
        </is>
      </c>
      <c r="E83" s="4" t="inlineStr">
        <is>
          <t>E07, E08, CB-07, EG-08</t>
        </is>
      </c>
      <c r="F83" s="4" t="inlineStr">
        <is>
          <t>AI is admin-controlled, redacted, budgeted and audited</t>
        </is>
      </c>
      <c r="G83" s="4" t="inlineStr">
        <is>
          <t>Ship AI on or off at launch</t>
        </is>
      </c>
      <c r="H83" s="4" t="inlineStr">
        <is>
          <t>evals</t>
        </is>
      </c>
    </row>
    <row r="84">
      <c r="A84" s="4" t="inlineStr">
        <is>
          <t>E082</t>
        </is>
      </c>
      <c r="B84" s="4" t="inlineStr">
        <is>
          <t>2026-09-13 19:52</t>
        </is>
      </c>
      <c r="C84" s="4" t="inlineStr">
        <is>
          <t>E07</t>
        </is>
      </c>
      <c r="D84" s="4" t="inlineStr">
        <is>
          <t>EVAL FIXTURES WRITTEN (CB-07's failure condition is 'prompt demo only') — 17 tests covering what a real model returns rather than what we hope it returns: well-formed output, markdown-fenced JSON (models do this constantly), malformed JSON, a case with an invalid kind, an empty array, prompt injection inside the story text, and a 429 from the provider. Every one asserts the same two things: the user gets rule-engine cases instead of an error, and the audit trail records why. Also pinned: the redacted text is what reaches the provider, not the original; the daily cap stops calls and resets the next day. STATED HONESTLY in docs/build-protocol-adoption.md — these evals test the product's handling of model output, NOT model quality, which needs live usage and is not claimed.</t>
        </is>
      </c>
      <c r="E84" s="4" t="inlineStr">
        <is>
          <t>CB-07, E07</t>
        </is>
      </c>
      <c r="F84" s="4" t="inlineStr">
        <is>
          <t>17 evals; fallback and audit pinned on every failure mode</t>
        </is>
      </c>
      <c r="G84" s="4" t="inlineStr">
        <is>
          <t>None</t>
        </is>
      </c>
      <c r="H84" s="4" t="inlineStr">
        <is>
          <t>disclosure</t>
        </is>
      </c>
    </row>
    <row r="85">
      <c r="A85" s="4" t="inlineStr">
        <is>
          <t>E083</t>
        </is>
      </c>
      <c r="B85" s="4" t="inlineStr">
        <is>
          <t>2026-09-13 19:52</t>
        </is>
      </c>
      <c r="C85" s="4" t="inlineStr">
        <is>
          <t>E08</t>
        </is>
      </c>
      <c r="D85" s="4" t="inlineStr">
        <is>
          <t>CUSTOMER DISCLOSURE + GATE RE-SCORE — the trust page now states that AI is optional and off by default, that enabling it is an admin decision, that story text is redacted and truncated before egress, that calls are audited and capped, and that turning it off returns TestPulse to a zero-egress posture; new help article HC-16 says the same in customer language. Both are pinned by the claims gate against src/aiGovernance.ts, so the promise cannot drift from the code. EG-08 moves FAIL -&gt; PASS with the model-quality gap named rather than hidden, making four of V002's five FAILs now PASS. The secret-scan gate flagged this sprint's own redaction fixtures twice; both times the fixtures were assembled at runtime so the repository contains no literal credential shape at all, rather than earning an allowance.</t>
        </is>
      </c>
      <c r="E85" s="4" t="inlineStr">
        <is>
          <t>EG-08, C-26, C-27, HC-16</t>
        </is>
      </c>
      <c r="F85" s="4" t="inlineStr">
        <is>
          <t>Four of five V002 FAILs now PASS</t>
        </is>
      </c>
      <c r="G85" s="4" t="inlineStr">
        <is>
          <t>AI on/off at launch is a cost decision</t>
        </is>
      </c>
      <c r="H85" s="4" t="inlineStr">
        <is>
          <t>LC-1</t>
        </is>
      </c>
    </row>
    <row r="86">
      <c r="A86" s="4" t="inlineStr">
        <is>
          <t>E084</t>
        </is>
      </c>
      <c r="B86" s="4" t="inlineStr">
        <is>
          <t>2026-09-13 20:01</t>
        </is>
      </c>
      <c r="C86" s="4" t="inlineStr">
        <is>
          <t>E09</t>
        </is>
      </c>
      <c r="D86" s="4" t="inlineStr">
        <is>
          <t>RUNS ON ATLASSIAN ELIGIBILITY VERIFIED AGAINST LIVE DOCS — the badge is assessed from the MANIFEST, automatically and continuously, and eligible apps list no external resource domains except analytics egress carrying no in-scope end-user data. TestPulse declares api.anthropic.com for optional AI, which disqualifies it regardless of the default-off runtime posture shipped at 19:52. This corrects an inference my own trust-page wording invited; the page now states plainly that the badge is manifest-assessed and that TestPulse is not eligible even with AI off. Recorded with the three options and the evidence that should decide between them, rather than resolved unilaterally.</t>
        </is>
      </c>
      <c r="E86" s="4" t="inlineStr">
        <is>
          <t>E09, EG-12, C-28</t>
        </is>
      </c>
      <c r="F86" s="4" t="inlineStr">
        <is>
          <t>Trust page corrected; assessment written</t>
        </is>
      </c>
      <c r="G86" s="4" t="inlineStr">
        <is>
          <t>BADGE DECISION = Senthil</t>
        </is>
      </c>
      <c r="H86" s="4" t="inlineStr">
        <is>
          <t>webtrigger fix</t>
        </is>
      </c>
    </row>
    <row r="87">
      <c r="A87" s="4" t="inlineStr">
        <is>
          <t>E085</t>
        </is>
      </c>
      <c r="B87" s="4" t="inlineStr">
        <is>
          <t>2026-09-13 20:01</t>
        </is>
      </c>
      <c r="C87" s="4" t="inlineStr">
        <is>
          <t>E09</t>
        </is>
      </c>
      <c r="D87" s="4" t="inlineStr">
        <is>
          <t>SECOND DISQUALIFIER FOUND AND FIXED — web triggers are eligible for Runs on Atlassian only when declared `static`; both 'explicitly dynamic' AND 'existing web triggers without a type defined' are ineligible. The CI webtrigger had no type declared at all, so TestPulse would have failed the check even in a zero-egress configuration. Now declared static, which costs nothing because every request is HMAC-verified against a per-installation secret and the design never relied on an unguessable URL. Recorded precisely that `type` (the trigger) and `response.type` (how the handler replies) are different fields — the dynamic response is what returns 202/400/401 and has no bearing on eligibility. Both findings pinned by tests and by two new claims-gate entries; forge eligibility added to the LC-1 run sheet as the authoritative check, with the expected output written down so the result can be read against an expectation.</t>
        </is>
      </c>
      <c r="E87" s="4" t="inlineStr">
        <is>
          <t>E09, C-29, LC-1</t>
        </is>
      </c>
      <c r="F87" s="4" t="inlineStr">
        <is>
          <t>One disqualifier removed, one is a decision</t>
        </is>
      </c>
      <c r="G87" s="4" t="inlineStr">
        <is>
          <t>Keep the forge eligibility output as evidence</t>
        </is>
      </c>
      <c r="H87" s="4" t="inlineStr">
        <is>
          <t>LC-1</t>
        </is>
      </c>
    </row>
    <row r="88">
      <c r="A88" s="4" t="inlineStr">
        <is>
          <t>E086</t>
        </is>
      </c>
      <c r="B88" s="4" t="inlineStr">
        <is>
          <t>2026-09-13 20:05</t>
        </is>
      </c>
      <c r="C88" s="4" t="inlineStr">
        <is>
          <t>CB-14</t>
        </is>
      </c>
      <c r="D88" s="4" t="inlineStr">
        <is>
          <t>CLEAN-ROOM CI EXECUTED — the protocol's failure condition is 'unreproduced claims', and every CI log before this one ran against a tree that was already installed. A fresh copy of the repository with no node_modules was installed from the lockfile alone (npm ci, 577 packages, 10 seconds) and then run end to end: build, six review gates, posture check, Forge typecheck, UI build and the full 408-test suite at 100% x4. All green. This independently validates two V001 findings as well — TPR-012 (@forge/api now a declared dependency rather than a hoisted transitive one) and TPR-014 (the package is installable from its lockfile), neither of which could be proven from inside an existing tree.</t>
        </is>
      </c>
      <c r="E88" s="4" t="inlineStr">
        <is>
          <t>CB-14, TPR-012, TPR-014</t>
        </is>
      </c>
      <c r="F88" s="4" t="inlineStr">
        <is>
          <t>Reproducibility proven, log retained</t>
        </is>
      </c>
      <c r="G88" s="4" t="inlineStr">
        <is>
          <t>Attach to submission evidence</t>
        </is>
      </c>
      <c r="H88" s="4" t="inlineStr">
        <is>
          <t>CB-09</t>
        </is>
      </c>
    </row>
    <row r="89">
      <c r="A89" s="4" t="inlineStr">
        <is>
          <t>E087</t>
        </is>
      </c>
      <c r="B89" s="4" t="inlineStr">
        <is>
          <t>2026-09-13 20:05</t>
        </is>
      </c>
      <c r="C89" s="4" t="inlineStr">
        <is>
          <t>CB-09</t>
        </is>
      </c>
      <c r="D89" s="4" t="inlineStr">
        <is>
          <t>PERFORMANCE ENVELOPE MEASURED — 50,000 cases, 10,000 runs, 100,000 CI results against the real modules. All operations sub-10ms, which is the uninteresting answer: on Forge the binding constraint is the 240 KiB per-value storage ceiling, not CPU, and TestPulse stores whole collections in single values. At fixture scale gen:cases measured 4,693 KiB (19.6x over), the run board 467 KiB (1.9x over) and fl:results 542 KiB (2.3x over). Supported scale is therefore a row count: ~1,500-2,900 test cases per site and ~5,000 runs per board, published in docs/performance-envelope.md rather than left for a customer to discover when their 3,000th case fails to save.</t>
        </is>
      </c>
      <c r="E89" s="4" t="inlineStr">
        <is>
          <t>CB-09, EG-10, E12</t>
        </is>
      </c>
      <c r="F89" s="4" t="inlineStr">
        <is>
          <t>Envelope published with measured ceilings</t>
        </is>
      </c>
      <c r="G89" s="4" t="inlineStr">
        <is>
          <t>Row-count ceilings need E01/E12 to lift</t>
        </is>
      </c>
      <c r="H89" s="4" t="inlineStr">
        <is>
          <t>PERF-01</t>
        </is>
      </c>
    </row>
    <row r="90">
      <c r="A90" s="4" t="inlineStr">
        <is>
          <t>E088</t>
        </is>
      </c>
      <c r="B90" s="4" t="inlineStr">
        <is>
          <t>2026-09-13 20:05</t>
        </is>
      </c>
      <c r="C90" s="4" t="inlineStr">
        <is>
          <t>PERF-01</t>
        </is>
      </c>
      <c r="D90" s="4" t="inlineStr">
        <is>
          <t>PERF-01 FIXED — MY OWN CAP WAS OVER THE CEILING. The 10,000-entry FIFO cap introduced for F-TP06 to stop unbounded ledgers hard-failing hosted-storage writes measured at 542 KiB, 2.3x over the 240 KiB per-value limit: counting entries does not bound bytes, and nothing had ever weighed the value. appendCapped now trims oldest-first by BYTES as well as count against a 200 KiB budget with headroom, in 10% steps so a barely-over ledger is not needlessly halved; CI results, the audit log, notifications, latency samples and the AI audit all inherit it. test/performance.test.ts drives every product ledger under load and asserts the serialised result fits, and asserts SIZE rather than wall-clock because timing tests are flaky and get retried away — which is how a real limit gets normalised.</t>
        </is>
      </c>
      <c r="E90" s="4" t="inlineStr">
        <is>
          <t>PERF-01, F-TP06</t>
        </is>
      </c>
      <c r="F90" s="4" t="inlineStr">
        <is>
          <t>Byte-aware caps; guard test added</t>
        </is>
      </c>
      <c r="G90" s="4" t="inlineStr">
        <is>
          <t>None</t>
        </is>
      </c>
      <c r="H90" s="4" t="inlineStr">
        <is>
          <t>LC-1 live p95</t>
        </is>
      </c>
    </row>
    <row r="91">
      <c r="A91" s="4" t="inlineStr">
        <is>
          <t>E089</t>
        </is>
      </c>
      <c r="B91" s="4" t="inlineStr">
        <is>
          <t>2026-09-13 20:24</t>
        </is>
      </c>
      <c r="C91" s="4" t="inlineStr">
        <is>
          <t>CB-04</t>
        </is>
      </c>
      <c r="D91" s="4" t="inlineStr">
        <is>
          <t>CONNECTOR HEALTH BUILT — the protocol requires external integrations to be observable, and that was the last 'Partly' on CB-04. Four states derived from the webhook outcomes already being decided (never-connected, healthy, stale, rejecting), surfaced through statusReport with a configurable staleness window, and written to explain rather than label: the rejecting state names a rotated signing secret as the likely cause, and the stale state says an empty flaky panel means no data rather than no flakiness. The design point is that this failure is invisible by default — a customer's pipeline going quiet looks exactly like a healthy product with nothing to report.</t>
        </is>
      </c>
      <c r="E91" s="4" t="inlineStr">
        <is>
          <t>CB-04, EG-11, ST-070</t>
        </is>
      </c>
      <c r="F91" s="4" t="inlineStr">
        <is>
          <t>Connector observability shipped</t>
        </is>
      </c>
      <c r="G91" s="4" t="inlineStr">
        <is>
          <t>Alerting + diagnostics bundle remain (E13)</t>
        </is>
      </c>
      <c r="H91" s="4" t="inlineStr">
        <is>
          <t>the bug it found</t>
        </is>
      </c>
    </row>
    <row r="92">
      <c r="A92" s="4" t="inlineStr">
        <is>
          <t>E090</t>
        </is>
      </c>
      <c r="B92" s="4" t="inlineStr">
        <is>
          <t>2026-09-13 20:24</t>
        </is>
      </c>
      <c r="C92" s="4" t="inlineStr">
        <is>
          <t>Defect</t>
        </is>
      </c>
      <c r="D92" s="4" t="inlineStr">
        <is>
          <t>THE TEST FOUND A REAL BUG IN THE NEW CODE — health ordering was inferred by comparing lastRejectedAt with lastAcceptedAt, so an accepted post and a rejection in the same millisecond resolved to 'healthy'. That is exactly the scenario the metric exists to catch, and the tie would have been invisible in production. The last outcome is now recorded explicitly instead of inferred from clocks. While fixing it, Webhooks.verify was changed to a discriminated result ({ok:true} | {ok:false; reason}) so callers receive the reason without a `?? 'unknown'` fallback that no test could reach — three existing assertions were updated to the sharper shape. A forward-compatibility test also covers a health record written before the reason field existed.</t>
        </is>
      </c>
      <c r="E92" s="4" t="inlineStr">
        <is>
          <t>CB-04, CB-13</t>
        </is>
      </c>
      <c r="F92" s="4" t="inlineStr">
        <is>
          <t>Bug pinned; verify() shape tightened</t>
        </is>
      </c>
      <c r="G92" s="4" t="inlineStr">
        <is>
          <t>None</t>
        </is>
      </c>
      <c r="H92" s="4" t="inlineStr">
        <is>
          <t>LC-1</t>
        </is>
      </c>
    </row>
    <row r="93">
      <c r="A93" s="4" t="inlineStr">
        <is>
          <t>E091</t>
        </is>
      </c>
      <c r="B93" s="4" t="inlineStr">
        <is>
          <t>2026-09-13 20:33</t>
        </is>
      </c>
      <c r="C93" s="4" t="inlineStr">
        <is>
          <t>PERF-04</t>
        </is>
      </c>
      <c r="D93" s="4" t="inlineStr">
        <is>
          <t>HYDRATE ROUND TRIPS CUT 63 -&gt; 1 FOR A 60-KEY TENANT. OBS-TP1 had been recorded twice today as 'not measured', so it was measured. ForgeStore.hydrate() executes on every resolver invocation and was performing ceil(K/20) query pages plus K SEQUENTIAL get calls. Checking the installed @forge/kvs types showed the query result is Result&lt;T&gt; = { key, value } — the pages already carry every value, making the per-key gets pure waste. Hydrate now reads from the pages and the adapter pages at 100, the documented maximum. The Store seam is unchanged: listAll is an optional capability with the old path kept as a fallback for stores that cannot list values, and both paths are tested.</t>
        </is>
      </c>
      <c r="E93" s="4" t="inlineStr">
        <is>
          <t>OBS-TP1, PERF-04, EG-10</t>
        </is>
      </c>
      <c r="F93" s="4" t="inlineStr">
        <is>
          <t>Per-invocation cost cut by ~60x</t>
        </is>
      </c>
      <c r="G93" s="4" t="inlineStr">
        <is>
          <t>Prefix-scoped hydration still open</t>
        </is>
      </c>
      <c r="H93" s="4" t="inlineStr">
        <is>
          <t>why it hid</t>
        </is>
      </c>
    </row>
    <row r="94">
      <c r="A94" s="4" t="inlineStr">
        <is>
          <t>E092</t>
        </is>
      </c>
      <c r="B94" s="4" t="inlineStr">
        <is>
          <t>2026-09-13 20:33</t>
        </is>
      </c>
      <c r="C94" s="4" t="inlineStr">
        <is>
          <t>Lesson</t>
        </is>
      </c>
      <c r="D94" s="4" t="inlineStr">
        <is>
          <t>WHY IT SURVIVED EIGHT INTERNAL PASSES AND TWO EXTERNAL REVIEWS — the test double for the KVS query returned keys WITHOUT values, so hydrate's redundant per-key fetch looked necessary to anyone reading the code or the test. That is L-6 exactly: a mock encoding the wrong contract, defending the wrong behaviour indefinitely. The double is now faithful to Result&lt;T&gt;, a test counts round trips and asserts zero gets during hydrate, and the fallback path is separately covered. The general form worth carrying to the other products: WHEN A TEST DOUBLE IS THINNER THAN THE REAL API, the gap is where waste and bugs hide — check doubles against the vendor's own types, not against what the code happens to need.</t>
        </is>
      </c>
      <c r="E94" s="4" t="inlineStr">
        <is>
          <t>L-6, CB-13</t>
        </is>
      </c>
      <c r="F94" s="4" t="inlineStr">
        <is>
          <t>Double corrected; round trips pinned</t>
        </is>
      </c>
      <c r="G94" s="4" t="inlineStr">
        <is>
          <t>Check doubles against vendor types portfolio-wide</t>
        </is>
      </c>
      <c r="H94" s="4" t="inlineStr">
        <is>
          <t>LC-1</t>
        </is>
      </c>
    </row>
    <row r="95">
      <c r="A95" s="4" t="inlineStr">
        <is>
          <t>E093</t>
        </is>
      </c>
      <c r="B95" s="4" t="inlineStr">
        <is>
          <t>2026-09-13 20:33</t>
        </is>
      </c>
      <c r="C95" s="4" t="inlineStr">
        <is>
          <t>Honesty</t>
        </is>
      </c>
      <c r="D95" s="4" t="inlineStr">
        <is>
          <t>OBS-TP1 IS NOT CLOSED. Hydrate still loads every key in the installation on every invocation, so the cost still grows linearly with tenant data — the multiplier is gone, the linearity is not. Prefix-scoped hydration would change the Store seam that all 30 modules sit behind and remains Senthil's architectural call, now framed with numbers: one round trip per 100 keys instead of one per key. The live figures that decide it — actual KVS latency, cold start, the 25s invocation ceiling — need LC-1, and the LC-1 pack already asks for them.</t>
        </is>
      </c>
      <c r="E95" s="4" t="inlineStr">
        <is>
          <t>OBS-TP1, LC-1</t>
        </is>
      </c>
      <c r="F95" s="4" t="inlineStr">
        <is>
          <t>Decision now has numbers</t>
        </is>
      </c>
      <c r="G95" s="4" t="inlineStr">
        <is>
          <t>ARCHITECTURAL DECISION = Senthil</t>
        </is>
      </c>
      <c r="H95" s="4" t="inlineStr">
        <is>
          <t>LC-1</t>
        </is>
      </c>
    </row>
    <row r="96">
      <c r="A96" s="4" t="inlineStr">
        <is>
          <t>E094</t>
        </is>
      </c>
      <c r="B96" s="4" t="inlineStr">
        <is>
          <t>2026-09-13 20:49</t>
        </is>
      </c>
      <c r="C96" s="4" t="inlineStr">
        <is>
          <t>Contracts</t>
        </is>
      </c>
      <c r="D96" s="4" t="inlineStr">
        <is>
          <t>VENDOR CONTRACT AUDIT — every test double in this codebase checked against the installed @forge packages' own type definitions, prompted by PERF-04 being caused by a double thinner than the API. Findings: KVS Result&lt;T&gt; carries { key, value } (the basis of the hydrate fix, now pinned); @forge/bridge LicenseDetails does define isEvaluation, confirming the VER-P03 mapping is right; @forge/api Response exposes ok/status/statusText/headers with Headers.get returning string | null, confirming the Retry-After path; @forge/resolver Request is { payload, context } as the adapter assumes. All four hold today. The audit's value is not that they hold — it is that nothing was checking, and PERF-04 shows what a single thin double costs.</t>
        </is>
      </c>
      <c r="E96" s="4" t="inlineStr">
        <is>
          <t>PERF-04, VER-P01, VER-P03, F-TP08</t>
        </is>
      </c>
      <c r="F96" s="4" t="inlineStr">
        <is>
          <t>All vendor contracts verified</t>
        </is>
      </c>
      <c r="G96" s="4" t="inlineStr">
        <is>
          <t>None</t>
        </is>
      </c>
      <c r="H96" s="4" t="inlineStr">
        <is>
          <t>the guard</t>
        </is>
      </c>
    </row>
    <row r="97">
      <c r="A97" s="4" t="inlineStr">
        <is>
          <t>E095</t>
        </is>
      </c>
      <c r="B97" s="4" t="inlineStr">
        <is>
          <t>2026-09-13 20:49</t>
        </is>
      </c>
      <c r="C97" s="4" t="inlineStr">
        <is>
          <t>Contracts</t>
        </is>
      </c>
      <c r="D97" s="4" t="inlineStr">
        <is>
          <t>GUARD SHIPPED + IT CAUGHT ME IMMEDIATELY — test/vendor-contracts.test.ts makes a thin double a compile error by assigning each seam to or from the vendor's published type. On its first run it rejected my own assertion because I had the DIRECTION backwards: for an inbound contract the vendor's type must be assignable to ours (we must accept whatever they send, and tolerating more input is correct), while for an outbound contract ours must satisfy theirs. Asserting the wrong direction either passes for the wrong reason or fails in a way that looks like a defect and is not — worth writing down, because it is the kind of test that silently protects nothing. Also recorded rather than buried: ExtensionData is an open map in the vendor types, so extension.issue.key cannot be proven by types and is an LC-1 verification.</t>
        </is>
      </c>
      <c r="E97" s="4" t="inlineStr">
        <is>
          <t>CB-13, L-6, LC-1</t>
        </is>
      </c>
      <c r="F97" s="4" t="inlineStr">
        <is>
          <t>Thin doubles now fail at type-check</t>
        </is>
      </c>
      <c r="G97" s="4" t="inlineStr">
        <is>
          <t>Verify extension.issue.key live at LC-1</t>
        </is>
      </c>
      <c r="H97" s="4" t="inlineStr">
        <is>
          <t>LC-1</t>
        </is>
      </c>
    </row>
    <row r="98">
      <c r="A98" s="4" t="inlineStr">
        <is>
          <t>E096</t>
        </is>
      </c>
      <c r="B98" s="4" t="inlineStr">
        <is>
          <t>2026-09-20 11:40</t>
        </is>
      </c>
      <c r="C98" s="4" t="inlineStr">
        <is>
          <t>—</t>
        </is>
      </c>
      <c r="D98" s="5" t="inlineStr">
        <is>
          <t>INSTRUCTION RECORDED — Senthil 20/09 11:06: go through the external review document, update the code and the sprint tracker and traceability, produce the next version of the zip, the sprint tracker and the rest. Enterprise grade, do not shrink the scope, keep ALL tasks in the sprint tracker. Baseline reproduced from the uploaded 20:49 package BEFORE touching anything: npm ci from the lockfile, build, six gates, posture, Forge typecheck, UI build, 44 suites / 426 tests / 100% x4 — identical to the review's independent reproduction, so the starting point is agreed.</t>
        </is>
      </c>
      <c r="E98" s="4" t="inlineStr">
        <is>
          <t>PRX-01..05, C-1..C-7</t>
        </is>
      </c>
      <c r="F98" s="4" t="inlineStr">
        <is>
          <t>v028 pass opened</t>
        </is>
      </c>
      <c r="G98" s="4" t="inlineStr">
        <is>
          <t>None</t>
        </is>
      </c>
      <c r="H98" s="4" t="inlineStr">
        <is>
          <t>PR-01</t>
        </is>
      </c>
    </row>
    <row r="99">
      <c r="A99" s="4" t="inlineStr">
        <is>
          <t>E097</t>
        </is>
      </c>
      <c r="B99" s="4" t="inlineStr">
        <is>
          <t>2026-09-20 11:40</t>
        </is>
      </c>
      <c r="C99" s="4" t="inlineStr">
        <is>
          <t>PR-01</t>
        </is>
      </c>
      <c r="D99" s="5" t="inlineStr">
        <is>
          <t>PRX-02 CLOSED — THE FINDING THAT MATTERED. The review proved TestPulse lost data when two people used it at once: hydrate the whole tenant, mutate a collection in memory, write it back, last flush wins. Three changes close it. (1) Every stored value carries a VERSION in an envelope and a plain write is a COMPARE-AND-SET; a moved version raises StoreConflictError, never overwrites, and the glue turns that into a 409 telling the user to reload. (2) Commutative operations — append/increment/union/setIfAbsent/update — are recorded as reducers and re-applied ON TOP of the stored value at flush, retried on conflict, so 100 interleaved writers all land on the audit log, the AI trail, the notification log and the daily budget counter. (3) Entities moved to ONE KEY PER ENTITY, so the common case (two people creating things) cannot conflict at all. An identical value already present is idempotent success, because Forge redelivers events.</t>
        </is>
      </c>
      <c r="E99" s="4" t="inlineStr">
        <is>
          <t>PRX-02, L-P8</t>
        </is>
      </c>
      <c r="F99" s="4" t="inlineStr">
        <is>
          <t>Store seam grew commutative ops; ForgeStore rewritten</t>
        </is>
      </c>
      <c r="G99" s="4" t="inlineStr">
        <is>
          <t>Emulated CAS on KVS is best-effort by platform limit — stated in ADR-001</t>
        </is>
      </c>
      <c r="H99" s="4" t="inlineStr">
        <is>
          <t>PR-02</t>
        </is>
      </c>
    </row>
    <row r="100">
      <c r="A100" s="4" t="inlineStr">
        <is>
          <t>E098</t>
        </is>
      </c>
      <c r="B100" s="4" t="inlineStr">
        <is>
          <t>2026-09-20 11:40</t>
        </is>
      </c>
      <c r="C100" s="4" t="inlineStr">
        <is>
          <t>PR-01</t>
        </is>
      </c>
      <c r="D100" s="5" t="inlineStr">
        <is>
          <t>THE GATE THAT COULD NOT HAVE CAUGHT IT, BUILT — G-5 concurrent write safety (lesson L-P8: a gate that examines one invocation cannot see a defect that requires two). Static half: keys registered as shared may only be written with commutative operations, never a plain set — the exact shape that loses updates. Dynamic half: test/concurrency.test.ts, two stores over one backing map, 100 interleaved writers. The gate refuses to let the register grow without proof, and IT WENT RED ON ITS FIRST RUN for eight of thirteen keys; the coverage in the suite was written to answer it, not the other way round. Ported to the kit with a README section and an init scaffold that emits a TODO register rather than an empty one, because an empty register passes vacuously.</t>
        </is>
      </c>
      <c r="E100" s="4" t="inlineStr">
        <is>
          <t>G-5, L-P8</t>
        </is>
      </c>
      <c r="F100" s="4" t="inlineStr">
        <is>
          <t>Seventh CI gate; portable kit updated</t>
        </is>
      </c>
      <c r="G100" s="4" t="inlineStr">
        <is>
          <t>Rollout to the other 11 products = Senthil</t>
        </is>
      </c>
      <c r="H100" s="4" t="inlineStr">
        <is>
          <t>PR-02</t>
        </is>
      </c>
    </row>
    <row r="101">
      <c r="A101" s="4" t="inlineStr">
        <is>
          <t>E099</t>
        </is>
      </c>
      <c r="B101" s="4" t="inlineStr">
        <is>
          <t>2026-09-20 11:40</t>
        </is>
      </c>
      <c r="C101" s="4" t="inlineStr">
        <is>
          <t>PR-02</t>
        </is>
      </c>
      <c r="D101" s="5" t="inlineStr">
        <is>
          <t>PRX-01 CLOSED — ids were derived from the story key alone (ABC-1-H1/E1/P1, -AI1..n), so the panel's "Generate more cases" button appended a SECOND set with identical ids: run boards aggregated two different cases under one identifier and demo teardown deleted both. Every creation path — rule engine, AI, import, CSV — now takes a time-sortable unique id, asserted unique in-process and at write by insert-if-absent against the store. TestCase gained version + updatedAt and an optimistic updateCase that refuses a stale editor: the seed of the versioned test entity EG-04 asks for. Pinned: generate x3 / import x2 / AI x2 on one story with ONE clock value — uniqueness cannot lean on time.</t>
        </is>
      </c>
      <c r="E101" s="4" t="inlineStr">
        <is>
          <t>PRX-01, EG-04</t>
        </is>
      </c>
      <c r="F101" s="4" t="inlineStr">
        <is>
          <t>test/identity.test.ts</t>
        </is>
      </c>
      <c r="G101" s="4" t="inlineStr">
        <is>
          <t>None</t>
        </is>
      </c>
      <c r="H101" s="4" t="inlineStr">
        <is>
          <t>PR-03</t>
        </is>
      </c>
    </row>
    <row r="102">
      <c r="A102" s="4" t="inlineStr">
        <is>
          <t>E100</t>
        </is>
      </c>
      <c r="B102" s="4" t="inlineStr">
        <is>
          <t>2026-09-20 11:40</t>
        </is>
      </c>
      <c r="C102" s="4" t="inlineStr">
        <is>
          <t>PR-03</t>
        </is>
      </c>
      <c r="D102" s="5" t="inlineStr">
        <is>
          <t>PRX-05 + PERF-02/03 + OBS-TP1 CLOSED — every resolver call now DECLARES the storage it reads (CALL_SCOPE) and a read outside it throws, so a missing declaration fails the suite instead of quietly loading the whole tenant in production. whoami loads 2 keys on a 500-key tenant, asserted. Cases, runs, CI results, links and replay ids are per-entity keys; the ~1,500-2,900-case and ~5,000-run ceilings are gone (50,000 cases and 100,000 results asserted with no value near 240 KiB). Retention became a job: replay keys expire by the replay window, evicted CI runs are deleted by exact key, orphan chunks swept daily.</t>
        </is>
      </c>
      <c r="E102" s="4" t="inlineStr">
        <is>
          <t>PRX-05, PERF-02, PERF-03, OBS-TP1</t>
        </is>
      </c>
      <c r="F102" s="4" t="inlineStr">
        <is>
          <t>Prefix-scoped hydration; per-entity keys</t>
        </is>
      </c>
      <c r="G102" s="4" t="inlineStr">
        <is>
          <t>None</t>
        </is>
      </c>
      <c r="H102" s="4" t="inlineStr">
        <is>
          <t>PR-03 SQL</t>
        </is>
      </c>
    </row>
    <row r="103">
      <c r="A103" s="4" t="inlineStr">
        <is>
          <t>E101</t>
        </is>
      </c>
      <c r="B103" s="4" t="inlineStr">
        <is>
          <t>2026-09-20 11:40</t>
        </is>
      </c>
      <c r="C103" s="4" t="inlineStr">
        <is>
          <t>PR-03</t>
        </is>
      </c>
      <c r="D103" s="5" t="inlineStr">
        <is>
          <t>FORGE SQL ADAPTER SHIPPED BEHIND THE SAME SEAM + ADR-001 RECORDS THE DECISION. Verified live against Atlassian docs: Forge SQL is GA (not Government Cloud), MySQL on TiDB, 1 GiB per production install, 200 tables, 6 MiB rows, 5s SELECT timeout, enabled by a `sql` module whose addition is a MAJOR VERSION, schema applied per installation by migrationRunner from a scheduled trigger — so an installation can exist BEFORE its schema does. That last fact is why SQL is opt-in rather than the default today: per-entity KVS already lifts the ceiling and closes PRX-02 for entity writes, and the residual (best-effort CAS on a few shared settings) is exactly what SQL closes when LC-1 gives real latency. The adapter has a real atomic CAS and is exercised against node:sqlite through the same client shape as @forge/sql; the manifest carries the exact sql module + migration trigger snippets, commented.</t>
        </is>
      </c>
      <c r="E103" s="4" t="inlineStr">
        <is>
          <t>PRX-02, ADR-001, PERF-02/03</t>
        </is>
      </c>
      <c r="F103" s="4" t="inlineStr">
        <is>
          <t>src/sqlStore.ts + forge/index.ts TP_STORAGE=sql</t>
        </is>
      </c>
      <c r="G103" s="4" t="inlineStr">
        <is>
          <t>Enabling it is a major version — PR-04 decides</t>
        </is>
      </c>
      <c r="H103" s="4" t="inlineStr">
        <is>
          <t>PR-05</t>
        </is>
      </c>
    </row>
    <row r="104">
      <c r="A104" s="4" t="inlineStr">
        <is>
          <t>E102</t>
        </is>
      </c>
      <c r="B104" s="4" t="inlineStr">
        <is>
          <t>2026-09-20 11:40</t>
        </is>
      </c>
      <c r="C104" s="4" t="inlineStr">
        <is>
          <t>PR-05</t>
        </is>
      </c>
      <c r="D104" s="5" t="inlineStr">
        <is>
          <t>THE HIGHEST-VALUE PRODUCT SPRINT — READINESS IS DERIVED, NOT TYPED. The review was blunt: the two heaviest-weighted inputs (coverage 0.3, open P0s 0.3) were numbers the owner typed into Settings, which makes a release-readiness product "a spreadsheet with a dial" and makes Decision 4 positioning the F-TP33 class at the level of strategy. Now: open P0s come from Jira via a per-project JQL, coverage from ingested CI results or executed-case ratio, pass rate from recorded executions, quarantine count from the flaky detector. Every factor NAMES ITS SOURCE on the panel, the verdict carries an explanation ("79, held down by 2 open P0(s), 67% pass rate"), there is a 30-day trend, and ready:settings is gone — pinned by a test that greps the module for it. A manual override still exists but is explicit: it demands a reason, records who set it, and shows MANUAL OVERRIDE next to the number.</t>
        </is>
      </c>
      <c r="E104" s="4" t="inlineStr">
        <is>
          <t>PR-05, EG-07, Decision 4</t>
        </is>
      </c>
      <c r="F104" s="4" t="inlineStr">
        <is>
          <t>src/readinessLive.ts; Settings now holds derivation config, not inputs</t>
        </is>
      </c>
      <c r="G104" s="4" t="inlineStr">
        <is>
          <t>Live Jira proof at LC-1</t>
        </is>
      </c>
      <c r="H104" s="4" t="inlineStr">
        <is>
          <t>PR-06</t>
        </is>
      </c>
    </row>
    <row r="105">
      <c r="A105" s="4" t="inlineStr">
        <is>
          <t>E103</t>
        </is>
      </c>
      <c r="B105" s="4" t="inlineStr">
        <is>
          <t>2026-09-20 11:40</t>
        </is>
      </c>
      <c r="C105" s="4" t="inlineStr">
        <is>
          <t>PR-06</t>
        </is>
      </c>
      <c r="D105" s="5" t="inlineStr">
        <is>
          <t>AUTOMATION RESULTS INGESTION (EG-06 was MISSING) — JUnit XML, Playwright JSON and Cucumber JSON adapters over the existing HMAC webtrigger, dependency-free by design (an XML library is more attack surface than a report needs). Each is exercised against a COMMITTED FIXTURE IN THE REAL TOOL'S SHAPE: surefire with entity-encoded names, nested failures and skips; Playwright with nested suites, retries-that-passed and a timedOut project; Cucumber with backgrounds, undefined and pending scenarios. Idempotent by run id (defaulting to the event id, pinned by test so the glue cannot drift); per-branch/env dimensions; 1 MiB payload cap and a 20,000-result cap, both returning 413 rather than blowing an invocation; rejections recorded in connector health.</t>
        </is>
      </c>
      <c r="E105" s="4" t="inlineStr">
        <is>
          <t>PR-06, EG-06, E03</t>
        </is>
      </c>
      <c r="F105" s="4" t="inlineStr">
        <is>
          <t>src/ciReports.ts + test/fixtures/ci/*</t>
        </is>
      </c>
      <c r="G105" s="4" t="inlineStr">
        <is>
          <t>Real pipeline post at LC-1</t>
        </is>
      </c>
      <c r="H105" s="4" t="inlineStr">
        <is>
          <t>PR-07</t>
        </is>
      </c>
    </row>
    <row r="106">
      <c r="A106" s="4" t="inlineStr">
        <is>
          <t>E104</t>
        </is>
      </c>
      <c r="B106" s="4" t="inlineStr">
        <is>
          <t>2026-09-20 11:40</t>
        </is>
      </c>
      <c r="C106" s="4" t="inlineStr">
        <is>
          <t>PR-07</t>
        </is>
      </c>
      <c r="D106" s="5" t="inlineStr">
        <is>
          <t>FLAKY INTELLIGENCE 2.0 — PRX-04 CLOSED. The old design scored flip rate over ONE 10,000-entry/200 KiB FIFO ledger, so a normal CI run on a mid-size suite held one or two runs of history and one noisy test evicted every real signal; PERF-01 had tightened that cap correctly without noticing the cap WAS the analysis window. Now results live per run under a bounded index (last 50 runs, settable 5..500) and scoring uses the last 30 results PER TEST PER BRANCH: a flaky test survives 12,000 unrelated stable results (asserted). Added: branch/env awareness so a test stable on main and unstable on one feature branch is not quarantined globally, first-seen/last-failed, new-vs-chronic, failure clustering by run, time-to-quarantine, and quarantine with an owner, an expiry and an audited un-quarantine.</t>
        </is>
      </c>
      <c r="E106" s="4" t="inlineStr">
        <is>
          <t>PR-07, PRX-04, E06</t>
        </is>
      </c>
      <c r="F106" s="4" t="inlineStr">
        <is>
          <t>src/flaky.ts rewritten; test/flaky2.test.ts</t>
        </is>
      </c>
      <c r="G106" s="4" t="inlineStr">
        <is>
          <t>None</t>
        </is>
      </c>
      <c r="H106" s="4" t="inlineStr">
        <is>
          <t>PR-08</t>
        </is>
      </c>
    </row>
    <row r="107">
      <c r="A107" s="4" t="inlineStr">
        <is>
          <t>E105</t>
        </is>
      </c>
      <c r="B107" s="4" t="inlineStr">
        <is>
          <t>2026-09-20 11:40</t>
        </is>
      </c>
      <c r="C107" s="4" t="inlineStr">
        <is>
          <t>PR-08</t>
        </is>
      </c>
      <c r="D107" s="5" t="inlineStr">
        <is>
          <t>TRACEABILITY GRAPH (EG-05 was MISSING — the review called it the single biggest capability gap against Xray). Requirement -&gt; test -&gt; run -&gt; defect, from links in TestPulse storage plus the implicit story-&gt;case link, answering "requirements with no test" and "tests with no execution", and coverage per epic/release by joining a Jira search against the graph. JIRA WRITE-BACK IS DELIBERATELY NOT BUILT: creating issue links in Jira needs write:jira-work back in the manifest, TPR-003 removed it because nothing used it, and re-adding it is a product decision (D-TP-WB) to be made as a feature with a named call site — never as a silent scope. The module contains no Jira write path at all, asserted by test.</t>
        </is>
      </c>
      <c r="E107" s="4" t="inlineStr">
        <is>
          <t>PR-08, EG-05, E02, D-TP-WB</t>
        </is>
      </c>
      <c r="F107" s="4" t="inlineStr">
        <is>
          <t>src/traceability.ts</t>
        </is>
      </c>
      <c r="G107" s="4" t="inlineStr">
        <is>
          <t>Write-back scope DECISION = Senthil</t>
        </is>
      </c>
      <c r="H107" s="4" t="inlineStr">
        <is>
          <t>PR-09</t>
        </is>
      </c>
    </row>
    <row r="108">
      <c r="A108" s="4" t="inlineStr">
        <is>
          <t>E106</t>
        </is>
      </c>
      <c r="B108" s="4" t="inlineStr">
        <is>
          <t>2026-09-20 11:40</t>
        </is>
      </c>
      <c r="C108" s="4" t="inlineStr">
        <is>
          <t>PR-09</t>
        </is>
      </c>
      <c r="D108" s="5" t="inlineStr">
        <is>
          <t>PRX-03 CLOSED — PROJECT SCOPE IS NOW ENFORCED, NOT LOGGED. Permissions.check took a scope, wrote it into the audit entry, then decided purely from the global matrix; LC-6 "Jira permission schemes respected" was marked Done-in-code on the strength of that log — the F-TP33 class recurring inside the machinery built to stop it. The check now evaluates scope: a project-scoped action needs the role AND Jira's BROWSE_PROJECTS answer for THAT user via asUser() (AEC 1.14), and an unanswered check is a DENIAL, for the owner too. Cases, boards, readiness and the audit log carry the project dimension; the project comes from the story key or the page context. The regression asserts a scoped DENIAL, not a scoped audit entry.</t>
        </is>
      </c>
      <c r="E108" s="4" t="inlineStr">
        <is>
          <t>PRX-03, LC-6, EG-09, AEC 1.14</t>
        </is>
      </c>
      <c r="F108" s="4" t="inlineStr">
        <is>
          <t>LC-6 corrected to Open; test/project-scope.test.ts</t>
        </is>
      </c>
      <c r="G108" s="4" t="inlineStr">
        <is>
          <t>Live restricted-project proof at LC-1</t>
        </is>
      </c>
      <c r="H108" s="4" t="inlineStr">
        <is>
          <t>PR-10</t>
        </is>
      </c>
    </row>
    <row r="109">
      <c r="A109" s="4" t="inlineStr">
        <is>
          <t>E107</t>
        </is>
      </c>
      <c r="B109" s="4" t="inlineStr">
        <is>
          <t>2026-09-20 11:40</t>
        </is>
      </c>
      <c r="C109" s="4" t="inlineStr">
        <is>
          <t>PR-10</t>
        </is>
      </c>
      <c r="D109" s="5" t="inlineStr">
        <is>
          <t>AI ECONOMICS AND GOVERNANCE v2 — bring-your-own-key per installation in Forge Secret Storage (owner-only, validated, never in readable storage, deleted with the tenant's data), with the shared key as a metered fallback carrying a MONTHLY ceiling per site on top of the daily cap. Cost attribution per key source per month, including estimated tokens, readable by admins. PROMPT-INJECTION HARDENING: story text was reaching the model inside the instruction string with only shape validation on the way out; instructions now live in the system prompt, the story is delimited DATA explicitly marked as not-instructions, and output is structurally validated with exfiltration-shaped content (system-prompt talk, credentials, URLs, the delimiter) rejected so the rule engine answers instead. Multi-model fallback on 429/5xx only. Public AI usage policy published (AEC 5.1) naming Anthropic as a subprocessor (AEC 1.12).</t>
        </is>
      </c>
      <c r="E109" s="4" t="inlineStr">
        <is>
          <t>PR-10, EG-08, AEC 5.1/1.12, Decision 3</t>
        </is>
      </c>
      <c r="F109" s="4" t="inlineStr">
        <is>
          <t>src/aiProvider.ts + aiGovernance.ts; docs/ai-usage-policy.md</t>
        </is>
      </c>
      <c r="G109" s="4" t="inlineStr">
        <is>
          <t>BYOK proof with a real key at LC-1</t>
        </is>
      </c>
      <c r="H109" s="4" t="inlineStr">
        <is>
          <t>PR-11</t>
        </is>
      </c>
    </row>
    <row r="110">
      <c r="A110" s="4" t="inlineStr">
        <is>
          <t>E108</t>
        </is>
      </c>
      <c r="B110" s="4" t="inlineStr">
        <is>
          <t>2026-09-20 11:40</t>
        </is>
      </c>
      <c r="C110" s="4" t="inlineStr">
        <is>
          <t>PR-11</t>
        </is>
      </c>
      <c r="D110" s="5" t="inlineStr">
        <is>
          <t>THE CLOUD FORTIFIED PLAN WAS VOID — C-2 WAS THE MOST URGENT CORRECTION IN THE PACKAGE. The programme closed to new submissions on 01/09/2026 and retires 31/12/2026, so "Fortified application at listing + 60 days" targeted a route that no longer exists, and the old assessment's verdict of "no structural gaps" was measuring the wrong bar. docs/cloud-fortified-gap.md is DELETED and replaced by docs/enterprise-certified-gap.md, assessed row by row against Atlassian Enterprise Certified. Engineering rows are met and pinned; 1.1 (CREST or Bugcrowd penetration test) and 1.2 (public bug bounty) are PROCUREMENT ITEMS WITH LEAD TIMES, not documentation tasks, and the programme cannot be applied for until they are done. AEC 1.5 closed in code: the vestigial {access,refresh} token pair was removed from the install record — the platform owns OAuth, so ST-055 token rotation is N/A on Forge and is recorded as such rather than left looking Done.</t>
        </is>
      </c>
      <c r="E110" s="4" t="inlineStr">
        <is>
          <t>C-2, LC-3, ST-068, ST-055, AEC 1.1/1.2/1.5</t>
        </is>
      </c>
      <c r="F110" s="4" t="inlineStr">
        <is>
          <t>LC-3 -&gt; Open; ST-055 -&gt; N/A (platform)</t>
        </is>
      </c>
      <c r="G110" s="4" t="inlineStr">
        <is>
          <t>PEN TEST + BUG BOUNTY = Senthil, procurement</t>
        </is>
      </c>
      <c r="H110" s="4" t="inlineStr">
        <is>
          <t>C-1..C-7</t>
        </is>
      </c>
    </row>
    <row r="111">
      <c r="A111" s="4" t="inlineStr">
        <is>
          <t>E109</t>
        </is>
      </c>
      <c r="B111" s="4" t="inlineStr">
        <is>
          <t>2026-09-20 11:40</t>
        </is>
      </c>
      <c r="C111" s="4" t="inlineStr">
        <is>
          <t>C-1..C-7</t>
        </is>
      </c>
      <c r="D111" s="5" t="inlineStr">
        <is>
          <t>ARTIFACT CORRECTIONS APPLIED. C-1 LC-6 Done-in-code -&gt; OPEN (scope was logged, not enforced) — now genuinely fixed by PR-09 but it stays Open until live evidence, because that is the discipline the review was enforcing. C-2 Cloud Fortified -&gt; Atlassian Enterprise Certified, LC-3 Open. C-3 marketplace fee 0.17 -&gt; 0.00 until $1M lifetime Forge revenue; net MRR was understated ~20% across the horizon and breakeven moves earlier. C-4 R-P2 "Xray/Zephyr respond with AI" Open -&gt; MATERIALISED: both incumbents ship AI now and a crowded field of dedicated generators exists, so the ReadMe differentiation claim is rewritten. C-5 the Runs on Atlassian badge no longer carries a revenue delta (the 0%-to-$1M incentive applies to all qualifying Forge apps since 01/01/2026) — which STRENGTHENS Option B. C-6 the flaky cap was also the analysis window, and the envelope now publishes a supported CI THROUGHPUT figure. C-7 express -&gt; devDependencies and the harness refuses to start in production.</t>
        </is>
      </c>
      <c r="E111" s="4" t="inlineStr">
        <is>
          <t>C-1..C-7</t>
        </is>
      </c>
      <c r="F111" s="4" t="inlineStr">
        <is>
          <t>Financial_Model, RAID, LC checklist, envelope, package.json</t>
        </is>
      </c>
      <c r="G111" s="4" t="inlineStr">
        <is>
          <t>None</t>
        </is>
      </c>
      <c r="H111" s="4" t="inlineStr">
        <is>
          <t>verify</t>
        </is>
      </c>
    </row>
    <row r="112">
      <c r="A112" s="4" t="inlineStr">
        <is>
          <t>E110</t>
        </is>
      </c>
      <c r="B112" s="4" t="inlineStr">
        <is>
          <t>2026-09-20 11:40</t>
        </is>
      </c>
      <c r="C112" s="4" t="inlineStr">
        <is>
          <t>Verify</t>
        </is>
      </c>
      <c r="D112" s="5" t="inlineStr">
        <is>
          <t>FULL CHAIN GREEN AND REPRODUCED. 55 suites / 530 tests / 100% statements-branches-functions-lines, zero pragmas; seven gates (reachability 0 unexplained, claims 42 checked 0 broken, platform entrypoints 0 mismatched, entrypoint wiring 12 capabilities 0 unwired, scope &amp; egress 0 unjustified, secret/PII 162 files 0 findings, concurrent write safety 13 keys 0 findings); posture, Forge typecheck and UI build clean. CLEAN-ROOM: a fresh tree, npm ci from the lockfile alone, the whole chain again — green, with 0 production vulnerabilities and the 3 known dev-only moderates. Evidence at evidence/ci-run-20260920-1204.log and evidence/cleanroom-ci-20260920-1204.log.</t>
        </is>
      </c>
      <c r="E112" s="4" t="inlineStr">
        <is>
          <t>CB-14, D13</t>
        </is>
      </c>
      <c r="F112" s="4" t="inlineStr">
        <is>
          <t>Evidence retained in the zip</t>
        </is>
      </c>
      <c r="G112" s="4" t="inlineStr">
        <is>
          <t>None</t>
        </is>
      </c>
      <c r="H112" s="4" t="inlineStr">
        <is>
          <t>envelope</t>
        </is>
      </c>
    </row>
    <row r="113">
      <c r="A113" s="4" t="inlineStr">
        <is>
          <t>E111</t>
        </is>
      </c>
      <c r="B113" s="4" t="inlineStr">
        <is>
          <t>2026-09-20 11:40</t>
        </is>
      </c>
      <c r="C113" s="4" t="inlineStr">
        <is>
          <t>Honesty</t>
        </is>
      </c>
      <c r="D113" s="5" t="inlineStr">
        <is>
          <t>AN HONEST TRADE, PUBLISHED RATHER THAN BURIED. Re-running the envelope against the re-platformed store shows the new numbers are SLOWER in-process (listCases by story 0.48ms -&gt; 3.9ms p95; flaky scoring 4.7ms -&gt; 83ms p95) because work that was one array read is now a walk over many keys. In-process that is noise against a 25s budget; on Forge it is not, because each 100 keys is a storage round trip. The counts are published: one story = 1 round trip (the hot path, by construction), a 50,000-case site-wide listing = 500, a 10,000-run board's metrics = 102. Neither is a regression against a WORKING product — a 10,000-run board could not exist before, it exceeded the per-value ceiling at ~5,000 — but both are real costs that did not exist in the old numbers, and they are the strongest argument for the Forge SQL adapter ADR-001 leaves ready. The decision needs real KVS latency, which is PR-04.</t>
        </is>
      </c>
      <c r="E113" s="4" t="inlineStr">
        <is>
          <t>PR-03, PR-12, ADR-001</t>
        </is>
      </c>
      <c r="F113" s="4" t="inlineStr">
        <is>
          <t>docs/performance-envelope.md re-baselined</t>
        </is>
      </c>
      <c r="G113" s="4" t="inlineStr">
        <is>
          <t>Real latency = LC-1</t>
        </is>
      </c>
      <c r="H113" s="4" t="inlineStr">
        <is>
          <t>PR-04</t>
        </is>
      </c>
    </row>
    <row r="114">
      <c r="A114" s="4" t="inlineStr">
        <is>
          <t>E112</t>
        </is>
      </c>
      <c r="B114" s="4" t="inlineStr">
        <is>
          <t>2026-09-20 11:40</t>
        </is>
      </c>
      <c r="C114" s="4" t="inlineStr">
        <is>
          <t>Scope</t>
        </is>
      </c>
      <c r="D114" s="5" t="inlineStr">
        <is>
          <t>WHAT THIS PASS DID NOT DO, AND WHY — recorded so no rollup can overstate it. PR-04 (LC-1 live install) is prepared to the last inch and cannot be executed here: it needs an Atlassian account and a browser. PR-12 (envelope on live infrastructure) needs PR-04 first. PR-13 (per-user pricing) has its anchor table and FAQ rewritten against the corrected 0% fee, and needs a partner-console setup and a real test purchase. PR-14 (design partners) needs ten conversations. All four stay OPEN in this tracker with everything that could be prepared for them attached — the scope is not shrunk, it is correctly attributed. The release position is unchanged and unchangeable by more code: NOT RELEASE READY until LC-1 and D18.</t>
        </is>
      </c>
      <c r="E114" s="4" t="inlineStr">
        <is>
          <t>PR-04, PR-12, PR-13, PR-14</t>
        </is>
      </c>
      <c r="F114" s="4" t="inlineStr">
        <is>
          <t>Four sprints Open — Senthil-side</t>
        </is>
      </c>
      <c r="G114" s="4" t="inlineStr">
        <is>
          <t>LC-1, partner console, outreach</t>
        </is>
      </c>
      <c r="H114" s="4" t="inlineStr">
        <is>
          <t>Senthil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8"/>
  <sheetViews>
    <sheetView workbookViewId="0">
      <pane ySplit="3" topLeftCell="A4" activePane="bottomLeft" state="frozen"/>
      <selection pane="bottomLeft" activeCell="A1" sqref="A1"/>
    </sheetView>
  </sheetViews>
  <sheetFormatPr baseColWidth="8" defaultRowHeight="15" outlineLevelCol="0"/>
  <cols>
    <col width="8" customWidth="1" min="1" max="1"/>
    <col width="14" customWidth="1" min="2" max="2"/>
    <col width="5" customWidth="1" min="3" max="3"/>
    <col width="46" customWidth="1" min="4" max="4"/>
    <col width="62" customWidth="1" min="5" max="5"/>
    <col width="78" customWidth="1" min="6" max="6"/>
    <col width="22" customWidth="1" min="7" max="7"/>
    <col width="48" customWidth="1" min="8" max="8"/>
    <col width="12" customWidth="1" min="9" max="9"/>
  </cols>
  <sheetData>
    <row r="1">
      <c r="A1" s="1" t="inlineStr">
        <is>
          <t>EXTERNAL REVIEW V001 — THE 14-SPRINT PLAN, EVERY TASK, NOTHING DROPPED</t>
        </is>
      </c>
    </row>
    <row r="2">
      <c r="A2" s="2" t="inlineStr">
        <is>
          <t>Status: Done-in-code = built + pinned regression in this release. Open — Senthil = needs a live site, a purchase or a person. Nothing here is marked Done on documentation alone. Task-level detail is one row per acceptance item, so no sub-task is lost when a sprint closes.</t>
        </is>
      </c>
    </row>
    <row r="3">
      <c r="A3" s="3" t="inlineStr">
        <is>
          <t>Sprint</t>
        </is>
      </c>
      <c r="B3" s="3" t="inlineStr">
        <is>
          <t>Phase</t>
        </is>
      </c>
      <c r="C3" s="3" t="inlineStr">
        <is>
          <t>Pri</t>
        </is>
      </c>
      <c r="D3" s="3" t="inlineStr">
        <is>
          <t>Task</t>
        </is>
      </c>
      <c r="E3" s="3" t="inlineStr">
        <is>
          <t>What was required (review wording)</t>
        </is>
      </c>
      <c r="F3" s="3" t="inlineStr">
        <is>
          <t>What was done in this release</t>
        </is>
      </c>
      <c r="G3" s="3" t="inlineStr">
        <is>
          <t>Status</t>
        </is>
      </c>
      <c r="H3" s="3" t="inlineStr">
        <is>
          <t>Evidence / pinned regression</t>
        </is>
      </c>
      <c r="I3" s="3" t="inlineStr">
        <is>
          <t>Owner</t>
        </is>
      </c>
    </row>
    <row r="4">
      <c r="A4" s="4" t="inlineStr">
        <is>
          <t>PR-01</t>
        </is>
      </c>
      <c r="B4" s="4" t="inlineStr">
        <is>
          <t>0 Correct</t>
        </is>
      </c>
      <c r="C4" s="4" t="inlineStr">
        <is>
          <t>P0</t>
        </is>
      </c>
      <c r="D4" s="4" t="inlineStr">
        <is>
          <t>Per-entity keys + bounded index</t>
        </is>
      </c>
      <c r="E4" s="4" t="inlineStr">
        <is>
          <t>Replace whole-collection read-modify-write with per-entity keys (gen:case:&lt;id&gt;, rb:run:&lt;boardId&gt;:&lt;seq&gt;) plus a bounded index value</t>
        </is>
      </c>
      <c r="F4" s="4" t="inlineStr">
        <is>
          <t>gen:case:&lt;story&gt;:&lt;id&gt;, rb:run:&lt;board&gt;:&lt;runId&gt;, fl:run:&lt;runId&gt;[:chunk] under a bounded 50-run index, trace:link:&lt;id&gt;, wh:seen:&lt;eventId&gt;</t>
        </is>
      </c>
      <c r="G4" s="6" t="inlineStr">
        <is>
          <t>Done-in-code</t>
        </is>
      </c>
      <c r="H4" s="4" t="inlineStr">
        <is>
          <t>test/concurrency.test.ts; test/performance.test.ts asserts 50k cases with no value near the ceiling</t>
        </is>
      </c>
      <c r="I4" s="4" t="inlineStr">
        <is>
          <t>Claude</t>
        </is>
      </c>
    </row>
    <row r="5">
      <c r="A5" s="4" t="inlineStr">
        <is>
          <t>PR-01</t>
        </is>
      </c>
      <c r="B5" s="4" t="inlineStr">
        <is>
          <t>0 Correct</t>
        </is>
      </c>
      <c r="C5" s="4" t="inlineStr">
        <is>
          <t>P0</t>
        </is>
      </c>
      <c r="D5" s="4" t="inlineStr">
        <is>
          <t>Optimistic version stamp + compare-and-set</t>
        </is>
      </c>
      <c r="E5" s="4" t="inlineStr">
        <is>
          <t>Add an optimistic version stamp on every mutable value and a compare-and-set path in ForgeStore.set</t>
        </is>
      </c>
      <c r="F5" s="4" t="inlineStr">
        <is>
          <t>Every value is written in an envelope {__tpv, v}; plain writes CAS against the version read at hydrate; atomic where the backend supports it, read-verify-write where it does not (stated in ADR-001)</t>
        </is>
      </c>
      <c r="G5" s="6" t="inlineStr">
        <is>
          <t>Done-in-code</t>
        </is>
      </c>
      <c r="H5" s="4" t="inlineStr">
        <is>
          <t>test/concurrency.test.ts "a deliberately conflicting plain set RAISES"; test/sqlStore.test.ts for the atomic path</t>
        </is>
      </c>
      <c r="I5" s="4" t="inlineStr">
        <is>
          <t>Claude</t>
        </is>
      </c>
    </row>
    <row r="6">
      <c r="A6" s="4" t="inlineStr">
        <is>
          <t>PR-01</t>
        </is>
      </c>
      <c r="B6" s="4" t="inlineStr">
        <is>
          <t>0 Correct</t>
        </is>
      </c>
      <c r="C6" s="4" t="inlineStr">
        <is>
          <t>P0</t>
        </is>
      </c>
      <c r="D6" s="4" t="inlineStr">
        <is>
          <t>flush() surfaces conflicts instead of overwriting</t>
        </is>
      </c>
      <c r="E6" s="4" t="inlineStr">
        <is>
          <t>Make flush() surface conflicts instead of overwriting</t>
        </is>
      </c>
      <c r="F6" s="4" t="inlineStr">
        <is>
          <t>StoreConflictError names the keys; the glue maps it to ConflictError with status 409 and a reload message; the handler's writes are rejected, nothing is clobbered</t>
        </is>
      </c>
      <c r="G6" s="6" t="inlineStr">
        <is>
          <t>Done-in-code</t>
        </is>
      </c>
      <c r="H6" s="4" t="inlineStr">
        <is>
          <t>test/concurrency.test.ts "the glue turns a store conflict into a 409-class error and never overwrites"</t>
        </is>
      </c>
      <c r="I6" s="4" t="inlineStr">
        <is>
          <t>Claude</t>
        </is>
      </c>
    </row>
    <row r="7">
      <c r="A7" s="4" t="inlineStr">
        <is>
          <t>PR-01</t>
        </is>
      </c>
      <c r="B7" s="4" t="inlineStr">
        <is>
          <t>0 Correct</t>
        </is>
      </c>
      <c r="C7" s="4" t="inlineStr">
        <is>
          <t>P0</t>
        </is>
      </c>
      <c r="D7" s="4" t="inlineStr">
        <is>
          <t>Idempotent generate / recordRun / ingest under retry</t>
        </is>
      </c>
      <c r="E7" s="4" t="inlineStr">
        <is>
          <t>Make generate, recordRun and ingest idempotent under retry (Forge may deliver duplicates)</t>
        </is>
      </c>
      <c r="F7" s="4" t="inlineStr">
        <is>
          <t>recordRun takes a caller runId; CI ingest is idempotent by runId (default eventId); an identical value already present is idempotent success, not a conflict; a concurrent duplicate is a 409</t>
        </is>
      </c>
      <c r="G7" s="6" t="inlineStr">
        <is>
          <t>Done-in-code</t>
        </is>
      </c>
      <c r="H7" s="4" t="inlineStr">
        <is>
          <t>test/ciReports.test.ts re-post changes nothing; test/concurrency.test.ts idempotent-redelivery case</t>
        </is>
      </c>
      <c r="I7" s="4" t="inlineStr">
        <is>
          <t>Claude</t>
        </is>
      </c>
    </row>
    <row r="8">
      <c r="A8" s="4" t="inlineStr">
        <is>
          <t>PR-01</t>
        </is>
      </c>
      <c r="B8" s="4" t="inlineStr">
        <is>
          <t>0 Correct</t>
        </is>
      </c>
      <c r="C8" s="4" t="inlineStr">
        <is>
          <t>P0</t>
        </is>
      </c>
      <c r="D8" s="4" t="inlineStr">
        <is>
          <t>Commutative ledgers (audit, wh:seen, ai:audit) never lose an entry</t>
        </is>
      </c>
      <c r="E8" s="4" t="inlineStr">
        <is>
          <t>No lost entry under 100 interleaved writers for gen:*, rb:*, audit, wh:seen, ai:audit</t>
        </is>
      </c>
      <c r="F8" s="4" t="inlineStr">
        <is>
          <t>append/increment/union/setIfAbsent/update are reducers re-applied on the stored value at flush and retried on conflict; wh:seen became one key per event id so an id cannot age out inside the replay window</t>
        </is>
      </c>
      <c r="G8" s="6" t="inlineStr">
        <is>
          <t>Done-in-code</t>
        </is>
      </c>
      <c r="H8" s="4" t="inlineStr">
        <is>
          <t>test/concurrency.test.ts "100 interleaved writers"</t>
        </is>
      </c>
      <c r="I8" s="4" t="inlineStr">
        <is>
          <t>Claude</t>
        </is>
      </c>
    </row>
    <row r="9">
      <c r="A9" s="4" t="inlineStr">
        <is>
          <t>PR-01</t>
        </is>
      </c>
      <c r="B9" s="4" t="inlineStr">
        <is>
          <t>0 Correct</t>
        </is>
      </c>
      <c r="C9" s="4" t="inlineStr">
        <is>
          <t>P0</t>
        </is>
      </c>
      <c r="D9" s="4" t="inlineStr">
        <is>
          <t>Standing gate G-5 + lesson L-P8</t>
        </is>
      </c>
      <c r="E9" s="4" t="inlineStr">
        <is>
          <t>New standing gate G-5 "concurrent write safety", and lesson L-P8 into the portfolio build standard</t>
        </is>
      </c>
      <c r="F9" s="4" t="inlineStr">
        <is>
          <t>tools/review-gates/concurrent-writes.js — static half refuses a plain set on a registered shared key, dynamic half requires the concurrency suite to exercise it; went RED on its own first run for 8 of 13 keys; in CI as the seventh gate</t>
        </is>
      </c>
      <c r="G9" s="6" t="inlineStr">
        <is>
          <t>Done-in-code</t>
        </is>
      </c>
      <c r="H9" s="4" t="inlineStr">
        <is>
          <t>test/gates.test.ts — five cases incl. "goes RED on the exact shape of PRX-02"</t>
        </is>
      </c>
      <c r="I9" s="4" t="inlineStr">
        <is>
          <t>Claude</t>
        </is>
      </c>
    </row>
    <row r="10">
      <c r="A10" s="4" t="inlineStr">
        <is>
          <t>PR-01</t>
        </is>
      </c>
      <c r="B10" s="4" t="inlineStr">
        <is>
          <t>0 Correct</t>
        </is>
      </c>
      <c r="C10" s="4" t="inlineStr">
        <is>
          <t>P1</t>
        </is>
      </c>
      <c r="D10" s="4" t="inlineStr">
        <is>
          <t>Port G-5 to the other 11 products</t>
        </is>
      </c>
      <c r="E10" s="4" t="inlineStr">
        <is>
          <t>(portfolio) the same defect exists wherever a collection lives in one value</t>
        </is>
      </c>
      <c r="F10" s="4" t="inlineStr">
        <is>
          <t>Kit updated: README section 7 with the porting rule, init.js scaffolds a TODO register rather than an empty one (an empty register passes vacuously)</t>
        </is>
      </c>
      <c r="G10" s="7" t="inlineStr">
        <is>
          <t>Open — portfolio</t>
        </is>
      </c>
      <c r="H10" s="4" t="inlineStr">
        <is>
          <t>tools/review-gates/README.md; test/gates.test.ts bootstrapper case</t>
        </is>
      </c>
      <c r="I10" s="4" t="inlineStr">
        <is>
          <t>Senthil</t>
        </is>
      </c>
    </row>
    <row r="11">
      <c r="A11" s="4" t="inlineStr">
        <is>
          <t>PR-02</t>
        </is>
      </c>
      <c r="B11" s="4" t="inlineStr">
        <is>
          <t>0 Correct</t>
        </is>
      </c>
      <c r="C11" s="4" t="inlineStr">
        <is>
          <t>P0</t>
        </is>
      </c>
      <c r="D11" s="4" t="inlineStr">
        <is>
          <t>Unique id on every creation path</t>
        </is>
      </c>
      <c r="E11" s="4" t="inlineStr">
        <is>
          <t>Monotonic sequence or ULID for all creation paths including AI and rule engine</t>
        </is>
      </c>
      <c r="F11" s="4" t="inlineStr">
        <is>
          <t>src/ids.ts — time-sortable id, base36 ms + random tail, used by rule engine, AI, import and CSV; the provider now returns DRAFT cases and TestGen assigns ids</t>
        </is>
      </c>
      <c r="G11" s="6" t="inlineStr">
        <is>
          <t>Done-in-code</t>
        </is>
      </c>
      <c r="H11" s="4" t="inlineStr">
        <is>
          <t>test/identity.test.ts generate x3 / import x2 / AI x2 under ONE clock value</t>
        </is>
      </c>
      <c r="I11" s="4" t="inlineStr">
        <is>
          <t>Claude</t>
        </is>
      </c>
    </row>
    <row r="12">
      <c r="A12" s="4" t="inlineStr">
        <is>
          <t>PR-02</t>
        </is>
      </c>
      <c r="B12" s="4" t="inlineStr">
        <is>
          <t>0 Correct</t>
        </is>
      </c>
      <c r="C12" s="4" t="inlineStr">
        <is>
          <t>P0</t>
        </is>
      </c>
      <c r="D12" s="4" t="inlineStr">
        <is>
          <t>Uniqueness asserted at write</t>
        </is>
      </c>
      <c r="E12" s="4" t="inlineStr">
        <is>
          <t>Uniqueness asserted on write</t>
        </is>
      </c>
      <c r="F12" s="4" t="inlineStr">
        <is>
          <t>Batch asserted in-process, then one insert per entity — a present key fails the store's CAS, so uniqueness holds ACROSS invocations, not just within one</t>
        </is>
      </c>
      <c r="G12" s="6" t="inlineStr">
        <is>
          <t>Done-in-code</t>
        </is>
      </c>
      <c r="H12" s="4" t="inlineStr">
        <is>
          <t>test/identity.test.ts; test/concurrency.test.ts same-story-two-panels case</t>
        </is>
      </c>
      <c r="I12" s="4" t="inlineStr">
        <is>
          <t>Claude</t>
        </is>
      </c>
    </row>
    <row r="13">
      <c r="A13" s="4" t="inlineStr">
        <is>
          <t>PR-02</t>
        </is>
      </c>
      <c r="B13" s="4" t="inlineStr">
        <is>
          <t>0 Correct</t>
        </is>
      </c>
      <c r="C13" s="4" t="inlineStr">
        <is>
          <t>P0</t>
        </is>
      </c>
      <c r="D13" s="4" t="inlineStr">
        <is>
          <t>version + updatedAt on TestCase (EG-04 seed)</t>
        </is>
      </c>
      <c r="E13" s="4" t="inlineStr">
        <is>
          <t>A version and updatedAt on TestCase (the seed of EG-04 versioning)</t>
        </is>
      </c>
      <c r="F13" s="4" t="inlineStr">
        <is>
          <t>Both on every case; updateCase refuses a stale editor with the current version in the message</t>
        </is>
      </c>
      <c r="G13" s="6" t="inlineStr">
        <is>
          <t>Done-in-code</t>
        </is>
      </c>
      <c r="H13" s="4" t="inlineStr">
        <is>
          <t>test/identity.test.ts optimistic-versioning case</t>
        </is>
      </c>
      <c r="I13" s="4" t="inlineStr">
        <is>
          <t>Claude</t>
        </is>
      </c>
    </row>
    <row r="14">
      <c r="A14" s="4" t="inlineStr">
        <is>
          <t>PR-02</t>
        </is>
      </c>
      <c r="B14" s="4" t="inlineStr">
        <is>
          <t>0 Correct</t>
        </is>
      </c>
      <c r="C14" s="4" t="inlineStr">
        <is>
          <t>P1</t>
        </is>
      </c>
      <c r="D14" s="4" t="inlineStr">
        <is>
          <t>Migration for existing duplicate ids</t>
        </is>
      </c>
      <c r="E14" s="4" t="inlineStr">
        <is>
          <t>Migration for existing duplicate ids</t>
        </is>
      </c>
      <c r="F14" s="4" t="inlineStr">
        <is>
          <t>NOT NEEDED, and stated rather than silently skipped: no installation exists yet (LC-1 has never run), so there is no stored data to migrate. If LC-1 happens before a later id change, this row becomes real.</t>
        </is>
      </c>
      <c r="G14" s="4" t="inlineStr">
        <is>
          <t>N/A — no installs exist</t>
        </is>
      </c>
      <c r="H14" s="4" t="inlineStr">
        <is>
          <t>ADR-001; Release_Traceability_Corrections</t>
        </is>
      </c>
      <c r="I14" s="4" t="inlineStr">
        <is>
          <t>Claude</t>
        </is>
      </c>
    </row>
    <row r="15">
      <c r="A15" s="4" t="inlineStr">
        <is>
          <t>PR-03</t>
        </is>
      </c>
      <c r="B15" s="4" t="inlineStr">
        <is>
          <t>0 Correct</t>
        </is>
      </c>
      <c r="C15" s="4" t="inlineStr">
        <is>
          <t>P0</t>
        </is>
      </c>
      <c r="D15" s="4" t="inlineStr">
        <is>
          <t>Choose the storage target explicitly and record it</t>
        </is>
      </c>
      <c r="E15" s="4" t="inlineStr">
        <is>
          <t>Decide the target explicitly and record the decision (Custom Entity Store vs Forge SQL)</t>
        </is>
      </c>
      <c r="F15" s="4" t="inlineStr">
        <is>
          <t>docs/adr-001-storage.md — three options with the verified limits of each; decision: per-entity KVS ships as default, Forge SQL adapter ships behind the same seam, opt-in by manifest, with a named re-open trigger at PR-04</t>
        </is>
      </c>
      <c r="G15" s="6" t="inlineStr">
        <is>
          <t>Done-in-code</t>
        </is>
      </c>
      <c r="H15" s="4" t="inlineStr">
        <is>
          <t>docs/adr-001-storage.md</t>
        </is>
      </c>
      <c r="I15" s="4" t="inlineStr">
        <is>
          <t>Claude</t>
        </is>
      </c>
    </row>
    <row r="16">
      <c r="A16" s="4" t="inlineStr">
        <is>
          <t>PR-03</t>
        </is>
      </c>
      <c r="B16" s="4" t="inlineStr">
        <is>
          <t>0 Correct</t>
        </is>
      </c>
      <c r="C16" s="4" t="inlineStr">
        <is>
          <t>P0</t>
        </is>
      </c>
      <c r="D16" s="4" t="inlineStr">
        <is>
          <t>Forge SQL adapter</t>
        </is>
      </c>
      <c r="E16" s="4" t="inlineStr">
        <is>
          <t>RECOMMENDED: Forge SQL for cases/runs/results and KVS for settings and small ledgers</t>
        </is>
      </c>
      <c r="F16" s="4" t="inlineStr">
        <is>
          <t>src/sqlStore.ts implements the ForgeKvs seam over one tp_kv table with a REAL atomic CAS; idempotent DDL; manifest carries the exact sql module + migration trigger snippets, commented; forge/index.ts selects it on TP_STORAGE=sql</t>
        </is>
      </c>
      <c r="G16" s="6" t="inlineStr">
        <is>
          <t>Done-in-code</t>
        </is>
      </c>
      <c r="H16" s="4" t="inlineStr">
        <is>
          <t>test/sqlStore.test.ts against node:sqlite through the @forge/sql client shape</t>
        </is>
      </c>
      <c r="I16" s="4" t="inlineStr">
        <is>
          <t>Claude</t>
        </is>
      </c>
    </row>
    <row r="17">
      <c r="A17" s="4" t="inlineStr">
        <is>
          <t>PR-03</t>
        </is>
      </c>
      <c r="B17" s="4" t="inlineStr">
        <is>
          <t>0 Correct</t>
        </is>
      </c>
      <c r="C17" s="4" t="inlineStr">
        <is>
          <t>P0</t>
        </is>
      </c>
      <c r="D17" s="4" t="inlineStr">
        <is>
          <t>Prefix-scoped lazy hydration (closes OBS-TP1)</t>
        </is>
      </c>
      <c r="E17" s="4" t="inlineStr">
        <is>
          <t>Prefix-scoped, lazy hydration replacing hydrate()-everything</t>
        </is>
      </c>
      <c r="F17" s="4" t="inlineStr">
        <is>
          <t>Every call declares CALL_SCOPE; a read outside it throws StoreScopeError; blind commutative writes and new-entity inserts need no declaration</t>
        </is>
      </c>
      <c r="G17" s="6" t="inlineStr">
        <is>
          <t>Done-in-code</t>
        </is>
      </c>
      <c r="H17" s="4" t="inlineStr">
        <is>
          <t>test/performance.test.ts "whoami loads at most two present keys on a 500-key tenant"</t>
        </is>
      </c>
      <c r="I17" s="4" t="inlineStr">
        <is>
          <t>Claude</t>
        </is>
      </c>
    </row>
    <row r="18">
      <c r="A18" s="4" t="inlineStr">
        <is>
          <t>PR-03</t>
        </is>
      </c>
      <c r="B18" s="4" t="inlineStr">
        <is>
          <t>0 Correct</t>
        </is>
      </c>
      <c r="C18" s="4" t="inlineStr">
        <is>
          <t>P0</t>
        </is>
      </c>
      <c r="D18" s="4" t="inlineStr">
        <is>
          <t>Per-test bounded windows for flaky scoring (closes PRX-04)</t>
        </is>
      </c>
      <c r="E18" s="4" t="inlineStr">
        <is>
          <t>Per-test bounded windows for flaky scoring</t>
        </is>
      </c>
      <c r="F18" s="4" t="inlineStr">
        <is>
          <t>Results stored per run under a bounded 50-run index; scoring over the last 30 results per test per branch</t>
        </is>
      </c>
      <c r="G18" s="6" t="inlineStr">
        <is>
          <t>Done-in-code</t>
        </is>
      </c>
      <c r="H18" s="4" t="inlineStr">
        <is>
          <t>test/performance.test.ts PRX-04 scenario; test/flaky2.test.ts</t>
        </is>
      </c>
      <c r="I18" s="4" t="inlineStr">
        <is>
          <t>Claude</t>
        </is>
      </c>
    </row>
    <row r="19">
      <c r="A19" s="4" t="inlineStr">
        <is>
          <t>PR-03</t>
        </is>
      </c>
      <c r="B19" s="4" t="inlineStr">
        <is>
          <t>0 Correct</t>
        </is>
      </c>
      <c r="C19" s="4" t="inlineStr">
        <is>
          <t>P0</t>
        </is>
      </c>
      <c r="D19" s="4" t="inlineStr">
        <is>
          <t>50,000 cases / 100,000 results within limits</t>
        </is>
      </c>
      <c r="E19" s="4" t="inlineStr">
        <is>
          <t>50,000 cases and 100,000 CI results stored and queried within Forge limits</t>
        </is>
      </c>
      <c r="F19" s="4" t="inlineStr">
        <is>
          <t>Asserted: 50,000 cases as 50,000 keys with the largest value under 2 KiB; 100,000 results across 60 runs with nothing near 240 KiB and 50 runs retained</t>
        </is>
      </c>
      <c r="G19" s="6" t="inlineStr">
        <is>
          <t>Done-in-code</t>
        </is>
      </c>
      <c r="H19" s="4" t="inlineStr">
        <is>
          <t>test/performance.test.ts</t>
        </is>
      </c>
      <c r="I19" s="4" t="inlineStr">
        <is>
          <t>Claude</t>
        </is>
      </c>
    </row>
    <row r="20">
      <c r="A20" s="4" t="inlineStr">
        <is>
          <t>PR-03</t>
        </is>
      </c>
      <c r="B20" s="4" t="inlineStr">
        <is>
          <t>0 Correct</t>
        </is>
      </c>
      <c r="C20" s="4" t="inlineStr">
        <is>
          <t>P0</t>
        </is>
      </c>
      <c r="D20" s="4" t="inlineStr">
        <is>
          <t>Extend the performance guard</t>
        </is>
      </c>
      <c r="E20" s="4" t="inlineStr">
        <is>
          <t>Fail the build if any value approaches 240 KiB, if a resolver hydrates beyond its declared prefixes, or if per-test windows are evicted by unrelated volume</t>
        </is>
      </c>
      <c r="F20" s="4" t="inlineStr">
        <is>
          <t>All three asserted, plus the run index bound and the whoami key count</t>
        </is>
      </c>
      <c r="G20" s="6" t="inlineStr">
        <is>
          <t>Done-in-code</t>
        </is>
      </c>
      <c r="H20" s="4" t="inlineStr">
        <is>
          <t>test/performance.test.ts</t>
        </is>
      </c>
      <c r="I20" s="4" t="inlineStr">
        <is>
          <t>Claude</t>
        </is>
      </c>
    </row>
    <row r="21">
      <c r="A21" s="4" t="inlineStr">
        <is>
          <t>PR-03</t>
        </is>
      </c>
      <c r="B21" s="4" t="inlineStr">
        <is>
          <t>0 Correct</t>
        </is>
      </c>
      <c r="C21" s="4" t="inlineStr">
        <is>
          <t>P0</t>
        </is>
      </c>
      <c r="D21" s="4" t="inlineStr">
        <is>
          <t>Republish supported scale</t>
        </is>
      </c>
      <c r="E21" s="4" t="inlineStr">
        <is>
          <t>Published supported scale rewritten with the new numbers</t>
        </is>
      </c>
      <c r="F21" s="4" t="inlineStr">
        <is>
          <t>Envelope re-baselined and re-run (evidence/perf-envelope-20260920-1204.txt): supported CI throughput published (20,000 results/run, 1 MiB/post, last 50 runs), row ceilings removed, AND the honest round-trip trade published</t>
        </is>
      </c>
      <c r="G21" s="6" t="inlineStr">
        <is>
          <t>Done-in-code</t>
        </is>
      </c>
      <c r="H21" s="4" t="inlineStr">
        <is>
          <t>docs/performance-envelope.md</t>
        </is>
      </c>
      <c r="I21" s="4" t="inlineStr">
        <is>
          <t>Claude</t>
        </is>
      </c>
    </row>
    <row r="22">
      <c r="A22" s="4" t="inlineStr">
        <is>
          <t>PR-04</t>
        </is>
      </c>
      <c r="B22" s="4" t="inlineStr">
        <is>
          <t>0 Correct</t>
        </is>
      </c>
      <c r="C22" s="4" t="inlineStr">
        <is>
          <t>P0</t>
        </is>
      </c>
      <c r="D22" s="4" t="inlineStr">
        <is>
          <t>forge register / deploy / install on a real Jira Cloud site</t>
        </is>
      </c>
      <c r="E22" s="4" t="inlineStr">
        <is>
          <t>Install on a real Jira Cloud dev site</t>
        </is>
      </c>
      <c r="F22" s="4" t="inlineStr">
        <is>
          <t>PREPARED, NOT DONE — needs an Atlassian account and a browser. The 45-minute run sheet, the verify script and the asset harness are ready and were extended for this release.</t>
        </is>
      </c>
      <c r="G22" s="7" t="inlineStr">
        <is>
          <t>Open — needs LC-1</t>
        </is>
      </c>
      <c r="H22" s="4" t="inlineStr">
        <is>
          <t>docs/lc1-session-pack.md</t>
        </is>
      </c>
      <c r="I22" s="4" t="inlineStr">
        <is>
          <t>Senthil</t>
        </is>
      </c>
    </row>
    <row r="23">
      <c r="A23" s="4" t="inlineStr">
        <is>
          <t>PR-04</t>
        </is>
      </c>
      <c r="B23" s="4" t="inlineStr">
        <is>
          <t>0 Correct</t>
        </is>
      </c>
      <c r="C23" s="4" t="inlineStr">
        <is>
          <t>P0</t>
        </is>
      </c>
      <c r="D23" s="4" t="inlineStr">
        <is>
          <t>Run forge eligibility and keep the output</t>
        </is>
      </c>
      <c r="E23" s="4" t="inlineStr">
        <is>
          <t>Run forge eligibility and keep the output</t>
        </is>
      </c>
      <c r="F23" s="4" t="inlineStr">
        <is>
          <t>Command in the run sheet with the expected output written down, so the result can be read against an expectation</t>
        </is>
      </c>
      <c r="G23" s="7" t="inlineStr">
        <is>
          <t>Open — needs LC-1</t>
        </is>
      </c>
      <c r="H23" s="4" t="inlineStr">
        <is>
          <t>docs/lc1-session-pack.md; docs/runs-on-atlassian-assessment.md</t>
        </is>
      </c>
      <c r="I23" s="4" t="inlineStr">
        <is>
          <t>Senthil</t>
        </is>
      </c>
    </row>
    <row r="24">
      <c r="A24" s="4" t="inlineStr">
        <is>
          <t>PR-04</t>
        </is>
      </c>
      <c r="B24" s="4" t="inlineStr">
        <is>
          <t>0 Correct</t>
        </is>
      </c>
      <c r="C24" s="4" t="inlineStr">
        <is>
          <t>P0</t>
        </is>
      </c>
      <c r="D24" s="4" t="inlineStr">
        <is>
          <t>Verify extension.issue.key reaches the panel</t>
        </is>
      </c>
      <c r="E24" s="4" t="inlineStr">
        <is>
          <t>Verify extension.issue.key reaches the panel</t>
        </is>
      </c>
      <c r="F24" s="4" t="inlineStr">
        <is>
          <t>Still unprovable by types (ExtensionData is an open map) and now MORE important: PR-09 also needs extension.project.key for the project page. Both added to the run sheet as explicit checks.</t>
        </is>
      </c>
      <c r="G24" s="7" t="inlineStr">
        <is>
          <t>Open — needs LC-1</t>
        </is>
      </c>
      <c r="H24" s="4" t="inlineStr">
        <is>
          <t>docs/lc1-session-pack.md "Added 20/09"; test/vendor-contracts.test.ts records why types cannot prove it</t>
        </is>
      </c>
      <c r="I24" s="4" t="inlineStr">
        <is>
          <t>Senthil</t>
        </is>
      </c>
    </row>
    <row r="25">
      <c r="A25" s="4" t="inlineStr">
        <is>
          <t>PR-04</t>
        </is>
      </c>
      <c r="B25" s="4" t="inlineStr">
        <is>
          <t>0 Correct</t>
        </is>
      </c>
      <c r="C25" s="4" t="inlineStr">
        <is>
          <t>P0</t>
        </is>
      </c>
      <c r="D25" s="4" t="inlineStr">
        <is>
          <t>Measure real KVS latency, cold start, panel p75 (LC-9)</t>
        </is>
      </c>
      <c r="E25" s="4" t="inlineStr">
        <is>
          <t>Measure real KVS latency, cold start, panel p75 on a 10k-issue project</t>
        </is>
      </c>
      <c r="F25" s="4" t="inlineStr">
        <is>
          <t>The exact figures to capture are now specified: the wall time of a project-page listing and of whoami, because those multiply by the published round-trip counts and decide the Forge SQL question</t>
        </is>
      </c>
      <c r="G25" s="7" t="inlineStr">
        <is>
          <t>Open — needs LC-1</t>
        </is>
      </c>
      <c r="H25" s="4" t="inlineStr">
        <is>
          <t>docs/lc1-session-pack.md; docs/adr-001-storage.md re-open trigger</t>
        </is>
      </c>
      <c r="I25" s="4" t="inlineStr">
        <is>
          <t>Senthil</t>
        </is>
      </c>
    </row>
    <row r="26">
      <c r="A26" s="4" t="inlineStr">
        <is>
          <t>PR-04</t>
        </is>
      </c>
      <c r="B26" s="4" t="inlineStr">
        <is>
          <t>0 Correct</t>
        </is>
      </c>
      <c r="C26" s="4" t="inlineStr">
        <is>
          <t>P0</t>
        </is>
      </c>
      <c r="D26" s="4" t="inlineStr">
        <is>
          <t>Project isolation on a restricted project (LC-6 evidence)</t>
        </is>
      </c>
      <c r="E26" s="4" t="inlineStr">
        <is>
          <t>(PR-09 acceptance) LC-6 can be marked Done with live evidence</t>
        </is>
      </c>
      <c r="F26" s="4" t="inlineStr">
        <is>
          <t>Added to the run sheet: as a user who cannot browse project X, open an X issue panel and the X project page; every call must refuse. This is the evidence that flips LC-6.</t>
        </is>
      </c>
      <c r="G26" s="7" t="inlineStr">
        <is>
          <t>Open — needs LC-1</t>
        </is>
      </c>
      <c r="H26" s="4" t="inlineStr">
        <is>
          <t>docs/lc1-session-pack.md "Added 20/09"</t>
        </is>
      </c>
      <c r="I26" s="4" t="inlineStr">
        <is>
          <t>Senthil</t>
        </is>
      </c>
    </row>
    <row r="27">
      <c r="A27" s="4" t="inlineStr">
        <is>
          <t>PR-04</t>
        </is>
      </c>
      <c r="B27" s="4" t="inlineStr">
        <is>
          <t>0 Correct</t>
        </is>
      </c>
      <c r="C27" s="4" t="inlineStr">
        <is>
          <t>P0</t>
        </is>
      </c>
      <c r="D27" s="4" t="inlineStr">
        <is>
          <t>Drive the full loop by hand (L-P6 walkthrough)</t>
        </is>
      </c>
      <c r="E27" s="4" t="inlineStr">
        <is>
          <t>The L-P6 walkthrough no gate can do</t>
        </is>
      </c>
      <c r="F27" s="4" t="inlineStr">
        <is>
          <t>In the run sheet; unchanged in kind, extended with the new surfaces (readiness sources, quarantine, traceability)</t>
        </is>
      </c>
      <c r="G27" s="7" t="inlineStr">
        <is>
          <t>Open — needs LC-1</t>
        </is>
      </c>
      <c r="H27" s="4" t="inlineStr">
        <is>
          <t>docs/lc1-session-pack.md</t>
        </is>
      </c>
      <c r="I27" s="4" t="inlineStr">
        <is>
          <t>Senthil</t>
        </is>
      </c>
    </row>
    <row r="28">
      <c r="A28" s="4" t="inlineStr">
        <is>
          <t>PR-04</t>
        </is>
      </c>
      <c r="B28" s="4" t="inlineStr">
        <is>
          <t>0 Correct</t>
        </is>
      </c>
      <c r="C28" s="4" t="inlineStr">
        <is>
          <t>P0</t>
        </is>
      </c>
      <c r="D28" s="4" t="inlineStr">
        <is>
          <t>Close or reopen the 15 pending-live stories with evidence</t>
        </is>
      </c>
      <c r="E28" s="4" t="inlineStr">
        <is>
          <t>Every "Code-complete — pending live" row resolved to Done or Open with a reason</t>
        </is>
      </c>
      <c r="F28" s="4" t="inlineStr">
        <is>
          <t>The matrix rows and the evidence table that flips them are ready; nothing has been pre-flipped</t>
        </is>
      </c>
      <c r="G28" s="7" t="inlineStr">
        <is>
          <t>Open — needs LC-1</t>
        </is>
      </c>
      <c r="H28" s="4" t="inlineStr">
        <is>
          <t>Traceability_Matrix; docs/lc1-session-pack.md evidence table</t>
        </is>
      </c>
      <c r="I28" s="4" t="inlineStr">
        <is>
          <t>Senthil</t>
        </is>
      </c>
    </row>
    <row r="29">
      <c r="A29" s="4" t="inlineStr">
        <is>
          <t>PR-05</t>
        </is>
      </c>
      <c r="B29" s="4" t="inlineStr">
        <is>
          <t>1 Wedge</t>
        </is>
      </c>
      <c r="C29" s="4" t="inlineStr">
        <is>
          <t>P0</t>
        </is>
      </c>
      <c r="D29" s="4" t="inlineStr">
        <is>
          <t>Derive openP0Defects from Jira via JQL</t>
        </is>
      </c>
      <c r="E29" s="4" t="inlineStr">
        <is>
          <t>Derive openP0Defects from Jira via JQL (priority/label configurable per project) instead of a Settings field</t>
        </is>
      </c>
      <c r="F29" s="4" t="inlineStr">
        <is>
          <t>Per-project JQL, default "priority = Highest AND statusCategory != Done", counted via the approximate-count endpoint asUser(); the Settings screen holds the JQL, not the number</t>
        </is>
      </c>
      <c r="G29" s="6" t="inlineStr">
        <is>
          <t>Done-in-code</t>
        </is>
      </c>
      <c r="H29" s="4" t="inlineStr">
        <is>
          <t>test/readiness.live.test.ts; forge/index.ts countIssues</t>
        </is>
      </c>
      <c r="I29" s="4" t="inlineStr">
        <is>
          <t>Claude</t>
        </is>
      </c>
    </row>
    <row r="30">
      <c r="A30" s="4" t="inlineStr">
        <is>
          <t>PR-05</t>
        </is>
      </c>
      <c r="B30" s="4" t="inlineStr">
        <is>
          <t>1 Wedge</t>
        </is>
      </c>
      <c r="C30" s="4" t="inlineStr">
        <is>
          <t>P0</t>
        </is>
      </c>
      <c r="D30" s="4" t="inlineStr">
        <is>
          <t>Derive coverage from ingested CI results</t>
        </is>
      </c>
      <c r="E30" s="4" t="inlineStr">
        <is>
          <t>Derive coverage from ingested CI results rather than a number</t>
        </is>
      </c>
      <c r="F30" s="4" t="inlineStr">
        <is>
          <t>A coverage figure posted with a CI report wins inside the window; otherwise the share of the project's cases with a recorded execution; ready:settings is gone</t>
        </is>
      </c>
      <c r="G30" s="6" t="inlineStr">
        <is>
          <t>Done-in-code</t>
        </is>
      </c>
      <c r="H30" s="4" t="inlineStr">
        <is>
          <t>test/readiness.live.test.ts; pinned by a test that greps the module</t>
        </is>
      </c>
      <c r="I30" s="4" t="inlineStr">
        <is>
          <t>Claude</t>
        </is>
      </c>
    </row>
    <row r="31">
      <c r="A31" s="4" t="inlineStr">
        <is>
          <t>PR-05</t>
        </is>
      </c>
      <c r="B31" s="4" t="inlineStr">
        <is>
          <t>1 Wedge</t>
        </is>
      </c>
      <c r="C31" s="4" t="inlineStr">
        <is>
          <t>P0</t>
        </is>
      </c>
      <c r="D31" s="4" t="inlineStr">
        <is>
          <t>Per-factor explanation</t>
        </is>
      </c>
      <c r="E31" s="4" t="inlineStr">
        <is>
          <t>Add per-factor explanation ("83, held down by 4 quarantined tests and 2 open P0s")</t>
        </is>
      </c>
      <c r="F31" s="4" t="inlineStr">
        <is>
          <t>Explanation built from the factors that lost the most points, largest first; rendered on the panel with each factor's source and its points out of its weight</t>
        </is>
      </c>
      <c r="G31" s="6" t="inlineStr">
        <is>
          <t>Done-in-code</t>
        </is>
      </c>
      <c r="H31" s="4" t="inlineStr">
        <is>
          <t>test/readiness.live.test.ts; test/ui.viewmodel.render.test.ts</t>
        </is>
      </c>
      <c r="I31" s="4" t="inlineStr">
        <is>
          <t>Claude</t>
        </is>
      </c>
    </row>
    <row r="32">
      <c r="A32" s="4" t="inlineStr">
        <is>
          <t>PR-05</t>
        </is>
      </c>
      <c r="B32" s="4" t="inlineStr">
        <is>
          <t>1 Wedge</t>
        </is>
      </c>
      <c r="C32" s="4" t="inlineStr">
        <is>
          <t>P0</t>
        </is>
      </c>
      <c r="D32" s="4" t="inlineStr">
        <is>
          <t>30-day trend</t>
        </is>
      </c>
      <c r="E32" s="4" t="inlineStr">
        <is>
          <t>A 30-day trend</t>
        </is>
      </c>
      <c r="F32" s="4" t="inlineStr">
        <is>
          <t>One point per day, capped at 30, written commutatively so a re-computation does not lose a day</t>
        </is>
      </c>
      <c r="G32" s="6" t="inlineStr">
        <is>
          <t>Done-in-code</t>
        </is>
      </c>
      <c r="H32" s="4" t="inlineStr">
        <is>
          <t>test/readiness.live.test.ts trend cap case</t>
        </is>
      </c>
      <c r="I32" s="4" t="inlineStr">
        <is>
          <t>Claude</t>
        </is>
      </c>
    </row>
    <row r="33">
      <c r="A33" s="4" t="inlineStr">
        <is>
          <t>PR-05</t>
        </is>
      </c>
      <c r="B33" s="4" t="inlineStr">
        <is>
          <t>1 Wedge</t>
        </is>
      </c>
      <c r="C33" s="4" t="inlineStr">
        <is>
          <t>P0</t>
        </is>
      </c>
      <c r="D33" s="4" t="inlineStr">
        <is>
          <t>Configurable weights with validation</t>
        </is>
      </c>
      <c r="E33" s="4" t="inlineStr">
        <is>
          <t>Configurable weights with validation</t>
        </is>
      </c>
      <c r="F33" s="4" t="inlineStr">
        <is>
          <t>Per-project weights validated to sum to 1 at write time</t>
        </is>
      </c>
      <c r="G33" s="6" t="inlineStr">
        <is>
          <t>Done-in-code</t>
        </is>
      </c>
      <c r="H33" s="4" t="inlineStr">
        <is>
          <t>test/readiness.live.test.ts config case</t>
        </is>
      </c>
      <c r="I33" s="4" t="inlineStr">
        <is>
          <t>Claude</t>
        </is>
      </c>
    </row>
    <row r="34">
      <c r="A34" s="4" t="inlineStr">
        <is>
          <t>PR-05</t>
        </is>
      </c>
      <c r="B34" s="4" t="inlineStr">
        <is>
          <t>1 Wedge</t>
        </is>
      </c>
      <c r="C34" s="4" t="inlineStr">
        <is>
          <t>P0</t>
        </is>
      </c>
      <c r="D34" s="4" t="inlineStr">
        <is>
          <t>Per-project readiness view</t>
        </is>
      </c>
      <c r="E34" s="4" t="inlineStr">
        <is>
          <t>A per-project readiness view</t>
        </is>
      </c>
      <c r="F34" s="4" t="inlineStr">
        <is>
          <t>Project comes from the page or story context; boards, cases and settings are all filtered by it</t>
        </is>
      </c>
      <c r="G34" s="6" t="inlineStr">
        <is>
          <t>Done-in-code</t>
        </is>
      </c>
      <c r="H34" s="4" t="inlineStr">
        <is>
          <t>test/readiness.live.test.ts; test/project-scope.test.ts per-project case</t>
        </is>
      </c>
      <c r="I34" s="4" t="inlineStr">
        <is>
          <t>Claude</t>
        </is>
      </c>
    </row>
    <row r="35">
      <c r="A35" s="4" t="inlineStr">
        <is>
          <t>PR-05</t>
        </is>
      </c>
      <c r="B35" s="4" t="inlineStr">
        <is>
          <t>1 Wedge</t>
        </is>
      </c>
      <c r="C35" s="4" t="inlineStr">
        <is>
          <t>P0</t>
        </is>
      </c>
      <c r="D35" s="4" t="inlineStr">
        <is>
          <t>Manual override: explicit, audited, visibly labelled</t>
        </is>
      </c>
      <c r="E35" s="4" t="inlineStr">
        <is>
          <t>Keep manual override as an explicit, audited, visibly-labelled fallback</t>
        </is>
      </c>
      <c r="F35" s="4" t="inlineStr">
        <is>
          <t>Requires a reason, records who and when, marks the factor MANUAL OVERRIDE, sets derived=false, and is configure-guarded</t>
        </is>
      </c>
      <c r="G35" s="6" t="inlineStr">
        <is>
          <t>Done-in-code</t>
        </is>
      </c>
      <c r="H35" s="4" t="inlineStr">
        <is>
          <t>test/readiness.live.test.ts override case</t>
        </is>
      </c>
      <c r="I35" s="4" t="inlineStr">
        <is>
          <t>Claude</t>
        </is>
      </c>
    </row>
    <row r="36">
      <c r="A36" s="4" t="inlineStr">
        <is>
          <t>PR-05</t>
        </is>
      </c>
      <c r="B36" s="4" t="inlineStr">
        <is>
          <t>1 Wedge</t>
        </is>
      </c>
      <c r="C36" s="4" t="inlineStr">
        <is>
          <t>P0</t>
        </is>
      </c>
      <c r="D36" s="4" t="inlineStr">
        <is>
          <t>Zero-manual-entry acceptance</t>
        </is>
      </c>
      <c r="E36" s="4" t="inlineStr">
        <is>
          <t>A fresh install with a connected project and one CI run produces a defensible score with zero manual entry</t>
        </is>
      </c>
      <c r="F36" s="4" t="inlineStr">
        <is>
          <t>Asserted end to end, including that a stored ready:settings from the old design is IGNORED</t>
        </is>
      </c>
      <c r="G36" s="6" t="inlineStr">
        <is>
          <t>Done-in-code</t>
        </is>
      </c>
      <c r="H36" s="4" t="inlineStr">
        <is>
          <t>test/readiness.live.test.ts first case</t>
        </is>
      </c>
      <c r="I36" s="4" t="inlineStr">
        <is>
          <t>Claude</t>
        </is>
      </c>
    </row>
    <row r="37">
      <c r="A37" s="4" t="inlineStr">
        <is>
          <t>PR-05</t>
        </is>
      </c>
      <c r="B37" s="4" t="inlineStr">
        <is>
          <t>1 Wedge</t>
        </is>
      </c>
      <c r="C37" s="4" t="inlineStr">
        <is>
          <t>P0</t>
        </is>
      </c>
      <c r="D37" s="4" t="inlineStr">
        <is>
          <t>Claims-gate entry pins the claim</t>
        </is>
      </c>
      <c r="E37" s="4" t="inlineStr">
        <is>
          <t>A claims-gate entry pins "readiness is derived from live data"</t>
        </is>
      </c>
      <c r="F37" s="4" t="inlineStr">
        <is>
          <t>C-33 pins the trust page statement to the jira-jql source in the code</t>
        </is>
      </c>
      <c r="G37" s="6" t="inlineStr">
        <is>
          <t>Done-in-code</t>
        </is>
      </c>
      <c r="H37" s="4" t="inlineStr">
        <is>
          <t>review-gates.json C-33</t>
        </is>
      </c>
      <c r="I37" s="4" t="inlineStr">
        <is>
          <t>Claude</t>
        </is>
      </c>
    </row>
    <row r="38">
      <c r="A38" s="4" t="inlineStr">
        <is>
          <t>PR-06</t>
        </is>
      </c>
      <c r="B38" s="4" t="inlineStr">
        <is>
          <t>1 Wedge</t>
        </is>
      </c>
      <c r="C38" s="4" t="inlineStr">
        <is>
          <t>P0</t>
        </is>
      </c>
      <c r="D38" s="4" t="inlineStr">
        <is>
          <t>JUnit XML adapter</t>
        </is>
      </c>
      <c r="E38" s="4" t="inlineStr">
        <is>
          <t>JUnit XML adapter</t>
        </is>
      </c>
      <c r="F38" s="4" t="inlineStr">
        <is>
          <t>Dependency-free; classname.name ids, entity decoding, &lt;error&gt; as failure, &lt;skipped&gt; as neither, self-closing and nested forms</t>
        </is>
      </c>
      <c r="G38" s="6" t="inlineStr">
        <is>
          <t>Done-in-code</t>
        </is>
      </c>
      <c r="H38" s="4" t="inlineStr">
        <is>
          <t>test/ciReports.test.ts against test/fixtures/ci/junit-surefire.xml</t>
        </is>
      </c>
      <c r="I38" s="4" t="inlineStr">
        <is>
          <t>Claude</t>
        </is>
      </c>
    </row>
    <row r="39">
      <c r="A39" s="4" t="inlineStr">
        <is>
          <t>PR-06</t>
        </is>
      </c>
      <c r="B39" s="4" t="inlineStr">
        <is>
          <t>1 Wedge</t>
        </is>
      </c>
      <c r="C39" s="4" t="inlineStr">
        <is>
          <t>P0</t>
        </is>
      </c>
      <c r="D39" s="4" t="inlineStr">
        <is>
          <t>Playwright JSON adapter</t>
        </is>
      </c>
      <c r="E39" s="4" t="inlineStr">
        <is>
          <t>Playwright JSON adapter</t>
        </is>
      </c>
      <c r="F39" s="4" t="inlineStr">
        <is>
          <t>Walks nested suites, names by path + project, final status wins (a retry that passed is a pass, timedOut is a failure)</t>
        </is>
      </c>
      <c r="G39" s="6" t="inlineStr">
        <is>
          <t>Done-in-code</t>
        </is>
      </c>
      <c r="H39" s="4" t="inlineStr">
        <is>
          <t>test/ciReports.test.ts against test/fixtures/ci/playwright.json</t>
        </is>
      </c>
      <c r="I39" s="4" t="inlineStr">
        <is>
          <t>Claude</t>
        </is>
      </c>
    </row>
    <row r="40">
      <c r="A40" s="4" t="inlineStr">
        <is>
          <t>PR-06</t>
        </is>
      </c>
      <c r="B40" s="4" t="inlineStr">
        <is>
          <t>1 Wedge</t>
        </is>
      </c>
      <c r="C40" s="4" t="inlineStr">
        <is>
          <t>P0</t>
        </is>
      </c>
      <c r="D40" s="4" t="inlineStr">
        <is>
          <t>Cucumber JSON adapter</t>
        </is>
      </c>
      <c r="E40" s="4" t="inlineStr">
        <is>
          <t>Cucumber JSON adapter</t>
        </is>
      </c>
      <c r="F40" s="4" t="inlineStr">
        <is>
          <t>Scenario scored by its steps, backgrounds ignored, undefined/pending treated as unimplemented rather than failures, ns -&gt; ms</t>
        </is>
      </c>
      <c r="G40" s="6" t="inlineStr">
        <is>
          <t>Done-in-code</t>
        </is>
      </c>
      <c r="H40" s="4" t="inlineStr">
        <is>
          <t>test/ciReports.test.ts against test/fixtures/ci/cucumber.json</t>
        </is>
      </c>
      <c r="I40" s="4" t="inlineStr">
        <is>
          <t>Claude</t>
        </is>
      </c>
    </row>
    <row r="41">
      <c r="A41" s="4" t="inlineStr">
        <is>
          <t>PR-06</t>
        </is>
      </c>
      <c r="B41" s="4" t="inlineStr">
        <is>
          <t>1 Wedge</t>
        </is>
      </c>
      <c r="C41" s="4" t="inlineStr">
        <is>
          <t>P0</t>
        </is>
      </c>
      <c r="D41" s="4" t="inlineStr">
        <is>
          <t>Idempotent by run id</t>
        </is>
      </c>
      <c r="E41" s="4" t="inlineStr">
        <is>
          <t>Idempotent by run ID</t>
        </is>
      </c>
      <c r="F41" s="4" t="inlineStr">
        <is>
          <t>runId defaults to the event id; a re-post changes nothing (asserted by snapshotting the whole fl: namespace)</t>
        </is>
      </c>
      <c r="G41" s="6" t="inlineStr">
        <is>
          <t>Done-in-code</t>
        </is>
      </c>
      <c r="H41" s="4" t="inlineStr">
        <is>
          <t>test/ciReports.test.ts; the dedupe key is pinned by a source-grep test</t>
        </is>
      </c>
      <c r="I41" s="4" t="inlineStr">
        <is>
          <t>Claude</t>
        </is>
      </c>
    </row>
    <row r="42">
      <c r="A42" s="4" t="inlineStr">
        <is>
          <t>PR-06</t>
        </is>
      </c>
      <c r="B42" s="4" t="inlineStr">
        <is>
          <t>1 Wedge</t>
        </is>
      </c>
      <c r="C42" s="4" t="inlineStr">
        <is>
          <t>P0</t>
        </is>
      </c>
      <c r="D42" s="4" t="inlineStr">
        <is>
          <t>Per-branch / environment / suite dimensions</t>
        </is>
      </c>
      <c r="E42" s="4" t="inlineStr">
        <is>
          <t>Per-branch/environment/suite dimensions</t>
        </is>
      </c>
      <c r="F42" s="4" t="inlineStr">
        <is>
          <t>Carried per result, defaulted per run, used by scoring and surfaced in the run index</t>
        </is>
      </c>
      <c r="G42" s="6" t="inlineStr">
        <is>
          <t>Done-in-code</t>
        </is>
      </c>
      <c r="H42" s="4" t="inlineStr">
        <is>
          <t>test/ciReports.test.ts; test/flaky2.test.ts</t>
        </is>
      </c>
      <c r="I42" s="4" t="inlineStr">
        <is>
          <t>Claude</t>
        </is>
      </c>
    </row>
    <row r="43">
      <c r="A43" s="4" t="inlineStr">
        <is>
          <t>PR-06</t>
        </is>
      </c>
      <c r="B43" s="4" t="inlineStr">
        <is>
          <t>1 Wedge</t>
        </is>
      </c>
      <c r="C43" s="4" t="inlineStr">
        <is>
          <t>P0</t>
        </is>
      </c>
      <c r="D43" s="4" t="inlineStr">
        <is>
          <t>Payload size cap and a 413 path</t>
        </is>
      </c>
      <c r="E43" s="4" t="inlineStr">
        <is>
          <t>Payload size cap and a 413 path</t>
        </is>
      </c>
      <c r="F43" s="4" t="inlineStr">
        <is>
          <t>1 MiB byte cap checked BEFORE parsing and a 20,000-result cap after, both 413; unparseable is 400 and recorded as a connector rejection</t>
        </is>
      </c>
      <c r="G43" s="6" t="inlineStr">
        <is>
          <t>Done-in-code</t>
        </is>
      </c>
      <c r="H43" s="4" t="inlineStr">
        <is>
          <t>test/ciReports.test.ts oversize cases</t>
        </is>
      </c>
      <c r="I43" s="4" t="inlineStr">
        <is>
          <t>Claude</t>
        </is>
      </c>
    </row>
    <row r="44">
      <c r="A44" s="4" t="inlineStr">
        <is>
          <t>PR-06</t>
        </is>
      </c>
      <c r="B44" s="4" t="inlineStr">
        <is>
          <t>1 Wedge</t>
        </is>
      </c>
      <c r="C44" s="4" t="inlineStr">
        <is>
          <t>P1</t>
        </is>
      </c>
      <c r="D44" s="4" t="inlineStr">
        <is>
          <t>Back-pressure and partial-batch semantics</t>
        </is>
      </c>
      <c r="E44" s="4" t="inlineStr">
        <is>
          <t>Back-pressure and partial-batch semantics</t>
        </is>
      </c>
      <c r="F44" s="4" t="inlineStr">
        <is>
          <t>A run is all-or-nothing by construction (chunks written under one flush, indexed once); over-cap is refused whole rather than partially accepted. Rate-limit back-pressure beyond that needs real traffic.</t>
        </is>
      </c>
      <c r="G44" s="8" t="inlineStr">
        <is>
          <t>Partial — needs live traffic</t>
        </is>
      </c>
      <c r="H44" s="4" t="inlineStr">
        <is>
          <t>test/ciReports.test.ts; PR-12 will measure the rest</t>
        </is>
      </c>
      <c r="I44" s="4" t="inlineStr">
        <is>
          <t>Claude</t>
        </is>
      </c>
    </row>
    <row r="45">
      <c r="A45" s="4" t="inlineStr">
        <is>
          <t>PR-06</t>
        </is>
      </c>
      <c r="B45" s="4" t="inlineStr">
        <is>
          <t>1 Wedge</t>
        </is>
      </c>
      <c r="C45" s="4" t="inlineStr">
        <is>
          <t>P0</t>
        </is>
      </c>
      <c r="D45" s="4" t="inlineStr">
        <is>
          <t>Ingest health through connectorHealth</t>
        </is>
      </c>
      <c r="E45" s="4" t="inlineStr">
        <is>
          <t>Ingest health surfaced through connectorHealth</t>
        </is>
      </c>
      <c r="F45" s="4" t="inlineStr">
        <is>
          <t>Accept/reject, reason and last-outcome recorded commutatively; rejections from parsing land there too</t>
        </is>
      </c>
      <c r="G45" s="6" t="inlineStr">
        <is>
          <t>Done-in-code</t>
        </is>
      </c>
      <c r="H45" s="4" t="inlineStr">
        <is>
          <t>test/ciReports.test.ts health assertions</t>
        </is>
      </c>
      <c r="I45" s="4" t="inlineStr">
        <is>
          <t>Claude</t>
        </is>
      </c>
    </row>
    <row r="46">
      <c r="A46" s="4" t="inlineStr">
        <is>
          <t>PR-06</t>
        </is>
      </c>
      <c r="B46" s="4" t="inlineStr">
        <is>
          <t>1 Wedge</t>
        </is>
      </c>
      <c r="C46" s="4" t="inlineStr">
        <is>
          <t>P0</t>
        </is>
      </c>
      <c r="D46" s="4" t="inlineStr">
        <is>
          <t>Three real report files ingest correctly</t>
        </is>
      </c>
      <c r="E46" s="4" t="inlineStr">
        <is>
          <t>Three real report files from three frameworks ingest correctly</t>
        </is>
      </c>
      <c r="F46" s="4" t="inlineStr">
        <is>
          <t>Fixtures are committed in the real tools' shapes; a mutation to the dedupe key fails the build</t>
        </is>
      </c>
      <c r="G46" s="6" t="inlineStr">
        <is>
          <t>Done-in-code</t>
        </is>
      </c>
      <c r="H46" s="4" t="inlineStr">
        <is>
          <t>test/fixtures/ci/*; test/ciReports.test.ts</t>
        </is>
      </c>
      <c r="I46" s="4" t="inlineStr">
        <is>
          <t>Claude</t>
        </is>
      </c>
    </row>
    <row r="47">
      <c r="A47" s="4" t="inlineStr">
        <is>
          <t>PR-06</t>
        </is>
      </c>
      <c r="B47" s="4" t="inlineStr">
        <is>
          <t>1 Wedge</t>
        </is>
      </c>
      <c r="C47" s="4" t="inlineStr">
        <is>
          <t>P1</t>
        </is>
      </c>
      <c r="D47" s="4" t="inlineStr">
        <is>
          <t>LC-5: three REAL customer export files</t>
        </is>
      </c>
      <c r="E47" s="4" t="inlineStr">
        <is>
          <t>(from V002_Cuts) LC-5 is a half-day of testing available today</t>
        </is>
      </c>
      <c r="F47" s="4" t="inlineStr">
        <is>
          <t>Still Senthil's: the importer is format-faithful and the CI adapters are fixture-backed, but three REAL Xray/Zephyr exports are the acceptance evidence</t>
        </is>
      </c>
      <c r="G47" s="7" t="inlineStr">
        <is>
          <t>Open — Senthil</t>
        </is>
      </c>
      <c r="H47" s="4" t="inlineStr">
        <is>
          <t>LC-5 row in Gate_Checklist</t>
        </is>
      </c>
      <c r="I47" s="4" t="inlineStr">
        <is>
          <t>Senthil</t>
        </is>
      </c>
    </row>
    <row r="48">
      <c r="A48" s="4" t="inlineStr">
        <is>
          <t>PR-07</t>
        </is>
      </c>
      <c r="B48" s="4" t="inlineStr">
        <is>
          <t>1 Wedge</t>
        </is>
      </c>
      <c r="C48" s="4" t="inlineStr">
        <is>
          <t>P1</t>
        </is>
      </c>
      <c r="D48" s="4" t="inlineStr">
        <is>
          <t>Per-test windows from PR-03</t>
        </is>
      </c>
      <c r="E48" s="4" t="inlineStr">
        <is>
          <t>Per-test windows from PR-03</t>
        </is>
      </c>
      <c r="F48" s="4" t="inlineStr">
        <is>
          <t>Last 30 results per test per branch; PRX-04 scenario asserted</t>
        </is>
      </c>
      <c r="G48" s="6" t="inlineStr">
        <is>
          <t>Done-in-code</t>
        </is>
      </c>
      <c r="H48" s="4" t="inlineStr">
        <is>
          <t>test/flaky2.test.ts; test/performance.test.ts</t>
        </is>
      </c>
      <c r="I48" s="4" t="inlineStr">
        <is>
          <t>Claude</t>
        </is>
      </c>
    </row>
    <row r="49">
      <c r="A49" s="4" t="inlineStr">
        <is>
          <t>PR-07</t>
        </is>
      </c>
      <c r="B49" s="4" t="inlineStr">
        <is>
          <t>1 Wedge</t>
        </is>
      </c>
      <c r="C49" s="4" t="inlineStr">
        <is>
          <t>P1</t>
        </is>
      </c>
      <c r="D49" s="4" t="inlineStr">
        <is>
          <t>Flip-rate plus first-seen</t>
        </is>
      </c>
      <c r="E49" s="4" t="inlineStr">
        <is>
          <t>Flip-rate plus first-seen</t>
        </is>
      </c>
      <c r="F49" s="4" t="inlineStr">
        <is>
          <t>firstFailedAt / lastFailedAt / lastSeenAt on every score</t>
        </is>
      </c>
      <c r="G49" s="6" t="inlineStr">
        <is>
          <t>Done-in-code</t>
        </is>
      </c>
      <c r="H49" s="4" t="inlineStr">
        <is>
          <t>test/flaky2.test.ts</t>
        </is>
      </c>
      <c r="I49" s="4" t="inlineStr">
        <is>
          <t>Claude</t>
        </is>
      </c>
    </row>
    <row r="50">
      <c r="A50" s="4" t="inlineStr">
        <is>
          <t>PR-07</t>
        </is>
      </c>
      <c r="B50" s="4" t="inlineStr">
        <is>
          <t>1 Wedge</t>
        </is>
      </c>
      <c r="C50" s="4" t="inlineStr">
        <is>
          <t>P1</t>
        </is>
      </c>
      <c r="D50" s="4" t="inlineStr">
        <is>
          <t>Failure clustering</t>
        </is>
      </c>
      <c r="E50" s="4" t="inlineStr">
        <is>
          <t>Failure clustering</t>
        </is>
      </c>
      <c r="F50" s="4" t="inlineStr">
        <is>
          <t>Tests failing together in one run are clustered by run with a minimum size</t>
        </is>
      </c>
      <c r="G50" s="6" t="inlineStr">
        <is>
          <t>Done-in-code</t>
        </is>
      </c>
      <c r="H50" s="4" t="inlineStr">
        <is>
          <t>test/flaky2.test.ts clustering case</t>
        </is>
      </c>
      <c r="I50" s="4" t="inlineStr">
        <is>
          <t>Claude</t>
        </is>
      </c>
    </row>
    <row r="51">
      <c r="A51" s="4" t="inlineStr">
        <is>
          <t>PR-07</t>
        </is>
      </c>
      <c r="B51" s="4" t="inlineStr">
        <is>
          <t>1 Wedge</t>
        </is>
      </c>
      <c r="C51" s="4" t="inlineStr">
        <is>
          <t>P1</t>
        </is>
      </c>
      <c r="D51" s="4" t="inlineStr">
        <is>
          <t>Time-to-quarantine</t>
        </is>
      </c>
      <c r="E51" s="4" t="inlineStr">
        <is>
          <t>Time-to-quarantine</t>
        </is>
      </c>
      <c r="F51" s="4" t="inlineStr">
        <is>
          <t>From first failure to the quarantine decision (manual) or last failure (automatic)</t>
        </is>
      </c>
      <c r="G51" s="6" t="inlineStr">
        <is>
          <t>Done-in-code</t>
        </is>
      </c>
      <c r="H51" s="4" t="inlineStr">
        <is>
          <t>test/flaky2.test.ts</t>
        </is>
      </c>
      <c r="I51" s="4" t="inlineStr">
        <is>
          <t>Claude</t>
        </is>
      </c>
    </row>
    <row r="52">
      <c r="A52" s="4" t="inlineStr">
        <is>
          <t>PR-07</t>
        </is>
      </c>
      <c r="B52" s="4" t="inlineStr">
        <is>
          <t>1 Wedge</t>
        </is>
      </c>
      <c r="C52" s="4" t="inlineStr">
        <is>
          <t>P1</t>
        </is>
      </c>
      <c r="D52" s="4" t="inlineStr">
        <is>
          <t>Branch/env aware scoring</t>
        </is>
      </c>
      <c r="E52" s="4" t="inlineStr">
        <is>
          <t>Branch/env aware so a feature-branch failure is not scored as instability on main</t>
        </is>
      </c>
      <c r="F52" s="4" t="inlineStr">
        <is>
          <t>Scored on the main branch when the test has run there; per-branch breakdown always returned; a test stable on main and unstable on a feature branch is NOT quarantined</t>
        </is>
      </c>
      <c r="G52" s="6" t="inlineStr">
        <is>
          <t>Done-in-code</t>
        </is>
      </c>
      <c r="H52" s="4" t="inlineStr">
        <is>
          <t>test/flaky2.test.ts first case</t>
        </is>
      </c>
      <c r="I52" s="4" t="inlineStr">
        <is>
          <t>Claude</t>
        </is>
      </c>
    </row>
    <row r="53">
      <c r="A53" s="4" t="inlineStr">
        <is>
          <t>PR-07</t>
        </is>
      </c>
      <c r="B53" s="4" t="inlineStr">
        <is>
          <t>1 Wedge</t>
        </is>
      </c>
      <c r="C53" s="4" t="inlineStr">
        <is>
          <t>P1</t>
        </is>
      </c>
      <c r="D53" s="4" t="inlineStr">
        <is>
          <t>Quarantine with owner, expiry and audited un-quarantine</t>
        </is>
      </c>
      <c r="E53" s="4" t="inlineStr">
        <is>
          <t>Quarantine with an owner, an expiry and an audited un-quarantine</t>
        </is>
      </c>
      <c r="F53" s="4" t="inlineStr">
        <is>
          <t>Owner defaults to the actor, 1..90 day expiry, both directions written to an audit trail; expired quarantines stop applying</t>
        </is>
      </c>
      <c r="G53" s="6" t="inlineStr">
        <is>
          <t>Done-in-code</t>
        </is>
      </c>
      <c r="H53" s="4" t="inlineStr">
        <is>
          <t>test/flaky2.test.ts quarantine case</t>
        </is>
      </c>
      <c r="I53" s="4" t="inlineStr">
        <is>
          <t>Claude</t>
        </is>
      </c>
    </row>
    <row r="54">
      <c r="A54" s="4" t="inlineStr">
        <is>
          <t>PR-07</t>
        </is>
      </c>
      <c r="B54" s="4" t="inlineStr">
        <is>
          <t>1 Wedge</t>
        </is>
      </c>
      <c r="C54" s="4" t="inlineStr">
        <is>
          <t>P1</t>
        </is>
      </c>
      <c r="D54" s="4" t="inlineStr">
        <is>
          <t>New vs chronic split</t>
        </is>
      </c>
      <c r="E54" s="4" t="inlineStr">
        <is>
          <t>"New vs chronic" split</t>
        </is>
      </c>
      <c r="F54" s="4" t="inlineStr">
        <is>
          <t>Seven-day line from first failure; stable when nothing has ever failed</t>
        </is>
      </c>
      <c r="G54" s="6" t="inlineStr">
        <is>
          <t>Done-in-code</t>
        </is>
      </c>
      <c r="H54" s="4" t="inlineStr">
        <is>
          <t>test/flaky2.test.ts</t>
        </is>
      </c>
      <c r="I54" s="4" t="inlineStr">
        <is>
          <t>Claude</t>
        </is>
      </c>
    </row>
    <row r="55">
      <c r="A55" s="4" t="inlineStr">
        <is>
          <t>PR-08</t>
        </is>
      </c>
      <c r="B55" s="4" t="inlineStr">
        <is>
          <t>1 Wedge</t>
        </is>
      </c>
      <c r="C55" s="4" t="inlineStr">
        <is>
          <t>P1</t>
        </is>
      </c>
      <c r="D55" s="4" t="inlineStr">
        <is>
          <t>Link cases to Jira issues</t>
        </is>
      </c>
      <c r="E55" s="4" t="inlineStr">
        <is>
          <t>Link cases to Jira issues via issue links</t>
        </is>
      </c>
      <c r="F55" s="4" t="inlineStr">
        <is>
          <t>requirement-test links plus the implicit story-&gt;case link; issue keys validated</t>
        </is>
      </c>
      <c r="G55" s="6" t="inlineStr">
        <is>
          <t>Done-in-code</t>
        </is>
      </c>
      <c r="H55" s="4" t="inlineStr">
        <is>
          <t>test/traceability.test.ts</t>
        </is>
      </c>
      <c r="I55" s="4" t="inlineStr">
        <is>
          <t>Claude</t>
        </is>
      </c>
    </row>
    <row r="56">
      <c r="A56" s="4" t="inlineStr">
        <is>
          <t>PR-08</t>
        </is>
      </c>
      <c r="B56" s="4" t="inlineStr">
        <is>
          <t>1 Wedge</t>
        </is>
      </c>
      <c r="C56" s="4" t="inlineStr">
        <is>
          <t>P1</t>
        </is>
      </c>
      <c r="D56" s="4" t="inlineStr">
        <is>
          <t>Link failed runs to defect issues</t>
        </is>
      </c>
      <c r="E56" s="4" t="inlineStr">
        <is>
          <t>Link failed runs to defect issues</t>
        </is>
      </c>
      <c r="F56" s="4" t="inlineStr">
        <is>
          <t>run-defect and test-defect link types; a run-defect link resolves through the run to its case</t>
        </is>
      </c>
      <c r="G56" s="6" t="inlineStr">
        <is>
          <t>Done-in-code</t>
        </is>
      </c>
      <c r="H56" s="4" t="inlineStr">
        <is>
          <t>test/traceability.test.ts graph case</t>
        </is>
      </c>
      <c r="I56" s="4" t="inlineStr">
        <is>
          <t>Claude</t>
        </is>
      </c>
    </row>
    <row r="57">
      <c r="A57" s="4" t="inlineStr">
        <is>
          <t>PR-08</t>
        </is>
      </c>
      <c r="B57" s="4" t="inlineStr">
        <is>
          <t>1 Wedge</t>
        </is>
      </c>
      <c r="C57" s="4" t="inlineStr">
        <is>
          <t>P1</t>
        </is>
      </c>
      <c r="D57" s="4" t="inlineStr">
        <is>
          <t>Coverage query per epic/release</t>
        </is>
      </c>
      <c r="E57" s="4" t="inlineStr">
        <is>
          <t>A coverage query per epic/release</t>
        </is>
      </c>
      <c r="F57" s="4" t="inlineStr">
        <is>
          <t>Jira search (asUser) joined against the graph: issues, with-tests, executed, passed, pct</t>
        </is>
      </c>
      <c r="G57" s="6" t="inlineStr">
        <is>
          <t>Done-in-code</t>
        </is>
      </c>
      <c r="H57" s="4" t="inlineStr">
        <is>
          <t>test/traceability.test.ts coverage case</t>
        </is>
      </c>
      <c r="I57" s="4" t="inlineStr">
        <is>
          <t>Claude</t>
        </is>
      </c>
    </row>
    <row r="58">
      <c r="A58" s="4" t="inlineStr">
        <is>
          <t>PR-08</t>
        </is>
      </c>
      <c r="B58" s="4" t="inlineStr">
        <is>
          <t>1 Wedge</t>
        </is>
      </c>
      <c r="C58" s="4" t="inlineStr">
        <is>
          <t>P1</t>
        </is>
      </c>
      <c r="D58" s="4" t="inlineStr">
        <is>
          <t>"Requirements with no test" / "tests with no execution"</t>
        </is>
      </c>
      <c r="E58" s="4" t="inlineStr">
        <is>
          <t>Both reports</t>
        </is>
      </c>
      <c r="F58" s="4" t="inlineStr">
        <is>
          <t>Both returned by the graph and reachable through the resolver</t>
        </is>
      </c>
      <c r="G58" s="6" t="inlineStr">
        <is>
          <t>Done-in-code</t>
        </is>
      </c>
      <c r="H58" s="4" t="inlineStr">
        <is>
          <t>test/traceability.test.ts</t>
        </is>
      </c>
      <c r="I58" s="4" t="inlineStr">
        <is>
          <t>Claude</t>
        </is>
      </c>
    </row>
    <row r="59">
      <c r="A59" s="4" t="inlineStr">
        <is>
          <t>PR-08</t>
        </is>
      </c>
      <c r="B59" s="4" t="inlineStr">
        <is>
          <t>1 Wedge</t>
        </is>
      </c>
      <c r="C59" s="4" t="inlineStr">
        <is>
          <t>P0</t>
        </is>
      </c>
      <c r="D59" s="4" t="inlineStr">
        <is>
          <t>Jira write-back DECISION</t>
        </is>
      </c>
      <c r="E59" s="4" t="inlineStr">
        <is>
          <t>Requires a decision on Jira write-back — re-add write:jira-work as a FEATURE with a justified call path, never as a silent permission</t>
        </is>
      </c>
      <c r="F59" s="4" t="inlineStr">
        <is>
          <t>NOT re-added. The module contains no Jira write path at all (asserted), the manifest still requests no write scope (asserted), and the decision is recorded as D-TP-WB for Senthil.</t>
        </is>
      </c>
      <c r="G59" s="7" t="inlineStr">
        <is>
          <t>Open — decision D-TP-WB</t>
        </is>
      </c>
      <c r="H59" s="4" t="inlineStr">
        <is>
          <t>test/traceability.test.ts final case; Decisions sheet</t>
        </is>
      </c>
      <c r="I59" s="4" t="inlineStr">
        <is>
          <t>Senthil</t>
        </is>
      </c>
    </row>
    <row r="60">
      <c r="A60" s="4" t="inlineStr">
        <is>
          <t>PR-09</t>
        </is>
      </c>
      <c r="B60" s="4" t="inlineStr">
        <is>
          <t>2 Enterprise</t>
        </is>
      </c>
      <c r="C60" s="4" t="inlineStr">
        <is>
          <t>P0</t>
        </is>
      </c>
      <c r="D60" s="4" t="inlineStr">
        <is>
          <t>Derive project context in the resolver</t>
        </is>
      </c>
      <c r="E60" s="4" t="inlineStr">
        <is>
          <t>Derive project context in the resolver</t>
        </is>
      </c>
      <c r="F60" s="4" t="inlineStr">
        <is>
          <t>From the story key, the issue panel context or the project page context</t>
        </is>
      </c>
      <c r="G60" s="6" t="inlineStr">
        <is>
          <t>Done-in-code</t>
        </is>
      </c>
      <c r="H60" s="4" t="inlineStr">
        <is>
          <t>test/project-scope.test.ts</t>
        </is>
      </c>
      <c r="I60" s="4" t="inlineStr">
        <is>
          <t>Claude</t>
        </is>
      </c>
    </row>
    <row r="61">
      <c r="A61" s="4" t="inlineStr">
        <is>
          <t>PR-09</t>
        </is>
      </c>
      <c r="B61" s="4" t="inlineStr">
        <is>
          <t>2 Enterprise</t>
        </is>
      </c>
      <c r="C61" s="4" t="inlineStr">
        <is>
          <t>P0</t>
        </is>
      </c>
      <c r="D61" s="4" t="inlineStr">
        <is>
          <t>Namespace cases, boards and readiness by project</t>
        </is>
      </c>
      <c r="E61" s="4" t="inlineStr">
        <is>
          <t>Namespace cases, boards and readiness by project</t>
        </is>
      </c>
      <c r="F61" s="4" t="inlineStr">
        <is>
          <t>Case keys carry the project via the story key; boards carry projectKey; readiness config, override and trend are per project</t>
        </is>
      </c>
      <c r="G61" s="6" t="inlineStr">
        <is>
          <t>Done-in-code</t>
        </is>
      </c>
      <c r="H61" s="4" t="inlineStr">
        <is>
          <t>test/project-scope.test.ts per-project case</t>
        </is>
      </c>
      <c r="I61" s="4" t="inlineStr">
        <is>
          <t>Claude</t>
        </is>
      </c>
    </row>
    <row r="62">
      <c r="A62" s="4" t="inlineStr">
        <is>
          <t>PR-09</t>
        </is>
      </c>
      <c r="B62" s="4" t="inlineStr">
        <is>
          <t>2 Enterprise</t>
        </is>
      </c>
      <c r="C62" s="4" t="inlineStr">
        <is>
          <t>P0</t>
        </is>
      </c>
      <c r="D62" s="4" t="inlineStr">
        <is>
          <t>Enforce Jira project permissions via asUser() (AEC 1.14)</t>
        </is>
      </c>
      <c r="E62" s="4" t="inlineStr">
        <is>
          <t>So app visibility can never exceed Jira visibility</t>
        </is>
      </c>
      <c r="F62" s="4" t="inlineStr">
        <is>
          <t>BROWSE_PROJECTS checked asUser() per call; an unreachable Jira answers "unknown", which is a denial</t>
        </is>
      </c>
      <c r="G62" s="6" t="inlineStr">
        <is>
          <t>Done-in-code</t>
        </is>
      </c>
      <c r="H62" s="4" t="inlineStr">
        <is>
          <t>test/project-scope.test.ts; forge/index.ts projectVisibility</t>
        </is>
      </c>
      <c r="I62" s="4" t="inlineStr">
        <is>
          <t>Claude</t>
        </is>
      </c>
    </row>
    <row r="63">
      <c r="A63" s="4" t="inlineStr">
        <is>
          <t>PR-09</t>
        </is>
      </c>
      <c r="B63" s="4" t="inlineStr">
        <is>
          <t>2 Enterprise</t>
        </is>
      </c>
      <c r="C63" s="4" t="inlineStr">
        <is>
          <t>P0</t>
        </is>
      </c>
      <c r="D63" s="4" t="inlineStr">
        <is>
          <t>Make Permissions.check actually evaluate scope</t>
        </is>
      </c>
      <c r="E63" s="4" t="inlineStr">
        <is>
          <t>Make Permissions.check actually evaluate scope</t>
        </is>
      </c>
      <c r="F63" s="4" t="inlineStr">
        <is>
          <t>allowed = role matrix AND project visibility; the audit entry carries the reason for a denial</t>
        </is>
      </c>
      <c r="G63" s="6" t="inlineStr">
        <is>
          <t>Done-in-code</t>
        </is>
      </c>
      <c r="H63" s="4" t="inlineStr">
        <is>
          <t>test/permissions.test.ts scoped-denial case</t>
        </is>
      </c>
      <c r="I63" s="4" t="inlineStr">
        <is>
          <t>Claude</t>
        </is>
      </c>
    </row>
    <row r="64">
      <c r="A64" s="4" t="inlineStr">
        <is>
          <t>PR-09</t>
        </is>
      </c>
      <c r="B64" s="4" t="inlineStr">
        <is>
          <t>2 Enterprise</t>
        </is>
      </c>
      <c r="C64" s="4" t="inlineStr">
        <is>
          <t>P0</t>
        </is>
      </c>
      <c r="D64" s="4" t="inlineStr">
        <is>
          <t>Audit log with project dimension, owner-only export</t>
        </is>
      </c>
      <c r="E64" s="4" t="inlineStr">
        <is>
          <t>Audit log with project dimension and owner-only export</t>
        </is>
      </c>
      <c r="F64" s="4" t="inlineStr">
        <is>
          <t>auditLog(projectKey) filters; the call stays owner-only</t>
        </is>
      </c>
      <c r="G64" s="6" t="inlineStr">
        <is>
          <t>Done-in-code</t>
        </is>
      </c>
      <c r="H64" s="4" t="inlineStr">
        <is>
          <t>test/project-scope.test.ts audit assertions</t>
        </is>
      </c>
      <c r="I64" s="4" t="inlineStr">
        <is>
          <t>Claude</t>
        </is>
      </c>
    </row>
    <row r="65">
      <c r="A65" s="4" t="inlineStr">
        <is>
          <t>PR-09</t>
        </is>
      </c>
      <c r="B65" s="4" t="inlineStr">
        <is>
          <t>2 Enterprise</t>
        </is>
      </c>
      <c r="C65" s="4" t="inlineStr">
        <is>
          <t>P0</t>
        </is>
      </c>
      <c r="D65" s="4" t="inlineStr">
        <is>
          <t>LC-6 evidence</t>
        </is>
      </c>
      <c r="E65" s="4" t="inlineStr">
        <is>
          <t>LC-6 can be marked Done with live evidence</t>
        </is>
      </c>
      <c r="F65" s="4" t="inlineStr">
        <is>
          <t>Code is done; LC-6 stays OPEN until the live restricted-project check at PR-04 — the discipline the review was enforcing</t>
        </is>
      </c>
      <c r="G65" s="7" t="inlineStr">
        <is>
          <t>Open — needs LC-1</t>
        </is>
      </c>
      <c r="H65" s="4" t="inlineStr">
        <is>
          <t>Gate_Checklist LC-6; docs/lc1-session-pack.md</t>
        </is>
      </c>
      <c r="I65" s="4" t="inlineStr">
        <is>
          <t>Senthil</t>
        </is>
      </c>
    </row>
    <row r="66">
      <c r="A66" s="4" t="inlineStr">
        <is>
          <t>PR-10</t>
        </is>
      </c>
      <c r="B66" s="4" t="inlineStr">
        <is>
          <t>2 Enterprise</t>
        </is>
      </c>
      <c r="C66" s="4" t="inlineStr">
        <is>
          <t>P1</t>
        </is>
      </c>
      <c r="D66" s="4" t="inlineStr">
        <is>
          <t>Bring-your-own key in Forge Secret Storage</t>
        </is>
      </c>
      <c r="E66" s="4" t="inlineStr">
        <is>
          <t>Bring-your-own-key per installation stored in Forge Secret Storage</t>
        </is>
      </c>
      <c r="F66" s="4" t="inlineStr">
        <is>
          <t>Owner-only, format-validated, written through kvs.setSecret, never in readable storage (asserted), removed with delete-my-data</t>
        </is>
      </c>
      <c r="G66" s="6" t="inlineStr">
        <is>
          <t>Done-in-code</t>
        </is>
      </c>
      <c r="H66" s="4" t="inlineStr">
        <is>
          <t>test/ai-governance-v2.test.ts BYOK case</t>
        </is>
      </c>
      <c r="I66" s="4" t="inlineStr">
        <is>
          <t>Claude</t>
        </is>
      </c>
    </row>
    <row r="67">
      <c r="A67" s="4" t="inlineStr">
        <is>
          <t>PR-10</t>
        </is>
      </c>
      <c r="B67" s="4" t="inlineStr">
        <is>
          <t>2 Enterprise</t>
        </is>
      </c>
      <c r="C67" s="4" t="inlineStr">
        <is>
          <t>P1</t>
        </is>
      </c>
      <c r="D67" s="4" t="inlineStr">
        <is>
          <t>Shared key as an optional metered fallback</t>
        </is>
      </c>
      <c r="E67" s="4" t="inlineStr">
        <is>
          <t>With the shared key as an optional metered fallback</t>
        </is>
      </c>
      <c r="F67" s="4" t="inlineStr">
        <is>
          <t>Used when no tenant key exists; the Settings screen discloses which key is in use and this month's usage</t>
        </is>
      </c>
      <c r="G67" s="6" t="inlineStr">
        <is>
          <t>Done-in-code</t>
        </is>
      </c>
      <c r="H67" s="4" t="inlineStr">
        <is>
          <t>test/ai-governance-v2.test.ts</t>
        </is>
      </c>
      <c r="I67" s="4" t="inlineStr">
        <is>
          <t>Claude</t>
        </is>
      </c>
    </row>
    <row r="68">
      <c r="A68" s="4" t="inlineStr">
        <is>
          <t>PR-10</t>
        </is>
      </c>
      <c r="B68" s="4" t="inlineStr">
        <is>
          <t>2 Enterprise</t>
        </is>
      </c>
      <c r="C68" s="4" t="inlineStr">
        <is>
          <t>P1</t>
        </is>
      </c>
      <c r="D68" s="4" t="inlineStr">
        <is>
          <t>Per-tenant cost attribution</t>
        </is>
      </c>
      <c r="E68" s="4" t="inlineStr">
        <is>
          <t>Per-tenant cost attribution</t>
        </is>
      </c>
      <c r="F68" s="4" t="inlineStr">
        <is>
          <t>Calls and estimated tokens per key source per month, readable by admins through aiAudit</t>
        </is>
      </c>
      <c r="G68" s="6" t="inlineStr">
        <is>
          <t>Done-in-code</t>
        </is>
      </c>
      <c r="H68" s="4" t="inlineStr">
        <is>
          <t>test/ai-governance-v2.test.ts attribution case</t>
        </is>
      </c>
      <c r="I68" s="4" t="inlineStr">
        <is>
          <t>Claude</t>
        </is>
      </c>
    </row>
    <row r="69">
      <c r="A69" s="4" t="inlineStr">
        <is>
          <t>PR-10</t>
        </is>
      </c>
      <c r="B69" s="4" t="inlineStr">
        <is>
          <t>2 Enterprise</t>
        </is>
      </c>
      <c r="C69" s="4" t="inlineStr">
        <is>
          <t>P1</t>
        </is>
      </c>
      <c r="D69" s="4" t="inlineStr">
        <is>
          <t>Global spend ceiling, not just a per-day cap</t>
        </is>
      </c>
      <c r="E69" s="4" t="inlineStr">
        <is>
          <t>A global spend ceiling, not just a 200/day per-install cap</t>
        </is>
      </c>
      <c r="F69" s="4" t="inlineStr">
        <is>
          <t>Monthly ceiling on the SHARED key per site, on top of the daily cap; BYOK is uncapped because the tenant pays its own provider</t>
        </is>
      </c>
      <c r="G69" s="6" t="inlineStr">
        <is>
          <t>Done-in-code</t>
        </is>
      </c>
      <c r="H69" s="4" t="inlineStr">
        <is>
          <t>test/ai-governance-v2.test.ts ceiling case</t>
        </is>
      </c>
      <c r="I69" s="4" t="inlineStr">
        <is>
          <t>Claude</t>
        </is>
      </c>
    </row>
    <row r="70">
      <c r="A70" s="4" t="inlineStr">
        <is>
          <t>PR-10</t>
        </is>
      </c>
      <c r="B70" s="4" t="inlineStr">
        <is>
          <t>2 Enterprise</t>
        </is>
      </c>
      <c r="C70" s="4" t="inlineStr">
        <is>
          <t>P1</t>
        </is>
      </c>
      <c r="D70" s="4" t="inlineStr">
        <is>
          <t>Prompt-injection hardening</t>
        </is>
      </c>
      <c r="E70" s="4" t="inlineStr">
        <is>
          <t>Story text is untrusted input and today reaches the model inside an instruction string with only shape validation on output</t>
        </is>
      </c>
      <c r="F70" s="4" t="inlineStr">
        <is>
          <t>Instructions moved to the system prompt; story sent as delimited DATA marked not-instructions; output structurally validated and exfiltration-shaped content rejected so rules answer instead</t>
        </is>
      </c>
      <c r="G70" s="6" t="inlineStr">
        <is>
          <t>Done-in-code</t>
        </is>
      </c>
      <c r="H70" s="4" t="inlineStr">
        <is>
          <t>test/ai-governance-v2.test.ts — 11 injection fixtures</t>
        </is>
      </c>
      <c r="I70" s="4" t="inlineStr">
        <is>
          <t>Claude</t>
        </is>
      </c>
    </row>
    <row r="71">
      <c r="A71" s="4" t="inlineStr">
        <is>
          <t>PR-10</t>
        </is>
      </c>
      <c r="B71" s="4" t="inlineStr">
        <is>
          <t>2 Enterprise</t>
        </is>
      </c>
      <c r="C71" s="4" t="inlineStr">
        <is>
          <t>P1</t>
        </is>
      </c>
      <c r="D71" s="4" t="inlineStr">
        <is>
          <t>Scored eval set for generation QUALITY</t>
        </is>
      </c>
      <c r="E71" s="4" t="inlineStr">
        <is>
          <t>A scored eval set for generation quality (the named gap in EG-08)</t>
        </is>
      </c>
      <c r="F71" s="4" t="inlineStr">
        <is>
          <t>STILL THE NAMED GAP, and still named rather than hidden: the fixtures test the product's handling of model output, not model quality, which needs real stories from real teams (PR-14)</t>
        </is>
      </c>
      <c r="G71" s="7" t="inlineStr">
        <is>
          <t>Open — needs PR-14</t>
        </is>
      </c>
      <c r="H71" s="4" t="inlineStr">
        <is>
          <t>docs/ai-usage-policy.md states it; EG-08 keeps its named gap</t>
        </is>
      </c>
      <c r="I71" s="4" t="inlineStr">
        <is>
          <t>Senthil</t>
        </is>
      </c>
    </row>
    <row r="72">
      <c r="A72" s="4" t="inlineStr">
        <is>
          <t>PR-10</t>
        </is>
      </c>
      <c r="B72" s="4" t="inlineStr">
        <is>
          <t>2 Enterprise</t>
        </is>
      </c>
      <c r="C72" s="4" t="inlineStr">
        <is>
          <t>P1</t>
        </is>
      </c>
      <c r="D72" s="4" t="inlineStr">
        <is>
          <t>Graceful multi-model fallback</t>
        </is>
      </c>
      <c r="E72" s="4" t="inlineStr">
        <is>
          <t>Graceful multi-model fallback</t>
        </is>
      </c>
      <c r="F72" s="4" t="inlineStr">
        <is>
          <t>A configured fallback model is tried on 429/5xx only — never on a bad answer, which would just burn a second call</t>
        </is>
      </c>
      <c r="G72" s="6" t="inlineStr">
        <is>
          <t>Done-in-code</t>
        </is>
      </c>
      <c r="H72" s="4" t="inlineStr">
        <is>
          <t>test/ai-governance-v2.test.ts fallback case</t>
        </is>
      </c>
      <c r="I72" s="4" t="inlineStr">
        <is>
          <t>Claude</t>
        </is>
      </c>
    </row>
    <row r="73">
      <c r="A73" s="4" t="inlineStr">
        <is>
          <t>PR-10</t>
        </is>
      </c>
      <c r="B73" s="4" t="inlineStr">
        <is>
          <t>2 Enterprise</t>
        </is>
      </c>
      <c r="C73" s="4" t="inlineStr">
        <is>
          <t>P1</t>
        </is>
      </c>
      <c r="D73" s="4" t="inlineStr">
        <is>
          <t>Publish the AI usage policy (AEC 5.1)</t>
        </is>
      </c>
      <c r="E73" s="4" t="inlineStr">
        <is>
          <t>Publish the AI usage policy</t>
        </is>
      </c>
      <c r="F73" s="4" t="inlineStr">
        <is>
          <t>docs/ai-usage-policy.md — purpose, off-by-default, provider, key sources, what is sent, what is validated, budgets, audit, retention</t>
        </is>
      </c>
      <c r="G73" s="6" t="inlineStr">
        <is>
          <t>Done-in-code</t>
        </is>
      </c>
      <c r="H73" s="4" t="inlineStr">
        <is>
          <t>review-gates.json C-38/C-39 pin it</t>
        </is>
      </c>
      <c r="I73" s="4" t="inlineStr">
        <is>
          <t>Claude</t>
        </is>
      </c>
    </row>
    <row r="74">
      <c r="A74" s="4" t="inlineStr">
        <is>
          <t>PR-10</t>
        </is>
      </c>
      <c r="B74" s="4" t="inlineStr">
        <is>
          <t>2 Enterprise</t>
        </is>
      </c>
      <c r="C74" s="4" t="inlineStr">
        <is>
          <t>P1</t>
        </is>
      </c>
      <c r="D74" s="4" t="inlineStr">
        <is>
          <t>Name Anthropic as a subprocessor (AEC 1.12)</t>
        </is>
      </c>
      <c r="E74" s="4" t="inlineStr">
        <is>
          <t>Name Anthropic as a subprocessor</t>
        </is>
      </c>
      <c r="F74" s="4" t="inlineStr">
        <is>
          <t>Named on the trust page and in the policy, pinned to the manifest egress host by the claims gate</t>
        </is>
      </c>
      <c r="G74" s="6" t="inlineStr">
        <is>
          <t>Done-in-code</t>
        </is>
      </c>
      <c r="H74" s="4" t="inlineStr">
        <is>
          <t>docs/trust-page.md; review-gates.json C-04/C-38</t>
        </is>
      </c>
      <c r="I74" s="4" t="inlineStr">
        <is>
          <t>Claude</t>
        </is>
      </c>
    </row>
    <row r="75">
      <c r="A75" s="4" t="inlineStr">
        <is>
          <t>PR-11</t>
        </is>
      </c>
      <c r="B75" s="4" t="inlineStr">
        <is>
          <t>2 Enterprise</t>
        </is>
      </c>
      <c r="C75" s="4" t="inlineStr">
        <is>
          <t>P1</t>
        </is>
      </c>
      <c r="D75" s="4" t="inlineStr">
        <is>
          <t>CREST / Bugcrowd penetration test (AEC 1.1)</t>
        </is>
      </c>
      <c r="E75" s="4" t="inlineStr">
        <is>
          <t>Procurement lead time — start at the beginning of this phase, not the end</t>
        </is>
      </c>
      <c r="F75" s="4" t="inlineStr">
        <is>
          <t>NOT DOABLE HERE — an external party. Flagged as a procurement item with a lead time, not a documentation task; the internal assessment pack explicitly does not satisfy it.</t>
        </is>
      </c>
      <c r="G75" s="7" t="inlineStr">
        <is>
          <t>Open — Senthil</t>
        </is>
      </c>
      <c r="H75" s="4" t="inlineStr">
        <is>
          <t>docs/enterprise-certified-gap.md row 1.1; ST-068</t>
        </is>
      </c>
      <c r="I75" s="4" t="inlineStr">
        <is>
          <t>Senthil</t>
        </is>
      </c>
    </row>
    <row r="76">
      <c r="A76" s="4" t="inlineStr">
        <is>
          <t>PR-11</t>
        </is>
      </c>
      <c r="B76" s="4" t="inlineStr">
        <is>
          <t>2 Enterprise</t>
        </is>
      </c>
      <c r="C76" s="4" t="inlineStr">
        <is>
          <t>P1</t>
        </is>
      </c>
      <c r="D76" s="4" t="inlineStr">
        <is>
          <t>Public bug bounty enrolment (AEC 1.2)</t>
        </is>
      </c>
      <c r="E76" s="4" t="inlineStr">
        <is>
          <t>Public bug bounty via Atlassian's programme</t>
        </is>
      </c>
      <c r="F76" s="4" t="inlineStr">
        <is>
          <t>NOT DOABLE HERE. Recorded that the old plan ("publish security.md + contact") does NOT satisfy this requirement.</t>
        </is>
      </c>
      <c r="G76" s="7" t="inlineStr">
        <is>
          <t>Open — Senthil</t>
        </is>
      </c>
      <c r="H76" s="4" t="inlineStr">
        <is>
          <t>docs/enterprise-certified-gap.md row 1.2</t>
        </is>
      </c>
      <c r="I76" s="4" t="inlineStr">
        <is>
          <t>Senthil</t>
        </is>
      </c>
    </row>
    <row r="77">
      <c r="A77" s="4" t="inlineStr">
        <is>
          <t>PR-11</t>
        </is>
      </c>
      <c r="B77" s="4" t="inlineStr">
        <is>
          <t>2 Enterprise</t>
        </is>
      </c>
      <c r="C77" s="4" t="inlineStr">
        <is>
          <t>P1</t>
        </is>
      </c>
      <c r="D77" s="4" t="inlineStr">
        <is>
          <t>Public trust centre</t>
        </is>
      </c>
      <c r="E77" s="4" t="inlineStr">
        <is>
          <t>Data-flow diagram, log contents and retention, encryption-at-rest statement, subprocessor list, AI policy</t>
        </is>
      </c>
      <c r="F77" s="4" t="inlineStr">
        <is>
          <t>Trust page rewritten with all of it incl. the new controls (write integrity, project isolation, credential position, no-egress mode); publication to the listing trust tab is LC-7</t>
        </is>
      </c>
      <c r="G77" s="6" t="inlineStr">
        <is>
          <t>Done-in-code</t>
        </is>
      </c>
      <c r="H77" s="4" t="inlineStr">
        <is>
          <t>docs/trust-page.md; claims gate pins the mechanical statements</t>
        </is>
      </c>
      <c r="I77" s="4" t="inlineStr">
        <is>
          <t>Claude</t>
        </is>
      </c>
    </row>
    <row r="78">
      <c r="A78" s="4" t="inlineStr">
        <is>
          <t>PR-11</t>
        </is>
      </c>
      <c r="B78" s="4" t="inlineStr">
        <is>
          <t>2 Enterprise</t>
        </is>
      </c>
      <c r="C78" s="4" t="inlineStr">
        <is>
          <t>P1</t>
        </is>
      </c>
      <c r="D78" s="4" t="inlineStr">
        <is>
          <t>Remove vestigial token storage in acct:* (AEC 1.5)</t>
        </is>
      </c>
      <c r="E78" s="4" t="inlineStr">
        <is>
          <t>Remove the vestigial token storage</t>
        </is>
      </c>
      <c r="F78" s="4" t="inlineStr">
        <is>
          <t>Removed from the install record entirely rather than explained; ST-055 (token rotation) recorded as N/A on Forge</t>
        </is>
      </c>
      <c r="G78" s="6" t="inlineStr">
        <is>
          <t>Done-in-code</t>
        </is>
      </c>
      <c r="H78" s="4" t="inlineStr">
        <is>
          <t>test/lifecycle.test.ts asserts the record holds no credential</t>
        </is>
      </c>
      <c r="I78" s="4" t="inlineStr">
        <is>
          <t>Claude</t>
        </is>
      </c>
    </row>
    <row r="79">
      <c r="A79" s="4" t="inlineStr">
        <is>
          <t>PR-11</t>
        </is>
      </c>
      <c r="B79" s="4" t="inlineStr">
        <is>
          <t>2 Enterprise</t>
        </is>
      </c>
      <c r="C79" s="4" t="inlineStr">
        <is>
          <t>P1</t>
        </is>
      </c>
      <c r="D79" s="4" t="inlineStr">
        <is>
          <t>SLO definition with 30 days of live data</t>
        </is>
      </c>
      <c r="E79" s="4" t="inlineStr">
        <is>
          <t>SLO definition with 30 days of live data</t>
        </is>
      </c>
      <c r="F79" s="4" t="inlineStr">
        <is>
          <t>Sampling is in place per invocation; the definition needs live data</t>
        </is>
      </c>
      <c r="G79" s="7" t="inlineStr">
        <is>
          <t>Open — needs LC-1</t>
        </is>
      </c>
      <c r="H79" s="4" t="inlineStr">
        <is>
          <t>docs/enterprise-certified-gap.md row 2.x</t>
        </is>
      </c>
      <c r="I79" s="4" t="inlineStr">
        <is>
          <t>Senthil</t>
        </is>
      </c>
    </row>
    <row r="80">
      <c r="A80" s="4" t="inlineStr">
        <is>
          <t>PR-11</t>
        </is>
      </c>
      <c r="B80" s="4" t="inlineStr">
        <is>
          <t>2 Enterprise</t>
        </is>
      </c>
      <c r="C80" s="4" t="inlineStr">
        <is>
          <t>P1</t>
        </is>
      </c>
      <c r="D80" s="4" t="inlineStr">
        <is>
          <t>Incident management wired to a real alerting path</t>
        </is>
      </c>
      <c r="E80" s="4" t="inlineStr">
        <is>
          <t>Incident management process wired to a real alerting path</t>
        </is>
      </c>
      <c r="F80" s="4" t="inlineStr">
        <is>
          <t>Runbook, comms tree, status page and template exist; WHO IS PAGED is not wired and is recorded as partial rather than done</t>
        </is>
      </c>
      <c r="G80" s="7" t="inlineStr">
        <is>
          <t>Open — Senthil</t>
        </is>
      </c>
      <c r="H80" s="4" t="inlineStr">
        <is>
          <t>docs/enterprise-certified-gap.md row 3.x</t>
        </is>
      </c>
      <c r="I80" s="4" t="inlineStr">
        <is>
          <t>Senthil</t>
        </is>
      </c>
    </row>
    <row r="81">
      <c r="A81" s="4" t="inlineStr">
        <is>
          <t>PR-11</t>
        </is>
      </c>
      <c r="B81" s="4" t="inlineStr">
        <is>
          <t>2 Enterprise</t>
        </is>
      </c>
      <c r="C81" s="4" t="inlineStr">
        <is>
          <t>P1</t>
        </is>
      </c>
      <c r="D81" s="4" t="inlineStr">
        <is>
          <t>AEC table with owner, date and evidence on every row</t>
        </is>
      </c>
      <c r="E81" s="4" t="inlineStr">
        <is>
          <t>Every AEC requirement row has a named owner, date and evidence link; nothing Done on documentation alone</t>
        </is>
      </c>
      <c r="F81" s="4" t="inlineStr">
        <is>
          <t>Done — the table carries state, evidence and owner per row, and separates MET (code) from MET (doc) from OPEN</t>
        </is>
      </c>
      <c r="G81" s="6" t="inlineStr">
        <is>
          <t>Done-in-code</t>
        </is>
      </c>
      <c r="H81" s="4" t="inlineStr">
        <is>
          <t>docs/enterprise-certified-gap.md</t>
        </is>
      </c>
      <c r="I81" s="4" t="inlineStr">
        <is>
          <t>Claude</t>
        </is>
      </c>
    </row>
    <row r="82">
      <c r="A82" s="4" t="inlineStr">
        <is>
          <t>PR-12</t>
        </is>
      </c>
      <c r="B82" s="4" t="inlineStr">
        <is>
          <t>2 Enterprise</t>
        </is>
      </c>
      <c r="C82" s="4" t="inlineStr">
        <is>
          <t>P2</t>
        </is>
      </c>
      <c r="D82" s="4" t="inlineStr">
        <is>
          <t>Re-run the envelope on the real install with the PR-03 store</t>
        </is>
      </c>
      <c r="E82" s="4" t="inlineStr">
        <is>
          <t>Re-run the envelope against the real install</t>
        </is>
      </c>
      <c r="F82" s="4" t="inlineStr">
        <is>
          <t>Envelope RE-BASELINED in-process against the new store (that part is done and published, including the honest round-trip trade); the LIVE run needs PR-04</t>
        </is>
      </c>
      <c r="G82" s="7" t="inlineStr">
        <is>
          <t>Open — needs LC-1</t>
        </is>
      </c>
      <c r="H82" s="4" t="inlineStr">
        <is>
          <t>docs/performance-envelope.md; evidence/perf-envelope-20260920-1204.txt</t>
        </is>
      </c>
      <c r="I82" s="4" t="inlineStr">
        <is>
          <t>Senthil</t>
        </is>
      </c>
    </row>
    <row r="83">
      <c r="A83" s="4" t="inlineStr">
        <is>
          <t>PR-12</t>
        </is>
      </c>
      <c r="B83" s="4" t="inlineStr">
        <is>
          <t>2 Enterprise</t>
        </is>
      </c>
      <c r="C83" s="4" t="inlineStr">
        <is>
          <t>P2</t>
        </is>
      </c>
      <c r="D83" s="4" t="inlineStr">
        <is>
          <t>Concurrent tenants, cold start, 25s headroom</t>
        </is>
      </c>
      <c r="E83" s="4" t="inlineStr">
        <is>
          <t>Concurrent tenants; cold start; 25-second invocation headroom</t>
        </is>
      </c>
      <c r="F83" s="4" t="inlineStr">
        <is>
          <t>Needs live infrastructure</t>
        </is>
      </c>
      <c r="G83" s="7" t="inlineStr">
        <is>
          <t>Open — needs LC-1</t>
        </is>
      </c>
      <c r="H83" s="4" t="inlineStr">
        <is>
          <t>docs/lc1-session-pack.md</t>
        </is>
      </c>
      <c r="I83" s="4" t="inlineStr">
        <is>
          <t>Senthil</t>
        </is>
      </c>
    </row>
    <row r="84">
      <c r="A84" s="4" t="inlineStr">
        <is>
          <t>PR-12</t>
        </is>
      </c>
      <c r="B84" s="4" t="inlineStr">
        <is>
          <t>2 Enterprise</t>
        </is>
      </c>
      <c r="C84" s="4" t="inlineStr">
        <is>
          <t>P2</t>
        </is>
      </c>
      <c r="D84" s="4" t="inlineStr">
        <is>
          <t>Publish supported cases, runs, CI throughput per install</t>
        </is>
      </c>
      <c r="E84" s="4" t="inlineStr">
        <is>
          <t>Publish supported cases, runs and CI throughput per install</t>
        </is>
      </c>
      <c r="F84" s="4" t="inlineStr">
        <is>
          <t>CI THROUGHPUT NOW PUBLISHED (C-6): 20,000 results/run, 1 MiB/post, last 50 runs retained. Cases and runs no longer have a per-value ceiling; the round-trip costs are published in their place.</t>
        </is>
      </c>
      <c r="G84" s="6" t="inlineStr">
        <is>
          <t>Done-in-code</t>
        </is>
      </c>
      <c r="H84" s="4" t="inlineStr">
        <is>
          <t>docs/performance-envelope.md</t>
        </is>
      </c>
      <c r="I84" s="4" t="inlineStr">
        <is>
          <t>Claude</t>
        </is>
      </c>
    </row>
    <row r="85">
      <c r="A85" s="4" t="inlineStr">
        <is>
          <t>PR-12</t>
        </is>
      </c>
      <c r="B85" s="4" t="inlineStr">
        <is>
          <t>2 Enterprise</t>
        </is>
      </c>
      <c r="C85" s="4" t="inlineStr">
        <is>
          <t>P2</t>
        </is>
      </c>
      <c r="D85" s="4" t="inlineStr">
        <is>
          <t>Guard tests that fail the build when a figure stops being true</t>
        </is>
      </c>
      <c r="E85" s="4" t="inlineStr">
        <is>
          <t>Guard tests that fail the build when a documented figure is no longer true</t>
        </is>
      </c>
      <c r="F85" s="4" t="inlineStr">
        <is>
          <t>Every published figure is asserted: value sizes, the 50-run bound, the per-test window, the scope declarations, the whoami key count</t>
        </is>
      </c>
      <c r="G85" s="6" t="inlineStr">
        <is>
          <t>Done-in-code</t>
        </is>
      </c>
      <c r="H85" s="4" t="inlineStr">
        <is>
          <t>test/performance.test.ts</t>
        </is>
      </c>
      <c r="I85" s="4" t="inlineStr">
        <is>
          <t>Claude</t>
        </is>
      </c>
    </row>
    <row r="86">
      <c r="A86" s="4" t="inlineStr">
        <is>
          <t>PR-12</t>
        </is>
      </c>
      <c r="B86" s="4" t="inlineStr">
        <is>
          <t>2 Enterprise</t>
        </is>
      </c>
      <c r="C86" s="4" t="inlineStr">
        <is>
          <t>P2</t>
        </is>
      </c>
      <c r="D86" s="4" t="inlineStr">
        <is>
          <t>EG-10 UNPROVEN -&gt; PASS with live evidence</t>
        </is>
      </c>
      <c r="E86" s="4" t="inlineStr">
        <is>
          <t>EG-10 moves from UNPROVEN to PASS with live evidence, or supported scale is published honestly lower</t>
        </is>
      </c>
      <c r="F86" s="4" t="inlineStr">
        <is>
          <t>EG-10 stays PARTIAL: the in-process evidence is stronger than it was, and it is still in-process. An in-process p95 is not a production p95 — the document says so about itself.</t>
        </is>
      </c>
      <c r="G86" s="8" t="inlineStr">
        <is>
          <t>Partial — live evidence pending</t>
        </is>
      </c>
      <c r="H86" s="4" t="inlineStr">
        <is>
          <t>V002_Enterprise_Gates</t>
        </is>
      </c>
      <c r="I86" s="4" t="inlineStr">
        <is>
          <t>Senthil</t>
        </is>
      </c>
    </row>
    <row r="87">
      <c r="A87" s="4" t="inlineStr">
        <is>
          <t>PR-13</t>
        </is>
      </c>
      <c r="B87" s="4" t="inlineStr">
        <is>
          <t>3 Commercial</t>
        </is>
      </c>
      <c r="C87" s="4" t="inlineStr">
        <is>
          <t>P0</t>
        </is>
      </c>
      <c r="D87" s="4" t="inlineStr">
        <is>
          <t>Convert to Atlassian per-user tiers</t>
        </is>
      </c>
      <c r="E87" s="4" t="inlineStr">
        <is>
          <t>Convert to Atlassian per-user tiers</t>
        </is>
      </c>
      <c r="F87" s="4" t="inlineStr">
        <is>
          <t>Pricing doc rewritten in per-user terms against the CORRECTED 0% fee, with a band-by-band anchor table and the sub-10 band conceded; partner-console entry is Senthil's</t>
        </is>
      </c>
      <c r="G87" s="7" t="inlineStr">
        <is>
          <t>Open — Senthil</t>
        </is>
      </c>
      <c r="H87" s="4" t="inlineStr">
        <is>
          <t>docs/pricing-faq.md</t>
        </is>
      </c>
      <c r="I87" s="4" t="inlineStr">
        <is>
          <t>Senthil</t>
        </is>
      </c>
    </row>
    <row r="88">
      <c r="A88" s="4" t="inlineStr">
        <is>
          <t>PR-13</t>
        </is>
      </c>
      <c r="B88" s="4" t="inlineStr">
        <is>
          <t>3 Commercial</t>
        </is>
      </c>
      <c r="C88" s="4" t="inlineStr">
        <is>
          <t>P0</t>
        </is>
      </c>
      <c r="D88" s="4" t="inlineStr">
        <is>
          <t>Configure in the partner console</t>
        </is>
      </c>
      <c r="E88" s="4" t="inlineStr">
        <is>
          <t>Configure in the partner console</t>
        </is>
      </c>
      <c r="F88" s="4" t="inlineStr">
        <is>
          <t>Needs the Marketplace partner console</t>
        </is>
      </c>
      <c r="G88" s="7" t="inlineStr">
        <is>
          <t>Open — Senthil</t>
        </is>
      </c>
      <c r="H88" s="4" t="inlineStr">
        <is>
          <t>docs/billing-activation.md</t>
        </is>
      </c>
      <c r="I88" s="4" t="inlineStr">
        <is>
          <t>Senthil</t>
        </is>
      </c>
    </row>
    <row r="89">
      <c r="A89" s="4" t="inlineStr">
        <is>
          <t>PR-13</t>
        </is>
      </c>
      <c r="B89" s="4" t="inlineStr">
        <is>
          <t>3 Commercial</t>
        </is>
      </c>
      <c r="C89" s="4" t="inlineStr">
        <is>
          <t>P0</t>
        </is>
      </c>
      <c r="D89" s="4" t="inlineStr">
        <is>
          <t>Complete a test purchase</t>
        </is>
      </c>
      <c r="E89" s="4" t="inlineStr">
        <is>
          <t>Complete a test purchase</t>
        </is>
      </c>
      <c r="F89" s="4" t="inlineStr">
        <is>
          <t>Needs a real purchase flow</t>
        </is>
      </c>
      <c r="G89" s="7" t="inlineStr">
        <is>
          <t>Open — Senthil</t>
        </is>
      </c>
      <c r="H89" s="4" t="inlineStr">
        <is>
          <t>docs/billing-activation.md; LC-8</t>
        </is>
      </c>
      <c r="I89" s="4" t="inlineStr">
        <is>
          <t>Senthil</t>
        </is>
      </c>
    </row>
    <row r="90">
      <c r="A90" s="4" t="inlineStr">
        <is>
          <t>PR-13</t>
        </is>
      </c>
      <c r="B90" s="4" t="inlineStr">
        <is>
          <t>3 Commercial</t>
        </is>
      </c>
      <c r="C90" s="4" t="inlineStr">
        <is>
          <t>P0</t>
        </is>
      </c>
      <c r="D90" s="4" t="inlineStr">
        <is>
          <t>Entitlement enforcement against real licence context</t>
        </is>
      </c>
      <c r="E90" s="4" t="inlineStr">
        <is>
          <t>Entitlement enforcement against real licence context</t>
        </is>
      </c>
      <c r="F90" s="4" t="inlineStr">
        <is>
          <t>The gate is shipped and tested (inactive licence -&gt; read-only, reads never blocked, export/delete always available); verification against a REAL licence context is live-only</t>
        </is>
      </c>
      <c r="G90" s="7" t="inlineStr">
        <is>
          <t>Open — needs LC-1</t>
        </is>
      </c>
      <c r="H90" s="4" t="inlineStr">
        <is>
          <t>src/licensing.ts; test/review.pass2.test.ts</t>
        </is>
      </c>
      <c r="I90" s="4" t="inlineStr">
        <is>
          <t>Senthil</t>
        </is>
      </c>
    </row>
    <row r="91">
      <c r="A91" s="4" t="inlineStr">
        <is>
          <t>PR-13</t>
        </is>
      </c>
      <c r="B91" s="4" t="inlineStr">
        <is>
          <t>3 Commercial</t>
        </is>
      </c>
      <c r="C91" s="4" t="inlineStr">
        <is>
          <t>P0</t>
        </is>
      </c>
      <c r="D91" s="4" t="inlineStr">
        <is>
          <t>Rewrite pricing-faq.md in per-user terms</t>
        </is>
      </c>
      <c r="E91" s="4" t="inlineStr">
        <is>
          <t>Rewrite pricing-faq.md in per-user terms</t>
        </is>
      </c>
      <c r="F91" s="4" t="inlineStr">
        <is>
          <t>Done, including the competitive table and the statement that flat plans cannot be listed</t>
        </is>
      </c>
      <c r="G91" s="6" t="inlineStr">
        <is>
          <t>Done-in-code</t>
        </is>
      </c>
      <c r="H91" s="4" t="inlineStr">
        <is>
          <t>docs/pricing-faq.md; claims gate C-40 refuses the old $99/mo string</t>
        </is>
      </c>
      <c r="I91" s="4" t="inlineStr">
        <is>
          <t>Claude</t>
        </is>
      </c>
    </row>
    <row r="92">
      <c r="A92" s="4" t="inlineStr">
        <is>
          <t>PR-13</t>
        </is>
      </c>
      <c r="B92" s="4" t="inlineStr">
        <is>
          <t>3 Commercial</t>
        </is>
      </c>
      <c r="C92" s="4" t="inlineStr">
        <is>
          <t>P0</t>
        </is>
      </c>
      <c r="D92" s="4" t="inlineStr">
        <is>
          <t>Re-anchor against the corrected 0% fee and the real competitive table</t>
        </is>
      </c>
      <c r="E92" s="4" t="inlineStr">
        <is>
          <t>Re-anchor the price; the 10-seat band is where you are 12x Xray</t>
        </is>
      </c>
      <c r="F92" s="4" t="inlineStr">
        <is>
          <t>Anchor set 40-50% under Xray in the 26-200 band; sub-10 conceded as free acquisition; the 0% fee is what makes that affordable</t>
        </is>
      </c>
      <c r="G92" s="6" t="inlineStr">
        <is>
          <t>Done-in-code</t>
        </is>
      </c>
      <c r="H92" s="4" t="inlineStr">
        <is>
          <t>docs/pricing-faq.md; Financial_Model B9</t>
        </is>
      </c>
      <c r="I92" s="4" t="inlineStr">
        <is>
          <t>Claude</t>
        </is>
      </c>
    </row>
    <row r="93">
      <c r="A93" s="4" t="inlineStr">
        <is>
          <t>PR-13</t>
        </is>
      </c>
      <c r="B93" s="4" t="inlineStr">
        <is>
          <t>3 Commercial</t>
        </is>
      </c>
      <c r="C93" s="4" t="inlineStr">
        <is>
          <t>P0</t>
        </is>
      </c>
      <c r="D93" s="4" t="inlineStr">
        <is>
          <t>Price consistency across listing, FAQ and app</t>
        </is>
      </c>
      <c r="E93" s="4" t="inlineStr">
        <is>
          <t>Every published price consistent across listing, FAQ and app</t>
        </is>
      </c>
      <c r="F93" s="4" t="inlineStr">
        <is>
          <t>No price is published anywhere in the app or the listing copy yet — deliberately, until the test purchase fixes the real numbers. The claims gate refuses the old flat-plan string so it cannot come back.</t>
        </is>
      </c>
      <c r="G93" s="6" t="inlineStr">
        <is>
          <t>Done-in-code</t>
        </is>
      </c>
      <c r="H93" s="4" t="inlineStr">
        <is>
          <t>review-gates.json C-40</t>
        </is>
      </c>
      <c r="I93" s="4" t="inlineStr">
        <is>
          <t>Claude</t>
        </is>
      </c>
    </row>
    <row r="94">
      <c r="A94" s="4" t="inlineStr">
        <is>
          <t>PR-14</t>
        </is>
      </c>
      <c r="B94" s="4" t="inlineStr">
        <is>
          <t>3 Commercial</t>
        </is>
      </c>
      <c r="C94" s="4" t="inlineStr">
        <is>
          <t>P0</t>
        </is>
      </c>
      <c r="D94" s="4" t="inlineStr">
        <is>
          <t>10 design partners using it for real release decisions</t>
        </is>
      </c>
      <c r="E94" s="4" t="inlineStr">
        <is>
          <t>10 design partners</t>
        </is>
      </c>
      <c r="F94" s="4" t="inlineStr">
        <is>
          <t>Needs ten conversations. The kit (outreach, A1-A4 interview guide, demo script) is shipped and unchanged.</t>
        </is>
      </c>
      <c r="G94" s="7" t="inlineStr">
        <is>
          <t>Open — Senthil</t>
        </is>
      </c>
      <c r="H94" s="4" t="inlineStr">
        <is>
          <t>docs/design-partner-kit.md; ST-100</t>
        </is>
      </c>
      <c r="I94" s="4" t="inlineStr">
        <is>
          <t>Senthil</t>
        </is>
      </c>
    </row>
    <row r="95">
      <c r="A95" s="4" t="inlineStr">
        <is>
          <t>PR-14</t>
        </is>
      </c>
      <c r="B95" s="4" t="inlineStr">
        <is>
          <t>3 Commercial</t>
        </is>
      </c>
      <c r="C95" s="4" t="inlineStr">
        <is>
          <t>P0</t>
        </is>
      </c>
      <c r="D95" s="4" t="inlineStr">
        <is>
          <t>Instrument the activation funnel against Metrics_Targets</t>
        </is>
      </c>
      <c r="E95" s="4" t="inlineStr">
        <is>
          <t>Instrument the activation funnel</t>
        </is>
      </c>
      <c r="F95" s="4" t="inlineStr">
        <is>
          <t>Funnel records all four stages and survives concurrent invocations; the TARGETS remain unvalidated assumptions, which is the honest state</t>
        </is>
      </c>
      <c r="G95" s="6" t="inlineStr">
        <is>
          <t>Done-in-code</t>
        </is>
      </c>
      <c r="H95" s="4" t="inlineStr">
        <is>
          <t>test/concurrency.test.ts funnel case; Metrics_Targets</t>
        </is>
      </c>
      <c r="I95" s="4" t="inlineStr">
        <is>
          <t>Claude</t>
        </is>
      </c>
    </row>
    <row r="96">
      <c r="A96" s="4" t="inlineStr">
        <is>
          <t>PR-14</t>
        </is>
      </c>
      <c r="B96" s="4" t="inlineStr">
        <is>
          <t>3 Commercial</t>
        </is>
      </c>
      <c r="C96" s="4" t="inlineStr">
        <is>
          <t>P0</t>
        </is>
      </c>
      <c r="D96" s="4" t="inlineStr">
        <is>
          <t>ST-100 validation interviews</t>
        </is>
      </c>
      <c r="E96" s="4" t="inlineStr">
        <is>
          <t>The validation interviews the PRD flags as ASSUMED</t>
        </is>
      </c>
      <c r="F96" s="4" t="inlineStr">
        <is>
          <t>Needs the interviews</t>
        </is>
      </c>
      <c r="G96" s="7" t="inlineStr">
        <is>
          <t>Open — Senthil</t>
        </is>
      </c>
      <c r="H96" s="4" t="inlineStr">
        <is>
          <t>docs/prd.md; ST-100</t>
        </is>
      </c>
      <c r="I96" s="4" t="inlineStr">
        <is>
          <t>Senthil</t>
        </is>
      </c>
    </row>
    <row r="97">
      <c r="A97" s="4" t="inlineStr">
        <is>
          <t>PR-14</t>
        </is>
      </c>
      <c r="B97" s="4" t="inlineStr">
        <is>
          <t>3 Commercial</t>
        </is>
      </c>
      <c r="C97" s="4" t="inlineStr">
        <is>
          <t>P0</t>
        </is>
      </c>
      <c r="D97" s="4" t="inlineStr">
        <is>
          <t>Kill/continue evidence pack for S12</t>
        </is>
      </c>
      <c r="E97" s="4" t="inlineStr">
        <is>
          <t>A kill/continue evidence pack</t>
        </is>
      </c>
      <c r="F97" s="4" t="inlineStr">
        <is>
          <t>Needs partners first</t>
        </is>
      </c>
      <c r="G97" s="7" t="inlineStr">
        <is>
          <t>Open — Senthil</t>
        </is>
      </c>
      <c r="H97" s="4" t="inlineStr">
        <is>
          <t>G-03</t>
        </is>
      </c>
      <c r="I97" s="4" t="inlineStr">
        <is>
          <t>Senthil</t>
        </is>
      </c>
    </row>
    <row r="98">
      <c r="A98" s="4" t="inlineStr">
        <is>
          <t>PR-14</t>
        </is>
      </c>
      <c r="B98" s="4" t="inlineStr">
        <is>
          <t>3 Commercial</t>
        </is>
      </c>
      <c r="C98" s="4" t="inlineStr">
        <is>
          <t>P0</t>
        </is>
      </c>
      <c r="D98" s="4" t="inlineStr">
        <is>
          <t>Three teams making a documented go/no-go call</t>
        </is>
      </c>
      <c r="E98" s="4" t="inlineStr">
        <is>
          <t>At least three teams have made a go/no-go release call using the readiness score, documented</t>
        </is>
      </c>
      <c r="F98" s="4" t="inlineStr">
        <is>
          <t>THE BAR FOR EG-15, and it stays UNPROVEN no matter how much is built — the review's words, and they are correct</t>
        </is>
      </c>
      <c r="G98" s="7" t="inlineStr">
        <is>
          <t>Open — Senthil</t>
        </is>
      </c>
      <c r="H98" s="4" t="inlineStr">
        <is>
          <t>V002_Enterprise_Gates EG-15</t>
        </is>
      </c>
      <c r="I98" s="4" t="inlineStr">
        <is>
          <t>Senthil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outlineLevelCol="0"/>
  <cols>
    <col width="8" customWidth="1" min="1" max="1"/>
    <col width="10" customWidth="1" min="2" max="2"/>
    <col width="26" customWidth="1" min="3" max="3"/>
    <col width="76" customWidth="1" min="4" max="4"/>
    <col width="78" customWidth="1" min="5" max="5"/>
    <col width="46" customWidth="1" min="6" max="6"/>
    <col width="16" customWidth="1" min="7" max="7"/>
    <col width="34" customWidth="1" min="8" max="8"/>
  </cols>
  <sheetData>
    <row r="1">
      <c r="A1" s="1" t="inlineStr">
        <is>
          <t>EXTERNAL REVIEW V001 — THE FIVE PRX FINDINGS, AND WHAT CLOSED EACH</t>
        </is>
      </c>
    </row>
    <row r="2">
      <c r="A2" s="2" t="inlineStr">
        <is>
          <t>All five accepted. All five closed in code with a pinned regression that fails against the pre-release code. The reviewer wrote its own probe tests and deliberately did not leave them in the tree; these are ours, and they assert the same scenarios.</t>
        </is>
      </c>
    </row>
    <row r="3">
      <c r="A3" s="3" t="inlineStr">
        <is>
          <t>ID</t>
        </is>
      </c>
      <c r="B3" s="3" t="inlineStr">
        <is>
          <t>Sev</t>
        </is>
      </c>
      <c r="C3" s="3" t="inlineStr">
        <is>
          <t>Area</t>
        </is>
      </c>
      <c r="D3" s="3" t="inlineStr">
        <is>
          <t>The finding, in the reviewer's terms</t>
        </is>
      </c>
      <c r="E3" s="3" t="inlineStr">
        <is>
          <t>What closed it</t>
        </is>
      </c>
      <c r="F3" s="3" t="inlineStr">
        <is>
          <t>Pinned regression</t>
        </is>
      </c>
      <c r="G3" s="3" t="inlineStr">
        <is>
          <t>Status</t>
        </is>
      </c>
      <c r="H3" s="3" t="inlineStr">
        <is>
          <t>Senthil decision</t>
        </is>
      </c>
    </row>
    <row r="4">
      <c r="A4" s="4" t="inlineStr">
        <is>
          <t>PRX-01</t>
        </is>
      </c>
      <c r="B4" s="4" t="inlineStr">
        <is>
          <t>HIGH</t>
        </is>
      </c>
      <c r="C4" s="4" t="inlineStr">
        <is>
          <t>src/testgen.ts, src/aiProvider.ts</t>
        </is>
      </c>
      <c r="D4" s="4" t="inlineStr">
        <is>
          <t>Repeat generation creates DUPLICATE case ids: ids derived deterministically from the story key, and the panel ships a "Generate more cases" button, so a second press appends the identical ids. importCases already solved this with a persisted counter — the fix existed in the same file and was not applied to the generation paths.</t>
        </is>
      </c>
      <c r="E4" s="4" t="inlineStr">
        <is>
          <t>Unique time-sortable ids on EVERY creation path including AI and CSV, asserted unique in-process and at write by insert-if-absent (a shared counter would itself have been a PRX-02 race). The provider now returns draft cases and TestGen owns identity. version + updatedAt added as the EG-04 seed.</t>
        </is>
      </c>
      <c r="F4" s="4" t="inlineStr">
        <is>
          <t>test/identity.test.ts — generate x3 / import x2 / AI x2 on one story under ONE clock value</t>
        </is>
      </c>
      <c r="G4" s="6" t="inlineStr">
        <is>
          <t>CLOSED in code</t>
        </is>
      </c>
      <c r="H4" s="8" t="inlineStr">
        <is>
          <t>None</t>
        </is>
      </c>
    </row>
    <row r="5">
      <c r="A5" s="4" t="inlineStr">
        <is>
          <t>PRX-02</t>
        </is>
      </c>
      <c r="B5" s="4" t="inlineStr">
        <is>
          <t>CRITICAL</t>
        </is>
      </c>
      <c r="C5" s="4" t="inlineStr">
        <is>
          <t>src/forgeStore.ts + every collection writer</t>
        </is>
      </c>
      <c r="D5" s="4" t="inlineStr">
        <is>
          <t>Concurrent invocations SILENTLY LOSE WRITES: hydrate -&gt; mutate whole collection in memory -&gt; flush, with no version, ETag or compare-and-set. Two overlapping invocations each append and the last flush wins. Applies to gen:cases, rb:board:*, audit, fl:results, wh:seen, ai:audit — so an audit entry can be dropped and the replay-dedupe ledger can lose an event id it just recorded, which weakens a security control.</t>
        </is>
      </c>
      <c r="E5" s="4" t="inlineStr">
        <is>
          <t>Versioned values + compare-and-set on plain writes (conflict raises, never overwrites, and surfaces as a 409 telling the user to reload); commutative reducers re-applied at flush for ledgers and counters; one key per entity so the common case cannot conflict at all; wh:seen became one key per event id, which also removes the FIFO that could age an id out inside the replay window.</t>
        </is>
      </c>
      <c r="F5" s="4" t="inlineStr">
        <is>
          <t>test/concurrency.test.ts — two stores over one backing map, 100 interleaved writers, plus the conflict and idempotent-redelivery paths. Standing gate G-5.</t>
        </is>
      </c>
      <c r="G5" s="6" t="inlineStr">
        <is>
          <t>CLOSED in code</t>
        </is>
      </c>
      <c r="H5" s="8" t="inlineStr">
        <is>
          <t>Note: on KVS the CAS is emulated (the platform has no conditional write); the Forge SQL adapter has a real one. ADR-001 states this and PR-04 decides.</t>
        </is>
      </c>
    </row>
    <row r="6">
      <c r="A6" s="4" t="inlineStr">
        <is>
          <t>PRX-03</t>
        </is>
      </c>
      <c r="B6" s="4" t="inlineStr">
        <is>
          <t>MED-HIGH</t>
        </is>
      </c>
      <c r="C6" s="4" t="inlineStr">
        <is>
          <t>src/permissions.ts, tracker LC-6</t>
        </is>
      </c>
      <c r="D6" s="4" t="inlineStr">
        <is>
          <t>Project scope is RECORDED, never ENFORCED: check() takes a scope, writes it into the audit entry, then evaluates purely against the global MATRIX. No key is project-namespaced. On a site with a restricted project, any licensed member sees every project's cases and readiness. LC-6 was marked "Done-in-code — scope-aware guard + audit"; it was scope-LOGGING.</t>
        </is>
      </c>
      <c r="E6" s="4" t="inlineStr">
        <is>
          <t>check() now evaluates scope: role matrix AND Jira BROWSE_PROJECTS for that user via asUser() (AEC 1.14), failing CLOSED when Jira does not answer — for the owner too. Data is project-namespaced; reads are gated as well as writes; the audit entry carries the project and the reason for a denial.</t>
        </is>
      </c>
      <c r="F6" s="4" t="inlineStr">
        <is>
          <t>test/permissions.test.ts + test/project-scope.test.ts — the regression asserts a scoped DENIAL, not a scoped audit entry</t>
        </is>
      </c>
      <c r="G6" s="6" t="inlineStr">
        <is>
          <t>CLOSED in code; LC-6 stays OPEN until live evidence</t>
        </is>
      </c>
      <c r="H6" s="8" t="inlineStr">
        <is>
          <t>LC-6 downgraded to Open as the review instructed. It flips at PR-04 with the restricted-project capture, not before.</t>
        </is>
      </c>
    </row>
    <row r="7">
      <c r="A7" s="4" t="inlineStr">
        <is>
          <t>PRX-04</t>
        </is>
      </c>
      <c r="B7" s="4" t="inlineStr">
        <is>
          <t>MED</t>
        </is>
      </c>
      <c r="C7" s="4" t="inlineStr">
        <is>
          <t>src/flaky.ts, src/ledger.ts</t>
        </is>
      </c>
      <c r="D7" s="4" t="inlineStr">
        <is>
          <t>One noisy test evicts every real flaky signal: fl:results is ONE FIFO ledger capped at 10,000 entries / 200 KiB and flip-rate is computed over whatever is in it. A normal CI run on a mid-size suite is thousands of results, so the window holds one or two runs — and flip-rate needs history PER TEST. PERF-01 tightened this cap correctly and did not notice the cap is also the analysis window.</t>
        </is>
      </c>
      <c r="E7" s="4" t="inlineStr">
        <is>
          <t>Results stored per run under a bounded 50-run index (settable 5..500); scoring over the last 30 results per test PER BRANCH; branch/env dimension added so a feature-branch failure is not scored as instability on main. Supported CI throughput is now a published figure rather than a byte budget.</t>
        </is>
      </c>
      <c r="F7" s="4" t="inlineStr">
        <is>
          <t>test/performance.test.ts — real.flaky still scored after 12,000 unrelated stable results; test/flaky2.test.ts</t>
        </is>
      </c>
      <c r="G7" s="6" t="inlineStr">
        <is>
          <t>CLOSED in code</t>
        </is>
      </c>
      <c r="H7" s="8" t="inlineStr">
        <is>
          <t>Ratify the retention default (50 runs) — it is the retention policy in practice, and it is settable per site.</t>
        </is>
      </c>
    </row>
    <row r="8">
      <c r="A8" s="4" t="inlineStr">
        <is>
          <t>PRX-05</t>
        </is>
      </c>
      <c r="B8" s="4" t="inlineStr">
        <is>
          <t>MED</t>
        </is>
      </c>
      <c r="C8" s="4" t="inlineStr">
        <is>
          <t>src/forgeGlue.ts, src/forgeStore.ts</t>
        </is>
      </c>
      <c r="D8" s="4" t="inlineStr">
        <is>
          <t>Every invocation loads the entire tenant (restates OBS-TP1, still open): a whoami needing one role key hydrated all 500 keys in the fixture. PERF-04 removed the multiplier, not the linearity — the cost is still linear in tenant data, on the hot path, inside a 25s invocation with 1 MiB of function memory.</t>
        </is>
      </c>
      <c r="E8" s="4" t="inlineStr">
        <is>
          <t>Every resolver call declares the prefixes and keys it may read; a read outside the declared scope THROWS, so a missing declaration fails the suite rather than silently loading everything in production. Blind commutative writes and new-entity inserts need no declaration, which is what keeps the hot paths cheap.</t>
        </is>
      </c>
      <c r="F8" s="4" t="inlineStr">
        <is>
          <t>test/performance.test.ts — whoami loads at most 2 present keys on a 500-key tenant; every call asserted to have a scope</t>
        </is>
      </c>
      <c r="G8" s="6" t="inlineStr">
        <is>
          <t>CLOSED in code — OBS-TP1 closed with it</t>
        </is>
      </c>
      <c r="H8" s="8" t="inlineStr">
        <is>
          <t>The residual cost is now round trips per listing, published honestly in the envelope. That is what PR-04 measures.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outlineLevelCol="0"/>
  <cols>
    <col width="7" customWidth="1" min="1" max="1"/>
    <col width="32" customWidth="1" min="2" max="2"/>
    <col width="74" customWidth="1" min="3" max="3"/>
    <col width="76" customWidth="1" min="4" max="4"/>
    <col width="14" customWidth="1" min="5" max="5"/>
  </cols>
  <sheetData>
    <row r="1">
      <c r="A1" s="1" t="inlineStr">
        <is>
          <t>ARTIFACT CORRECTIONS C-1..C-7 — "do these first, they cost minutes"</t>
        </is>
      </c>
    </row>
    <row r="2">
      <c r="A2" s="2" t="inlineStr">
        <is>
          <t>All seven applied. Where a correction made a status worse, the status was made worse.</t>
        </is>
      </c>
    </row>
    <row r="3">
      <c r="A3" s="3" t="inlineStr">
        <is>
          <t>ID</t>
        </is>
      </c>
      <c r="B3" s="3" t="inlineStr">
        <is>
          <t>Artifact</t>
        </is>
      </c>
      <c r="C3" s="3" t="inlineStr">
        <is>
          <t>Correction required</t>
        </is>
      </c>
      <c r="D3" s="3" t="inlineStr">
        <is>
          <t>Applied</t>
        </is>
      </c>
      <c r="E3" s="3" t="inlineStr">
        <is>
          <t>Status</t>
        </is>
      </c>
    </row>
    <row r="4">
      <c r="A4" s="4" t="inlineStr">
        <is>
          <t>C-1</t>
        </is>
      </c>
      <c r="B4" s="4" t="inlineStr">
        <is>
          <t>tracker v027, LC-6</t>
        </is>
      </c>
      <c r="C4" s="4" t="inlineStr">
        <is>
          <t>"Done-in-code — scope-aware guard" -&gt; OPEN. Scope is logged, not enforced (PRX-03).</t>
        </is>
      </c>
      <c r="D4" s="4" t="inlineStr">
        <is>
          <t>LC-6 is OPEN in this tracker's Gate_Checklist. The code defect is fixed (PR-09) but the row stays Open until the live restricted-project check, because "fixed in code" was exactly the overstatement the review caught.</t>
        </is>
      </c>
      <c r="E4" s="6" t="inlineStr">
        <is>
          <t>APPLIED</t>
        </is>
      </c>
    </row>
    <row r="5">
      <c r="A5" s="4" t="inlineStr">
        <is>
          <t>C-2</t>
        </is>
      </c>
      <c r="B5" s="4" t="inlineStr">
        <is>
          <t>docs/cloud-fortified-gap.md, LC-3</t>
        </is>
      </c>
      <c r="C5" s="4" t="inlineStr">
        <is>
          <t>Programme closed to new submissions 01/09/2026, retired 31/12/2026. The "application at listing+60d" route no longer exists. Retarget to Atlassian Enterprise Certified. LC-3 -&gt; OPEN.</t>
        </is>
      </c>
      <c r="D5" s="4" t="inlineStr">
        <is>
          <t>cloud-fortified-gap.md DELETED; docs/enterprise-certified-gap.md written row by row against AEC, separating MET (code) from MET (doc) from OPEN, with pen test and bug bounty marked as procurement items with lead times. LC-3 -&gt; Open.</t>
        </is>
      </c>
      <c r="E5" s="6" t="inlineStr">
        <is>
          <t>APPLIED</t>
        </is>
      </c>
    </row>
    <row r="6">
      <c r="A6" s="4" t="inlineStr">
        <is>
          <t>C-3</t>
        </is>
      </c>
      <c r="B6" s="4" t="inlineStr">
        <is>
          <t>workbook v034, Financial_Model B9</t>
        </is>
      </c>
      <c r="C6" s="4" t="inlineStr">
        <is>
          <t>Marketplace fee 0.17 -&gt; 0.00 until $1M lifetime Forge revenue (eligible Forge apps keep 100% of gross from 01/01/2026; 84% from 01/04/2026 and 83% from 01/10/2026 only above it). Net MRR understated ~20%; restate breakeven.</t>
        </is>
      </c>
      <c r="D6" s="4" t="inlineStr">
        <is>
          <t>B9 = 0.00 with the tiering note; the model recalculates and breakeven moves earlier. The pricing anchor is re-derived on the corrected economics.</t>
        </is>
      </c>
      <c r="E6" s="6" t="inlineStr">
        <is>
          <t>APPLIED</t>
        </is>
      </c>
    </row>
    <row r="7">
      <c r="A7" s="4" t="inlineStr">
        <is>
          <t>C-4</t>
        </is>
      </c>
      <c r="B7" s="4" t="inlineStr">
        <is>
          <t>RAID R-P2</t>
        </is>
      </c>
      <c r="C7" s="4" t="inlineStr">
        <is>
          <t>"Xray/Zephyr respond with AI features — Open" -&gt; MATERIALISED. Both incumbents ship AI now, plus a crowded field of dedicated generators. Rewrite the ReadMe_Scope differentiation claim with it.</t>
        </is>
      </c>
      <c r="D7" s="4" t="inlineStr">
        <is>
          <t>R-P2 -&gt; Materialised in the RAID; ReadMe_Scope differentiation rewritten around the release-decision wedge rather than AI case generation, which is table stakes.</t>
        </is>
      </c>
      <c r="E7" s="6" t="inlineStr">
        <is>
          <t>APPLIED</t>
        </is>
      </c>
    </row>
    <row r="8">
      <c r="A8" s="4" t="inlineStr">
        <is>
          <t>C-5</t>
        </is>
      </c>
      <c r="B8" s="4" t="inlineStr">
        <is>
          <t>docs/runs-on-atlassian-assessment.md</t>
        </is>
      </c>
      <c r="C8" s="4" t="inlineStr">
        <is>
          <t>Add the revenue-share correction: since 01/01/2026 the 0%-to-$1M incentive applies to ALL qualifying Forge apps, not only Runs on Atlassian. The badge is now a trust signal with no revenue delta — which strengthens Option B.</t>
        </is>
      </c>
      <c r="D8" s="4" t="inlineStr">
        <is>
          <t>Section added; Option B adopted as Decision 2 with the better reason (the enterprise bar is AEC, which wants egress TRANSPARENCY not zero egress, and off-by-default already gives a genuine no-egress runtime, now named on the trust page).</t>
        </is>
      </c>
      <c r="E8" s="6" t="inlineStr">
        <is>
          <t>APPLIED</t>
        </is>
      </c>
    </row>
    <row r="9">
      <c r="A9" s="4" t="inlineStr">
        <is>
          <t>C-6</t>
        </is>
      </c>
      <c r="B9" s="4" t="inlineStr">
        <is>
          <t>Scale_Envelope / performance-envelope.md</t>
        </is>
      </c>
      <c r="C9" s="4" t="inlineStr">
        <is>
          <t>Add PRX-04: the 10k/200 KiB cap on fl:results is not only a storage bound, it is the flaky ANALYSIS WINDOW. Publishing a supported case count without a supported CI-throughput figure is incomplete.</t>
        </is>
      </c>
      <c r="D9" s="4" t="inlineStr">
        <is>
          <t>Envelope re-baselined. Supported CI throughput published: 20,000 results per run, 1 MiB per post, last 50 runs retained per site. The row ceilings are gone and the round-trip costs that replaced them are published too, including the honest slowdown.</t>
        </is>
      </c>
      <c r="E9" s="6" t="inlineStr">
        <is>
          <t>APPLIED</t>
        </is>
      </c>
    </row>
    <row r="10">
      <c r="A10" s="4" t="inlineStr">
        <is>
          <t>C-7</t>
        </is>
      </c>
      <c r="B10" s="4" t="inlineStr">
        <is>
          <t>package.json</t>
        </is>
      </c>
      <c r="C10" s="4" t="inlineStr">
        <is>
          <t>Move express to devDependencies (or drop app.ts from the shipped tree). A Forge app with a production Express dependency and a header-trusting role guard is an avoidable flag under AEC 1.7/1.10.</t>
        </is>
      </c>
      <c r="D10" s="4" t="inlineStr">
        <is>
          <t>express -&gt; devDependencies (production dependencies are now empty) AND src/app.ts refuses to start when NODE_ENV=production, so the header-trusting harness cannot be mistaken for the product. Both asserted.</t>
        </is>
      </c>
      <c r="E10" s="6" t="inlineStr">
        <is>
          <t>APPLIED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outlineLevelCol="0"/>
  <cols>
    <col width="9" customWidth="1" min="1" max="1"/>
    <col width="62" customWidth="1" min="2" max="2"/>
    <col width="62" customWidth="1" min="3" max="3"/>
    <col width="16" customWidth="1" min="4" max="4"/>
    <col width="24" customWidth="1" min="5" max="5"/>
    <col width="44" customWidth="1" min="6" max="6"/>
  </cols>
  <sheetData>
    <row r="1">
      <c r="A1" s="1" t="inlineStr">
        <is>
          <t>DECISIONS (tracker scope)</t>
        </is>
      </c>
    </row>
    <row r="2">
      <c r="A2" s="2" t="inlineStr">
        <is>
          <t>Yellow = open and yours. The six review decisions are in the workbook's Review_Decisions sheet; these are the tracker-level ones.</t>
        </is>
      </c>
    </row>
    <row r="3">
      <c r="A3" s="3" t="inlineStr">
        <is>
          <t>ID</t>
        </is>
      </c>
      <c r="B3" s="3" t="inlineStr">
        <is>
          <t>Decision</t>
        </is>
      </c>
      <c r="C3" s="3" t="inlineStr">
        <is>
          <t>Rationale</t>
        </is>
      </c>
      <c r="D3" s="3" t="inlineStr">
        <is>
          <t>Decided by</t>
        </is>
      </c>
      <c r="E3" s="3" t="inlineStr">
        <is>
          <t>Status</t>
        </is>
      </c>
      <c r="F3" s="3" t="inlineStr">
        <is>
          <t>Notes</t>
        </is>
      </c>
    </row>
    <row r="4">
      <c r="A4" s="4" t="inlineStr">
        <is>
          <t>D13</t>
        </is>
      </c>
      <c r="B4" s="4" t="inlineStr">
        <is>
          <t>(Portfolio-wide) Discovery interviews parked; dev proceeds with 100% automation test coverage on all code — supersedes ST-085 &gt;=70% gate.</t>
        </is>
      </c>
      <c r="C4" s="4" t="inlineStr">
        <is>
          <t>Senthil 10 Sep 20:45; applied to TestPulse per 22:58 instruction.</t>
        </is>
      </c>
      <c r="D4" s="4" t="inlineStr">
        <is>
          <t>Senthil</t>
        </is>
      </c>
      <c r="E4" s="4" t="inlineStr">
        <is>
          <t>LOCKED</t>
        </is>
      </c>
      <c r="F4" s="4" t="n"/>
    </row>
    <row r="5">
      <c r="A5" s="4" t="inlineStr">
        <is>
          <t>D15</t>
        </is>
      </c>
      <c r="B5" s="4" t="inlineStr">
        <is>
          <t>TestPulse (P03) build opened 10 Sep 22:58 while RevRescue rank-1 gate (listed + 10 paying) is not met — ninth concurrent build. Mode ratification: (a) parallel builds or (b) WIN-order swap.</t>
        </is>
      </c>
      <c r="C5" s="4" t="inlineStr">
        <is>
          <t>Uploaded workbook set + continue-sprint instruction indicate TestPulse intent; serial rule formally intact until ratified.</t>
        </is>
      </c>
      <c r="D5" s="4" t="inlineStr">
        <is>
          <t>Senthil (mode ratification pending)</t>
        </is>
      </c>
      <c r="E5" s="7" t="inlineStr">
        <is>
          <t>OPEN — pick (a) or (b)</t>
        </is>
      </c>
      <c r="F5" s="4" t="n"/>
    </row>
    <row r="6">
      <c r="A6" s="4" t="inlineStr">
        <is>
          <t>D17</t>
        </is>
      </c>
      <c r="B6" s="4" t="inlineStr">
        <is>
          <t>TestPulse stack = TypeScript/Node platform-agnostic core with Forge adapter seams: Store interface (in-memory now, Forge hosted storage at deploy), Billing provider seam (Atlassian billing at listing), AI seam in testgen (rule engine now, LLM provider swappable). Express routes map 1:1 to Forge resolvers.</t>
        </is>
      </c>
      <c r="C6" s="4" t="inlineStr">
        <is>
          <t>v007 ReadMe stack assumption ("platform-mandated runtime"); sandbox has no Forge CLI/Postgres; matches accepted D16 precedent on TeleField.</t>
        </is>
      </c>
      <c r="D6" s="4" t="inlineStr">
        <is>
          <t>Claude — flagged</t>
        </is>
      </c>
      <c r="E6" s="7" t="inlineStr">
        <is>
          <t>OPEN for ratification</t>
        </is>
      </c>
      <c r="F6" s="4" t="n"/>
    </row>
    <row r="7">
      <c r="A7" s="4" t="inlineStr">
        <is>
          <t>D18</t>
        </is>
      </c>
      <c r="B7" s="4" t="inlineStr">
        <is>
          <t>2026-09-11 22:09</t>
        </is>
      </c>
      <c r="C7" s="4" t="inlineStr">
        <is>
          <t>Per-user price point for Atlassian cloud pricing tiers</t>
        </is>
      </c>
      <c r="D7" s="4" t="inlineStr">
        <is>
          <t>OPEN — Senthil</t>
        </is>
      </c>
      <c r="E7" s="4" t="inlineStr">
        <is>
          <t>Flat $99/$299 intent must map to per-user tiers (Atlassian model). Options: ~$4/user/mo flat-equivalent vs re-anchor vs value-based. Blocks B-17 step 2 and final pricing-page copy.</t>
        </is>
      </c>
      <c r="F7" s="4" t="inlineStr">
        <is>
          <t>Claude (surfaced from verified docs)</t>
        </is>
      </c>
    </row>
    <row r="8">
      <c r="A8" s="4" t="inlineStr">
        <is>
          <t>D19</t>
        </is>
      </c>
      <c r="B8" s="8" t="inlineStr">
        <is>
          <t>Storage backend: per-entity KVS now, Forge SQL opt-in later (ADR-001)</t>
        </is>
      </c>
      <c r="C8" s="4" t="inlineStr">
        <is>
          <t>Per-entity KVS lifts the row ceiling, closes PRX-02 for entity writes and needs no major version. Forge SQL adds a real atomic CAS and one indexed query in place of 102 round trips for a large board — but adding the sql module is a MAJOR version and introduces an installed-before-schema window.</t>
        </is>
      </c>
      <c r="D8" s="4" t="inlineStr">
        <is>
          <t>Claude — recorded, re-open named</t>
        </is>
      </c>
      <c r="E8" s="7" t="inlineStr">
        <is>
          <t>OPEN — decide at PR-04 with real KVS latency</t>
        </is>
      </c>
      <c r="F8" s="4" t="inlineStr">
        <is>
          <t>The adapter and its migration are already built and tested, so the decision is a manifest change, not a project.</t>
        </is>
      </c>
    </row>
    <row r="9">
      <c r="A9" s="4" t="inlineStr">
        <is>
          <t>D-TP-WB</t>
        </is>
      </c>
      <c r="B9" s="8" t="inlineStr">
        <is>
          <t>Jira write-back (write:jira-work) as a funded feature</t>
        </is>
      </c>
      <c r="C9" s="4" t="inlineStr">
        <is>
          <t>PR-08 traceability can link cases to issues inside TestPulse, but CREATING issue links or defect issues in Jira needs the scope TPR-003 removed because nothing used it. The review was explicit: re-add it as a FEATURE with a justified call path, never as a silent permission.</t>
        </is>
      </c>
      <c r="D9" s="4" t="inlineStr">
        <is>
          <t>Senthil</t>
        </is>
      </c>
      <c r="E9" s="7" t="inlineStr">
        <is>
          <t>OPEN — not re-added</t>
        </is>
      </c>
      <c r="F9" s="4" t="inlineStr">
        <is>
          <t>Nothing in the code pretends otherwise: there is no unreachable write path, and the claims gate refuses the scope in the manifest.</t>
        </is>
      </c>
    </row>
    <row r="10">
      <c r="A10" s="4" t="inlineStr">
        <is>
          <t>D20</t>
        </is>
      </c>
      <c r="B10" s="8" t="inlineStr">
        <is>
          <t>Flaky retention default: last 50 CI runs per site</t>
        </is>
      </c>
      <c r="C10" s="4" t="inlineStr">
        <is>
          <t>It is the retention policy in practice, the same way the old FIFO caps were. Settable 5..500 per site.</t>
        </is>
      </c>
      <c r="D10" s="4" t="inlineStr">
        <is>
          <t>Claude — surfaced</t>
        </is>
      </c>
      <c r="E10" s="7" t="inlineStr">
        <is>
          <t>OPEN — ratify</t>
        </is>
      </c>
      <c r="F10" s="4" t="inlineStr">
        <is>
          <t>Published in the envelope as supported CI throughput.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4"/>
  <sheetViews>
    <sheetView workbookViewId="0">
      <pane ySplit="3" topLeftCell="A4" activePane="bottomLeft" state="frozen"/>
      <selection pane="bottomLeft" activeCell="A1" sqref="A1"/>
    </sheetView>
  </sheetViews>
  <sheetFormatPr baseColWidth="8" defaultRowHeight="15" outlineLevelCol="0"/>
  <cols>
    <col width="8" customWidth="1" min="1" max="1"/>
    <col width="62" customWidth="1" min="2" max="2"/>
    <col width="22" customWidth="1" min="3" max="3"/>
    <col width="7" customWidth="1" min="4" max="4"/>
    <col width="16" customWidth="1" min="5" max="5"/>
    <col width="20" customWidth="1" min="6" max="6"/>
    <col width="86" customWidth="1" min="7" max="7"/>
  </cols>
  <sheetData>
    <row r="1">
      <c r="A1" s="1" t="inlineStr">
        <is>
          <t>S1–S12 BUILD BOARD — executed code scope, plus the PR-series build items added 20/09</t>
        </is>
      </c>
    </row>
    <row r="2">
      <c r="A2" s="2" t="inlineStr">
        <is>
          <t>Backlog stories per Traceability_Matrix. Edit Status/Notes as live evidence lands.</t>
        </is>
      </c>
    </row>
    <row r="3">
      <c r="A3" s="3" t="inlineStr">
        <is>
          <t>ID</t>
        </is>
      </c>
      <c r="B3" s="3" t="inlineStr">
        <is>
          <t>Item</t>
        </is>
      </c>
      <c r="C3" s="3" t="inlineStr">
        <is>
          <t>Story ref</t>
        </is>
      </c>
      <c r="D3" s="3" t="inlineStr">
        <is>
          <t>Points</t>
        </is>
      </c>
      <c r="E3" s="3" t="inlineStr">
        <is>
          <t>Owner</t>
        </is>
      </c>
      <c r="F3" s="3" t="inlineStr">
        <is>
          <t>Status</t>
        </is>
      </c>
      <c r="G3" s="3" t="inlineStr">
        <is>
          <t>Notes / Evidence</t>
        </is>
      </c>
    </row>
    <row r="4">
      <c r="A4" s="4" t="inlineStr">
        <is>
          <t>B-01</t>
        </is>
      </c>
      <c r="B4" s="4" t="inlineStr">
        <is>
          <t>Repo scaffold + CI with 100% coverage gate (D13)</t>
        </is>
      </c>
      <c r="C4" s="4" t="inlineStr">
        <is>
          <t>—</t>
        </is>
      </c>
      <c r="D4" s="4" t="n">
        <v>2</v>
      </c>
      <c r="E4" s="4" t="inlineStr">
        <is>
          <t>Claude</t>
        </is>
      </c>
      <c r="F4" s="6" t="inlineStr">
        <is>
          <t>Done</t>
        </is>
      </c>
      <c r="G4" s="4" t="inlineStr">
        <is>
          <t>jest coverageThreshold 100x4; .github/workflows/ci.yml runs build+coverage+E2E. E010.</t>
        </is>
      </c>
    </row>
    <row r="5">
      <c r="A5" s="4" t="inlineStr">
        <is>
          <t>B-02</t>
        </is>
      </c>
      <c r="B5" s="4" t="inlineStr">
        <is>
          <t>Config: site/app/secret validation, residency, trial days</t>
        </is>
      </c>
      <c r="C5" s="4" t="inlineStr">
        <is>
          <t>—</t>
        </is>
      </c>
      <c r="D5" s="4" t="n">
        <v>1</v>
      </c>
      <c r="E5" s="4" t="inlineStr">
        <is>
          <t>Claude</t>
        </is>
      </c>
      <c r="F5" s="6" t="inlineStr">
        <is>
          <t>Done</t>
        </is>
      </c>
      <c r="G5" s="4" t="inlineStr">
        <is>
          <t>src/config.ts — 5 tests incl. bad residency + bad trial days.</t>
        </is>
      </c>
    </row>
    <row r="6">
      <c r="A6" s="4" t="inlineStr">
        <is>
          <t>B-03</t>
        </is>
      </c>
      <c r="B6" s="4" t="inlineStr">
        <is>
          <t>Typed Store repository (Forge hosted-storage adapter point)</t>
        </is>
      </c>
      <c r="C6" s="4" t="inlineStr">
        <is>
          <t>—</t>
        </is>
      </c>
      <c r="D6" s="4" t="n">
        <v>2</v>
      </c>
      <c r="E6" s="4" t="inlineStr">
        <is>
          <t>Claude</t>
        </is>
      </c>
      <c r="F6" s="6" t="inlineStr">
        <is>
          <t>Done</t>
        </is>
      </c>
      <c r="G6" s="4" t="inlineStr">
        <is>
          <t>src/store.ts — D17 constraint logged as R-P4.</t>
        </is>
      </c>
    </row>
    <row r="7">
      <c r="A7" s="4" t="inlineStr">
        <is>
          <t>B-04</t>
        </is>
      </c>
      <c r="B7" s="4" t="inlineStr">
        <is>
          <t>Install -&gt; welcome; uninstall wipe + 30d deletion + sweep; re-install restore; rotation</t>
        </is>
      </c>
      <c r="C7" s="4" t="inlineStr">
        <is>
          <t>ST-051/052/053/055</t>
        </is>
      </c>
      <c r="D7" s="4" t="n">
        <v>5</v>
      </c>
      <c r="E7" s="4" t="inlineStr">
        <is>
          <t>Claude</t>
        </is>
      </c>
      <c r="F7" s="6" t="inlineStr">
        <is>
          <t>Done</t>
        </is>
      </c>
      <c r="G7" s="4" t="inlineStr">
        <is>
          <t>src/lifecycle.ts — 8 tests incl. retention-window and legacy-row edge cases.</t>
        </is>
      </c>
    </row>
    <row r="8">
      <c r="A8" s="4" t="inlineStr">
        <is>
          <t>B-05</t>
        </is>
      </c>
      <c r="B8" s="4" t="inlineStr">
        <is>
          <t>Install telemetry source attribution</t>
        </is>
      </c>
      <c r="C8" s="4" t="inlineStr">
        <is>
          <t>ST-056</t>
        </is>
      </c>
      <c r="D8" s="4" t="n">
        <v>2</v>
      </c>
      <c r="E8" s="4" t="inlineStr">
        <is>
          <t>Claude</t>
        </is>
      </c>
      <c r="F8" s="6" t="inlineStr">
        <is>
          <t>Done</t>
        </is>
      </c>
      <c r="G8" s="4" t="inlineStr">
        <is>
          <t>listing/search/referral, unknown-&gt;direct; preserved across re-install.</t>
        </is>
      </c>
    </row>
    <row r="9">
      <c r="A9" s="4" t="inlineStr">
        <is>
          <t>B-06</t>
        </is>
      </c>
      <c r="B9" s="4" t="inlineStr">
        <is>
          <t>Permission matrix + audit log on every route</t>
        </is>
      </c>
      <c r="C9" s="4" t="inlineStr">
        <is>
          <t>ST-054/007/017/027/037/047/067</t>
        </is>
      </c>
      <c r="D9" s="4" t="n">
        <v>5</v>
      </c>
      <c r="E9" s="4" t="inlineStr">
        <is>
          <t>Claude</t>
        </is>
      </c>
      <c r="F9" s="6" t="inlineStr">
        <is>
          <t>Done</t>
        </is>
      </c>
      <c r="G9" s="4" t="inlineStr">
        <is>
          <t>src/permissions.ts + guard() in app.ts; member-403 and bad-role-400 asserted in E2E.</t>
        </is>
      </c>
    </row>
    <row r="10">
      <c r="A10" s="4" t="inlineStr">
        <is>
          <t>B-07</t>
        </is>
      </c>
      <c r="B10" s="4" t="inlineStr">
        <is>
          <t>F1 AI case-gen engine behind AI seam</t>
        </is>
      </c>
      <c r="C10" s="4" t="inlineStr">
        <is>
          <t>ST-001..010</t>
        </is>
      </c>
      <c r="D10" s="4" t="n">
        <v>42</v>
      </c>
      <c r="E10" s="4" t="inlineStr">
        <is>
          <t>Claude</t>
        </is>
      </c>
      <c r="F10" s="6" t="inlineStr">
        <is>
          <t>Done</t>
        </is>
      </c>
      <c r="G10" s="4" t="inlineStr">
        <is>
          <t>src/testgen.ts — 10 tests; LLM provider swap point isolated in generateFromStory.</t>
        </is>
      </c>
    </row>
    <row r="11">
      <c r="A11" s="4" t="inlineStr">
        <is>
          <t>B-08</t>
        </is>
      </c>
      <c r="B11" s="4" t="inlineStr">
        <is>
          <t>F2 run boards + metrics + CSV import</t>
        </is>
      </c>
      <c r="C11" s="4" t="inlineStr">
        <is>
          <t>ST-011..020</t>
        </is>
      </c>
      <c r="D11" s="4" t="n">
        <v>42</v>
      </c>
      <c r="E11" s="4" t="inlineStr">
        <is>
          <t>Claude</t>
        </is>
      </c>
      <c r="F11" s="6" t="inlineStr">
        <is>
          <t>Done</t>
        </is>
      </c>
      <c r="G11" s="4" t="inlineStr">
        <is>
          <t>src/runboards.ts — 6 tests + E2E board flow.</t>
        </is>
      </c>
    </row>
    <row r="12">
      <c r="A12" s="4" t="inlineStr">
        <is>
          <t>B-09</t>
        </is>
      </c>
      <c r="B12" s="4" t="inlineStr">
        <is>
          <t>F3 flaky detector: webhook intake -&gt; flip-rate -&gt; quarantine</t>
        </is>
      </c>
      <c r="C12" s="4" t="inlineStr">
        <is>
          <t>ST-021..030</t>
        </is>
      </c>
      <c r="D12" s="4" t="n">
        <v>50</v>
      </c>
      <c r="E12" s="4" t="inlineStr">
        <is>
          <t>Claude</t>
        </is>
      </c>
      <c r="F12" s="6" t="inlineStr">
        <is>
          <t>Done</t>
        </is>
      </c>
      <c r="G12" s="4" t="inlineStr">
        <is>
          <t>src/flaky.ts + src/webhooks.ts — HMAC/replay/dedupe; E2E tampered-signature 401.</t>
        </is>
      </c>
    </row>
    <row r="13">
      <c r="A13" s="4" t="inlineStr">
        <is>
          <t>B-10</t>
        </is>
      </c>
      <c r="B13" s="4" t="inlineStr">
        <is>
          <t>F4 readiness score, validated weights</t>
        </is>
      </c>
      <c r="C13" s="4" t="inlineStr">
        <is>
          <t>ST-031..040</t>
        </is>
      </c>
      <c r="D13" s="4" t="n">
        <v>42</v>
      </c>
      <c r="E13" s="4" t="inlineStr">
        <is>
          <t>Claude</t>
        </is>
      </c>
      <c r="F13" s="6" t="inlineStr">
        <is>
          <t>Done</t>
        </is>
      </c>
      <c r="G13" s="4" t="inlineStr">
        <is>
          <t>src/readiness.ts — 5 tests; verdict bands ready/at-risk/not-ready.</t>
        </is>
      </c>
    </row>
    <row r="14">
      <c r="A14" s="4" t="inlineStr">
        <is>
          <t>B-11</t>
        </is>
      </c>
      <c r="B14" s="4" t="inlineStr">
        <is>
          <t>F5 Xray importer</t>
        </is>
      </c>
      <c r="C14" s="4" t="inlineStr">
        <is>
          <t>ST-041..050</t>
        </is>
      </c>
      <c r="D14" s="4" t="n">
        <v>42</v>
      </c>
      <c r="E14" s="4" t="inlineStr">
        <is>
          <t>Claude</t>
        </is>
      </c>
      <c r="F14" s="6" t="inlineStr">
        <is>
          <t>Done</t>
        </is>
      </c>
      <c r="G14" s="4" t="inlineStr">
        <is>
          <t>src/xrayImport.ts — parse+map into TestGen; E2E import 201.</t>
        </is>
      </c>
    </row>
    <row r="15">
      <c r="A15" s="4" t="inlineStr">
        <is>
          <t>B-12</t>
        </is>
      </c>
      <c r="B15" s="4" t="inlineStr">
        <is>
          <t>E5 billing: trial/proration/dunning/limits/GST/cancel</t>
        </is>
      </c>
      <c r="C15" s="4" t="inlineStr">
        <is>
          <t>ST-057..063</t>
        </is>
      </c>
      <c r="D15" s="4" t="n">
        <v>27</v>
      </c>
      <c r="E15" s="4" t="inlineStr">
        <is>
          <t>Claude</t>
        </is>
      </c>
      <c r="F15" s="6" t="inlineStr">
        <is>
          <t>Done</t>
        </is>
      </c>
      <c r="G15" s="4" t="inlineStr">
        <is>
          <t>src/billing.ts — 10 tests; proration case verified $100.</t>
        </is>
      </c>
    </row>
    <row r="16">
      <c r="A16" s="4" t="inlineStr">
        <is>
          <t>B-13</t>
        </is>
      </c>
      <c r="B16" s="4" t="inlineStr">
        <is>
          <t>E6 compliance: scope map, data-flow doc, export/delete, backoff+breaker</t>
        </is>
      </c>
      <c r="C16" s="4" t="inlineStr">
        <is>
          <t>ST-064/065/069/070</t>
        </is>
      </c>
      <c r="D16" s="4" t="n">
        <v>16</v>
      </c>
      <c r="E16" s="4" t="inlineStr">
        <is>
          <t>Claude</t>
        </is>
      </c>
      <c r="F16" s="6" t="inlineStr">
        <is>
          <t>Done</t>
        </is>
      </c>
      <c r="G16" s="4" t="inlineStr">
        <is>
          <t>src/compliance.ts + src/jiraClient.ts — 12 tests.</t>
        </is>
      </c>
    </row>
    <row r="17">
      <c r="A17" s="4" t="inlineStr">
        <is>
          <t>B-14</t>
        </is>
      </c>
      <c r="B17" s="4" t="inlineStr">
        <is>
          <t>E7 analytics: funnel, errors+alerts, heatmap, health, CSV</t>
        </is>
      </c>
      <c r="C17" s="4" t="inlineStr">
        <is>
          <t>ST-071..077</t>
        </is>
      </c>
      <c r="D17" s="4" t="n">
        <v>24</v>
      </c>
      <c r="E17" s="4" t="inlineStr">
        <is>
          <t>Claude</t>
        </is>
      </c>
      <c r="F17" s="6" t="inlineStr">
        <is>
          <t>Done</t>
        </is>
      </c>
      <c r="G17" s="4" t="inlineStr">
        <is>
          <t>src/telemetry.ts — 7 tests.</t>
        </is>
      </c>
    </row>
    <row r="18">
      <c r="A18" s="4" t="inlineStr">
        <is>
          <t>B-15</t>
        </is>
      </c>
      <c r="B18" s="4" t="inlineStr">
        <is>
          <t>E2E smoke suite gating every deploy</t>
        </is>
      </c>
      <c r="C18" s="4" t="inlineStr">
        <is>
          <t>ST-086</t>
        </is>
      </c>
      <c r="D18" s="4" t="n">
        <v>5</v>
      </c>
      <c r="E18" s="4" t="inlineStr">
        <is>
          <t>Claude</t>
        </is>
      </c>
      <c r="F18" s="6" t="inlineStr">
        <is>
          <t>Done</t>
        </is>
      </c>
      <c r="G18" s="4" t="inlineStr">
        <is>
          <t>test/e2e.smoke.test.ts — 20 tests, full MVP loop; in CI.</t>
        </is>
      </c>
    </row>
    <row r="19">
      <c r="A19" s="4" t="inlineStr">
        <is>
          <t>B-16</t>
        </is>
      </c>
      <c r="B19" s="4" t="inlineStr">
        <is>
          <t>Install cleanly in REAL Jira Cloud dev site via Forge (Launch #1)</t>
        </is>
      </c>
      <c r="C19" s="4" t="inlineStr">
        <is>
          <t>ST-005-class live</t>
        </is>
      </c>
      <c r="D19" s="4" t="n">
        <v>3</v>
      </c>
      <c r="E19" s="4" t="inlineStr">
        <is>
          <t>Senthil + Claude</t>
        </is>
      </c>
      <c r="F19" s="4" t="inlineStr">
        <is>
          <t>To do</t>
        </is>
      </c>
      <c r="G19" s="4" t="inlineStr">
        <is>
          <t>Needs Atlassian vendor account + Forge CLI deploy; evidence: install screenshot + site id + telemetry row. Flips ST-005/015/025/035/045.</t>
        </is>
      </c>
    </row>
    <row r="20">
      <c r="A20" s="4" t="inlineStr">
        <is>
          <t>B-17</t>
        </is>
      </c>
      <c r="B20" s="4" t="inlineStr">
        <is>
          <t>Atlassian Marketplace billing wiring + test purchase (Launch #8)</t>
        </is>
      </c>
      <c r="C20" s="4" t="inlineStr">
        <is>
          <t>ST-059 live</t>
        </is>
      </c>
      <c r="D20" s="4" t="n">
        <v>3</v>
      </c>
      <c r="E20" s="4" t="inlineStr">
        <is>
          <t>Senthil + Claude</t>
        </is>
      </c>
      <c r="F20" s="4" t="inlineStr">
        <is>
          <t>To do</t>
        </is>
      </c>
      <c r="G20" s="4" t="inlineStr">
        <is>
          <t>Behind Billing seam; flips ST-059.</t>
        </is>
      </c>
    </row>
    <row r="21">
      <c r="A21" s="4" t="inlineStr">
        <is>
          <t>B-18</t>
        </is>
      </c>
      <c r="B21" s="4" t="inlineStr">
        <is>
          <t>Vault/KMS + TLS enforcement at deploy</t>
        </is>
      </c>
      <c r="C21" s="4" t="inlineStr">
        <is>
          <t>ST-066 live</t>
        </is>
      </c>
      <c r="D21" s="4" t="n">
        <v>2</v>
      </c>
      <c r="E21" s="4" t="inlineStr">
        <is>
          <t>Senthil + Claude</t>
        </is>
      </c>
      <c r="F21" s="4" t="inlineStr">
        <is>
          <t>To do</t>
        </is>
      </c>
      <c r="G21" s="4" t="inlineStr">
        <is>
          <t>verifyEncryptionPosture asserts KMS/TLS config; flips ST-066. Unchanged 20/09.</t>
        </is>
      </c>
    </row>
    <row r="22">
      <c r="A22" s="4" t="inlineStr">
        <is>
          <t>B-19</t>
        </is>
      </c>
      <c r="B22" s="4" t="inlineStr">
        <is>
          <t>E8 onboarding: checklist/empty states/review-ask/demo mode</t>
        </is>
      </c>
      <c r="C22" s="4" t="inlineStr">
        <is>
          <t>ST-078/079/082/083</t>
        </is>
      </c>
      <c r="D22" s="4" t="n">
        <v>16</v>
      </c>
      <c r="E22" s="4" t="inlineStr">
        <is>
          <t>Claude</t>
        </is>
      </c>
      <c r="F22" s="6" t="inlineStr">
        <is>
          <t>Done</t>
        </is>
      </c>
      <c r="G22" s="4" t="inlineStr">
        <is>
          <t>src/onboarding.ts — 6 tests; aha anchor drives review-ask.</t>
        </is>
      </c>
    </row>
    <row r="23">
      <c r="A23" s="4" t="inlineStr">
        <is>
          <t>B-20</t>
        </is>
      </c>
      <c r="B23" s="4" t="inlineStr">
        <is>
          <t>Help center 15 articles + search</t>
        </is>
      </c>
      <c r="C23" s="4" t="inlineStr">
        <is>
          <t>ST-080</t>
        </is>
      </c>
      <c r="D23" s="4" t="n">
        <v>5</v>
      </c>
      <c r="E23" s="4" t="inlineStr">
        <is>
          <t>Claude</t>
        </is>
      </c>
      <c r="F23" s="6" t="inlineStr">
        <is>
          <t>Done</t>
        </is>
      </c>
      <c r="G23" s="4" t="inlineStr">
        <is>
          <t>src/helpcenter.ts — 3 tests.</t>
        </is>
      </c>
    </row>
    <row r="24">
      <c r="A24" s="4" t="inlineStr">
        <is>
          <t>B-21</t>
        </is>
      </c>
      <c r="B24" s="4" t="inlineStr">
        <is>
          <t>Support intake + 4-hr SLA tracking</t>
        </is>
      </c>
      <c r="C24" s="4" t="inlineStr">
        <is>
          <t>ST-081</t>
        </is>
      </c>
      <c r="D24" s="4" t="n">
        <v>3</v>
      </c>
      <c r="E24" s="4" t="inlineStr">
        <is>
          <t>Claude</t>
        </is>
      </c>
      <c r="F24" s="6" t="inlineStr">
        <is>
          <t>Done</t>
        </is>
      </c>
      <c r="G24" s="4" t="inlineStr">
        <is>
          <t>src/support.ts — 4 tests; live response ops = launch.</t>
        </is>
      </c>
    </row>
    <row r="25">
      <c r="A25" s="4" t="inlineStr">
        <is>
          <t>B-22</t>
        </is>
      </c>
      <c r="B25" s="4" t="inlineStr">
        <is>
          <t>EQ resilience: p95 budgets, load test, backup drill, chaos, status page</t>
        </is>
      </c>
      <c r="C25" s="4" t="inlineStr">
        <is>
          <t>ST-084/087/088/090/091</t>
        </is>
      </c>
      <c r="D25" s="4" t="n">
        <v>16</v>
      </c>
      <c r="E25" s="4" t="inlineStr">
        <is>
          <t>Claude</t>
        </is>
      </c>
      <c r="F25" s="6" t="inlineStr">
        <is>
          <t>Done</t>
        </is>
      </c>
      <c r="G25" s="4" t="inlineStr">
        <is>
          <t>src/ops.ts + loadtest.js — 5,238 rps 0 errors; drill ok:true.</t>
        </is>
      </c>
    </row>
    <row r="26">
      <c r="A26" s="4" t="inlineStr">
        <is>
          <t>B-23</t>
        </is>
      </c>
      <c r="B26" s="4" t="inlineStr">
        <is>
          <t>AnthropicProvider behind AI seam (R-P6)</t>
        </is>
      </c>
      <c r="C26" s="4" t="inlineStr">
        <is>
          <t>AI seam</t>
        </is>
      </c>
      <c r="D26" s="4" t="n">
        <v>3</v>
      </c>
      <c r="E26" s="4" t="inlineStr">
        <is>
          <t>Claude</t>
        </is>
      </c>
      <c r="F26" s="6" t="inlineStr">
        <is>
          <t>Done</t>
        </is>
      </c>
      <c r="G26" s="4" t="inlineStr">
        <is>
          <t>src/aiProvider.ts — 8 tests; key at deploy; rule fallback intact.</t>
        </is>
      </c>
    </row>
    <row r="27">
      <c r="A27" s="4" t="inlineStr">
        <is>
          <t>B-24</t>
        </is>
      </c>
      <c r="B27" s="4" t="inlineStr">
        <is>
          <t>Launch collateral: copy A/B, pricing, trust, runbook, dry-run, specs</t>
        </is>
      </c>
      <c r="C27" s="4" t="inlineStr">
        <is>
          <t>ST-093..098</t>
        </is>
      </c>
      <c r="D27" s="4" t="n">
        <v>18</v>
      </c>
      <c r="E27" s="4" t="inlineStr">
        <is>
          <t>Claude</t>
        </is>
      </c>
      <c r="F27" s="6" t="inlineStr">
        <is>
          <t>Done</t>
        </is>
      </c>
      <c r="G27" s="4" t="inlineStr">
        <is>
          <t>docs/ 8 files; Senthil review of copy + second-reviewer sign-off pending.</t>
        </is>
      </c>
    </row>
    <row r="28">
      <c r="A28" s="4" t="inlineStr">
        <is>
          <t>B-25</t>
        </is>
      </c>
      <c r="B28" s="4" t="inlineStr">
        <is>
          <t>Listing assets capture (5 shots + video) after live install</t>
        </is>
      </c>
      <c r="C28" s="4" t="inlineStr">
        <is>
          <t>ST-094/083-video</t>
        </is>
      </c>
      <c r="D28" s="4" t="n">
        <v>5</v>
      </c>
      <c r="E28" s="4" t="inlineStr">
        <is>
          <t>Senthil + Claude</t>
        </is>
      </c>
      <c r="F28" s="4" t="inlineStr">
        <is>
          <t>To do</t>
        </is>
      </c>
      <c r="G28" s="4" t="inlineStr">
        <is>
          <t>Spec ready (docs/screenshot-spec.md); needs LC-1.</t>
        </is>
      </c>
    </row>
    <row r="29">
      <c r="A29" s="4" t="inlineStr">
        <is>
          <t>B-26</t>
        </is>
      </c>
      <c r="B29" s="4" t="inlineStr">
        <is>
          <t>External pen-test / platform evidence</t>
        </is>
      </c>
      <c r="C29" s="4" t="inlineStr">
        <is>
          <t>ST-068</t>
        </is>
      </c>
      <c r="D29" s="4" t="n">
        <v>8</v>
      </c>
      <c r="E29" s="4" t="inlineStr">
        <is>
          <t>Senthil</t>
        </is>
      </c>
      <c r="F29" s="4" t="inlineStr">
        <is>
          <t>To do</t>
        </is>
      </c>
      <c r="G29" s="4" t="inlineStr">
        <is>
          <t>Internal pack shipped (docs/security-assessment.md).</t>
        </is>
      </c>
    </row>
    <row r="30">
      <c r="A30" s="4" t="inlineStr">
        <is>
          <t>B-27</t>
        </is>
      </c>
      <c r="B30" s="4" t="inlineStr">
        <is>
          <t>ForgeStore hosted-storage adapter (hydrate/flush write-through)</t>
        </is>
      </c>
      <c r="C30" s="4" t="inlineStr">
        <is>
          <t>R-P4 / D17</t>
        </is>
      </c>
      <c r="D30" s="4" t="n">
        <v>3</v>
      </c>
      <c r="E30" s="4" t="inlineStr">
        <is>
          <t>Claude</t>
        </is>
      </c>
      <c r="F30" s="6" t="inlineStr">
        <is>
          <t>Done</t>
        </is>
      </c>
      <c r="G30" s="4" t="inlineStr">
        <is>
          <t>src/forgeStore.ts — 3 suites; unhydrated use refused; delete-only-if-existed.</t>
        </is>
      </c>
    </row>
    <row r="31">
      <c r="A31" s="4" t="inlineStr">
        <is>
          <t>B-28</t>
        </is>
      </c>
      <c r="B31" s="4" t="inlineStr">
        <is>
          <t>Forge manifest + 30-min deploy guide</t>
        </is>
      </c>
      <c r="C31" s="4" t="inlineStr">
        <is>
          <t>B-16 enabler</t>
        </is>
      </c>
      <c r="D31" s="4" t="n">
        <v>2</v>
      </c>
      <c r="E31" s="4" t="inlineStr">
        <is>
          <t>Claude</t>
        </is>
      </c>
      <c r="F31" s="6" t="inlineStr">
        <is>
          <t>Done</t>
        </is>
      </c>
      <c r="G31" s="4" t="inlineStr">
        <is>
          <t>forge/manifest.yml + docs/forge-deploy-guide.md; Senthil steps marked ►.</t>
        </is>
      </c>
    </row>
    <row r="32">
      <c r="A32" s="4" t="inlineStr">
        <is>
          <t>B-29</t>
        </is>
      </c>
      <c r="B32" s="4" t="inlineStr">
        <is>
          <t>LC-2/3/4 docs: review pack, enterprise-programme gap assessment, residency statement</t>
        </is>
      </c>
      <c r="C32" s="4" t="inlineStr">
        <is>
          <t>LC-2/3/4</t>
        </is>
      </c>
      <c r="D32" s="4" t="n">
        <v>3</v>
      </c>
      <c r="E32" s="4" t="inlineStr">
        <is>
          <t>Claude</t>
        </is>
      </c>
      <c r="F32" s="4" t="inlineStr">
        <is>
          <t>Superseded in part</t>
        </is>
      </c>
      <c r="G32" s="4" t="inlineStr">
        <is>
          <t>docs/review-pack.md and docs/residency-statement.md stand. The Fortified gap assessment does NOT: cloud-fortified-gap.md was DELETED on 20/09 (C-2) because the programme closed to new submissions on 01/09/2026, and docs/enterprise-certified-gap.md replaces it (see B-49). LC-3 is Open.</t>
        </is>
      </c>
    </row>
    <row r="33">
      <c r="A33" s="4" t="inlineStr">
        <is>
          <t>B-30</t>
        </is>
      </c>
      <c r="B33" s="4" t="inlineStr">
        <is>
          <t>S0 PRD rollup with assumption flags</t>
        </is>
      </c>
      <c r="C33" s="4" t="inlineStr">
        <is>
          <t>A-P1</t>
        </is>
      </c>
      <c r="D33" s="4" t="n">
        <v>2</v>
      </c>
      <c r="E33" s="4" t="inlineStr">
        <is>
          <t>Claude</t>
        </is>
      </c>
      <c r="F33" s="6" t="inlineStr">
        <is>
          <t>Done</t>
        </is>
      </c>
      <c r="G33" s="4" t="inlineStr">
        <is>
          <t>docs/prd.md — validate assumptions with first partners (ST-100).</t>
        </is>
      </c>
    </row>
    <row r="34">
      <c r="A34" s="4" t="inlineStr">
        <is>
          <t>B-31</t>
        </is>
      </c>
      <c r="B34" s="4" t="inlineStr">
        <is>
          <t>Forge resolver + webtrigger handlers (guide step 5)</t>
        </is>
      </c>
      <c r="C34" s="4" t="inlineStr">
        <is>
          <t>B-16 enabler</t>
        </is>
      </c>
      <c r="D34" s="4" t="n">
        <v>3</v>
      </c>
      <c r="E34" s="4" t="inlineStr">
        <is>
          <t>Claude</t>
        </is>
      </c>
      <c r="F34" s="6" t="inlineStr">
        <is>
          <t>Done</t>
        </is>
      </c>
      <c r="G34" s="4" t="inlineStr">
        <is>
          <t>src/forgeGlue.ts — 6 suites; cross-invocation persistence proven; forge/index.ts = 4-line template.</t>
        </is>
      </c>
    </row>
    <row r="35">
      <c r="A35" s="4" t="inlineStr">
        <is>
          <t>B-32</t>
        </is>
      </c>
      <c r="B35" s="4" t="inlineStr">
        <is>
          <t>Importer hardening: RFC-4180 + Xray Exporter multi-step + Zephyr Scale</t>
        </is>
      </c>
      <c r="C35" s="4" t="inlineStr">
        <is>
          <t>ST-041..050 / LC-5</t>
        </is>
      </c>
      <c r="D35" s="4" t="n">
        <v>3</v>
      </c>
      <c r="E35" s="4" t="inlineStr">
        <is>
          <t>Claude</t>
        </is>
      </c>
      <c r="F35" s="6" t="inlineStr">
        <is>
          <t>Done</t>
        </is>
      </c>
      <c r="G35" s="4" t="inlineStr">
        <is>
          <t>csvParse/detectFormat/parse; 11 tests incl. ragged rows.</t>
        </is>
      </c>
    </row>
    <row r="36">
      <c r="A36" s="4" t="inlineStr">
        <is>
          <t>B-33</t>
        </is>
      </c>
      <c r="B36" s="4" t="inlineStr">
        <is>
          <t>Custom UI: view-models, renderers, bridge-injected mount, bundle, demo page</t>
        </is>
      </c>
      <c r="C36" s="4" t="inlineStr">
        <is>
          <t>ST-005/015/025/035/045 UI</t>
        </is>
      </c>
      <c r="D36" s="4" t="n">
        <v>8</v>
      </c>
      <c r="E36" s="4" t="inlineStr">
        <is>
          <t>Claude</t>
        </is>
      </c>
      <c r="F36" s="6" t="inlineStr">
        <is>
          <t>Done</t>
        </is>
      </c>
      <c r="G36" s="4" t="inlineStr">
        <is>
          <t>src/ui/* 15 tests; static/build/app.js; demo.html verified headless under jsdom.</t>
        </is>
      </c>
    </row>
    <row r="37">
      <c r="A37" s="4" t="inlineStr">
        <is>
          <t>B-34</t>
        </is>
      </c>
      <c r="B37" s="4" t="inlineStr">
        <is>
          <t>Docs-verification sweep: manifest (runtime/webtrigger/icon), kvsAdapter, asset spec</t>
        </is>
      </c>
      <c r="C37" s="4" t="inlineStr">
        <is>
          <t>R-P5 / B-16 / ST-094</t>
        </is>
      </c>
      <c r="D37" s="4" t="n">
        <v>3</v>
      </c>
      <c r="E37" s="4" t="inlineStr">
        <is>
          <t>Claude</t>
        </is>
      </c>
      <c r="F37" s="6" t="inlineStr">
        <is>
          <t>Done</t>
        </is>
      </c>
      <c r="G37" s="4" t="inlineStr">
        <is>
          <t>4 findings applied; sources: developer.atlassian.com webtrigger/runtime/kvs/marketplace pages, cited in E027-E028.</t>
        </is>
      </c>
    </row>
    <row r="38">
      <c r="A38" s="4" t="inlineStr">
        <is>
          <t>B-35</t>
        </is>
      </c>
      <c r="B38" s="4" t="inlineStr">
        <is>
          <t>Licensing gate (Paid via Atlassian) + manifest flag + glue wiring</t>
        </is>
      </c>
      <c r="C38" s="4" t="inlineStr">
        <is>
          <t>ST-059</t>
        </is>
      </c>
      <c r="D38" s="4" t="n">
        <v>3</v>
      </c>
      <c r="E38" s="4" t="inlineStr">
        <is>
          <t>Claude</t>
        </is>
      </c>
      <c r="F38" s="6" t="inlineStr">
        <is>
          <t>Done</t>
        </is>
      </c>
      <c r="G38" s="4" t="inlineStr">
        <is>
          <t>src/licensing.ts + forgeGlue gate-before-permissions; reads never blocked; 5 tests.</t>
        </is>
      </c>
    </row>
    <row r="39">
      <c r="A39" s="4" t="inlineStr">
        <is>
          <t>B-36</t>
        </is>
      </c>
      <c r="B39" s="4" t="inlineStr">
        <is>
          <t>Billing activation guide + per-user pricing decision surfaced (D18)</t>
        </is>
      </c>
      <c r="C39" s="4" t="inlineStr">
        <is>
          <t>B-17</t>
        </is>
      </c>
      <c r="D39" s="4" t="n">
        <v>2</v>
      </c>
      <c r="E39" s="4" t="inlineStr">
        <is>
          <t>Claude</t>
        </is>
      </c>
      <c r="F39" s="6" t="inlineStr">
        <is>
          <t>Done</t>
        </is>
      </c>
      <c r="G39" s="4" t="inlineStr">
        <is>
          <t>docs/billing-activation.md; pricing-faq flagged pending re-anchor.</t>
        </is>
      </c>
    </row>
    <row r="40">
      <c r="A40" s="4" t="inlineStr">
        <is>
          <t>B-37</t>
        </is>
      </c>
      <c r="B40" s="4" t="inlineStr">
        <is>
          <t>Design-partner kit: outreach, A1-A4 interview guide, demo script</t>
        </is>
      </c>
      <c r="C40" s="4" t="inlineStr">
        <is>
          <t>ST-100</t>
        </is>
      </c>
      <c r="D40" s="4" t="n">
        <v>2</v>
      </c>
      <c r="E40" s="4" t="inlineStr">
        <is>
          <t>Claude</t>
        </is>
      </c>
      <c r="F40" s="6" t="inlineStr">
        <is>
          <t>Done</t>
        </is>
      </c>
      <c r="G40" s="4" t="inlineStr">
        <is>
          <t>docs/design-partner-kit.md; execution = Senthil.</t>
        </is>
      </c>
    </row>
    <row r="41">
      <c r="A41" s="5" t="inlineStr">
        <is>
          <t>B-38</t>
        </is>
      </c>
      <c r="B41" s="4" t="inlineStr">
        <is>
          <t>Write integrity: versioned values, compare-and-set, commutative merges, per-entity keys</t>
        </is>
      </c>
      <c r="C41" s="4" t="inlineStr">
        <is>
          <t>PRX-02 / PR-01</t>
        </is>
      </c>
      <c r="D41" s="4" t="n">
        <v>13</v>
      </c>
      <c r="E41" s="4" t="inlineStr">
        <is>
          <t>Claude</t>
        </is>
      </c>
      <c r="F41" s="6" t="inlineStr">
        <is>
          <t>Done</t>
        </is>
      </c>
      <c r="G41" s="4" t="inlineStr">
        <is>
          <t>src/store.ts + src/forgeStore.ts rewritten; ConflictError -&gt; 409 at the glue. test/concurrency.test.ts (13 cases incl. 100 interleaved writers).</t>
        </is>
      </c>
    </row>
    <row r="42">
      <c r="A42" s="5" t="inlineStr">
        <is>
          <t>B-39</t>
        </is>
      </c>
      <c r="B42" s="4" t="inlineStr">
        <is>
          <t>G-5 concurrent write safety gate + portable kit update</t>
        </is>
      </c>
      <c r="C42" s="4" t="inlineStr">
        <is>
          <t>L-P8 / PR-01</t>
        </is>
      </c>
      <c r="D42" s="4" t="n">
        <v>5</v>
      </c>
      <c r="E42" s="4" t="inlineStr">
        <is>
          <t>Claude</t>
        </is>
      </c>
      <c r="F42" s="6" t="inlineStr">
        <is>
          <t>Done</t>
        </is>
      </c>
      <c r="G42" s="4" t="inlineStr">
        <is>
          <t>tools/review-gates/concurrent-writes.js; RED on its first run for 8 of 13 keys; 5 gate tests incl. the PRX-02 shape; README section 7 + init scaffold.</t>
        </is>
      </c>
    </row>
    <row r="43">
      <c r="A43" s="5" t="inlineStr">
        <is>
          <t>B-40</t>
        </is>
      </c>
      <c r="B43" s="4" t="inlineStr">
        <is>
          <t>Stable identity on every creation path</t>
        </is>
      </c>
      <c r="C43" s="4" t="inlineStr">
        <is>
          <t>PRX-01 / PR-02</t>
        </is>
      </c>
      <c r="D43" s="4" t="n">
        <v>5</v>
      </c>
      <c r="E43" s="4" t="inlineStr">
        <is>
          <t>Claude</t>
        </is>
      </c>
      <c r="F43" s="6" t="inlineStr">
        <is>
          <t>Done</t>
        </is>
      </c>
      <c r="G43" s="4" t="inlineStr">
        <is>
          <t>src/ids.ts; TestGen owns identity; version + updatedAt + updateCase. test/identity.test.ts.</t>
        </is>
      </c>
    </row>
    <row r="44">
      <c r="A44" s="5" t="inlineStr">
        <is>
          <t>B-41</t>
        </is>
      </c>
      <c r="B44" s="4" t="inlineStr">
        <is>
          <t>Prefix-scoped hydration + per-entity storage for cases, runs, CI results, links</t>
        </is>
      </c>
      <c r="C44" s="4" t="inlineStr">
        <is>
          <t>PRX-05 / PR-03</t>
        </is>
      </c>
      <c r="D44" s="4" t="n">
        <v>13</v>
      </c>
      <c r="E44" s="4" t="inlineStr">
        <is>
          <t>Claude</t>
        </is>
      </c>
      <c r="F44" s="6" t="inlineStr">
        <is>
          <t>Done</t>
        </is>
      </c>
      <c r="G44" s="4" t="inlineStr">
        <is>
          <t>CALL_SCOPE per resolver call; StoreScopeError on an undeclared read; whoami = 2 keys. test/performance.test.ts.</t>
        </is>
      </c>
    </row>
    <row r="45">
      <c r="A45" s="5" t="inlineStr">
        <is>
          <t>B-42</t>
        </is>
      </c>
      <c r="B45" s="4" t="inlineStr">
        <is>
          <t>Forge SQL adapter behind the ForgeKvs seam + ADR-001</t>
        </is>
      </c>
      <c r="C45" s="4" t="inlineStr">
        <is>
          <t>PR-03</t>
        </is>
      </c>
      <c r="D45" s="4" t="n">
        <v>8</v>
      </c>
      <c r="E45" s="4" t="inlineStr">
        <is>
          <t>Claude</t>
        </is>
      </c>
      <c r="F45" s="6" t="inlineStr">
        <is>
          <t>Done</t>
        </is>
      </c>
      <c r="G45" s="4" t="inlineStr">
        <is>
          <t>src/sqlStore.ts with a real atomic CAS; exercised against node:sqlite; manifest snippets commented; TP_STORAGE=sql. test/sqlStore.test.ts.</t>
        </is>
      </c>
    </row>
    <row r="46">
      <c r="A46" s="5" t="inlineStr">
        <is>
          <t>B-43</t>
        </is>
      </c>
      <c r="B46" s="4" t="inlineStr">
        <is>
          <t>Readiness derived from Jira JQL + CI results + run boards, with sourced factors</t>
        </is>
      </c>
      <c r="C46" s="4" t="inlineStr">
        <is>
          <t>PR-05</t>
        </is>
      </c>
      <c r="D46" s="4" t="n">
        <v>13</v>
      </c>
      <c r="E46" s="4" t="inlineStr">
        <is>
          <t>Claude</t>
        </is>
      </c>
      <c r="F46" s="6" t="inlineStr">
        <is>
          <t>Done</t>
        </is>
      </c>
      <c r="G46" s="4" t="inlineStr">
        <is>
          <t>src/readinessLive.ts; ready:settings removed and pinned out by test; panel shows source, explanation, trend, override attribution.</t>
        </is>
      </c>
    </row>
    <row r="47">
      <c r="A47" s="5" t="inlineStr">
        <is>
          <t>B-44</t>
        </is>
      </c>
      <c r="B47" s="4" t="inlineStr">
        <is>
          <t>JUnit / Playwright / Cucumber ingestion with real fixtures, 413 path, idempotency</t>
        </is>
      </c>
      <c r="C47" s="4" t="inlineStr">
        <is>
          <t>PR-06 / EG-06</t>
        </is>
      </c>
      <c r="D47" s="4" t="n">
        <v>8</v>
      </c>
      <c r="E47" s="4" t="inlineStr">
        <is>
          <t>Claude</t>
        </is>
      </c>
      <c r="F47" s="6" t="inlineStr">
        <is>
          <t>Done</t>
        </is>
      </c>
      <c r="G47" s="4" t="inlineStr">
        <is>
          <t>src/ciReports.ts dependency-free; test/fixtures/ci/*; dedupe key pinned by a source-grep test.</t>
        </is>
      </c>
    </row>
    <row r="48">
      <c r="A48" s="5" t="inlineStr">
        <is>
          <t>B-45</t>
        </is>
      </c>
      <c r="B48" s="4" t="inlineStr">
        <is>
          <t>Flaky 2.0: per-test windows, branch/env, clusters, quarantine with owner + expiry</t>
        </is>
      </c>
      <c r="C48" s="4" t="inlineStr">
        <is>
          <t>PR-07 / PRX-04</t>
        </is>
      </c>
      <c r="D48" s="4" t="n">
        <v>8</v>
      </c>
      <c r="E48" s="4" t="inlineStr">
        <is>
          <t>Claude</t>
        </is>
      </c>
      <c r="F48" s="6" t="inlineStr">
        <is>
          <t>Done</t>
        </is>
      </c>
      <c r="G48" s="4" t="inlineStr">
        <is>
          <t>src/flaky.ts rewritten; test/flaky2.test.ts; PRX-04 scenario in the performance guard.</t>
        </is>
      </c>
    </row>
    <row r="49">
      <c r="A49" s="5" t="inlineStr">
        <is>
          <t>B-46</t>
        </is>
      </c>
      <c r="B49" s="4" t="inlineStr">
        <is>
          <t>Traceability graph + coverage by release</t>
        </is>
      </c>
      <c r="C49" s="4" t="inlineStr">
        <is>
          <t>PR-08 / EG-05</t>
        </is>
      </c>
      <c r="D49" s="4" t="n">
        <v>8</v>
      </c>
      <c r="E49" s="4" t="inlineStr">
        <is>
          <t>Claude</t>
        </is>
      </c>
      <c r="F49" s="6" t="inlineStr">
        <is>
          <t>Done</t>
        </is>
      </c>
      <c r="G49" s="4" t="inlineStr">
        <is>
          <t>src/traceability.ts; no Jira write path (asserted); write-back is decision D-TP-WB.</t>
        </is>
      </c>
    </row>
    <row r="50">
      <c r="A50" s="5" t="inlineStr">
        <is>
          <t>B-47</t>
        </is>
      </c>
      <c r="B50" s="4" t="inlineStr">
        <is>
          <t>Project-scoped RBAC enforced against Jira BROWSE_PROJECTS, failing closed</t>
        </is>
      </c>
      <c r="C50" s="4" t="inlineStr">
        <is>
          <t>PR-09 / PRX-03</t>
        </is>
      </c>
      <c r="D50" s="4" t="n">
        <v>8</v>
      </c>
      <c r="E50" s="4" t="inlineStr">
        <is>
          <t>Claude</t>
        </is>
      </c>
      <c r="F50" s="6" t="inlineStr">
        <is>
          <t>Done</t>
        </is>
      </c>
      <c r="G50" s="4" t="inlineStr">
        <is>
          <t>src/permissions.ts + forge/index.ts projectVisibility; test/project-scope.test.ts asserts denials.</t>
        </is>
      </c>
    </row>
    <row r="51">
      <c r="A51" s="5" t="inlineStr">
        <is>
          <t>B-48</t>
        </is>
      </c>
      <c r="B51" s="4" t="inlineStr">
        <is>
          <t>AI v2: BYOK in Secret Storage, injection hardening, cost attribution, monthly ceiling</t>
        </is>
      </c>
      <c r="C51" s="4" t="inlineStr">
        <is>
          <t>PR-10</t>
        </is>
      </c>
      <c r="D51" s="4" t="n">
        <v>8</v>
      </c>
      <c r="E51" s="4" t="inlineStr">
        <is>
          <t>Claude</t>
        </is>
      </c>
      <c r="F51" s="6" t="inlineStr">
        <is>
          <t>Done</t>
        </is>
      </c>
      <c r="G51" s="4" t="inlineStr">
        <is>
          <t>src/aiProvider.ts + aiGovernance.ts; 11 injection fixtures; docs/ai-usage-policy.md.</t>
        </is>
      </c>
    </row>
    <row r="52">
      <c r="A52" s="5" t="inlineStr">
        <is>
          <t>B-49</t>
        </is>
      </c>
      <c r="B52" s="4" t="inlineStr">
        <is>
          <t>Atlassian Enterprise Certified gap assessment; credential storage removed</t>
        </is>
      </c>
      <c r="C52" s="4" t="inlineStr">
        <is>
          <t>PR-11 / AEC</t>
        </is>
      </c>
      <c r="D52" s="4" t="n">
        <v>5</v>
      </c>
      <c r="E52" s="4" t="inlineStr">
        <is>
          <t>Claude</t>
        </is>
      </c>
      <c r="F52" s="6" t="inlineStr">
        <is>
          <t>Done</t>
        </is>
      </c>
      <c r="G52" s="4" t="inlineStr">
        <is>
          <t>docs/enterprise-certified-gap.md replaces the deleted cloud-fortified-gap.md; AEC 1.5 closed in src/lifecycle.ts.</t>
        </is>
      </c>
    </row>
    <row r="53">
      <c r="A53" s="5" t="inlineStr">
        <is>
          <t>B-50</t>
        </is>
      </c>
      <c r="B53" s="4" t="inlineStr">
        <is>
          <t>Envelope re-baselined; round-trip costs and the honest trade published</t>
        </is>
      </c>
      <c r="C53" s="4" t="inlineStr">
        <is>
          <t>PR-03 / PR-12 / C-6</t>
        </is>
      </c>
      <c r="D53" s="4" t="n">
        <v>3</v>
      </c>
      <c r="E53" s="4" t="inlineStr">
        <is>
          <t>Claude</t>
        </is>
      </c>
      <c r="F53" s="6" t="inlineStr">
        <is>
          <t>Done</t>
        </is>
      </c>
      <c r="G53" s="4" t="inlineStr">
        <is>
          <t>scripts/perf-envelope.js updated for the per-entity model; evidence/perf-envelope-20260920-1204.txt; docs/performance-envelope.md.</t>
        </is>
      </c>
    </row>
    <row r="54">
      <c r="A54" s="5" t="inlineStr">
        <is>
          <t>B-51</t>
        </is>
      </c>
      <c r="B54" s="4" t="inlineStr">
        <is>
          <t>Per-user pricing anchor rewritten against the corrected 0% fee</t>
        </is>
      </c>
      <c r="C54" s="4" t="inlineStr">
        <is>
          <t>PR-13 / C-3 / D18</t>
        </is>
      </c>
      <c r="D54" s="4" t="n">
        <v>3</v>
      </c>
      <c r="E54" s="4" t="inlineStr">
        <is>
          <t>Claude</t>
        </is>
      </c>
      <c r="F54" s="6" t="inlineStr">
        <is>
          <t>Done</t>
        </is>
      </c>
      <c r="G54" s="4" t="inlineStr">
        <is>
          <t>docs/pricing-faq.md; partner-console setup and test purchase remain Senthil (B-17).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3"/>
  <sheetViews>
    <sheetView workbookViewId="0">
      <pane ySplit="3" topLeftCell="A4" activePane="bottomLeft" state="frozen"/>
      <selection pane="bottomLeft" activeCell="A1" sqref="A1"/>
    </sheetView>
  </sheetViews>
  <sheetFormatPr baseColWidth="8" defaultRowHeight="15" outlineLevelCol="0"/>
  <cols>
    <col width="10" customWidth="1" min="1" max="1"/>
    <col width="7" customWidth="1" min="2" max="2"/>
    <col width="26" customWidth="1" min="3" max="3"/>
    <col width="70" customWidth="1" min="4" max="4"/>
    <col width="7" customWidth="1" min="5" max="5"/>
    <col width="8" customWidth="1" min="6" max="6"/>
    <col width="9" customWidth="1" min="7" max="7"/>
    <col width="26" customWidth="1" min="8" max="8"/>
    <col width="24" customWidth="1" min="9" max="9"/>
    <col width="24" customWidth="1" min="10" max="10"/>
    <col width="78" customWidth="1" min="11" max="11"/>
  </cols>
  <sheetData>
    <row r="1">
      <c r="A1" s="1" t="inlineStr">
        <is>
          <t>TRACEABILITY MATRIX — 100 original stories + the PR-series stories added 20/09</t>
        </is>
      </c>
    </row>
    <row r="2">
      <c r="A2" s="2" t="inlineStr">
        <is>
          <t>Status: Done = automated-test evidence in repo (D13). Code-complete — pending live = built, pending live platform. Open = not started or needs a person. N/A (platform) = the platform owns it. Nothing was flipped to Done by this release without a pinned regression.</t>
        </is>
      </c>
    </row>
    <row r="3">
      <c r="A3" s="3" t="inlineStr">
        <is>
          <t>Story ID</t>
        </is>
      </c>
      <c r="B3" s="3" t="inlineStr">
        <is>
          <t>Epic</t>
        </is>
      </c>
      <c r="C3" s="3" t="inlineStr">
        <is>
          <t>Module / feature</t>
        </is>
      </c>
      <c r="D3" s="3" t="inlineStr">
        <is>
          <t>Story</t>
        </is>
      </c>
      <c r="E3" s="3" t="inlineStr">
        <is>
          <t>Points</t>
        </is>
      </c>
      <c r="F3" s="3" t="inlineStr">
        <is>
          <t>Priority</t>
        </is>
      </c>
      <c r="G3" s="3" t="inlineStr">
        <is>
          <t>Sprint</t>
        </is>
      </c>
      <c r="H3" s="3" t="inlineStr">
        <is>
          <t>Primary screen</t>
        </is>
      </c>
      <c r="I3" s="3" t="inlineStr">
        <is>
          <t>Verification</t>
        </is>
      </c>
      <c r="J3" s="3" t="inlineStr">
        <is>
          <t>Status</t>
        </is>
      </c>
      <c r="K3" s="3" t="inlineStr">
        <is>
          <t>Evidence</t>
        </is>
      </c>
    </row>
    <row r="4">
      <c r="A4" s="4" t="inlineStr">
        <is>
          <t>ST-001</t>
        </is>
      </c>
      <c r="B4" s="4" t="inlineStr">
        <is>
          <t>F1</t>
        </is>
      </c>
      <c r="C4" s="4" t="inlineStr">
        <is>
          <t>AI test-case generation</t>
        </is>
      </c>
      <c r="D4" s="4" t="inlineStr">
        <is>
          <t>As a QA lead, I can set up AI test-case generation with sensible defaults in one screen</t>
        </is>
      </c>
      <c r="E4" s="4" t="n">
        <v>5</v>
      </c>
      <c r="F4" s="4" t="inlineStr">
        <is>
          <t>P0</t>
        </is>
      </c>
      <c r="G4" s="4" t="inlineStr">
        <is>
          <t>S2</t>
        </is>
      </c>
      <c r="H4" s="4" t="inlineStr">
        <is>
          <t>SCR-3 AI generation workspace</t>
        </is>
      </c>
      <c r="I4" s="4" t="inlineStr">
        <is>
          <t>E2E test + demo</t>
        </is>
      </c>
      <c r="J4" s="6" t="inlineStr">
        <is>
          <t>Done</t>
        </is>
      </c>
      <c r="K4" s="4" t="inlineStr">
        <is>
          <t>src/testgen.ts DEFAULT_RULES + setRules; test/testgen.test.ts</t>
        </is>
      </c>
    </row>
    <row r="5">
      <c r="A5" s="4" t="inlineStr">
        <is>
          <t>ST-002</t>
        </is>
      </c>
      <c r="B5" s="4" t="inlineStr">
        <is>
          <t>F1</t>
        </is>
      </c>
      <c r="C5" s="4" t="inlineStr">
        <is>
          <t>AI test-case generation</t>
        </is>
      </c>
      <c r="D5" s="4" t="inlineStr">
        <is>
          <t>As a QA lead, the AI test-case generation happy path completes without documentation</t>
        </is>
      </c>
      <c r="E5" s="4" t="n">
        <v>8</v>
      </c>
      <c r="F5" s="4" t="inlineStr">
        <is>
          <t>P0</t>
        </is>
      </c>
      <c r="G5" s="4" t="inlineStr">
        <is>
          <t>S2</t>
        </is>
      </c>
      <c r="H5" s="4" t="inlineStr">
        <is>
          <t>SCR-3 AI generation workspace</t>
        </is>
      </c>
      <c r="I5" s="4" t="inlineStr">
        <is>
          <t>E2E test + demo</t>
        </is>
      </c>
      <c r="J5" s="6" t="inlineStr">
        <is>
          <t>Done</t>
        </is>
      </c>
      <c r="K5" s="4" t="inlineStr">
        <is>
          <t>src/testgen.ts generateFromStory; testgen + e2e tests</t>
        </is>
      </c>
    </row>
    <row r="6">
      <c r="A6" s="4" t="inlineStr">
        <is>
          <t>ST-003</t>
        </is>
      </c>
      <c r="B6" s="4" t="inlineStr">
        <is>
          <t>F1</t>
        </is>
      </c>
      <c r="C6" s="4" t="inlineStr">
        <is>
          <t>AI test-case generation</t>
        </is>
      </c>
      <c r="D6" s="4" t="inlineStr">
        <is>
          <t>As a Eng manager, I can customise AI test-case generation rules/conditions for my workflow</t>
        </is>
      </c>
      <c r="E6" s="4" t="n">
        <v>5</v>
      </c>
      <c r="F6" s="4" t="inlineStr">
        <is>
          <t>P1</t>
        </is>
      </c>
      <c r="G6" s="4" t="inlineStr">
        <is>
          <t>S2</t>
        </is>
      </c>
      <c r="H6" s="4" t="inlineStr">
        <is>
          <t>SCR-3 AI generation workspace</t>
        </is>
      </c>
      <c r="I6" s="4" t="inlineStr">
        <is>
          <t>Integration test + manual QA</t>
        </is>
      </c>
      <c r="J6" s="6" t="inlineStr">
        <is>
          <t>Done</t>
        </is>
      </c>
      <c r="K6" s="4" t="inlineStr">
        <is>
          <t>setRules customisation; validation test</t>
        </is>
      </c>
    </row>
    <row r="7">
      <c r="A7" s="4" t="inlineStr">
        <is>
          <t>ST-004</t>
        </is>
      </c>
      <c r="B7" s="4" t="inlineStr">
        <is>
          <t>F1</t>
        </is>
      </c>
      <c r="C7" s="4" t="inlineStr">
        <is>
          <t>AI test-case generation</t>
        </is>
      </c>
      <c r="D7" s="4" t="inlineStr">
        <is>
          <t>As a user, AI test-case generation shows clear errors and retry paths on platform API failures</t>
        </is>
      </c>
      <c r="E7" s="4" t="n">
        <v>3</v>
      </c>
      <c r="F7" s="4" t="inlineStr">
        <is>
          <t>P0</t>
        </is>
      </c>
      <c r="G7" s="4" t="inlineStr">
        <is>
          <t>S2</t>
        </is>
      </c>
      <c r="H7" s="4" t="inlineStr">
        <is>
          <t>SCR-3 AI generation workspace</t>
        </is>
      </c>
      <c r="I7" s="4" t="inlineStr">
        <is>
          <t>E2E test + demo</t>
        </is>
      </c>
      <c r="J7" s="6" t="inlineStr">
        <is>
          <t>Done</t>
        </is>
      </c>
      <c r="K7" s="4" t="inlineStr">
        <is>
          <t>empty-story + bad-CSV clear errors; testgen tests</t>
        </is>
      </c>
    </row>
    <row r="8">
      <c r="A8" s="4" t="inlineStr">
        <is>
          <t>ST-005</t>
        </is>
      </c>
      <c r="B8" s="4" t="inlineStr">
        <is>
          <t>F1</t>
        </is>
      </c>
      <c r="C8" s="4" t="inlineStr">
        <is>
          <t>AI test-case generation</t>
        </is>
      </c>
      <c r="D8" s="4" t="inlineStr">
        <is>
          <t>As a Jira admin, AI test-case generation works on the Forge app panel inside Jira surface end-to-end</t>
        </is>
      </c>
      <c r="E8" s="4" t="n">
        <v>5</v>
      </c>
      <c r="F8" s="4" t="inlineStr">
        <is>
          <t>P0</t>
        </is>
      </c>
      <c r="G8" s="4" t="inlineStr">
        <is>
          <t>S3</t>
        </is>
      </c>
      <c r="H8" s="4" t="inlineStr">
        <is>
          <t>SCR-3 AI generation workspace</t>
        </is>
      </c>
      <c r="I8" s="4" t="inlineStr">
        <is>
          <t>E2E test + demo</t>
        </is>
      </c>
      <c r="J8" s="8" t="inlineStr">
        <is>
          <t>Code-complete — pending live</t>
        </is>
      </c>
      <c r="K8" s="4" t="inlineStr">
        <is>
          <t>Full stack shipped; the panel now also reads its own story prefix only (PR-03) and is project-gated (PR-09). Live Forge render + extension.issue.key verification remain — PR-04.</t>
        </is>
      </c>
    </row>
    <row r="9">
      <c r="A9" s="4" t="inlineStr">
        <is>
          <t>ST-006</t>
        </is>
      </c>
      <c r="B9" s="4" t="inlineStr">
        <is>
          <t>F1</t>
        </is>
      </c>
      <c r="C9" s="4" t="inlineStr">
        <is>
          <t>AI test-case generation</t>
        </is>
      </c>
      <c r="D9" s="4" t="inlineStr">
        <is>
          <t>As a Eng manager, I can see AI test-case generation performance metrics and trends</t>
        </is>
      </c>
      <c r="E9" s="4" t="n">
        <v>3</v>
      </c>
      <c r="F9" s="4" t="inlineStr">
        <is>
          <t>P1</t>
        </is>
      </c>
      <c r="G9" s="4" t="inlineStr">
        <is>
          <t>S3</t>
        </is>
      </c>
      <c r="H9" s="4" t="inlineStr">
        <is>
          <t>SCR-3 AI generation workspace</t>
        </is>
      </c>
      <c r="I9" s="4" t="inlineStr">
        <is>
          <t>Integration test + manual QA</t>
        </is>
      </c>
      <c r="J9" s="6" t="inlineStr">
        <is>
          <t>Done</t>
        </is>
      </c>
      <c r="K9" s="4" t="inlineStr">
        <is>
          <t>metrics() byKind rollup; test</t>
        </is>
      </c>
    </row>
    <row r="10">
      <c r="A10" s="4" t="inlineStr">
        <is>
          <t>ST-007</t>
        </is>
      </c>
      <c r="B10" s="4" t="inlineStr">
        <is>
          <t>F1</t>
        </is>
      </c>
      <c r="C10" s="4" t="inlineStr">
        <is>
          <t>AI test-case generation</t>
        </is>
      </c>
      <c r="D10" s="4" t="inlineStr">
        <is>
          <t>As a user, AI test-case generation respects role permissions and audit logging</t>
        </is>
      </c>
      <c r="E10" s="4" t="n">
        <v>3</v>
      </c>
      <c r="F10" s="4" t="inlineStr">
        <is>
          <t>P1</t>
        </is>
      </c>
      <c r="G10" s="4" t="inlineStr">
        <is>
          <t>S3</t>
        </is>
      </c>
      <c r="H10" s="4" t="inlineStr">
        <is>
          <t>SCR-3 AI generation workspace</t>
        </is>
      </c>
      <c r="I10" s="4" t="inlineStr">
        <is>
          <t>Integration test + manual QA</t>
        </is>
      </c>
      <c r="J10" s="6" t="inlineStr">
        <is>
          <t>Done</t>
        </is>
      </c>
      <c r="K10" s="4" t="inlineStr">
        <is>
          <t>Permissions matrix + audit on every check; permissions tests</t>
        </is>
      </c>
    </row>
    <row r="11">
      <c r="A11" s="4" t="inlineStr">
        <is>
          <t>ST-008</t>
        </is>
      </c>
      <c r="B11" s="4" t="inlineStr">
        <is>
          <t>F1</t>
        </is>
      </c>
      <c r="C11" s="4" t="inlineStr">
        <is>
          <t>AI test-case generation</t>
        </is>
      </c>
      <c r="D11" s="4" t="inlineStr">
        <is>
          <t>As a QA lead, I can pause/disable AI test-case generation without data loss</t>
        </is>
      </c>
      <c r="E11" s="4" t="n">
        <v>2</v>
      </c>
      <c r="F11" s="4" t="inlineStr">
        <is>
          <t>P2</t>
        </is>
      </c>
      <c r="G11" s="4" t="inlineStr">
        <is>
          <t>S3</t>
        </is>
      </c>
      <c r="H11" s="4" t="inlineStr">
        <is>
          <t>SCR-3 AI generation workspace</t>
        </is>
      </c>
      <c r="I11" s="4" t="inlineStr">
        <is>
          <t>Manual QA</t>
        </is>
      </c>
      <c r="J11" s="6" t="inlineStr">
        <is>
          <t>Done</t>
        </is>
      </c>
      <c r="K11" s="4" t="inlineStr">
        <is>
          <t>setEnabled pause, data retained; test</t>
        </is>
      </c>
    </row>
    <row r="12">
      <c r="A12" s="4" t="inlineStr">
        <is>
          <t>ST-009</t>
        </is>
      </c>
      <c r="B12" s="4" t="inlineStr">
        <is>
          <t>F1</t>
        </is>
      </c>
      <c r="C12" s="4" t="inlineStr">
        <is>
          <t>AI test-case generation</t>
        </is>
      </c>
      <c r="D12" s="4" t="inlineStr">
        <is>
          <t>As a Eng manager, I can import/migrate existing data into AI test-case generation (CSV + competitor importer)</t>
        </is>
      </c>
      <c r="E12" s="4" t="n">
        <v>5</v>
      </c>
      <c r="F12" s="4" t="inlineStr">
        <is>
          <t>P1</t>
        </is>
      </c>
      <c r="G12" s="4" t="inlineStr">
        <is>
          <t>S3</t>
        </is>
      </c>
      <c r="H12" s="4" t="inlineStr">
        <is>
          <t>SCR-3 AI generation workspace</t>
        </is>
      </c>
      <c r="I12" s="4" t="inlineStr">
        <is>
          <t>Integration test + manual QA</t>
        </is>
      </c>
      <c r="J12" s="6" t="inlineStr">
        <is>
          <t>Done</t>
        </is>
      </c>
      <c r="K12" s="4" t="inlineStr">
        <is>
          <t>importCsv + importCases; ids now unique per creation (PR-02). testgen + identity tests.</t>
        </is>
      </c>
    </row>
    <row r="13">
      <c r="A13" s="4" t="inlineStr">
        <is>
          <t>ST-010</t>
        </is>
      </c>
      <c r="B13" s="4" t="inlineStr">
        <is>
          <t>F1</t>
        </is>
      </c>
      <c r="C13" s="4" t="inlineStr">
        <is>
          <t>AI test-case generation</t>
        </is>
      </c>
      <c r="D13" s="4" t="inlineStr">
        <is>
          <t>As a user, I get notifications (in-app + email) for key AI test-case generation events with per-type mute</t>
        </is>
      </c>
      <c r="E13" s="4" t="n">
        <v>3</v>
      </c>
      <c r="F13" s="4" t="inlineStr">
        <is>
          <t>P2</t>
        </is>
      </c>
      <c r="G13" s="4" t="inlineStr">
        <is>
          <t>S3</t>
        </is>
      </c>
      <c r="H13" s="4" t="inlineStr">
        <is>
          <t>SCR-3 AI generation workspace</t>
        </is>
      </c>
      <c r="I13" s="4" t="inlineStr">
        <is>
          <t>Manual QA</t>
        </is>
      </c>
      <c r="J13" s="6" t="inlineStr">
        <is>
          <t>Done</t>
        </is>
      </c>
      <c r="K13" s="4" t="inlineStr">
        <is>
          <t>Notifications per-type prefs generation events; notifications tests</t>
        </is>
      </c>
    </row>
    <row r="14">
      <c r="A14" s="4" t="inlineStr">
        <is>
          <t>ST-011</t>
        </is>
      </c>
      <c r="B14" s="4" t="inlineStr">
        <is>
          <t>F2</t>
        </is>
      </c>
      <c r="C14" s="4" t="inlineStr">
        <is>
          <t>Test run boards</t>
        </is>
      </c>
      <c r="D14" s="4" t="inlineStr">
        <is>
          <t>As a QA lead, I can set up Test run boards with sensible defaults in one screen</t>
        </is>
      </c>
      <c r="E14" s="4" t="n">
        <v>5</v>
      </c>
      <c r="F14" s="4" t="inlineStr">
        <is>
          <t>P0</t>
        </is>
      </c>
      <c r="G14" s="4" t="inlineStr">
        <is>
          <t>S3</t>
        </is>
      </c>
      <c r="H14" s="4" t="inlineStr">
        <is>
          <t>SCR-4 Run boards builder</t>
        </is>
      </c>
      <c r="I14" s="4" t="inlineStr">
        <is>
          <t>E2E test + demo</t>
        </is>
      </c>
      <c r="J14" s="6" t="inlineStr">
        <is>
          <t>Done</t>
        </is>
      </c>
      <c r="K14" s="4" t="inlineStr">
        <is>
          <t>src/runboards.ts createBoard defaults</t>
        </is>
      </c>
    </row>
    <row r="15">
      <c r="A15" s="4" t="inlineStr">
        <is>
          <t>ST-012</t>
        </is>
      </c>
      <c r="B15" s="4" t="inlineStr">
        <is>
          <t>F2</t>
        </is>
      </c>
      <c r="C15" s="4" t="inlineStr">
        <is>
          <t>Test run boards</t>
        </is>
      </c>
      <c r="D15" s="4" t="inlineStr">
        <is>
          <t>As a QA lead, the Test run boards happy path completes without documentation</t>
        </is>
      </c>
      <c r="E15" s="4" t="n">
        <v>8</v>
      </c>
      <c r="F15" s="4" t="inlineStr">
        <is>
          <t>P0</t>
        </is>
      </c>
      <c r="G15" s="4" t="inlineStr">
        <is>
          <t>S3</t>
        </is>
      </c>
      <c r="H15" s="4" t="inlineStr">
        <is>
          <t>SCR-4 Run boards builder</t>
        </is>
      </c>
      <c r="I15" s="4" t="inlineStr">
        <is>
          <t>E2E test + demo</t>
        </is>
      </c>
      <c r="J15" s="6" t="inlineStr">
        <is>
          <t>Done</t>
        </is>
      </c>
      <c r="K15" s="4" t="inlineStr">
        <is>
          <t>record() happy path; e2e board flow</t>
        </is>
      </c>
    </row>
    <row r="16">
      <c r="A16" s="4" t="inlineStr">
        <is>
          <t>ST-013</t>
        </is>
      </c>
      <c r="B16" s="4" t="inlineStr">
        <is>
          <t>F2</t>
        </is>
      </c>
      <c r="C16" s="4" t="inlineStr">
        <is>
          <t>Test run boards</t>
        </is>
      </c>
      <c r="D16" s="4" t="inlineStr">
        <is>
          <t>As a Eng manager, I can customise Test run boards rules/conditions for my workflow</t>
        </is>
      </c>
      <c r="E16" s="4" t="n">
        <v>5</v>
      </c>
      <c r="F16" s="4" t="inlineStr">
        <is>
          <t>P1</t>
        </is>
      </c>
      <c r="G16" s="4" t="inlineStr">
        <is>
          <t>S3</t>
        </is>
      </c>
      <c r="H16" s="4" t="inlineStr">
        <is>
          <t>SCR-4 Run boards builder</t>
        </is>
      </c>
      <c r="I16" s="4" t="inlineStr">
        <is>
          <t>Integration test + manual QA</t>
        </is>
      </c>
      <c r="J16" s="6" t="inlineStr">
        <is>
          <t>Done</t>
        </is>
      </c>
      <c r="K16" s="4" t="inlineStr">
        <is>
          <t>RunStatus set + board config</t>
        </is>
      </c>
    </row>
    <row r="17">
      <c r="A17" s="4" t="inlineStr">
        <is>
          <t>ST-014</t>
        </is>
      </c>
      <c r="B17" s="4" t="inlineStr">
        <is>
          <t>F2</t>
        </is>
      </c>
      <c r="C17" s="4" t="inlineStr">
        <is>
          <t>Test run boards</t>
        </is>
      </c>
      <c r="D17" s="4" t="inlineStr">
        <is>
          <t>As a user, Test run boards shows clear errors and retry paths on platform API failures</t>
        </is>
      </c>
      <c r="E17" s="4" t="n">
        <v>3</v>
      </c>
      <c r="F17" s="4" t="inlineStr">
        <is>
          <t>P0</t>
        </is>
      </c>
      <c r="G17" s="4" t="inlineStr">
        <is>
          <t>S3</t>
        </is>
      </c>
      <c r="H17" s="4" t="inlineStr">
        <is>
          <t>SCR-4 Run boards builder</t>
        </is>
      </c>
      <c r="I17" s="4" t="inlineStr">
        <is>
          <t>E2E test + demo</t>
        </is>
      </c>
      <c r="J17" s="6" t="inlineStr">
        <is>
          <t>Done</t>
        </is>
      </c>
      <c r="K17" s="4" t="inlineStr">
        <is>
          <t>unknown-board/empty-name errors; tests</t>
        </is>
      </c>
    </row>
    <row r="18">
      <c r="A18" s="4" t="inlineStr">
        <is>
          <t>ST-015</t>
        </is>
      </c>
      <c r="B18" s="4" t="inlineStr">
        <is>
          <t>F2</t>
        </is>
      </c>
      <c r="C18" s="4" t="inlineStr">
        <is>
          <t>Test run boards</t>
        </is>
      </c>
      <c r="D18" s="4" t="inlineStr">
        <is>
          <t>As a Jira admin, Test run boards works on the Forge app panel inside Jira surface end-to-end</t>
        </is>
      </c>
      <c r="E18" s="4" t="n">
        <v>5</v>
      </c>
      <c r="F18" s="4" t="inlineStr">
        <is>
          <t>P0</t>
        </is>
      </c>
      <c r="G18" s="4" t="inlineStr">
        <is>
          <t>S4</t>
        </is>
      </c>
      <c r="H18" s="4" t="inlineStr">
        <is>
          <t>SCR-4 Run boards builder</t>
        </is>
      </c>
      <c r="I18" s="4" t="inlineStr">
        <is>
          <t>E2E test + demo</t>
        </is>
      </c>
      <c r="J18" s="8" t="inlineStr">
        <is>
          <t>Code-complete — pending live</t>
        </is>
      </c>
      <c r="K18" s="4" t="inlineStr">
        <is>
          <t>Board panel UI shipped (renderBoard + mount board tab); live render at LC-1</t>
        </is>
      </c>
    </row>
    <row r="19">
      <c r="A19" s="4" t="inlineStr">
        <is>
          <t>ST-016</t>
        </is>
      </c>
      <c r="B19" s="4" t="inlineStr">
        <is>
          <t>F2</t>
        </is>
      </c>
      <c r="C19" s="4" t="inlineStr">
        <is>
          <t>Test run boards</t>
        </is>
      </c>
      <c r="D19" s="4" t="inlineStr">
        <is>
          <t>As a Eng manager, I can see Test run boards performance metrics and trends</t>
        </is>
      </c>
      <c r="E19" s="4" t="n">
        <v>3</v>
      </c>
      <c r="F19" s="4" t="inlineStr">
        <is>
          <t>P1</t>
        </is>
      </c>
      <c r="G19" s="4" t="inlineStr">
        <is>
          <t>S4</t>
        </is>
      </c>
      <c r="H19" s="4" t="inlineStr">
        <is>
          <t>SCR-4 Run boards builder</t>
        </is>
      </c>
      <c r="I19" s="4" t="inlineStr">
        <is>
          <t>Integration test + manual QA</t>
        </is>
      </c>
      <c r="J19" s="6" t="inlineStr">
        <is>
          <t>Done</t>
        </is>
      </c>
      <c r="K19" s="4" t="inlineStr">
        <is>
          <t>metrics passRate incl. empty board</t>
        </is>
      </c>
    </row>
    <row r="20">
      <c r="A20" s="4" t="inlineStr">
        <is>
          <t>ST-017</t>
        </is>
      </c>
      <c r="B20" s="4" t="inlineStr">
        <is>
          <t>F2</t>
        </is>
      </c>
      <c r="C20" s="4" t="inlineStr">
        <is>
          <t>Test run boards</t>
        </is>
      </c>
      <c r="D20" s="4" t="inlineStr">
        <is>
          <t>As a user, Test run boards respects role permissions and audit logging</t>
        </is>
      </c>
      <c r="E20" s="4" t="n">
        <v>3</v>
      </c>
      <c r="F20" s="4" t="inlineStr">
        <is>
          <t>P1</t>
        </is>
      </c>
      <c r="G20" s="4" t="inlineStr">
        <is>
          <t>S4</t>
        </is>
      </c>
      <c r="H20" s="4" t="inlineStr">
        <is>
          <t>SCR-4 Run boards builder</t>
        </is>
      </c>
      <c r="I20" s="4" t="inlineStr">
        <is>
          <t>Integration test + manual QA</t>
        </is>
      </c>
      <c r="J20" s="6" t="inlineStr">
        <is>
          <t>Done</t>
        </is>
      </c>
      <c r="K20" s="4" t="inlineStr">
        <is>
          <t>guard() on /boards routes + audit</t>
        </is>
      </c>
    </row>
    <row r="21">
      <c r="A21" s="4" t="inlineStr">
        <is>
          <t>ST-018</t>
        </is>
      </c>
      <c r="B21" s="4" t="inlineStr">
        <is>
          <t>F2</t>
        </is>
      </c>
      <c r="C21" s="4" t="inlineStr">
        <is>
          <t>Test run boards</t>
        </is>
      </c>
      <c r="D21" s="4" t="inlineStr">
        <is>
          <t>As a QA lead, I can pause/disable Test run boards without data loss</t>
        </is>
      </c>
      <c r="E21" s="4" t="n">
        <v>2</v>
      </c>
      <c r="F21" s="4" t="inlineStr">
        <is>
          <t>P2</t>
        </is>
      </c>
      <c r="G21" s="4" t="inlineStr">
        <is>
          <t>S4</t>
        </is>
      </c>
      <c r="H21" s="4" t="inlineStr">
        <is>
          <t>SCR-4 Run boards builder</t>
        </is>
      </c>
      <c r="I21" s="4" t="inlineStr">
        <is>
          <t>Manual QA</t>
        </is>
      </c>
      <c r="J21" s="6" t="inlineStr">
        <is>
          <t>Done</t>
        </is>
      </c>
      <c r="K21" s="4" t="inlineStr">
        <is>
          <t>setEnabled pause; test</t>
        </is>
      </c>
    </row>
    <row r="22">
      <c r="A22" s="4" t="inlineStr">
        <is>
          <t>ST-019</t>
        </is>
      </c>
      <c r="B22" s="4" t="inlineStr">
        <is>
          <t>F2</t>
        </is>
      </c>
      <c r="C22" s="4" t="inlineStr">
        <is>
          <t>Test run boards</t>
        </is>
      </c>
      <c r="D22" s="4" t="inlineStr">
        <is>
          <t>As a Eng manager, I can import/migrate existing data into Test run boards (CSV + competitor importer)</t>
        </is>
      </c>
      <c r="E22" s="4" t="n">
        <v>5</v>
      </c>
      <c r="F22" s="4" t="inlineStr">
        <is>
          <t>P1</t>
        </is>
      </c>
      <c r="G22" s="4" t="inlineStr">
        <is>
          <t>S4</t>
        </is>
      </c>
      <c r="H22" s="4" t="inlineStr">
        <is>
          <t>SCR-4 Run boards builder</t>
        </is>
      </c>
      <c r="I22" s="4" t="inlineStr">
        <is>
          <t>Integration test + manual QA</t>
        </is>
      </c>
      <c r="J22" s="6" t="inlineStr">
        <is>
          <t>Done</t>
        </is>
      </c>
      <c r="K22" s="4" t="inlineStr">
        <is>
          <t>RunBoards.importCsv; runs are per-entity keys (PR-01). runboards + concurrency tests.</t>
        </is>
      </c>
    </row>
    <row r="23">
      <c r="A23" s="4" t="inlineStr">
        <is>
          <t>ST-020</t>
        </is>
      </c>
      <c r="B23" s="4" t="inlineStr">
        <is>
          <t>F2</t>
        </is>
      </c>
      <c r="C23" s="4" t="inlineStr">
        <is>
          <t>Test run boards</t>
        </is>
      </c>
      <c r="D23" s="4" t="inlineStr">
        <is>
          <t>As a user, I get notifications (in-app + email) for key Test run boards events with per-type mute</t>
        </is>
      </c>
      <c r="E23" s="4" t="n">
        <v>3</v>
      </c>
      <c r="F23" s="4" t="inlineStr">
        <is>
          <t>P2</t>
        </is>
      </c>
      <c r="G23" s="4" t="inlineStr">
        <is>
          <t>S4</t>
        </is>
      </c>
      <c r="H23" s="4" t="inlineStr">
        <is>
          <t>SCR-4 Run boards builder</t>
        </is>
      </c>
      <c r="I23" s="4" t="inlineStr">
        <is>
          <t>Manual QA</t>
        </is>
      </c>
      <c r="J23" s="6" t="inlineStr">
        <is>
          <t>Done</t>
        </is>
      </c>
      <c r="K23" s="4" t="inlineStr">
        <is>
          <t>Notifications run events</t>
        </is>
      </c>
    </row>
    <row r="24">
      <c r="A24" s="4" t="inlineStr">
        <is>
          <t>ST-021</t>
        </is>
      </c>
      <c r="B24" s="4" t="inlineStr">
        <is>
          <t>F3</t>
        </is>
      </c>
      <c r="C24" s="4" t="inlineStr">
        <is>
          <t>Flaky-test detector</t>
        </is>
      </c>
      <c r="D24" s="4" t="inlineStr">
        <is>
          <t>As a QA lead, I can set up Flaky-test detector with sensible defaults in one screen</t>
        </is>
      </c>
      <c r="E24" s="4" t="n">
        <v>5</v>
      </c>
      <c r="F24" s="4" t="inlineStr">
        <is>
          <t>P0</t>
        </is>
      </c>
      <c r="G24" s="4" t="inlineStr">
        <is>
          <t>S5</t>
        </is>
      </c>
      <c r="H24" s="4" t="inlineStr">
        <is>
          <t>SCR-5 Flaky detector view</t>
        </is>
      </c>
      <c r="I24" s="4" t="inlineStr">
        <is>
          <t>E2E test + demo</t>
        </is>
      </c>
      <c r="J24" s="6" t="inlineStr">
        <is>
          <t>Done</t>
        </is>
      </c>
      <c r="K24" s="4" t="inlineStr">
        <is>
          <t>src/flaky.ts defaults threshold 0.3</t>
        </is>
      </c>
    </row>
    <row r="25">
      <c r="A25" s="4" t="inlineStr">
        <is>
          <t>ST-022</t>
        </is>
      </c>
      <c r="B25" s="4" t="inlineStr">
        <is>
          <t>F3</t>
        </is>
      </c>
      <c r="C25" s="4" t="inlineStr">
        <is>
          <t>Flaky-test detector</t>
        </is>
      </c>
      <c r="D25" s="4" t="inlineStr">
        <is>
          <t>As a QA lead, the Flaky-test detector happy path completes without documentation</t>
        </is>
      </c>
      <c r="E25" s="4" t="n">
        <v>8</v>
      </c>
      <c r="F25" s="4" t="inlineStr">
        <is>
          <t>P0</t>
        </is>
      </c>
      <c r="G25" s="4" t="inlineStr">
        <is>
          <t>S5</t>
        </is>
      </c>
      <c r="H25" s="4" t="inlineStr">
        <is>
          <t>SCR-5 Flaky detector view</t>
        </is>
      </c>
      <c r="I25" s="4" t="inlineStr">
        <is>
          <t>E2E test + demo</t>
        </is>
      </c>
      <c r="J25" s="6" t="inlineStr">
        <is>
          <t>Done</t>
        </is>
      </c>
      <c r="K25" s="4" t="inlineStr">
        <is>
          <t>ingest-&gt;scores happy path; e2e webhook-&gt;quarantine</t>
        </is>
      </c>
    </row>
    <row r="26">
      <c r="A26" s="4" t="inlineStr">
        <is>
          <t>ST-023</t>
        </is>
      </c>
      <c r="B26" s="4" t="inlineStr">
        <is>
          <t>F3</t>
        </is>
      </c>
      <c r="C26" s="4" t="inlineStr">
        <is>
          <t>Flaky-test detector</t>
        </is>
      </c>
      <c r="D26" s="4" t="inlineStr">
        <is>
          <t>As a Eng manager, I can customise Flaky-test detector rules/conditions for my workflow</t>
        </is>
      </c>
      <c r="E26" s="4" t="n">
        <v>5</v>
      </c>
      <c r="F26" s="4" t="inlineStr">
        <is>
          <t>P1</t>
        </is>
      </c>
      <c r="G26" s="4" t="inlineStr">
        <is>
          <t>S5</t>
        </is>
      </c>
      <c r="H26" s="4" t="inlineStr">
        <is>
          <t>SCR-5 Flaky detector view</t>
        </is>
      </c>
      <c r="I26" s="4" t="inlineStr">
        <is>
          <t>Integration test + manual QA</t>
        </is>
      </c>
      <c r="J26" s="6" t="inlineStr">
        <is>
          <t>Done</t>
        </is>
      </c>
      <c r="K26" s="4" t="inlineStr">
        <is>
          <t>Persisted threshold, plus main-branch and retention settings (PR-07). flaky2 tests.</t>
        </is>
      </c>
    </row>
    <row r="27">
      <c r="A27" s="4" t="inlineStr">
        <is>
          <t>ST-024</t>
        </is>
      </c>
      <c r="B27" s="4" t="inlineStr">
        <is>
          <t>F3</t>
        </is>
      </c>
      <c r="C27" s="4" t="inlineStr">
        <is>
          <t>Flaky-test detector</t>
        </is>
      </c>
      <c r="D27" s="4" t="inlineStr">
        <is>
          <t>As a user, Flaky-test detector shows clear errors and retry paths on platform API failures</t>
        </is>
      </c>
      <c r="E27" s="4" t="n">
        <v>3</v>
      </c>
      <c r="F27" s="4" t="inlineStr">
        <is>
          <t>P0</t>
        </is>
      </c>
      <c r="G27" s="4" t="inlineStr">
        <is>
          <t>S5</t>
        </is>
      </c>
      <c r="H27" s="4" t="inlineStr">
        <is>
          <t>SCR-5 Flaky detector view</t>
        </is>
      </c>
      <c r="I27" s="4" t="inlineStr">
        <is>
          <t>E2E test + demo</t>
        </is>
      </c>
      <c r="J27" s="6" t="inlineStr">
        <is>
          <t>Done</t>
        </is>
      </c>
      <c r="K27" s="4" t="inlineStr">
        <is>
          <t>empty-batch error; test</t>
        </is>
      </c>
    </row>
    <row r="28">
      <c r="A28" s="4" t="inlineStr">
        <is>
          <t>ST-025</t>
        </is>
      </c>
      <c r="B28" s="4" t="inlineStr">
        <is>
          <t>F3</t>
        </is>
      </c>
      <c r="C28" s="4" t="inlineStr">
        <is>
          <t>Flaky-test detector</t>
        </is>
      </c>
      <c r="D28" s="4" t="inlineStr">
        <is>
          <t>As a Jira admin, Flaky-test detector works on the Forge app panel inside Jira surface end-to-end</t>
        </is>
      </c>
      <c r="E28" s="4" t="n">
        <v>5</v>
      </c>
      <c r="F28" s="4" t="inlineStr">
        <is>
          <t>P0</t>
        </is>
      </c>
      <c r="G28" s="4" t="inlineStr">
        <is>
          <t>S5</t>
        </is>
      </c>
      <c r="H28" s="4" t="inlineStr">
        <is>
          <t>SCR-5 Flaky detector view</t>
        </is>
      </c>
      <c r="I28" s="4" t="inlineStr">
        <is>
          <t>E2E test + demo</t>
        </is>
      </c>
      <c r="J28" s="8" t="inlineStr">
        <is>
          <t>Code-complete — pending live</t>
        </is>
      </c>
      <c r="K28" s="4" t="inlineStr">
        <is>
          <t>Flaky panel UI shipped (renderFlaky + quarantine badge); live render at LC-1</t>
        </is>
      </c>
    </row>
    <row r="29">
      <c r="A29" s="4" t="inlineStr">
        <is>
          <t>ST-026</t>
        </is>
      </c>
      <c r="B29" s="4" t="inlineStr">
        <is>
          <t>F3</t>
        </is>
      </c>
      <c r="C29" s="4" t="inlineStr">
        <is>
          <t>Flaky-test detector</t>
        </is>
      </c>
      <c r="D29" s="4" t="inlineStr">
        <is>
          <t>As a Eng manager, I can see Flaky-test detector performance metrics and trends</t>
        </is>
      </c>
      <c r="E29" s="4" t="n">
        <v>3</v>
      </c>
      <c r="F29" s="4" t="inlineStr">
        <is>
          <t>P1</t>
        </is>
      </c>
      <c r="G29" s="4" t="inlineStr">
        <is>
          <t>S5</t>
        </is>
      </c>
      <c r="H29" s="4" t="inlineStr">
        <is>
          <t>SCR-5 Flaky detector view</t>
        </is>
      </c>
      <c r="I29" s="4" t="inlineStr">
        <is>
          <t>Integration test + manual QA</t>
        </is>
      </c>
      <c r="J29" s="6" t="inlineStr">
        <is>
          <t>Done</t>
        </is>
      </c>
      <c r="K29" s="4" t="inlineStr">
        <is>
          <t>Flip rate per test per branch, first-seen, new-vs-chronic, clusters, time-to-quarantine (PR-07). flaky2 tests.</t>
        </is>
      </c>
    </row>
    <row r="30">
      <c r="A30" s="4" t="inlineStr">
        <is>
          <t>ST-027</t>
        </is>
      </c>
      <c r="B30" s="4" t="inlineStr">
        <is>
          <t>F3</t>
        </is>
      </c>
      <c r="C30" s="4" t="inlineStr">
        <is>
          <t>Flaky-test detector</t>
        </is>
      </c>
      <c r="D30" s="4" t="inlineStr">
        <is>
          <t>As a user, Flaky-test detector respects role permissions and audit logging</t>
        </is>
      </c>
      <c r="E30" s="4" t="n">
        <v>3</v>
      </c>
      <c r="F30" s="4" t="inlineStr">
        <is>
          <t>P1</t>
        </is>
      </c>
      <c r="G30" s="4" t="inlineStr">
        <is>
          <t>S5</t>
        </is>
      </c>
      <c r="H30" s="4" t="inlineStr">
        <is>
          <t>SCR-5 Flaky detector view</t>
        </is>
      </c>
      <c r="I30" s="4" t="inlineStr">
        <is>
          <t>Integration test + manual QA</t>
        </is>
      </c>
      <c r="J30" s="6" t="inlineStr">
        <is>
          <t>Done</t>
        </is>
      </c>
      <c r="K30" s="4" t="inlineStr">
        <is>
          <t>signed webhook intake only (HMAC)</t>
        </is>
      </c>
    </row>
    <row r="31">
      <c r="A31" s="4" t="inlineStr">
        <is>
          <t>ST-028</t>
        </is>
      </c>
      <c r="B31" s="4" t="inlineStr">
        <is>
          <t>F3</t>
        </is>
      </c>
      <c r="C31" s="4" t="inlineStr">
        <is>
          <t>Flaky-test detector</t>
        </is>
      </c>
      <c r="D31" s="4" t="inlineStr">
        <is>
          <t>As a QA lead, I can pause/disable Flaky-test detector without data loss</t>
        </is>
      </c>
      <c r="E31" s="4" t="n">
        <v>2</v>
      </c>
      <c r="F31" s="4" t="inlineStr">
        <is>
          <t>P2</t>
        </is>
      </c>
      <c r="G31" s="4" t="inlineStr">
        <is>
          <t>S5</t>
        </is>
      </c>
      <c r="H31" s="4" t="inlineStr">
        <is>
          <t>SCR-5 Flaky detector view</t>
        </is>
      </c>
      <c r="I31" s="4" t="inlineStr">
        <is>
          <t>Manual QA</t>
        </is>
      </c>
      <c r="J31" s="6" t="inlineStr">
        <is>
          <t>Done</t>
        </is>
      </c>
      <c r="K31" s="4" t="inlineStr">
        <is>
          <t>setEnabled pause; test</t>
        </is>
      </c>
    </row>
    <row r="32">
      <c r="A32" s="4" t="inlineStr">
        <is>
          <t>ST-029</t>
        </is>
      </c>
      <c r="B32" s="4" t="inlineStr">
        <is>
          <t>F3</t>
        </is>
      </c>
      <c r="C32" s="4" t="inlineStr">
        <is>
          <t>Flaky-test detector</t>
        </is>
      </c>
      <c r="D32" s="4" t="inlineStr">
        <is>
          <t>As a Eng manager, I can import/migrate existing data into Flaky-test detector (CSV + competitor importer)</t>
        </is>
      </c>
      <c r="E32" s="4" t="n">
        <v>5</v>
      </c>
      <c r="F32" s="4" t="inlineStr">
        <is>
          <t>P1</t>
        </is>
      </c>
      <c r="G32" s="4" t="inlineStr">
        <is>
          <t>S5</t>
        </is>
      </c>
      <c r="H32" s="4" t="inlineStr">
        <is>
          <t>SCR-5 Flaky detector view</t>
        </is>
      </c>
      <c r="I32" s="4" t="inlineStr">
        <is>
          <t>Integration test + manual QA</t>
        </is>
      </c>
      <c r="J32" s="6" t="inlineStr">
        <is>
          <t>Done</t>
        </is>
      </c>
      <c r="K32" s="4" t="inlineStr">
        <is>
          <t>CI batch ingest now accepts JUnit XML, Playwright JSON and Cucumber JSON against real fixtures (PR-06). ciReports tests.</t>
        </is>
      </c>
    </row>
    <row r="33">
      <c r="A33" s="4" t="inlineStr">
        <is>
          <t>ST-030</t>
        </is>
      </c>
      <c r="B33" s="4" t="inlineStr">
        <is>
          <t>F3</t>
        </is>
      </c>
      <c r="C33" s="4" t="inlineStr">
        <is>
          <t>Flaky-test detector</t>
        </is>
      </c>
      <c r="D33" s="4" t="inlineStr">
        <is>
          <t>As a user, I get notifications (in-app + email) for key Flaky-test detector events with per-type mute</t>
        </is>
      </c>
      <c r="E33" s="4" t="n">
        <v>3</v>
      </c>
      <c r="F33" s="4" t="inlineStr">
        <is>
          <t>P2</t>
        </is>
      </c>
      <c r="G33" s="4" t="inlineStr">
        <is>
          <t>S5</t>
        </is>
      </c>
      <c r="H33" s="4" t="inlineStr">
        <is>
          <t>SCR-5 Flaky detector view</t>
        </is>
      </c>
      <c r="I33" s="4" t="inlineStr">
        <is>
          <t>Manual QA</t>
        </is>
      </c>
      <c r="J33" s="6" t="inlineStr">
        <is>
          <t>Done</t>
        </is>
      </c>
      <c r="K33" s="4" t="inlineStr">
        <is>
          <t>Notifications flaky events</t>
        </is>
      </c>
    </row>
    <row r="34">
      <c r="A34" s="4" t="inlineStr">
        <is>
          <t>ST-031</t>
        </is>
      </c>
      <c r="B34" s="4" t="inlineStr">
        <is>
          <t>F4</t>
        </is>
      </c>
      <c r="C34" s="4" t="inlineStr">
        <is>
          <t>Release readiness score</t>
        </is>
      </c>
      <c r="D34" s="4" t="inlineStr">
        <is>
          <t>As a QA lead, I can set up Release readiness score with sensible defaults in one screen</t>
        </is>
      </c>
      <c r="E34" s="4" t="n">
        <v>5</v>
      </c>
      <c r="F34" s="4" t="inlineStr">
        <is>
          <t>P0</t>
        </is>
      </c>
      <c r="G34" s="4" t="inlineStr">
        <is>
          <t>S6</t>
        </is>
      </c>
      <c r="H34" s="4" t="inlineStr">
        <is>
          <t>SCR-2 Home dashboard</t>
        </is>
      </c>
      <c r="I34" s="4" t="inlineStr">
        <is>
          <t>E2E test + demo</t>
        </is>
      </c>
      <c r="J34" s="6" t="inlineStr">
        <is>
          <t>Done</t>
        </is>
      </c>
      <c r="K34" s="4" t="inlineStr">
        <is>
          <t>DEFAULT_WEIGHTS plus per-project configurable weights validated to sum to 1 (PR-05). readiness.live tests.</t>
        </is>
      </c>
    </row>
    <row r="35">
      <c r="A35" s="4" t="inlineStr">
        <is>
          <t>ST-032</t>
        </is>
      </c>
      <c r="B35" s="4" t="inlineStr">
        <is>
          <t>F4</t>
        </is>
      </c>
      <c r="C35" s="4" t="inlineStr">
        <is>
          <t>Release readiness score</t>
        </is>
      </c>
      <c r="D35" s="4" t="inlineStr">
        <is>
          <t>As a QA lead, the Release readiness score happy path completes without documentation</t>
        </is>
      </c>
      <c r="E35" s="4" t="n">
        <v>8</v>
      </c>
      <c r="F35" s="4" t="inlineStr">
        <is>
          <t>P0</t>
        </is>
      </c>
      <c r="G35" s="4" t="inlineStr">
        <is>
          <t>S6</t>
        </is>
      </c>
      <c r="H35" s="4" t="inlineStr">
        <is>
          <t>SCR-2 Home dashboard</t>
        </is>
      </c>
      <c r="I35" s="4" t="inlineStr">
        <is>
          <t>E2E test + demo</t>
        </is>
      </c>
      <c r="J35" s="6" t="inlineStr">
        <is>
          <t>Done</t>
        </is>
      </c>
      <c r="K35" s="4" t="inlineStr">
        <is>
          <t>readinessScore + deriveReadiness: the happy path now needs no typed input at all (PR-05).</t>
        </is>
      </c>
    </row>
    <row r="36">
      <c r="A36" s="4" t="inlineStr">
        <is>
          <t>ST-033</t>
        </is>
      </c>
      <c r="B36" s="4" t="inlineStr">
        <is>
          <t>F4</t>
        </is>
      </c>
      <c r="C36" s="4" t="inlineStr">
        <is>
          <t>Release readiness score</t>
        </is>
      </c>
      <c r="D36" s="4" t="inlineStr">
        <is>
          <t>As a Eng manager, I can customise Release readiness score rules/conditions for my workflow</t>
        </is>
      </c>
      <c r="E36" s="4" t="n">
        <v>5</v>
      </c>
      <c r="F36" s="4" t="inlineStr">
        <is>
          <t>P1</t>
        </is>
      </c>
      <c r="G36" s="4" t="inlineStr">
        <is>
          <t>S6</t>
        </is>
      </c>
      <c r="H36" s="4" t="inlineStr">
        <is>
          <t>SCR-2 Home dashboard</t>
        </is>
      </c>
      <c r="I36" s="4" t="inlineStr">
        <is>
          <t>Integration test + manual QA</t>
        </is>
      </c>
      <c r="J36" s="6" t="inlineStr">
        <is>
          <t>Done</t>
        </is>
      </c>
      <c r="K36" s="4" t="inlineStr">
        <is>
          <t>Per-project weights, JQL and window, all validated (PR-05).</t>
        </is>
      </c>
    </row>
    <row r="37">
      <c r="A37" s="4" t="inlineStr">
        <is>
          <t>ST-034</t>
        </is>
      </c>
      <c r="B37" s="4" t="inlineStr">
        <is>
          <t>F4</t>
        </is>
      </c>
      <c r="C37" s="4" t="inlineStr">
        <is>
          <t>Release readiness score</t>
        </is>
      </c>
      <c r="D37" s="4" t="inlineStr">
        <is>
          <t>As a user, Release readiness score shows clear errors and retry paths on platform API failures</t>
        </is>
      </c>
      <c r="E37" s="4" t="n">
        <v>3</v>
      </c>
      <c r="F37" s="4" t="inlineStr">
        <is>
          <t>P0</t>
        </is>
      </c>
      <c r="G37" s="4" t="inlineStr">
        <is>
          <t>S6</t>
        </is>
      </c>
      <c r="H37" s="4" t="inlineStr">
        <is>
          <t>SCR-2 Home dashboard</t>
        </is>
      </c>
      <c r="I37" s="4" t="inlineStr">
        <is>
          <t>E2E test + demo</t>
        </is>
      </c>
      <c r="J37" s="6" t="inlineStr">
        <is>
          <t>Done</t>
        </is>
      </c>
      <c r="K37" s="4" t="inlineStr">
        <is>
          <t>out-of-range input rejected; e2e 400</t>
        </is>
      </c>
    </row>
    <row r="38">
      <c r="A38" s="4" t="inlineStr">
        <is>
          <t>ST-035</t>
        </is>
      </c>
      <c r="B38" s="4" t="inlineStr">
        <is>
          <t>F4</t>
        </is>
      </c>
      <c r="C38" s="4" t="inlineStr">
        <is>
          <t>Release readiness score</t>
        </is>
      </c>
      <c r="D38" s="4" t="inlineStr">
        <is>
          <t>As a Jira admin, Release readiness score works on the Forge app panel inside Jira surface end-to-end</t>
        </is>
      </c>
      <c r="E38" s="4" t="n">
        <v>5</v>
      </c>
      <c r="F38" s="4" t="inlineStr">
        <is>
          <t>P0</t>
        </is>
      </c>
      <c r="G38" s="4" t="inlineStr">
        <is>
          <t>S6</t>
        </is>
      </c>
      <c r="H38" s="4" t="inlineStr">
        <is>
          <t>SCR-2 Home dashboard</t>
        </is>
      </c>
      <c r="I38" s="4" t="inlineStr">
        <is>
          <t>E2E test + demo</t>
        </is>
      </c>
      <c r="J38" s="8" t="inlineStr">
        <is>
          <t>Code-complete — pending live</t>
        </is>
      </c>
      <c r="K38" s="4" t="inlineStr">
        <is>
          <t>Readiness panel UI shipped (renderReadiness dial + verdict classes); live render at LC-1</t>
        </is>
      </c>
    </row>
    <row r="39">
      <c r="A39" s="4" t="inlineStr">
        <is>
          <t>ST-036</t>
        </is>
      </c>
      <c r="B39" s="4" t="inlineStr">
        <is>
          <t>F4</t>
        </is>
      </c>
      <c r="C39" s="4" t="inlineStr">
        <is>
          <t>Release readiness score</t>
        </is>
      </c>
      <c r="D39" s="4" t="inlineStr">
        <is>
          <t>As a Eng manager, I can see Release readiness score performance metrics and trends</t>
        </is>
      </c>
      <c r="E39" s="4" t="n">
        <v>3</v>
      </c>
      <c r="F39" s="4" t="inlineStr">
        <is>
          <t>P1</t>
        </is>
      </c>
      <c r="G39" s="4" t="inlineStr">
        <is>
          <t>S6</t>
        </is>
      </c>
      <c r="H39" s="4" t="inlineStr">
        <is>
          <t>SCR-2 Home dashboard</t>
        </is>
      </c>
      <c r="I39" s="4" t="inlineStr">
        <is>
          <t>Integration test + manual QA</t>
        </is>
      </c>
      <c r="J39" s="6" t="inlineStr">
        <is>
          <t>Done</t>
        </is>
      </c>
      <c r="K39" s="4" t="inlineStr">
        <is>
          <t>Per-factor contribution, explanation and a 30-day trend (PR-05).</t>
        </is>
      </c>
    </row>
    <row r="40">
      <c r="A40" s="4" t="inlineStr">
        <is>
          <t>ST-037</t>
        </is>
      </c>
      <c r="B40" s="4" t="inlineStr">
        <is>
          <t>F4</t>
        </is>
      </c>
      <c r="C40" s="4" t="inlineStr">
        <is>
          <t>Release readiness score</t>
        </is>
      </c>
      <c r="D40" s="4" t="inlineStr">
        <is>
          <t>As a user, Release readiness score respects role permissions and audit logging</t>
        </is>
      </c>
      <c r="E40" s="4" t="n">
        <v>3</v>
      </c>
      <c r="F40" s="4" t="inlineStr">
        <is>
          <t>P1</t>
        </is>
      </c>
      <c r="G40" s="4" t="inlineStr">
        <is>
          <t>S6</t>
        </is>
      </c>
      <c r="H40" s="4" t="inlineStr">
        <is>
          <t>SCR-2 Home dashboard</t>
        </is>
      </c>
      <c r="I40" s="4" t="inlineStr">
        <is>
          <t>Integration test + manual QA</t>
        </is>
      </c>
      <c r="J40" s="6" t="inlineStr">
        <is>
          <t>Done</t>
        </is>
      </c>
      <c r="K40" s="4" t="inlineStr">
        <is>
          <t>Guarded + audited, and now project-scoped with the reason recorded on a denial (PR-09).</t>
        </is>
      </c>
    </row>
    <row r="41">
      <c r="A41" s="4" t="inlineStr">
        <is>
          <t>ST-038</t>
        </is>
      </c>
      <c r="B41" s="4" t="inlineStr">
        <is>
          <t>F4</t>
        </is>
      </c>
      <c r="C41" s="4" t="inlineStr">
        <is>
          <t>Release readiness score</t>
        </is>
      </c>
      <c r="D41" s="4" t="inlineStr">
        <is>
          <t>As a QA lead, I can pause/disable Release readiness score without data loss</t>
        </is>
      </c>
      <c r="E41" s="4" t="n">
        <v>2</v>
      </c>
      <c r="F41" s="4" t="inlineStr">
        <is>
          <t>P2</t>
        </is>
      </c>
      <c r="G41" s="4" t="inlineStr">
        <is>
          <t>S6</t>
        </is>
      </c>
      <c r="H41" s="4" t="inlineStr">
        <is>
          <t>SCR-2 Home dashboard</t>
        </is>
      </c>
      <c r="I41" s="4" t="inlineStr">
        <is>
          <t>Manual QA</t>
        </is>
      </c>
      <c r="J41" s="6" t="inlineStr">
        <is>
          <t>Done</t>
        </is>
      </c>
      <c r="K41" s="4" t="inlineStr">
        <is>
          <t>weights are stateless — no data loss</t>
        </is>
      </c>
    </row>
    <row r="42">
      <c r="A42" s="4" t="inlineStr">
        <is>
          <t>ST-039</t>
        </is>
      </c>
      <c r="B42" s="4" t="inlineStr">
        <is>
          <t>F4</t>
        </is>
      </c>
      <c r="C42" s="4" t="inlineStr">
        <is>
          <t>Release readiness score</t>
        </is>
      </c>
      <c r="D42" s="4" t="inlineStr">
        <is>
          <t>As a Eng manager, I can import/migrate existing data into Release readiness score (CSV + competitor importer)</t>
        </is>
      </c>
      <c r="E42" s="4" t="n">
        <v>5</v>
      </c>
      <c r="F42" s="4" t="inlineStr">
        <is>
          <t>P1</t>
        </is>
      </c>
      <c r="G42" s="4" t="inlineStr">
        <is>
          <t>S6</t>
        </is>
      </c>
      <c r="H42" s="4" t="inlineStr">
        <is>
          <t>SCR-2 Home dashboard</t>
        </is>
      </c>
      <c r="I42" s="4" t="inlineStr">
        <is>
          <t>Integration test + manual QA</t>
        </is>
      </c>
      <c r="J42" s="6" t="inlineStr">
        <is>
          <t>Done</t>
        </is>
      </c>
      <c r="K42" s="4" t="inlineStr">
        <is>
          <t>Inputs derived from boards, CI results and Jira — no manual entry (PR-05).</t>
        </is>
      </c>
    </row>
    <row r="43">
      <c r="A43" s="4" t="inlineStr">
        <is>
          <t>ST-040</t>
        </is>
      </c>
      <c r="B43" s="4" t="inlineStr">
        <is>
          <t>F4</t>
        </is>
      </c>
      <c r="C43" s="4" t="inlineStr">
        <is>
          <t>Release readiness score</t>
        </is>
      </c>
      <c r="D43" s="4" t="inlineStr">
        <is>
          <t>As a user, I get notifications (in-app + email) for key Release readiness score events with per-type mute</t>
        </is>
      </c>
      <c r="E43" s="4" t="n">
        <v>3</v>
      </c>
      <c r="F43" s="4" t="inlineStr">
        <is>
          <t>P2</t>
        </is>
      </c>
      <c r="G43" s="4" t="inlineStr">
        <is>
          <t>S6</t>
        </is>
      </c>
      <c r="H43" s="4" t="inlineStr">
        <is>
          <t>SCR-2 Home dashboard</t>
        </is>
      </c>
      <c r="I43" s="4" t="inlineStr">
        <is>
          <t>Manual QA</t>
        </is>
      </c>
      <c r="J43" s="6" t="inlineStr">
        <is>
          <t>Done</t>
        </is>
      </c>
      <c r="K43" s="4" t="inlineStr">
        <is>
          <t>Notifications readiness events</t>
        </is>
      </c>
    </row>
    <row r="44">
      <c r="A44" s="4" t="inlineStr">
        <is>
          <t>ST-041</t>
        </is>
      </c>
      <c r="B44" s="4" t="inlineStr">
        <is>
          <t>F5</t>
        </is>
      </c>
      <c r="C44" s="4" t="inlineStr">
        <is>
          <t>Xray importer</t>
        </is>
      </c>
      <c r="D44" s="4" t="inlineStr">
        <is>
          <t>As a QA lead, I can set up Xray importer with sensible defaults in one screen</t>
        </is>
      </c>
      <c r="E44" s="4" t="n">
        <v>5</v>
      </c>
      <c r="F44" s="4" t="inlineStr">
        <is>
          <t>P0</t>
        </is>
      </c>
      <c r="G44" s="4" t="inlineStr">
        <is>
          <t>S8</t>
        </is>
      </c>
      <c r="H44" s="4" t="inlineStr">
        <is>
          <t>SCR-3 AI generation workspace</t>
        </is>
      </c>
      <c r="I44" s="4" t="inlineStr">
        <is>
          <t>E2E test + demo</t>
        </is>
      </c>
      <c r="J44" s="6" t="inlineStr">
        <is>
          <t>Done</t>
        </is>
      </c>
      <c r="K44" s="4" t="inlineStr">
        <is>
          <t>src/xrayImport.ts parse defaults</t>
        </is>
      </c>
    </row>
    <row r="45">
      <c r="A45" s="4" t="inlineStr">
        <is>
          <t>ST-042</t>
        </is>
      </c>
      <c r="B45" s="4" t="inlineStr">
        <is>
          <t>F5</t>
        </is>
      </c>
      <c r="C45" s="4" t="inlineStr">
        <is>
          <t>Xray importer</t>
        </is>
      </c>
      <c r="D45" s="4" t="inlineStr">
        <is>
          <t>As a QA lead, the Xray importer happy path completes without documentation</t>
        </is>
      </c>
      <c r="E45" s="4" t="n">
        <v>8</v>
      </c>
      <c r="F45" s="4" t="inlineStr">
        <is>
          <t>P0</t>
        </is>
      </c>
      <c r="G45" s="4" t="inlineStr">
        <is>
          <t>S8</t>
        </is>
      </c>
      <c r="H45" s="4" t="inlineStr">
        <is>
          <t>SCR-3 AI generation workspace</t>
        </is>
      </c>
      <c r="I45" s="4" t="inlineStr">
        <is>
          <t>E2E test + demo</t>
        </is>
      </c>
      <c r="J45" s="6" t="inlineStr">
        <is>
          <t>Done</t>
        </is>
      </c>
      <c r="K45" s="4" t="inlineStr">
        <is>
          <t>importXray happy path; e2e</t>
        </is>
      </c>
    </row>
    <row r="46">
      <c r="A46" s="4" t="inlineStr">
        <is>
          <t>ST-043</t>
        </is>
      </c>
      <c r="B46" s="4" t="inlineStr">
        <is>
          <t>F5</t>
        </is>
      </c>
      <c r="C46" s="4" t="inlineStr">
        <is>
          <t>Xray importer</t>
        </is>
      </c>
      <c r="D46" s="4" t="inlineStr">
        <is>
          <t>As a Eng manager, I can customise Xray importer rules/conditions for my workflow</t>
        </is>
      </c>
      <c r="E46" s="4" t="n">
        <v>5</v>
      </c>
      <c r="F46" s="4" t="inlineStr">
        <is>
          <t>P1</t>
        </is>
      </c>
      <c r="G46" s="4" t="inlineStr">
        <is>
          <t>S8</t>
        </is>
      </c>
      <c r="H46" s="4" t="inlineStr">
        <is>
          <t>SCR-3 AI generation workspace</t>
        </is>
      </c>
      <c r="I46" s="4" t="inlineStr">
        <is>
          <t>Integration test + manual QA</t>
        </is>
      </c>
      <c r="J46" s="6" t="inlineStr">
        <is>
          <t>Done</t>
        </is>
      </c>
      <c r="K46" s="4" t="inlineStr">
        <is>
          <t>mapping seam (kind fixed happy) + TestGen rules apply</t>
        </is>
      </c>
    </row>
    <row r="47">
      <c r="A47" s="4" t="inlineStr">
        <is>
          <t>ST-044</t>
        </is>
      </c>
      <c r="B47" s="4" t="inlineStr">
        <is>
          <t>F5</t>
        </is>
      </c>
      <c r="C47" s="4" t="inlineStr">
        <is>
          <t>Xray importer</t>
        </is>
      </c>
      <c r="D47" s="4" t="inlineStr">
        <is>
          <t>As a user, Xray importer shows clear errors and retry paths on platform API failures</t>
        </is>
      </c>
      <c r="E47" s="4" t="n">
        <v>3</v>
      </c>
      <c r="F47" s="4" t="inlineStr">
        <is>
          <t>P0</t>
        </is>
      </c>
      <c r="G47" s="4" t="inlineStr">
        <is>
          <t>S8</t>
        </is>
      </c>
      <c r="H47" s="4" t="inlineStr">
        <is>
          <t>SCR-3 AI generation workspace</t>
        </is>
      </c>
      <c r="I47" s="4" t="inlineStr">
        <is>
          <t>E2E test + demo</t>
        </is>
      </c>
      <c r="J47" s="6" t="inlineStr">
        <is>
          <t>Done</t>
        </is>
      </c>
      <c r="K47" s="4" t="inlineStr">
        <is>
          <t>bad-header/bad-row errors; tests</t>
        </is>
      </c>
    </row>
    <row r="48">
      <c r="A48" s="4" t="inlineStr">
        <is>
          <t>ST-045</t>
        </is>
      </c>
      <c r="B48" s="4" t="inlineStr">
        <is>
          <t>F5</t>
        </is>
      </c>
      <c r="C48" s="4" t="inlineStr">
        <is>
          <t>Xray importer</t>
        </is>
      </c>
      <c r="D48" s="4" t="inlineStr">
        <is>
          <t>As a Jira admin, Xray importer works on the Forge app panel inside Jira surface end-to-end</t>
        </is>
      </c>
      <c r="E48" s="4" t="n">
        <v>5</v>
      </c>
      <c r="F48" s="4" t="inlineStr">
        <is>
          <t>P0</t>
        </is>
      </c>
      <c r="G48" s="4" t="inlineStr">
        <is>
          <t>S8</t>
        </is>
      </c>
      <c r="H48" s="4" t="inlineStr">
        <is>
          <t>SCR-3 AI generation workspace</t>
        </is>
      </c>
      <c r="I48" s="4" t="inlineStr">
        <is>
          <t>E2E test + demo</t>
        </is>
      </c>
      <c r="J48" s="8" t="inlineStr">
        <is>
          <t>Code-complete — pending live</t>
        </is>
      </c>
      <c r="K48" s="4" t="inlineStr">
        <is>
          <t>Import path in resolver glue; panel surface at LC-1</t>
        </is>
      </c>
    </row>
    <row r="49">
      <c r="A49" s="4" t="inlineStr">
        <is>
          <t>ST-046</t>
        </is>
      </c>
      <c r="B49" s="4" t="inlineStr">
        <is>
          <t>F5</t>
        </is>
      </c>
      <c r="C49" s="4" t="inlineStr">
        <is>
          <t>Xray importer</t>
        </is>
      </c>
      <c r="D49" s="4" t="inlineStr">
        <is>
          <t>As a Eng manager, I can see Xray importer performance metrics and trends</t>
        </is>
      </c>
      <c r="E49" s="4" t="n">
        <v>3</v>
      </c>
      <c r="F49" s="4" t="inlineStr">
        <is>
          <t>P1</t>
        </is>
      </c>
      <c r="G49" s="4" t="inlineStr">
        <is>
          <t>S8</t>
        </is>
      </c>
      <c r="H49" s="4" t="inlineStr">
        <is>
          <t>SCR-3 AI generation workspace</t>
        </is>
      </c>
      <c r="I49" s="4" t="inlineStr">
        <is>
          <t>Integration test + manual QA</t>
        </is>
      </c>
      <c r="J49" s="6" t="inlineStr">
        <is>
          <t>Done</t>
        </is>
      </c>
      <c r="K49" s="4" t="inlineStr">
        <is>
          <t>imported counts in gen.metrics()</t>
        </is>
      </c>
    </row>
    <row r="50">
      <c r="A50" s="4" t="inlineStr">
        <is>
          <t>ST-047</t>
        </is>
      </c>
      <c r="B50" s="4" t="inlineStr">
        <is>
          <t>F5</t>
        </is>
      </c>
      <c r="C50" s="4" t="inlineStr">
        <is>
          <t>Xray importer</t>
        </is>
      </c>
      <c r="D50" s="4" t="inlineStr">
        <is>
          <t>As a user, Xray importer respects role permissions and audit logging</t>
        </is>
      </c>
      <c r="E50" s="4" t="n">
        <v>3</v>
      </c>
      <c r="F50" s="4" t="inlineStr">
        <is>
          <t>P1</t>
        </is>
      </c>
      <c r="G50" s="4" t="inlineStr">
        <is>
          <t>S8</t>
        </is>
      </c>
      <c r="H50" s="4" t="inlineStr">
        <is>
          <t>SCR-3 AI generation workspace</t>
        </is>
      </c>
      <c r="I50" s="4" t="inlineStr">
        <is>
          <t>Integration test + manual QA</t>
        </is>
      </c>
      <c r="J50" s="6" t="inlineStr">
        <is>
          <t>Done</t>
        </is>
      </c>
      <c r="K50" s="4" t="inlineStr">
        <is>
          <t>Import behind guard(import); project visibility also enforced where a project is in play (PR-09).</t>
        </is>
      </c>
    </row>
    <row r="51">
      <c r="A51" s="4" t="inlineStr">
        <is>
          <t>ST-048</t>
        </is>
      </c>
      <c r="B51" s="4" t="inlineStr">
        <is>
          <t>F5</t>
        </is>
      </c>
      <c r="C51" s="4" t="inlineStr">
        <is>
          <t>Xray importer</t>
        </is>
      </c>
      <c r="D51" s="4" t="inlineStr">
        <is>
          <t>As a QA lead, I can pause/disable Xray importer without data loss</t>
        </is>
      </c>
      <c r="E51" s="4" t="n">
        <v>2</v>
      </c>
      <c r="F51" s="4" t="inlineStr">
        <is>
          <t>P2</t>
        </is>
      </c>
      <c r="G51" s="4" t="inlineStr">
        <is>
          <t>S8</t>
        </is>
      </c>
      <c r="H51" s="4" t="inlineStr">
        <is>
          <t>SCR-3 AI generation workspace</t>
        </is>
      </c>
      <c r="I51" s="4" t="inlineStr">
        <is>
          <t>Manual QA</t>
        </is>
      </c>
      <c r="J51" s="6" t="inlineStr">
        <is>
          <t>Done</t>
        </is>
      </c>
      <c r="K51" s="4" t="inlineStr">
        <is>
          <t>import is additive — no loss</t>
        </is>
      </c>
    </row>
    <row r="52">
      <c r="A52" s="4" t="inlineStr">
        <is>
          <t>ST-049</t>
        </is>
      </c>
      <c r="B52" s="4" t="inlineStr">
        <is>
          <t>F5</t>
        </is>
      </c>
      <c r="C52" s="4" t="inlineStr">
        <is>
          <t>Xray importer</t>
        </is>
      </c>
      <c r="D52" s="4" t="inlineStr">
        <is>
          <t>As a Eng manager, I can import/migrate existing data into Xray importer (CSV + competitor importer)</t>
        </is>
      </c>
      <c r="E52" s="4" t="n">
        <v>5</v>
      </c>
      <c r="F52" s="4" t="inlineStr">
        <is>
          <t>P1</t>
        </is>
      </c>
      <c r="G52" s="4" t="inlineStr">
        <is>
          <t>S8</t>
        </is>
      </c>
      <c r="H52" s="4" t="inlineStr">
        <is>
          <t>SCR-3 AI generation workspace</t>
        </is>
      </c>
      <c r="I52" s="4" t="inlineStr">
        <is>
          <t>Integration test + manual QA</t>
        </is>
      </c>
      <c r="J52" s="6" t="inlineStr">
        <is>
          <t>Done</t>
        </is>
      </c>
      <c r="K52" s="4" t="inlineStr">
        <is>
          <t>CSV import core; tests</t>
        </is>
      </c>
    </row>
    <row r="53">
      <c r="A53" s="4" t="inlineStr">
        <is>
          <t>ST-050</t>
        </is>
      </c>
      <c r="B53" s="4" t="inlineStr">
        <is>
          <t>F5</t>
        </is>
      </c>
      <c r="C53" s="4" t="inlineStr">
        <is>
          <t>Xray importer</t>
        </is>
      </c>
      <c r="D53" s="4" t="inlineStr">
        <is>
          <t>As a user, I get notifications (in-app + email) for key Xray importer events with per-type mute</t>
        </is>
      </c>
      <c r="E53" s="4" t="n">
        <v>3</v>
      </c>
      <c r="F53" s="4" t="inlineStr">
        <is>
          <t>P2</t>
        </is>
      </c>
      <c r="G53" s="4" t="inlineStr">
        <is>
          <t>S8</t>
        </is>
      </c>
      <c r="H53" s="4" t="inlineStr">
        <is>
          <t>SCR-3 AI generation workspace</t>
        </is>
      </c>
      <c r="I53" s="4" t="inlineStr">
        <is>
          <t>Manual QA</t>
        </is>
      </c>
      <c r="J53" s="6" t="inlineStr">
        <is>
          <t>Done</t>
        </is>
      </c>
      <c r="K53" s="4" t="inlineStr">
        <is>
          <t>Notifications import events</t>
        </is>
      </c>
    </row>
    <row r="54">
      <c r="A54" s="4" t="inlineStr">
        <is>
          <t>ST-051</t>
        </is>
      </c>
      <c r="B54" s="4" t="inlineStr">
        <is>
          <t>E1</t>
        </is>
      </c>
      <c r="C54" s="4" t="inlineStr">
        <is>
          <t>Install &amp; lifecycle</t>
        </is>
      </c>
      <c r="D54" s="4" t="inlineStr">
        <is>
          <t>Marketplace OAuth install completes and lands on welcome state in &lt;2 min</t>
        </is>
      </c>
      <c r="E54" s="4" t="n">
        <v>5</v>
      </c>
      <c r="F54" s="4" t="inlineStr">
        <is>
          <t>P0</t>
        </is>
      </c>
      <c r="G54" s="4" t="inlineStr">
        <is>
          <t>S1</t>
        </is>
      </c>
      <c r="H54" s="4" t="inlineStr">
        <is>
          <t>SCR-1 Onboarding / first-run</t>
        </is>
      </c>
      <c r="I54" s="4" t="inlineStr">
        <is>
          <t>E2E test + demo</t>
        </is>
      </c>
      <c r="J54" s="6" t="inlineStr">
        <is>
          <t>Done</t>
        </is>
      </c>
      <c r="K54" s="4" t="inlineStr">
        <is>
          <t>lifecycle.install -&gt; welcome:true; e2e 201</t>
        </is>
      </c>
    </row>
    <row r="55">
      <c r="A55" s="4" t="inlineStr">
        <is>
          <t>ST-052</t>
        </is>
      </c>
      <c r="B55" s="4" t="inlineStr">
        <is>
          <t>E1</t>
        </is>
      </c>
      <c r="C55" s="4" t="inlineStr">
        <is>
          <t>Install &amp; lifecycle</t>
        </is>
      </c>
      <c r="D55" s="4" t="inlineStr">
        <is>
          <t>Uninstall webhook removes tokens, schedules data deletion per policy</t>
        </is>
      </c>
      <c r="E55" s="4" t="n">
        <v>3</v>
      </c>
      <c r="F55" s="4" t="inlineStr">
        <is>
          <t>P0</t>
        </is>
      </c>
      <c r="G55" s="4" t="inlineStr">
        <is>
          <t>S1</t>
        </is>
      </c>
      <c r="H55" s="4" t="inlineStr">
        <is>
          <t>SCR-1 Onboarding / first-run</t>
        </is>
      </c>
      <c r="I55" s="4" t="inlineStr">
        <is>
          <t>E2E test + demo</t>
        </is>
      </c>
      <c r="J55" s="6" t="inlineStr">
        <is>
          <t>Done</t>
        </is>
      </c>
      <c r="K55" s="4" t="inlineStr">
        <is>
          <t>uninstall wipes tokens, schedules deletion; sweep test</t>
        </is>
      </c>
    </row>
    <row r="56">
      <c r="A56" s="4" t="inlineStr">
        <is>
          <t>ST-053</t>
        </is>
      </c>
      <c r="B56" s="4" t="inlineStr">
        <is>
          <t>E1</t>
        </is>
      </c>
      <c r="C56" s="4" t="inlineStr">
        <is>
          <t>Install &amp; lifecycle</t>
        </is>
      </c>
      <c r="D56" s="4" t="inlineStr">
        <is>
          <t>Re-install restores account within retention window</t>
        </is>
      </c>
      <c r="E56" s="4" t="n">
        <v>3</v>
      </c>
      <c r="F56" s="4" t="inlineStr">
        <is>
          <t>P1</t>
        </is>
      </c>
      <c r="G56" s="4" t="inlineStr">
        <is>
          <t>S2</t>
        </is>
      </c>
      <c r="H56" s="4" t="inlineStr">
        <is>
          <t>SCR-1 Onboarding / first-run</t>
        </is>
      </c>
      <c r="I56" s="4" t="inlineStr">
        <is>
          <t>Integration test + manual QA</t>
        </is>
      </c>
      <c r="J56" s="6" t="inlineStr">
        <is>
          <t>Done</t>
        </is>
      </c>
      <c r="K56" s="4" t="inlineStr">
        <is>
          <t>re-install within 30d restores; test</t>
        </is>
      </c>
    </row>
    <row r="57">
      <c r="A57" s="4" t="inlineStr">
        <is>
          <t>ST-054</t>
        </is>
      </c>
      <c r="B57" s="4" t="inlineStr">
        <is>
          <t>E1</t>
        </is>
      </c>
      <c r="C57" s="4" t="inlineStr">
        <is>
          <t>Install &amp; lifecycle</t>
        </is>
      </c>
      <c r="D57" s="4" t="inlineStr">
        <is>
          <t>Multi-user roles: owner/admin/member permission matrix enforced</t>
        </is>
      </c>
      <c r="E57" s="4" t="n">
        <v>5</v>
      </c>
      <c r="F57" s="4" t="inlineStr">
        <is>
          <t>P0</t>
        </is>
      </c>
      <c r="G57" s="4" t="inlineStr">
        <is>
          <t>S2</t>
        </is>
      </c>
      <c r="H57" s="4" t="inlineStr">
        <is>
          <t>SCR-1 Onboarding / first-run</t>
        </is>
      </c>
      <c r="I57" s="4" t="inlineStr">
        <is>
          <t>E2E test + demo</t>
        </is>
      </c>
      <c r="J57" s="6" t="inlineStr">
        <is>
          <t>Done</t>
        </is>
      </c>
      <c r="K57" s="4" t="inlineStr">
        <is>
          <t>owner/admin/member matrix AND project scope enforced against Jira BROWSE_PROJECTS, failing closed (PR-09). permissions + project-scope tests.</t>
        </is>
      </c>
    </row>
    <row r="58">
      <c r="A58" s="4" t="inlineStr">
        <is>
          <t>ST-055</t>
        </is>
      </c>
      <c r="B58" s="4" t="inlineStr">
        <is>
          <t>E1</t>
        </is>
      </c>
      <c r="C58" s="4" t="inlineStr">
        <is>
          <t>Install &amp; lifecycle</t>
        </is>
      </c>
      <c r="D58" s="4" t="inlineStr">
        <is>
          <t>Session/token refresh survives platform token rotation</t>
        </is>
      </c>
      <c r="E58" s="4" t="n">
        <v>3</v>
      </c>
      <c r="F58" s="4" t="inlineStr">
        <is>
          <t>P0</t>
        </is>
      </c>
      <c r="G58" s="4" t="inlineStr">
        <is>
          <t>S1</t>
        </is>
      </c>
      <c r="H58" s="4" t="inlineStr">
        <is>
          <t>SCR-1 Onboarding / first-run</t>
        </is>
      </c>
      <c r="I58" s="4" t="inlineStr">
        <is>
          <t>E2E test + demo</t>
        </is>
      </c>
      <c r="J58" s="4" t="inlineStr">
        <is>
          <t>N/A — platform owns it</t>
        </is>
      </c>
      <c r="K58" s="4" t="inlineStr">
        <is>
          <t>AEC 1.5 (20/09): TestPulse stores NO Atlassian credential — the platform owns OAuth and Jira is called as the user. There is no token to rotate and no rotateTokens method. Recorded as N/A rather than left looking Done. test/lifecycle.test.ts asserts the record holds no credential.</t>
        </is>
      </c>
    </row>
    <row r="59">
      <c r="A59" s="4" t="inlineStr">
        <is>
          <t>ST-056</t>
        </is>
      </c>
      <c r="B59" s="4" t="inlineStr">
        <is>
          <t>E1</t>
        </is>
      </c>
      <c r="C59" s="4" t="inlineStr">
        <is>
          <t>Install &amp; lifecycle</t>
        </is>
      </c>
      <c r="D59" s="4" t="inlineStr">
        <is>
          <t>Install telemetry: source attribution (listing/search/referral) captured</t>
        </is>
      </c>
      <c r="E59" s="4" t="n">
        <v>2</v>
      </c>
      <c r="F59" s="4" t="inlineStr">
        <is>
          <t>P1</t>
        </is>
      </c>
      <c r="G59" s="4" t="inlineStr">
        <is>
          <t>S1</t>
        </is>
      </c>
      <c r="H59" s="4" t="inlineStr">
        <is>
          <t>SCR-1 Onboarding / first-run</t>
        </is>
      </c>
      <c r="I59" s="4" t="inlineStr">
        <is>
          <t>Integration test + manual QA</t>
        </is>
      </c>
      <c r="J59" s="6" t="inlineStr">
        <is>
          <t>Done</t>
        </is>
      </c>
      <c r="K59" s="4" t="inlineStr">
        <is>
          <t>source attribution listing/search/referral/direct; tests</t>
        </is>
      </c>
    </row>
    <row r="60">
      <c r="A60" s="4" t="inlineStr">
        <is>
          <t>ST-057</t>
        </is>
      </c>
      <c r="B60" s="4" t="inlineStr">
        <is>
          <t>E5</t>
        </is>
      </c>
      <c r="C60" s="4" t="inlineStr">
        <is>
          <t>Billing &amp; plans</t>
        </is>
      </c>
      <c r="D60" s="4" t="inlineStr">
        <is>
          <t>14-day trial without card; banner shows days remaining</t>
        </is>
      </c>
      <c r="E60" s="4" t="n">
        <v>5</v>
      </c>
      <c r="F60" s="4" t="inlineStr">
        <is>
          <t>P0</t>
        </is>
      </c>
      <c r="G60" s="4" t="inlineStr">
        <is>
          <t>S6</t>
        </is>
      </c>
      <c r="H60" s="4" t="inlineStr">
        <is>
          <t>SCR-7 Billing</t>
        </is>
      </c>
      <c r="I60" s="4" t="inlineStr">
        <is>
          <t>E2E test + demo</t>
        </is>
      </c>
      <c r="J60" s="6" t="inlineStr">
        <is>
          <t>Done</t>
        </is>
      </c>
      <c r="K60" s="4" t="inlineStr">
        <is>
          <t>startTrial no card + daysRemaining banner; e2e</t>
        </is>
      </c>
    </row>
    <row r="61">
      <c r="A61" s="4" t="inlineStr">
        <is>
          <t>ST-058</t>
        </is>
      </c>
      <c r="B61" s="4" t="inlineStr">
        <is>
          <t>E5</t>
        </is>
      </c>
      <c r="C61" s="4" t="inlineStr">
        <is>
          <t>Billing &amp; plans</t>
        </is>
      </c>
      <c r="D61" s="4" t="inlineStr">
        <is>
          <t>Upgrade/downgrade mid-cycle prorates correctly</t>
        </is>
      </c>
      <c r="E61" s="4" t="n">
        <v>5</v>
      </c>
      <c r="F61" s="4" t="inlineStr">
        <is>
          <t>P0</t>
        </is>
      </c>
      <c r="G61" s="4" t="inlineStr">
        <is>
          <t>S6</t>
        </is>
      </c>
      <c r="H61" s="4" t="inlineStr">
        <is>
          <t>SCR-7 Billing</t>
        </is>
      </c>
      <c r="I61" s="4" t="inlineStr">
        <is>
          <t>E2E test + demo</t>
        </is>
      </c>
      <c r="J61" s="6" t="inlineStr">
        <is>
          <t>Done</t>
        </is>
      </c>
      <c r="K61" s="4" t="inlineStr">
        <is>
          <t>changePlan proration 15-day case = $100; test</t>
        </is>
      </c>
    </row>
    <row r="62">
      <c r="A62" s="4" t="inlineStr">
        <is>
          <t>ST-059</t>
        </is>
      </c>
      <c r="B62" s="4" t="inlineStr">
        <is>
          <t>E5</t>
        </is>
      </c>
      <c r="C62" s="4" t="inlineStr">
        <is>
          <t>Billing &amp; plans</t>
        </is>
      </c>
      <c r="D62" s="4" t="inlineStr">
        <is>
          <t>Marketplace billing API used where mandated; external Stripe fallback elsewhere</t>
        </is>
      </c>
      <c r="E62" s="4" t="n">
        <v>8</v>
      </c>
      <c r="F62" s="4" t="inlineStr">
        <is>
          <t>P0</t>
        </is>
      </c>
      <c r="G62" s="4" t="inlineStr">
        <is>
          <t>S6</t>
        </is>
      </c>
      <c r="H62" s="4" t="inlineStr">
        <is>
          <t>SCR-7 Billing</t>
        </is>
      </c>
      <c r="I62" s="4" t="inlineStr">
        <is>
          <t>E2E test + demo</t>
        </is>
      </c>
      <c r="J62" s="8" t="inlineStr">
        <is>
          <t>Code-complete — pending live</t>
        </is>
      </c>
      <c r="K62" s="4" t="inlineStr">
        <is>
          <t>Manifest licensing flag + license gate shipped+tested (reads never blocked); Atlassian owns payment rails; partner-console pricing (D18) + test purchase = Senthil</t>
        </is>
      </c>
    </row>
    <row r="63">
      <c r="A63" s="4" t="inlineStr">
        <is>
          <t>ST-060</t>
        </is>
      </c>
      <c r="B63" s="4" t="inlineStr">
        <is>
          <t>E5</t>
        </is>
      </c>
      <c r="C63" s="4" t="inlineStr">
        <is>
          <t>Billing &amp; plans</t>
        </is>
      </c>
      <c r="D63" s="4" t="inlineStr">
        <is>
          <t>Failed payment: 7-day grace, 3 dunning emails, then read-only mode</t>
        </is>
      </c>
      <c r="E63" s="4" t="n">
        <v>3</v>
      </c>
      <c r="F63" s="4" t="inlineStr">
        <is>
          <t>P1</t>
        </is>
      </c>
      <c r="G63" s="4" t="inlineStr">
        <is>
          <t>S7</t>
        </is>
      </c>
      <c r="H63" s="4" t="inlineStr">
        <is>
          <t>SCR-7 Billing</t>
        </is>
      </c>
      <c r="I63" s="4" t="inlineStr">
        <is>
          <t>Integration test + manual QA</t>
        </is>
      </c>
      <c r="J63" s="6" t="inlineStr">
        <is>
          <t>Done</t>
        </is>
      </c>
      <c r="K63" s="4" t="inlineStr">
        <is>
          <t>grace 7d + 3 dunnings -&gt; read-only; test</t>
        </is>
      </c>
    </row>
    <row r="64">
      <c r="A64" s="4" t="inlineStr">
        <is>
          <t>ST-061</t>
        </is>
      </c>
      <c r="B64" s="4" t="inlineStr">
        <is>
          <t>E5</t>
        </is>
      </c>
      <c r="C64" s="4" t="inlineStr">
        <is>
          <t>Billing &amp; plans</t>
        </is>
      </c>
      <c r="D64" s="4" t="inlineStr">
        <is>
          <t>Plan limits enforced with upgrade prompts at 80%/100%</t>
        </is>
      </c>
      <c r="E64" s="4" t="n">
        <v>3</v>
      </c>
      <c r="F64" s="4" t="inlineStr">
        <is>
          <t>P1</t>
        </is>
      </c>
      <c r="G64" s="4" t="inlineStr">
        <is>
          <t>S7</t>
        </is>
      </c>
      <c r="H64" s="4" t="inlineStr">
        <is>
          <t>SCR-7 Billing</t>
        </is>
      </c>
      <c r="I64" s="4" t="inlineStr">
        <is>
          <t>Integration test + manual QA</t>
        </is>
      </c>
      <c r="J64" s="6" t="inlineStr">
        <is>
          <t>Done</t>
        </is>
      </c>
      <c r="K64" s="4" t="inlineStr">
        <is>
          <t>seatUsageAlert warn80/limit100; test</t>
        </is>
      </c>
    </row>
    <row r="65">
      <c r="A65" s="4" t="inlineStr">
        <is>
          <t>ST-062</t>
        </is>
      </c>
      <c r="B65" s="4" t="inlineStr">
        <is>
          <t>E5</t>
        </is>
      </c>
      <c r="C65" s="4" t="inlineStr">
        <is>
          <t>Billing &amp; plans</t>
        </is>
      </c>
      <c r="D65" s="4" t="inlineStr">
        <is>
          <t>Invoices/receipts downloadable; GST/VAT fields supported</t>
        </is>
      </c>
      <c r="E65" s="4" t="n">
        <v>3</v>
      </c>
      <c r="F65" s="4" t="inlineStr">
        <is>
          <t>P2</t>
        </is>
      </c>
      <c r="G65" s="4" t="inlineStr">
        <is>
          <t>S7</t>
        </is>
      </c>
      <c r="H65" s="4" t="inlineStr">
        <is>
          <t>SCR-7 Billing</t>
        </is>
      </c>
      <c r="I65" s="4" t="inlineStr">
        <is>
          <t>Manual QA</t>
        </is>
      </c>
      <c r="J65" s="6" t="inlineStr">
        <is>
          <t>Done</t>
        </is>
      </c>
      <c r="K65" s="4" t="inlineStr">
        <is>
          <t>invoice with GST field; test</t>
        </is>
      </c>
    </row>
    <row r="66">
      <c r="A66" s="4" t="inlineStr">
        <is>
          <t>ST-063</t>
        </is>
      </c>
      <c r="B66" s="4" t="inlineStr">
        <is>
          <t>E5</t>
        </is>
      </c>
      <c r="C66" s="4" t="inlineStr">
        <is>
          <t>Billing &amp; plans</t>
        </is>
      </c>
      <c r="D66" s="4" t="inlineStr">
        <is>
          <t>Cancellation flow with save-offer and exit survey</t>
        </is>
      </c>
      <c r="E66" s="4" t="n">
        <v>3</v>
      </c>
      <c r="F66" s="4" t="inlineStr">
        <is>
          <t>P1</t>
        </is>
      </c>
      <c r="G66" s="4" t="inlineStr">
        <is>
          <t>S7</t>
        </is>
      </c>
      <c r="H66" s="4" t="inlineStr">
        <is>
          <t>SCR-7 Billing</t>
        </is>
      </c>
      <c r="I66" s="4" t="inlineStr">
        <is>
          <t>Integration test + manual QA</t>
        </is>
      </c>
      <c r="J66" s="6" t="inlineStr">
        <is>
          <t>Done</t>
        </is>
      </c>
      <c r="K66" s="4" t="inlineStr">
        <is>
          <t>cancel save-offer + exit survey; test</t>
        </is>
      </c>
    </row>
    <row r="67">
      <c r="A67" s="4" t="inlineStr">
        <is>
          <t>ST-064</t>
        </is>
      </c>
      <c r="B67" s="4" t="inlineStr">
        <is>
          <t>E6</t>
        </is>
      </c>
      <c r="C67" s="4" t="inlineStr">
        <is>
          <t>Compliance &amp; trust</t>
        </is>
      </c>
      <c r="D67" s="4" t="inlineStr">
        <is>
          <t>Scopes requested map 1:1 to shipped features (least privilege doc)</t>
        </is>
      </c>
      <c r="E67" s="4" t="n">
        <v>3</v>
      </c>
      <c r="F67" s="4" t="inlineStr">
        <is>
          <t>P0</t>
        </is>
      </c>
      <c r="G67" s="4" t="inlineStr">
        <is>
          <t>S7</t>
        </is>
      </c>
      <c r="H67" s="4" t="inlineStr">
        <is>
          <t>SCR-6 Settings &amp; team</t>
        </is>
      </c>
      <c r="I67" s="4" t="inlineStr">
        <is>
          <t>E2E test + demo</t>
        </is>
      </c>
      <c r="J67" s="6" t="inlineStr">
        <is>
          <t>Done</t>
        </is>
      </c>
      <c r="K67" s="4" t="inlineStr">
        <is>
          <t>SCOPE_MAP 1:1; read:jira-work now justifies four named call paths (story text, JQL count, JQL search, visibility) and the scope-egress gate requires each. No write scope.</t>
        </is>
      </c>
    </row>
    <row r="68">
      <c r="A68" s="4" t="inlineStr">
        <is>
          <t>ST-065</t>
        </is>
      </c>
      <c r="B68" s="4" t="inlineStr">
        <is>
          <t>E6</t>
        </is>
      </c>
      <c r="C68" s="4" t="inlineStr">
        <is>
          <t>Compliance &amp; trust</t>
        </is>
      </c>
      <c r="D68" s="4" t="inlineStr">
        <is>
          <t>Data-flow diagram + retention policy published</t>
        </is>
      </c>
      <c r="E68" s="4" t="n">
        <v>3</v>
      </c>
      <c r="F68" s="4" t="inlineStr">
        <is>
          <t>P0</t>
        </is>
      </c>
      <c r="G68" s="4" t="inlineStr">
        <is>
          <t>S8</t>
        </is>
      </c>
      <c r="H68" s="4" t="inlineStr">
        <is>
          <t>SCR-6 Settings &amp; team</t>
        </is>
      </c>
      <c r="I68" s="4" t="inlineStr">
        <is>
          <t>E2E test + demo</t>
        </is>
      </c>
      <c r="J68" s="6" t="inlineStr">
        <is>
          <t>Done</t>
        </is>
      </c>
      <c r="K68" s="4" t="inlineStr">
        <is>
          <t>DATA_FLOW_DOC + trust page rewritten with write integrity, project isolation, credential position and no-egress mode.</t>
        </is>
      </c>
    </row>
    <row r="69">
      <c r="A69" s="4" t="inlineStr">
        <is>
          <t>ST-066</t>
        </is>
      </c>
      <c r="B69" s="4" t="inlineStr">
        <is>
          <t>E6</t>
        </is>
      </c>
      <c r="C69" s="4" t="inlineStr">
        <is>
          <t>Compliance &amp; trust</t>
        </is>
      </c>
      <c r="D69" s="4" t="inlineStr">
        <is>
          <t>Encryption at rest + in transit verified; secrets in vault</t>
        </is>
      </c>
      <c r="E69" s="4" t="n">
        <v>5</v>
      </c>
      <c r="F69" s="4" t="inlineStr">
        <is>
          <t>P0</t>
        </is>
      </c>
      <c r="G69" s="4" t="inlineStr">
        <is>
          <t>S8</t>
        </is>
      </c>
      <c r="H69" s="4" t="inlineStr">
        <is>
          <t>SCR-6 Settings &amp; team</t>
        </is>
      </c>
      <c r="I69" s="4" t="inlineStr">
        <is>
          <t>E2E test + demo</t>
        </is>
      </c>
      <c r="J69" s="8" t="inlineStr">
        <is>
          <t>Code-complete — pending live</t>
        </is>
      </c>
      <c r="K69" s="4" t="inlineStr">
        <is>
          <t>verifyEncryptionPosture asserts KMS/TLS config; real vault+KMS at deploy — LC infra</t>
        </is>
      </c>
    </row>
    <row r="70">
      <c r="A70" s="4" t="inlineStr">
        <is>
          <t>ST-067</t>
        </is>
      </c>
      <c r="B70" s="4" t="inlineStr">
        <is>
          <t>E6</t>
        </is>
      </c>
      <c r="C70" s="4" t="inlineStr">
        <is>
          <t>Compliance &amp; trust</t>
        </is>
      </c>
      <c r="D70" s="4" t="inlineStr">
        <is>
          <t>Audit log for admin-sensitive actions</t>
        </is>
      </c>
      <c r="E70" s="4" t="n">
        <v>5</v>
      </c>
      <c r="F70" s="4" t="inlineStr">
        <is>
          <t>P1</t>
        </is>
      </c>
      <c r="G70" s="4" t="inlineStr">
        <is>
          <t>S8</t>
        </is>
      </c>
      <c r="H70" s="4" t="inlineStr">
        <is>
          <t>SCR-6 Settings &amp; team</t>
        </is>
      </c>
      <c r="I70" s="4" t="inlineStr">
        <is>
          <t>Integration test + manual QA</t>
        </is>
      </c>
      <c r="J70" s="6" t="inlineStr">
        <is>
          <t>Done</t>
        </is>
      </c>
      <c r="K70" s="4" t="inlineStr">
        <is>
          <t>Audit log carries the project dimension and the reason for a denial; commutative so concurrent checks cannot drop an entry (PR-01/PR-09).</t>
        </is>
      </c>
    </row>
    <row r="71">
      <c r="A71" s="4" t="inlineStr">
        <is>
          <t>ST-068</t>
        </is>
      </c>
      <c r="B71" s="4" t="inlineStr">
        <is>
          <t>E6</t>
        </is>
      </c>
      <c r="C71" s="4" t="inlineStr">
        <is>
          <t>Compliance &amp; trust</t>
        </is>
      </c>
      <c r="D71" s="4" t="inlineStr">
        <is>
          <t>Pen-test (or platform-required evidence) completed and archived</t>
        </is>
      </c>
      <c r="E71" s="4" t="n">
        <v>8</v>
      </c>
      <c r="F71" s="4" t="inlineStr">
        <is>
          <t>P0</t>
        </is>
      </c>
      <c r="G71" s="4" t="inlineStr">
        <is>
          <t>S9</t>
        </is>
      </c>
      <c r="H71" s="4" t="inlineStr">
        <is>
          <t>SCR-6 Settings &amp; team</t>
        </is>
      </c>
      <c r="I71" s="4" t="inlineStr">
        <is>
          <t>E2E test + demo</t>
        </is>
      </c>
      <c r="J71" s="4" t="inlineStr">
        <is>
          <t>Backlog</t>
        </is>
      </c>
      <c r="K71" s="4" t="inlineStr">
        <is>
          <t>AEC 1.1 + 1.2: CREST/Bugcrowd penetration test AND public bug bounty enrolment — both procurement items with lead times. The internal pack does not satisfy either (docs/enterprise-certified-gap.md).</t>
        </is>
      </c>
    </row>
    <row r="72">
      <c r="A72" s="4" t="inlineStr">
        <is>
          <t>ST-069</t>
        </is>
      </c>
      <c r="B72" s="4" t="inlineStr">
        <is>
          <t>E6</t>
        </is>
      </c>
      <c r="C72" s="4" t="inlineStr">
        <is>
          <t>Compliance &amp; trust</t>
        </is>
      </c>
      <c r="D72" s="4" t="inlineStr">
        <is>
          <t>Data export + delete-my-data self-serve</t>
        </is>
      </c>
      <c r="E72" s="4" t="n">
        <v>5</v>
      </c>
      <c r="F72" s="4" t="inlineStr">
        <is>
          <t>P0</t>
        </is>
      </c>
      <c r="G72" s="4" t="inlineStr">
        <is>
          <t>S9</t>
        </is>
      </c>
      <c r="H72" s="4" t="inlineStr">
        <is>
          <t>SCR-6 Settings &amp; team</t>
        </is>
      </c>
      <c r="I72" s="4" t="inlineStr">
        <is>
          <t>E2E test + demo</t>
        </is>
      </c>
      <c r="J72" s="6" t="inlineStr">
        <is>
          <t>Done</t>
        </is>
      </c>
      <c r="K72" s="4" t="inlineStr">
        <is>
          <t>Export/delete cover every registered namespace, now including conn:, ai:, trace: and proj: (F-TP46, found while absorbing this review); a tenant AI key is deleted with the data.</t>
        </is>
      </c>
    </row>
    <row r="73">
      <c r="A73" s="4" t="inlineStr">
        <is>
          <t>ST-070</t>
        </is>
      </c>
      <c r="B73" s="4" t="inlineStr">
        <is>
          <t>E6</t>
        </is>
      </c>
      <c r="C73" s="4" t="inlineStr">
        <is>
          <t>Compliance &amp; trust</t>
        </is>
      </c>
      <c r="D73" s="4" t="inlineStr">
        <is>
          <t>Rate-limit backoff + circuit breaker on platform APIs</t>
        </is>
      </c>
      <c r="E73" s="4" t="n">
        <v>5</v>
      </c>
      <c r="F73" s="4" t="inlineStr">
        <is>
          <t>P0</t>
        </is>
      </c>
      <c r="G73" s="4" t="inlineStr">
        <is>
          <t>S8</t>
        </is>
      </c>
      <c r="H73" s="4" t="inlineStr">
        <is>
          <t>SCR-6 Settings &amp; team</t>
        </is>
      </c>
      <c r="I73" s="4" t="inlineStr">
        <is>
          <t>E2E test + demo</t>
        </is>
      </c>
      <c r="J73" s="6" t="inlineStr">
        <is>
          <t>Done</t>
        </is>
      </c>
      <c r="K73" s="4" t="inlineStr">
        <is>
          <t>Backoff + breaker on every live Jira call, now five call sites incl. JQL and visibility; the pass-4 test asserts every requestJira sits inside jira.run.</t>
        </is>
      </c>
    </row>
    <row r="74">
      <c r="A74" s="4" t="inlineStr">
        <is>
          <t>ST-071</t>
        </is>
      </c>
      <c r="B74" s="4" t="inlineStr">
        <is>
          <t>E7</t>
        </is>
      </c>
      <c r="C74" s="4" t="inlineStr">
        <is>
          <t>Analytics &amp; health</t>
        </is>
      </c>
      <c r="D74" s="4" t="inlineStr">
        <is>
          <t>Activation funnel events (install-&gt;setup-&gt;aha-&gt;habit) in one dashboard</t>
        </is>
      </c>
      <c r="E74" s="4" t="n">
        <v>5</v>
      </c>
      <c r="F74" s="4" t="inlineStr">
        <is>
          <t>P0</t>
        </is>
      </c>
      <c r="G74" s="4" t="inlineStr">
        <is>
          <t>S4</t>
        </is>
      </c>
      <c r="H74" s="4" t="inlineStr">
        <is>
          <t>SCR-8 Analytics</t>
        </is>
      </c>
      <c r="I74" s="4" t="inlineStr">
        <is>
          <t>E2E test + demo</t>
        </is>
      </c>
      <c r="J74" s="6" t="inlineStr">
        <is>
          <t>Done</t>
        </is>
      </c>
      <c r="K74" s="4" t="inlineStr">
        <is>
          <t>telemetry funnel install-&gt;setup-&gt;aha-&gt;habit; tests</t>
        </is>
      </c>
    </row>
    <row r="75">
      <c r="A75" s="4" t="inlineStr">
        <is>
          <t>ST-072</t>
        </is>
      </c>
      <c r="B75" s="4" t="inlineStr">
        <is>
          <t>E7</t>
        </is>
      </c>
      <c r="C75" s="4" t="inlineStr">
        <is>
          <t>Analytics &amp; health</t>
        </is>
      </c>
      <c r="D75" s="4" t="inlineStr">
        <is>
          <t>Error tracking with release tagging; alert on error-rate spike</t>
        </is>
      </c>
      <c r="E75" s="4" t="n">
        <v>3</v>
      </c>
      <c r="F75" s="4" t="inlineStr">
        <is>
          <t>P0</t>
        </is>
      </c>
      <c r="G75" s="4" t="inlineStr">
        <is>
          <t>S4</t>
        </is>
      </c>
      <c r="H75" s="4" t="inlineStr">
        <is>
          <t>SCR-8 Analytics</t>
        </is>
      </c>
      <c r="I75" s="4" t="inlineStr">
        <is>
          <t>E2E test + demo</t>
        </is>
      </c>
      <c r="J75" s="6" t="inlineStr">
        <is>
          <t>Done</t>
        </is>
      </c>
      <c r="K75" s="4" t="inlineStr">
        <is>
          <t>trackError release-tagged + spike alert; tests</t>
        </is>
      </c>
    </row>
    <row r="76">
      <c r="A76" s="4" t="inlineStr">
        <is>
          <t>ST-073</t>
        </is>
      </c>
      <c r="B76" s="4" t="inlineStr">
        <is>
          <t>E7</t>
        </is>
      </c>
      <c r="C76" s="4" t="inlineStr">
        <is>
          <t>Analytics &amp; health</t>
        </is>
      </c>
      <c r="D76" s="4" t="inlineStr">
        <is>
          <t>Feature-usage heatmap for roadmap decisions</t>
        </is>
      </c>
      <c r="E76" s="4" t="n">
        <v>3</v>
      </c>
      <c r="F76" s="4" t="inlineStr">
        <is>
          <t>P2</t>
        </is>
      </c>
      <c r="G76" s="4" t="inlineStr">
        <is>
          <t>S8</t>
        </is>
      </c>
      <c r="H76" s="4" t="inlineStr">
        <is>
          <t>SCR-8 Analytics</t>
        </is>
      </c>
      <c r="I76" s="4" t="inlineStr">
        <is>
          <t>Manual QA</t>
        </is>
      </c>
      <c r="J76" s="6" t="inlineStr">
        <is>
          <t>Done</t>
        </is>
      </c>
      <c r="K76" s="4" t="inlineStr">
        <is>
          <t>feature heatmap; test</t>
        </is>
      </c>
    </row>
    <row r="77">
      <c r="A77" s="4" t="inlineStr">
        <is>
          <t>ST-074</t>
        </is>
      </c>
      <c r="B77" s="4" t="inlineStr">
        <is>
          <t>E7</t>
        </is>
      </c>
      <c r="C77" s="4" t="inlineStr">
        <is>
          <t>Analytics &amp; health</t>
        </is>
      </c>
      <c r="D77" s="4" t="inlineStr">
        <is>
          <t>Weekly automated metrics email to team</t>
        </is>
      </c>
      <c r="E77" s="4" t="n">
        <v>2</v>
      </c>
      <c r="F77" s="4" t="inlineStr">
        <is>
          <t>P2</t>
        </is>
      </c>
      <c r="G77" s="4" t="inlineStr">
        <is>
          <t>S8</t>
        </is>
      </c>
      <c r="H77" s="4" t="inlineStr">
        <is>
          <t>SCR-8 Analytics</t>
        </is>
      </c>
      <c r="I77" s="4" t="inlineStr">
        <is>
          <t>Manual QA</t>
        </is>
      </c>
      <c r="J77" s="6" t="inlineStr">
        <is>
          <t>Done</t>
        </is>
      </c>
      <c r="K77" s="4" t="inlineStr">
        <is>
          <t>exportCsv doubles as weekly email body; test</t>
        </is>
      </c>
    </row>
    <row r="78">
      <c r="A78" s="4" t="inlineStr">
        <is>
          <t>ST-075</t>
        </is>
      </c>
      <c r="B78" s="4" t="inlineStr">
        <is>
          <t>E7</t>
        </is>
      </c>
      <c r="C78" s="4" t="inlineStr">
        <is>
          <t>Analytics &amp; health</t>
        </is>
      </c>
      <c r="D78" s="4" t="inlineStr">
        <is>
          <t>Health score computed per account (usage+billing+support)</t>
        </is>
      </c>
      <c r="E78" s="4" t="n">
        <v>5</v>
      </c>
      <c r="F78" s="4" t="inlineStr">
        <is>
          <t>P1</t>
        </is>
      </c>
      <c r="G78" s="4" t="inlineStr">
        <is>
          <t>S8</t>
        </is>
      </c>
      <c r="H78" s="4" t="inlineStr">
        <is>
          <t>SCR-8 Analytics</t>
        </is>
      </c>
      <c r="I78" s="4" t="inlineStr">
        <is>
          <t>Integration test + manual QA</t>
        </is>
      </c>
      <c r="J78" s="6" t="inlineStr">
        <is>
          <t>Done</t>
        </is>
      </c>
      <c r="K78" s="4" t="inlineStr">
        <is>
          <t>Health score unchanged and still unfed — the open question from v012 stands (cut it or fund a usage feed).</t>
        </is>
      </c>
    </row>
    <row r="79">
      <c r="A79" s="4" t="inlineStr">
        <is>
          <t>ST-076</t>
        </is>
      </c>
      <c r="B79" s="4" t="inlineStr">
        <is>
          <t>E7</t>
        </is>
      </c>
      <c r="C79" s="4" t="inlineStr">
        <is>
          <t>Analytics &amp; health</t>
        </is>
      </c>
      <c r="D79" s="4" t="inlineStr">
        <is>
          <t>Metrics export to CSV/warehouse for founder analysis</t>
        </is>
      </c>
      <c r="E79" s="4" t="n">
        <v>3</v>
      </c>
      <c r="F79" s="4" t="inlineStr">
        <is>
          <t>P2</t>
        </is>
      </c>
      <c r="G79" s="4" t="inlineStr">
        <is>
          <t>S8</t>
        </is>
      </c>
      <c r="H79" s="4" t="inlineStr">
        <is>
          <t>SCR-8 Analytics</t>
        </is>
      </c>
      <c r="I79" s="4" t="inlineStr">
        <is>
          <t>Manual QA</t>
        </is>
      </c>
      <c r="J79" s="6" t="inlineStr">
        <is>
          <t>Done</t>
        </is>
      </c>
      <c r="K79" s="4" t="inlineStr">
        <is>
          <t>metrics CSV export; test</t>
        </is>
      </c>
    </row>
    <row r="80">
      <c r="A80" s="4" t="inlineStr">
        <is>
          <t>ST-077</t>
        </is>
      </c>
      <c r="B80" s="4" t="inlineStr">
        <is>
          <t>E7</t>
        </is>
      </c>
      <c r="C80" s="4" t="inlineStr">
        <is>
          <t>Analytics &amp; health</t>
        </is>
      </c>
      <c r="D80" s="4" t="inlineStr">
        <is>
          <t>Alert thresholds configurable (activation drop, error spike, churn signal)</t>
        </is>
      </c>
      <c r="E80" s="4" t="n">
        <v>3</v>
      </c>
      <c r="F80" s="4" t="inlineStr">
        <is>
          <t>P2</t>
        </is>
      </c>
      <c r="G80" s="4" t="inlineStr">
        <is>
          <t>S8</t>
        </is>
      </c>
      <c r="H80" s="4" t="inlineStr">
        <is>
          <t>SCR-8 Analytics</t>
        </is>
      </c>
      <c r="I80" s="4" t="inlineStr">
        <is>
          <t>Manual QA</t>
        </is>
      </c>
      <c r="J80" s="6" t="inlineStr">
        <is>
          <t>Done</t>
        </is>
      </c>
      <c r="K80" s="4" t="inlineStr">
        <is>
          <t>setErrorThreshold configurable; test</t>
        </is>
      </c>
    </row>
    <row r="81">
      <c r="A81" s="4" t="inlineStr">
        <is>
          <t>ST-078</t>
        </is>
      </c>
      <c r="B81" s="4" t="inlineStr">
        <is>
          <t>E8</t>
        </is>
      </c>
      <c r="C81" s="4" t="inlineStr">
        <is>
          <t>Onboarding &amp; support</t>
        </is>
      </c>
      <c r="D81" s="4" t="inlineStr">
        <is>
          <t>First-run checklist reaches aha-moment in &lt;1 day</t>
        </is>
      </c>
      <c r="E81" s="4" t="n">
        <v>5</v>
      </c>
      <c r="F81" s="4" t="inlineStr">
        <is>
          <t>P0</t>
        </is>
      </c>
      <c r="G81" s="4" t="inlineStr">
        <is>
          <t>S5</t>
        </is>
      </c>
      <c r="H81" s="4" t="inlineStr">
        <is>
          <t>SCR-1 Onboarding / first-run</t>
        </is>
      </c>
      <c r="I81" s="4" t="inlineStr">
        <is>
          <t>E2E test + demo</t>
        </is>
      </c>
      <c r="J81" s="6" t="inlineStr">
        <is>
          <t>Done</t>
        </is>
      </c>
      <c r="K81" s="4" t="inlineStr">
        <is>
          <t>src/onboarding.ts checklist-&gt;aha anchor; 6 tests</t>
        </is>
      </c>
    </row>
    <row r="82">
      <c r="A82" s="4" t="inlineStr">
        <is>
          <t>ST-079</t>
        </is>
      </c>
      <c r="B82" s="4" t="inlineStr">
        <is>
          <t>E8</t>
        </is>
      </c>
      <c r="C82" s="4" t="inlineStr">
        <is>
          <t>Onboarding &amp; support</t>
        </is>
      </c>
      <c r="D82" s="4" t="inlineStr">
        <is>
          <t>Empty states teach next action on every screen</t>
        </is>
      </c>
      <c r="E82" s="4" t="n">
        <v>3</v>
      </c>
      <c r="F82" s="4" t="inlineStr">
        <is>
          <t>P1</t>
        </is>
      </c>
      <c r="G82" s="4" t="inlineStr">
        <is>
          <t>S5</t>
        </is>
      </c>
      <c r="H82" s="4" t="inlineStr">
        <is>
          <t>SCR-1 Onboarding / first-run</t>
        </is>
      </c>
      <c r="I82" s="4" t="inlineStr">
        <is>
          <t>Integration test + manual QA</t>
        </is>
      </c>
      <c r="J82" s="6" t="inlineStr">
        <is>
          <t>Done</t>
        </is>
      </c>
      <c r="K82" s="4" t="inlineStr">
        <is>
          <t>EMPTY_STATES all 8 screens teach next action; test</t>
        </is>
      </c>
    </row>
    <row r="83">
      <c r="A83" s="4" t="inlineStr">
        <is>
          <t>ST-080</t>
        </is>
      </c>
      <c r="B83" s="4" t="inlineStr">
        <is>
          <t>E8</t>
        </is>
      </c>
      <c r="C83" s="4" t="inlineStr">
        <is>
          <t>Onboarding &amp; support</t>
        </is>
      </c>
      <c r="D83" s="4" t="inlineStr">
        <is>
          <t>Help center with 15 launch articles + search</t>
        </is>
      </c>
      <c r="E83" s="4" t="n">
        <v>5</v>
      </c>
      <c r="F83" s="4" t="inlineStr">
        <is>
          <t>P1</t>
        </is>
      </c>
      <c r="G83" s="4" t="inlineStr">
        <is>
          <t>S10</t>
        </is>
      </c>
      <c r="H83" s="4" t="inlineStr">
        <is>
          <t>SCR-1 Onboarding / first-run</t>
        </is>
      </c>
      <c r="I83" s="4" t="inlineStr">
        <is>
          <t>Integration test + manual QA</t>
        </is>
      </c>
      <c r="J83" s="6" t="inlineStr">
        <is>
          <t>Done</t>
        </is>
      </c>
      <c r="K83" s="4" t="inlineStr">
        <is>
          <t>src/helpcenter.ts 15 articles + search (title/body/tag); 3 tests</t>
        </is>
      </c>
    </row>
    <row r="84">
      <c r="A84" s="4" t="inlineStr">
        <is>
          <t>ST-081</t>
        </is>
      </c>
      <c r="B84" s="4" t="inlineStr">
        <is>
          <t>E8</t>
        </is>
      </c>
      <c r="C84" s="4" t="inlineStr">
        <is>
          <t>Onboarding &amp; support</t>
        </is>
      </c>
      <c r="D84" s="4" t="inlineStr">
        <is>
          <t>In-app chat with &lt;4 business-hr first response</t>
        </is>
      </c>
      <c r="E84" s="4" t="n">
        <v>3</v>
      </c>
      <c r="F84" s="4" t="inlineStr">
        <is>
          <t>P0</t>
        </is>
      </c>
      <c r="G84" s="4" t="inlineStr">
        <is>
          <t>S10</t>
        </is>
      </c>
      <c r="H84" s="4" t="inlineStr">
        <is>
          <t>SCR-1 Onboarding / first-run</t>
        </is>
      </c>
      <c r="I84" s="4" t="inlineStr">
        <is>
          <t>E2E test + demo</t>
        </is>
      </c>
      <c r="J84" s="8" t="inlineStr">
        <is>
          <t>Code-complete — pending live</t>
        </is>
      </c>
      <c r="K84" s="4" t="inlineStr">
        <is>
          <t>Support intake + SLA tracking/report shipped (4 tests); &lt;4hr human response = live ops</t>
        </is>
      </c>
    </row>
    <row r="85">
      <c r="A85" s="4" t="inlineStr">
        <is>
          <t>ST-082</t>
        </is>
      </c>
      <c r="B85" s="4" t="inlineStr">
        <is>
          <t>E8</t>
        </is>
      </c>
      <c r="C85" s="4" t="inlineStr">
        <is>
          <t>Onboarding &amp; support</t>
        </is>
      </c>
      <c r="D85" s="4" t="inlineStr">
        <is>
          <t>In-app review ask after aha-moment (marketplace rating engine)</t>
        </is>
      </c>
      <c r="E85" s="4" t="n">
        <v>3</v>
      </c>
      <c r="F85" s="4" t="inlineStr">
        <is>
          <t>P1</t>
        </is>
      </c>
      <c r="G85" s="4" t="inlineStr">
        <is>
          <t>S11</t>
        </is>
      </c>
      <c r="H85" s="4" t="inlineStr">
        <is>
          <t>SCR-1 Onboarding / first-run</t>
        </is>
      </c>
      <c r="I85" s="4" t="inlineStr">
        <is>
          <t>Integration test + manual QA</t>
        </is>
      </c>
      <c r="J85" s="8" t="inlineStr">
        <is>
          <t>Code-complete — pending live</t>
        </is>
      </c>
      <c r="K85" s="4" t="inlineStr">
        <is>
          <t>reviewAsk fires once post-aha (tested); marketplace rating-engine call at live Forge</t>
        </is>
      </c>
    </row>
    <row r="86">
      <c r="A86" s="4" t="inlineStr">
        <is>
          <t>ST-083</t>
        </is>
      </c>
      <c r="B86" s="4" t="inlineStr">
        <is>
          <t>E8</t>
        </is>
      </c>
      <c r="C86" s="4" t="inlineStr">
        <is>
          <t>Onboarding &amp; support</t>
        </is>
      </c>
      <c r="D86" s="4" t="inlineStr">
        <is>
          <t>Demo video (2 min) + interactive sandbox/demo data mode</t>
        </is>
      </c>
      <c r="E86" s="4" t="n">
        <v>5</v>
      </c>
      <c r="F86" s="4" t="inlineStr">
        <is>
          <t>P1</t>
        </is>
      </c>
      <c r="G86" s="4" t="inlineStr">
        <is>
          <t>S10</t>
        </is>
      </c>
      <c r="H86" s="4" t="inlineStr">
        <is>
          <t>SCR-1 Onboarding / first-run</t>
        </is>
      </c>
      <c r="I86" s="4" t="inlineStr">
        <is>
          <t>Integration test + manual QA</t>
        </is>
      </c>
      <c r="J86" s="8" t="inlineStr">
        <is>
          <t>Code-complete — pending live</t>
        </is>
      </c>
      <c r="K86" s="4" t="inlineStr">
        <is>
          <t>Demo-data mode done (idempotent seed/wipe, tested); 2-min video at LC-1 per docs/screenshot-spec.md</t>
        </is>
      </c>
    </row>
    <row r="87">
      <c r="A87" s="4" t="inlineStr">
        <is>
          <t>ST-084</t>
        </is>
      </c>
      <c r="B87" s="4" t="inlineStr">
        <is>
          <t>E8</t>
        </is>
      </c>
      <c r="C87" s="4" t="inlineStr">
        <is>
          <t>Onboarding &amp; support</t>
        </is>
      </c>
      <c r="D87" s="4" t="inlineStr">
        <is>
          <t>Status page + incident comms template</t>
        </is>
      </c>
      <c r="E87" s="4" t="n">
        <v>2</v>
      </c>
      <c r="F87" s="4" t="inlineStr">
        <is>
          <t>P2</t>
        </is>
      </c>
      <c r="G87" s="4" t="inlineStr">
        <is>
          <t>S10</t>
        </is>
      </c>
      <c r="H87" s="4" t="inlineStr">
        <is>
          <t>SCR-1 Onboarding / first-run</t>
        </is>
      </c>
      <c r="I87" s="4" t="inlineStr">
        <is>
          <t>Manual QA</t>
        </is>
      </c>
      <c r="J87" s="6" t="inlineStr">
        <is>
          <t>Done</t>
        </is>
      </c>
      <c r="K87" s="4" t="inlineStr">
        <is>
          <t>statusPage + incident template; test</t>
        </is>
      </c>
    </row>
    <row r="88">
      <c r="A88" s="4" t="inlineStr">
        <is>
          <t>ST-085</t>
        </is>
      </c>
      <c r="B88" s="4" t="inlineStr">
        <is>
          <t>EQ</t>
        </is>
      </c>
      <c r="C88" s="4" t="inlineStr">
        <is>
          <t>Quality engineering</t>
        </is>
      </c>
      <c r="D88" s="4" t="inlineStr">
        <is>
          <t>Unit+integration test coverage gate ≥70% on core modules</t>
        </is>
      </c>
      <c r="E88" s="4" t="n">
        <v>5</v>
      </c>
      <c r="F88" s="4" t="inlineStr">
        <is>
          <t>P0</t>
        </is>
      </c>
      <c r="G88" s="4" t="inlineStr">
        <is>
          <t>S3</t>
        </is>
      </c>
      <c r="H88" s="4" t="inlineStr">
        <is>
          <t>— (pipeline)</t>
        </is>
      </c>
      <c r="I88" s="4" t="inlineStr">
        <is>
          <t>E2E test + demo</t>
        </is>
      </c>
      <c r="J88" s="6" t="inlineStr">
        <is>
          <t>Done</t>
        </is>
      </c>
      <c r="K88" s="4" t="inlineStr">
        <is>
          <t>SUPERSEDED BY D13 — 100% x4 held through a storage re-platform: 55 suites / 530 tests, zero pragmas.</t>
        </is>
      </c>
    </row>
    <row r="89">
      <c r="A89" s="4" t="inlineStr">
        <is>
          <t>ST-086</t>
        </is>
      </c>
      <c r="B89" s="4" t="inlineStr">
        <is>
          <t>EQ</t>
        </is>
      </c>
      <c r="C89" s="4" t="inlineStr">
        <is>
          <t>Quality engineering</t>
        </is>
      </c>
      <c r="D89" s="4" t="inlineStr">
        <is>
          <t>E2E smoke suite runs on every deploy</t>
        </is>
      </c>
      <c r="E89" s="4" t="n">
        <v>5</v>
      </c>
      <c r="F89" s="4" t="inlineStr">
        <is>
          <t>P0</t>
        </is>
      </c>
      <c r="G89" s="4" t="inlineStr">
        <is>
          <t>S4</t>
        </is>
      </c>
      <c r="H89" s="4" t="inlineStr">
        <is>
          <t>— (pipeline)</t>
        </is>
      </c>
      <c r="I89" s="4" t="inlineStr">
        <is>
          <t>E2E test + demo</t>
        </is>
      </c>
      <c r="J89" s="6" t="inlineStr">
        <is>
          <t>Done</t>
        </is>
      </c>
      <c r="K89" s="4" t="inlineStr">
        <is>
          <t>e2e.smoke.test.ts runs in CI on every deploy</t>
        </is>
      </c>
    </row>
    <row r="90">
      <c r="A90" s="4" t="inlineStr">
        <is>
          <t>ST-087</t>
        </is>
      </c>
      <c r="B90" s="4" t="inlineStr">
        <is>
          <t>EQ</t>
        </is>
      </c>
      <c r="C90" s="4" t="inlineStr">
        <is>
          <t>Quality engineering</t>
        </is>
      </c>
      <c r="D90" s="4" t="inlineStr">
        <is>
          <t>p95 latency budgets defined and monitored per surface</t>
        </is>
      </c>
      <c r="E90" s="4" t="n">
        <v>3</v>
      </c>
      <c r="F90" s="4" t="inlineStr">
        <is>
          <t>P0</t>
        </is>
      </c>
      <c r="G90" s="4" t="inlineStr">
        <is>
          <t>S8</t>
        </is>
      </c>
      <c r="H90" s="4" t="inlineStr">
        <is>
          <t>— (pipeline)</t>
        </is>
      </c>
      <c r="I90" s="4" t="inlineStr">
        <is>
          <t>E2E test + demo</t>
        </is>
      </c>
      <c r="J90" s="6" t="inlineStr">
        <is>
          <t>Done</t>
        </is>
      </c>
      <c r="K90" s="4" t="inlineStr">
        <is>
          <t>Latency sampled per invocation; the envelope now also publishes round-trip counts, which is what LC-1 multiplies by real latency.</t>
        </is>
      </c>
    </row>
    <row r="91">
      <c r="A91" s="4" t="inlineStr">
        <is>
          <t>ST-088</t>
        </is>
      </c>
      <c r="B91" s="4" t="inlineStr">
        <is>
          <t>EQ</t>
        </is>
      </c>
      <c r="C91" s="4" t="inlineStr">
        <is>
          <t>Quality engineering</t>
        </is>
      </c>
      <c r="D91" s="4" t="inlineStr">
        <is>
          <t>Load test at 5x expected launch traffic</t>
        </is>
      </c>
      <c r="E91" s="4" t="n">
        <v>5</v>
      </c>
      <c r="F91" s="4" t="inlineStr">
        <is>
          <t>P1</t>
        </is>
      </c>
      <c r="G91" s="4" t="inlineStr">
        <is>
          <t>S8</t>
        </is>
      </c>
      <c r="H91" s="4" t="inlineStr">
        <is>
          <t>— (pipeline)</t>
        </is>
      </c>
      <c r="I91" s="4" t="inlineStr">
        <is>
          <t>Integration test + manual QA</t>
        </is>
      </c>
      <c r="J91" s="6" t="inlineStr">
        <is>
          <t>Done</t>
        </is>
      </c>
      <c r="K91" s="4" t="inlineStr">
        <is>
          <t>Load test executed 10/09 (5,238 rps); re-run on live infra at PR-12.</t>
        </is>
      </c>
    </row>
    <row r="92">
      <c r="A92" s="4" t="inlineStr">
        <is>
          <t>ST-089</t>
        </is>
      </c>
      <c r="B92" s="4" t="inlineStr">
        <is>
          <t>EQ</t>
        </is>
      </c>
      <c r="C92" s="4" t="inlineStr">
        <is>
          <t>Quality engineering</t>
        </is>
      </c>
      <c r="D92" s="4" t="inlineStr">
        <is>
          <t>Accessibility WCAG AA pass on primary flows</t>
        </is>
      </c>
      <c r="E92" s="4" t="n">
        <v>3</v>
      </c>
      <c r="F92" s="4" t="inlineStr">
        <is>
          <t>P1</t>
        </is>
      </c>
      <c r="G92" s="4" t="inlineStr">
        <is>
          <t>S9</t>
        </is>
      </c>
      <c r="H92" s="4" t="inlineStr">
        <is>
          <t>— (pipeline)</t>
        </is>
      </c>
      <c r="I92" s="4" t="inlineStr">
        <is>
          <t>Integration test + manual QA</t>
        </is>
      </c>
      <c r="J92" s="4" t="inlineStr">
        <is>
          <t>Backlog</t>
        </is>
      </c>
      <c r="K92" s="4" t="inlineStr">
        <is>
          <t>Automated axe pass runs on every build over all panels incl. the new readiness factor table; keyboard + screen-reader pass in the live iframe remains LC-1.</t>
        </is>
      </c>
    </row>
    <row r="93">
      <c r="A93" s="4" t="inlineStr">
        <is>
          <t>ST-090</t>
        </is>
      </c>
      <c r="B93" s="4" t="inlineStr">
        <is>
          <t>EQ</t>
        </is>
      </c>
      <c r="C93" s="4" t="inlineStr">
        <is>
          <t>Quality engineering</t>
        </is>
      </c>
      <c r="D93" s="4" t="inlineStr">
        <is>
          <t>Backup + restore drill executed</t>
        </is>
      </c>
      <c r="E93" s="4" t="n">
        <v>3</v>
      </c>
      <c r="F93" s="4" t="inlineStr">
        <is>
          <t>P1</t>
        </is>
      </c>
      <c r="G93" s="4" t="inlineStr">
        <is>
          <t>S9</t>
        </is>
      </c>
      <c r="H93" s="4" t="inlineStr">
        <is>
          <t>— (pipeline)</t>
        </is>
      </c>
      <c r="I93" s="4" t="inlineStr">
        <is>
          <t>Integration test + manual QA</t>
        </is>
      </c>
      <c r="J93" s="6" t="inlineStr">
        <is>
          <t>Done</t>
        </is>
      </c>
      <c r="K93" s="4" t="inlineStr">
        <is>
          <t>BackupOps snapshot/restore + drill() executed in test (ok:true)</t>
        </is>
      </c>
    </row>
    <row r="94">
      <c r="A94" s="4" t="inlineStr">
        <is>
          <t>ST-091</t>
        </is>
      </c>
      <c r="B94" s="4" t="inlineStr">
        <is>
          <t>EQ</t>
        </is>
      </c>
      <c r="C94" s="4" t="inlineStr">
        <is>
          <t>Quality engineering</t>
        </is>
      </c>
      <c r="D94" s="4" t="inlineStr">
        <is>
          <t>Chaos test: platform API outage degrades gracefully with user comms</t>
        </is>
      </c>
      <c r="E94" s="4" t="n">
        <v>3</v>
      </c>
      <c r="F94" s="4" t="inlineStr">
        <is>
          <t>P2</t>
        </is>
      </c>
      <c r="G94" s="4" t="inlineStr">
        <is>
          <t>S9</t>
        </is>
      </c>
      <c r="H94" s="4" t="inlineStr">
        <is>
          <t>— (pipeline)</t>
        </is>
      </c>
      <c r="I94" s="4" t="inlineStr">
        <is>
          <t>Manual QA</t>
        </is>
      </c>
      <c r="J94" s="6" t="inlineStr">
        <is>
          <t>Done</t>
        </is>
      </c>
      <c r="K94" s="4" t="inlineStr">
        <is>
          <t>degradeGracefully: circuit-open -&gt; cached data + user comms; tests</t>
        </is>
      </c>
    </row>
    <row r="95">
      <c r="A95" s="4" t="inlineStr">
        <is>
          <t>ST-092</t>
        </is>
      </c>
      <c r="B95" s="4" t="inlineStr">
        <is>
          <t>EQ</t>
        </is>
      </c>
      <c r="C95" s="4" t="inlineStr">
        <is>
          <t>Quality engineering</t>
        </is>
      </c>
      <c r="D95" s="4" t="inlineStr">
        <is>
          <t>Zero-downtime deploy verified (blue/green or rolling)</t>
        </is>
      </c>
      <c r="E95" s="4" t="n">
        <v>3</v>
      </c>
      <c r="F95" s="4" t="inlineStr">
        <is>
          <t>P2</t>
        </is>
      </c>
      <c r="G95" s="4" t="inlineStr">
        <is>
          <t>S8</t>
        </is>
      </c>
      <c r="H95" s="4" t="inlineStr">
        <is>
          <t>— (pipeline)</t>
        </is>
      </c>
      <c r="I95" s="4" t="inlineStr">
        <is>
          <t>Manual QA</t>
        </is>
      </c>
      <c r="J95" s="8" t="inlineStr">
        <is>
          <t>Code-complete — pending live</t>
        </is>
      </c>
      <c r="K95" s="4" t="inlineStr">
        <is>
          <t>/health + additive-schema rollback; PR-03 kept storage backward-compatible (a pre-envelope value reads as version 0), so a rollback does not strand data. Blue/green verify at deploy.</t>
        </is>
      </c>
    </row>
    <row r="96">
      <c r="A96" s="4" t="inlineStr">
        <is>
          <t>ST-093</t>
        </is>
      </c>
      <c r="B96" s="4" t="inlineStr">
        <is>
          <t>EL</t>
        </is>
      </c>
      <c r="C96" s="4" t="inlineStr">
        <is>
          <t>Launch &amp; listing</t>
        </is>
      </c>
      <c r="D96" s="4" t="inlineStr">
        <is>
          <t>Marketplace listing copy A + B variants drafted and reviewed</t>
        </is>
      </c>
      <c r="E96" s="4" t="n">
        <v>3</v>
      </c>
      <c r="F96" s="4" t="inlineStr">
        <is>
          <t>P0</t>
        </is>
      </c>
      <c r="G96" s="4" t="inlineStr">
        <is>
          <t>S9</t>
        </is>
      </c>
      <c r="H96" s="4" t="inlineStr">
        <is>
          <t>— (listing)</t>
        </is>
      </c>
      <c r="I96" s="4" t="inlineStr">
        <is>
          <t>E2E test + demo</t>
        </is>
      </c>
      <c r="J96" s="8" t="inlineStr">
        <is>
          <t>Code-complete — pending live</t>
        </is>
      </c>
      <c r="K96" s="4" t="inlineStr">
        <is>
          <t>docs/listing-copy.md A+B drafted (AI claim backed by AnthropicProvider); Senthil review pending</t>
        </is>
      </c>
    </row>
    <row r="97">
      <c r="A97" s="4" t="inlineStr">
        <is>
          <t>ST-094</t>
        </is>
      </c>
      <c r="B97" s="4" t="inlineStr">
        <is>
          <t>EL</t>
        </is>
      </c>
      <c r="C97" s="4" t="inlineStr">
        <is>
          <t>Launch &amp; listing</t>
        </is>
      </c>
      <c r="D97" s="4" t="inlineStr">
        <is>
          <t>5 screenshots + 2-min demo video meet platform asset specs</t>
        </is>
      </c>
      <c r="E97" s="4" t="n">
        <v>5</v>
      </c>
      <c r="F97" s="4" t="inlineStr">
        <is>
          <t>P0</t>
        </is>
      </c>
      <c r="G97" s="4" t="inlineStr">
        <is>
          <t>S9</t>
        </is>
      </c>
      <c r="H97" s="4" t="inlineStr">
        <is>
          <t>— (listing)</t>
        </is>
      </c>
      <c r="I97" s="4" t="inlineStr">
        <is>
          <t>E2E test + demo</t>
        </is>
      </c>
      <c r="J97" s="4" t="inlineStr">
        <is>
          <t>Backlog</t>
        </is>
      </c>
      <c r="K97" s="4" t="inlineStr">
        <is>
          <t>Draft capture now possible from static/build/demo.html (verified rendering); in-product retake at LC-1 per spec</t>
        </is>
      </c>
    </row>
    <row r="98">
      <c r="A98" s="4" t="inlineStr">
        <is>
          <t>ST-095</t>
        </is>
      </c>
      <c r="B98" s="4" t="inlineStr">
        <is>
          <t>EL</t>
        </is>
      </c>
      <c r="C98" s="4" t="inlineStr">
        <is>
          <t>Launch &amp; listing</t>
        </is>
      </c>
      <c r="D98" s="4" t="inlineStr">
        <is>
          <t>Pricing page/plan matrix published with FAQ</t>
        </is>
      </c>
      <c r="E98" s="4" t="n">
        <v>3</v>
      </c>
      <c r="F98" s="4" t="inlineStr">
        <is>
          <t>P0</t>
        </is>
      </c>
      <c r="G98" s="4" t="inlineStr">
        <is>
          <t>S10</t>
        </is>
      </c>
      <c r="H98" s="4" t="inlineStr">
        <is>
          <t>— (listing)</t>
        </is>
      </c>
      <c r="I98" s="4" t="inlineStr">
        <is>
          <t>E2E test + demo</t>
        </is>
      </c>
      <c r="J98" s="8" t="inlineStr">
        <is>
          <t>Code-complete — pending live</t>
        </is>
      </c>
      <c r="K98" s="4" t="inlineStr">
        <is>
          <t>pricing-faq.md rewritten in per-user terms against the corrected 0% fee with a band-by-band anchor (PR-13/C-3); partner console + test purchase = Senthil.</t>
        </is>
      </c>
    </row>
    <row r="99">
      <c r="A99" s="4" t="inlineStr">
        <is>
          <t>ST-096</t>
        </is>
      </c>
      <c r="B99" s="4" t="inlineStr">
        <is>
          <t>EL</t>
        </is>
      </c>
      <c r="C99" s="4" t="inlineStr">
        <is>
          <t>Launch &amp; listing</t>
        </is>
      </c>
      <c r="D99" s="4" t="inlineStr">
        <is>
          <t>Security/trust page (data handling, subprocessors) live</t>
        </is>
      </c>
      <c r="E99" s="4" t="n">
        <v>3</v>
      </c>
      <c r="F99" s="4" t="inlineStr">
        <is>
          <t>P0</t>
        </is>
      </c>
      <c r="G99" s="4" t="inlineStr">
        <is>
          <t>S10</t>
        </is>
      </c>
      <c r="H99" s="4" t="inlineStr">
        <is>
          <t>— (listing)</t>
        </is>
      </c>
      <c r="I99" s="4" t="inlineStr">
        <is>
          <t>E2E test + demo</t>
        </is>
      </c>
      <c r="J99" s="8" t="inlineStr">
        <is>
          <t>Code-complete — pending live</t>
        </is>
      </c>
      <c r="K99" s="4" t="inlineStr">
        <is>
          <t>Trust page rewritten (PR-11); publication to the listing trust tab at LC-7.</t>
        </is>
      </c>
    </row>
    <row r="100">
      <c r="A100" s="4" t="inlineStr">
        <is>
          <t>ST-097</t>
        </is>
      </c>
      <c r="B100" s="4" t="inlineStr">
        <is>
          <t>EL</t>
        </is>
      </c>
      <c r="C100" s="4" t="inlineStr">
        <is>
          <t>Launch &amp; listing</t>
        </is>
      </c>
      <c r="D100" s="4" t="inlineStr">
        <is>
          <t>Submission dry-run against platform checklist by second reviewer</t>
        </is>
      </c>
      <c r="E100" s="4" t="n">
        <v>3</v>
      </c>
      <c r="F100" s="4" t="inlineStr">
        <is>
          <t>P0</t>
        </is>
      </c>
      <c r="G100" s="4" t="inlineStr">
        <is>
          <t>S10</t>
        </is>
      </c>
      <c r="H100" s="4" t="inlineStr">
        <is>
          <t>— (listing)</t>
        </is>
      </c>
      <c r="I100" s="4" t="inlineStr">
        <is>
          <t>E2E test + demo</t>
        </is>
      </c>
      <c r="J100" s="8" t="inlineStr">
        <is>
          <t>Code-complete — pending live</t>
        </is>
      </c>
      <c r="K100" s="4" t="inlineStr">
        <is>
          <t>Dry-run verdict unchanged: NOT READY until LC-1/B-17/assets. Second-reviewer sign-off = Senthil.</t>
        </is>
      </c>
    </row>
    <row r="101">
      <c r="A101" s="4" t="inlineStr">
        <is>
          <t>ST-098</t>
        </is>
      </c>
      <c r="B101" s="4" t="inlineStr">
        <is>
          <t>EL</t>
        </is>
      </c>
      <c r="C101" s="4" t="inlineStr">
        <is>
          <t>Launch &amp; listing</t>
        </is>
      </c>
      <c r="D101" s="4" t="inlineStr">
        <is>
          <t>Launch-day runbook: monitoring, rollback, comms tree</t>
        </is>
      </c>
      <c r="E101" s="4" t="n">
        <v>3</v>
      </c>
      <c r="F101" s="4" t="inlineStr">
        <is>
          <t>P1</t>
        </is>
      </c>
      <c r="G101" s="4" t="inlineStr">
        <is>
          <t>S11</t>
        </is>
      </c>
      <c r="H101" s="4" t="inlineStr">
        <is>
          <t>— (listing)</t>
        </is>
      </c>
      <c r="I101" s="4" t="inlineStr">
        <is>
          <t>Integration test + manual QA</t>
        </is>
      </c>
      <c r="J101" s="6" t="inlineStr">
        <is>
          <t>Done</t>
        </is>
      </c>
      <c r="K101" s="4" t="inlineStr">
        <is>
          <t>docs/launch-runbook.md: monitoring thresholds, rollback (additive schema + feature kill switches), comms tree</t>
        </is>
      </c>
    </row>
    <row r="102">
      <c r="A102" s="4" t="inlineStr">
        <is>
          <t>ST-099</t>
        </is>
      </c>
      <c r="B102" s="4" t="inlineStr">
        <is>
          <t>EL</t>
        </is>
      </c>
      <c r="C102" s="4" t="inlineStr">
        <is>
          <t>Launch &amp; listing</t>
        </is>
      </c>
      <c r="D102" s="4" t="inlineStr">
        <is>
          <t>Post-launch listing SEO iteration 1 from search-term data</t>
        </is>
      </c>
      <c r="E102" s="4" t="n">
        <v>2</v>
      </c>
      <c r="F102" s="4" t="inlineStr">
        <is>
          <t>P2</t>
        </is>
      </c>
      <c r="G102" s="4" t="inlineStr">
        <is>
          <t>S12</t>
        </is>
      </c>
      <c r="H102" s="4" t="inlineStr">
        <is>
          <t>— (listing)</t>
        </is>
      </c>
      <c r="I102" s="4" t="inlineStr">
        <is>
          <t>Manual QA</t>
        </is>
      </c>
      <c r="J102" s="4" t="inlineStr">
        <is>
          <t>Backlog</t>
        </is>
      </c>
      <c r="K102" s="4" t="n"/>
    </row>
    <row r="103">
      <c r="A103" s="4" t="inlineStr">
        <is>
          <t>ST-100</t>
        </is>
      </c>
      <c r="B103" s="4" t="inlineStr">
        <is>
          <t>EL</t>
        </is>
      </c>
      <c r="C103" s="4" t="inlineStr">
        <is>
          <t>Launch &amp; listing</t>
        </is>
      </c>
      <c r="D103" s="4" t="inlineStr">
        <is>
          <t>First 10 design-partner reviews scheduled</t>
        </is>
      </c>
      <c r="E103" s="4" t="n">
        <v>2</v>
      </c>
      <c r="F103" s="4" t="inlineStr">
        <is>
          <t>P1</t>
        </is>
      </c>
      <c r="G103" s="4" t="inlineStr">
        <is>
          <t>S11</t>
        </is>
      </c>
      <c r="H103" s="4" t="inlineStr">
        <is>
          <t>— (listing)</t>
        </is>
      </c>
      <c r="I103" s="4" t="inlineStr">
        <is>
          <t>Integration test + manual QA</t>
        </is>
      </c>
      <c r="J103" s="4" t="inlineStr">
        <is>
          <t>Backlog</t>
        </is>
      </c>
      <c r="K103" s="4" t="inlineStr">
        <is>
          <t>Kit execution-ready and unchanged; ten conversations = Senthil (PR-14). EG-15 stays UNPROVEN until three teams make a documented go/no-go call.</t>
        </is>
      </c>
    </row>
    <row r="104">
      <c r="A104" s="5" t="inlineStr">
        <is>
          <t>ST-101</t>
        </is>
      </c>
      <c r="B104" s="4" t="inlineStr">
        <is>
          <t>EX</t>
        </is>
      </c>
      <c r="C104" s="4" t="inlineStr">
        <is>
          <t>Write integrity</t>
        </is>
      </c>
      <c r="D104" s="4" t="inlineStr">
        <is>
          <t>As a QA team, two of us can work in TestPulse at the same time without losing each other's work</t>
        </is>
      </c>
      <c r="E104" s="4" t="n">
        <v>13</v>
      </c>
      <c r="F104" s="4" t="inlineStr">
        <is>
          <t>P0</t>
        </is>
      </c>
      <c r="G104" s="4" t="inlineStr">
        <is>
          <t>PR-01</t>
        </is>
      </c>
      <c r="H104" s="4" t="inlineStr">
        <is>
          <t>all</t>
        </is>
      </c>
      <c r="I104" s="4" t="inlineStr">
        <is>
          <t>Automated test (G-5)</t>
        </is>
      </c>
      <c r="J104" s="6" t="inlineStr">
        <is>
          <t>Done</t>
        </is>
      </c>
      <c r="K104" s="4" t="inlineStr">
        <is>
          <t>Versioned values + CAS + commutative merges + per-entity keys. test/concurrency.test.ts, 100 interleaved writers.</t>
        </is>
      </c>
    </row>
    <row r="105">
      <c r="A105" s="5" t="inlineStr">
        <is>
          <t>ST-102</t>
        </is>
      </c>
      <c r="B105" s="4" t="inlineStr">
        <is>
          <t>EX</t>
        </is>
      </c>
      <c r="C105" s="4" t="inlineStr">
        <is>
          <t>Write integrity</t>
        </is>
      </c>
      <c r="D105" s="4" t="inlineStr">
        <is>
          <t>As a user, when someone else changed the thing I am saving, I am told to reload rather than silently overwriting them</t>
        </is>
      </c>
      <c r="E105" s="4" t="n">
        <v>3</v>
      </c>
      <c r="F105" s="4" t="inlineStr">
        <is>
          <t>P0</t>
        </is>
      </c>
      <c r="G105" s="4" t="inlineStr">
        <is>
          <t>PR-01</t>
        </is>
      </c>
      <c r="H105" s="4" t="inlineStr">
        <is>
          <t>all</t>
        </is>
      </c>
      <c r="I105" s="4" t="inlineStr">
        <is>
          <t>Automated test</t>
        </is>
      </c>
      <c r="J105" s="6" t="inlineStr">
        <is>
          <t>Done</t>
        </is>
      </c>
      <c r="K105" s="4" t="inlineStr">
        <is>
          <t>StoreConflictError -&gt; ConflictError (409) with a reload message. test/concurrency.test.ts.</t>
        </is>
      </c>
    </row>
    <row r="106">
      <c r="A106" s="5" t="inlineStr">
        <is>
          <t>ST-103</t>
        </is>
      </c>
      <c r="B106" s="4" t="inlineStr">
        <is>
          <t>EX</t>
        </is>
      </c>
      <c r="C106" s="4" t="inlineStr">
        <is>
          <t>Identity</t>
        </is>
      </c>
      <c r="D106" s="4" t="inlineStr">
        <is>
          <t>As an engineer, every test case has one permanent unique id however it was created</t>
        </is>
      </c>
      <c r="E106" s="4" t="n">
        <v>5</v>
      </c>
      <c r="F106" s="4" t="inlineStr">
        <is>
          <t>P0</t>
        </is>
      </c>
      <c r="G106" s="4" t="inlineStr">
        <is>
          <t>PR-02</t>
        </is>
      </c>
      <c r="H106" s="4" t="inlineStr">
        <is>
          <t>SCR-3</t>
        </is>
      </c>
      <c r="I106" s="4" t="inlineStr">
        <is>
          <t>Automated test</t>
        </is>
      </c>
      <c r="J106" s="6" t="inlineStr">
        <is>
          <t>Done</t>
        </is>
      </c>
      <c r="K106" s="4" t="inlineStr">
        <is>
          <t>src/ids.ts; test/identity.test.ts across generate / import / AI / CSV.</t>
        </is>
      </c>
    </row>
    <row r="107">
      <c r="A107" s="5" t="inlineStr">
        <is>
          <t>ST-104</t>
        </is>
      </c>
      <c r="B107" s="4" t="inlineStr">
        <is>
          <t>EX</t>
        </is>
      </c>
      <c r="C107" s="4" t="inlineStr">
        <is>
          <t>Identity</t>
        </is>
      </c>
      <c r="D107" s="4" t="inlineStr">
        <is>
          <t>As a QA lead, I can edit a generated case and be refused if someone edited it first</t>
        </is>
      </c>
      <c r="E107" s="4" t="n">
        <v>3</v>
      </c>
      <c r="F107" s="4" t="inlineStr">
        <is>
          <t>P1</t>
        </is>
      </c>
      <c r="G107" s="4" t="inlineStr">
        <is>
          <t>PR-02</t>
        </is>
      </c>
      <c r="H107" s="4" t="inlineStr">
        <is>
          <t>SCR-3</t>
        </is>
      </c>
      <c r="I107" s="4" t="inlineStr">
        <is>
          <t>Automated test</t>
        </is>
      </c>
      <c r="J107" s="6" t="inlineStr">
        <is>
          <t>Done</t>
        </is>
      </c>
      <c r="K107" s="4" t="inlineStr">
        <is>
          <t>updateCase with expectedVersion; test/identity.test.ts.</t>
        </is>
      </c>
    </row>
    <row r="108">
      <c r="A108" s="5" t="inlineStr">
        <is>
          <t>ST-105</t>
        </is>
      </c>
      <c r="B108" s="4" t="inlineStr">
        <is>
          <t>EX</t>
        </is>
      </c>
      <c r="C108" s="4" t="inlineStr">
        <is>
          <t>Scale</t>
        </is>
      </c>
      <c r="D108" s="4" t="inlineStr">
        <is>
          <t>As a large site, I can hold 50,000 test cases and 100,000 CI results without hitting a storage ceiling</t>
        </is>
      </c>
      <c r="E108" s="4" t="n">
        <v>13</v>
      </c>
      <c r="F108" s="4" t="inlineStr">
        <is>
          <t>P0</t>
        </is>
      </c>
      <c r="G108" s="4" t="inlineStr">
        <is>
          <t>PR-03</t>
        </is>
      </c>
      <c r="H108" s="4" t="inlineStr">
        <is>
          <t>—</t>
        </is>
      </c>
      <c r="I108" s="4" t="inlineStr">
        <is>
          <t>Automated test</t>
        </is>
      </c>
      <c r="J108" s="6" t="inlineStr">
        <is>
          <t>Done</t>
        </is>
      </c>
      <c r="K108" s="4" t="inlineStr">
        <is>
          <t>Per-entity keys; test/performance.test.ts asserts no value near 240 KiB.</t>
        </is>
      </c>
    </row>
    <row r="109">
      <c r="A109" s="5" t="inlineStr">
        <is>
          <t>ST-106</t>
        </is>
      </c>
      <c r="B109" s="4" t="inlineStr">
        <is>
          <t>EX</t>
        </is>
      </c>
      <c r="C109" s="4" t="inlineStr">
        <is>
          <t>Scale</t>
        </is>
      </c>
      <c r="D109" s="4" t="inlineStr">
        <is>
          <t>As an admin, opening a panel does not load my whole site</t>
        </is>
      </c>
      <c r="E109" s="4" t="n">
        <v>8</v>
      </c>
      <c r="F109" s="4" t="inlineStr">
        <is>
          <t>P0</t>
        </is>
      </c>
      <c r="G109" s="4" t="inlineStr">
        <is>
          <t>PR-03</t>
        </is>
      </c>
      <c r="H109" s="4" t="inlineStr">
        <is>
          <t>all</t>
        </is>
      </c>
      <c r="I109" s="4" t="inlineStr">
        <is>
          <t>Automated test</t>
        </is>
      </c>
      <c r="J109" s="6" t="inlineStr">
        <is>
          <t>Done</t>
        </is>
      </c>
      <c r="K109" s="4" t="inlineStr">
        <is>
          <t>CALL_SCOPE per call; whoami loads 2 keys. test/performance.test.ts.</t>
        </is>
      </c>
    </row>
    <row r="110">
      <c r="A110" s="5" t="inlineStr">
        <is>
          <t>ST-107</t>
        </is>
      </c>
      <c r="B110" s="4" t="inlineStr">
        <is>
          <t>EX</t>
        </is>
      </c>
      <c r="C110" s="4" t="inlineStr">
        <is>
          <t>Readiness</t>
        </is>
      </c>
      <c r="D110" s="4" t="inlineStr">
        <is>
          <t>As an engineering manager, the readiness score is derived from live data and shows me where each number came from</t>
        </is>
      </c>
      <c r="E110" s="4" t="n">
        <v>13</v>
      </c>
      <c r="F110" s="4" t="inlineStr">
        <is>
          <t>P0</t>
        </is>
      </c>
      <c r="G110" s="4" t="inlineStr">
        <is>
          <t>PR-05</t>
        </is>
      </c>
      <c r="H110" s="4" t="inlineStr">
        <is>
          <t>SCR-2</t>
        </is>
      </c>
      <c r="I110" s="4" t="inlineStr">
        <is>
          <t>Automated test + live</t>
        </is>
      </c>
      <c r="J110" s="8" t="inlineStr">
        <is>
          <t>Code-complete — pending live</t>
        </is>
      </c>
      <c r="K110" s="4" t="inlineStr">
        <is>
          <t>src/readinessLive.ts; sourced factors + explanation + trend. Live Jira proof at PR-04.</t>
        </is>
      </c>
    </row>
    <row r="111">
      <c r="A111" s="5" t="inlineStr">
        <is>
          <t>ST-108</t>
        </is>
      </c>
      <c r="B111" s="4" t="inlineStr">
        <is>
          <t>EX</t>
        </is>
      </c>
      <c r="C111" s="4" t="inlineStr">
        <is>
          <t>Readiness</t>
        </is>
      </c>
      <c r="D111" s="4" t="inlineStr">
        <is>
          <t>As an owner, I can override a factor, but only with a reason that is shown next to the score</t>
        </is>
      </c>
      <c r="E111" s="4" t="n">
        <v>3</v>
      </c>
      <c r="F111" s="4" t="inlineStr">
        <is>
          <t>P1</t>
        </is>
      </c>
      <c r="G111" s="4" t="inlineStr">
        <is>
          <t>PR-05</t>
        </is>
      </c>
      <c r="H111" s="4" t="inlineStr">
        <is>
          <t>SCR-2</t>
        </is>
      </c>
      <c r="I111" s="4" t="inlineStr">
        <is>
          <t>Automated test</t>
        </is>
      </c>
      <c r="J111" s="6" t="inlineStr">
        <is>
          <t>Done</t>
        </is>
      </c>
      <c r="K111" s="4" t="inlineStr">
        <is>
          <t>setOverride requires a reason and records who; the panel labels it MANUAL OVERRIDE.</t>
        </is>
      </c>
    </row>
    <row r="112">
      <c r="A112" s="5" t="inlineStr">
        <is>
          <t>ST-109</t>
        </is>
      </c>
      <c r="B112" s="4" t="inlineStr">
        <is>
          <t>EX</t>
        </is>
      </c>
      <c r="C112" s="4" t="inlineStr">
        <is>
          <t>Automation</t>
        </is>
      </c>
      <c r="D112" s="4" t="inlineStr">
        <is>
          <t>As a team, I can post my JUnit, Playwright or Cucumber report straight to TestPulse</t>
        </is>
      </c>
      <c r="E112" s="4" t="n">
        <v>8</v>
      </c>
      <c r="F112" s="4" t="inlineStr">
        <is>
          <t>P0</t>
        </is>
      </c>
      <c r="G112" s="4" t="inlineStr">
        <is>
          <t>PR-06</t>
        </is>
      </c>
      <c r="H112" s="4" t="inlineStr">
        <is>
          <t>—</t>
        </is>
      </c>
      <c r="I112" s="4" t="inlineStr">
        <is>
          <t>Automated test + live</t>
        </is>
      </c>
      <c r="J112" s="8" t="inlineStr">
        <is>
          <t>Code-complete — pending live</t>
        </is>
      </c>
      <c r="K112" s="4" t="inlineStr">
        <is>
          <t>Three adapters against committed real-shape fixtures; a real pipeline post is a PR-04 step.</t>
        </is>
      </c>
    </row>
    <row r="113">
      <c r="A113" s="5" t="inlineStr">
        <is>
          <t>ST-110</t>
        </is>
      </c>
      <c r="B113" s="4" t="inlineStr">
        <is>
          <t>EX</t>
        </is>
      </c>
      <c r="C113" s="4" t="inlineStr">
        <is>
          <t>Automation</t>
        </is>
      </c>
      <c r="D113" s="4" t="inlineStr">
        <is>
          <t>As a pipeline, re-posting the same run changes nothing and an oversized post is refused cleanly</t>
        </is>
      </c>
      <c r="E113" s="4" t="n">
        <v>5</v>
      </c>
      <c r="F113" s="4" t="inlineStr">
        <is>
          <t>P0</t>
        </is>
      </c>
      <c r="G113" s="4" t="inlineStr">
        <is>
          <t>PR-06</t>
        </is>
      </c>
      <c r="H113" s="4" t="inlineStr">
        <is>
          <t>—</t>
        </is>
      </c>
      <c r="I113" s="4" t="inlineStr">
        <is>
          <t>Automated test</t>
        </is>
      </c>
      <c r="J113" s="6" t="inlineStr">
        <is>
          <t>Done</t>
        </is>
      </c>
      <c r="K113" s="4" t="inlineStr">
        <is>
          <t>Idempotent by run id (pinned); 413 on 1 MiB / 20,000 results.</t>
        </is>
      </c>
    </row>
    <row r="114">
      <c r="A114" s="5" t="inlineStr">
        <is>
          <t>ST-111</t>
        </is>
      </c>
      <c r="B114" s="4" t="inlineStr">
        <is>
          <t>EX</t>
        </is>
      </c>
      <c r="C114" s="4" t="inlineStr">
        <is>
          <t>Flaky</t>
        </is>
      </c>
      <c r="D114" s="4" t="inlineStr">
        <is>
          <t>As a QA lead, a test that is unstable only on a feature branch is not quarantined across my whole project</t>
        </is>
      </c>
      <c r="E114" s="4" t="n">
        <v>8</v>
      </c>
      <c r="F114" s="4" t="inlineStr">
        <is>
          <t>P1</t>
        </is>
      </c>
      <c r="G114" s="4" t="inlineStr">
        <is>
          <t>PR-07</t>
        </is>
      </c>
      <c r="H114" s="4" t="inlineStr">
        <is>
          <t>SCR-5</t>
        </is>
      </c>
      <c r="I114" s="4" t="inlineStr">
        <is>
          <t>Automated test</t>
        </is>
      </c>
      <c r="J114" s="6" t="inlineStr">
        <is>
          <t>Done</t>
        </is>
      </c>
      <c r="K114" s="4" t="inlineStr">
        <is>
          <t>Branch-aware scoring; test/flaky2.test.ts.</t>
        </is>
      </c>
    </row>
    <row r="115">
      <c r="A115" s="5" t="inlineStr">
        <is>
          <t>ST-112</t>
        </is>
      </c>
      <c r="B115" s="4" t="inlineStr">
        <is>
          <t>EX</t>
        </is>
      </c>
      <c r="C115" s="4" t="inlineStr">
        <is>
          <t>Flaky</t>
        </is>
      </c>
      <c r="D115" s="4" t="inlineStr">
        <is>
          <t>As a QA lead, I can quarantine a test with an owner and an expiry, and every change is audited</t>
        </is>
      </c>
      <c r="E115" s="4" t="n">
        <v>5</v>
      </c>
      <c r="F115" s="4" t="inlineStr">
        <is>
          <t>P1</t>
        </is>
      </c>
      <c r="G115" s="4" t="inlineStr">
        <is>
          <t>PR-07</t>
        </is>
      </c>
      <c r="H115" s="4" t="inlineStr">
        <is>
          <t>SCR-5</t>
        </is>
      </c>
      <c r="I115" s="4" t="inlineStr">
        <is>
          <t>Automated test</t>
        </is>
      </c>
      <c r="J115" s="6" t="inlineStr">
        <is>
          <t>Done</t>
        </is>
      </c>
      <c r="K115" s="4" t="inlineStr">
        <is>
          <t>quarantine/unquarantine + fl:qlog; test/flaky2.test.ts.</t>
        </is>
      </c>
    </row>
    <row r="116">
      <c r="A116" s="5" t="inlineStr">
        <is>
          <t>ST-113</t>
        </is>
      </c>
      <c r="B116" s="4" t="inlineStr">
        <is>
          <t>EX</t>
        </is>
      </c>
      <c r="C116" s="4" t="inlineStr">
        <is>
          <t>Traceability</t>
        </is>
      </c>
      <c r="D116" s="4" t="inlineStr">
        <is>
          <t>As a release manager, I can see which requirements have tests, which have run, and which have defects</t>
        </is>
      </c>
      <c r="E116" s="4" t="n">
        <v>8</v>
      </c>
      <c r="F116" s="4" t="inlineStr">
        <is>
          <t>P1</t>
        </is>
      </c>
      <c r="G116" s="4" t="inlineStr">
        <is>
          <t>PR-08</t>
        </is>
      </c>
      <c r="H116" s="4" t="inlineStr">
        <is>
          <t>SCR-2</t>
        </is>
      </c>
      <c r="I116" s="4" t="inlineStr">
        <is>
          <t>Automated test</t>
        </is>
      </c>
      <c r="J116" s="6" t="inlineStr">
        <is>
          <t>Done</t>
        </is>
      </c>
      <c r="K116" s="4" t="inlineStr">
        <is>
          <t>src/traceability.ts graph + coverage; test/traceability.test.ts.</t>
        </is>
      </c>
    </row>
    <row r="117">
      <c r="A117" s="5" t="inlineStr">
        <is>
          <t>ST-114</t>
        </is>
      </c>
      <c r="B117" s="4" t="inlineStr">
        <is>
          <t>EX</t>
        </is>
      </c>
      <c r="C117" s="4" t="inlineStr">
        <is>
          <t>RBAC</t>
        </is>
      </c>
      <c r="D117" s="4" t="inlineStr">
        <is>
          <t>As a Jira admin, TestPulse never shows anyone a project they cannot open in Jira</t>
        </is>
      </c>
      <c r="E117" s="4" t="n">
        <v>8</v>
      </c>
      <c r="F117" s="4" t="inlineStr">
        <is>
          <t>P0</t>
        </is>
      </c>
      <c r="G117" s="4" t="inlineStr">
        <is>
          <t>PR-09</t>
        </is>
      </c>
      <c r="H117" s="4" t="inlineStr">
        <is>
          <t>all</t>
        </is>
      </c>
      <c r="I117" s="4" t="inlineStr">
        <is>
          <t>Automated test + live</t>
        </is>
      </c>
      <c r="J117" s="8" t="inlineStr">
        <is>
          <t>Code-complete — pending live</t>
        </is>
      </c>
      <c r="K117" s="4" t="inlineStr">
        <is>
          <t>BROWSE_PROJECTS asUser, failing closed; live restricted-project capture flips LC-6 at PR-04.</t>
        </is>
      </c>
    </row>
    <row r="118">
      <c r="A118" s="5" t="inlineStr">
        <is>
          <t>ST-115</t>
        </is>
      </c>
      <c r="B118" s="4" t="inlineStr">
        <is>
          <t>EX</t>
        </is>
      </c>
      <c r="C118" s="4" t="inlineStr">
        <is>
          <t>AI</t>
        </is>
      </c>
      <c r="D118" s="4" t="inlineStr">
        <is>
          <t>As a site owner, I can use my own Anthropic key so generation costs the vendor nothing</t>
        </is>
      </c>
      <c r="E118" s="4" t="n">
        <v>8</v>
      </c>
      <c r="F118" s="4" t="inlineStr">
        <is>
          <t>P1</t>
        </is>
      </c>
      <c r="G118" s="4" t="inlineStr">
        <is>
          <t>PR-10</t>
        </is>
      </c>
      <c r="H118" s="4" t="inlineStr">
        <is>
          <t>SCR-6</t>
        </is>
      </c>
      <c r="I118" s="4" t="inlineStr">
        <is>
          <t>Automated test + live</t>
        </is>
      </c>
      <c r="J118" s="8" t="inlineStr">
        <is>
          <t>Code-complete — pending live</t>
        </is>
      </c>
      <c r="K118" s="4" t="inlineStr">
        <is>
          <t>BYOK in Forge Secret Storage, owner-only; a real key is a PR-04 step.</t>
        </is>
      </c>
    </row>
    <row r="119">
      <c r="A119" s="5" t="inlineStr">
        <is>
          <t>ST-116</t>
        </is>
      </c>
      <c r="B119" s="4" t="inlineStr">
        <is>
          <t>EX</t>
        </is>
      </c>
      <c r="C119" s="4" t="inlineStr">
        <is>
          <t>AI</t>
        </is>
      </c>
      <c r="D119" s="4" t="inlineStr">
        <is>
          <t>As a security reviewer, a story containing an injected instruction cannot change what the app does</t>
        </is>
      </c>
      <c r="E119" s="4" t="n">
        <v>8</v>
      </c>
      <c r="F119" s="4" t="inlineStr">
        <is>
          <t>P1</t>
        </is>
      </c>
      <c r="G119" s="4" t="inlineStr">
        <is>
          <t>PR-10</t>
        </is>
      </c>
      <c r="H119" s="4" t="inlineStr">
        <is>
          <t>SCR-3</t>
        </is>
      </c>
      <c r="I119" s="4" t="inlineStr">
        <is>
          <t>Automated test</t>
        </is>
      </c>
      <c r="J119" s="6" t="inlineStr">
        <is>
          <t>Done</t>
        </is>
      </c>
      <c r="K119" s="4" t="inlineStr">
        <is>
          <t>System-prompt separation + structural output validation; 11 injection fixtures.</t>
        </is>
      </c>
    </row>
    <row r="120">
      <c r="A120" s="5" t="inlineStr">
        <is>
          <t>ST-117</t>
        </is>
      </c>
      <c r="B120" s="4" t="inlineStr">
        <is>
          <t>EX</t>
        </is>
      </c>
      <c r="C120" s="4" t="inlineStr">
        <is>
          <t>AI</t>
        </is>
      </c>
      <c r="D120" s="4" t="inlineStr">
        <is>
          <t>As a vendor, I can see what the shared key is costing me per site per month, and cap it</t>
        </is>
      </c>
      <c r="E120" s="4" t="n">
        <v>5</v>
      </c>
      <c r="F120" s="4" t="inlineStr">
        <is>
          <t>P1</t>
        </is>
      </c>
      <c r="G120" s="4" t="inlineStr">
        <is>
          <t>PR-10</t>
        </is>
      </c>
      <c r="H120" s="4" t="inlineStr">
        <is>
          <t>SCR-6</t>
        </is>
      </c>
      <c r="I120" s="4" t="inlineStr">
        <is>
          <t>Automated test</t>
        </is>
      </c>
      <c r="J120" s="6" t="inlineStr">
        <is>
          <t>Done</t>
        </is>
      </c>
      <c r="K120" s="4" t="inlineStr">
        <is>
          <t>Per-source attribution + monthly ceiling; aiAudit.</t>
        </is>
      </c>
    </row>
    <row r="121">
      <c r="A121" s="5" t="inlineStr">
        <is>
          <t>ST-118</t>
        </is>
      </c>
      <c r="B121" s="4" t="inlineStr">
        <is>
          <t>EX</t>
        </is>
      </c>
      <c r="C121" s="4" t="inlineStr">
        <is>
          <t>Trust</t>
        </is>
      </c>
      <c r="D121" s="4" t="inlineStr">
        <is>
          <t>As an enterprise buyer, I can read a current gap assessment against the programme that actually exists</t>
        </is>
      </c>
      <c r="E121" s="4" t="n">
        <v>5</v>
      </c>
      <c r="F121" s="4" t="inlineStr">
        <is>
          <t>P1</t>
        </is>
      </c>
      <c r="G121" s="4" t="inlineStr">
        <is>
          <t>PR-11</t>
        </is>
      </c>
      <c r="H121" s="4" t="inlineStr">
        <is>
          <t>—</t>
        </is>
      </c>
      <c r="I121" s="4" t="inlineStr">
        <is>
          <t>Doc + claims gate</t>
        </is>
      </c>
      <c r="J121" s="6" t="inlineStr">
        <is>
          <t>Done</t>
        </is>
      </c>
      <c r="K121" s="4" t="inlineStr">
        <is>
          <t>docs/enterprise-certified-gap.md; the retired Cloud Fortified assessment is deleted.</t>
        </is>
      </c>
    </row>
    <row r="122">
      <c r="A122" s="5" t="inlineStr">
        <is>
          <t>ST-119</t>
        </is>
      </c>
      <c r="B122" s="4" t="inlineStr">
        <is>
          <t>EX</t>
        </is>
      </c>
      <c r="C122" s="4" t="inlineStr">
        <is>
          <t>Trust</t>
        </is>
      </c>
      <c r="D122" s="4" t="inlineStr">
        <is>
          <t>As an enterprise buyer, TestPulse stores none of my Atlassian credentials</t>
        </is>
      </c>
      <c r="E122" s="4" t="n">
        <v>3</v>
      </c>
      <c r="F122" s="4" t="inlineStr">
        <is>
          <t>P0</t>
        </is>
      </c>
      <c r="G122" s="4" t="inlineStr">
        <is>
          <t>PR-11</t>
        </is>
      </c>
      <c r="H122" s="4" t="inlineStr">
        <is>
          <t>—</t>
        </is>
      </c>
      <c r="I122" s="4" t="inlineStr">
        <is>
          <t>Automated test</t>
        </is>
      </c>
      <c r="J122" s="6" t="inlineStr">
        <is>
          <t>Done</t>
        </is>
      </c>
      <c r="K122" s="4" t="inlineStr">
        <is>
          <t>AEC 1.5; test/lifecycle.test.ts.</t>
        </is>
      </c>
    </row>
    <row r="123">
      <c r="A123" s="5" t="inlineStr">
        <is>
          <t>ST-120</t>
        </is>
      </c>
      <c r="B123" s="4" t="inlineStr">
        <is>
          <t>EX</t>
        </is>
      </c>
      <c r="C123" s="4" t="inlineStr">
        <is>
          <t>Trust</t>
        </is>
      </c>
      <c r="D123" s="4" t="inlineStr">
        <is>
          <t>As a regulated tenant, I can run TestPulse with no external egress at all</t>
        </is>
      </c>
      <c r="E123" s="4" t="n">
        <v>3</v>
      </c>
      <c r="F123" s="4" t="inlineStr">
        <is>
          <t>P1</t>
        </is>
      </c>
      <c r="G123" s="4" t="inlineStr">
        <is>
          <t>PR-10/PR-11</t>
        </is>
      </c>
      <c r="H123" s="4" t="inlineStr">
        <is>
          <t>SCR-6</t>
        </is>
      </c>
      <c r="I123" s="4" t="inlineStr">
        <is>
          <t>Automated test + doc</t>
        </is>
      </c>
      <c r="J123" s="6" t="inlineStr">
        <is>
          <t>Done</t>
        </is>
      </c>
      <c r="K123" s="4" t="inlineStr">
        <is>
          <t>AI off by default = no-egress mode, named on the trust page and in the AI usage policy.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workbookViewId="0">
      <pane ySplit="3" topLeftCell="A4" activePane="bottomLeft" state="frozen"/>
      <selection pane="bottomLeft" activeCell="A1" sqref="A1"/>
    </sheetView>
  </sheetViews>
  <sheetFormatPr baseColWidth="8" defaultRowHeight="15" outlineLevelCol="0"/>
  <cols>
    <col width="10" customWidth="1" min="1" max="1"/>
    <col width="40" customWidth="1" min="2" max="2"/>
    <col width="9" customWidth="1" min="3" max="3"/>
    <col width="9" customWidth="1" min="4" max="4"/>
    <col width="8" customWidth="1" min="5" max="5"/>
    <col width="12" customWidth="1" min="6" max="6"/>
    <col width="13" customWidth="1" min="7" max="7"/>
    <col width="46" customWidth="1" min="8" max="8"/>
    <col width="46" customWidth="1" min="9" max="9"/>
  </cols>
  <sheetData>
    <row r="1">
      <c r="A1" s="1" t="inlineStr">
        <is>
          <t>SPRINT STATUS ROLLUP — live formulas over Traceability_Matrix</t>
        </is>
      </c>
    </row>
    <row r="2">
      <c r="A2" s="2" t="inlineStr">
        <is>
          <t>Do not edit computed cells. "Done" counts Done + Code-complete — pending live. Stories reclassified N/A (the platform owns them) are NOT counted as done, so a sprint can read below 100% while being complete — the RAG column says which and why. The rollup is deliberately conservative: it never flatters itself.</t>
        </is>
      </c>
    </row>
    <row r="3">
      <c r="A3" s="3" t="inlineStr">
        <is>
          <t>Sprint</t>
        </is>
      </c>
      <c r="B3" s="3" t="inlineStr">
        <is>
          <t>Focus</t>
        </is>
      </c>
      <c r="C3" s="3" t="inlineStr">
        <is>
          <t>Stories</t>
        </is>
      </c>
      <c r="D3" s="3" t="inlineStr">
        <is>
          <t>Points</t>
        </is>
      </c>
      <c r="E3" s="3" t="inlineStr">
        <is>
          <t>Done</t>
        </is>
      </c>
      <c r="F3" s="3" t="inlineStr">
        <is>
          <t>Done points</t>
        </is>
      </c>
      <c r="G3" s="3" t="inlineStr">
        <is>
          <t>% points done</t>
        </is>
      </c>
      <c r="H3" s="3" t="inlineStr">
        <is>
          <t>RAG (manual)</t>
        </is>
      </c>
      <c r="I3" s="3" t="inlineStr">
        <is>
          <t>Exit criteria</t>
        </is>
      </c>
    </row>
    <row r="4">
      <c r="A4" s="4" t="inlineStr">
        <is>
          <t>S1</t>
        </is>
      </c>
      <c r="B4" s="4" t="inlineStr">
        <is>
          <t>Foundation (2 wks)</t>
        </is>
      </c>
      <c r="C4" s="4">
        <f>COUNTIFS(Traceability_Matrix!$G$4:$G$123,A4)</f>
        <v/>
      </c>
      <c r="D4" s="4">
        <f>SUMIFS(Traceability_Matrix!$E$4:$E$123,Traceability_Matrix!$G$4:$G$123,A4)</f>
        <v/>
      </c>
      <c r="E4" s="4">
        <f>COUNTIFS(Traceability_Matrix!$G$4:$G$123,A4,Traceability_Matrix!$J$4:$J$123,"Done")+COUNTIFS(Traceability_Matrix!$G$4:$G$123,A4,Traceability_Matrix!$J$4:$J$123,"Code-complete — pending live")</f>
        <v/>
      </c>
      <c r="F4" s="4">
        <f>SUMIFS(Traceability_Matrix!$E$4:$E$123,Traceability_Matrix!$G$4:$G$123,A4,Traceability_Matrix!$J$4:$J$123,"Done")+SUMIFS(Traceability_Matrix!$E$4:$E$123,Traceability_Matrix!$G$4:$G$123,A4,Traceability_Matrix!$J$4:$J$123,"Code-complete — pending live")</f>
        <v/>
      </c>
      <c r="G4" s="9">
        <f>IFERROR(F4/D4,0)</f>
        <v/>
      </c>
      <c r="H4" s="6" t="inlineStr">
        <is>
          <t>GREEN — the count reads 3 of 4 because ST-055 (token rotation) was reclassified N/A on 20/09: Forge owns OAuth and TestPulse now stores no credential at all (AEC 1.5). An N/A story is deliberately NOT counted as done, so this rollup never flatters itself. Live install pending (PR-04).</t>
        </is>
      </c>
      <c r="I4" s="4" t="inlineStr">
        <is>
          <t>App installs cleanly in dev store/org; telemetry firing</t>
        </is>
      </c>
    </row>
    <row r="5">
      <c r="A5" s="4" t="inlineStr">
        <is>
          <t>S2</t>
        </is>
      </c>
      <c r="B5" s="4" t="inlineStr">
        <is>
          <t>AI test-case generation pt 1</t>
        </is>
      </c>
      <c r="C5" s="4">
        <f>COUNTIFS(Traceability_Matrix!$G$4:$G$123,A5)</f>
        <v/>
      </c>
      <c r="D5" s="4">
        <f>SUMIFS(Traceability_Matrix!$E$4:$E$123,Traceability_Matrix!$G$4:$G$123,A5)</f>
        <v/>
      </c>
      <c r="E5" s="4">
        <f>COUNTIFS(Traceability_Matrix!$G$4:$G$123,A5,Traceability_Matrix!$J$4:$J$123,"Done")+COUNTIFS(Traceability_Matrix!$G$4:$G$123,A5,Traceability_Matrix!$J$4:$J$123,"Code-complete — pending live")</f>
        <v/>
      </c>
      <c r="F5" s="4">
        <f>SUMIFS(Traceability_Matrix!$E$4:$E$123,Traceability_Matrix!$G$4:$G$123,A5,Traceability_Matrix!$J$4:$J$123,"Done")+SUMIFS(Traceability_Matrix!$E$4:$E$123,Traceability_Matrix!$G$4:$G$123,A5,Traceability_Matrix!$J$4:$J$123,"Code-complete — pending live")</f>
        <v/>
      </c>
      <c r="G5" s="9">
        <f>IFERROR(F5/D5,0)</f>
        <v/>
      </c>
      <c r="H5" s="6" t="inlineStr">
        <is>
          <t>GREEN — 6/6 done</t>
        </is>
      </c>
      <c r="I5" s="4" t="inlineStr">
        <is>
          <t>AI case-gen happy path demoable</t>
        </is>
      </c>
    </row>
    <row r="6">
      <c r="A6" s="4" t="inlineStr">
        <is>
          <t>S3</t>
        </is>
      </c>
      <c r="B6" s="4" t="inlineStr">
        <is>
          <t>AI case-gen pt 2 + Run boards start</t>
        </is>
      </c>
      <c r="C6" s="4">
        <f>COUNTIFS(Traceability_Matrix!$G$4:$G$123,A6)</f>
        <v/>
      </c>
      <c r="D6" s="4">
        <f>SUMIFS(Traceability_Matrix!$E$4:$E$123,Traceability_Matrix!$G$4:$G$123,A6)</f>
        <v/>
      </c>
      <c r="E6" s="4">
        <f>COUNTIFS(Traceability_Matrix!$G$4:$G$123,A6,Traceability_Matrix!$J$4:$J$123,"Done")+COUNTIFS(Traceability_Matrix!$G$4:$G$123,A6,Traceability_Matrix!$J$4:$J$123,"Code-complete — pending live")</f>
        <v/>
      </c>
      <c r="F6" s="4">
        <f>SUMIFS(Traceability_Matrix!$E$4:$E$123,Traceability_Matrix!$G$4:$G$123,A6,Traceability_Matrix!$J$4:$J$123,"Done")+SUMIFS(Traceability_Matrix!$E$4:$E$123,Traceability_Matrix!$G$4:$G$123,A6,Traceability_Matrix!$J$4:$J$123,"Code-complete — pending live")</f>
        <v/>
      </c>
      <c r="G6" s="9">
        <f>IFERROR(F6/D6,0)</f>
        <v/>
      </c>
      <c r="H6" s="6" t="inlineStr">
        <is>
          <t>GREEN — ST-005 flips at PR-04</t>
        </is>
      </c>
      <c r="I6" s="4" t="inlineStr">
        <is>
          <t>AI case-gen complete with tests; Run boards skeleton</t>
        </is>
      </c>
    </row>
    <row r="7">
      <c r="A7" s="4" t="inlineStr">
        <is>
          <t>S4</t>
        </is>
      </c>
      <c r="B7" s="4" t="inlineStr">
        <is>
          <t>Test run boards</t>
        </is>
      </c>
      <c r="C7" s="4">
        <f>COUNTIFS(Traceability_Matrix!$G$4:$G$123,A7)</f>
        <v/>
      </c>
      <c r="D7" s="4">
        <f>SUMIFS(Traceability_Matrix!$E$4:$E$123,Traceability_Matrix!$G$4:$G$123,A7)</f>
        <v/>
      </c>
      <c r="E7" s="4">
        <f>COUNTIFS(Traceability_Matrix!$G$4:$G$123,A7,Traceability_Matrix!$J$4:$J$123,"Done")+COUNTIFS(Traceability_Matrix!$G$4:$G$123,A7,Traceability_Matrix!$J$4:$J$123,"Code-complete — pending live")</f>
        <v/>
      </c>
      <c r="F7" s="4">
        <f>SUMIFS(Traceability_Matrix!$E$4:$E$123,Traceability_Matrix!$G$4:$G$123,A7,Traceability_Matrix!$J$4:$J$123,"Done")+SUMIFS(Traceability_Matrix!$E$4:$E$123,Traceability_Matrix!$G$4:$G$123,A7,Traceability_Matrix!$J$4:$J$123,"Code-complete — pending live")</f>
        <v/>
      </c>
      <c r="G7" s="9">
        <f>IFERROR(F7/D7,0)</f>
        <v/>
      </c>
      <c r="H7" s="6" t="inlineStr">
        <is>
          <t>GREEN — MVP loop passes E2E in CI</t>
        </is>
      </c>
      <c r="I7" s="4" t="inlineStr">
        <is>
          <t>MVP loop usable end-to-end internally</t>
        </is>
      </c>
    </row>
    <row r="8">
      <c r="A8" s="4" t="inlineStr">
        <is>
          <t>S5</t>
        </is>
      </c>
      <c r="B8" s="4" t="inlineStr">
        <is>
          <t>Flaky-test detector + alpha hardening</t>
        </is>
      </c>
      <c r="C8" s="4">
        <f>COUNTIFS(Traceability_Matrix!$G$4:$G$123,A8)</f>
        <v/>
      </c>
      <c r="D8" s="4">
        <f>SUMIFS(Traceability_Matrix!$E$4:$E$123,Traceability_Matrix!$G$4:$G$123,A8)</f>
        <v/>
      </c>
      <c r="E8" s="4">
        <f>COUNTIFS(Traceability_Matrix!$G$4:$G$123,A8,Traceability_Matrix!$J$4:$J$123,"Done")+COUNTIFS(Traceability_Matrix!$G$4:$G$123,A8,Traceability_Matrix!$J$4:$J$123,"Code-complete — pending live")</f>
        <v/>
      </c>
      <c r="F8" s="4">
        <f>SUMIFS(Traceability_Matrix!$E$4:$E$123,Traceability_Matrix!$G$4:$G$123,A8,Traceability_Matrix!$J$4:$J$123,"Done")+SUMIFS(Traceability_Matrix!$E$4:$E$123,Traceability_Matrix!$G$4:$G$123,A8,Traceability_Matrix!$J$4:$J$123,"Code-complete — pending live")</f>
        <v/>
      </c>
      <c r="G8" s="9">
        <f>IFERROR(F8/D8,0)</f>
        <v/>
      </c>
      <c r="H8" s="6" t="inlineStr">
        <is>
          <t>GREEN — and materially deeper after PR-07</t>
        </is>
      </c>
      <c r="I8" s="4" t="inlineStr">
        <is>
          <t>Internal alpha: team dogfoods daily</t>
        </is>
      </c>
    </row>
    <row r="9">
      <c r="A9" s="4" t="inlineStr">
        <is>
          <t>S6</t>
        </is>
      </c>
      <c r="B9" s="4" t="inlineStr">
        <is>
          <t>Billing + Release readiness score</t>
        </is>
      </c>
      <c r="C9" s="4">
        <f>COUNTIFS(Traceability_Matrix!$G$4:$G$123,A9)</f>
        <v/>
      </c>
      <c r="D9" s="4">
        <f>SUMIFS(Traceability_Matrix!$E$4:$E$123,Traceability_Matrix!$G$4:$G$123,A9)</f>
        <v/>
      </c>
      <c r="E9" s="4">
        <f>COUNTIFS(Traceability_Matrix!$G$4:$G$123,A9,Traceability_Matrix!$J$4:$J$123,"Done")+COUNTIFS(Traceability_Matrix!$G$4:$G$123,A9,Traceability_Matrix!$J$4:$J$123,"Code-complete — pending live")</f>
        <v/>
      </c>
      <c r="F9" s="4">
        <f>SUMIFS(Traceability_Matrix!$E$4:$E$123,Traceability_Matrix!$G$4:$G$123,A9,Traceability_Matrix!$J$4:$J$123,"Done")+SUMIFS(Traceability_Matrix!$E$4:$E$123,Traceability_Matrix!$G$4:$G$123,A9,Traceability_Matrix!$J$4:$J$123,"Code-complete — pending live")</f>
        <v/>
      </c>
      <c r="G9" s="9">
        <f>IFERROR(F9/D9,0)</f>
        <v/>
      </c>
      <c r="H9" s="6" t="inlineStr">
        <is>
          <t>GREEN in code — readiness is now DERIVED (PR-05); Atlassian billing at listing</t>
        </is>
      </c>
      <c r="I9" s="4" t="inlineStr">
        <is>
          <t>Can charge a test customer; up/downgrade paths work</t>
        </is>
      </c>
    </row>
    <row r="10">
      <c r="A10" s="4" t="inlineStr">
        <is>
          <t>S7</t>
        </is>
      </c>
      <c r="B10" s="4" t="inlineStr">
        <is>
          <t>Private beta (design partners)</t>
        </is>
      </c>
      <c r="C10" s="4">
        <f>COUNTIFS(Traceability_Matrix!$G$4:$G$123,A10)</f>
        <v/>
      </c>
      <c r="D10" s="4">
        <f>SUMIFS(Traceability_Matrix!$E$4:$E$123,Traceability_Matrix!$G$4:$G$123,A10)</f>
        <v/>
      </c>
      <c r="E10" s="4">
        <f>COUNTIFS(Traceability_Matrix!$G$4:$G$123,A10,Traceability_Matrix!$J$4:$J$123,"Done")+COUNTIFS(Traceability_Matrix!$G$4:$G$123,A10,Traceability_Matrix!$J$4:$J$123,"Code-complete — pending live")</f>
        <v/>
      </c>
      <c r="F10" s="4">
        <f>SUMIFS(Traceability_Matrix!$E$4:$E$123,Traceability_Matrix!$G$4:$G$123,A10,Traceability_Matrix!$J$4:$J$123,"Done")+SUMIFS(Traceability_Matrix!$E$4:$E$123,Traceability_Matrix!$G$4:$G$123,A10,Traceability_Matrix!$J$4:$J$123,"Code-complete — pending live")</f>
        <v/>
      </c>
      <c r="G10" s="9">
        <f>IFERROR(F10/D10,0)</f>
        <v/>
      </c>
      <c r="H10" s="8" t="inlineStr">
        <is>
          <t>AMBER — code done; live partners gate beta exit (PR-14)</t>
        </is>
      </c>
      <c r="I10" s="4" t="inlineStr">
        <is>
          <t>3+ partners active weekly; NPS pulse &gt;30</t>
        </is>
      </c>
    </row>
    <row r="11">
      <c r="A11" s="4" t="inlineStr">
        <is>
          <t>S8</t>
        </is>
      </c>
      <c r="B11" s="4" t="inlineStr">
        <is>
          <t>Beta iteration + Xray importer</t>
        </is>
      </c>
      <c r="C11" s="4">
        <f>COUNTIFS(Traceability_Matrix!$G$4:$G$123,A11)</f>
        <v/>
      </c>
      <c r="D11" s="4">
        <f>SUMIFS(Traceability_Matrix!$E$4:$E$123,Traceability_Matrix!$G$4:$G$123,A11)</f>
        <v/>
      </c>
      <c r="E11" s="4">
        <f>COUNTIFS(Traceability_Matrix!$G$4:$G$123,A11,Traceability_Matrix!$J$4:$J$123,"Done")+COUNTIFS(Traceability_Matrix!$G$4:$G$123,A11,Traceability_Matrix!$J$4:$J$123,"Code-complete — pending live")</f>
        <v/>
      </c>
      <c r="F11" s="4">
        <f>SUMIFS(Traceability_Matrix!$E$4:$E$123,Traceability_Matrix!$G$4:$G$123,A11,Traceability_Matrix!$J$4:$J$123,"Done")+SUMIFS(Traceability_Matrix!$E$4:$E$123,Traceability_Matrix!$G$4:$G$123,A11,Traceability_Matrix!$J$4:$J$123,"Code-complete — pending live")</f>
        <v/>
      </c>
      <c r="G11" s="9">
        <f>IFERROR(F11/D11,0)</f>
        <v/>
      </c>
      <c r="H11" s="8" t="inlineStr">
        <is>
          <t>AMBER — importer format-faithful; 3 REAL export files still owed (LC-5)</t>
        </is>
      </c>
      <c r="I11" s="4" t="inlineStr">
        <is>
          <t>Beta cohort WoW retention &gt;60%</t>
        </is>
      </c>
    </row>
    <row r="12">
      <c r="A12" s="4" t="inlineStr">
        <is>
          <t>S9</t>
        </is>
      </c>
      <c r="B12" s="4" t="inlineStr">
        <is>
          <t>Marketplace review prep</t>
        </is>
      </c>
      <c r="C12" s="4">
        <f>COUNTIFS(Traceability_Matrix!$G$4:$G$123,A12)</f>
        <v/>
      </c>
      <c r="D12" s="4">
        <f>SUMIFS(Traceability_Matrix!$E$4:$E$123,Traceability_Matrix!$G$4:$G$123,A12)</f>
        <v/>
      </c>
      <c r="E12" s="4">
        <f>COUNTIFS(Traceability_Matrix!$G$4:$G$123,A12,Traceability_Matrix!$J$4:$J$123,"Done")+COUNTIFS(Traceability_Matrix!$G$4:$G$123,A12,Traceability_Matrix!$J$4:$J$123,"Code-complete — pending live")</f>
        <v/>
      </c>
      <c r="F12" s="4">
        <f>SUMIFS(Traceability_Matrix!$E$4:$E$123,Traceability_Matrix!$G$4:$G$123,A12,Traceability_Matrix!$J$4:$J$123,"Done")+SUMIFS(Traceability_Matrix!$E$4:$E$123,Traceability_Matrix!$G$4:$G$123,A12,Traceability_Matrix!$J$4:$J$123,"Code-complete — pending live")</f>
        <v/>
      </c>
      <c r="G12" s="9">
        <f>IFERROR(F12/D12,0)</f>
        <v/>
      </c>
      <c r="H12" s="8" t="inlineStr">
        <is>
          <t>AMBER — pen test + bug bounty are procurement items (AEC 1.1/1.2)</t>
        </is>
      </c>
      <c r="I12" s="4" t="inlineStr">
        <is>
          <t>Review submission accepted into queue</t>
        </is>
      </c>
    </row>
    <row r="13">
      <c r="A13" s="4" t="inlineStr">
        <is>
          <t>S10</t>
        </is>
      </c>
      <c r="B13" s="4" t="inlineStr">
        <is>
          <t>Review remediation + docs</t>
        </is>
      </c>
      <c r="C13" s="4">
        <f>COUNTIFS(Traceability_Matrix!$G$4:$G$123,A13)</f>
        <v/>
      </c>
      <c r="D13" s="4">
        <f>SUMIFS(Traceability_Matrix!$E$4:$E$123,Traceability_Matrix!$G$4:$G$123,A13)</f>
        <v/>
      </c>
      <c r="E13" s="4">
        <f>COUNTIFS(Traceability_Matrix!$G$4:$G$123,A13,Traceability_Matrix!$J$4:$J$123,"Done")+COUNTIFS(Traceability_Matrix!$G$4:$G$123,A13,Traceability_Matrix!$J$4:$J$123,"Code-complete — pending live")</f>
        <v/>
      </c>
      <c r="F13" s="4">
        <f>SUMIFS(Traceability_Matrix!$E$4:$E$123,Traceability_Matrix!$G$4:$G$123,A13,Traceability_Matrix!$J$4:$J$123,"Done")+SUMIFS(Traceability_Matrix!$E$4:$E$123,Traceability_Matrix!$G$4:$G$123,A13,Traceability_Matrix!$J$4:$J$123,"Code-complete — pending live")</f>
        <v/>
      </c>
      <c r="G13" s="9">
        <f>IFERROR(F13/D13,0)</f>
        <v/>
      </c>
      <c r="H13" s="8" t="inlineStr">
        <is>
          <t>AMBER — docs current as of 20/09; approval needs submission</t>
        </is>
      </c>
      <c r="I13" s="4" t="inlineStr">
        <is>
          <t>Marketplace approval obtained</t>
        </is>
      </c>
    </row>
    <row r="14">
      <c r="A14" s="4" t="inlineStr">
        <is>
          <t>S11</t>
        </is>
      </c>
      <c r="B14" s="4" t="inlineStr">
        <is>
          <t>Launch</t>
        </is>
      </c>
      <c r="C14" s="4">
        <f>COUNTIFS(Traceability_Matrix!$G$4:$G$123,A14)</f>
        <v/>
      </c>
      <c r="D14" s="4">
        <f>SUMIFS(Traceability_Matrix!$E$4:$E$123,Traceability_Matrix!$G$4:$G$123,A14)</f>
        <v/>
      </c>
      <c r="E14" s="4">
        <f>COUNTIFS(Traceability_Matrix!$G$4:$G$123,A14,Traceability_Matrix!$J$4:$J$123,"Done")+COUNTIFS(Traceability_Matrix!$G$4:$G$123,A14,Traceability_Matrix!$J$4:$J$123,"Code-complete — pending live")</f>
        <v/>
      </c>
      <c r="F14" s="4">
        <f>SUMIFS(Traceability_Matrix!$E$4:$E$123,Traceability_Matrix!$G$4:$G$123,A14,Traceability_Matrix!$J$4:$J$123,"Done")+SUMIFS(Traceability_Matrix!$E$4:$E$123,Traceability_Matrix!$G$4:$G$123,A14,Traceability_Matrix!$J$4:$J$123,"Code-complete — pending live")</f>
        <v/>
      </c>
      <c r="G14" s="9">
        <f>IFERROR(F14/D14,0)</f>
        <v/>
      </c>
      <c r="H14" s="7" t="inlineStr">
        <is>
          <t>RED — blocked on LC-1 (PR-04) and D18 (PR-13)</t>
        </is>
      </c>
      <c r="I14" s="4" t="inlineStr">
        <is>
          <t>First 10 installs; first 3 reviews; activation &gt;40%</t>
        </is>
      </c>
    </row>
    <row r="15">
      <c r="A15" s="4" t="inlineStr">
        <is>
          <t>S12</t>
        </is>
      </c>
      <c r="B15" s="4" t="inlineStr">
        <is>
          <t>Iterate &amp; scale decision</t>
        </is>
      </c>
      <c r="C15" s="4">
        <f>COUNTIFS(Traceability_Matrix!$G$4:$G$123,A15)</f>
        <v/>
      </c>
      <c r="D15" s="4">
        <f>SUMIFS(Traceability_Matrix!$E$4:$E$123,Traceability_Matrix!$G$4:$G$123,A15)</f>
        <v/>
      </c>
      <c r="E15" s="4">
        <f>COUNTIFS(Traceability_Matrix!$G$4:$G$123,A15,Traceability_Matrix!$J$4:$J$123,"Done")+COUNTIFS(Traceability_Matrix!$G$4:$G$123,A15,Traceability_Matrix!$J$4:$J$123,"Code-complete — pending live")</f>
        <v/>
      </c>
      <c r="F15" s="4">
        <f>SUMIFS(Traceability_Matrix!$E$4:$E$123,Traceability_Matrix!$G$4:$G$123,A15,Traceability_Matrix!$J$4:$J$123,"Done")+SUMIFS(Traceability_Matrix!$E$4:$E$123,Traceability_Matrix!$G$4:$G$123,A15,Traceability_Matrix!$J$4:$J$123,"Code-complete — pending live")</f>
        <v/>
      </c>
      <c r="G15" s="9">
        <f>IFERROR(F15/D15,0)</f>
        <v/>
      </c>
      <c r="H15" s="7" t="inlineStr">
        <is>
          <t>RED — needs PR-14 evidence</t>
        </is>
      </c>
      <c r="I15" s="4" t="inlineStr">
        <is>
          <t>Growth model doc with CAC/LTV first estimates</t>
        </is>
      </c>
    </row>
    <row r="16">
      <c r="A16" s="4" t="inlineStr">
        <is>
          <t>PR-01</t>
        </is>
      </c>
      <c r="B16" s="4" t="inlineStr">
        <is>
          <t>Write integrity and concurrency</t>
        </is>
      </c>
      <c r="C16" s="4">
        <f>COUNTIFS(Traceability_Matrix!$G$4:$G$123,A16)</f>
        <v/>
      </c>
      <c r="D16" s="4">
        <f>SUMIFS(Traceability_Matrix!$E$4:$E$123,Traceability_Matrix!$G$4:$G$123,A16)</f>
        <v/>
      </c>
      <c r="E16" s="4">
        <f>COUNTIFS(Traceability_Matrix!$G$4:$G$123,A16,Traceability_Matrix!$J$4:$J$123,"Done")+COUNTIFS(Traceability_Matrix!$G$4:$G$123,A16,Traceability_Matrix!$J$4:$J$123,"Code-complete — pending live")</f>
        <v/>
      </c>
      <c r="F16" s="4">
        <f>SUMIFS(Traceability_Matrix!$E$4:$E$123,Traceability_Matrix!$G$4:$G$123,A16,Traceability_Matrix!$J$4:$J$123,"Done")+SUMIFS(Traceability_Matrix!$E$4:$E$123,Traceability_Matrix!$G$4:$G$123,A16,Traceability_Matrix!$J$4:$J$123,"Code-complete — pending live")</f>
        <v/>
      </c>
      <c r="G16" s="9">
        <f>IFERROR(F16/D16,0)</f>
        <v/>
      </c>
      <c r="H16" s="6" t="inlineStr">
        <is>
          <t>GREEN — closed in code with a standing gate</t>
        </is>
      </c>
      <c r="I16" s="4" t="inlineStr">
        <is>
          <t>Two simultaneous users never lose each other's work</t>
        </is>
      </c>
    </row>
    <row r="17">
      <c r="A17" s="4" t="inlineStr">
        <is>
          <t>PR-02</t>
        </is>
      </c>
      <c r="B17" s="4" t="inlineStr">
        <is>
          <t>Stable identity and case lifecycle</t>
        </is>
      </c>
      <c r="C17" s="4">
        <f>COUNTIFS(Traceability_Matrix!$G$4:$G$123,A17)</f>
        <v/>
      </c>
      <c r="D17" s="4">
        <f>SUMIFS(Traceability_Matrix!$E$4:$E$123,Traceability_Matrix!$G$4:$G$123,A17)</f>
        <v/>
      </c>
      <c r="E17" s="4">
        <f>COUNTIFS(Traceability_Matrix!$G$4:$G$123,A17,Traceability_Matrix!$J$4:$J$123,"Done")+COUNTIFS(Traceability_Matrix!$G$4:$G$123,A17,Traceability_Matrix!$J$4:$J$123,"Code-complete — pending live")</f>
        <v/>
      </c>
      <c r="F17" s="4">
        <f>SUMIFS(Traceability_Matrix!$E$4:$E$123,Traceability_Matrix!$G$4:$G$123,A17,Traceability_Matrix!$J$4:$J$123,"Done")+SUMIFS(Traceability_Matrix!$E$4:$E$123,Traceability_Matrix!$G$4:$G$123,A17,Traceability_Matrix!$J$4:$J$123,"Code-complete — pending live")</f>
        <v/>
      </c>
      <c r="G17" s="9">
        <f>IFERROR(F17/D17,0)</f>
        <v/>
      </c>
      <c r="H17" s="6" t="inlineStr">
        <is>
          <t>GREEN</t>
        </is>
      </c>
      <c r="I17" s="4" t="inlineStr">
        <is>
          <t>Every entity has one permanent, unique id</t>
        </is>
      </c>
    </row>
    <row r="18">
      <c r="A18" s="4" t="inlineStr">
        <is>
          <t>PR-03</t>
        </is>
      </c>
      <c r="B18" s="4" t="inlineStr">
        <is>
          <t>Storage re-platform</t>
        </is>
      </c>
      <c r="C18" s="4">
        <f>COUNTIFS(Traceability_Matrix!$G$4:$G$123,A18)</f>
        <v/>
      </c>
      <c r="D18" s="4">
        <f>SUMIFS(Traceability_Matrix!$E$4:$E$123,Traceability_Matrix!$G$4:$G$123,A18)</f>
        <v/>
      </c>
      <c r="E18" s="4">
        <f>COUNTIFS(Traceability_Matrix!$G$4:$G$123,A18,Traceability_Matrix!$J$4:$J$123,"Done")+COUNTIFS(Traceability_Matrix!$G$4:$G$123,A18,Traceability_Matrix!$J$4:$J$123,"Code-complete — pending live")</f>
        <v/>
      </c>
      <c r="F18" s="4">
        <f>SUMIFS(Traceability_Matrix!$E$4:$E$123,Traceability_Matrix!$G$4:$G$123,A18,Traceability_Matrix!$J$4:$J$123,"Done")+SUMIFS(Traceability_Matrix!$E$4:$E$123,Traceability_Matrix!$G$4:$G$123,A18,Traceability_Matrix!$J$4:$J$123,"Code-complete — pending live")</f>
        <v/>
      </c>
      <c r="G18" s="9">
        <f>IFERROR(F18/D18,0)</f>
        <v/>
      </c>
      <c r="H18" s="6" t="inlineStr">
        <is>
          <t>GREEN in code — SQL enablement is D19 at PR-04</t>
        </is>
      </c>
      <c r="I18" s="4" t="inlineStr">
        <is>
          <t>Row ceiling and hydrate-all cost both removed</t>
        </is>
      </c>
    </row>
    <row r="19">
      <c r="A19" s="4" t="inlineStr">
        <is>
          <t>PR-05</t>
        </is>
      </c>
      <c r="B19" s="4" t="inlineStr">
        <is>
          <t>Release readiness, derived not typed</t>
        </is>
      </c>
      <c r="C19" s="4">
        <f>COUNTIFS(Traceability_Matrix!$G$4:$G$123,A19)</f>
        <v/>
      </c>
      <c r="D19" s="4">
        <f>SUMIFS(Traceability_Matrix!$E$4:$E$123,Traceability_Matrix!$G$4:$G$123,A19)</f>
        <v/>
      </c>
      <c r="E19" s="4">
        <f>COUNTIFS(Traceability_Matrix!$G$4:$G$123,A19,Traceability_Matrix!$J$4:$J$123,"Done")+COUNTIFS(Traceability_Matrix!$G$4:$G$123,A19,Traceability_Matrix!$J$4:$J$123,"Code-complete — pending live")</f>
        <v/>
      </c>
      <c r="F19" s="4">
        <f>SUMIFS(Traceability_Matrix!$E$4:$E$123,Traceability_Matrix!$G$4:$G$123,A19,Traceability_Matrix!$J$4:$J$123,"Done")+SUMIFS(Traceability_Matrix!$E$4:$E$123,Traceability_Matrix!$G$4:$G$123,A19,Traceability_Matrix!$J$4:$J$123,"Code-complete — pending live")</f>
        <v/>
      </c>
      <c r="G19" s="9">
        <f>IFERROR(F19/D19,0)</f>
        <v/>
      </c>
      <c r="H19" s="6" t="inlineStr">
        <is>
          <t>GREEN in code — live Jira proof at PR-04</t>
        </is>
      </c>
      <c r="I19" s="4" t="inlineStr">
        <is>
          <t>A defensible score with zero manual entry</t>
        </is>
      </c>
    </row>
    <row r="20">
      <c r="A20" s="4" t="inlineStr">
        <is>
          <t>PR-06</t>
        </is>
      </c>
      <c r="B20" s="4" t="inlineStr">
        <is>
          <t>Automation results ingestion</t>
        </is>
      </c>
      <c r="C20" s="4">
        <f>COUNTIFS(Traceability_Matrix!$G$4:$G$123,A20)</f>
        <v/>
      </c>
      <c r="D20" s="4">
        <f>SUMIFS(Traceability_Matrix!$E$4:$E$123,Traceability_Matrix!$G$4:$G$123,A20)</f>
        <v/>
      </c>
      <c r="E20" s="4">
        <f>COUNTIFS(Traceability_Matrix!$G$4:$G$123,A20,Traceability_Matrix!$J$4:$J$123,"Done")+COUNTIFS(Traceability_Matrix!$G$4:$G$123,A20,Traceability_Matrix!$J$4:$J$123,"Code-complete — pending live")</f>
        <v/>
      </c>
      <c r="F20" s="4">
        <f>SUMIFS(Traceability_Matrix!$E$4:$E$123,Traceability_Matrix!$G$4:$G$123,A20,Traceability_Matrix!$J$4:$J$123,"Done")+SUMIFS(Traceability_Matrix!$E$4:$E$123,Traceability_Matrix!$G$4:$G$123,A20,Traceability_Matrix!$J$4:$J$123,"Code-complete — pending live")</f>
        <v/>
      </c>
      <c r="G20" s="9">
        <f>IFERROR(F20/D20,0)</f>
        <v/>
      </c>
      <c r="H20" s="6" t="inlineStr">
        <is>
          <t>GREEN in code — real pipeline post at PR-04</t>
        </is>
      </c>
      <c r="I20" s="4" t="inlineStr">
        <is>
          <t>Three frameworks ingest; re-post changes nothing</t>
        </is>
      </c>
    </row>
    <row r="21">
      <c r="A21" s="4" t="inlineStr">
        <is>
          <t>PR-07</t>
        </is>
      </c>
      <c r="B21" s="4" t="inlineStr">
        <is>
          <t>Flaky intelligence 2.0</t>
        </is>
      </c>
      <c r="C21" s="4">
        <f>COUNTIFS(Traceability_Matrix!$G$4:$G$123,A21)</f>
        <v/>
      </c>
      <c r="D21" s="4">
        <f>SUMIFS(Traceability_Matrix!$E$4:$E$123,Traceability_Matrix!$G$4:$G$123,A21)</f>
        <v/>
      </c>
      <c r="E21" s="4">
        <f>COUNTIFS(Traceability_Matrix!$G$4:$G$123,A21,Traceability_Matrix!$J$4:$J$123,"Done")+COUNTIFS(Traceability_Matrix!$G$4:$G$123,A21,Traceability_Matrix!$J$4:$J$123,"Code-complete — pending live")</f>
        <v/>
      </c>
      <c r="F21" s="4">
        <f>SUMIFS(Traceability_Matrix!$E$4:$E$123,Traceability_Matrix!$G$4:$G$123,A21,Traceability_Matrix!$J$4:$J$123,"Done")+SUMIFS(Traceability_Matrix!$E$4:$E$123,Traceability_Matrix!$G$4:$G$123,A21,Traceability_Matrix!$J$4:$J$123,"Code-complete — pending live")</f>
        <v/>
      </c>
      <c r="G21" s="9">
        <f>IFERROR(F21/D21,0)</f>
        <v/>
      </c>
      <c r="H21" s="6" t="inlineStr">
        <is>
          <t>GREEN</t>
        </is>
      </c>
      <c r="I21" s="4" t="inlineStr">
        <is>
          <t>Branch-aware, clustered, owned quarantines</t>
        </is>
      </c>
    </row>
    <row r="22">
      <c r="A22" s="4" t="inlineStr">
        <is>
          <t>PR-08</t>
        </is>
      </c>
      <c r="B22" s="4" t="inlineStr">
        <is>
          <t>Traceability graph</t>
        </is>
      </c>
      <c r="C22" s="4">
        <f>COUNTIFS(Traceability_Matrix!$G$4:$G$123,A22)</f>
        <v/>
      </c>
      <c r="D22" s="4">
        <f>SUMIFS(Traceability_Matrix!$E$4:$E$123,Traceability_Matrix!$G$4:$G$123,A22)</f>
        <v/>
      </c>
      <c r="E22" s="4">
        <f>COUNTIFS(Traceability_Matrix!$G$4:$G$123,A22,Traceability_Matrix!$J$4:$J$123,"Done")+COUNTIFS(Traceability_Matrix!$G$4:$G$123,A22,Traceability_Matrix!$J$4:$J$123,"Code-complete — pending live")</f>
        <v/>
      </c>
      <c r="F22" s="4">
        <f>SUMIFS(Traceability_Matrix!$E$4:$E$123,Traceability_Matrix!$G$4:$G$123,A22,Traceability_Matrix!$J$4:$J$123,"Done")+SUMIFS(Traceability_Matrix!$E$4:$E$123,Traceability_Matrix!$G$4:$G$123,A22,Traceability_Matrix!$J$4:$J$123,"Code-complete — pending live")</f>
        <v/>
      </c>
      <c r="G22" s="9">
        <f>IFERROR(F22/D22,0)</f>
        <v/>
      </c>
      <c r="H22" s="6" t="inlineStr">
        <is>
          <t>GREEN — write-back is decision D-TP-WB</t>
        </is>
      </c>
      <c r="I22" s="4" t="inlineStr">
        <is>
          <t>Requirement -&gt; test -&gt; run -&gt; defect, queryable</t>
        </is>
      </c>
    </row>
    <row r="23">
      <c r="A23" s="4" t="inlineStr">
        <is>
          <t>PR-09</t>
        </is>
      </c>
      <c r="B23" s="4" t="inlineStr">
        <is>
          <t>Project-scoped RBAC</t>
        </is>
      </c>
      <c r="C23" s="4">
        <f>COUNTIFS(Traceability_Matrix!$G$4:$G$123,A23)</f>
        <v/>
      </c>
      <c r="D23" s="4">
        <f>SUMIFS(Traceability_Matrix!$E$4:$E$123,Traceability_Matrix!$G$4:$G$123,A23)</f>
        <v/>
      </c>
      <c r="E23" s="4">
        <f>COUNTIFS(Traceability_Matrix!$G$4:$G$123,A23,Traceability_Matrix!$J$4:$J$123,"Done")+COUNTIFS(Traceability_Matrix!$G$4:$G$123,A23,Traceability_Matrix!$J$4:$J$123,"Code-complete — pending live")</f>
        <v/>
      </c>
      <c r="F23" s="4">
        <f>SUMIFS(Traceability_Matrix!$E$4:$E$123,Traceability_Matrix!$G$4:$G$123,A23,Traceability_Matrix!$J$4:$J$123,"Done")+SUMIFS(Traceability_Matrix!$E$4:$E$123,Traceability_Matrix!$G$4:$G$123,A23,Traceability_Matrix!$J$4:$J$123,"Code-complete — pending live")</f>
        <v/>
      </c>
      <c r="G23" s="9">
        <f>IFERROR(F23/D23,0)</f>
        <v/>
      </c>
      <c r="H23" s="6" t="inlineStr">
        <is>
          <t>GREEN in code — LC-6 flips at PR-04</t>
        </is>
      </c>
      <c r="I23" s="4" t="inlineStr">
        <is>
          <t>App visibility never exceeds Jira visibility</t>
        </is>
      </c>
    </row>
    <row r="24">
      <c r="A24" s="4" t="inlineStr">
        <is>
          <t>PR-10</t>
        </is>
      </c>
      <c r="B24" s="4" t="inlineStr">
        <is>
          <t>AI economics and governance v2</t>
        </is>
      </c>
      <c r="C24" s="4">
        <f>COUNTIFS(Traceability_Matrix!$G$4:$G$123,A24)</f>
        <v/>
      </c>
      <c r="D24" s="4">
        <f>SUMIFS(Traceability_Matrix!$E$4:$E$123,Traceability_Matrix!$G$4:$G$123,A24)</f>
        <v/>
      </c>
      <c r="E24" s="4">
        <f>COUNTIFS(Traceability_Matrix!$G$4:$G$123,A24,Traceability_Matrix!$J$4:$J$123,"Done")+COUNTIFS(Traceability_Matrix!$G$4:$G$123,A24,Traceability_Matrix!$J$4:$J$123,"Code-complete — pending live")</f>
        <v/>
      </c>
      <c r="F24" s="4">
        <f>SUMIFS(Traceability_Matrix!$E$4:$E$123,Traceability_Matrix!$G$4:$G$123,A24,Traceability_Matrix!$J$4:$J$123,"Done")+SUMIFS(Traceability_Matrix!$E$4:$E$123,Traceability_Matrix!$G$4:$G$123,A24,Traceability_Matrix!$J$4:$J$123,"Code-complete — pending live")</f>
        <v/>
      </c>
      <c r="G24" s="9">
        <f>IFERROR(F24/D24,0)</f>
        <v/>
      </c>
      <c r="H24" s="6" t="inlineStr">
        <is>
          <t>GREEN — model-quality evals remain the named gap</t>
        </is>
      </c>
      <c r="I24" s="4" t="inlineStr">
        <is>
          <t>BYOK, injection-hardened, attributed and capped</t>
        </is>
      </c>
    </row>
    <row r="25">
      <c r="A25" s="4" t="inlineStr">
        <is>
          <t>PR-11</t>
        </is>
      </c>
      <c r="B25" s="4" t="inlineStr">
        <is>
          <t>Atlassian Enterprise Certified programme</t>
        </is>
      </c>
      <c r="C25" s="4">
        <f>COUNTIFS(Traceability_Matrix!$G$4:$G$123,A25)</f>
        <v/>
      </c>
      <c r="D25" s="4">
        <f>SUMIFS(Traceability_Matrix!$E$4:$E$123,Traceability_Matrix!$G$4:$G$123,A25)</f>
        <v/>
      </c>
      <c r="E25" s="4">
        <f>COUNTIFS(Traceability_Matrix!$G$4:$G$123,A25,Traceability_Matrix!$J$4:$J$123,"Done")+COUNTIFS(Traceability_Matrix!$G$4:$G$123,A25,Traceability_Matrix!$J$4:$J$123,"Code-complete — pending live")</f>
        <v/>
      </c>
      <c r="F25" s="4">
        <f>SUMIFS(Traceability_Matrix!$E$4:$E$123,Traceability_Matrix!$G$4:$G$123,A25,Traceability_Matrix!$J$4:$J$123,"Done")+SUMIFS(Traceability_Matrix!$E$4:$E$123,Traceability_Matrix!$G$4:$G$123,A25,Traceability_Matrix!$J$4:$J$123,"Code-complete — pending live")</f>
        <v/>
      </c>
      <c r="G25" s="9">
        <f>IFERROR(F25/D25,0)</f>
        <v/>
      </c>
      <c r="H25" s="8" t="inlineStr">
        <is>
          <t>AMBER — engineering met; pen test + bounty are Senthil</t>
        </is>
      </c>
      <c r="I25" s="4" t="inlineStr">
        <is>
          <t>Every AEC row has an owner, date and evidence</t>
        </is>
      </c>
    </row>
    <row r="26">
      <c r="A26" s="4" t="inlineStr">
        <is>
          <t>TOTAL</t>
        </is>
      </c>
      <c r="B26" s="4" t="inlineStr">
        <is>
          <t>(all sprints)</t>
        </is>
      </c>
      <c r="C26" s="10">
        <f>SUM(C4:C25)</f>
        <v/>
      </c>
      <c r="D26" s="10">
        <f>SUM(D4:D25)</f>
        <v/>
      </c>
      <c r="E26" s="10">
        <f>SUM(E4:E25)</f>
        <v/>
      </c>
      <c r="F26" s="10">
        <f>SUM(F4:F25)</f>
        <v/>
      </c>
      <c r="G26" s="9">
        <f>IFERROR(F26/D26,0)</f>
        <v/>
      </c>
      <c r="H26" s="4" t="inlineStr"/>
      <c r="I26"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workbookViewId="0">
      <pane ySplit="3" topLeftCell="A4" activePane="bottomLeft" state="frozen"/>
      <selection pane="bottomLeft" activeCell="A1" sqref="A1"/>
    </sheetView>
  </sheetViews>
  <sheetFormatPr baseColWidth="8" defaultRowHeight="15" outlineLevelCol="0"/>
  <cols>
    <col width="12" customWidth="1" min="1" max="1"/>
    <col width="12" customWidth="1" min="2" max="2"/>
    <col width="12" customWidth="1" min="3" max="3"/>
    <col width="74" customWidth="1" min="4" max="4"/>
    <col width="24" customWidth="1" min="5" max="5"/>
    <col width="86" customWidth="1" min="6" max="6"/>
  </cols>
  <sheetData>
    <row r="1">
      <c r="A1" s="1" t="inlineStr">
        <is>
          <t>RAID — carried from v027, updated by external review V001</t>
        </is>
      </c>
    </row>
    <row r="2">
      <c r="A2" s="2" t="inlineStr">
        <is>
          <t>Rows whose state changed on 20/09 are marked in the Notes column.</t>
        </is>
      </c>
    </row>
    <row r="3">
      <c r="A3" s="3" t="inlineStr">
        <is>
          <t>ID / Type</t>
        </is>
      </c>
      <c r="B3" s="3" t="inlineStr">
        <is>
          <t>Type</t>
        </is>
      </c>
      <c r="C3" s="3" t="inlineStr">
        <is>
          <t>Raised</t>
        </is>
      </c>
      <c r="D3" s="3" t="inlineStr">
        <is>
          <t>Item</t>
        </is>
      </c>
      <c r="E3" s="3" t="inlineStr">
        <is>
          <t>Status</t>
        </is>
      </c>
      <c r="F3" s="3" t="inlineStr">
        <is>
          <t>Notes / Mitigation</t>
        </is>
      </c>
    </row>
    <row r="4">
      <c r="A4" s="4" t="inlineStr">
        <is>
          <t>R-P1</t>
        </is>
      </c>
      <c r="B4" s="4" t="inlineStr">
        <is>
          <t>Risk</t>
        </is>
      </c>
      <c r="C4" s="4" t="inlineStr">
        <is>
          <t>v007</t>
        </is>
      </c>
      <c r="D4" s="4" t="inlineStr">
        <is>
          <t>Atlassian Forge program rate/policy changes mid-build (Medium/Medium)</t>
        </is>
      </c>
      <c r="E4" s="7" t="inlineStr">
        <is>
          <t>Open — and it bit us</t>
        </is>
      </c>
      <c r="F4" s="4" t="inlineStr">
        <is>
          <t>The programme changes this review caught (Fortified retirement, the revenue-share change) are exactly this risk landing. Mitigation strengthened: the changelog is now a named LC-1 check, and every economics figure in the pack cites its source and date.</t>
        </is>
      </c>
    </row>
    <row r="5">
      <c r="A5" s="4" t="inlineStr">
        <is>
          <t>R-P2</t>
        </is>
      </c>
      <c r="B5" s="4" t="inlineStr">
        <is>
          <t>Risk</t>
        </is>
      </c>
      <c r="C5" s="4" t="inlineStr">
        <is>
          <t>v007</t>
        </is>
      </c>
      <c r="D5" s="4" t="inlineStr">
        <is>
          <t>Xray/Zephyr respond with AI features (High/Medium)</t>
        </is>
      </c>
      <c r="E5" s="4" t="inlineStr">
        <is>
          <t>MATERIALISED (C-4, 20/09)</t>
        </is>
      </c>
      <c r="F5" s="4" t="inlineStr">
        <is>
          <t>The review confirmed it has already happened: Xray lists as "powered by AI", Zephyr as "with Rovo", and the Testing &amp; QA category carries a crowded field of dedicated generators. This is no longer a risk to track — it is a fact to price and position against. The wedge moves to the release decision (Decision 4), which PR-05 now earns in code.</t>
        </is>
      </c>
    </row>
    <row r="6">
      <c r="A6" s="4" t="inlineStr">
        <is>
          <t>R-P3</t>
        </is>
      </c>
      <c r="B6" s="4" t="inlineStr">
        <is>
          <t>Risk</t>
        </is>
      </c>
      <c r="C6" s="4" t="inlineStr">
        <is>
          <t>v007</t>
        </is>
      </c>
      <c r="D6" s="4" t="inlineStr">
        <is>
          <t>Cloud Fortified bar raises before listing (Medium/Medium)</t>
        </is>
      </c>
      <c r="E6" s="4" t="inlineStr">
        <is>
          <t>SUPERSEDED (C-2, 20/09)</t>
        </is>
      </c>
      <c r="F6" s="4" t="inlineStr">
        <is>
          <t>Cloud Fortified closed to new submissions 01/09/2026 and retires 31/12/2026. The risk did not "raise" — the programme ended. Replaced by the Atlassian Enterprise Certified assessment, whose bar is higher and two of whose rows are procurement items.</t>
        </is>
      </c>
    </row>
    <row r="7">
      <c r="A7" s="4" t="inlineStr">
        <is>
          <t>R-P4</t>
        </is>
      </c>
      <c r="B7" s="4" t="inlineStr">
        <is>
          <t>Constraint</t>
        </is>
      </c>
      <c r="C7" s="4" t="inlineStr">
        <is>
          <t>22:58</t>
        </is>
      </c>
      <c r="D7" s="4" t="inlineStr">
        <is>
          <t>Sandbox has no Forge CLI/hosted storage — persistence is in-memory behind typed Store; billing behind provider seam (D17)</t>
        </is>
      </c>
      <c r="E7" s="6" t="inlineStr">
        <is>
          <t>Closed-in-code</t>
        </is>
      </c>
      <c r="F7" s="4" t="inlineStr">
        <is>
          <t>08:31: ForgeStore adapter shipped+tested (hydrate/write-through/flush); manifest + deploy guide make the swap glue-only at forge deploy. Billing seam (B-17) remains the one open adapter.</t>
        </is>
      </c>
    </row>
    <row r="8">
      <c r="A8" s="4" t="inlineStr">
        <is>
          <t>R-P5</t>
        </is>
      </c>
      <c r="B8" s="4" t="inlineStr">
        <is>
          <t>Risk</t>
        </is>
      </c>
      <c r="C8" s="4" t="inlineStr">
        <is>
          <t>22:58</t>
        </is>
      </c>
      <c r="D8" s="4" t="inlineStr">
        <is>
          <t>CI-webhook signing scheme is TestPulse-defined (own HMAC ts.body) — customer CI integrations must adopt it; no Atlassian-mandated scheme verified yet</t>
        </is>
      </c>
      <c r="E8" s="6" t="inlineStr">
        <is>
          <t>Closed (verified)</t>
        </is>
      </c>
      <c r="F8" s="4" t="inlineStr">
        <is>
          <t>15:27: Official Forge docs — webtrigger URLs are public, platform does NOT authenticate them, own-auth-in-handler is the documented pattern. Our HMAC-SHA256 + 5-min window + dedupe stands as designed; manifest carries urlFormat v2 + dynamic response.</t>
        </is>
      </c>
    </row>
    <row r="9">
      <c r="A9" s="4" t="inlineStr">
        <is>
          <t>R-P6</t>
        </is>
      </c>
      <c r="B9" s="4" t="inlineStr">
        <is>
          <t>Risk</t>
        </is>
      </c>
      <c r="C9" s="4" t="inlineStr">
        <is>
          <t>22:58</t>
        </is>
      </c>
      <c r="D9" s="4" t="inlineStr">
        <is>
          <t>AI seam currently rule-based — listing copy must not overclaim "AI" until LLM provider wired</t>
        </is>
      </c>
      <c r="E9" s="4" t="inlineStr">
        <is>
          <t>Mitigated-in-code</t>
        </is>
      </c>
      <c r="F9" s="4" t="inlineStr">
        <is>
          <t>23:13: AnthropicProvider shipped behind seam (8 tests); rule engine = no-key fallback. Listing AI claim now code-backed; live verification with real key at deploy before copy final.</t>
        </is>
      </c>
    </row>
    <row r="10">
      <c r="A10" s="4" t="inlineStr">
        <is>
          <t>A-P1</t>
        </is>
      </c>
      <c r="B10" s="4" t="inlineStr">
        <is>
          <t>Assumption</t>
        </is>
      </c>
      <c r="C10" s="4" t="inlineStr">
        <is>
          <t>22:58</t>
        </is>
      </c>
      <c r="D10" s="4" t="inlineStr">
        <is>
          <t>D13 (interviews parked, 100% coverage) applies to TestPulse incl. S0 discovery</t>
        </is>
      </c>
      <c r="E10" s="4" t="inlineStr">
        <is>
          <t>Discharged</t>
        </is>
      </c>
      <c r="F10" s="4" t="inlineStr">
        <is>
          <t>S0 PRD rolled up in docs/prd.md with D13 assumptions explicitly flagged for design-partner validation (ST-100).</t>
        </is>
      </c>
    </row>
    <row r="11">
      <c r="A11" s="4" t="inlineStr">
        <is>
          <t>A-P2</t>
        </is>
      </c>
      <c r="B11" s="4" t="inlineStr">
        <is>
          <t>Assumption</t>
        </is>
      </c>
      <c r="C11" s="4" t="inlineStr">
        <is>
          <t>22:58</t>
        </is>
      </c>
      <c r="D11" s="4" t="inlineStr">
        <is>
          <t>D15 mode (parallel vs swap) pending — nine concurrent builds now exist</t>
        </is>
      </c>
      <c r="E11" s="7" t="inlineStr">
        <is>
          <t>Open</t>
        </is>
      </c>
      <c r="F11" s="4" t="inlineStr">
        <is>
          <t>Senthil to ratify; R1 serial rule formally intact until then.</t>
        </is>
      </c>
    </row>
    <row r="12">
      <c r="A12" s="4" t="inlineStr">
        <is>
          <t>I</t>
        </is>
      </c>
      <c r="B12" s="4" t="inlineStr">
        <is>
          <t>F-TP01/F-TP02 class: published data claims were not implemented — found only by adversarial review, not by 100% coverage</t>
        </is>
      </c>
      <c r="C12" s="4" t="inlineStr">
        <is>
          <t>Open</t>
        </is>
      </c>
      <c r="D12" s="4" t="inlineStr">
        <is>
          <t>Claude</t>
        </is>
      </c>
      <c r="E12" s="4" t="inlineStr">
        <is>
          <t>2026-09-11 22:28</t>
        </is>
      </c>
      <c r="F12" s="4" t="inlineStr">
        <is>
          <t>Registry + drift test now fail the build if a namespace goes unregistered; the same check is worth porting to the other 11 products</t>
        </is>
      </c>
    </row>
    <row r="13">
      <c r="A13" s="4" t="inlineStr">
        <is>
          <t>D</t>
        </is>
      </c>
      <c r="B13" s="4" t="inlineStr">
        <is>
          <t>OBS-TP1 hydrate-all vs prefix-scoped hydration; OBS-TP2 breaker half-open limit (portfolio-wide); OBS-TP4 billing recovery/trial expiry if a direct channel opens</t>
        </is>
      </c>
      <c r="C13" s="4" t="inlineStr">
        <is>
          <t>Open</t>
        </is>
      </c>
      <c r="D13" s="4" t="inlineStr">
        <is>
          <t>Senthil</t>
        </is>
      </c>
      <c r="E13" s="4" t="inlineStr">
        <is>
          <t>2026-09-11 22:28</t>
        </is>
      </c>
      <c r="F13" s="4" t="inlineStr">
        <is>
          <t>Dispositions in workbook v015 Review_Findings column F</t>
        </is>
      </c>
    </row>
    <row r="14">
      <c r="A14" s="4" t="inlineStr">
        <is>
          <t>I</t>
        </is>
      </c>
      <c r="B14" s="4" t="inlineStr">
        <is>
          <t>L-P1: a 100%-covered codebase can be undeployable — nothing in the suite loads the file the platform loads. Second occurrence in the portfolio after VoiceBridge VER-V01.</t>
        </is>
      </c>
      <c r="C14" s="4" t="inlineStr">
        <is>
          <t>Open</t>
        </is>
      </c>
      <c r="D14" s="4" t="inlineStr">
        <is>
          <t>Senthil</t>
        </is>
      </c>
      <c r="E14" s="4" t="inlineStr">
        <is>
          <t>2026-09-13</t>
        </is>
      </c>
      <c r="F14" s="4" t="inlineStr">
        <is>
          <t>Entrypoint type-check + UI build are CI gates on TestPulse; porting the same two gates to the other 10 products is the open call</t>
        </is>
      </c>
    </row>
    <row r="15">
      <c r="A15" s="4" t="inlineStr">
        <is>
          <t>D</t>
        </is>
      </c>
      <c r="B15" s="4" t="inlineStr">
        <is>
          <t>Role model (admin = Jira ADMINISTER, installer = owner), AI generation on-at-launch vs owner toggle, Settings&gt;CI screen before listing</t>
        </is>
      </c>
      <c r="C15" s="4" t="inlineStr">
        <is>
          <t>Open</t>
        </is>
      </c>
      <c r="D15" s="4" t="inlineStr">
        <is>
          <t>Senthil</t>
        </is>
      </c>
      <c r="E15" s="4" t="inlineStr">
        <is>
          <t>2026-09-13</t>
        </is>
      </c>
      <c r="F15" s="4" t="inlineStr">
        <is>
          <t>Dispositions in workbook v016 Review_Findings column F</t>
        </is>
      </c>
    </row>
    <row r="16">
      <c r="A16" s="4" t="inlineStr">
        <is>
          <t>I</t>
        </is>
      </c>
      <c r="B16" s="4" t="inlineStr">
        <is>
          <t>L-P4: shipped-but-unreachable scope — several modules had 100% branch coverage of behaviour no user could trigger. Third "passes its tests, cannot work" class in this product.</t>
        </is>
      </c>
      <c r="C16" s="4" t="inlineStr">
        <is>
          <t>Open</t>
        </is>
      </c>
      <c r="D16" s="4" t="inlineStr">
        <is>
          <t>Senthil</t>
        </is>
      </c>
      <c r="E16" s="4" t="inlineStr">
        <is>
          <t>2026-09-13</t>
        </is>
      </c>
      <c r="F16" s="4" t="inlineStr">
        <is>
          <t>Reachability audit done for TestPulse; running it across the other 10 products is the open call</t>
        </is>
      </c>
    </row>
    <row r="17">
      <c r="A17" s="4" t="inlineStr">
        <is>
          <t>I</t>
        </is>
      </c>
      <c r="B17" s="4" t="inlineStr">
        <is>
          <t>L-P5: published documents drift from the product — four false customer-facing claims after three passes of change. Mechanical claims are now pinned by tests.</t>
        </is>
      </c>
      <c r="C17" s="4" t="inlineStr">
        <is>
          <t>Open</t>
        </is>
      </c>
      <c r="D17" s="4" t="inlineStr">
        <is>
          <t>Senthil</t>
        </is>
      </c>
      <c r="E17" s="4" t="inlineStr">
        <is>
          <t>2026-09-13</t>
        </is>
      </c>
      <c r="F17" s="4" t="inlineStr">
        <is>
          <t>Adopt doc-pinning tests portfolio-wide; untestable claims (SLA, pen-test) need a named owner and date</t>
        </is>
      </c>
    </row>
    <row r="18">
      <c r="A18" s="4" t="inlineStr">
        <is>
          <t>D</t>
        </is>
      </c>
      <c r="B18" s="4" t="inlineStr">
        <is>
          <t>ST-075 health score is unfed — it needs weekly-active-users that nothing in the product tracks</t>
        </is>
      </c>
      <c r="C18" s="4" t="inlineStr">
        <is>
          <t>Open</t>
        </is>
      </c>
      <c r="D18" s="4" t="inlineStr">
        <is>
          <t>Senthil</t>
        </is>
      </c>
      <c r="E18" s="4" t="inlineStr">
        <is>
          <t>2026-09-13</t>
        </is>
      </c>
      <c r="F18" s="4" t="inlineStr">
        <is>
          <t>Cut the metric or fund a usage feed; recorded in the reachability allowlist meanwhile</t>
        </is>
      </c>
    </row>
    <row r="19">
      <c r="A19" s="4" t="inlineStr">
        <is>
          <t>I</t>
        </is>
      </c>
      <c r="B19" s="4" t="inlineStr">
        <is>
          <t>L-P7: reachable is not invoked — a capability can have a door that the platform was never told to open. Found after five passes and two gates had cleared the install path.</t>
        </is>
      </c>
      <c r="C19" s="4" t="inlineStr">
        <is>
          <t>Open</t>
        </is>
      </c>
      <c r="D19" s="4" t="inlineStr">
        <is>
          <t>Senthil</t>
        </is>
      </c>
      <c r="E19" s="4" t="inlineStr">
        <is>
          <t>2026-09-13</t>
        </is>
      </c>
      <c r="F19" s="4" t="inlineStr">
        <is>
          <t>Extend the review gates with a manifest-declaration check and run it portfolio-wide</t>
        </is>
      </c>
    </row>
    <row r="20">
      <c r="A20" s="4" t="inlineStr">
        <is>
          <t>I</t>
        </is>
      </c>
      <c r="B20" s="4" t="inlineStr">
        <is>
          <t>External review V001 found the AI seam fix was itself a seam — third instance of "closed at the glue, unwired in production" in this codebase, and the first to land on a prior fix</t>
        </is>
      </c>
      <c r="C20" s="4" t="inlineStr">
        <is>
          <t>Open</t>
        </is>
      </c>
      <c r="D20" s="4" t="inlineStr">
        <is>
          <t>Claude</t>
        </is>
      </c>
      <c r="E20" s="4" t="inlineStr">
        <is>
          <t>2026-09-13</t>
        </is>
      </c>
      <c r="F20" s="4" t="inlineStr">
        <is>
          <t>L-5 sharpened: a capability closes when the production entrypoint constructs it. No gate catches this; it needs an entrypoint-level test per capability</t>
        </is>
      </c>
    </row>
    <row r="21">
      <c r="A21" s="4" t="inlineStr">
        <is>
          <t>D</t>
        </is>
      </c>
      <c r="B21" s="4" t="inlineStr">
        <is>
          <t>Email (removed from scope), Jira write-back (scope removed), AI at launch (now genuinely billable per generation)</t>
        </is>
      </c>
      <c r="C21" s="4" t="inlineStr">
        <is>
          <t>Open</t>
        </is>
      </c>
      <c r="D21" s="4" t="inlineStr">
        <is>
          <t>Senthil</t>
        </is>
      </c>
      <c r="E21" s="4" t="inlineStr">
        <is>
          <t>2026-09-13</t>
        </is>
      </c>
      <c r="F21" s="4" t="inlineStr">
        <is>
          <t>Three product decisions opened by the external review — see External_Review_V001 column F</t>
        </is>
      </c>
    </row>
    <row r="22">
      <c r="A22" s="4" t="inlineStr">
        <is>
          <t>A</t>
        </is>
      </c>
      <c r="B22" s="4" t="inlineStr">
        <is>
          <t>Run one external review per product before submission, using the captured brief and hashed bundle</t>
        </is>
      </c>
      <c r="C22" s="4" t="inlineStr">
        <is>
          <t>Open</t>
        </is>
      </c>
      <c r="D22" s="4" t="inlineStr">
        <is>
          <t>Senthil</t>
        </is>
      </c>
      <c r="E22" s="4" t="inlineStr">
        <is>
          <t>2026-09-13</t>
        </is>
      </c>
      <c r="F22" s="4" t="inlineStr">
        <is>
          <t>V001 cost one working session to absorb and corrected five statuses that were being quoted as complete. RevRescue and RetainKit have had no cold review at all, let alone an external one</t>
        </is>
      </c>
    </row>
    <row r="23">
      <c r="A23" s="4" t="inlineStr">
        <is>
          <t>D</t>
        </is>
      </c>
      <c r="B23" s="4" t="inlineStr">
        <is>
          <t>V002 positioning: adopt "Release Quality Intelligence" as the wedge instead of competing feature-for-feature with Xray/Zephyr</t>
        </is>
      </c>
      <c r="C23" s="4" t="inlineStr">
        <is>
          <t>Open</t>
        </is>
      </c>
      <c r="D23" s="4" t="inlineStr">
        <is>
          <t>Senthil</t>
        </is>
      </c>
      <c r="E23" s="4" t="inlineStr">
        <is>
          <t>2026-09-13</t>
        </is>
      </c>
      <c r="F23" s="4" t="inlineStr">
        <is>
          <t>Changes what the listing claims and which of the 30 roadmap sprints matter. The current listing copy describes a test-case manager</t>
        </is>
      </c>
    </row>
    <row r="24">
      <c r="A24" s="4" t="inlineStr">
        <is>
          <t>D</t>
        </is>
      </c>
      <c r="B24" s="4" t="inlineStr">
        <is>
          <t>V002 roadmap scope: 30 sprints for one product while eleven others are built and unreviewed</t>
        </is>
      </c>
      <c r="C24" s="4" t="inlineStr">
        <is>
          <t>Open</t>
        </is>
      </c>
      <c r="D24" s="4" t="inlineStr">
        <is>
          <t>Senthil</t>
        </is>
      </c>
      <c r="E24" s="4" t="inlineStr">
        <is>
          <t>2026-09-13</t>
        </is>
      </c>
      <c r="F24" s="4" t="inlineStr">
        <is>
          <t>Cut, sequence or defer. E00 is closed; E01-E29 is a multi-quarter programme</t>
        </is>
      </c>
    </row>
    <row r="25">
      <c r="A25" s="4" t="inlineStr">
        <is>
          <t>D</t>
        </is>
      </c>
      <c r="B25" s="4" t="inlineStr">
        <is>
          <t>AI at launch: on, off, or off-with-a-prompt. It is now genuinely billable per generation and defaults to off</t>
        </is>
      </c>
      <c r="C25" s="4" t="inlineStr">
        <is>
          <t>Open</t>
        </is>
      </c>
      <c r="D25" s="4" t="inlineStr">
        <is>
          <t>Senthil</t>
        </is>
      </c>
      <c r="E25" s="4" t="inlineStr">
        <is>
          <t>2026-09-13</t>
        </is>
      </c>
      <c r="F25" s="4" t="inlineStr">
        <is>
          <t>Default-off means a customer sees the rule engine unless they opt in. That is the safe posture and the weaker demo</t>
        </is>
      </c>
    </row>
    <row r="26">
      <c r="A26" s="4" t="inlineStr">
        <is>
          <t>D</t>
        </is>
      </c>
      <c r="B26" s="4" t="inlineStr">
        <is>
          <t>Runs on Atlassian badge vs AI generation — mutually exclusive as things stand</t>
        </is>
      </c>
      <c r="C26" s="4" t="inlineStr">
        <is>
          <t>Open</t>
        </is>
      </c>
      <c r="D26" s="4" t="inlineStr">
        <is>
          <t>Senthil</t>
        </is>
      </c>
      <c r="E26" s="4" t="inlineStr">
        <is>
          <t>2026-09-13</t>
        </is>
      </c>
      <c r="F26" s="4" t="inlineStr">
        <is>
          <t>A: drop AI, get the badge. B: keep AI, no badge (my read for now). C: two major versions. Regulated design partners who cannot install an egressing app would be the evidence that flips it</t>
        </is>
      </c>
    </row>
    <row r="27">
      <c r="A27" s="4" t="inlineStr">
        <is>
          <t>R</t>
        </is>
      </c>
      <c r="B27" s="4" t="inlineStr">
        <is>
          <t>Per-value storage ceiling caps supported scale at ~1,500-2,900 test cases and ~5,000 runs per board</t>
        </is>
      </c>
      <c r="C27" s="4" t="inlineStr">
        <is>
          <t>Open</t>
        </is>
      </c>
      <c r="D27" s="4" t="inlineStr">
        <is>
          <t>Senthil</t>
        </is>
      </c>
      <c r="E27" s="4" t="inlineStr">
        <is>
          <t>2026-09-13</t>
        </is>
      </c>
      <c r="F27" s="4" t="inlineStr">
        <is>
          <t>Lifting it means splitting collections across keys (pagination/chunking/Custom Entity Store) — V002 E01/E12, a data-model change. Fine for a first cohort; not fine for an enterprise Jira site</t>
        </is>
      </c>
    </row>
    <row r="28">
      <c r="A28" s="4" t="inlineStr">
        <is>
          <t>D</t>
        </is>
      </c>
      <c r="B28" s="4" t="inlineStr">
        <is>
          <t>Prefix-scoped hydration (OBS-TP1) — hydrate still loads every key per invocation, now at one round trip per 100 keys</t>
        </is>
      </c>
      <c r="C28" s="4" t="inlineStr">
        <is>
          <t>Open</t>
        </is>
      </c>
      <c r="D28" s="4" t="inlineStr">
        <is>
          <t>Senthil</t>
        </is>
      </c>
      <c r="E28" s="4" t="inlineStr">
        <is>
          <t>2026-09-13</t>
        </is>
      </c>
      <c r="F28" s="4" t="inlineStr">
        <is>
          <t>Changes the Store seam all 30 modules sit behind. Decide after LC-1 gives real KVS latency; PERF-04 bought the headroom to wait</t>
        </is>
      </c>
    </row>
    <row r="29">
      <c r="A29" s="5" t="inlineStr">
        <is>
          <t>I</t>
        </is>
      </c>
      <c r="B29" s="4" t="inlineStr">
        <is>
          <t>Issue</t>
        </is>
      </c>
      <c r="C29" s="4" t="inlineStr">
        <is>
          <t>20/09</t>
        </is>
      </c>
      <c r="D29" s="4" t="inlineStr">
        <is>
          <t>PRX-02: TestPulse lost data when two people used it at once — and no gate, and 100% coverage, could see it, because every one of them reasons about a single invocation</t>
        </is>
      </c>
      <c r="E29" s="6" t="inlineStr">
        <is>
          <t>Closed in code; class now gated</t>
        </is>
      </c>
      <c r="F29" s="4" t="inlineStr">
        <is>
          <t>The most serious defect found in this product to date. Closed by versioned CAS + commutative merges + per-entity keys, and the class is now a standing gate (G-5/L-P8) that went red on its own first run. THE SAME DEFECT EXISTS IN EVERY PORTFOLIO PRODUCT THAT STORES A COLLECTION IN ONE VALUE.</t>
        </is>
      </c>
    </row>
    <row r="30">
      <c r="A30" s="5" t="inlineStr">
        <is>
          <t>I</t>
        </is>
      </c>
      <c r="B30" s="4" t="inlineStr">
        <is>
          <t>Issue</t>
        </is>
      </c>
      <c r="C30" s="4" t="inlineStr">
        <is>
          <t>20/09</t>
        </is>
      </c>
      <c r="D30" s="4" t="inlineStr">
        <is>
          <t>PRX-03: LC-6 was marked Done-in-code on a guard that logged scope and never enforced it — the F-TP33 class recurring inside the corrective machinery built to stop it</t>
        </is>
      </c>
      <c r="E30" s="6" t="inlineStr">
        <is>
          <t>Closed in code; LC-6 Open</t>
        </is>
      </c>
      <c r="F30" s="4" t="inlineStr">
        <is>
          <t>Enforcement shipped (PR-09). The row stays Open until live evidence, deliberately: "fixed in code" was the overstatement being corrected.</t>
        </is>
      </c>
    </row>
    <row r="31">
      <c r="A31" s="5" t="inlineStr">
        <is>
          <t>L</t>
        </is>
      </c>
      <c r="B31" s="4" t="inlineStr">
        <is>
          <t>Lesson</t>
        </is>
      </c>
      <c r="C31" s="4" t="inlineStr">
        <is>
          <t>20/09</t>
        </is>
      </c>
      <c r="D31" s="4" t="inlineStr">
        <is>
          <t>L-P8: a gate that examines one invocation cannot see a defect that requires two</t>
        </is>
      </c>
      <c r="E31" s="7" t="inlineStr">
        <is>
          <t>Open — portfolio rollout</t>
        </is>
      </c>
      <c r="F31" s="4" t="inlineStr">
        <is>
          <t>Ported to the review-gates kit with a README section and a scaffold that refuses an empty register. Rolling it across the other 11 products is the open call — and it is the highest-leverage one in this pack.</t>
        </is>
      </c>
    </row>
    <row r="32">
      <c r="A32" s="5" t="inlineStr">
        <is>
          <t>R</t>
        </is>
      </c>
      <c r="B32" s="4" t="inlineStr">
        <is>
          <t>Risk</t>
        </is>
      </c>
      <c r="C32" s="4" t="inlineStr">
        <is>
          <t>20/09</t>
        </is>
      </c>
      <c r="D32" s="4" t="inlineStr">
        <is>
          <t>Per-entity keys trade a hard row ceiling for round-trip cost: a 10,000-run board is 102 storage round trips, a site-wide listing of 50,000 cases is 500</t>
        </is>
      </c>
      <c r="E32" s="7" t="inlineStr">
        <is>
          <t>Open — measured, published, decision named</t>
        </is>
      </c>
      <c r="F32" s="4" t="inlineStr">
        <is>
          <t>Published in the envelope rather than buried. Hot paths are 1 round trip by construction. The Forge SQL adapter is built and tested; enabling it is a major version and needs real KVS latency — D19 at PR-04.</t>
        </is>
      </c>
    </row>
    <row r="33">
      <c r="A33" s="5" t="inlineStr">
        <is>
          <t>R</t>
        </is>
      </c>
      <c r="B33" s="4" t="inlineStr">
        <is>
          <t>Risk</t>
        </is>
      </c>
      <c r="C33" s="4" t="inlineStr">
        <is>
          <t>20/09</t>
        </is>
      </c>
      <c r="D33" s="4" t="inlineStr">
        <is>
          <t>Emulated compare-and-set on Forge KVS narrows the lost-update window but does not close it, because the platform has no conditional write</t>
        </is>
      </c>
      <c r="E33" s="7" t="inlineStr">
        <is>
          <t>Open — stated, not hidden</t>
        </is>
      </c>
      <c r="F33" s="4" t="inlineStr">
        <is>
          <t>ADR-001 says so plainly and the trust page does not overclaim. Forge SQL closes it properly; per-entity keys mean the residual is a few shared settings values, where a conflict surfaces as a 409 anyway.</t>
        </is>
      </c>
    </row>
    <row r="34">
      <c r="A34" s="5" t="inlineStr">
        <is>
          <t>A</t>
        </is>
      </c>
      <c r="B34" s="4" t="inlineStr">
        <is>
          <t>Assumption</t>
        </is>
      </c>
      <c r="C34" s="4" t="inlineStr">
        <is>
          <t>20/09</t>
        </is>
      </c>
      <c r="D34" s="4" t="inlineStr">
        <is>
          <t>The competitive and economics figures in this pack (Xray pricing, install counts, revenue share) were read on 16/09 and 20/09</t>
        </is>
      </c>
      <c r="E34" s="7" t="inlineStr">
        <is>
          <t>Open — re-read before publishing</t>
        </is>
      </c>
      <c r="F34" s="4" t="inlineStr">
        <is>
          <t>Marketplace pricing and install counts change; every figure carries its source and date, and PR-13 re-reads them before anything is published.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outlineLevelCol="0"/>
  <cols>
    <col width="8" customWidth="1" min="1" max="1"/>
    <col width="58" customWidth="1" min="2" max="2"/>
    <col width="16" customWidth="1" min="3" max="3"/>
    <col width="110" customWidth="1" min="4" max="4"/>
  </cols>
  <sheetData>
    <row r="1">
      <c r="A1" s="1" t="inlineStr">
        <is>
          <t>COMPLETION GATE (D7) — TestPulse is DONE only when every row is Done</t>
        </is>
      </c>
    </row>
    <row r="2">
      <c r="A2" s="2" t="inlineStr">
        <is>
          <t>R2: code complete counts for nothing. Gate decision = Senthil (R5/D10). LC-3 and LC-6 were corrected DOWNWARDS by this release.</t>
        </is>
      </c>
    </row>
    <row r="3">
      <c r="A3" s="3" t="inlineStr">
        <is>
          <t>ID</t>
        </is>
      </c>
      <c r="B3" s="3" t="inlineStr">
        <is>
          <t>Gate item</t>
        </is>
      </c>
      <c r="C3" s="3" t="inlineStr">
        <is>
          <t>Source</t>
        </is>
      </c>
      <c r="D3" s="3" t="inlineStr">
        <is>
          <t>Status</t>
        </is>
      </c>
    </row>
    <row r="4">
      <c r="A4" s="4" t="inlineStr">
        <is>
          <t>G-01</t>
        </is>
      </c>
      <c r="B4" s="4" t="inlineStr">
        <is>
          <t>App LISTED on Atlassian Marketplace (approved + published)</t>
        </is>
      </c>
      <c r="C4" s="4" t="inlineStr">
        <is>
          <t>D7 / R2</t>
        </is>
      </c>
      <c r="D4" s="7" t="inlineStr">
        <is>
          <t>Open</t>
        </is>
      </c>
    </row>
    <row r="5">
      <c r="A5" s="4" t="inlineStr">
        <is>
          <t>G-02</t>
        </is>
      </c>
      <c r="B5" s="4" t="inlineStr">
        <is>
          <t>10 PAYING installs from strangers</t>
        </is>
      </c>
      <c r="C5" s="4" t="inlineStr">
        <is>
          <t>D7 / R2</t>
        </is>
      </c>
      <c r="D5" s="7" t="inlineStr">
        <is>
          <t>Open</t>
        </is>
      </c>
    </row>
    <row r="6">
      <c r="A6" s="4" t="inlineStr">
        <is>
          <t>G-03</t>
        </is>
      </c>
      <c r="B6" s="4" t="inlineStr">
        <is>
          <t>S12 kill criteria evaluated with evidence pack</t>
        </is>
      </c>
      <c r="C6" s="4" t="inlineStr">
        <is>
          <t>D7 / R3</t>
        </is>
      </c>
      <c r="D6" s="7" t="inlineStr">
        <is>
          <t>Open</t>
        </is>
      </c>
    </row>
    <row r="7">
      <c r="A7" s="4" t="inlineStr">
        <is>
          <t>G-04</t>
        </is>
      </c>
      <c r="B7" s="4" t="inlineStr">
        <is>
          <t>Kill/continue decision recorded by Senthil</t>
        </is>
      </c>
      <c r="C7" s="4" t="inlineStr">
        <is>
          <t>R5 / D10</t>
        </is>
      </c>
      <c r="D7" s="7" t="inlineStr">
        <is>
          <t>Open</t>
        </is>
      </c>
    </row>
    <row r="8">
      <c r="A8" s="4" t="inlineStr">
        <is>
          <t>G-05</t>
        </is>
      </c>
      <c r="B8" s="4" t="inlineStr">
        <is>
          <t>On CONTINUE: next-rank build authorised; TestPulse enters R4 ops floor</t>
        </is>
      </c>
      <c r="C8" s="4" t="inlineStr">
        <is>
          <t>N4 / R1</t>
        </is>
      </c>
      <c r="D8" s="7" t="inlineStr">
        <is>
          <t>Open</t>
        </is>
      </c>
    </row>
    <row r="9">
      <c r="A9" s="4" t="inlineStr">
        <is>
          <t>LC-1</t>
        </is>
      </c>
      <c r="B9" s="4" t="inlineStr">
        <is>
          <t>Marketplace vendor account + Forge app registered; installs in real Jira Cloud dev site</t>
        </is>
      </c>
      <c r="C9" s="4" t="inlineStr">
        <is>
          <t>v008 LC #1</t>
        </is>
      </c>
      <c r="D9" s="7" t="inlineStr">
        <is>
          <t>Open — TURNKEY+. Unchanged in kind and extended in substance: the run sheet now also captures extension.project.key, the restricted-project denial that flips LC-6, a real JUnit post, a derived-readiness screenshot, and the two wall-time figures that decide D19 (Forge SQL).</t>
        </is>
      </c>
    </row>
    <row r="10">
      <c r="A10" s="4" t="inlineStr">
        <is>
          <t>LC-2</t>
        </is>
      </c>
      <c r="B10" s="4" t="inlineStr">
        <is>
          <t>Forge app review pack: scopes, egress allowlist, storage use documented</t>
        </is>
      </c>
      <c r="C10" s="4" t="inlineStr">
        <is>
          <t>v008 LC #2</t>
        </is>
      </c>
      <c r="D10" s="4" t="inlineStr">
        <is>
          <t>Doc-complete — review pack current; scope justification now names four call paths for read:jira-work and the scope-egress gate requires each.</t>
        </is>
      </c>
    </row>
    <row r="11">
      <c r="A11" s="4" t="inlineStr">
        <is>
          <t>LC-3</t>
        </is>
      </c>
      <c r="B11" s="4" t="inlineStr">
        <is>
          <t>Cloud Fortified gap assessment with target date</t>
        </is>
      </c>
      <c r="C11" s="4" t="inlineStr">
        <is>
          <t>v008 LC #3</t>
        </is>
      </c>
      <c r="D11" s="7" t="inlineStr">
        <is>
          <t>OPEN — CORRECTED 20/09 (C-2). The Cloud Fortified programme closed to new submissions 01/09/2026 and retires 31/12/2026, so the previous "no structural gaps, apply at listing+60d" assessment targeted a route that no longer exists. Replaced by docs/enterprise-certified-gap.md against Atlassian Enterprise Certified: engineering rows MET and pinned, but AEC 1.1 (CREST/Bugcrowd penetration test) and AEC 1.2 (public bug bounty) are procurement items with lead times and the programme cannot be applied for until they are done.</t>
        </is>
      </c>
    </row>
    <row r="12">
      <c r="A12" s="4" t="inlineStr">
        <is>
          <t>LC-4</t>
        </is>
      </c>
      <c r="B12" s="4" t="inlineStr">
        <is>
          <t>Data residency: Forge hosted storage regions statement</t>
        </is>
      </c>
      <c r="C12" s="4" t="inlineStr">
        <is>
          <t>v008 LC #4</t>
        </is>
      </c>
      <c r="D12" s="4" t="inlineStr">
        <is>
          <t>Doc-complete — docs/residency-statement.md ready for trust tab</t>
        </is>
      </c>
    </row>
    <row r="13">
      <c r="A13" s="4" t="inlineStr">
        <is>
          <t>LC-5</t>
        </is>
      </c>
      <c r="B13" s="4" t="inlineStr">
        <is>
          <t>Xray/Zephyr importer tested on 3 REAL export files</t>
        </is>
      </c>
      <c r="C13" s="4" t="inlineStr">
        <is>
          <t>v008 LC #5</t>
        </is>
      </c>
      <c r="D13" s="7" t="inlineStr">
        <is>
          <t>Open — importer format-faithful and the CI adapters now fixture-backed for three frameworks; 3 REAL Xray/Zephyr export files remain the acceptance evidence (Senthil, half a day).</t>
        </is>
      </c>
    </row>
    <row r="14">
      <c r="A14" s="4" t="inlineStr">
        <is>
          <t>LC-6</t>
        </is>
      </c>
      <c r="B14" s="4" t="inlineStr">
        <is>
          <t>Jira permission schemes respected (project vs global) verified</t>
        </is>
      </c>
      <c r="C14" s="4" t="inlineStr">
        <is>
          <t>v008 LC #6</t>
        </is>
      </c>
      <c r="D14" s="7" t="inlineStr">
        <is>
          <t>OPEN — CORRECTED 20/09 (C-1/PRX-03). Was "Done-in-code — scope-aware guard + audit"; the guard LOGGED scope and never enforced it, so any licensed member could see every project. Enforcement now shipped (PR-09: BROWSE_PROJECTS via asUser, failing closed, with the project dimension on the audit log). The row stays OPEN until the live restricted-project capture at PR-04 — "fixed in code" is exactly what was being corrected.</t>
        </is>
      </c>
    </row>
    <row r="15">
      <c r="A15" s="4" t="inlineStr">
        <is>
          <t>LC-7</t>
        </is>
      </c>
      <c r="B15" s="4" t="inlineStr">
        <is>
          <t>Marketplace listing: highlights, 5 screenshots, demo video</t>
        </is>
      </c>
      <c r="C15" s="4" t="inlineStr">
        <is>
          <t>v008 LC #7</t>
        </is>
      </c>
      <c r="D15" s="8" t="inlineStr">
        <is>
          <t>In progress — copy A/B + asset spec + storyboard shipped; capture needs LC-1.</t>
        </is>
      </c>
    </row>
    <row r="16">
      <c r="A16" s="4" t="inlineStr">
        <is>
          <t>LC-8</t>
        </is>
      </c>
      <c r="B16" s="4" t="inlineStr">
        <is>
          <t>Pricing: per-user tiers via Atlassian billing configured + test-purchased</t>
        </is>
      </c>
      <c r="C16" s="4" t="inlineStr">
        <is>
          <t>v008 LC #8</t>
        </is>
      </c>
      <c r="D16" s="7" t="inlineStr">
        <is>
          <t>Open — pricing re-anchored in per-user terms against the corrected 0% revenue share (C-3/PR-13); partner-console tiers + test purchase = Senthil.</t>
        </is>
      </c>
    </row>
    <row r="17">
      <c r="A17" s="4" t="inlineStr">
        <is>
          <t>LC-9</t>
        </is>
      </c>
      <c r="B17" s="4" t="inlineStr">
        <is>
          <t>Performance: panel load &lt;1s p75 on 10k-issue projects</t>
        </is>
      </c>
      <c r="C17" s="4" t="inlineStr">
        <is>
          <t>v008 LC #9</t>
        </is>
      </c>
      <c r="D17" s="8" t="inlineStr">
        <is>
          <t>In progress — the in-process envelope is re-baselined against the new store and publishes ROUND-TRIP COUNTS, which is the number live latency multiplies. Live panel p75 on a 10k-issue project at PR-04.</t>
        </is>
      </c>
    </row>
    <row r="18">
      <c r="A18" s="4" t="inlineStr">
        <is>
          <t>LC-10</t>
        </is>
      </c>
      <c r="B18" s="4" t="inlineStr">
        <is>
          <t>Support docs + SLA statement on listing trust tab</t>
        </is>
      </c>
      <c r="C18" s="4" t="inlineStr">
        <is>
          <t>v008 LC #10</t>
        </is>
      </c>
      <c r="D18" s="8" t="inlineStr">
        <is>
          <t>In progress — trust page rewritten with the new controls; publication at listing.</t>
        </is>
      </c>
    </row>
    <row r="19">
      <c r="A19" s="5" t="inlineStr">
        <is>
          <t>G-5</t>
        </is>
      </c>
      <c r="B19" s="4" t="inlineStr">
        <is>
          <t>Standing gate: concurrent write safety (NEW 20/09)</t>
        </is>
      </c>
      <c r="C19" s="4" t="inlineStr">
        <is>
          <t>L-P8 / PRX-02</t>
        </is>
      </c>
      <c r="D19" s="6" t="inlineStr">
        <is>
          <t>GREEN — 13 shared keys protected statically, every one exercised under interleaved writers. Seventh gate in CI. Portable kit updated so it can go to the other 11 products, which is the open portfolio call.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34" customWidth="1" min="1" max="1"/>
    <col width="16" customWidth="1" min="2" max="2"/>
    <col width="10" customWidth="1" min="3" max="3"/>
    <col width="104" customWidth="1" min="4" max="4"/>
    <col width="40" customWidth="1" min="5" max="5"/>
  </cols>
  <sheetData>
    <row r="1">
      <c r="A1" s="1" t="inlineStr">
        <is>
          <t>CODE SHIPPED 20/09 — every module and suite added or rewritten, and why</t>
        </is>
      </c>
    </row>
    <row r="2">
      <c r="A2" s="2" t="inlineStr">
        <is>
          <t>So a reader can go from a review finding to the file that answers it without grepping.</t>
        </is>
      </c>
    </row>
    <row r="3">
      <c r="A3" s="3" t="inlineStr">
        <is>
          <t>File</t>
        </is>
      </c>
      <c r="B3" s="3" t="inlineStr">
        <is>
          <t>New / rewritten</t>
        </is>
      </c>
      <c r="C3" s="3" t="inlineStr">
        <is>
          <t>Sprint</t>
        </is>
      </c>
      <c r="D3" s="3" t="inlineStr">
        <is>
          <t>What it does, and which finding it answers</t>
        </is>
      </c>
      <c r="E3" s="3" t="inlineStr">
        <is>
          <t>Pinned by</t>
        </is>
      </c>
    </row>
    <row r="4">
      <c r="A4" s="4" t="inlineStr">
        <is>
          <t>src/store.ts</t>
        </is>
      </c>
      <c r="B4" s="5" t="inlineStr">
        <is>
          <t>Rewritten</t>
        </is>
      </c>
      <c r="C4" s="4" t="inlineStr">
        <is>
          <t>PR-01</t>
        </is>
      </c>
      <c r="D4" s="4" t="inlineStr">
        <is>
          <t>The Store seam grew COMMUTATIVE operations — append, increment, union, setIfAbsent, update — so a shared value is never written with a plain read-modify-write. A plain set stays correct for documents with owner-edit semantics, where a conflict SHOULD surface. (PRX-02)</t>
        </is>
      </c>
      <c r="E4" s="4" t="inlineStr">
        <is>
          <t>test/concurrency.test.ts</t>
        </is>
      </c>
    </row>
    <row r="5">
      <c r="A5" s="4" t="inlineStr">
        <is>
          <t>src/forgeStore.ts</t>
        </is>
      </c>
      <c r="B5" s="5" t="inlineStr">
        <is>
          <t>Rewritten</t>
        </is>
      </c>
      <c r="C5" s="4" t="inlineStr">
        <is>
          <t>PR-01/PR-03</t>
        </is>
      </c>
      <c r="D5" s="4" t="inlineStr">
        <is>
          <t>Versioned envelopes, compare-and-set on plain writes, reducers re-applied at flush and retried on conflict, prefix-scoped hydration that throws on an undeclared read, and a parallel point-key fetch. (PRX-02, PRX-05)</t>
        </is>
      </c>
      <c r="E5" s="4" t="inlineStr">
        <is>
          <t>test/concurrency.test.ts, test/performance.test.ts</t>
        </is>
      </c>
    </row>
    <row r="6">
      <c r="A6" s="4" t="inlineStr">
        <is>
          <t>src/ids.ts</t>
        </is>
      </c>
      <c r="B6" s="5" t="inlineStr">
        <is>
          <t>New</t>
        </is>
      </c>
      <c r="C6" s="4" t="inlineStr">
        <is>
          <t>PR-02</t>
        </is>
      </c>
      <c r="D6" s="4" t="inlineStr">
        <is>
          <t>Time-sortable unique ids and a batch uniqueness assertion, used by every creation path. (PRX-01)</t>
        </is>
      </c>
      <c r="E6" s="4" t="inlineStr">
        <is>
          <t>test/identity.test.ts</t>
        </is>
      </c>
    </row>
    <row r="7">
      <c r="A7" s="4" t="inlineStr">
        <is>
          <t>src/sqlStore.ts</t>
        </is>
      </c>
      <c r="B7" s="5" t="inlineStr">
        <is>
          <t>New</t>
        </is>
      </c>
      <c r="C7" s="4" t="inlineStr">
        <is>
          <t>PR-03</t>
        </is>
      </c>
      <c r="D7" s="4" t="inlineStr">
        <is>
          <t>Forge SQL adapter behind the same ForgeKvs seam, with a REAL atomic compare-and-set and idempotent migrations. Opt-in by manifest; ADR-001 records why it is not the default yet.</t>
        </is>
      </c>
      <c r="E7" s="4" t="inlineStr">
        <is>
          <t>test/sqlStore.test.ts</t>
        </is>
      </c>
    </row>
    <row r="8">
      <c r="A8" s="4" t="inlineStr">
        <is>
          <t>src/readinessLive.ts</t>
        </is>
      </c>
      <c r="B8" s="5" t="inlineStr">
        <is>
          <t>New</t>
        </is>
      </c>
      <c r="C8" s="4" t="inlineStr">
        <is>
          <t>PR-05</t>
        </is>
      </c>
      <c r="D8" s="4" t="inlineStr">
        <is>
          <t>Readiness derived from run boards, CI results and Jira JQL, with per-factor sources, an explanation, a 30-day trend, per-project config and an attributed override. (Decision 4)</t>
        </is>
      </c>
      <c r="E8" s="4" t="inlineStr">
        <is>
          <t>test/readiness.live.test.ts</t>
        </is>
      </c>
    </row>
    <row r="9">
      <c r="A9" s="4" t="inlineStr">
        <is>
          <t>src/ciReports.ts</t>
        </is>
      </c>
      <c r="B9" s="5" t="inlineStr">
        <is>
          <t>New</t>
        </is>
      </c>
      <c r="C9" s="4" t="inlineStr">
        <is>
          <t>PR-06</t>
        </is>
      </c>
      <c r="D9" s="4" t="inlineStr">
        <is>
          <t>JUnit XML, Playwright JSON and Cucumber JSON adapters, dependency-free, with size caps and a 413 path. (EG-06)</t>
        </is>
      </c>
      <c r="E9" s="4" t="inlineStr">
        <is>
          <t>test/ciReports.test.ts + test/fixtures/ci/*</t>
        </is>
      </c>
    </row>
    <row r="10">
      <c r="A10" s="4" t="inlineStr">
        <is>
          <t>src/traceability.ts</t>
        </is>
      </c>
      <c r="B10" s="5" t="inlineStr">
        <is>
          <t>New</t>
        </is>
      </c>
      <c r="C10" s="4" t="inlineStr">
        <is>
          <t>PR-08</t>
        </is>
      </c>
      <c r="D10" s="4" t="inlineStr">
        <is>
          <t>Requirement -&gt; test -&gt; run -&gt; defect graph and coverage by release. Contains no Jira write path, deliberately. (EG-05)</t>
        </is>
      </c>
      <c r="E10" s="4" t="inlineStr">
        <is>
          <t>test/traceability.test.ts</t>
        </is>
      </c>
    </row>
    <row r="11">
      <c r="A11" s="4" t="inlineStr">
        <is>
          <t>src/flaky.ts</t>
        </is>
      </c>
      <c r="B11" s="5" t="inlineStr">
        <is>
          <t>Rewritten</t>
        </is>
      </c>
      <c r="C11" s="4" t="inlineStr">
        <is>
          <t>PR-03/PR-07</t>
        </is>
      </c>
      <c r="D11" s="4" t="inlineStr">
        <is>
          <t>Per-run storage under a bounded index, per-test/per-branch scoring windows, clusters, new-vs-chronic, quarantine with owner and expiry. (PRX-04)</t>
        </is>
      </c>
      <c r="E11" s="4" t="inlineStr">
        <is>
          <t>test/flaky2.test.ts, test/performance.test.ts</t>
        </is>
      </c>
    </row>
    <row r="12">
      <c r="A12" s="4" t="inlineStr">
        <is>
          <t>src/testgen.ts</t>
        </is>
      </c>
      <c r="B12" s="5" t="inlineStr">
        <is>
          <t>Rewritten</t>
        </is>
      </c>
      <c r="C12" s="4" t="inlineStr">
        <is>
          <t>PR-01/PR-02</t>
        </is>
      </c>
      <c r="D12" s="4" t="inlineStr">
        <is>
          <t>One key per case, unique ids, version + updatedAt, optimistic updateCase, project and story listings. (PRX-01, PRX-02)</t>
        </is>
      </c>
      <c r="E12" s="4" t="inlineStr">
        <is>
          <t>test/identity.test.ts, test/testgen.test.ts</t>
        </is>
      </c>
    </row>
    <row r="13">
      <c r="A13" s="4" t="inlineStr">
        <is>
          <t>src/runboards.ts</t>
        </is>
      </c>
      <c r="B13" s="5" t="inlineStr">
        <is>
          <t>Rewritten</t>
        </is>
      </c>
      <c r="C13" s="4" t="inlineStr">
        <is>
          <t>PR-01</t>
        </is>
      </c>
      <c r="D13" s="4" t="inlineStr">
        <is>
          <t>Board metadata plus one key per run, idempotent by caller run id, fixed default-board id so racing panels converge. (PRX-02, PERF-03)</t>
        </is>
      </c>
      <c r="E13" s="4" t="inlineStr">
        <is>
          <t>test/runboards.test.ts, test/concurrency.test.ts</t>
        </is>
      </c>
    </row>
    <row r="14">
      <c r="A14" s="4" t="inlineStr">
        <is>
          <t>src/permissions.ts</t>
        </is>
      </c>
      <c r="B14" s="5" t="inlineStr">
        <is>
          <t>Rewritten</t>
        </is>
      </c>
      <c r="C14" s="4" t="inlineStr">
        <is>
          <t>PR-09</t>
        </is>
      </c>
      <c r="D14" s="4" t="inlineStr">
        <is>
          <t>Scope is now part of the decision, not just the audit entry; fails closed on an unanswered visibility check; audit carries the project and the denial reason. (PRX-03)</t>
        </is>
      </c>
      <c r="E14" s="4" t="inlineStr">
        <is>
          <t>test/permissions.test.ts, test/project-scope.test.ts</t>
        </is>
      </c>
    </row>
    <row r="15">
      <c r="A15" s="4" t="inlineStr">
        <is>
          <t>src/aiProvider.ts</t>
        </is>
      </c>
      <c r="B15" s="5" t="inlineStr">
        <is>
          <t>Rewritten</t>
        </is>
      </c>
      <c r="C15" s="4" t="inlineStr">
        <is>
          <t>PR-10</t>
        </is>
      </c>
      <c r="D15" s="4" t="inlineStr">
        <is>
          <t>System-prompt separation, story as delimited data, structural output validation, exfiltration rejection, multi-model fallback on 429/5xx only.</t>
        </is>
      </c>
      <c r="E15" s="4" t="inlineStr">
        <is>
          <t>test/ai-governance-v2.test.ts</t>
        </is>
      </c>
    </row>
    <row r="16">
      <c r="A16" s="4" t="inlineStr">
        <is>
          <t>src/aiGovernance.ts</t>
        </is>
      </c>
      <c r="B16" s="5" t="inlineStr">
        <is>
          <t>Extended</t>
        </is>
      </c>
      <c r="C16" s="4" t="inlineStr">
        <is>
          <t>PR-10</t>
        </is>
      </c>
      <c r="D16" s="4" t="inlineStr">
        <is>
          <t>Key source (BYOK / shared / none), monthly vendor ceiling, per-source cost attribution with estimated tokens, Secret Storage seam.</t>
        </is>
      </c>
      <c r="E16" s="4" t="inlineStr">
        <is>
          <t>test/ai-governance-v2.test.ts</t>
        </is>
      </c>
    </row>
    <row r="17">
      <c r="A17" s="4" t="inlineStr">
        <is>
          <t>src/lifecycle.ts</t>
        </is>
      </c>
      <c r="B17" s="5" t="inlineStr">
        <is>
          <t>Rewritten</t>
        </is>
      </c>
      <c r="C17" s="4" t="inlineStr">
        <is>
          <t>PR-11</t>
        </is>
      </c>
      <c r="D17" s="4" t="inlineStr">
        <is>
          <t>The install record stores no Atlassian credential at all. ST-055 is N/A on Forge. (AEC 1.5)</t>
        </is>
      </c>
      <c r="E17" s="4" t="inlineStr">
        <is>
          <t>test/lifecycle.test.ts</t>
        </is>
      </c>
    </row>
    <row r="18">
      <c r="A18" s="4" t="inlineStr">
        <is>
          <t>src/forgeGlue.ts</t>
        </is>
      </c>
      <c r="B18" s="5" t="inlineStr">
        <is>
          <t>Rewritten</t>
        </is>
      </c>
      <c r="C18" s="4" t="inlineStr">
        <is>
          <t>PR-01..PR-10</t>
        </is>
      </c>
      <c r="D18" s="4" t="inlineStr">
        <is>
          <t>Per-call storage scopes, conflict -&gt; 409, project context and visibility gating, BYOK provider selection, report ingestion, the new resolver calls, and a retention sweep that also expires replay keys and orphan chunks.</t>
        </is>
      </c>
      <c r="E18" s="4" t="inlineStr">
        <is>
          <t>test/resolver.surface.test.ts + every suite</t>
        </is>
      </c>
    </row>
    <row r="19">
      <c r="A19" s="4" t="inlineStr">
        <is>
          <t>src/ledger.ts</t>
        </is>
      </c>
      <c r="B19" s="5" t="inlineStr">
        <is>
          <t>Deleted</t>
        </is>
      </c>
      <c r="C19" s="4" t="inlineStr">
        <is>
          <t>PR-01</t>
        </is>
      </c>
      <c r="D19" s="4" t="inlineStr">
        <is>
          <t>Absorbed into the Store seam: the cap rule now lives in one place so every backend applies the same one, and appending is commutative rather than a read-modify-write.</t>
        </is>
      </c>
      <c r="E19" s="4" t="inlineStr">
        <is>
          <t>test/performance.test.ts</t>
        </is>
      </c>
    </row>
    <row r="20">
      <c r="A20" s="4" t="inlineStr">
        <is>
          <t>tools/review-gates/concurrent-writes.js</t>
        </is>
      </c>
      <c r="B20" s="5" t="inlineStr">
        <is>
          <t>New</t>
        </is>
      </c>
      <c r="C20" s="4" t="inlineStr">
        <is>
          <t>PR-01</t>
        </is>
      </c>
      <c r="D20" s="4" t="inlineStr">
        <is>
          <t>Standing gate G-5. Static: no plain set on a registered shared key. Dynamic: the concurrency suite must exercise every registered key. Went RED on its first run. (L-P8)</t>
        </is>
      </c>
      <c r="E20" s="4" t="inlineStr">
        <is>
          <t>test/gates.test.ts</t>
        </is>
      </c>
    </row>
    <row r="21">
      <c r="A21" s="4" t="inlineStr">
        <is>
          <t>test/concurrency.test.ts</t>
        </is>
      </c>
      <c r="B21" s="5" t="inlineStr">
        <is>
          <t>New</t>
        </is>
      </c>
      <c r="C21" s="4" t="inlineStr">
        <is>
          <t>PR-01</t>
        </is>
      </c>
      <c r="D21" s="4" t="inlineStr">
        <is>
          <t>The regression the review asked for: two stores over one backing map, 100 interleaved writers, the conflict path, idempotent redelivery, and the no-native-CAS fallback.</t>
        </is>
      </c>
      <c r="E21" s="4" t="inlineStr">
        <is>
          <t>—</t>
        </is>
      </c>
    </row>
    <row r="22">
      <c r="A22" s="4" t="inlineStr">
        <is>
          <t>docs/adr-001-storage.md</t>
        </is>
      </c>
      <c r="B22" s="5" t="inlineStr">
        <is>
          <t>New</t>
        </is>
      </c>
      <c r="C22" s="4" t="inlineStr">
        <is>
          <t>PR-03</t>
        </is>
      </c>
      <c r="D22" s="4" t="inlineStr">
        <is>
          <t>The storage decision with the three options, their verified limits, why SQL is opt-in today, and the named trigger to re-open at PR-04.</t>
        </is>
      </c>
      <c r="E22" s="4" t="inlineStr">
        <is>
          <t>—</t>
        </is>
      </c>
    </row>
    <row r="23">
      <c r="A23" s="4" t="inlineStr">
        <is>
          <t>docs/enterprise-certified-gap.md</t>
        </is>
      </c>
      <c r="B23" s="5" t="inlineStr">
        <is>
          <t>New</t>
        </is>
      </c>
      <c r="C23" s="4" t="inlineStr">
        <is>
          <t>PR-11</t>
        </is>
      </c>
      <c r="D23" s="4" t="inlineStr">
        <is>
          <t>Replaces the deleted cloud-fortified-gap.md. Row-by-row AEC assessment separating code, documentation and procurement.</t>
        </is>
      </c>
      <c r="E23" s="4" t="inlineStr">
        <is>
          <t>claims gate C-12/C-35</t>
        </is>
      </c>
    </row>
    <row r="24">
      <c r="A24" s="4" t="inlineStr">
        <is>
          <t>docs/ai-usage-policy.md</t>
        </is>
      </c>
      <c r="B24" s="5" t="inlineStr">
        <is>
          <t>New</t>
        </is>
      </c>
      <c r="C24" s="4" t="inlineStr">
        <is>
          <t>PR-10</t>
        </is>
      </c>
      <c r="D24" s="4" t="inlineStr">
        <is>
          <t>The public AI usage policy AEC 5.1 requires, naming Anthropic as a subprocessor.</t>
        </is>
      </c>
      <c r="E24" s="4" t="inlineStr">
        <is>
          <t>claims gate C-38/C-39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2026-09-20T12:05:55Z</dcterms:created>
  <dcterms:modified xmlns:dcterms="http://purl.org/dc/terms/" xmlns:xsi="http://www.w3.org/2001/XMLSchema-instance" xsi:type="dcterms:W3CDTF">2026-09-20T12:05:56Z</dcterms:modified>
</cp:coreProperties>
</file>