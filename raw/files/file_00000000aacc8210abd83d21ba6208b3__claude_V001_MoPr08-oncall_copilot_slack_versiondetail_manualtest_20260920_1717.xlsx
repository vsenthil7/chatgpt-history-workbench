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_Sheet" sheetId="1" state="visible" r:id="rId3"/>
    <sheet name="Version_Control" sheetId="2" state="visible" r:id="rId4"/>
    <sheet name="Context_and_Scope" sheetId="3" state="visible" r:id="rId5"/>
    <sheet name="How_To_Use_This_Workbook" sheetId="4" state="visible" r:id="rId6"/>
    <sheet name="Version_Detail" sheetId="5" state="visible" r:id="rId7"/>
    <sheet name="Pending_Versions" sheetId="6" state="visible" r:id="rId8"/>
    <sheet name="Completed_vs_Pending" sheetId="7" state="visible" r:id="rId9"/>
    <sheet name="Test_Strategy" sheetId="8" state="visible" r:id="rId10"/>
    <sheet name="Test_Environment" sheetId="9" state="visible" r:id="rId11"/>
    <sheet name="Entry_Exit_Criteria" sheetId="10" state="visible" r:id="rId12"/>
    <sheet name="Manual_Test_Cases" sheetId="11" state="visible" r:id="rId13"/>
    <sheet name="Test_Steps" sheetId="12" state="visible" r:id="rId14"/>
    <sheet name="Test_Execution_Log" sheetId="13" state="visible" r:id="rId15"/>
    <sheet name="Defect_Log" sheetId="14" state="visible" r:id="rId16"/>
    <sheet name="Traceability_Matrix" sheetId="15" state="visible" r:id="rId17"/>
    <sheet name="Test_Summary" sheetId="16" state="visible" r:id="rId18"/>
    <sheet name="Assumptions_and_Limitations" sheetId="17" state="visible" r:id="rId19"/>
    <sheet name="Glossary" sheetId="18" state="visible" r:id="rId20"/>
    <sheet name="Sign_Off"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<sst xmlns="http://schemas.openxmlformats.org/spreadsheetml/2006/main" count="4255" uniqueCount="2176">
  <si>
    <t xml:space="preserve">OnCall Copilot for Slack — Version Detail &amp; Manual Test Workbook</t>
  </si>
  <si>
    <t xml:space="preserve">002-MoPr08-oncall_copilot_slack</t>
  </si>
  <si>
    <t xml:space="preserve">Document id</t>
  </si>
  <si>
    <t xml:space="preserve">claude_V001_MoPr08-oncall_copilot_slack_versiondetail_manualtest</t>
  </si>
  <si>
    <t xml:space="preserve">Document version</t>
  </si>
  <si>
    <t xml:space="preserve">V001 (first issue)</t>
  </si>
  <si>
    <t xml:space="preserve">Issued</t>
  </si>
  <si>
    <t xml:space="preserve">20 September 2026, 17:17 BST</t>
  </si>
  <si>
    <t xml:space="preserve">Author</t>
  </si>
  <si>
    <t xml:space="preserve">Claude (Anthropic) — build and verification agent</t>
  </si>
  <si>
    <t xml:space="preserve">Approver</t>
  </si>
  <si>
    <t xml:space="preserve">Senthil — product owner</t>
  </si>
  <si>
    <t xml:space="preserve">Product</t>
  </si>
  <si>
    <t xml:space="preserve">OnCall Copilot for Slack — incident declare, triage, paging, timeline and postmortem inside Slack</t>
  </si>
  <si>
    <t xml:space="preserve">Codebase version described</t>
  </si>
  <si>
    <t xml:space="preserve">v0.37.0</t>
  </si>
  <si>
    <t xml:space="preserve">Product workbook version</t>
  </si>
  <si>
    <t xml:space="preserve">v037</t>
  </si>
  <si>
    <t xml:space="preserve">Sprint tracker version</t>
  </si>
  <si>
    <t xml:space="preserve">v030</t>
  </si>
  <si>
    <t xml:space="preserve">Quality gate at time of issue</t>
  </si>
  <si>
    <t xml:space="preserve">60 suites / 624 tests (616 run, 8 gated on a real PostgreSQL) at 100.00% statements, branches, functions and lines over src/ AND scripts/</t>
  </si>
  <si>
    <t xml:space="preserve">Purpose</t>
  </si>
  <si>
    <t xml:space="preserve">One place that answers three questions without reading the code: what has been released and why each release happened; what has NOT been released and the real reason each item is waiting; and how a person with no access to the codebase can manually verify each claim, positively and negatively.</t>
  </si>
  <si>
    <t xml:space="preserve">Audience</t>
  </si>
  <si>
    <t xml:space="preserve">Product owner, an incoming engineer, an external reviewer, and any manual tester.</t>
  </si>
  <si>
    <t xml:space="preserve">Companion document</t>
  </si>
  <si>
    <t xml:space="preserve">oncall_copilot_status_map.html / .svg / .png — the pictorial status map issued at the same time from the same data.</t>
  </si>
  <si>
    <t xml:space="preserve">Classification</t>
  </si>
  <si>
    <t xml:space="preserve">Internal — product build record.</t>
  </si>
  <si>
    <t xml:space="preserve">Total versions recorded</t>
  </si>
  <si>
    <t xml:space="preserve">32 released, 14 pending</t>
  </si>
  <si>
    <t xml:space="preserve">Total manual test cases</t>
  </si>
  <si>
    <t xml:space="preserve">77 (34 positive, 43 negative) across 321 documented steps</t>
  </si>
  <si>
    <t xml:space="preserve">Executable today</t>
  </si>
  <si>
    <t xml:space="preserve">66 of 77 — the remainder are blocked on a credential or an environment and say which</t>
  </si>
  <si>
    <t xml:space="preserve">Standing caveat</t>
  </si>
  <si>
    <t xml:space="preserve">The enterprise-ready claim is withdrawn and gate G0 is closed. Nothing in v0.37.0 moves enterprise readiness; it moves the thing under it — whether the core can host a real adapter at all.</t>
  </si>
  <si>
    <t xml:space="preserve">Version Control</t>
  </si>
  <si>
    <t xml:space="preserve">HOW TO USE THIS SHEET: Add one row per re-issue. Never edit a previous row. The document version in the Cover_Sheet must equal the newest row here.</t>
  </si>
  <si>
    <t xml:space="preserve">Doc version</t>
  </si>
  <si>
    <t xml:space="preserve">Date</t>
  </si>
  <si>
    <t xml:space="preserve">Change</t>
  </si>
  <si>
    <t xml:space="preserve">Sections affected</t>
  </si>
  <si>
    <t xml:space="preserve">Product state at issue</t>
  </si>
  <si>
    <t xml:space="preserve">Approved by</t>
  </si>
  <si>
    <t xml:space="preserve">V001</t>
  </si>
  <si>
    <t xml:space="preserve">Claude</t>
  </si>
  <si>
    <t xml:space="preserve">First issue. Version-by-version what/why for all 32 released versions; 14 pending versions with root-cause reasons; 17-layer completed-vs-pending map; 77 manual test cases with 321 steps, positive and negative; traceability to the PX and F finding registers.</t>
  </si>
  <si>
    <t xml:space="preserve">All</t>
  </si>
  <si>
    <t xml:space="preserve">codebase v0.37.0 / workbook v037 / tracker v030</t>
  </si>
  <si>
    <t xml:space="preserve">Pending</t>
  </si>
  <si>
    <t xml:space="preserve">V002</t>
  </si>
  <si>
    <t xml:space="preserve">(next)</t>
  </si>
  <si>
    <t xml:space="preserve">Reserved: re-issue after v038 so the blocked cases move from NO to Yes.</t>
  </si>
  <si>
    <t xml:space="preserve">Context and Scope</t>
  </si>
  <si>
    <t xml:space="preserve">HOW TO USE THIS SHEET: Read before drawing any conclusion from the test sheets. In particular read the 'Out of scope' rows — an untested area here is stated, not hidden.</t>
  </si>
  <si>
    <t xml:space="preserve">Topic</t>
  </si>
  <si>
    <t xml:space="preserve">Detail</t>
  </si>
  <si>
    <t xml:space="preserve">The product</t>
  </si>
  <si>
    <t xml:space="preserve">A Slack-native incident management app. A responder types /incident, a modal collects severity and summary, the app creates a dedicated channel, posts a structured incident message, pages the on-call rotation through PagerDuty or Opsgenie, captures a timeline from the channel automatically, and drafts a postmortem from that timeline when the incident resolves.</t>
  </si>
  <si>
    <t xml:space="preserve">Why it exists</t>
  </si>
  <si>
    <t xml:space="preserve">Incident tooling lives outside the place the incident is actually handled. The wedge is that the whole loop stays in Slack, and the second wedge is a migration path off Opsgenie.</t>
  </si>
  <si>
    <t xml:space="preserve">Where it is</t>
  </si>
  <si>
    <t xml:space="preserve">Pre-revenue, pre-install. 37 codebase versions exist. Not one of them has ever run against a real Slack workspace, because no workspace credential has been issued. Everything that touches a third party is a named, health-probed stub that the production boot gate refuses by name.</t>
  </si>
  <si>
    <t xml:space="preserve">What 'done' means here</t>
  </si>
  <si>
    <t xml:space="preserve">A version is DONE when its code is merged under a 100% automated-coverage gate over src/ and scripts/, its behaviour is asserted by a test that would fail if the behaviour were removed, and the claim it supports is written down with its evidence. It does NOT mean the behaviour has been observed against a live third party.</t>
  </si>
  <si>
    <t xml:space="preserve">The honesty rule</t>
  </si>
  <si>
    <t xml:space="preserve">Every capability in this workbook is stated at the level it has actually been proven. 'Built and covered' and 'observed working live' are never merged into one word. Where a claim has not been measured, the sheet says NOT MEASURED rather than estimating.</t>
  </si>
  <si>
    <t xml:space="preserve">In scope of this document</t>
  </si>
  <si>
    <t xml:space="preserve">The 32 released versions and their reasons; the 14 pending versions and their blockers; a 17-layer view of what is complete and what is not; and a manual test pack that a person can execute by hand against the delivered zip.</t>
  </si>
  <si>
    <t xml:space="preserve">Out of scope — stated, not hidden</t>
  </si>
  <si>
    <t xml:space="preserve">Live Slack behaviour (no workspace); real payment behaviour (no Stripe keys); real paging delivery (no PagerDuty/Opsgenie account); deploy-topology behaviour such as two replicas behind a load balancer (no staging environment); human accessibility testing with a screen reader; and measured production latency. Each of these has test cases written and marked BLOCKED with the exact blocker.</t>
  </si>
  <si>
    <t xml:space="preserve">Known open defects at issue</t>
  </si>
  <si>
    <t xml:space="preserve">PX-014 — the DegradationService replay queue is in memory and nothing replays it. PX-015 — the EventReceiver retry queue is not drained at shutdown. Both are recorded in Defect_Log with owners and both are scheduled for S42.</t>
  </si>
  <si>
    <t xml:space="preserve">Source of truth</t>
  </si>
  <si>
    <t xml:space="preserve">The 'what' column of Version_Detail is taken verbatim from the released product workbook's Version_Control sheet. The 'why' column is written against the directive, review or portfolio rule that caused the release. Test cases are written against the code in oncall-copilot-v037-codebase.zip.</t>
  </si>
  <si>
    <t xml:space="preserve">How this relates to the diagram</t>
  </si>
  <si>
    <t xml:space="preserve">The status map issued alongside this workbook is the same data drawn. The 17 rows of Completed_vs_Pending are the 17 cards in its layer panel; the pending queue in its third panel is the Pending_Versions sheet.</t>
  </si>
  <si>
    <t xml:space="preserve">How To Use This Workbook</t>
  </si>
  <si>
    <t xml:space="preserve">HOW TO USE THIS SHEET: Start here if you do not know which sheet answers your question. The 'Read this if' column routes you in one hop.</t>
  </si>
  <si>
    <t xml:space="preserve">#</t>
  </si>
  <si>
    <t xml:space="preserve">Sheet</t>
  </si>
  <si>
    <t xml:space="preserve">Read this if you want to know…</t>
  </si>
  <si>
    <t xml:space="preserve">How to use it</t>
  </si>
  <si>
    <t xml:space="preserve">Maintained by</t>
  </si>
  <si>
    <t xml:space="preserve">Cover_Sheet</t>
  </si>
  <si>
    <t xml:space="preserve">…exactly which build this document describes.</t>
  </si>
  <si>
    <t xml:space="preserve">Identifies the document, the exact product state it describes and who signed it off.</t>
  </si>
  <si>
    <t xml:space="preserve">Read first. Check that the codebase version here matches the zip you were given before running any test.</t>
  </si>
  <si>
    <t xml:space="preserve">Author on each re-issue.</t>
  </si>
  <si>
    <t xml:space="preserve">Version_Control</t>
  </si>
  <si>
    <t xml:space="preserve">…what changed in this document and when.</t>
  </si>
  <si>
    <t xml:space="preserve">Change history of this document (not of the product).</t>
  </si>
  <si>
    <t xml:space="preserve">Add one row per re-issue. Never edit a previous row. The document version in the Cover_Sheet must equal the newest row here.</t>
  </si>
  <si>
    <t xml:space="preserve">Context_and_Scope</t>
  </si>
  <si>
    <t xml:space="preserve">…what the product is and what this pack deliberately does not cover.</t>
  </si>
  <si>
    <t xml:space="preserve">What the product is, where it is in its life, and what this document does and does not cover.</t>
  </si>
  <si>
    <t xml:space="preserve">Read before drawing any conclusion from the test sheets. In particular read the 'Out of scope' rows — an untested area here is stated, not hidden.</t>
  </si>
  <si>
    <t xml:space="preserve">How_To_Use_This_Workbook</t>
  </si>
  <si>
    <t xml:space="preserve">…which sheet to open.</t>
  </si>
  <si>
    <t xml:space="preserve">A map of every sheet: what it is for, how to use it, who keeps it current.</t>
  </si>
  <si>
    <t xml:space="preserve">Start here if you do not know which sheet answers your question. The 'Read this if' column routes you in one hop.</t>
  </si>
  <si>
    <t xml:space="preserve">Version_Detail</t>
  </si>
  <si>
    <t xml:space="preserve">…what each released version delivered and WHY it was released.</t>
  </si>
  <si>
    <t xml:space="preserve">Every released version: what it delivered, why it was released, and the gate it passed.</t>
  </si>
  <si>
    <t xml:space="preserve">Read the WHY column first — it is the decision that caused the release. The WHAT column is taken verbatim from the product workbook, so this sheet and the product record cannot drift. Filter Findings closed to trace a defect to the release that fixed it.</t>
  </si>
  <si>
    <t xml:space="preserve">Claude on each release</t>
  </si>
  <si>
    <t xml:space="preserve">Pending_Versions</t>
  </si>
  <si>
    <t xml:space="preserve">…what has not been built and the real reason it is waiting.</t>
  </si>
  <si>
    <t xml:space="preserve">Every version that has NOT happened, with the root cause of the wait — not a restatement of the task.</t>
  </si>
  <si>
    <t xml:space="preserve">The WHY PENDING column is the point of this sheet: it separates 'we have not written it' from 'we cannot observe it without a credential or an environment'. Sort by Blocker type to see how much is waiting on one signature. Anything owned by Senthil is an unblock action, not an engineering task.</t>
  </si>
  <si>
    <t xml:space="preserve">Claude weekly; owner column reviewed by Senthil</t>
  </si>
  <si>
    <t xml:space="preserve">Completed_vs_Pending</t>
  </si>
  <si>
    <t xml:space="preserve">…the whole product in 17 rows, colour-coded.</t>
  </si>
  <si>
    <t xml:space="preserve">The whole product in 17 layers, each marked DONE, PARTIAL, BLOCKED or NOT BUILT, with what exists and what is missing and why.</t>
  </si>
  <si>
    <t xml:space="preserve">This is the one-screen answer to 'what is finished'. Green means built and covered by an automated test; amber means the code is complete but no third party has ever confirmed it; red means it does not exist. Read the 'what is missing and why' column before treating any amber row as done.</t>
  </si>
  <si>
    <t xml:space="preserve">Test_Strategy</t>
  </si>
  <si>
    <t xml:space="preserve">…how these tests were designed and what they can and cannot prove.</t>
  </si>
  <si>
    <t xml:space="preserve">How this manual pack was designed, what it can prove, and what it cannot.</t>
  </si>
  <si>
    <t xml:space="preserve">Read before executing. The 'cannot prove' rows matter most: a green manual run here does not mean the product works against Slack, because no test in this pack touches Slack.</t>
  </si>
  <si>
    <t xml:space="preserve">Test_Environment</t>
  </si>
  <si>
    <t xml:space="preserve">…what you need on your machine before you start testing.</t>
  </si>
  <si>
    <t xml:space="preserve">Everything needed on the machine before the first case is run.</t>
  </si>
  <si>
    <t xml:space="preserve">Set this up once, in order. The environment variable block is the exact string the cases assume; copy it as-is or the expected results will not match.</t>
  </si>
  <si>
    <t xml:space="preserve">Entry_Exit_Criteria</t>
  </si>
  <si>
    <t xml:space="preserve">…when testing may begin and when it may be called finished.</t>
  </si>
  <si>
    <t xml:space="preserve">The conditions that must hold before testing starts, and the conditions that let it be called finished.</t>
  </si>
  <si>
    <t xml:space="preserve">Tick every entry row before running case 1. At the end, every exit row must be met or explicitly waived in writing on Sign_Off — a waiver is recorded, never assumed.</t>
  </si>
  <si>
    <t xml:space="preserve">Author + Approver</t>
  </si>
  <si>
    <t xml:space="preserve">Manual_Test_Cases</t>
  </si>
  <si>
    <t xml:space="preserve">…the test case register — one row per case.</t>
  </si>
  <si>
    <t xml:space="preserve">The test case register: 77 cases, one row each, positive and negative, across 20 versions.</t>
  </si>
  <si>
    <t xml:space="preserve">One row per case. The steps are NOT here — they are on Test_Steps, keyed by the same Test case id, because one case has many steps. Filter Type for positive vs negative, Priority for a smoke run (P0 only), and Executable to see what you can actually run today. A case whose Executable column starts with NO is blocked, not failing.</t>
  </si>
  <si>
    <t xml:space="preserve">Claude; re-issued with each version</t>
  </si>
  <si>
    <t xml:space="preserve">Test_Steps</t>
  </si>
  <si>
    <t xml:space="preserve">…the actual click-by-click steps and the expected result at each step.</t>
  </si>
  <si>
    <t xml:space="preserve">The step-by-step detail: 321 numbered steps, each with the result expected at that step.</t>
  </si>
  <si>
    <t xml:space="preserve">Execute top to bottom within a Test case id. Stop at the first step whose expected result does not occur, record that step number on Test_Execution_Log, and do not continue the case — later steps assume the earlier ones succeeded. Look the case up on Manual_Test_Cases for its preconditions and data first.</t>
  </si>
  <si>
    <t xml:space="preserve">Test_Execution_Log</t>
  </si>
  <si>
    <t xml:space="preserve">…to record a run.</t>
  </si>
  <si>
    <t xml:space="preserve">Where a run is recorded: one row per case per run.</t>
  </si>
  <si>
    <t xml:space="preserve">Copy this sheet for each run and stamp the build. Row 1 of the data is a worked EXAMPLE — delete it before your own run. Result must be one of Pass, Fail, Blocked, Not run; a Fail needs a defect id, and a Blocked needs the blocker named in Notes.</t>
  </si>
  <si>
    <t xml:space="preserve">Tester</t>
  </si>
  <si>
    <t xml:space="preserve">Defect_Log</t>
  </si>
  <si>
    <t xml:space="preserve">…what is known to be broken right now.</t>
  </si>
  <si>
    <t xml:space="preserve">Defects known open at the time of issue, plus space for anything a run finds.</t>
  </si>
  <si>
    <t xml:space="preserve">The two pre-populated rows are real and open right now — they were found by the project's own audit tool, not by a reviewer. Add one row per failure found during a run, referencing the Test case id and the step number it failed at. Never close a row without naming the version that fixed it.</t>
  </si>
  <si>
    <t xml:space="preserve">Claude; reviewed each release</t>
  </si>
  <si>
    <t xml:space="preserve">Traceability_Matrix</t>
  </si>
  <si>
    <t xml:space="preserve">…which test proves which finding, and whether anything is uncovered.</t>
  </si>
  <si>
    <t xml:space="preserve">Every finding from both independent reviews and from the project's own audit, mapped to the manual case that proves it and the version that closed it.</t>
  </si>
  <si>
    <t xml:space="preserve">Read down the 'Manual case(s)' column: an empty cell would mean a finding with no manual proof. Use this sheet to answer 'how do I know PX-002 is actually fixed' without reading a test file.</t>
  </si>
  <si>
    <t xml:space="preserve">Test_Summary</t>
  </si>
  <si>
    <t xml:space="preserve">…the counts, live, from the sheets themselves.</t>
  </si>
  <si>
    <t xml:space="preserve">Counts computed live from the other sheets — this sheet cannot disagree with them.</t>
  </si>
  <si>
    <t xml:space="preserve">Do not type numbers here. Every cell is a formula over Manual_Test_Cases or Test_Execution_Log; if a count looks wrong, the source sheet is wrong. Refresh by reopening the file or pressing F9.</t>
  </si>
  <si>
    <t xml:space="preserve">Computed</t>
  </si>
  <si>
    <t xml:space="preserve">Assumptions_and_Limitations</t>
  </si>
  <si>
    <t xml:space="preserve">…what had to be assumed for any of this to be true.</t>
  </si>
  <si>
    <t xml:space="preserve">What had to be assumed for the statements in this workbook to hold, and where the workbook stops being able to tell you anything.</t>
  </si>
  <si>
    <t xml:space="preserve">Read this alongside any conclusion you draw. An assumption that turns out to be false invalidates the rows named in the last column, and nothing else.</t>
  </si>
  <si>
    <t xml:space="preserve">Glossary</t>
  </si>
  <si>
    <t xml:space="preserve">…what a term or an id prefix means.</t>
  </si>
  <si>
    <t xml:space="preserve">Every term, id prefix and acronym used anywhere in this workbook.</t>
  </si>
  <si>
    <t xml:space="preserve">Look a term up before assuming its ordinary meaning — several (ack, lease, epoch, band, drain) are used here in a specific technical sense.</t>
  </si>
  <si>
    <t xml:space="preserve">Sign_Off</t>
  </si>
  <si>
    <t xml:space="preserve">…who accepted it.</t>
  </si>
  <si>
    <t xml:space="preserve">The record of who accepted this document and this test run, and on what basis.</t>
  </si>
  <si>
    <t xml:space="preserve">Sign only after Entry_Exit_Criteria shows every exit row met or waived. Write any waiver in full on the waiver rows — a waiver that is not written down did not happen.</t>
  </si>
  <si>
    <t xml:space="preserve">Version Detail</t>
  </si>
  <si>
    <t xml:space="preserve">HOW TO USE THIS SHEET: Read the WHY column first — it is the decision that caused the release. The WHAT column is taken verbatim from the product workbook, so this sheet and the product record cannot drift. Filter Findings closed to trace a defect to the release that fixed it.</t>
  </si>
  <si>
    <t xml:space="preserve">Version</t>
  </si>
  <si>
    <t xml:space="preserve">Codebase</t>
  </si>
  <si>
    <t xml:space="preserve">Tracker</t>
  </si>
  <si>
    <t xml:space="preserve">Released</t>
  </si>
  <si>
    <t xml:space="preserve">Theme</t>
  </si>
  <si>
    <t xml:space="preserve">WHAT was done</t>
  </si>
  <si>
    <t xml:space="preserve">WHY it was done</t>
  </si>
  <si>
    <t xml:space="preserve">Quality gate / evidence</t>
  </si>
  <si>
    <t xml:space="preserve">Findings closed</t>
  </si>
  <si>
    <t xml:space="preserve">Status</t>
  </si>
  <si>
    <t xml:space="preserve">v001-v004</t>
  </si>
  <si>
    <t xml:space="preserve">—</t>
  </si>
  <si>
    <t xml:space="preserve">2026-09-05</t>
  </si>
  <si>
    <t xml:space="preserve">Portfolio selection</t>
  </si>
  <si>
    <t xml:space="preserve">Lineage: marketplace master (868 entries) -&gt; portfolio plan (12 products) -&gt; wave-1 (RetainKit/ShiftDesk/EngageOS, v005) -&gt; this product selected for wave-3</t>
  </si>
  <si>
    <t xml:space="preserve">Portfolio process, not product work: 868 marketplace entries were filtered to 12 products, then to waves. OnCall Copilot was selected for wave-3. Nothing was built.</t>
  </si>
  <si>
    <t xml:space="preserve">Portfolio master + 12-product plan</t>
  </si>
  <si>
    <t xml:space="preserve">v007</t>
  </si>
  <si>
    <t xml:space="preserve">2026-09-05 19:50</t>
  </si>
  <si>
    <t xml:space="preserve">Product baseline (pre-code)</t>
  </si>
  <si>
    <t xml:space="preserve">Full product workbook for OnCall Copilot on Slack App Directory: spec, screen inventory, 100+ story backlog, live sprint board, 18-month financial model (editable assumptions), GTM execution tasks, platform launch checklist, metric targets, risk register</t>
  </si>
  <si>
    <t xml:space="preserve">Portfolio rule R1: no product starts coding without a spec, a costed backlog and a financial model, so that 'done' has something to be measured against.</t>
  </si>
  <si>
    <t xml:space="preserve">100-story backlog, 18-month model, launch checklist</t>
  </si>
  <si>
    <t xml:space="preserve">v008</t>
  </si>
  <si>
    <t xml:space="preserve">v0.8.0</t>
  </si>
  <si>
    <t xml:space="preserve">v001</t>
  </si>
  <si>
    <t xml:space="preserve">2026-09-10 22:22</t>
  </si>
  <si>
    <t xml:space="preserve">First development release</t>
  </si>
  <si>
    <t xml:space="preserve">Development release per D13 (discovery parked, 100% automation coverage): TypeScript codebase for F1-F5 + E1/E5/E6/E7/E8/EQ; 16 Jest suites / 105 tests at 100% statements/branches/functions/lines; Sprint_Tracker_Log + Traceability_Matrix sheets added; backlog statuses updated (75 Done / 5 Code-complete / 2 In progress / 18 Backlog)</t>
  </si>
  <si>
    <t xml:space="preserve">Directive D13 (Senthil, 10 Sep 20:45): discovery interviews parked portfolio-wide; build instead, under a 100% automated-coverage rule that supersedes the old 70% gate.</t>
  </si>
  <si>
    <t xml:space="preserve">16 suites / 105 tests at 100x4</t>
  </si>
  <si>
    <t xml:space="preserve">v009</t>
  </si>
  <si>
    <t xml:space="preserve">v0.9.0</t>
  </si>
  <si>
    <t xml:space="preserve">2026-09-10 22:55</t>
  </si>
  <si>
    <t xml:space="preserve">Sandbox completion</t>
  </si>
  <si>
    <t xml:space="preserve">Sandbox completion release: Events API receiver (signature verify, replay guard, dedupe, backoff+dead-letter queue) closing checklist #4; ST-091 graceful degradation + ST-074 scheduler Done; 7 launch-content artifacts Drafted (listing A/B, pricing FAQ, trust page, runbook, comms templates, 15 help articles, k6 script); 19 suites / 122 tests at 100% coverage; statuses now 77 Done / 5 Code-complete / 8 Drafted / 10 Backlog</t>
  </si>
  <si>
    <t xml:space="preserve">Close the remaining sandbox-codeable backlog and Slack launch-checklist item #4 (Events API vs Socket Mode) while credentials were still unavailable.</t>
  </si>
  <si>
    <t xml:space="preserve">19 suites / 122 tests at 100x4</t>
  </si>
  <si>
    <t xml:space="preserve">v010</t>
  </si>
  <si>
    <t xml:space="preserve">v0.10.0</t>
  </si>
  <si>
    <t xml:space="preserve">v002</t>
  </si>
  <si>
    <t xml:space="preserve">2026-09-10 23:10</t>
  </si>
  <si>
    <t xml:space="preserve">Live readiness</t>
  </si>
  <si>
    <t xml:space="preserve">Live-readiness release: typed config loader, 12-step scripted live verification sweep (dry-run tested), 30-min Slack dev-workspace guide with least-privilege manifest.json + .env.example; standalone tracker v001 issued 23:03; 21 suites / 133 tests at 100% coverage; LC-1 -&gt; Code-complete; story statuses unchanged (77/5/8/10)</t>
  </si>
  <si>
    <t xml:space="preserve">Make the live run turnkey so that the only thing missing is a credential: a typed config loader that fails fast, a 12-step scripted sweep, and a 30-minute setup guide.</t>
  </si>
  <si>
    <t xml:space="preserve">21 suites / 133 tests at 100x4</t>
  </si>
  <si>
    <t xml:space="preserve">v011</t>
  </si>
  <si>
    <t xml:space="preserve">v0.11.0</t>
  </si>
  <si>
    <t xml:space="preserve">v003</t>
  </si>
  <si>
    <t xml:space="preserve">2026-09-11 08:41</t>
  </si>
  <si>
    <t xml:space="preserve">Cold review pass 1</t>
  </si>
  <si>
    <t xml:space="preserve">Cold-review + ops parity release: 4 defects fixed with regressions (payment recovery, cycle reset, dedupe cap, timeline config knobs), F-005..F-008 logged in new Review_Findings sheet for disposition, REVIEW_PACK.md for external reviewer (ST-097 In progress); blue/green deploy workflow + scripted backup/restore drill (ST-092/090 Drafted); 22 suites/139 tests at 100x4; statuses 77/5/10/1/7</t>
  </si>
  <si>
    <t xml:space="preserve">Adversarial self-review before claiming anything was done. Four defects found in code written days earlier.</t>
  </si>
  <si>
    <t xml:space="preserve">22 suites / 139 tests at 100x4</t>
  </si>
  <si>
    <t xml:space="preserve">F-001..F-004</t>
  </si>
  <si>
    <t xml:space="preserve">v012</t>
  </si>
  <si>
    <t xml:space="preserve">v0.12.0</t>
  </si>
  <si>
    <t xml:space="preserve">v004</t>
  </si>
  <si>
    <t xml:space="preserve">2026-09-11 12:51</t>
  </si>
  <si>
    <t xml:space="preserve">Sibling-validated scope</t>
  </si>
  <si>
    <t xml:space="preserve">Sibling-validated scope release: ST-066 AES-256-GCM field encryption behind vault boundary (Code-complete, live infra evidence pending); ST-068 sandbox half SECURITY_EVIDENCE.md (In progress); ST-081 built-in chat + 4-business-hr SLA engine (Code-complete, vendor optional); ST-089 automated WCAG AA via jest-axe on 6 screen shells (In progress); 25 suites/156 tests at 100x4; statuses 77/6/10/3/4 — sandbox-codeable backlog exhausted</t>
  </si>
  <si>
    <t xml:space="preserve">Apply defect classes already found on sibling products (FlowCast crypto, chat SLA, accessibility) rather than rediscovering them here.</t>
  </si>
  <si>
    <t xml:space="preserve">25 suites / 156 tests at 100x4</t>
  </si>
  <si>
    <t xml:space="preserve">v013</t>
  </si>
  <si>
    <t xml:space="preserve">v0.13.0</t>
  </si>
  <si>
    <t xml:space="preserve">v005</t>
  </si>
  <si>
    <t xml:space="preserve">2026-09-13 09:54</t>
  </si>
  <si>
    <t xml:space="preserve">Cold review pass 2 + platform doc verification</t>
  </si>
  <si>
    <t xml:space="preserve">Correctness release — cold-review pass 2 + external verification sweep. 5 pass-2 defects fixed (F-009 retention sweep never deleted, F-010 unbounded error ledger, F-011 paging partial-failure lost, F-012 foreign-timeline postmortem, F-013 CSV quoted fields) and 3 doc-verified defects fixed incl. VER-OC1 LIVE-BLOCKING 3-second slash-command ack (duplicate incident channels on the day), VER-OC2 channel naming/name_taken, VER-OC3 12h token TTL proactive refresh; VER-OC4 verified correct. Cold review now COMPLETE across all modules. 27 suites/180 tests at 100x4; story counts unchanged 77/6/10/3/4</t>
  </si>
  <si>
    <t xml:space="preserve">Two lenses at once: modules skipped by pass 1, and the platform's own published contracts. The second found a live-blocking defect no test could see — Slack gives a slash command 3 seconds, and a slow declare would have created duplicate incident channels.</t>
  </si>
  <si>
    <t xml:space="preserve">30 suites / ~190 tests at 100x4</t>
  </si>
  <si>
    <t xml:space="preserve">F-009..F-013, VER-OC1..OC3</t>
  </si>
  <si>
    <t xml:space="preserve">v014</t>
  </si>
  <si>
    <t xml:space="preserve">v0.14.0</t>
  </si>
  <si>
    <t xml:space="preserve">v006</t>
  </si>
  <si>
    <t xml:space="preserve">2026-09-13 10:01</t>
  </si>
  <si>
    <t xml:space="preserve">Artifact-gap closure</t>
  </si>
  <si>
    <t xml:space="preserve">Artifact-gap closure release: 5 gaps found by auditing every artifact the docs/scripts reference, 2 CRITICAL — no HTTP app existed behind the routes the manifest and setup guide promised (setup guide was unrunnable), and no DB schema existed behind the backup drill and retention sweep. Built router+app (5 routes, signature verification, 3s ack contract) with npm start, 5 ordered migrations with cascade deletes + parity test with npm run migrate, signed k6 fixture generator, manifest.json as a real file, pricing matrix generated from billing.ts with a drift gate. ST-088/090 -&gt; Code-complete. 31 suites/201 tests at 100x4; statuses 77/8/8/3/4</t>
  </si>
  <si>
    <t xml:space="preserve">Audit every artifact the docs, scripts and manifest reference. Two CRITICAL gaps: no HTTP app existed behind the routes the setup guide promised, and no database schema existed behind the backup drill.</t>
  </si>
  <si>
    <t xml:space="preserve">5 routes + 5 migrations, parity tests</t>
  </si>
  <si>
    <t xml:space="preserve">GAP-OC1..OC5</t>
  </si>
  <si>
    <t xml:space="preserve">v015</t>
  </si>
  <si>
    <t xml:space="preserve">v0.15.0</t>
  </si>
  <si>
    <t xml:space="preserve">2026-09-13 10:22</t>
  </si>
  <si>
    <t xml:space="preserve">Cold review pass 3 (HTTP/tenancy)</t>
  </si>
  <si>
    <t xml:space="preserve">Security/tenancy correctness release — cold-review pass 3 over the v014 HTTP surface using sibling-product defect classes. 2 CRITICAL fixed: F-014 no multi-tenancy (one service instance served every workspace; cross-tenant reads and id collisions) and F-015 OAuth CSRF (callback accepted any code, no state); plus F-016 signature-is-not-installation guard and F-017 unauthenticated health leak. VER-OC5 verified non-applicable. 32 suites/213 tests at 100x4; story counts unchanged 77/8/8/3/4</t>
  </si>
  <si>
    <t xml:space="preserve">New layers inherit old blind spots: the HTTP surface was one release old and carried two CRITICAL defects that sibling products had already found elsewhere.</t>
  </si>
  <si>
    <t xml:space="preserve">32 suites / 213 tests at 100x4</t>
  </si>
  <si>
    <t xml:space="preserve">F-014..F-017</t>
  </si>
  <si>
    <t xml:space="preserve">v016</t>
  </si>
  <si>
    <t xml:space="preserve">v0.16.0</t>
  </si>
  <si>
    <t xml:space="preserve">2026-09-13 10:38</t>
  </si>
  <si>
    <t xml:space="preserve">As-built re-baseline</t>
  </si>
  <si>
    <t xml:space="preserve">As-built re-baseline + F-018. Product_Spec, Screens_Wireframes and Metrics_Targets rewritten to match the code after nine releases of drift from the 05/09 template, recording where the product does LESS than claimed (6 of 9 screens have shells and none is data-wired; only 1 of 5 non-functional claims is met; 0 of 6 metrics reportable without the Postgres adapter). F-018 fixed: the role matrix had no assignment mechanism, so owner/admin capability was unreachable on the live surface — RoleResolver added and wired. 33 suites/222 tests at 100x4; story counts unchanged 77/8/8/3/4</t>
  </si>
  <si>
    <t xml:space="preserve">The spec sheets had not been revised since 05/09, before any code existed. Nine releases of drift were corrected downward, recording where the product does LESS than claimed.</t>
  </si>
  <si>
    <t xml:space="preserve">Spec, screens and metrics rewritten to reality</t>
  </si>
  <si>
    <t xml:space="preserve">F-018</t>
  </si>
  <si>
    <t xml:space="preserve">v017</t>
  </si>
  <si>
    <t xml:space="preserve">v0.17.0</t>
  </si>
  <si>
    <t xml:space="preserve">2026-09-13 10:42</t>
  </si>
  <si>
    <t xml:space="preserve">Persistence + dashboard API</t>
  </si>
  <si>
    <t xml:space="preserve">Persistence + dashboard API release (V16-06 executed). Repository contracts with in-memory AND Postgres adapters verified by one shared contract suite; funnel_events migration; activation now reportable per tenant. Dashboard read API (5 routes) closes the AB-1 code half — session-scoped tenancy, matrix-gated, member refused billing. 35 suites/243 tests at 100x4; story counts unchanged 77/8/8/3/4</t>
  </si>
  <si>
    <t xml:space="preserve">Decision V16-06: telemetry and metrics could not be reported end to end without storage, so the S12 kill/continue gate would have had no evidence.</t>
  </si>
  <si>
    <t xml:space="preserve">35 suites / 243 tests at 100x4</t>
  </si>
  <si>
    <t xml:space="preserve">v018</t>
  </si>
  <si>
    <t xml:space="preserve">v0.18.0</t>
  </si>
  <si>
    <t xml:space="preserve">2026-09-13 11:06</t>
  </si>
  <si>
    <t xml:space="preserve">Integration</t>
  </si>
  <si>
    <t xml:space="preserve">Integration release. F-019 CRITICAL fixed: the v017 repositories and dashboard API had a read side with no write side — incidents stayed in an in-process Map and the funnel never reached storage, so the dashboard would have been permanently empty in production with every test passing. Write-through sinks added as required collaborators (buffered, bounded, failures retained), async retention sweep covering repositories, serve.ts wired end to end. 36 suites/252 tests at 100x4; story counts unchanged 77/8/8/3/4</t>
  </si>
  <si>
    <t xml:space="preserve">A caller audit of code written an hour earlier: the repositories had a read side and no write side, so the dashboard would have been permanently empty in production with every test passing.</t>
  </si>
  <si>
    <t xml:space="preserve">36 suites / 252 tests at 100x4</t>
  </si>
  <si>
    <t xml:space="preserve">F-019</t>
  </si>
  <si>
    <t xml:space="preserve">v019</t>
  </si>
  <si>
    <t xml:space="preserve">v0.19.0</t>
  </si>
  <si>
    <t xml:space="preserve">2026-09-13 11:11</t>
  </si>
  <si>
    <t xml:space="preserve">Composition root</t>
  </si>
  <si>
    <t xml:space="preserve">Composition-root release. F-020 CRITICAL fixed: a caller audit found 12 orphaned modules and a stubbed live handler, meaning no product feature was reachable from the surface and the tenancy/degradation claims rested on unused classes. Built src/app/workflow.ts wiring all five features per workspace through the circuit breaker, wired into serve.ts. DegradedResult made a discriminated union, removing unreachable branches by design. 37 suites/263 tests at 100x4; story counts unchanged 77/8/8/3/4</t>
  </si>
  <si>
    <t xml:space="preserve">Generalised the caller audit to every module. Twelve had no importer outside tests and the live slash handler was a stub returning a string — no product feature was reachable.</t>
  </si>
  <si>
    <t xml:space="preserve">37 suites / 263 tests at 100x4</t>
  </si>
  <si>
    <t xml:space="preserve">F-020</t>
  </si>
  <si>
    <t xml:space="preserve">v020</t>
  </si>
  <si>
    <t xml:space="preserve">v0.20.0</t>
  </si>
  <si>
    <t xml:space="preserve">2026-09-13 11:17</t>
  </si>
  <si>
    <t xml:space="preserve">Surface + status truth</t>
  </si>
  <si>
    <t xml:space="preserve">Surface + status-truth release. F-021: 29 user-facing capabilities had no surface, so admin/settings API built (15 routes, matrix-gated, operator-gated ops). AB-4 status truth pass: 7 stories still unreachable reclassified Done -&gt; Module-only, correcting the Done count 77 -&gt; 70 and defining the status vocabulary in ReadMe_Scope. 38 suites/281 tests at 100x4. Position now 70 Done / 8 Code-complete / 8 Drafted / 7 Module-only / 3 In progress / 4 Backlog</t>
  </si>
  <si>
    <t xml:space="preserve">A reachability audit of the 77 stories marked Done found 29 user-facing capabilities with no surface. The Done count was corrected downward (77 to 70) and the status vocabulary defined.</t>
  </si>
  <si>
    <t xml:space="preserve">38 suites / 281 tests at 100x4</t>
  </si>
  <si>
    <t xml:space="preserve">F-021</t>
  </si>
  <si>
    <t xml:space="preserve">v021</t>
  </si>
  <si>
    <t xml:space="preserve">v0.21.0</t>
  </si>
  <si>
    <t xml:space="preserve">2026-09-13 11:22</t>
  </si>
  <si>
    <t xml:space="preserve">Module-only closure</t>
  </si>
  <si>
    <t xml:space="preserve">Module-only closure release. The 7 stories reclassified at 11:17 are closed by building what they lacked: error-spike alerting through a Notifier, telemetry surfaces (heatmap, health score, CSV export, thresholds), a Scheduler runner for the weekly email, and router latency instrumentation so p95 is measured and graded at /ops/latency. Done count 70 -&gt; 77, this time meaning user-reachable. 39 suites/291 tests at 100x4</t>
  </si>
  <si>
    <t xml:space="preserve">Close the seven reclassified stories by building the missing halves rather than relabelling them. Done returned to 77, this time meaning user-reachable.</t>
  </si>
  <si>
    <t xml:space="preserve">39 suites / 291 tests at 100x4</t>
  </si>
  <si>
    <t xml:space="preserve">v022</t>
  </si>
  <si>
    <t xml:space="preserve">v0.22.0</t>
  </si>
  <si>
    <t xml:space="preserve">2026-09-13 11:25</t>
  </si>
  <si>
    <t xml:space="preserve">Submission readiness</t>
  </si>
  <si>
    <t xml:space="preserve">Submission readiness release. Dry-run engine added (npm run submission-check, CI-gateable by exit code) checking 12 App Directory requirements: 5 verified against real repo state incl. manifest scopes cross-checked against the trust page, 7 reported as HUMAN/LIVE with owners rather than passed. Verdict READY_TO_SUBMIT on the automated half. New Submission_Readiness sheet. 40 suites/300 tests at 100x4; story counts unchanged 77/8/8/3/4</t>
  </si>
  <si>
    <t xml:space="preserve">Make 'are we ready to submit?' answerable with evidence instead of opinion, and gateable by exit code in CI.</t>
  </si>
  <si>
    <t xml:space="preserve">40 suites / 300 tests at 100x4</t>
  </si>
  <si>
    <t xml:space="preserve">v023</t>
  </si>
  <si>
    <t xml:space="preserve">v0.23.0</t>
  </si>
  <si>
    <t xml:space="preserve">2026-09-13 11:33</t>
  </si>
  <si>
    <t xml:space="preserve">Disposition implementation</t>
  </si>
  <si>
    <t xml:space="preserve">Disposition release — F-005/F-006/F-007 all implemented per the approved recommendations. Incident state machine rebuilt (immutable first resolution, reopened as a distinct state, illegal transitions refused, MTTR defensible); circuit breaker given a single half-open probe; replay queue bounded with a drop counter. 41 suites/315 tests at 100x4; submission dry-run still READY_TO_SUBMIT; story counts unchanged 77/8/8/3/4</t>
  </si>
  <si>
    <t xml:space="preserve">Senthil approved Option A on all three open decisions (F-005 reopen semantics, F-006 half-open breaker probe, F-007 bounded replay queue); they were implemented properly rather than minimally.</t>
  </si>
  <si>
    <t xml:space="preserve">41 suites / 315 tests at 100x4</t>
  </si>
  <si>
    <t xml:space="preserve">F-005, F-006, F-007</t>
  </si>
  <si>
    <t xml:space="preserve">v024</t>
  </si>
  <si>
    <t xml:space="preserve">v0.24.0</t>
  </si>
  <si>
    <t xml:space="preserve">2026-09-13 11:38</t>
  </si>
  <si>
    <t xml:space="preserve">Slack-first surface</t>
  </si>
  <si>
    <t xml:space="preserve">Slack-first surface release. V17-08 ratified as Option A and implemented: the Block Kit layer a Slack-first product needs was built from almost nothing (declare modal, incident message with mitigate/resolve/reopen, App Home), validated against Slack published limits so no view is silently truncated, wired into the workflow behind one guard. SC-12 recategorised to Block Kit conformance with the automated half enforced and the scope published. 42 suites/336 tests at 100x4; READY_TO_SUBMIT holds; story counts unchanged 77/8/8/3/4</t>
  </si>
  <si>
    <t xml:space="preserve">Decision V17-08 ratified as Option A (no web client for launch). Implementing it honestly exposed that the Slack surface barely existed — there was no incident message and no App Home.</t>
  </si>
  <si>
    <t xml:space="preserve">42 suites / 336 tests at 100x4</t>
  </si>
  <si>
    <t xml:space="preserve">V17-08</t>
  </si>
  <si>
    <t xml:space="preserve">v025</t>
  </si>
  <si>
    <t xml:space="preserve">v0.25.0</t>
  </si>
  <si>
    <t xml:space="preserve">2026-09-13 11:53</t>
  </si>
  <si>
    <t xml:space="preserve">Interaction</t>
  </si>
  <si>
    <t xml:space="preserve">Interaction release. F-024 CRITICAL fixed: the Block Kit controls shipped in v024 were entirely dead — /slack/interactive acked and discarded every payload, so Resolve, Mitigate, Reopen and the declare button did nothing silently. Built the interaction handler (block_actions to real transitions, validated view_submission with field errors, per-workspace roles, installation guard) honouring the ~3s trigger_id window and the empty-200/response_action contract. 43 suites/354 tests at 100x4; READY_TO_SUBMIT holds; story counts unchanged 77/8/8/3/4</t>
  </si>
  <si>
    <t xml:space="preserve">Checked the surface shipped seven minutes earlier: every Block Kit control was decorative because /slack/interactive acked and discarded the payload.</t>
  </si>
  <si>
    <t xml:space="preserve">43 suites / ~345 tests at 100x4</t>
  </si>
  <si>
    <t xml:space="preserve">F-024</t>
  </si>
  <si>
    <t xml:space="preserve">v026</t>
  </si>
  <si>
    <t xml:space="preserve">v0.26.0</t>
  </si>
  <si>
    <t xml:space="preserve">2026-09-13 11:56</t>
  </si>
  <si>
    <t xml:space="preserve">Encryption applied</t>
  </si>
  <si>
    <t xml:space="preserve">Encryption-applied release. F-025 CRITICAL: ST-066 claimed encryption at rest since 11 Sep but FieldCrypto was never called — Slack tokens were stored in plaintext while the trust page said otherwise. Tokens are now ciphertext-only with crypto as a required collaborator, decrypted only at the point of use, with ENCRYPTION_KEY required at boot and the trust page corrected. Obsolete web-shell module removed (CLN-1). 42 suites/350 tests at 100x4; READY_TO_SUBMIT holds; story counts unchanged 77/8/8/3/4</t>
  </si>
  <si>
    <t xml:space="preserve">The routine caller audit, now adopted as a per-sprint rule, found the most dangerous orphan class: a security claim on the trust page resting on code nothing called.</t>
  </si>
  <si>
    <t xml:space="preserve">42 suites / 350 tests at 100x4</t>
  </si>
  <si>
    <t xml:space="preserve">F-025</t>
  </si>
  <si>
    <t xml:space="preserve">v027</t>
  </si>
  <si>
    <t xml:space="preserve">v0.27.0</t>
  </si>
  <si>
    <t xml:space="preserve">2026-09-13 12:02</t>
  </si>
  <si>
    <t xml:space="preserve">Promise enforcement</t>
  </si>
  <si>
    <t xml:space="preserve">Promise-enforcement release. A systematic audit of every customer-facing claim against the code found three unenforced: F-026 the read-only state promised after failed payment (set, never applied), F-027 the incident limit the pricing page charges for (never counted or enforced), F-028 the 30-day deletion policy (no timer, endpoint only). All three fixed with an Entitlements gate on every mutating action, metered usage, and a scheduled sweep. 43 suites/361 tests at 100x4; READY_TO_SUBMIT holds; story counts unchanged 77/8/8/3/4</t>
  </si>
  <si>
    <t xml:space="preserve">Generalised the previous finding into a systematic audit: for every customer-facing claim, find the line of code that REFUSES what the claim forbids. Three failed.</t>
  </si>
  <si>
    <t xml:space="preserve">43 suites / 361 tests at 100x4</t>
  </si>
  <si>
    <t xml:space="preserve">F-026, F-027, F-028</t>
  </si>
  <si>
    <t xml:space="preserve">v028</t>
  </si>
  <si>
    <t xml:space="preserve">v0.28.0</t>
  </si>
  <si>
    <t xml:space="preserve">2026-09-13 16:26</t>
  </si>
  <si>
    <t xml:space="preserve">Restart safety</t>
  </si>
  <si>
    <t xml:space="preserve">Restart-safety release. Auditing my own runbook claim that rollback is safe found four restart defects: F-029 CRITICAL incident numbering restarted at 1 and would overwrite older incidents through the id-based upsert; F-030 roles lost so everyone became a member; F-031 dedupe ledger lost so Slack retries after a deploy created duplicate channels; F-032 buffered writes dropped at shutdown. All fixed (sequence reseeded from storage, snapshot/restore for roles and ledger, Lifecycle drain on SIGTERM) and the runbook corrected. 44 suites/375 tests at 100x4; READY_TO_SUBMIT holds</t>
  </si>
  <si>
    <t xml:space="preserve">Tested my own runbook claim that rollback is safe because replays are deduped. It was false across a restart, and checking it uncovered a data-corrupting defect.</t>
  </si>
  <si>
    <t xml:space="preserve">44 suites / ~375 tests at 100x4</t>
  </si>
  <si>
    <t xml:space="preserve">F-029..F-032</t>
  </si>
  <si>
    <t xml:space="preserve">v029</t>
  </si>
  <si>
    <t xml:space="preserve">v0.29.0</t>
  </si>
  <si>
    <t xml:space="preserve">2026-09-13 16:32</t>
  </si>
  <si>
    <t xml:space="preserve">Restart safety made operational</t>
  </si>
  <si>
    <t xml:space="preserve">Restart-safety operational release. R-O14 closed: role and dedupe repositories built with both adapters in the shared contract suite, migrations 0007/0008, write-through on role grants with failures surfaced through /health, replica-atomic dedupe via ON CONFLICT DO NOTHING, and boot-time rehydration of roles, ledger and incident numbering before traffic is served. 44 suites/387 tests at 100x4; READY_TO_SUBMIT holds</t>
  </si>
  <si>
    <t xml:space="preserve">The restore hooks added the previous release had no store behind them, so the defects would have returned on the first blue/green deploy. That caveat was mine to close, not Senthil's.</t>
  </si>
  <si>
    <t xml:space="preserve">44 suites / 387 tests at 100x4</t>
  </si>
  <si>
    <t xml:space="preserve">R-O14</t>
  </si>
  <si>
    <t xml:space="preserve">v0.30.0</t>
  </si>
  <si>
    <t xml:space="preserve">2026-09-13 16:36</t>
  </si>
  <si>
    <t xml:space="preserve">Multi-replica correctness</t>
  </si>
  <si>
    <t xml:space="preserve">Multi-replica release. F-033 CRITICAL: yesterday’s id fix covered restarts but not concurrency — two replicas would mint the same id and the upsert would collapse them, so the corruption risk was still live under blue/green; allocation is now atomic in the store on both adapters. F-034: every replica ran every scheduled job (double weekly emails, concurrent sweeps) — now lease-gated with expiry. F-035 logged open and deliberately not started: entitlement usage is still per-replica; run one replica or accept the over-count until it gets a sprint. 45 suites/407 tests at 100x4; READY_TO_SUBMIT holds</t>
  </si>
  <si>
    <t xml:space="preserve">Blue/green runs two instances at once, so every single-writer assumption fails exactly when the deploy happens. The previous id fix was correct for restarts and still wrong under concurrency.</t>
  </si>
  <si>
    <t xml:space="preserve">45 suites / ~400 tests at 100x4</t>
  </si>
  <si>
    <t xml:space="preserve">F-033, F-034</t>
  </si>
  <si>
    <t xml:space="preserve">v031</t>
  </si>
  <si>
    <t xml:space="preserve">v0.31.0</t>
  </si>
  <si>
    <t xml:space="preserve">2026-09-13 16:42</t>
  </si>
  <si>
    <t xml:space="preserve">Billing persistence</t>
  </si>
  <si>
    <t xml:space="preserve">Billing persistence release. F-035 closed: BillingRepository with both adapters and migration 0011, atomic claimUsage so two replicas cannot both spend the same allowance, write-through and boot rehydration so a restart no longer resets readOnly and unblocks a delinquent account, failures surfaced through /health. R-O15 withdrawn — the single-replica mitigation is no longer needed. 46 suites/424 tests at 100x4; READY_TO_SUBMIT holds</t>
  </si>
  <si>
    <t xml:space="preserve">F-035 was logged open and deliberately not started in the previous release; it got a full sprint of its own rather than a patch.</t>
  </si>
  <si>
    <t xml:space="preserve">46 suites / 424 tests at 100x4</t>
  </si>
  <si>
    <t xml:space="preserve">F-035</t>
  </si>
  <si>
    <t xml:space="preserve">v032</t>
  </si>
  <si>
    <t xml:space="preserve">v0.32.0</t>
  </si>
  <si>
    <t xml:space="preserve">2026-09-13 16:48</t>
  </si>
  <si>
    <t xml:space="preserve">Real-SQL verification</t>
  </si>
  <si>
    <t xml:space="preserve">Real-SQL verification release. Every "both adapters" claim had rested on fakes written to match my own SQL; running the real migrations and statements through pg-mem found three defects immediately. F-036 CRITICAL: installations were never persisted, so every incident insert would have failed its foreign key — silently, because failed sink rows are retained. F-037: token columns declared NOT NULL while uninstall clears them. F-038: a Postgres-only regex operator replaced with portable LIKE. OBS-OC2 records pg-mem deviations honestly. 47 suites/445 tests at 100x4; READY_TO_SUBMIT holds</t>
  </si>
  <si>
    <t xml:space="preserve">Circular evidence: every 'verified on both adapters' claim rested on fakes written to match my own SQL, so a wrong statement and a matching fake would agree. One real engine found three defects in minutes.</t>
  </si>
  <si>
    <t xml:space="preserve">47 suites / ~440 tests at 100x4</t>
  </si>
  <si>
    <t xml:space="preserve">F-036, F-037, F-038</t>
  </si>
  <si>
    <t xml:space="preserve">v033</t>
  </si>
  <si>
    <t xml:space="preserve">v0.33.0</t>
  </si>
  <si>
    <t xml:space="preserve">2026-09-13 17:26</t>
  </si>
  <si>
    <t xml:space="preserve">Real-Postgres verification</t>
  </si>
  <si>
    <t xml:space="preserve">Real-Postgres verification release. Provisioned PostgreSQL 16 and ran the adapters against it: FK enforcement, NULL tokens on revoked installs, cascade delete, portable LIKE, and genuine concurrency (20 parallel id claims -&gt; 20 distinct ids; 30 parallel usage claims at a cap of 10 -&gt; exactly 10). OBS-OC2 closed — the ON CONFLICT semantics our dedupe and lease logic relies on behave as assumed, confirming the decision not to change that SQL. Added a CI postgres:16 job and npm run test:pg. 48 suites/453 tests at 100x4; READY_TO_SUBMIT holds</t>
  </si>
  <si>
    <t xml:space="preserve">An item parked as 'needs infrastructure' turned out to take fifteen minutes in the container — and it proved the concurrency guarantees the whole design rests on.</t>
  </si>
  <si>
    <t xml:space="preserve">48 suites / 453 tests at 100x4 + CI postgres job</t>
  </si>
  <si>
    <t xml:space="preserve">OBS-OC2</t>
  </si>
  <si>
    <t xml:space="preserve">v034</t>
  </si>
  <si>
    <t xml:space="preserve">v0.34.0</t>
  </si>
  <si>
    <t xml:space="preserve">2026-09-13 18:50</t>
  </si>
  <si>
    <t xml:space="preserve">Adversarial suite and load measurement</t>
  </si>
  <si>
    <t xml:space="preserve">Adversarial and load-measurement release. Re-reading items parked as Senthil-only found two partly mine: SC-08 gained an 18-case abuse suite in CI (which found F-039 — malformed bodies answered 500 instead of 400, letting junk input trip the error-spike pager), and ST-088 was measured with an in-process load run at 10x the launch estimate (600 requests, 0 errors, p95 within budget, now gating CI). Both recorded with their limits stated: the suite is not a pen test, and the load figure excludes network, database and Slack latency. 49 suites/473 tests at 100x4</t>
  </si>
  <si>
    <t xml:space="preserve">Re-reading the handover found two items parked as Senthil-only that were partly mine: the pen-test sandbox half was a document rather than a test, and the load run was blocked on a staging URL that only half of it needed.</t>
  </si>
  <si>
    <t xml:space="preserve">49 suites / 473 tests at 100x4</t>
  </si>
  <si>
    <t xml:space="preserve">SC-08 (partial), ST-088, F-039</t>
  </si>
  <si>
    <t xml:space="preserve">v035</t>
  </si>
  <si>
    <t xml:space="preserve">v0.35.0</t>
  </si>
  <si>
    <t xml:space="preserve">2026-09-13 19:00</t>
  </si>
  <si>
    <t xml:space="preserve">Documentation accuracy and supply chain</t>
  </si>
  <si>
    <t xml:space="preserve">Documentation accuracy and supply-chain release. npm audit clean (0 vulnerabilities, dev included). README rewritten from the v0.8 description to the real 19-directory codebase, with every route, boot-required variables, commands, and the adapter-swap list including boot restore order. No further sandbox work is planned — every applicable lens has been run. 49 suites/473 tests at 100x4; READY_TO_SUBMIT holds; story counts unchanged 77/8/8/3/4</t>
  </si>
  <si>
    <t xml:space="preserve">The last two lenses that had never been run. The README still described the v0.8 codebase; npm audit had never been run with and without dev dependencies.</t>
  </si>
  <si>
    <t xml:space="preserve">CLN-2, SUP-1</t>
  </si>
  <si>
    <t xml:space="preserve">v036</t>
  </si>
  <si>
    <t xml:space="preserve">v0.36.0</t>
  </si>
  <si>
    <t xml:space="preserve">2026-09-13 23:13</t>
  </si>
  <si>
    <t xml:space="preserve">External review V001 remediation (ChatGPT)</t>
  </si>
  <si>
    <t xml:space="preserve">EXTERNAL REVIEW RELEASE. First independent review of this product (ChatGPT V001, 13 Sep 20:31) returned 20 findings, 10 of them BLOCKER, all in or downstream of a composition root that no gate covered. Codebase v0.36.0 closes nine and partly closes three. New sheet External_Review_V001; Traceability gains a runtime-reachability column; Risk_Register, Launch_Checklist and Submission_Readiness updated. The enterprise-ready claim is withdrawn until the P0 set and live evidence close.</t>
  </si>
  <si>
    <t xml:space="preserve">The first genuinely independent review found 20 findings, 10 of them BLOCKER, all in or downstream of a composition root that tsconfig excluded and no test imported — so 473 tests at 100% coverage had been green against a runtime that could not compile.</t>
  </si>
  <si>
    <t xml:space="preserve">51 suites / 527 tests at 100x4; clean tsc over src AND scripts</t>
  </si>
  <si>
    <t xml:space="preserve">CF-001..CF-015 (9 fixed, 3 partial)</t>
  </si>
  <si>
    <t xml:space="preserve">2026-09-20 13:05</t>
  </si>
  <si>
    <t xml:space="preserve">Independent review V001 remediation (Perplexity) — Phase 0</t>
  </si>
  <si>
    <t xml:space="preserve">SECOND INDEPENDENT REVIEW RELEASE. Perplexity review V001 (16/09): CONTINUE at 6.1/10, 12 findings (2 BLOCKER: sync platform boundary, plan limits unenforced). Codebase v0.37.0 closes Phase 0 (PX-S0 async boundary, PX-S1 enforcement, PX-S2 gate blind spots) in the review's order: nine async platform contracts with budgets, one write gate, closed provider set with a boot-time healthcheck probe, persisted deferred work, key rotation, session revocation, frequency-safe leases, time-bounded replay window, scripts/ in the gate. 3 further defects found by audit v3 (PX-013 fixed; PX-014/015 open). 60 suites / 624 tests (616 run, 8 gated on a real Postgres) at 100% statements, branches, functions and lines over src/ AND scripts/; clean tsc over src+scripts and tests. New sheet External_Review_PX_V001; Financial_Model COMPUTED for the first time (PX-009) with a summary and sensitivities; pricing moved to workspace-size bands (D-OC8, awaiting ratification); 30 stories ST-101..ST-130 added to Full_Backlog/Traceability with every original retained; Risk_Register +5; Product_Spec, Launch_Checklist, Submission_Readiness, Metrics_Targets updated.</t>
  </si>
  <si>
    <t xml:space="preserve">The second independent review found what a green gate over a FIXED core still hides: a synchronous platform boundary that only stubs could satisfy, and plan limits that were enforced nowhere. Its most valuable instruction was a sequence — convert the boundary before wiring any adapter, or S38-S41 become re-work.</t>
  </si>
  <si>
    <t xml:space="preserve">60 suites / 624 tests at 100x4 over src AND scripts; production refusal and development boot both asserted from the built artifact</t>
  </si>
  <si>
    <t xml:space="preserve">PX-001..PX-013 (12 fixed, 1 addressed)</t>
  </si>
  <si>
    <t xml:space="preserve">Pending Versions</t>
  </si>
  <si>
    <t xml:space="preserve">HOW TO USE THIS SHEET: The WHY PENDING column is the point of this sheet: it separates 'we have not written it' from 'we cannot observe it without a credential or an environment'. Sort by Blocker type to see how much is waiting on one signature. Anything owned by Senthil is an unblock action, not an engineering task.</t>
  </si>
  <si>
    <t xml:space="preserve">Planned version</t>
  </si>
  <si>
    <t xml:space="preserve">Sprint</t>
  </si>
  <si>
    <t xml:space="preserve">What it will deliver (with exit criteria)</t>
  </si>
  <si>
    <t xml:space="preserve">WHY IT IS PENDING (root cause)</t>
  </si>
  <si>
    <t xml:space="preserve">Blocker type</t>
  </si>
  <si>
    <t xml:space="preserve">Owner</t>
  </si>
  <si>
    <t xml:space="preserve">Unblock action</t>
  </si>
  <si>
    <t xml:space="preserve">Can start when</t>
  </si>
  <si>
    <t xml:space="preserve">Size</t>
  </si>
  <si>
    <t xml:space="preserve">v038</t>
  </si>
  <si>
    <t xml:space="preserve">S37</t>
  </si>
  <si>
    <t xml:space="preserve">Durable data plane proven under deployment</t>
  </si>
  <si>
    <t xml:space="preserve">Rolling-deploy and kill -9 recovery against a real PostgreSQL; two-replica sequence-allocation soak under blue/green specifically; connection-pool exhaustion behaviour; migration rollback drill. Exit: a CI job that deploys two replicas, kills one mid-declare and asserts no lost and no duplicated incident.</t>
  </si>
  <si>
    <t xml:space="preserve">The code is done and the adapters are proven against a real PostgreSQL 16 in CI, but a DEPLOY TOPOLOGY does not exist: there is no environment where two replicas of this service run against one database behind a load balancer. The defect class this sprint hunts (F-033 / PX-013) only appears when two instances overlap, so a single-container test cannot produce it.</t>
  </si>
  <si>
    <t xml:space="preserve">Infrastructure</t>
  </si>
  <si>
    <t xml:space="preserve">Provision a staging environment with two replicas and a managed Postgres, or run the drill locally with docker compose (2 app containers + 1 postgres) — the cheaper option and enough for the CI job.</t>
  </si>
  <si>
    <t xml:space="preserve">Immediately — no third party required</t>
  </si>
  <si>
    <t xml:space="preserve">5-8 points</t>
  </si>
  <si>
    <t xml:space="preserve">v039</t>
  </si>
  <si>
    <t xml:space="preserve">S38</t>
  </si>
  <si>
    <t xml:space="preserve">Real Slack runtime</t>
  </si>
  <si>
    <t xml:space="preserve">oauth.v2.access and token refresh, conversations.create, chat.postMessage, views.open, response_url delivery and users.list (for the pricing band), all behind the existing async contracts, with retry/backoff through the circuit breaker and Slack tier rate limits honoured. Exit: npm run live-sweep passes all 12 steps in a real workspace, captured as evidence.</t>
  </si>
  <si>
    <t xml:space="preserve">Needs a real Slack workspace, an app registration and a signing secret (SC-06). Everything else is ready: the contracts are asynchronous, budgeted, health-probed and inventoried, and the boot gate already refuses the stubs by name. This is the single highest-value item in the entire plan — it turns three amber boxes green and makes 23 stories reachable.</t>
  </si>
  <si>
    <t xml:space="preserve">Credential / access (SC-06)</t>
  </si>
  <si>
    <t xml:space="preserve">Senthil to supply, Claude to build</t>
  </si>
  <si>
    <t xml:space="preserve">Create a free Slack workspace, follow docs/DEV_WORKSPACE_SETUP.md (about 30 minutes), and hand over SLACK_SIGNING_SECRET, SLACK_CLIENT_ID and SLACK_CLIENT_SECRET.</t>
  </si>
  <si>
    <t xml:space="preserve">The day the workspace exists</t>
  </si>
  <si>
    <t xml:space="preserve">13 points</t>
  </si>
  <si>
    <t xml:space="preserve">v040</t>
  </si>
  <si>
    <t xml:space="preserve">S40</t>
  </si>
  <si>
    <t xml:space="preserve">Production billing</t>
  </si>
  <si>
    <t xml:space="preserve">Stripe customer, checkout, subscription and webhooks with idempotency keys and signature verification; dunning; grace to read-only transition; invoices and tax; proration on band changes. Exit: one real test charge, one real failed payment driving the account read-only, and one real reactivation, all asserted end to end.</t>
  </si>
  <si>
    <t xml:space="preserve">Needs Stripe test-mode keys (SC-07). The billing state machine, the entitlement gate, the dunning clock and the read-only enforcement are all built and tested; only the payment provider itself is a fake that approves everything — and the boot gate refuses that fake in production.</t>
  </si>
  <si>
    <t xml:space="preserve">Credential / access (SC-07)</t>
  </si>
  <si>
    <t xml:space="preserve">Create a Stripe account in test mode and hand over STRIPE_SECRET_KEY and STRIPE_WEBHOOK_SECRET.</t>
  </si>
  <si>
    <t xml:space="preserve">After v039 (a paid install needs a working install)</t>
  </si>
  <si>
    <t xml:space="preserve">8 points</t>
  </si>
  <si>
    <t xml:space="preserve">v041</t>
  </si>
  <si>
    <t xml:space="preserve">PX-S3</t>
  </si>
  <si>
    <t xml:space="preserve">Opsgenie migration wedge</t>
  </si>
  <si>
    <t xml:space="preserve">Opsgenie importer (schedules, escalation policies, teams, integrations), a mapping report showing the customer exactly what will and will not transfer, a dry-run mode, and a migration landing page. Exit: a real Opsgenie export imported into a real workspace with a diff report.</t>
  </si>
  <si>
    <t xml:space="preserve">Two things: decision D-OC7 has not been ratified, and there is no representative Opsgenie export to import. Commercially this is the sharpest asset in the plan and it has an expiry date — Atlassian ends Opsgenie support on 5 April 2027, so the installed base is re-buying now.</t>
  </si>
  <si>
    <t xml:space="preserve">Decision (D-OC7) + sample data</t>
  </si>
  <si>
    <t xml:space="preserve">Senthil to ratify, Claude to build</t>
  </si>
  <si>
    <t xml:space="preserve">Ratify D-OC7 (recommended: yes) and obtain one anonymised Opsgenie export — from a design partner, or from a trial Opsgenie account.</t>
  </si>
  <si>
    <t xml:space="preserve">After v039; earlier than S41 by deliberate choice</t>
  </si>
  <si>
    <t xml:space="preserve">8-13 points</t>
  </si>
  <si>
    <t xml:space="preserve">v042</t>
  </si>
  <si>
    <t xml:space="preserve">S41</t>
  </si>
  <si>
    <t xml:space="preserve">Paging ecosystem</t>
  </si>
  <si>
    <t xml:space="preserve">PagerDuty Events API v2, Jira Service Management, Compass and a generic webhook behind the widened provider type, with per-responder outcome reporting and retry that never double-pages.</t>
  </si>
  <si>
    <t xml:space="preserve">Needs vendor accounts to certify against. The provider union, the config validation, the fan-out logic and the degraded user comms are all built; only the HTTP calls are missing. Deliberately sequenced AFTER the Opsgenie importer, because the importer is the reason a stranger installs.</t>
  </si>
  <si>
    <t xml:space="preserve">Vendor accounts</t>
  </si>
  <si>
    <t xml:space="preserve">Create free PagerDuty and JSM developer accounts; Compass and the generic webhook need no account.</t>
  </si>
  <si>
    <t xml:space="preserve">After v041</t>
  </si>
  <si>
    <t xml:space="preserve">v043</t>
  </si>
  <si>
    <t xml:space="preserve">S42</t>
  </si>
  <si>
    <t xml:space="preserve">SRE, observability, HA and DR</t>
  </si>
  <si>
    <t xml:space="preserve">Structured JSON logs with tenant and incident correlation ids, OpenTelemetry traces across the async boundary (now possible), SLOs with error budgets, canary deploys, an automated restore-from-backup drill, a chaos test that kills Postgres mid-declare, and p95 measured on a real staging URL instead of in-process. Also closes PX-014 (the degradation replay queue is in memory and nothing replays it) and PX-015 (the receiver retry queue is not drained at shutdown).</t>
  </si>
  <si>
    <t xml:space="preserve">Needs somewhere to observe: a staging deployment, a log sink and a tracing backend. The two known defects are honest carry-overs found by our own audit tool, not by a reviewer, and both are low-risk today — the replay queue only fills during a platform outage, and the receiver queue never fills because the runtime handler cannot fail.</t>
  </si>
  <si>
    <t xml:space="preserve">Stand up staging (shared with v038) plus any OTel-compatible backend; the two queue defects can be fixed locally before that.</t>
  </si>
  <si>
    <t xml:space="preserve">The queue fixes now; the rest after v038</t>
  </si>
  <si>
    <t xml:space="preserve">v044</t>
  </si>
  <si>
    <t xml:space="preserve">S43</t>
  </si>
  <si>
    <t xml:space="preserve">Security and enterprise identity</t>
  </si>
  <si>
    <t xml:space="preserve">KMS or secrets manager behind the existing SecretsVault contract; SAML and OIDC; SCIM provisioning; security headers and CSP; audit-log export; SBOM and image signing; and a decision on the UNLICENSED package licence.</t>
  </si>
  <si>
    <t xml:space="preserve">Three separate blockers: no cloud account for a KMS, no identity provider to test SAML/OIDC/SCIM against, and no licence decision. The rotation PATH already shipped in v0.37.0 (multi-key vault, POST /ops/rotate-keys, stale-key boot warning), so the KMS is an adapter swap rather than a design.</t>
  </si>
  <si>
    <t xml:space="preserve">Infrastructure + decision</t>
  </si>
  <si>
    <t xml:space="preserve">Claude + Senthil (licence)</t>
  </si>
  <si>
    <t xml:space="preserve">Pick a cloud (AWS KMS / GCP KMS / Vault), provide a test IdP (Okta and Auth0 both have free developer tiers), and decide the licence.</t>
  </si>
  <si>
    <t xml:space="preserve">KMS any time; IdP work after v039</t>
  </si>
  <si>
    <t xml:space="preserve">v045</t>
  </si>
  <si>
    <t xml:space="preserve">S44</t>
  </si>
  <si>
    <t xml:space="preserve">Enterprise Grid and organisation model</t>
  </si>
  <si>
    <t xml:space="preserve">Organisation-to-workspace hierarchy, Grid install flow, delegated admins, shared integrations and scale quotas.</t>
  </si>
  <si>
    <t xml:space="preserve">Needs a Slack Enterprise Grid tenant, which is not available on a free plan. Nothing can be verified without one, and guessing at Grid semantics is how the F-014 tenancy class appeared in the first place.</t>
  </si>
  <si>
    <t xml:space="preserve">Platform access (paid tier)</t>
  </si>
  <si>
    <t xml:space="preserve">Claude + a Grid tenant</t>
  </si>
  <si>
    <t xml:space="preserve">Obtain a Slack Enterprise Grid sandbox (via the Slack partner programme) or defer Grid support out of v1 and say so in the listing.</t>
  </si>
  <si>
    <t xml:space="preserve">After v039</t>
  </si>
  <si>
    <t xml:space="preserve">v046</t>
  </si>
  <si>
    <t xml:space="preserve">S45</t>
  </si>
  <si>
    <t xml:space="preserve">AI incident intelligence — the differentiator</t>
  </si>
  <si>
    <t xml:space="preserve">Evidence-linked postmortems where every assertion cites the timeline event that supports it; similar-incident retrieval across the workspace's own history; prompt-injection controls and PII redaction before anything leaves the tenant; bring-your-own-model and bring-your-own-key; postmortem quality measured by a human-rated sample per release.</t>
  </si>
  <si>
    <t xml:space="preserve">Two blockers: an AI provider key, and a compliance question that must be answered first. Salesforce tightened the Slack API terms specifically around LLM ingestion of Slack data, so the data flow has to be designed and recorded before a single message is sent to a model. Commercially this is now the PRIMARY differentiator: the market leader gives away Slack-native declare, timeline and status page for free, so the postmortem and the memory are what is left to sell.</t>
  </si>
  <si>
    <t xml:space="preserve">Credential + compliance review</t>
  </si>
  <si>
    <t xml:space="preserve">Provide an AI provider key, and read the current Slack API Terms of Service; the compliance argument is then recorded in docs/DATA_FLOW.md (a placeholder section already names this).</t>
  </si>
  <si>
    <t xml:space="preserve">v047</t>
  </si>
  <si>
    <t xml:space="preserve">S46 + S47</t>
  </si>
  <si>
    <t xml:space="preserve">Integration ecosystem and Slack UX</t>
  </si>
  <si>
    <t xml:space="preserve">Jira/JSM, GitHub/GitLab, Datadog, Sentry, Grafana, status vendors, a webhook SDK and API tokens; plus App Home, guided setup, integration health, an on-call test button, incident templates and shortcuts.</t>
  </si>
  <si>
    <t xml:space="preserve">Prioritisation depends on evidence that does not exist yet: which tools the design partners actually run, and where real users drop out of the funnel. Building these on a guess is how the 29 unreachable capabilities happened at v020.</t>
  </si>
  <si>
    <t xml:space="preserve">Evidence (design partners)</t>
  </si>
  <si>
    <t xml:space="preserve">Claude + user research</t>
  </si>
  <si>
    <t xml:space="preserve">Run S49 first; the interview script should capture the integration stack and the activation drop-off.</t>
  </si>
  <si>
    <t xml:space="preserve">After v048 (S49)</t>
  </si>
  <si>
    <t xml:space="preserve">v048</t>
  </si>
  <si>
    <t xml:space="preserve">S48</t>
  </si>
  <si>
    <t xml:space="preserve">Compliance and procurement pack</t>
  </si>
  <si>
    <t xml:space="preserve">Data-processing agreement, subprocessor list, security whitepaper, vulnerability SLA, BCP/DR plan and a SOC 2 control map — with a rule that every claim cites the enforcing code path or the sprint that will build it.</t>
  </si>
  <si>
    <t xml:space="preserve">Needs legal and security review, and it is deliberately last of the enterprise band: writing a procurement pack before S42-S44 close would produce exactly the class of unenforced promise that three separate reviews have already found in this product.</t>
  </si>
  <si>
    <t xml:space="preserve">Legal / security review</t>
  </si>
  <si>
    <t xml:space="preserve">Claude + legal</t>
  </si>
  <si>
    <t xml:space="preserve">Engage a legal reviewer once S42-S44 are closed.</t>
  </si>
  <si>
    <t xml:space="preserve">After v043-v045</t>
  </si>
  <si>
    <t xml:space="preserve">v049</t>
  </si>
  <si>
    <t xml:space="preserve">S49</t>
  </si>
  <si>
    <t xml:space="preserve">Design-partner and pricing validation</t>
  </si>
  <si>
    <t xml:space="preserve">Fifteen interviews, five design partners, Opsgenie-migration interviews specifically, and price tests on the BANDED model rather than the incident-metered one. Proceed only on 8/15 strong pain, 5 pilots, 3 weekly active and 2 willing to pay.</t>
  </si>
  <si>
    <t xml:space="preserve">Blocked by a portfolio decision, not by engineering: D13 parked discovery across all products. The computed financial model now says this plan needs 305 paying workspaces and roughly $215,000 of runway to reach a $442 monthly surplus at month 18 — and no customer has yet seen a price. This needs calendar time rather than code, so it can run in parallel with everything above.</t>
  </si>
  <si>
    <t xml:space="preserve">Decision (D13 vs S49)</t>
  </si>
  <si>
    <t xml:space="preserve">Senthil / GTM</t>
  </si>
  <si>
    <t xml:space="preserve">Unpark discovery for this product only, and start booking interviews this week — it is the longest lead-time item in the plan.</t>
  </si>
  <si>
    <t xml:space="preserve">Today, in parallel with engineering</t>
  </si>
  <si>
    <t xml:space="preserve">Calendar, not points</t>
  </si>
  <si>
    <t xml:space="preserve">v050</t>
  </si>
  <si>
    <t xml:space="preserve">S50</t>
  </si>
  <si>
    <t xml:space="preserve">Independent launch certification</t>
  </si>
  <si>
    <t xml:space="preserve">Third-party penetration test, a THIRD independent review, a live Slack and Stripe sweep, load and soak on real infrastructure, and a manual accessibility and screen-reader pass.</t>
  </si>
  <si>
    <t xml:space="preserve">Needs a pen-test vendor and a reviewer independent of both previous ones, and it cannot start until there is something live to certify. Two independent reviews have already been served (ChatGPT, Perplexity) and each found a different class of defect, which is the argument for a third rather than against it.</t>
  </si>
  <si>
    <t xml:space="preserve">Vendor + live product</t>
  </si>
  <si>
    <t xml:space="preserve">Independent reviewers + Senthil</t>
  </si>
  <si>
    <t xml:space="preserve">Book a pen-test vendor now for a slot after v039/v040; identify a third reviewer.</t>
  </si>
  <si>
    <t xml:space="preserve">After v039, v040 and v043</t>
  </si>
  <si>
    <t xml:space="preserve">Calendar + fees</t>
  </si>
  <si>
    <t xml:space="preserve">v051</t>
  </si>
  <si>
    <t xml:space="preserve">S51</t>
  </si>
  <si>
    <t xml:space="preserve">Marketplace launch and enterprise pilots</t>
  </si>
  <si>
    <t xml:space="preserve">App Directory listing, migration landing page, comparison pages, case studies, two enterprise pilots and a support process.</t>
  </si>
  <si>
    <t xml:space="preserve">Needs the running product for screenshots and a demo video, the listing copy variant decision, and Slack's own manual review queue — which cannot be accelerated and re-triggers on any change to the app or its listing.</t>
  </si>
  <si>
    <t xml:space="preserve">Platform review queue + assets</t>
  </si>
  <si>
    <t xml:space="preserve">Senthil / Growth</t>
  </si>
  <si>
    <t xml:space="preserve">Prepare assets during v039-v040 so the listing can be submitted the day the live sweep passes.</t>
  </si>
  <si>
    <t xml:space="preserve">After v049 evidence and v050 certification</t>
  </si>
  <si>
    <t xml:space="preserve">Calendar</t>
  </si>
  <si>
    <t xml:space="preserve">Completed vs Pending</t>
  </si>
  <si>
    <t xml:space="preserve">HOW TO USE THIS SHEET: This is the one-screen answer to 'what is finished'. Green means built and covered by an automated test; amber means the code is complete but no third party has ever confirmed it; red means it does not exist. Read the 'what is missing and why' column before treating any amber row as done.</t>
  </si>
  <si>
    <t xml:space="preserve">Area</t>
  </si>
  <si>
    <t xml:space="preserve">What exists today (and is covered)</t>
  </si>
  <si>
    <t xml:space="preserve">What is missing, and why</t>
  </si>
  <si>
    <t xml:space="preserve">Unblocking sprint</t>
  </si>
  <si>
    <t xml:space="preserve">Evidence</t>
  </si>
  <si>
    <t xml:space="preserve">Slack surface (slash command, declare modal, incident message, App Home)</t>
  </si>
  <si>
    <t xml:space="preserve">BLOCKED</t>
  </si>
  <si>
    <t xml:space="preserve">Every view is built and validated against Slack's published Block Kit limits and audited for accessibility before it can leave the process; the slash-command route honours the 3-second ack contract.</t>
  </si>
  <si>
    <t xml:space="preserve">Nothing renders the views: views.open and chat.postMessage are not written.</t>
  </si>
  <si>
    <t xml:space="preserve">tests/blockkit, tests/http, tests/px/bootSmoke</t>
  </si>
  <si>
    <t xml:space="preserve">Incident engine (declare, mitigate, resolve, reopen)</t>
  </si>
  <si>
    <t xml:space="preserve">DONE</t>
  </si>
  <si>
    <t xml:space="preserve">Explicit transition map refuses illegal moves; first resolution immutable so MTTR cannot drift; reopens counted; every change audited and persisted.</t>
  </si>
  <si>
    <t xml:space="preserve">tests/declare, tests/dispositions</t>
  </si>
  <si>
    <t xml:space="preserve">Automatic timeline capture</t>
  </si>
  <si>
    <t xml:space="preserve">Config-driven bot/reaction filters, ordered per-incident view, markdown export, foreign-incident events refused.</t>
  </si>
  <si>
    <t xml:space="preserve">tests/timeline, tests/review-pass2</t>
  </si>
  <si>
    <t xml:space="preserve">AI postmortem draft</t>
  </si>
  <si>
    <t xml:space="preserve">Generator, blameless template, duration maths, refusal of unresolved incidents and of foreign timelines; the call runs under its own circuit breaker and latency budget so a slow model degrades the draft instead of holding the resolve.</t>
  </si>
  <si>
    <t xml:space="preserve">No AI provider is wired, and the Slack API terms for LLM ingestion must be read before one is.</t>
  </si>
  <si>
    <t xml:space="preserve">tests/postmortem, tests/px/identityAndWindows</t>
  </si>
  <si>
    <t xml:space="preserve">Responder paging</t>
  </si>
  <si>
    <t xml:space="preserve">Fan-out never abandons mid-way: every responder attempted, outcomes reported per person, retries target only failures so nobody is paged twice; five provider ids supported.</t>
  </si>
  <si>
    <t xml:space="preserve">PagerDuty / JSM / Compass / webhook adapters are not written.</t>
  </si>
  <si>
    <t xml:space="preserve">tests/paging, tests/px/identityAndWindows</t>
  </si>
  <si>
    <t xml:space="preserve">Status page publish</t>
  </si>
  <si>
    <t xml:space="preserve">Component states with worst-of rollup and platform-error surfacing.</t>
  </si>
  <si>
    <t xml:space="preserve">No status vendor is wired.</t>
  </si>
  <si>
    <t xml:space="preserve">S46</t>
  </si>
  <si>
    <t xml:space="preserve">tests/statuspage</t>
  </si>
  <si>
    <t xml:space="preserve">Multi-tenancy, roles and audit</t>
  </si>
  <si>
    <t xml:space="preserve">One workflow bundle per workspace so no cross-tenant read or id collision is possible; roles resolved from the signed Slack user id; owner/admin/member matrix enforced on every route; audit log on every state change.</t>
  </si>
  <si>
    <t xml:space="preserve">tests/roleResolver, tests/abuse.security</t>
  </si>
  <si>
    <t xml:space="preserve">Billing, plan limits and pricing bands</t>
  </si>
  <si>
    <t xml:space="preserve">The limit the pricing page sells is claimed atomically on the write path, so two replicas cannot jointly exceed it; grace, dunning, read-only and cancellation all enforced; workspace-size bands replace incident metering (D-OC8).</t>
  </si>
  <si>
    <t xml:space="preserve">Band enforcement needs users.list to know the engineer count; Stripe itself is S40.</t>
  </si>
  <si>
    <t xml:space="preserve">S38 / S40</t>
  </si>
  <si>
    <t xml:space="preserve">tests/px/enforcementWiring, tests/billing</t>
  </si>
  <si>
    <t xml:space="preserve">Privacy — export, delete and retention</t>
  </si>
  <si>
    <t xml:space="preserve">All seven tenant stores derived from one inventory so export, delete and the 30-day sweep cannot drift; the one exempt store declares its reason in the type rather than returning an empty array.</t>
  </si>
  <si>
    <t xml:space="preserve">tests/composition, tests/px/ackDurability</t>
  </si>
  <si>
    <t xml:space="preserve">Encryption and key rotation</t>
  </si>
  <si>
    <t xml:space="preserve">PARTIAL</t>
  </si>
  <si>
    <t xml:space="preserve">AES-256-GCM per field with a random IV and verified auth tag; ciphertext is key-versioned; POST /ops/rotate-keys re-encrypts under a new current key, idempotently and resumably; boot warns while any record is on an old key.</t>
  </si>
  <si>
    <t xml:space="preserve">Keys come from environment variables; a managed KMS behind the same contract is not built.</t>
  </si>
  <si>
    <t xml:space="preserve">tests/crypto, tests/px/identityAndWindows</t>
  </si>
  <si>
    <t xml:space="preserve">Durability — restart, deploy, two replicas</t>
  </si>
  <si>
    <t xml:space="preserve">Nine Postgres stores and 14 ordered migrations; atomic incident ids and usage claims; leases that make a daily job run once per day across five deploys; a deferred queue that survives SIGTERM and kill -9; verified against a real PostgreSQL 16 in CI.</t>
  </si>
  <si>
    <t xml:space="preserve">A two-replica DEPLOY has never been performed (the code is proven, the topology is not).</t>
  </si>
  <si>
    <t xml:space="preserve">tests/px/pgStores, tests/multiReplica, tests/pgReal</t>
  </si>
  <si>
    <t xml:space="preserve">Boot gate and composition</t>
  </si>
  <si>
    <t xml:space="preserve">Production refuses a stub, an in-memory store, a non-durable service or an adapter that fails its healthcheck, naming each one — and is proven to permit a healthy composition. The provider set is closed and typed, so omission is a compile error.</t>
  </si>
  <si>
    <t xml:space="preserve">tests/px/providerGate, tests/px/bootSmoke</t>
  </si>
  <si>
    <t xml:space="preserve">Session and dashboard access</t>
  </si>
  <si>
    <t xml:space="preserve">HMAC-signed, expiring, tenant-bound cookie with double-submit CSRF, bound to the workspace install epoch so uninstall, reinstall or data deletion revokes it immediately.</t>
  </si>
  <si>
    <t xml:space="preserve">It is a session bridge, not SSO — deliberately, and never marketed otherwise.</t>
  </si>
  <si>
    <t xml:space="preserve">S43 (SSO)</t>
  </si>
  <si>
    <t xml:space="preserve">tests/session, tests/px/identityAndWindows</t>
  </si>
  <si>
    <t xml:space="preserve">Platform adapters (Slack, OAuth, poster, views.open, paging, AI, status, Stripe)</t>
  </si>
  <si>
    <t xml:space="preserve">NOT BUILT</t>
  </si>
  <si>
    <t xml:space="preserve">Contracts are final: asynchronous, budgeted, health-probed, inventoried and refused by name in production. Honest stubs reject and report ok:false.</t>
  </si>
  <si>
    <t xml:space="preserve">The HTTP calls themselves do not exist.</t>
  </si>
  <si>
    <t xml:space="preserve">S38, S40, S41, S45, S46</t>
  </si>
  <si>
    <t xml:space="preserve">tests/px/asyncBoundary, tests/px/providerGate</t>
  </si>
  <si>
    <t xml:space="preserve">Enterprise identity, Grid and security assurance</t>
  </si>
  <si>
    <t xml:space="preserve">No SAML/OIDC, SCIM, Grid org model, managed KMS, SBOM, image signing, third-party pen test or SOC 2 process. The enterprise-ready claim is formally withdrawn (gate G0).</t>
  </si>
  <si>
    <t xml:space="preserve">S43, S44, S48</t>
  </si>
  <si>
    <t xml:space="preserve">Observability, HA and DR</t>
  </si>
  <si>
    <t xml:space="preserve">p95 measured in-process and gating CI; operator webhook alerting with retry; blue/green workflow and a scripted backup/restore drill; /health and /ops/latency and /ops/composition.</t>
  </si>
  <si>
    <t xml:space="preserve">No structured logs, OTel traces, SLOs, canary deploys, chaos or restore drills on real infrastructure; two in-memory queues (PX-014, PX-015) are not yet persisted or drained.</t>
  </si>
  <si>
    <t xml:space="preserve">tests/latency, scripts/backup-restore-drill.sh</t>
  </si>
  <si>
    <t xml:space="preserve">Commercial — pricing validation, listing, partners</t>
  </si>
  <si>
    <t xml:space="preserve">Listing copy (A/B), pricing page, trust page, help centre, launch runbook and comms templates all drafted; the financial model is computed for the first time with sensitivities.</t>
  </si>
  <si>
    <t xml:space="preserve">No design partner has seen a price; listing assets need the running product; the Opsgenie importer is not started.</t>
  </si>
  <si>
    <t xml:space="preserve">S49, S51, PX-S3</t>
  </si>
  <si>
    <t xml:space="preserve">Workbook Financial_Model, docs/LISTING_COPY.md</t>
  </si>
  <si>
    <t xml:space="preserve">Test Strategy</t>
  </si>
  <si>
    <t xml:space="preserve">HOW TO USE THIS SHEET: Read before executing. The 'cannot prove' rows matter most: a green manual run here does not mean the product works against Slack, because no test in this pack touches Slack.</t>
  </si>
  <si>
    <t xml:space="preserve">Objective</t>
  </si>
  <si>
    <t xml:space="preserve">Give a person without access to the codebase a way to confirm, by hand, every claim this project makes about v0.37.0 — and to falsify it if the claim is wrong.</t>
  </si>
  <si>
    <t xml:space="preserve">Design method</t>
  </si>
  <si>
    <t xml:space="preserve">Each case is written against a specific behaviour that a specific commit introduced, and each is paired: a positive case proving the behaviour happens, and where a guard exists, a negative case proving the guard fires. A guard with no negative case is treated as untested.</t>
  </si>
  <si>
    <t xml:space="preserve">Positive testing</t>
  </si>
  <si>
    <t xml:space="preserve">34 cases. The intended path: the thing does what it should — the app boots, the command acks within the budget, the incident declares, the limit permits the write, the key rotates.</t>
  </si>
  <si>
    <t xml:space="preserve">Negative testing</t>
  </si>
  <si>
    <t xml:space="preserve">43 cases. The refusal path: a tampered signature, a replayed request, a cross-tenant id, a revoked session, a missing key, a stub in production, a limit exceeded, a process killed mid-flight. A product of this kind is defined by what it refuses, so the negative cases outnumber the positive ones deliberately.</t>
  </si>
  <si>
    <t xml:space="preserve">Levels covered</t>
  </si>
  <si>
    <t xml:space="preserve">System and integration level, exercised through the real composition root (npm start, the built dist/, the HTTP surface, the CLI scripts and the audit tool). Unit behaviour is covered by the automated suite and is not re-tested by hand.</t>
  </si>
  <si>
    <t xml:space="preserve">Priorities</t>
  </si>
  <si>
    <t xml:space="preserve">P0 — a failure means the build must not ship (boot gate, entitlement enforcement, durability, signature verification). P1 — a failure blocks a sprint. P2 — cosmetic or documentation.</t>
  </si>
  <si>
    <t xml:space="preserve">Entry into a case</t>
  </si>
  <si>
    <t xml:space="preserve">Every case names its preconditions and test data explicitly so that two testers running it get the same result. Where a case needs a credential that does not exist, it is marked BLOCKED with the blocker id rather than being left out.</t>
  </si>
  <si>
    <t xml:space="preserve">What this pack CAN prove</t>
  </si>
  <si>
    <t xml:space="preserve">That the delivered artefact compiles from nothing; that it refuses to start in production on stubs and names every one of them; that it boots, serves and drains in development; that queued work survives SIGTERM and kill -9; that plan limits are enforced by the same path the product actually uses; that signatures, replay windows, tenancy and session revocation are enforced; that 100% coverage is real and measured over both src/ and scripts/.</t>
  </si>
  <si>
    <t xml:space="preserve">What this pack CANNOT prove</t>
  </si>
  <si>
    <t xml:space="preserve">That a message ever appears in Slack; that a card is ever charged; that a pager ever rings; that two replicas behind a load balancer behave; that the latency claim holds under real network conditions; that a screen-reader user can operate the product. Those require SC-06, SC-07, a staging environment and a human tester respectively, and they are written as BLOCKED cases so that the gap is visible rather than absent.</t>
  </si>
  <si>
    <t xml:space="preserve">Regression approach</t>
  </si>
  <si>
    <t xml:space="preserve">Every case in this pack is re-runnable against a later zip unchanged. When a case starts failing on a version where it used to pass, that is a regression and is logged in Defect_Log with the version that broke it.</t>
  </si>
  <si>
    <t xml:space="preserve">Relationship to the automated suite</t>
  </si>
  <si>
    <t xml:space="preserve">Each case names its automated equivalent where one exists. Where the automated equivalent is the stronger test (it runs on every commit), the manual case exists so that a reviewer can confirm the automated test is not lying to itself.</t>
  </si>
  <si>
    <t xml:space="preserve">Risks to this approach</t>
  </si>
  <si>
    <t xml:space="preserve">A manual pack written by the same agent that wrote the code can inherit the same blind spot. That is why the two independent external reviews are traced in Traceability_Matrix: cases derived from a review that the build did not anticipate are marked with their PX id.</t>
  </si>
  <si>
    <t xml:space="preserve">Test Environment</t>
  </si>
  <si>
    <t xml:space="preserve">HOW TO USE THIS SHEET: Set this up once, in order. The environment variable block is the exact string the cases assume; copy it as-is or the expected results will not match.</t>
  </si>
  <si>
    <t xml:space="preserve">Item</t>
  </si>
  <si>
    <t xml:space="preserve">Required value / version</t>
  </si>
  <si>
    <t xml:space="preserve">Why it is needed</t>
  </si>
  <si>
    <t xml:space="preserve">How to confirm it</t>
  </si>
  <si>
    <t xml:space="preserve">Operating system</t>
  </si>
  <si>
    <t xml:space="preserve">macOS, Linux, or Windows with WSL2</t>
  </si>
  <si>
    <t xml:space="preserve">The scripts are POSIX shell; the SIGTERM and kill -9 cases need real signals.</t>
  </si>
  <si>
    <t xml:space="preserve">uname -a</t>
  </si>
  <si>
    <t xml:space="preserve">Node.js</t>
  </si>
  <si>
    <t xml:space="preserve">20.x or 22.x</t>
  </si>
  <si>
    <t xml:space="preserve">package.json engines; ts-jest and the compiler API tests assume it.</t>
  </si>
  <si>
    <t xml:space="preserve">node -v</t>
  </si>
  <si>
    <t xml:space="preserve">npm</t>
  </si>
  <si>
    <t xml:space="preserve">10 or newer</t>
  </si>
  <si>
    <t xml:space="preserve">npm ci needs a lockfile-aware client.</t>
  </si>
  <si>
    <t xml:space="preserve">npm -v</t>
  </si>
  <si>
    <t xml:space="preserve">The artefact</t>
  </si>
  <si>
    <t xml:space="preserve">oncall-copilot-v037-codebase.zip</t>
  </si>
  <si>
    <t xml:space="preserve">Every case is written against this exact zip. A different zip invalidates the expected results.</t>
  </si>
  <si>
    <t xml:space="preserve">Unpack it; docs/ and audit.mjs must be present.</t>
  </si>
  <si>
    <t xml:space="preserve">Disk</t>
  </si>
  <si>
    <t xml:space="preserve">About 500 MB free</t>
  </si>
  <si>
    <t xml:space="preserve">node_modules plus a coverage report.</t>
  </si>
  <si>
    <t xml:space="preserve">df -h .</t>
  </si>
  <si>
    <t xml:space="preserve">PostgreSQL 16 (optional)</t>
  </si>
  <si>
    <t xml:space="preserve">Local server, empty database, superuser or a role that can create tables</t>
  </si>
  <si>
    <t xml:space="preserve">8 of the 624 automated tests and 4 manual cases are gated on a real database; without it they are skipped, not failed.</t>
  </si>
  <si>
    <t xml:space="preserve">psql -c 'select version()'</t>
  </si>
  <si>
    <t xml:space="preserve">Environment variables (development)</t>
  </si>
  <si>
    <t xml:space="preserve">APP_ENV=development SLACK_SIGNING_SECRET=test-secret SLACK_CLIENT_ID=1.1 SLACK_CLIENT_SECRET=cs SLACK_REDIRECT_URL=https://example.com/cb DATABASE_URL=postgres://u@localhost/db STRIPE_SECRET_KEY=sk STRIPE_WEBHOOK_SECRET=wh AI_API_KEY=ai PAGING_PROVIDER=pagerduty PAGING_API_KEY=pk ENCRYPTION_KEY=local-key OPERATOR_TOKEN=op-token SESSION_SECRET=sess-secret</t>
  </si>
  <si>
    <t xml:space="preserve">The exact development block the cases assume. Every value is a placeholder; none is a real credential.</t>
  </si>
  <si>
    <t xml:space="preserve">Export it, then run npm start and read the Config line.</t>
  </si>
  <si>
    <t xml:space="preserve">Slack workspace</t>
  </si>
  <si>
    <t xml:space="preserve">NOT AVAILABLE — blocker SC-06</t>
  </si>
  <si>
    <t xml:space="preserve">Needed by 6 cases. Those cases are marked BLOCKED and must not be marked Fail.</t>
  </si>
  <si>
    <t xml:space="preserve">n/a</t>
  </si>
  <si>
    <t xml:space="preserve">Stripe test keys</t>
  </si>
  <si>
    <t xml:space="preserve">NOT AVAILABLE — blocker SC-07</t>
  </si>
  <si>
    <t xml:space="preserve">Needed by 2 cases, same rule.</t>
  </si>
  <si>
    <t xml:space="preserve">Staging environment</t>
  </si>
  <si>
    <t xml:space="preserve">NOT AVAILABLE — no deploy topology</t>
  </si>
  <si>
    <t xml:space="preserve">Needed by 3 cases (two-replica, restore drill, real latency).</t>
  </si>
  <si>
    <t xml:space="preserve">Time and clock</t>
  </si>
  <si>
    <t xml:space="preserve">System clock correct to within a minute, UTC preferred</t>
  </si>
  <si>
    <t xml:space="preserve">Lease frequency, replay window and monthly reset cases all read the clock.</t>
  </si>
  <si>
    <t xml:space="preserve">date -u</t>
  </si>
  <si>
    <t xml:space="preserve">Tooling</t>
  </si>
  <si>
    <t xml:space="preserve">unzip, curl, ps, kill</t>
  </si>
  <si>
    <t xml:space="preserve">Used directly by the boot, drain and durability cases.</t>
  </si>
  <si>
    <t xml:space="preserve">which unzip curl kill</t>
  </si>
  <si>
    <t xml:space="preserve">Entry Exit Criteria</t>
  </si>
  <si>
    <t xml:space="preserve">HOW TO USE THIS SHEET: Tick every entry row before running case 1. At the end, every exit row must be met or explicitly waived in writing on Sign_Off — a waiver is recorded, never assumed.</t>
  </si>
  <si>
    <t xml:space="preserve">Type</t>
  </si>
  <si>
    <t xml:space="preserve">Criterion</t>
  </si>
  <si>
    <t xml:space="preserve">Why it matters</t>
  </si>
  <si>
    <t xml:space="preserve">Met?</t>
  </si>
  <si>
    <t xml:space="preserve">Entry</t>
  </si>
  <si>
    <t xml:space="preserve">The exact zip named on the Cover_Sheet has been unpacked and nothing in it has been edited.</t>
  </si>
  <si>
    <t xml:space="preserve">A case that passes against edited source proves nothing.</t>
  </si>
  <si>
    <t xml:space="preserve">npm ci and npm run build both exit 0 (TC-001).</t>
  </si>
  <si>
    <t xml:space="preserve">Nothing later can be trusted if the artefact does not compile.</t>
  </si>
  <si>
    <t xml:space="preserve">The development environment variable block from Test_Environment is exported verbatim.</t>
  </si>
  <si>
    <t xml:space="preserve">Half the expected results are exact strings produced from those values.</t>
  </si>
  <si>
    <t xml:space="preserve">The tester has read Context_and_Scope and knows which cases are BLOCKED and why.</t>
  </si>
  <si>
    <t xml:space="preserve">Prevents a blocked case being recorded as a failure, which would distort the summary.</t>
  </si>
  <si>
    <t xml:space="preserve">A clean Test_Execution_Log has been copied for this run and stamped with the build under test.</t>
  </si>
  <si>
    <t xml:space="preserve">Runs must be attributable to a build.</t>
  </si>
  <si>
    <t xml:space="preserve">Exit</t>
  </si>
  <si>
    <t xml:space="preserve">Every case whose Executable column says Yes has a result of Pass, Fail or Blocked — no blanks.</t>
  </si>
  <si>
    <t xml:space="preserve">A blank is an untested claim that looks tested.</t>
  </si>
  <si>
    <t xml:space="preserve">Every P0 case has passed.</t>
  </si>
  <si>
    <t xml:space="preserve">A P0 failure means the build must not ship, by definition.</t>
  </si>
  <si>
    <t xml:space="preserve">Every failure has a Defect_Log row with a severity and an owner.</t>
  </si>
  <si>
    <t xml:space="preserve">A failure with no defect row disappears at the next run.</t>
  </si>
  <si>
    <t xml:space="preserve">Test_Summary shows zero cases in the 'not run' count.</t>
  </si>
  <si>
    <t xml:space="preserve">The summary is computed from the sheets, so it cannot be talked past.</t>
  </si>
  <si>
    <t xml:space="preserve">Any case marked Blocked names the blocker id (SC-06, SC-07, or 'no staging').</t>
  </si>
  <si>
    <t xml:space="preserve">Blocked without a named blocker is indistinguishable from skipped.</t>
  </si>
  <si>
    <t xml:space="preserve">Sign_Off is signed by the approver, with any waiver written on it.</t>
  </si>
  <si>
    <t xml:space="preserve">Acceptance is a decision by a person, not a spreadsheet state.</t>
  </si>
  <si>
    <t xml:space="preserve">Manual Test Cases</t>
  </si>
  <si>
    <t xml:space="preserve">HOW TO USE THIS SHEET: One row per case. The steps are NOT here — they are on Test_Steps, keyed by the same Test case id, because one case has many steps. Filter Type for positive vs negative, Priority for a smoke run (P0 only), and Executable to see what you can actually run today. A case whose Executable column starts with NO is blocked, not failing.</t>
  </si>
  <si>
    <t xml:space="preserve">Test case id</t>
  </si>
  <si>
    <t xml:space="preserve">Module / sprint</t>
  </si>
  <si>
    <t xml:space="preserve">Priority</t>
  </si>
  <si>
    <t xml:space="preserve">Test case name</t>
  </si>
  <si>
    <t xml:space="preserve">Test description (what it proves)</t>
  </si>
  <si>
    <t xml:space="preserve">Preconditions</t>
  </si>
  <si>
    <t xml:space="preserve">Test data</t>
  </si>
  <si>
    <t xml:space="preserve">Steps</t>
  </si>
  <si>
    <t xml:space="preserve">Expected result (overall)</t>
  </si>
  <si>
    <t xml:space="preserve">Executable today?</t>
  </si>
  <si>
    <t xml:space="preserve">Automated equivalent</t>
  </si>
  <si>
    <t xml:space="preserve">TC-001</t>
  </si>
  <si>
    <t xml:space="preserve">Build &amp; environment</t>
  </si>
  <si>
    <t xml:space="preserve">package.json / tsconfig</t>
  </si>
  <si>
    <t xml:space="preserve">Positive</t>
  </si>
  <si>
    <t xml:space="preserve">P0</t>
  </si>
  <si>
    <t xml:space="preserve">Clean install and build from the delivered zip</t>
  </si>
  <si>
    <t xml:space="preserve">Prove the delivered artefact compiles from nothing, including the composition root that external review V001 found outside the type-check.</t>
  </si>
  <si>
    <t xml:space="preserve">Node 20-22 installed; the zip unpacked; no node_modules present.</t>
  </si>
  <si>
    <t xml:space="preserve">The product builds cleanly from a clean checkout and the composition root is inside the type-check.</t>
  </si>
  <si>
    <t xml:space="preserve">Yes — now</t>
  </si>
  <si>
    <t xml:space="preserve">CI build job</t>
  </si>
  <si>
    <t xml:space="preserve">TC-002</t>
  </si>
  <si>
    <t xml:space="preserve">tsconfig.json</t>
  </si>
  <si>
    <t xml:space="preserve">Negative</t>
  </si>
  <si>
    <t xml:space="preserve">A type error in the composition root must fail the build</t>
  </si>
  <si>
    <t xml:space="preserve">Regression for CF-001: for 28 releases tsconfig included src/** only, so a composition root with four type errors coexisted with 473 green tests. Deliberately break it and prove the gate now catches it.</t>
  </si>
  <si>
    <t xml:space="preserve">TC-001 passed.</t>
  </si>
  <si>
    <t xml:space="preserve">A deliberate, temporary edit to scripts/serve.ts.</t>
  </si>
  <si>
    <t xml:space="preserve">The build refuses a composition root that cannot compile. CF-001 cannot recur silently.</t>
  </si>
  <si>
    <t xml:space="preserve">tests/reviewV001.regressions.test.ts (tsconfig include assertions)</t>
  </si>
  <si>
    <t xml:space="preserve">TC-003</t>
  </si>
  <si>
    <t xml:space="preserve">Quality gate</t>
  </si>
  <si>
    <t xml:space="preserve">jest.config.js</t>
  </si>
  <si>
    <t xml:space="preserve">Full suite and 100% coverage gate over src AND scripts</t>
  </si>
  <si>
    <t xml:space="preserve">The headline quality claim. Coverage must cover the composition scripts too — closing audit finding A9.</t>
  </si>
  <si>
    <t xml:space="preserve">616 tests pass and every metric is at 100% across both source and the composition scripts.</t>
  </si>
  <si>
    <t xml:space="preserve">CI test job</t>
  </si>
  <si>
    <t xml:space="preserve">TC-004</t>
  </si>
  <si>
    <t xml:space="preserve">P1</t>
  </si>
  <si>
    <t xml:space="preserve">Deleting a test must break the coverage gate</t>
  </si>
  <si>
    <t xml:space="preserve">Proves the 100% figure is enforced rather than reported. A gate that cannot fail is not a gate.</t>
  </si>
  <si>
    <t xml:space="preserve">TC-003 passed.</t>
  </si>
  <si>
    <t xml:space="preserve">A deliberate, temporary deletion.</t>
  </si>
  <si>
    <t xml:space="preserve">The coverage gate fails the build when coverage drops, so the 100% claim is enforced.</t>
  </si>
  <si>
    <t xml:space="preserve">TC-005</t>
  </si>
  <si>
    <t xml:space="preserve">Supply chain</t>
  </si>
  <si>
    <t xml:space="preserve">package.json</t>
  </si>
  <si>
    <t xml:space="preserve">P2</t>
  </si>
  <si>
    <t xml:space="preserve">No known vulnerabilities in the production dependency tree</t>
  </si>
  <si>
    <t xml:space="preserve">The runtime surface is deliberately tiny (one dependency). Confirm it and the dev tree are clean.</t>
  </si>
  <si>
    <t xml:space="preserve">Neither the production nor the development dependency tree has a known vulnerability.</t>
  </si>
  <si>
    <t xml:space="preserve">CI (manual step today)</t>
  </si>
  <si>
    <t xml:space="preserve">TC-006</t>
  </si>
  <si>
    <t xml:space="preserve">Portfolio tooling</t>
  </si>
  <si>
    <t xml:space="preserve">audit.mjs v3</t>
  </si>
  <si>
    <t xml:space="preserve">The mechanical audit runs and reports suspects, not verdicts</t>
  </si>
  <si>
    <t xml:space="preserve">audit.mjs is the portfolio tool. v3 added A10-A13, the four defect classes the second review named.</t>
  </si>
  <si>
    <t xml:space="preserve">The audit tool runs clean on the three new checks and still surfaces the two honestly-open queue items.</t>
  </si>
  <si>
    <t xml:space="preserve">CI audit step (advisory)</t>
  </si>
  <si>
    <t xml:space="preserve">TC-007</t>
  </si>
  <si>
    <t xml:space="preserve">audit.mjs A10</t>
  </si>
  <si>
    <t xml:space="preserve">A10 must catch an enforcement method that production stops calling</t>
  </si>
  <si>
    <t xml:space="preserve">A10 is the check that found PX-002 in the review and PX-013 in our own fix. Prove it still fires by removing the production caller.</t>
  </si>
  <si>
    <t xml:space="preserve">TC-006 passed.</t>
  </si>
  <si>
    <t xml:space="preserve">A deliberate, temporary edit to src/app/workflow.ts.</t>
  </si>
  <si>
    <t xml:space="preserve">The audit tool mechanically detects the 'two enforcement methods, one wired' class that caused the blocker.</t>
  </si>
  <si>
    <t xml:space="preserve">TC-010</t>
  </si>
  <si>
    <t xml:space="preserve">Boot gate</t>
  </si>
  <si>
    <t xml:space="preserve">scripts/serve.ts</t>
  </si>
  <si>
    <t xml:space="preserve">Development boot starts, serves and shuts down cleanly</t>
  </si>
  <si>
    <t xml:space="preserve">The product must start on honest stubs in development, say what is degraded, and drain its queues on SIGTERM.</t>
  </si>
  <si>
    <t xml:space="preserve">TC-001 passed; dist/ built.</t>
  </si>
  <si>
    <t xml:space="preserve">Environment string ENV (see Test_Environment sheet).</t>
  </si>
  <si>
    <t xml:space="preserve">The product boots in development, is honest about what is degraded, and loses nothing at shutdown.</t>
  </si>
  <si>
    <t xml:space="preserve">tests/px/bootSmoke.test.ts</t>
  </si>
  <si>
    <t xml:space="preserve">TC-011</t>
  </si>
  <si>
    <t xml:space="preserve">src/composition/production.ts</t>
  </si>
  <si>
    <t xml:space="preserve">Production refuses to start on stubs and names every one</t>
  </si>
  <si>
    <t xml:space="preserve">Regression for CF-002/CB-02 plus the PX-003 capability probe: a production boot must be impossible while any adapter is fake, and it must say which.</t>
  </si>
  <si>
    <t xml:space="preserve">Same environment as TC-010 but APP_ENV=production.</t>
  </si>
  <si>
    <t xml:space="preserve">Production cannot start on a fake composition, and the operator is told exactly which adapters and why.</t>
  </si>
  <si>
    <t xml:space="preserve">tests/px/bootSmoke.test.ts + the CI package job</t>
  </si>
  <si>
    <t xml:space="preserve">TC-012</t>
  </si>
  <si>
    <t xml:space="preserve">src/compliance/crypto.ts</t>
  </si>
  <si>
    <t xml:space="preserve">Missing encryption key stops the boot with the variable named</t>
  </si>
  <si>
    <t xml:space="preserve">Fail-fast configuration: a missing secret must never degrade into a silent insecure default.</t>
  </si>
  <si>
    <t xml:space="preserve">ENV with ENCRYPTION_KEY removed.</t>
  </si>
  <si>
    <t xml:space="preserve">Every boot-critical secret is named individually when it is missing.</t>
  </si>
  <si>
    <t xml:space="preserve">TC-013</t>
  </si>
  <si>
    <t xml:space="preserve">Boot gate / rotation</t>
  </si>
  <si>
    <t xml:space="preserve">Two encryption keys without a nominated current key is refused</t>
  </si>
  <si>
    <t xml:space="preserve">PX-005: rotation is only safe if the operator says which key is current. Ambiguity must be an error, not a guess.</t>
  </si>
  <si>
    <t xml:space="preserve">ENCRYPTION_KEY=old plus ENCRYPTION_KEY_k2=new, no ENCRYPTION_KEY_CURRENT.</t>
  </si>
  <si>
    <t xml:space="preserve">An ambiguous or wrong key configuration is refused before any data can be written under it.</t>
  </si>
  <si>
    <t xml:space="preserve">tests/px/identityAndWindows.test.ts</t>
  </si>
  <si>
    <t xml:space="preserve">TC-014</t>
  </si>
  <si>
    <t xml:space="preserve">Ops surface</t>
  </si>
  <si>
    <t xml:space="preserve">/ops/composition</t>
  </si>
  <si>
    <t xml:space="preserve">An operator can read the live adapter inventory and probe results</t>
  </si>
  <si>
    <t xml:space="preserve">CF-014: an operator must be able to see what the runtime is actually wired to without reading the source.</t>
  </si>
  <si>
    <t xml:space="preserve">TC-010 running.</t>
  </si>
  <si>
    <t xml:space="preserve">Operator token op-token.</t>
  </si>
  <si>
    <t xml:space="preserve">The live composition is inspectable, and the reasons are written for a human.</t>
  </si>
  <si>
    <t xml:space="preserve">tests/px/providerGate.test.ts</t>
  </si>
  <si>
    <t xml:space="preserve">TC-015</t>
  </si>
  <si>
    <t xml:space="preserve">/ops/*</t>
  </si>
  <si>
    <t xml:space="preserve">Operator routes reject a missing, wrong or malformed token</t>
  </si>
  <si>
    <t xml:space="preserve">F-017: operational intelligence must not be readable by an anonymous caller.</t>
  </si>
  <si>
    <t xml:space="preserve">No token; a wrong token; a token without the Bearer prefix.</t>
  </si>
  <si>
    <t xml:space="preserve">Every operator route refuses an unauthenticated or malformed credential; only liveness is public.</t>
  </si>
  <si>
    <t xml:space="preserve">tests/adminApi.test.ts, tests/abuse.security.test.ts</t>
  </si>
  <si>
    <t xml:space="preserve">TC-016</t>
  </si>
  <si>
    <t xml:space="preserve">src/composition/providers.ts</t>
  </si>
  <si>
    <t xml:space="preserve">The gate PERMITS a healthy composition (proving it is not just a refusal)</t>
  </si>
  <si>
    <t xml:space="preserve">PX-S2 exit criterion. A gate that has only ever refused has never been shown to work.</t>
  </si>
  <si>
    <t xml:space="preserve">The boot gate both permits a healthy composition and refuses a plausible-looking broken one.</t>
  </si>
  <si>
    <t xml:space="preserve">TC-017</t>
  </si>
  <si>
    <t xml:space="preserve">src/core/provider.ts</t>
  </si>
  <si>
    <t xml:space="preserve">A provider whose healthcheck throws is a failure, not a crash</t>
  </si>
  <si>
    <t xml:space="preserve">The probe must degrade into a reported violation; an exception during boot diagnostics would hide the diagnosis.</t>
  </si>
  <si>
    <t xml:space="preserve">Probe failures are reported as violations with their reasons, never as an unhandled exception.</t>
  </si>
  <si>
    <t xml:space="preserve">TC-020</t>
  </si>
  <si>
    <t xml:space="preserve">Slash command</t>
  </si>
  <si>
    <t xml:space="preserve">src/http/app.ts</t>
  </si>
  <si>
    <t xml:space="preserve">A signed /incident declare is acknowledged inside Slack's 3-second window</t>
  </si>
  <si>
    <t xml:space="preserve">VER-OC1 was live-blocking: Slack gives a slash command 3 seconds, then shows a timeout AND retries, which would have produced duplicate incident channels.</t>
  </si>
  <si>
    <t xml:space="preserve">A request signed with the v0 HMAC scheme.</t>
  </si>
  <si>
    <t xml:space="preserve">The user is acknowledged immediately and the heavy work never runs inside the ack window.</t>
  </si>
  <si>
    <t xml:space="preserve">tests/http.test.ts, tests/ack.test.ts</t>
  </si>
  <si>
    <t xml:space="preserve">TC-021</t>
  </si>
  <si>
    <t xml:space="preserve">src/events/receiver.ts</t>
  </si>
  <si>
    <t xml:space="preserve">A forged or unsigned request is rejected</t>
  </si>
  <si>
    <t xml:space="preserve">Signature verification is the only thing standing between the internet and this endpoint.</t>
  </si>
  <si>
    <t xml:space="preserve">An unsigned POST; a POST with a wrong-secret signature.</t>
  </si>
  <si>
    <t xml:space="preserve">Unsigned, forged and truncated requests are all refused with 401 before any work is queued.</t>
  </si>
  <si>
    <t xml:space="preserve">tests/abuse.security.test.ts</t>
  </si>
  <si>
    <t xml:space="preserve">TC-022</t>
  </si>
  <si>
    <t xml:space="preserve">A replayed request outside the 5-minute window is rejected</t>
  </si>
  <si>
    <t xml:space="preserve">A valid signature over an old timestamp is a replay; the window is the defence.</t>
  </si>
  <si>
    <t xml:space="preserve">A correctly signed request with a timestamp 6 minutes old.</t>
  </si>
  <si>
    <t xml:space="preserve">Replay outside the documented window is refused regardless of signature validity.</t>
  </si>
  <si>
    <t xml:space="preserve">tests/receiver.test.ts</t>
  </si>
  <si>
    <t xml:space="preserve">TC-023</t>
  </si>
  <si>
    <t xml:space="preserve">src/install/install.ts</t>
  </si>
  <si>
    <t xml:space="preserve">A command from an uninstalled workspace is refused with guidance</t>
  </si>
  <si>
    <t xml:space="preserve">F-016: a valid Slack signature proves the request came from Slack, NOT that this workspace still has an installation.</t>
  </si>
  <si>
    <t xml:space="preserve">A correctly signed command carrying an unknown team_id.</t>
  </si>
  <si>
    <t xml:space="preserve">Only workspaces with a live installation can create work; the refusal tells the user how to fix it.</t>
  </si>
  <si>
    <t xml:space="preserve">tests/review-pass3.test.ts</t>
  </si>
  <si>
    <t xml:space="preserve">TC-024</t>
  </si>
  <si>
    <t xml:space="preserve">An empty or malformed command returns usage help, not an error</t>
  </si>
  <si>
    <t xml:space="preserve">A user typing /incident with no text should be helped, not shown a failure.</t>
  </si>
  <si>
    <t xml:space="preserve">'/incident declare' with no title; '/incident' with no text at all.</t>
  </si>
  <si>
    <t xml:space="preserve">Malformed input produces guidance and queues no work.</t>
  </si>
  <si>
    <t xml:space="preserve">tests/http.test.ts</t>
  </si>
  <si>
    <t xml:space="preserve">TC-025</t>
  </si>
  <si>
    <t xml:space="preserve">Deferred work</t>
  </si>
  <si>
    <t xml:space="preserve">src/incidents/ack.ts</t>
  </si>
  <si>
    <t xml:space="preserve">The job is persisted BEFORE the user is acknowledged</t>
  </si>
  <si>
    <t xml:space="preserve">PX-004: the ordering is the whole point. If the ack came first, a crash in between would lose work the user believes is running.</t>
  </si>
  <si>
    <t xml:space="preserve">Deferred work is durable before the acknowledgement, so a crash cannot silently lose a declare.</t>
  </si>
  <si>
    <t xml:space="preserve">tests/px/ackDurability.test.ts</t>
  </si>
  <si>
    <t xml:space="preserve">TC-026</t>
  </si>
  <si>
    <t xml:space="preserve">HTTP router</t>
  </si>
  <si>
    <t xml:space="preserve">src/http/router.ts</t>
  </si>
  <si>
    <t xml:space="preserve">An async route called on the sync path refuses instead of returning an empty 202</t>
  </si>
  <si>
    <t xml:space="preserve">CF-007: the previous host collapsed every async route to an empty 202, so dashboards were blank in production and a security test had written the bug down as expected behaviour.</t>
  </si>
  <si>
    <t xml:space="preserve">A mis-served async route reports a programming error loudly rather than discarding the result.</t>
  </si>
  <si>
    <t xml:space="preserve">TC-030</t>
  </si>
  <si>
    <t xml:space="preserve">src/core/lifecycle.ts</t>
  </si>
  <si>
    <t xml:space="preserve">SIGTERM completes a queued declare before the process exits</t>
  </si>
  <si>
    <t xml:space="preserve">PX-004: every blue/green deploy sends SIGTERM. Before v0.37.0 the ack queue was not registered with the lifecycle, so queued declares vanished after the user had been told 'Declaring incident…'.</t>
  </si>
  <si>
    <t xml:space="preserve">A deploy cannot discard work the user has already been acknowledged for.</t>
  </si>
  <si>
    <t xml:space="preserve">TC-031</t>
  </si>
  <si>
    <t xml:space="preserve">src/db/repository.ts</t>
  </si>
  <si>
    <t xml:space="preserve">A runner failure posts a definite failure and creates nothing</t>
  </si>
  <si>
    <t xml:space="preserve">Silence is the worst outcome: the user must never be left watching an hourglass, and a failed declare must not leave a half-made incident.</t>
  </si>
  <si>
    <t xml:space="preserve">Failure is always communicated, never silent, and never leaves partial state.</t>
  </si>
  <si>
    <t xml:space="preserve">TC-032</t>
  </si>
  <si>
    <t xml:space="preserve">A second replica cannot run a job another replica has leased</t>
  </si>
  <si>
    <t xml:space="preserve">Two replicas restore the same pending rows after a deploy; without a lease both would declare the same incident.</t>
  </si>
  <si>
    <t xml:space="preserve">Exactly one replica runs each queued job.</t>
  </si>
  <si>
    <t xml:space="preserve">tests/px/ackDurability.test.ts, tests/px/edges.test.ts</t>
  </si>
  <si>
    <t xml:space="preserve">TC-033</t>
  </si>
  <si>
    <t xml:space="preserve">Deferred work / privacy</t>
  </si>
  <si>
    <t xml:space="preserve">Queued work is treated as tenant data in export and delete</t>
  </si>
  <si>
    <t xml:space="preserve">The queue holds a response_url, which is tenant data. The privacy inventory must cover it — this is the CF-009 class applied to a store created six months later.</t>
  </si>
  <si>
    <t xml:space="preserve">The new store is inside the privacy promise without anyone having to remember to add it.</t>
  </si>
  <si>
    <t xml:space="preserve">TC-040</t>
  </si>
  <si>
    <t xml:space="preserve">Entitlements</t>
  </si>
  <si>
    <t xml:space="preserve">src/app/workflow.ts</t>
  </si>
  <si>
    <t xml:space="preserve">Declaring up to the plan limit succeeds and the shared counter matches</t>
  </si>
  <si>
    <t xml:space="preserve">PX-002 was a BLOCKER: the deployed composition called a method that never incremented usage, so every plan cap was unenforced and the pricing page sold a limit that did not exist.</t>
  </si>
  <si>
    <t xml:space="preserve">Trial plan, limit 25 incidents per cycle.</t>
  </si>
  <si>
    <t xml:space="preserve">The limit the pricing page sells is counted in the shared store on the real write path.</t>
  </si>
  <si>
    <t xml:space="preserve">tests/px/enforcementWiring.test.ts</t>
  </si>
  <si>
    <t xml:space="preserve">TC-041</t>
  </si>
  <si>
    <t xml:space="preserve">src/billing/entitlements.ts</t>
  </si>
  <si>
    <t xml:space="preserve">The declare after the limit is refused and creates nothing</t>
  </si>
  <si>
    <t xml:space="preserve">The negative half of PX-002. Enforcement means refusal, not accounting.</t>
  </si>
  <si>
    <t xml:space="preserve">TC-040 passed.</t>
  </si>
  <si>
    <t xml:space="preserve">The 26th declare on a 25-incident trial plan.</t>
  </si>
  <si>
    <t xml:space="preserve">Over-limit work is refused before any platform side effect, with a message a customer can act on.</t>
  </si>
  <si>
    <t xml:space="preserve">TC-042</t>
  </si>
  <si>
    <t xml:space="preserve">Two replicas sharing one store cannot jointly exceed the cap</t>
  </si>
  <si>
    <t xml:space="preserve">F-035 and PX-002 together: per-process counting lets a two-replica deploy serve twice the allowance.</t>
  </si>
  <si>
    <t xml:space="preserve">Two runtimes over one in-memory data plane; 35 concurrent declares against a cap of 25.</t>
  </si>
  <si>
    <t xml:space="preserve">The cap is a property of the store, not of a process, so blue/green cannot double the allowance.</t>
  </si>
  <si>
    <t xml:space="preserve">TC-043</t>
  </si>
  <si>
    <t xml:space="preserve">src/billing/billing.ts</t>
  </si>
  <si>
    <t xml:space="preserve">A failed payment past the grace period blocks writes but not reads</t>
  </si>
  <si>
    <t xml:space="preserve">F-026: the help centre promises '7-day grace, then read-only — nothing is deleted'. State was maintained correctly and enforced nowhere.</t>
  </si>
  <si>
    <t xml:space="preserve">An account with a failed payment 8 days old.</t>
  </si>
  <si>
    <t xml:space="preserve">The published billing promise is enforced in both directions — blocked on failure, restored on payment.</t>
  </si>
  <si>
    <t xml:space="preserve">tests/entitlements.test.ts</t>
  </si>
  <si>
    <t xml:space="preserve">TC-044</t>
  </si>
  <si>
    <t xml:space="preserve">Pricing bands</t>
  </si>
  <si>
    <t xml:space="preserve">A workspace larger than its band is told which plan covers it</t>
  </si>
  <si>
    <t xml:space="preserve">Decision D-OC8 moved pricing from incident counts to workspace-size bands after the second review showed the saving is 83-99% for the ICP, not the 40-50% the risk register claimed.</t>
  </si>
  <si>
    <t xml:space="preserve">A trial workspace (band 25) reporting 120 engineers.</t>
  </si>
  <si>
    <t xml:space="preserve">Outgrowing a band produces an upgrade prompt naming the covering plan, not a silent failure.</t>
  </si>
  <si>
    <t xml:space="preserve">TC-045</t>
  </si>
  <si>
    <t xml:space="preserve">Billing cycle</t>
  </si>
  <si>
    <t xml:space="preserve">The monthly reset runs once per cycle, not once per tick</t>
  </si>
  <si>
    <t xml:space="preserve">PX-006 applied to billing: a job that runs on every scheduler tick would reset a customer's usage several times a day and give away the plan.</t>
  </si>
  <si>
    <t xml:space="preserve">A clock advanced by 5 ticks within a day, then by a full 30-day cycle.</t>
  </si>
  <si>
    <t xml:space="preserve">Usage resets exactly once per billing cycle per account.</t>
  </si>
  <si>
    <t xml:space="preserve">TC-046</t>
  </si>
  <si>
    <t xml:space="preserve">Pricing documentation</t>
  </si>
  <si>
    <t xml:space="preserve">src/billing/pricingDoc.ts</t>
  </si>
  <si>
    <t xml:space="preserve">The published pricing page matches the billing engine</t>
  </si>
  <si>
    <t xml:space="preserve">GAP-5: hand-written prices drift from the engine that charges. The doc is generated and a gate test fails the build on drift.</t>
  </si>
  <si>
    <t xml:space="preserve">The published price matrix cannot drift from the engine that enforces it.</t>
  </si>
  <si>
    <t xml:space="preserve">tests/pricingDoc.test.ts</t>
  </si>
  <si>
    <t xml:space="preserve">TC-047</t>
  </si>
  <si>
    <t xml:space="preserve">docs/PRICING_FAQ.md</t>
  </si>
  <si>
    <t xml:space="preserve">Changing a price in code without the document fails the gate</t>
  </si>
  <si>
    <t xml:space="preserve">Proves the drift gate is real rather than decorative.</t>
  </si>
  <si>
    <t xml:space="preserve">TC-046 passed.</t>
  </si>
  <si>
    <t xml:space="preserve">A deliberate, temporary price change.</t>
  </si>
  <si>
    <t xml:space="preserve">A price change that does not update the published page breaks the build.</t>
  </si>
  <si>
    <t xml:space="preserve">TC-050</t>
  </si>
  <si>
    <t xml:space="preserve">Incident engine</t>
  </si>
  <si>
    <t xml:space="preserve">src/incidents/declare.ts</t>
  </si>
  <si>
    <t xml:space="preserve">Happy path: declare, mitigate, resolve</t>
  </si>
  <si>
    <t xml:space="preserve">The core product loop. Each transition must be legal, audited and persisted.</t>
  </si>
  <si>
    <t xml:space="preserve">SEV2 incident, role owner.</t>
  </si>
  <si>
    <t xml:space="preserve">A complete incident lifecycle is executed, persisted, audited and measured.</t>
  </si>
  <si>
    <t xml:space="preserve">tests/workflow.test.ts, tests/dispositions.test.ts</t>
  </si>
  <si>
    <t xml:space="preserve">TC-051</t>
  </si>
  <si>
    <t xml:space="preserve">An illegal transition is refused, not silently applied</t>
  </si>
  <si>
    <t xml:space="preserve">F-005 disposition Option A: an explicit transition map, so a resolved incident cannot be 'mitigated' back into an earlier state.</t>
  </si>
  <si>
    <t xml:space="preserve">TC-050 passed.</t>
  </si>
  <si>
    <t xml:space="preserve">A resolved incident.</t>
  </si>
  <si>
    <t xml:space="preserve">Illegal state changes are refused with a reason the user can read.</t>
  </si>
  <si>
    <t xml:space="preserve">tests/dispositions.test.ts, tests/px/edges.test.ts</t>
  </si>
  <si>
    <t xml:space="preserve">TC-052</t>
  </si>
  <si>
    <t xml:space="preserve">Reopening keeps the first resolution time so MTTR stays truthful</t>
  </si>
  <si>
    <t xml:space="preserve">F-005: an incident could be resolved twice, overwriting resolvedAt, so the headline reliability metric drifted silently.</t>
  </si>
  <si>
    <t xml:space="preserve">An incident resolved, reopened, then resolved again.</t>
  </si>
  <si>
    <t xml:space="preserve">MTTR cannot be improved by reopening and re-resolving an incident.</t>
  </si>
  <si>
    <t xml:space="preserve">tests/dispositions.test.ts</t>
  </si>
  <si>
    <t xml:space="preserve">TC-060</t>
  </si>
  <si>
    <t xml:space="preserve">Tenancy</t>
  </si>
  <si>
    <t xml:space="preserve">src/core/tenancy.ts</t>
  </si>
  <si>
    <t xml:space="preserve">A session for one workspace cannot read another workspace's incidents</t>
  </si>
  <si>
    <t xml:space="preserve">F-014 was CRITICAL: one service instance served every workspace, so workspace B could read workspace A's incidents and their ids collided.</t>
  </si>
  <si>
    <t xml:space="preserve">Attacker session on T-attacker; victim data on T-victim.</t>
  </si>
  <si>
    <t xml:space="preserve">Tenant isolation holds on the request path, not merely in the data model.</t>
  </si>
  <si>
    <t xml:space="preserve">TC-061</t>
  </si>
  <si>
    <t xml:space="preserve">Authorisation</t>
  </si>
  <si>
    <t xml:space="preserve">src/core/roles.ts</t>
  </si>
  <si>
    <t xml:space="preserve">A member cannot reach owner-only routes</t>
  </si>
  <si>
    <t xml:space="preserve">The role matrix must be enforced per request, not assumed from the session.</t>
  </si>
  <si>
    <t xml:space="preserve">A valid session whose resolved role is member.</t>
  </si>
  <si>
    <t xml:space="preserve">Every privileged route re-checks the caller's role at request time.</t>
  </si>
  <si>
    <t xml:space="preserve">tests/adminApi.test.ts, tests/roles.test.ts</t>
  </si>
  <si>
    <t xml:space="preserve">TC-062</t>
  </si>
  <si>
    <t xml:space="preserve">Input handling</t>
  </si>
  <si>
    <t xml:space="preserve">Malformed input returns 400, never 500</t>
  </si>
  <si>
    <t xml:space="preserve">F-039, found by our own adversarial suite: a malformed body answered 500, and the error-spike detector pages on 500s — so junk input could have raised an incident about our own parser.</t>
  </si>
  <si>
    <t xml:space="preserve">Junk text; valid JSON that is not an object.</t>
  </si>
  <si>
    <t xml:space="preserve">Malformed input is a client error and never pages an engineer.</t>
  </si>
  <si>
    <t xml:space="preserve">TC-063</t>
  </si>
  <si>
    <t xml:space="preserve">OAuth</t>
  </si>
  <si>
    <t xml:space="preserve">src/http/oauthState.ts</t>
  </si>
  <si>
    <t xml:space="preserve">The OAuth callback refuses a missing, forged or replayed state</t>
  </si>
  <si>
    <t xml:space="preserve">F-015 was CRITICAL: the callback accepted any code with no state, making the install flow CSRF-able.</t>
  </si>
  <si>
    <t xml:space="preserve">A callback with no state; a tampered state; a state used twice.</t>
  </si>
  <si>
    <t xml:space="preserve">An install can only be completed by a browser that started it, once.</t>
  </si>
  <si>
    <t xml:space="preserve">TC-064</t>
  </si>
  <si>
    <t xml:space="preserve">OAuth / session</t>
  </si>
  <si>
    <t xml:space="preserve">src/http/session.ts</t>
  </si>
  <si>
    <t xml:space="preserve">A completed install issues a working, tenant-bound session cookie</t>
  </si>
  <si>
    <t xml:space="preserve">CF-006 was a BLOCKER: every guarded /api/* route answered 401 to everyone because the deployed runtime resolved sessions to undefined.</t>
  </si>
  <si>
    <t xml:space="preserve">A valid state and an installing_user.</t>
  </si>
  <si>
    <t xml:space="preserve">Completing OAuth leaves the installer signed in to the workspace they just installed.</t>
  </si>
  <si>
    <t xml:space="preserve">tests/px/identityAndWindows.test.ts, tests/session.test.ts</t>
  </si>
  <si>
    <t xml:space="preserve">TC-070</t>
  </si>
  <si>
    <t xml:space="preserve">Session revocation</t>
  </si>
  <si>
    <t xml:space="preserve">Uninstalling revokes every outstanding dashboard session immediately</t>
  </si>
  <si>
    <t xml:space="preserve">PX-010: the token was stateless with a 12-hour TTL and no revocation, so uninstall, role removal, cancellation and tenant deletion all left a valid cookie working for up to half a day.</t>
  </si>
  <si>
    <t xml:space="preserve">A valid session cookie issued before the uninstall.</t>
  </si>
  <si>
    <t xml:space="preserve">Four separate lifecycle events each revoke outstanding sessions at once, with no new store.</t>
  </si>
  <si>
    <t xml:space="preserve">TC-071</t>
  </si>
  <si>
    <t xml:space="preserve">A token without an install-epoch claim is refused</t>
  </si>
  <si>
    <t xml:space="preserve">Backwards compatibility must not become a bypass: a token minted before the claim existed cannot be trusted.</t>
  </si>
  <si>
    <t xml:space="preserve">TC-070 passed.</t>
  </si>
  <si>
    <t xml:space="preserve">A legacy token body with a valid signature but no epoch claim.</t>
  </si>
  <si>
    <t xml:space="preserve">Only a token carrying the workspace's current epoch resolves to a session.</t>
  </si>
  <si>
    <t xml:space="preserve">TC-072</t>
  </si>
  <si>
    <t xml:space="preserve">CSRF</t>
  </si>
  <si>
    <t xml:space="preserve">A mutating request without the CSRF header is refused</t>
  </si>
  <si>
    <t xml:space="preserve">The cookie alone would otherwise authorise a cross-site POST.</t>
  </si>
  <si>
    <t xml:space="preserve">A valid session cookie with no x-oncall-csrf header, then a wrong one.</t>
  </si>
  <si>
    <t xml:space="preserve">Double-submit CSRF is enforced on every mutating request.</t>
  </si>
  <si>
    <t xml:space="preserve">tests/session.test.ts</t>
  </si>
  <si>
    <t xml:space="preserve">TC-080</t>
  </si>
  <si>
    <t xml:space="preserve">Key rotation</t>
  </si>
  <si>
    <t xml:space="preserve">A token written under key k1 is readable and re-writable under k2</t>
  </si>
  <si>
    <t xml:space="preserve">PX-005: rotation was a promise with no possible caller — the composition created exactly one key, forever, while the trust page advertised rotation.</t>
  </si>
  <si>
    <t xml:space="preserve">Two keys: k1 (original) and k2 (new current).</t>
  </si>
  <si>
    <t xml:space="preserve">Key rotation is executable end to end and the data remains readable throughout.</t>
  </si>
  <si>
    <t xml:space="preserve">TC-081</t>
  </si>
  <si>
    <t xml:space="preserve">src/http/adminApi.ts</t>
  </si>
  <si>
    <t xml:space="preserve">Rotation is idempotent and operator-only</t>
  </si>
  <si>
    <t xml:space="preserve">A resumable job must be safe to run twice, and it must not be triggerable by a workspace user.</t>
  </si>
  <si>
    <t xml:space="preserve">TC-080 passed.</t>
  </si>
  <si>
    <t xml:space="preserve">The same rotation run a second time; the route called without a token.</t>
  </si>
  <si>
    <t xml:space="preserve">Rotation can be retried safely, is operator-gated, and is honest when unavailable.</t>
  </si>
  <si>
    <t xml:space="preserve">tests/px/identityAndWindows.test.ts, tests/px/edges.test.ts</t>
  </si>
  <si>
    <t xml:space="preserve">TC-090</t>
  </si>
  <si>
    <t xml:space="preserve">Scheduler</t>
  </si>
  <si>
    <t xml:space="preserve">src/scheduler/scheduler.ts</t>
  </si>
  <si>
    <t xml:space="preserve">Five deploys in a day must not run the daily sweep five times</t>
  </si>
  <si>
    <t xml:space="preserve">PX-006: lastRun was process-local and reset to zero on every boot, and the 5-minute lease was far shorter than the 24-hour interval, so a team deploying five times a day ran the 'daily' retention sweep five times.</t>
  </si>
  <si>
    <t xml:space="preserve">A shared lease store; six scheduler instances simulating restarts.</t>
  </si>
  <si>
    <t xml:space="preserve">Job frequency is a property of the shared store, so restarts cannot multiply a scheduled job.</t>
  </si>
  <si>
    <t xml:space="preserve">tests/px/leaseFrequency.test.ts</t>
  </si>
  <si>
    <t xml:space="preserve">TC-091</t>
  </si>
  <si>
    <t xml:space="preserve">A second replica inside the interval is refused and records the skip</t>
  </si>
  <si>
    <t xml:space="preserve">F-034: every replica ran every scheduled job, producing double weekly emails and concurrent retention sweeps.</t>
  </si>
  <si>
    <t xml:space="preserve">TC-090 passed.</t>
  </si>
  <si>
    <t xml:space="preserve">Two replicas, one lease store, a tick six minutes apart.</t>
  </si>
  <si>
    <t xml:space="preserve">Concurrency and frequency are both enforced, and skips are observable.</t>
  </si>
  <si>
    <t xml:space="preserve">tests/px/leaseFrequency.test.ts, tests/multiReplica.test.ts</t>
  </si>
  <si>
    <t xml:space="preserve">TC-092</t>
  </si>
  <si>
    <t xml:space="preserve">src/composition/runtime.ts</t>
  </si>
  <si>
    <t xml:space="preserve">The retention sweep purges a tenant and evicts its in-process state</t>
  </si>
  <si>
    <t xml:space="preserve">F-009 plus the reviewer's third question: the derived inventory is complete over the data plane, so in-process holders must be evicted too.</t>
  </si>
  <si>
    <t xml:space="preserve">An uninstalled workspace, 31 days later.</t>
  </si>
  <si>
    <t xml:space="preserve">Deletion removes the tenant from storage and from the running process.</t>
  </si>
  <si>
    <t xml:space="preserve">TC-100</t>
  </si>
  <si>
    <t xml:space="preserve">Replay window</t>
  </si>
  <si>
    <t xml:space="preserve">A Slack retry after a restart is still recognised as a duplicate</t>
  </si>
  <si>
    <t xml:space="preserve">F-031 then PX-011: the ledger was restored by ROW COUNT, globally across workspaces, so one busy workspace could evict another's event ids and a Slack retry would be processed as new — creating duplicate incident channels.</t>
  </si>
  <si>
    <t xml:space="preserve">An event seen before a restart, retried after it.</t>
  </si>
  <si>
    <t xml:space="preserve">Slack's documented retries are deduplicated across a deploy, per workspace and by time.</t>
  </si>
  <si>
    <t xml:space="preserve">TC-101</t>
  </si>
  <si>
    <t xml:space="preserve">A duplicate event id inside one process is ignored</t>
  </si>
  <si>
    <t xml:space="preserve">The in-process half of the same guarantee, including the bounded FIFO ledger from F-003.</t>
  </si>
  <si>
    <t xml:space="preserve">The same event_id delivered twice.</t>
  </si>
  <si>
    <t xml:space="preserve">Duplicate deliveries are absorbed and the ledger cannot exhaust memory.</t>
  </si>
  <si>
    <t xml:space="preserve">TC-110</t>
  </si>
  <si>
    <t xml:space="preserve">Data rights</t>
  </si>
  <si>
    <t xml:space="preserve">src/compliance/compliance.ts</t>
  </si>
  <si>
    <t xml:space="preserve">Export covers every tenant store and states its one exemption</t>
  </si>
  <si>
    <t xml:space="preserve">CF-008 was a BLOCKER: the deployed runtime handed the export and delete rights an empty Map, so both reported success while covering none of the customer's data.</t>
  </si>
  <si>
    <t xml:space="preserve">A seeded workspace with data in every store.</t>
  </si>
  <si>
    <t xml:space="preserve">The export promise is derived from the data plane, so a new store cannot be forgotten.</t>
  </si>
  <si>
    <t xml:space="preserve">tests/composition.test.ts</t>
  </si>
  <si>
    <t xml:space="preserve">TC-111</t>
  </si>
  <si>
    <t xml:space="preserve">Delete removes the tenant from every store and leaves the neighbour intact</t>
  </si>
  <si>
    <t xml:space="preserve">The delete half of the same promise: 'deleted' must mean a second delete finds nothing.</t>
  </si>
  <si>
    <t xml:space="preserve">TC-110 passed.</t>
  </si>
  <si>
    <t xml:space="preserve">Two tenants with data.</t>
  </si>
  <si>
    <t xml:space="preserve">Deletion is complete, verifiable and tenant-scoped.</t>
  </si>
  <si>
    <t xml:space="preserve">TC-120</t>
  </si>
  <si>
    <t xml:space="preserve">Paging</t>
  </si>
  <si>
    <t xml:space="preserve">src/core/config.ts</t>
  </si>
  <si>
    <t xml:space="preserve">All five paging targets are accepted by configuration</t>
  </si>
  <si>
    <t xml:space="preserve">PX-007: the provider union could express only two values, so decision D-OC7's four targets would have forced a type change at the start of S41.</t>
  </si>
  <si>
    <t xml:space="preserve">PAGING_PROVIDER set to each of pagerduty, opsgenie, jsm, compass, webhook.</t>
  </si>
  <si>
    <t xml:space="preserve">The configured paging target is validated at boot and carried into the runtime.</t>
  </si>
  <si>
    <t xml:space="preserve">tests/px/identityAndWindows.test.ts, tests/config.test.ts</t>
  </si>
  <si>
    <t xml:space="preserve">TC-121</t>
  </si>
  <si>
    <t xml:space="preserve">The provider name in the audit trail matches the adapter actually wired</t>
  </si>
  <si>
    <t xml:space="preserve">PX-008: the workflow was handed the literal 'pagerduty' while the constructed adapter was a throwing stub, so every audit entry, telemetry event and degradation message would have named the wrong provider.</t>
  </si>
  <si>
    <t xml:space="preserve">TC-120 passed.</t>
  </si>
  <si>
    <t xml:space="preserve">A runtime configured with compass.</t>
  </si>
  <si>
    <t xml:space="preserve">Provider identity is derived from the constructed adapter, so operational messages cannot lie.</t>
  </si>
  <si>
    <t xml:space="preserve">TC-130</t>
  </si>
  <si>
    <t xml:space="preserve">Async boundary</t>
  </si>
  <si>
    <t xml:space="preserve">tests/px/asyncBoundary.test.ts</t>
  </si>
  <si>
    <t xml:space="preserve">Every platform contract is asynchronous, proven two ways</t>
  </si>
  <si>
    <t xml:space="preserve">PX-001 was a BLOCKER: every platform interface returned a value rather than a Promise, so only a stub could implement it — a 100% coverage gate over an all-synchronous core proves the core agrees with its own fakes.</t>
  </si>
  <si>
    <t xml:space="preserve">The asynchronous boundary is enforced at the type level and at runtime, so it cannot silently regress.</t>
  </si>
  <si>
    <t xml:space="preserve">TC-131</t>
  </si>
  <si>
    <t xml:space="preserve">src/paging/paging.ts</t>
  </si>
  <si>
    <t xml:space="preserve">Making a platform method synchronous again must fail the gate</t>
  </si>
  <si>
    <t xml:space="preserve">The value of the gate is that it fails. Prove it by reintroducing the exact shape the review found.</t>
  </si>
  <si>
    <t xml:space="preserve">TC-130 passed.</t>
  </si>
  <si>
    <t xml:space="preserve">A deliberate, temporary edit.</t>
  </si>
  <si>
    <t xml:space="preserve">A regression to a synchronous platform contract breaks the build immediately.</t>
  </si>
  <si>
    <t xml:space="preserve">TC-132</t>
  </si>
  <si>
    <t xml:space="preserve">A floating promise anywhere in src or scripts must fail the gate</t>
  </si>
  <si>
    <t xml:space="preserve">Fire-and-forget inside a synchronous function is exactly how CF-007 (async responses discarded as an empty 202) happened; under deadline pressure it is the tempting shortcut.</t>
  </si>
  <si>
    <t xml:space="preserve">Unawaited asynchronous work is a build failure unless it is explicitly and visibly intentional.</t>
  </si>
  <si>
    <t xml:space="preserve">TC-133</t>
  </si>
  <si>
    <t xml:space="preserve">Degradation</t>
  </si>
  <si>
    <t xml:space="preserve">src/core/degradation.ts</t>
  </si>
  <si>
    <t xml:space="preserve">A hung platform call degrades with user comms instead of hanging</t>
  </si>
  <si>
    <t xml:space="preserve">Once the boundary became asynchronous, one hung HTTP call could block every queued declare behind it. Every platform call therefore runs under a budget.</t>
  </si>
  <si>
    <t xml:space="preserve">A platform call that takes 200 ms against a 20 ms budget.</t>
  </si>
  <si>
    <t xml:space="preserve">A slow or dead platform degrades into a clear message and never blocks the queue.</t>
  </si>
  <si>
    <t xml:space="preserve">tests/px/identityAndWindows.test.ts, tests/degradation.test.ts</t>
  </si>
  <si>
    <t xml:space="preserve">TC-140</t>
  </si>
  <si>
    <t xml:space="preserve">Database</t>
  </si>
  <si>
    <t xml:space="preserve">src/db/schema.ts</t>
  </si>
  <si>
    <t xml:space="preserve">Fourteen ordered migrations print and apply cleanly</t>
  </si>
  <si>
    <t xml:space="preserve">GAP-2: the backup drill and retention sweep once referenced a schema that did not exist anywhere.</t>
  </si>
  <si>
    <t xml:space="preserve">TC-001 passed. A local PostgreSQL is optional for the first three steps.</t>
  </si>
  <si>
    <t xml:space="preserve">The schema is real, ordered, complete and applies to a genuine PostgreSQL.</t>
  </si>
  <si>
    <t xml:space="preserve">Yes — now (psql steps need a local Postgres)</t>
  </si>
  <si>
    <t xml:space="preserve">tests/pgReal.integration.test.ts, tests/px/pgStores.integration.test.ts</t>
  </si>
  <si>
    <t xml:space="preserve">TC-141</t>
  </si>
  <si>
    <t xml:space="preserve">An incident for a workspace that was never installed is rejected by the foreign key</t>
  </si>
  <si>
    <t xml:space="preserve">F-036 was CRITICAL and invisible to every fake: installations were never persisted, so in production every incident insert would have failed its foreign key — silently, because failed sink rows are retained.</t>
  </si>
  <si>
    <t xml:space="preserve">A local PostgreSQL, or pg-mem via the standard suite.</t>
  </si>
  <si>
    <t xml:space="preserve">An incident row whose team has no installation.</t>
  </si>
  <si>
    <t xml:space="preserve">Referential integrity is enforced by the database and proven against a real engine.</t>
  </si>
  <si>
    <t xml:space="preserve">tests/pgAdapters.integration.test.ts, tests/pgReal.integration.test.ts</t>
  </si>
  <si>
    <t xml:space="preserve">TC-142</t>
  </si>
  <si>
    <t xml:space="preserve">A stale in-process view cannot roll the shared usage counter backwards</t>
  </si>
  <si>
    <t xml:space="preserve">The atomic meter owns usage; an ordinary upsert from a replica holding an older view must not undo a claim another replica made.</t>
  </si>
  <si>
    <t xml:space="preserve">Two claims, then an upsert carrying usage 0.</t>
  </si>
  <si>
    <t xml:space="preserve">Concurrent writers cannot corrupt the billing counter in either direction.</t>
  </si>
  <si>
    <t xml:space="preserve">tests/px/pgStores.integration.test.ts</t>
  </si>
  <si>
    <t xml:space="preserve">TC-145</t>
  </si>
  <si>
    <t xml:space="preserve">Release readiness</t>
  </si>
  <si>
    <t xml:space="preserve">scripts/submission-check.ts</t>
  </si>
  <si>
    <t xml:space="preserve">The submission dry-run reports automated checks and names the human ones</t>
  </si>
  <si>
    <t xml:space="preserve">Makes 'are we ready to submit?' answerable with evidence instead of opinion.</t>
  </si>
  <si>
    <t xml:space="preserve">TC-003 passed (a coverage summary must exist).</t>
  </si>
  <si>
    <t xml:space="preserve">Submission readiness is machine-checked where possible and honest about the rest.</t>
  </si>
  <si>
    <t xml:space="preserve">tests/submissionCheck.test.ts</t>
  </si>
  <si>
    <t xml:space="preserve">TC-146</t>
  </si>
  <si>
    <t xml:space="preserve">Performance</t>
  </si>
  <si>
    <t xml:space="preserve">scripts/loadrun.ts</t>
  </si>
  <si>
    <t xml:space="preserve">Load run drives the real router through the async boundary within budget</t>
  </si>
  <si>
    <t xml:space="preserve">ST-088: p95 is measured rather than budgeted — with the limit stated (mocked adapters, so it proves our code is not the bottleneck and nothing about network latency).</t>
  </si>
  <si>
    <t xml:space="preserve">RATE=10, SECONDS=30 (the defaults) = 5x the launch estimate.</t>
  </si>
  <si>
    <t xml:space="preserve">Throughput at 5x the launch estimate stays inside every latency budget with zero errors.</t>
  </si>
  <si>
    <t xml:space="preserve">CI loadtest step</t>
  </si>
  <si>
    <t xml:space="preserve">TC-147</t>
  </si>
  <si>
    <t xml:space="preserve">scripts/live-sweep.ts</t>
  </si>
  <si>
    <t xml:space="preserve">The 12-step live sweep passes in dry-run mode</t>
  </si>
  <si>
    <t xml:space="preserve">The sweep is the script that will verify a real workspace. Dry run proves the runner, ordering, failure handling and reporting work before any credential exists.</t>
  </si>
  <si>
    <t xml:space="preserve">--dry-run.</t>
  </si>
  <si>
    <t xml:space="preserve">The live verification harness is proven ready for the day credentials arrive.</t>
  </si>
  <si>
    <t xml:space="preserve">tests/sweep.test.ts</t>
  </si>
  <si>
    <t xml:space="preserve">TC-150</t>
  </si>
  <si>
    <t xml:space="preserve">v039 (pending)</t>
  </si>
  <si>
    <t xml:space="preserve">Live Slack</t>
  </si>
  <si>
    <t xml:space="preserve">BLOCKED: install the app in a real Slack workspace and complete the 12-step sweep</t>
  </si>
  <si>
    <t xml:space="preserve">The single highest-value verification in the plan. It flips three amber boxes to green and makes 23 stories user-reachable.</t>
  </si>
  <si>
    <t xml:space="preserve">A Slack workspace, an app registration, a signing secret and a public HTTPS callback URL (SC-06).</t>
  </si>
  <si>
    <t xml:space="preserve">Real workspace credentials.</t>
  </si>
  <si>
    <t xml:space="preserve">A real engineer can declare a real incident end to end.</t>
  </si>
  <si>
    <t xml:space="preserve">NO — blocked on SC-06 (Slack workspace + signing secret)</t>
  </si>
  <si>
    <t xml:space="preserve">None — this is the live evidence that no test can replace</t>
  </si>
  <si>
    <t xml:space="preserve">TC-151</t>
  </si>
  <si>
    <t xml:space="preserve">BLOCKED: Slack rate limits and retries are handled under real conditions</t>
  </si>
  <si>
    <t xml:space="preserve">Slack's documented tier limits and Retry-After behaviour can only be verified against the real API; our budgets and backoff are currently unproven against it.</t>
  </si>
  <si>
    <t xml:space="preserve">TC-150 passed.</t>
  </si>
  <si>
    <t xml:space="preserve">A burst that exceeds a Slack tier limit.</t>
  </si>
  <si>
    <t xml:space="preserve">Real rate limiting degrades gracefully and never duplicates an incident.</t>
  </si>
  <si>
    <t xml:space="preserve">NO — blocked on SC-06</t>
  </si>
  <si>
    <t xml:space="preserve">Partially: tests/degradation.test.ts covers the breaker, not Slack's real limits</t>
  </si>
  <si>
    <t xml:space="preserve">TC-152</t>
  </si>
  <si>
    <t xml:space="preserve">v040 (pending)</t>
  </si>
  <si>
    <t xml:space="preserve">Live billing</t>
  </si>
  <si>
    <t xml:space="preserve">BLOCKED: a real Stripe test charge produces an invoice and an active subscription</t>
  </si>
  <si>
    <t xml:space="preserve">CF-010: the payment provider is a fake that approves everything, and the boot gate refuses it in production.</t>
  </si>
  <si>
    <t xml:space="preserve">Stripe test-mode keys (SC-07).</t>
  </si>
  <si>
    <t xml:space="preserve">A Stripe test card.</t>
  </si>
  <si>
    <t xml:space="preserve">A customer can actually pay, and a duplicate webhook cannot charge them twice.</t>
  </si>
  <si>
    <t xml:space="preserve">NO — blocked on SC-07 (Stripe keys)</t>
  </si>
  <si>
    <t xml:space="preserve">None</t>
  </si>
  <si>
    <t xml:space="preserve">TC-153</t>
  </si>
  <si>
    <t xml:space="preserve">BLOCKED: a real failed payment drives the account to read-only, and paying restores it</t>
  </si>
  <si>
    <t xml:space="preserve">The enforcement is already built and unit-tested; what is unproven is the real dunning path from Stripe's events.</t>
  </si>
  <si>
    <t xml:space="preserve">TC-152 passed.</t>
  </si>
  <si>
    <t xml:space="preserve">A Stripe test card that always fails.</t>
  </si>
  <si>
    <t xml:space="preserve">The published billing promise holds against the real payment processor.</t>
  </si>
  <si>
    <t xml:space="preserve">NO — blocked on SC-07</t>
  </si>
  <si>
    <t xml:space="preserve">tests/entitlements.test.ts covers the enforcement, not the Stripe events</t>
  </si>
  <si>
    <t xml:space="preserve">TC-154</t>
  </si>
  <si>
    <t xml:space="preserve">v041 (pending)</t>
  </si>
  <si>
    <t xml:space="preserve">Migration wedge</t>
  </si>
  <si>
    <t xml:space="preserve">BLOCKED: import a real Opsgenie export and produce a diff report</t>
  </si>
  <si>
    <t xml:space="preserve">The sharpest commercial asset in the plan, with an expiry date: Atlassian ends Opsgenie support on 5 April 2027.</t>
  </si>
  <si>
    <t xml:space="preserve">Decision D-OC7 ratified and one anonymised Opsgenie export.</t>
  </si>
  <si>
    <t xml:space="preserve">A representative export with schedules, escalation policies and teams.</t>
  </si>
  <si>
    <t xml:space="preserve">An Opsgenie customer can migrate without hand-rebuilding their rotations.</t>
  </si>
  <si>
    <t xml:space="preserve">NO — blocked on D-OC7 and a sample export</t>
  </si>
  <si>
    <t xml:space="preserve">None — not built</t>
  </si>
  <si>
    <t xml:space="preserve">TC-155</t>
  </si>
  <si>
    <t xml:space="preserve">v044 (pending)</t>
  </si>
  <si>
    <t xml:space="preserve">Enterprise identity</t>
  </si>
  <si>
    <t xml:space="preserve">BLOCKED: sign in through a real identity provider (SAML and OIDC)</t>
  </si>
  <si>
    <t xml:space="preserve">CF-016: there is no enterprise identity layer. The session bridge is deliberately not marketed as SSO.</t>
  </si>
  <si>
    <t xml:space="preserve">A test IdP (Okta or Auth0 developer tier).</t>
  </si>
  <si>
    <t xml:space="preserve">A test directory with users and groups.</t>
  </si>
  <si>
    <t xml:space="preserve">An enterprise buyer can manage access through their own directory.</t>
  </si>
  <si>
    <t xml:space="preserve">NO — blocked on an IdP and the S43 build</t>
  </si>
  <si>
    <t xml:space="preserve">TC-156</t>
  </si>
  <si>
    <t xml:space="preserve">Key management</t>
  </si>
  <si>
    <t xml:space="preserve">BLOCKED: rotate keys with a managed KMS rather than environment variables</t>
  </si>
  <si>
    <t xml:space="preserve">PX-005 shipped the rotation PATH; the key source is still environment variables, which the boot gate refuses in production by name.</t>
  </si>
  <si>
    <t xml:space="preserve">A cloud KMS and credentials.</t>
  </si>
  <si>
    <t xml:space="preserve">Two KMS key versions.</t>
  </si>
  <si>
    <t xml:space="preserve">Key material never lives in an environment variable in production.</t>
  </si>
  <si>
    <t xml:space="preserve">NO — blocked on a cloud KMS</t>
  </si>
  <si>
    <t xml:space="preserve">tests/px/identityAndWindows.test.ts proves the rotation path, not the KMS</t>
  </si>
  <si>
    <t xml:space="preserve">TC-157</t>
  </si>
  <si>
    <t xml:space="preserve">v038 (pending)</t>
  </si>
  <si>
    <t xml:space="preserve">Deployment</t>
  </si>
  <si>
    <t xml:space="preserve">BLOCKED: kill one of two live replicas mid-declare and lose nothing</t>
  </si>
  <si>
    <t xml:space="preserve">The code is proven against a real PostgreSQL and in a two-runtime test, but a real blue/green deploy has never been performed.</t>
  </si>
  <si>
    <t xml:space="preserve">A staging environment with two replicas behind a load balancer and one managed Postgres.</t>
  </si>
  <si>
    <t xml:space="preserve">A sustained declare load during the deploy.</t>
  </si>
  <si>
    <t xml:space="preserve">A production deploy under load loses no work and corrupts no ids.</t>
  </si>
  <si>
    <t xml:space="preserve">NO — blocked on a deploy topology</t>
  </si>
  <si>
    <t xml:space="preserve">tests/px/ackDurability.test.ts and tests/multiReplica.test.ts prove the code, not the topology</t>
  </si>
  <si>
    <t xml:space="preserve">TC-158</t>
  </si>
  <si>
    <t xml:space="preserve">v043 (pending)</t>
  </si>
  <si>
    <t xml:space="preserve">BLOCKED: measure p95 on a real staging URL, including network and database latency</t>
  </si>
  <si>
    <t xml:space="preserve">The current load figure is explicitly limited: it excludes network, database and Slack latency, and says so wherever it is recorded.</t>
  </si>
  <si>
    <t xml:space="preserve">A staging deployment with a public URL.</t>
  </si>
  <si>
    <t xml:space="preserve">The k6 script in loadtest/.</t>
  </si>
  <si>
    <t xml:space="preserve">The published latency claim is backed by an end-to-end measurement.</t>
  </si>
  <si>
    <t xml:space="preserve">NO — blocked on a staging URL</t>
  </si>
  <si>
    <t xml:space="preserve">npm run loadtest measures in-process only</t>
  </si>
  <si>
    <t xml:space="preserve">TC-159</t>
  </si>
  <si>
    <t xml:space="preserve">Disaster recovery</t>
  </si>
  <si>
    <t xml:space="preserve">BLOCKED: restore from backup and prove row-count parity</t>
  </si>
  <si>
    <t xml:space="preserve">scripts/backup-restore-drill.sh exists and is scripted, but it has never been executed against a real database.</t>
  </si>
  <si>
    <t xml:space="preserve">A staging Postgres with a backup.</t>
  </si>
  <si>
    <t xml:space="preserve">A full backup taken during load.</t>
  </si>
  <si>
    <t xml:space="preserve">The product can be restored from backup with no data loss and correct id continuity.</t>
  </si>
  <si>
    <t xml:space="preserve">NO — blocked on staging infrastructure</t>
  </si>
  <si>
    <t xml:space="preserve">None — the drill is scripted but unrun</t>
  </si>
  <si>
    <t xml:space="preserve">TC-160</t>
  </si>
  <si>
    <t xml:space="preserve">v050 (pending)</t>
  </si>
  <si>
    <t xml:space="preserve">Accessibility</t>
  </si>
  <si>
    <t xml:space="preserve">BLOCKED: screen-reader pass over the rendered Slack surfaces</t>
  </si>
  <si>
    <t xml:space="preserve">jest-axe passes on static shells and every view is validated against Slack's limits, but no human has used the product with a screen reader.</t>
  </si>
  <si>
    <t xml:space="preserve">The app installed in a real workspace (TC-150).</t>
  </si>
  <si>
    <t xml:space="preserve">VoiceOver or NVDA.</t>
  </si>
  <si>
    <t xml:space="preserve">The Slack surfaces are usable without sight.</t>
  </si>
  <si>
    <t xml:space="preserve">NO — blocked on SC-06 and a human tester</t>
  </si>
  <si>
    <t xml:space="preserve">jest-axe covers the static shells only</t>
  </si>
  <si>
    <t xml:space="preserve">Test Steps</t>
  </si>
  <si>
    <t xml:space="preserve">HOW TO USE THIS SHEET: Execute top to bottom within a Test case id. Stop at the first step whose expected result does not occur, record that step number on Test_Execution_Log, and do not continue the case — later steps assume the earlier ones succeeded. Look the case up on Manual_Test_Cases for its preconditions and data first.</t>
  </si>
  <si>
    <t xml:space="preserve">Step #</t>
  </si>
  <si>
    <t xml:space="preserve">Action — exactly what to do</t>
  </si>
  <si>
    <t xml:space="preserve">Expected result at this step</t>
  </si>
  <si>
    <t xml:space="preserve">Actual (fill in)</t>
  </si>
  <si>
    <t xml:space="preserve">Pass/Fail</t>
  </si>
  <si>
    <t xml:space="preserve">Unpack oncall-copilot-v037-codebase.zip and cd into repo/</t>
  </si>
  <si>
    <t xml:space="preserve">The folder contains package.json, src/, scripts/, tests/, docs/ and audit.mjs.</t>
  </si>
  <si>
    <t xml:space="preserve">Run: npm ci</t>
  </si>
  <si>
    <t xml:space="preserve">Completes with no errors; pg is installed as a runtime dependency, not a dev dependency.</t>
  </si>
  <si>
    <t xml:space="preserve">Run: npm run build</t>
  </si>
  <si>
    <t xml:space="preserve">Exits 0 and prints nothing. dist/scripts/serve.js and dist/src/** now exist.</t>
  </si>
  <si>
    <t xml:space="preserve">Run: npm run typecheck:all</t>
  </si>
  <si>
    <t xml:space="preserve">Exits 0 — tests and the load harness type-check as well as src and scripts.</t>
  </si>
  <si>
    <t xml:space="preserve">Run: ls dist/scripts</t>
  </si>
  <si>
    <t xml:space="preserve">serve.js, migrate.js, live-sweep.js, loadrun.js and submission-check.js are all present.</t>
  </si>
  <si>
    <t xml:space="preserve">Open scripts/serve.ts and add a line inside main(): const broken: number = 'not a number';</t>
  </si>
  <si>
    <t xml:space="preserve">File saved.</t>
  </si>
  <si>
    <t xml:space="preserve">FAILS with TS2322 naming scripts/serve.ts and the line number.</t>
  </si>
  <si>
    <t xml:space="preserve">Run: npx tsc -p tsconfig.all.json</t>
  </si>
  <si>
    <t xml:space="preserve">Also fails — the error is not hidden by the wider project either.</t>
  </si>
  <si>
    <t xml:space="preserve">Remove the line and re-run npm run build</t>
  </si>
  <si>
    <t xml:space="preserve">Exits 0 again.</t>
  </si>
  <si>
    <t xml:space="preserve">Run: git diff</t>
  </si>
  <si>
    <t xml:space="preserve">Empty — the repository is back to its released state.</t>
  </si>
  <si>
    <t xml:space="preserve">Run: npx jest --coverage</t>
  </si>
  <si>
    <t xml:space="preserve">Runs 60 suites. One suite (pgReal.integration) is skipped without DATABASE_URL_TEST.</t>
  </si>
  <si>
    <t xml:space="preserve">Read the final counts</t>
  </si>
  <si>
    <t xml:space="preserve">616 passed, 8 skipped, 624 total; no failures.</t>
  </si>
  <si>
    <t xml:space="preserve">Read the coverage table's All files row</t>
  </si>
  <si>
    <t xml:space="preserve">100 / 100 / 100 / 100 for statements, branches, functions and lines.</t>
  </si>
  <si>
    <t xml:space="preserve">Check the table includes a scripts/ section</t>
  </si>
  <si>
    <t xml:space="preserve">scripts/ appears with 100% — serve.ts, migrate.ts, live-sweep.ts, loadrun.ts, submission-check.ts.</t>
  </si>
  <si>
    <t xml:space="preserve">Check the exit code: echo $?</t>
  </si>
  <si>
    <t xml:space="preserve">0 — the threshold in jest.config.js did not trip.</t>
  </si>
  <si>
    <t xml:space="preserve">Open tests/px/edges.test.ts and delete the whole test block named 'planForEngineers picks the smallest covering band and tops out at enterprise'</t>
  </si>
  <si>
    <t xml:space="preserve">The suite still passes, but the coverage summary now reports below 100% for src/billing/billing.ts.</t>
  </si>
  <si>
    <t xml:space="preserve">Read the last lines of output</t>
  </si>
  <si>
    <t xml:space="preserve">Jest prints 'coverage threshold for ... (100%) not met' and exits non-zero.</t>
  </si>
  <si>
    <t xml:space="preserve">Run: echo $?</t>
  </si>
  <si>
    <t xml:space="preserve">Non-zero — CI would fail here.</t>
  </si>
  <si>
    <t xml:space="preserve">Restore the file: git checkout tests/px/edges.test.ts, then re-run npx jest --coverage</t>
  </si>
  <si>
    <t xml:space="preserve">Back to 100% and exit 0.</t>
  </si>
  <si>
    <t xml:space="preserve">Run: npm audit --omit=dev</t>
  </si>
  <si>
    <t xml:space="preserve">'found 0 vulnerabilities'.</t>
  </si>
  <si>
    <t xml:space="preserve">Run: npm audit</t>
  </si>
  <si>
    <t xml:space="preserve">'found 0 vulnerabilities' for the dev tree as well.</t>
  </si>
  <si>
    <t xml:space="preserve">Run: node -e "console.log(Object.keys(require('./package.json').dependencies))"</t>
  </si>
  <si>
    <t xml:space="preserve">[ 'pg' ] — a single runtime dependency.</t>
  </si>
  <si>
    <t xml:space="preserve">Run: node audit.mjs .</t>
  </si>
  <si>
    <t xml:space="preserve">A report is printed: source, entry-point, test and doc counts, then findings by severity.</t>
  </si>
  <si>
    <t xml:space="preserve">Read the finding ids</t>
  </si>
  <si>
    <t xml:space="preserve">A1, A2, A3, A6, A9 and A12 appear. A10, A11 and A13 do NOT — the classes the second review found are clean on this codebase.</t>
  </si>
  <si>
    <t xml:space="preserve">Read the A12 entry</t>
  </si>
  <si>
    <t xml:space="preserve">It names the two known open items (the degradation replay queue and the EventReceiver retry queue) — PX-014 and PX-015.</t>
  </si>
  <si>
    <t xml:space="preserve">Run: node audit.mjs . ; echo $?</t>
  </si>
  <si>
    <t xml:space="preserve">0 — no CRITICAL finding remains (A10 was CRITICAL and is now clean).</t>
  </si>
  <si>
    <t xml:space="preserve">In src/app/workflow.ts, find 'await this.entitlements.claimWrite(this.teamId)' in declare() and comment BOTH occurrences out, replacing them with: const entitlement = { allowed: true, warning: null } as never;</t>
  </si>
  <si>
    <t xml:space="preserve">File saved (it need not compile cleanly for this check).</t>
  </si>
  <si>
    <t xml:space="preserve">A new [CRITICAL] A10 finding appears naming src/billing/entitlements.ts — claimWrite(), called N times in tests, 0 times in src/scripts.</t>
  </si>
  <si>
    <t xml:space="preserve">1 — a CRITICAL finding makes the tool fail a build.</t>
  </si>
  <si>
    <t xml:space="preserve">Restore: git checkout src/app/workflow.ts</t>
  </si>
  <si>
    <t xml:space="preserve">File restored.</t>
  </si>
  <si>
    <t xml:space="preserve">A10 is clean again.</t>
  </si>
  <si>
    <t xml:space="preserve">Run: &lt;ENV&gt; PORT=3123 node dist/scripts/serve.js</t>
  </si>
  <si>
    <t xml:space="preserve">Logs 'Config:' with every secret masked, then a 'Composition is degraded (development mode)' block listing each unwired provider.</t>
  </si>
  <si>
    <t xml:space="preserve">Read the next lines</t>
  </si>
  <si>
    <t xml:space="preserve">'restored 0 installations, 0 deferred job(s); serving 0 workspaces' then 'OnCall Copilot listening on :3123' with the full route table.</t>
  </si>
  <si>
    <t xml:space="preserve">In another terminal run: curl -s localhost:3123/health</t>
  </si>
  <si>
    <t xml:space="preserve">{"ok":true} — liveness only, because the call is unauthenticated.</t>
  </si>
  <si>
    <t xml:space="preserve">Run: curl -s -H 'Authorization: Bearer op-token' localhost:3123/health</t>
  </si>
  <si>
    <t xml:space="preserve">Adds version, pendingEvents and inFlight — operator detail.</t>
  </si>
  <si>
    <t xml:space="preserve">Send SIGTERM: press Ctrl+C in the server terminal</t>
  </si>
  <si>
    <t xml:space="preserve">'shutdown: 0 buffered rows/jobs written, 0 lost' then the process exits 0.</t>
  </si>
  <si>
    <t xml:space="preserve">Run: &lt;ENV with APP_ENV=production&gt; node dist/scripts/serve.js</t>
  </si>
  <si>
    <t xml:space="preserve">The process exits non-zero within a second.</t>
  </si>
  <si>
    <t xml:space="preserve">Read the output</t>
  </si>
  <si>
    <t xml:space="preserve">'Refusing to boot in production mode — the composition is not deployable:' followed by a list.</t>
  </si>
  <si>
    <t xml:space="preserve">Count the name-based violations</t>
  </si>
  <si>
    <t xml:space="preserve">Eight: slack, paging, ai, statusPublisher, payments, notifier, oauth, modalOpener — each 'wired to &lt;StubName&gt;'.</t>
  </si>
  <si>
    <t xml:space="preserve">Read the healthcheck violations</t>
  </si>
  <si>
    <t xml:space="preserve">Nine more lines of the form '&lt;provider&gt; (&lt;StubName&gt;) failed its healthcheck: &lt;honest reason and sprint&gt;' — including responseUrlPoster, which the NAME check alone would have missed.</t>
  </si>
  <si>
    <t xml:space="preserve">Read the final line</t>
  </si>
  <si>
    <t xml:space="preserve">'Wire the real adapters or start with APP_ENV=development.'</t>
  </si>
  <si>
    <t xml:space="preserve">Non-zero — a deployment pipeline would stop here.</t>
  </si>
  <si>
    <t xml:space="preserve">Run the development boot with ENCRYPTION_KEY unset</t>
  </si>
  <si>
    <t xml:space="preserve">The process exits immediately.</t>
  </si>
  <si>
    <t xml:space="preserve">Read the error</t>
  </si>
  <si>
    <t xml:space="preserve">'ENCRYPTION_KEY required (encrypts Slack tokens at rest) — or ENCRYPTION_KEY_&lt;id&gt; plus ENCRYPTION_KEY_CURRENT'.</t>
  </si>
  <si>
    <t xml:space="preserve">Repeat with OPERATOR_TOKEN unset</t>
  </si>
  <si>
    <t xml:space="preserve">'OPERATOR_TOKEN required (guards detailed /health and the ops routes)'.</t>
  </si>
  <si>
    <t xml:space="preserve">Repeat with SESSION_SECRET unset</t>
  </si>
  <si>
    <t xml:space="preserve">'SESSION_SECRET required (signs dashboard session cookies)'.</t>
  </si>
  <si>
    <t xml:space="preserve">Boot with ENCRYPTION_KEY=old-key and ENCRYPTION_KEY_k2=new-key and no ENCRYPTION_KEY_CURRENT</t>
  </si>
  <si>
    <t xml:space="preserve">Refuses: '2 encryption keys configured; ENCRYPTION_KEY_CURRENT must name the one to encrypt with'.</t>
  </si>
  <si>
    <t xml:space="preserve">Add ENCRYPTION_KEY_CURRENT=k9 (a key that does not exist)</t>
  </si>
  <si>
    <t xml:space="preserve">Refuses: 'ENCRYPTION_KEY_CURRENT=k9 names a key that is not configured (have: k1, k2)'.</t>
  </si>
  <si>
    <t xml:space="preserve">Set ENCRYPTION_KEY_CURRENT=k2 and boot again</t>
  </si>
  <si>
    <t xml:space="preserve">Boots; /ops/composition reports vault EnvKeyVault.</t>
  </si>
  <si>
    <t xml:space="preserve">Run: curl -s -H 'Authorization: Bearer op-token' localhost:3123/ops/composition | python3 -m json.tool</t>
  </si>
  <si>
    <t xml:space="preserve">JSON with mode, adapters, degraded and health.</t>
  </si>
  <si>
    <t xml:space="preserve">Check the adapters block</t>
  </si>
  <si>
    <t xml:space="preserve">Nineteen entries: nine data-plane components and ten providers, each naming the constructed class.</t>
  </si>
  <si>
    <t xml:space="preserve">Check the health block</t>
  </si>
  <si>
    <t xml:space="preserve">One entry per provider with ok and a human-readable detail, e.g. 'Slack adapter is not wired — see sprint S38'.</t>
  </si>
  <si>
    <t xml:space="preserve">Check the degraded array</t>
  </si>
  <si>
    <t xml:space="preserve">Lists the same violations the production boot would refuse on.</t>
  </si>
  <si>
    <t xml:space="preserve">Run: curl -s -o /dev/null -w '%{http_code}' localhost:3123/ops/composition</t>
  </si>
  <si>
    <t xml:space="preserve">401.</t>
  </si>
  <si>
    <t xml:space="preserve">Run the same with -H 'Authorization: Bearer wrong'</t>
  </si>
  <si>
    <t xml:space="preserve">Run the same with -H 'Authorization: op-token' (no Bearer prefix)</t>
  </si>
  <si>
    <t xml:space="preserve">401 — the comparison is exact.</t>
  </si>
  <si>
    <t xml:space="preserve">Repeat for /ops/latency, /ops/token-refresh and /ops/rotate-keys</t>
  </si>
  <si>
    <t xml:space="preserve">401 in every case.</t>
  </si>
  <si>
    <t xml:space="preserve">Run: curl -s localhost:3123/health</t>
  </si>
  <si>
    <t xml:space="preserve">200 with {"ok":true} only — liveness stays public by design.</t>
  </si>
  <si>
    <t xml:space="preserve">Run: npx jest tests/px/providerGate.test.ts -t 'PASSES the production gate' --verbose</t>
  </si>
  <si>
    <t xml:space="preserve">One test runs and passes.</t>
  </si>
  <si>
    <t xml:space="preserve">Read the test source at tests/px/providerGate.test.ts</t>
  </si>
  <si>
    <t xml:space="preserve">It builds a production data plane, supplies ten fakes with production-style names and healthy healthchecks, and asserts report.ok === true with zero violations.</t>
  </si>
  <si>
    <t xml:space="preserve">Run the neighbouring test: npx jest tests/px/providerGate.test.ts -t 'correctly-NAMED adapter whose healthcheck fails'</t>
  </si>
  <si>
    <t xml:space="preserve">Passes — a provider named SlackWebApiAdapter whose probe fails is still refused, by name and reason.</t>
  </si>
  <si>
    <t xml:space="preserve">Run: npx jest tests/px/providerGate.test.ts -t 'healthcheck that THROWS' --verbose</t>
  </si>
  <si>
    <t xml:space="preserve">Passes.</t>
  </si>
  <si>
    <t xml:space="preserve">Read the assertion</t>
  </si>
  <si>
    <t xml:space="preserve">A thrown Error becomes 'healthcheck threw: &lt;message&gt;'; a thrown non-Error becomes 'healthcheck threw: unknown'.</t>
  </si>
  <si>
    <t xml:space="preserve">Confirm every failing provider is reported</t>
  </si>
  <si>
    <t xml:space="preserve">The probe walks all ten and returns the complete failing list, so an operator sees every problem in one boot rather than one per restart.</t>
  </si>
  <si>
    <t xml:space="preserve">Run: npx jest tests/http.test.ts -t 'acks immediately and defers the declare work' --verbose</t>
  </si>
  <si>
    <t xml:space="preserve">Read the assertions</t>
  </si>
  <si>
    <t xml:space="preserve">The route returns 200 with response_type 'ephemeral'; the declare work has NOT run at that point; ack.pending() is 1.</t>
  </si>
  <si>
    <t xml:space="preserve">Read the follow-on assertion</t>
  </si>
  <si>
    <t xml:space="preserve">After draining, the work has run once and the result was posted to the response_url supplied by Slack.</t>
  </si>
  <si>
    <t xml:space="preserve">Run: npx jest tests/ack.test.ts --verbose</t>
  </si>
  <si>
    <t xml:space="preserve">All VER-OC1/OC2 cases pass, including the 3-second budget constant being larger than the 1-second internal target.</t>
  </si>
  <si>
    <t xml:space="preserve">Run: curl -s -o /dev/null -w '%{http_code}' -X POST localhost:3123/slack/commands -d 'team_id=T1&amp;text=declare+x'</t>
  </si>
  <si>
    <t xml:space="preserve">401 — no signature.</t>
  </si>
  <si>
    <t xml:space="preserve">Repeat with -H 'x-slack-signature: v0=deadbeef' and a current timestamp header</t>
  </si>
  <si>
    <t xml:space="preserve">401 — the signature does not verify.</t>
  </si>
  <si>
    <t xml:space="preserve">Repeat on /slack/events and /slack/interactive</t>
  </si>
  <si>
    <t xml:space="preserve">401 in both cases.</t>
  </si>
  <si>
    <t xml:space="preserve">Run: npx jest tests/abuse.security.test.ts --verbose</t>
  </si>
  <si>
    <t xml:space="preserve">The 18-case adversarial suite passes, including forged, wrong-secret, truncated and replayed signatures.</t>
  </si>
  <si>
    <t xml:space="preserve">Run: npx jest tests/receiver.test.ts --verbose</t>
  </si>
  <si>
    <t xml:space="preserve">Read the replay assertions</t>
  </si>
  <si>
    <t xml:space="preserve">A signature computed over a timestamp outside REPLAY_WINDOW_SEC (300) fails verification even though the HMAC itself is correct.</t>
  </si>
  <si>
    <t xml:space="preserve">Confirm the boundary is tested on both sides</t>
  </si>
  <si>
    <t xml:space="preserve">Exactly 300 seconds is accepted; 301 is refused.</t>
  </si>
  <si>
    <t xml:space="preserve">Run: npx jest tests/review-pass3.test.ts -t 'no active' --verbose</t>
  </si>
  <si>
    <t xml:space="preserve">Read the response asserted</t>
  </si>
  <si>
    <t xml:space="preserve">200 with an ephemeral message: 'This workspace has no active OnCall Copilot installation. Reinstall from the App Directory to continue.'</t>
  </si>
  <si>
    <t xml:space="preserve">Check the queue</t>
  </si>
  <si>
    <t xml:space="preserve">ack.pending() is 0 — nothing was queued for a workspace that may not pay and may not exist.</t>
  </si>
  <si>
    <t xml:space="preserve">Confirm an uninstalled (token-revoked) workspace is treated the same as an unknown one</t>
  </si>
  <si>
    <t xml:space="preserve">isInstalled() returns false once tokens are cleared, so the same refusal applies.</t>
  </si>
  <si>
    <t xml:space="preserve">Run: npx jest tests/http.test.ts -t 'empty text returns usage help' --verbose</t>
  </si>
  <si>
    <t xml:space="preserve">200 with 'Usage: /incident declare &lt;what is broken&gt;' and ack.pending() === 0.</t>
  </si>
  <si>
    <t xml:space="preserve">Read the form-parsing case</t>
  </si>
  <si>
    <t xml:space="preserve">A body with empty pairs and valueless keys ('&amp;team_id=T1&amp;text=declare+ok&amp;flag') still parses and returns 200.</t>
  </si>
  <si>
    <t xml:space="preserve">Run: npx jest tests/px/ackDurability.test.ts -t 'kill -9' --verbose</t>
  </si>
  <si>
    <t xml:space="preserve">Read the assertion order</t>
  </si>
  <si>
    <t xml:space="preserve">The test posts a signed command, then asserts plane.deferredWork.loadPending() already contains the row — before any drain has happened.</t>
  </si>
  <si>
    <t xml:space="preserve">Read the second half</t>
  </si>
  <si>
    <t xml:space="preserve">A SECOND runtime is composed over the same data plane, restore() reports 1 deferred job, the drain completes it, and the result is posted to the original response_url.</t>
  </si>
  <si>
    <t xml:space="preserve">Confirm the dead process never posted</t>
  </si>
  <si>
    <t xml:space="preserve">The first runtime's post log is empty — no double delivery.</t>
  </si>
  <si>
    <t xml:space="preserve">Run: npx jest tests/http.test.ts -t 'async routes' --verbose</t>
  </si>
  <si>
    <t xml:space="preserve">app.asyncPaths() contains POST /slack/commands, POST /slack/interactive and GET /oauth/callback.</t>
  </si>
  <si>
    <t xml:space="preserve">Read the refusal</t>
  </si>
  <si>
    <t xml:space="preserve">Calling handle() (the sync path) on one of them returns 500 with error 'async_route' and a message naming the route — never a silent empty body.</t>
  </si>
  <si>
    <t xml:space="preserve">Run: npx jest tests/px/ackDurability.test.ts -t 'SIGTERM' --verbose</t>
  </si>
  <si>
    <t xml:space="preserve">Read the setup</t>
  </si>
  <si>
    <t xml:space="preserve">A signed /slack/commands request is posted; no timer is ever fired, so the only thing that can drain the queue is the shutdown path.</t>
  </si>
  <si>
    <t xml:space="preserve">runtime.shutdown() reports lost: 0, ack.pending() is 0, and the incident result was posted to the response_url.</t>
  </si>
  <si>
    <t xml:space="preserve">Confirm the incident really exists</t>
  </si>
  <si>
    <t xml:space="preserve">The workflow reports exactly one incident — the work completed rather than being discarded.</t>
  </si>
  <si>
    <t xml:space="preserve">Run: npx jest tests/px/ackDurability.test.ts -t 'DEFINITE failure' --verbose</t>
  </si>
  <si>
    <t xml:space="preserve">The posted text is ':warning: Declare failed: Slack 503. Nothing was created — try again.'</t>
  </si>
  <si>
    <t xml:space="preserve">Check the store</t>
  </si>
  <si>
    <t xml:space="preserve">The row is completed and removed — it is not retried into a duplicate incident.</t>
  </si>
  <si>
    <t xml:space="preserve">Read the give-up case: npx jest tests/px/ackDurability.test.ts -t 'gave up'</t>
  </si>
  <si>
    <t xml:space="preserve">After three interrupted attempts the user is told 'gave up after 3 attempts' rather than being retried forever.</t>
  </si>
  <si>
    <t xml:space="preserve">Run: npx jest tests/px/ackDurability.test.ts -t 'only the lease holder runs it' --verbose</t>
  </si>
  <si>
    <t xml:space="preserve">Replica A drains and completes one job; replica B drains and completes zero — it is skipped, not duplicated.</t>
  </si>
  <si>
    <t xml:space="preserve">Read the renewal case in tests/px/edges.test.ts</t>
  </si>
  <si>
    <t xml:space="preserve">The holder may renew its own live lease; a stranger is refused until the lease expires.</t>
  </si>
  <si>
    <t xml:space="preserve">Run: npx jest tests/px/ackDurability.test.ts -t 'tenant data' --verbose</t>
  </si>
  <si>
    <t xml:space="preserve">Read the export assertion</t>
  </si>
  <si>
    <t xml:space="preserve">deferred_work appears in the export with id, kind, enqueuedAt and attempts.</t>
  </si>
  <si>
    <t xml:space="preserve">Check what is NOT exported</t>
  </si>
  <si>
    <t xml:space="preserve">The response_url itself does not appear anywhere in the exported JSON.</t>
  </si>
  <si>
    <t xml:space="preserve">Read the delete assertion</t>
  </si>
  <si>
    <t xml:space="preserve">deleteAll reports deferred_work: 1 and the store is empty afterwards.</t>
  </si>
  <si>
    <t xml:space="preserve">Run: npx jest tests/px/enforcementWiring.test.ts -t 'limit_reached' --verbose</t>
  </si>
  <si>
    <t xml:space="preserve">The test builds the runtime through composeRuntime — the same function scripts/serve.ts calls — over a real data plane.</t>
  </si>
  <si>
    <t xml:space="preserve">Read the loop</t>
  </si>
  <si>
    <t xml:space="preserve">25 declares succeed in sequence.</t>
  </si>
  <si>
    <t xml:space="preserve">Read the store assertion</t>
  </si>
  <si>
    <t xml:space="preserve">The BILLING STORE row reports usage 25 — not a per-process counter.</t>
  </si>
  <si>
    <t xml:space="preserve">Read the incident assertion</t>
  </si>
  <si>
    <t xml:space="preserve">Exactly 25 incidents exist.</t>
  </si>
  <si>
    <t xml:space="preserve">In the same test, read the assertion after the loop</t>
  </si>
  <si>
    <t xml:space="preserve">The 26th declare rejects with an EntitlementError whose reason is 'limit_reached'.</t>
  </si>
  <si>
    <t xml:space="preserve">Read the message</t>
  </si>
  <si>
    <t xml:space="preserve">It names the plan and the limit and says existing incidents are unaffected — a user-facing sentence, not an error code.</t>
  </si>
  <si>
    <t xml:space="preserve">Check the incident count again</t>
  </si>
  <si>
    <t xml:space="preserve">Still 25 — the refusal happens before any Slack call, so no channel is created for an unpaid incident.</t>
  </si>
  <si>
    <t xml:space="preserve">usage is still 25 — a refused claim does not increment.</t>
  </si>
  <si>
    <t xml:space="preserve">Run: npx jest tests/px/enforcementWiring.test.ts -t 'two replicas' --verbose</t>
  </si>
  <si>
    <t xml:space="preserve">Two independent runtimes are composed over ONE data plane; replica B rehydrates from the shared store.</t>
  </si>
  <si>
    <t xml:space="preserve">Read the execution</t>
  </si>
  <si>
    <t xml:space="preserve">35 declares are issued concurrently, alternating between the two runtimes.</t>
  </si>
  <si>
    <t xml:space="preserve">Exactly 25 succeed and exactly 10 are refused with EntitlementError.</t>
  </si>
  <si>
    <t xml:space="preserve">Run: npx jest tests/entitlements.test.ts --verbose</t>
  </si>
  <si>
    <t xml:space="preserve">All cases pass.</t>
  </si>
  <si>
    <t xml:space="preserve">Read the read-only case</t>
  </si>
  <si>
    <t xml:space="preserve">After the grace period a declare is refused with reason 'read_only'.</t>
  </si>
  <si>
    <t xml:space="preserve">It explains payment has failed, tells the user where to fix it, and states that nothing has been deleted and history stays readable and exportable.</t>
  </si>
  <si>
    <t xml:space="preserve">Read the recovery case</t>
  </si>
  <si>
    <t xml:space="preserve">recordSuccessfulPayment clears dunning state and lifts read-only, and the very next declare succeeds.</t>
  </si>
  <si>
    <t xml:space="preserve">Read the cancelled case</t>
  </si>
  <si>
    <t xml:space="preserve">A cancelled subscription is refused with reason 'cancelled' and its own message.</t>
  </si>
  <si>
    <t xml:space="preserve">Run: npx jest tests/px/enforcementWiring.test.ts -t 'outgrows its band' --verbose</t>
  </si>
  <si>
    <t xml:space="preserve">reason 'band_exceeded'; the message names 120 engineers, the 25 the plan covers, and recommends the 'scale' plan by name.</t>
  </si>
  <si>
    <t xml:space="preserve">Check side effects</t>
  </si>
  <si>
    <t xml:space="preserve">No incident was created.</t>
  </si>
  <si>
    <t xml:space="preserve">Read the recovery</t>
  </si>
  <si>
    <t xml:space="preserve">Setting the engineer count back to 20 lets the next declare succeed.</t>
  </si>
  <si>
    <t xml:space="preserve">Read the band API</t>
  </si>
  <si>
    <t xml:space="preserve">GET /api/billing/band returns over, engineers, maxEngineers and recommended.</t>
  </si>
  <si>
    <t xml:space="preserve">Run: npx jest tests/px/enforcementWiring.test.ts -t 'once per cycle' --verbose</t>
  </si>
  <si>
    <t xml:space="preserve">Read the same-day ticks</t>
  </si>
  <si>
    <t xml:space="preserve">Five ticks inside the cycle produce no rollover; usage stays at 2.</t>
  </si>
  <si>
    <t xml:space="preserve">Read the cycle boundary</t>
  </si>
  <si>
    <t xml:space="preserve">One tick after CYCLE_MS reports 'rolled 1 account(s)' and usage becomes 0 in both the in-process view and the shared store.</t>
  </si>
  <si>
    <t xml:space="preserve">Read the post-reset tick</t>
  </si>
  <si>
    <t xml:space="preserve">A further declare then a further tick leaves usage at 1 — it did not reset twice.</t>
  </si>
  <si>
    <t xml:space="preserve">Run: npx jest tests/pricingDoc.test.ts --verbose</t>
  </si>
  <si>
    <t xml:space="preserve">Open docs/PRICING_FAQ.md</t>
  </si>
  <si>
    <t xml:space="preserve">Five plans with flat prices, engineers covered and a fair-use incident ceiling.</t>
  </si>
  <si>
    <t xml:space="preserve">Compare with the code: node -e "require('ts-node').register({transpileOnly:true});console.log(require('./src/billing/pricingDoc').pricingMarkdown())"</t>
  </si>
  <si>
    <t xml:space="preserve">The generated table matches the published one row for row.</t>
  </si>
  <si>
    <t xml:space="preserve">In src/billing/billing.ts change PLAN_PRICE.team from 99 to 129</t>
  </si>
  <si>
    <t xml:space="preserve">Run: npx jest tests/pricingDoc.test.ts</t>
  </si>
  <si>
    <t xml:space="preserve">FAILS — the published FAQ no longer contains $129.</t>
  </si>
  <si>
    <t xml:space="preserve">Read the failure</t>
  </si>
  <si>
    <t xml:space="preserve">The 'published PRICING_FAQ.md still agrees with the engine' case is the one that breaks.</t>
  </si>
  <si>
    <t xml:space="preserve">Restore: git checkout src/billing/billing.ts and re-run</t>
  </si>
  <si>
    <t xml:space="preserve">Passes again.</t>
  </si>
  <si>
    <t xml:space="preserve">Run: npx jest tests/workflow.test.ts -t 'one call declares' --verbose</t>
  </si>
  <si>
    <t xml:space="preserve">INC-0001 is created, the timeline has one entry, the incident is persisted to the sink, the funnel records an 'aha' stage and the onboarding checklist item is completed.</t>
  </si>
  <si>
    <t xml:space="preserve">Run: npx jest tests/dispositions.test.ts --verbose</t>
  </si>
  <si>
    <t xml:space="preserve">The full state machine passes: open to mitigated to resolved.</t>
  </si>
  <si>
    <t xml:space="preserve">Read the audit assertion</t>
  </si>
  <si>
    <t xml:space="preserve">Every transition writes an audit entry naming the actor and the action.</t>
  </si>
  <si>
    <t xml:space="preserve">Run: npx jest tests/dispositions.test.ts -t 'transition' --verbose</t>
  </si>
  <si>
    <t xml:space="preserve">resolved to mitigated throws a ValidationError reading 'transition resolved -&gt; mitigated is not allowed'.</t>
  </si>
  <si>
    <t xml:space="preserve">Check the user-facing path</t>
  </si>
  <si>
    <t xml:space="preserve">In the deferred runner the same refusal is delivered to Slack as ':warning: Could not mitigate INC-0001: ... is not allowed' (tests/px/edges.test.ts).</t>
  </si>
  <si>
    <t xml:space="preserve">Confirm state is unchanged</t>
  </si>
  <si>
    <t xml:space="preserve">The incident is still resolved; nothing partial was written.</t>
  </si>
  <si>
    <t xml:space="preserve">Run: npx jest tests/dispositions.test.ts -t 'resolvedAt' --verbose</t>
  </si>
  <si>
    <t xml:space="preserve">resolvedAt records the FIRST resolution and is never overwritten.</t>
  </si>
  <si>
    <t xml:space="preserve">Read the resolutions array</t>
  </si>
  <si>
    <t xml:space="preserve">Every resolution instant is kept separately, and reopenCount increments.</t>
  </si>
  <si>
    <t xml:space="preserve">Read timeToFirstResolutionMs</t>
  </si>
  <si>
    <t xml:space="preserve">It is computed from the first resolution only — the defensible MTTR input.</t>
  </si>
  <si>
    <t xml:space="preserve">The adversarial suite passes.</t>
  </si>
  <si>
    <t xml:space="preserve">Read the tenant-escape case</t>
  </si>
  <si>
    <t xml:space="preserve">Supplying another tenant's id in the request body does not change the tenant — the session is the authority.</t>
  </si>
  <si>
    <t xml:space="preserve">Read the list case</t>
  </si>
  <si>
    <t xml:space="preserve">The attacker's incident list is empty, not the victim's.</t>
  </si>
  <si>
    <t xml:space="preserve">Read the direct-read case</t>
  </si>
  <si>
    <t xml:space="preserve">Fetching the victim's incident id returns 404, not the record.</t>
  </si>
  <si>
    <t xml:space="preserve">Read the role-bleed case</t>
  </si>
  <si>
    <t xml:space="preserve">A role granted in one workspace does not apply in another.</t>
  </si>
  <si>
    <t xml:space="preserve">Run: npx jest tests/adminApi.test.ts -t 'billing actions owner-only' --verbose</t>
  </si>
  <si>
    <t xml:space="preserve">POST /api/billing/plan as a member returns 403 with {error:'forbidden', role:'member'}.</t>
  </si>
  <si>
    <t xml:space="preserve">Repeat for data rights</t>
  </si>
  <si>
    <t xml:space="preserve">Export and delete are refused for a member; only an owner may call them.</t>
  </si>
  <si>
    <t xml:space="preserve">Repeat for an admin minting an owner</t>
  </si>
  <si>
    <t xml:space="preserve">Self-granted and admin-minted owner roles are both refused (tests/abuse.security.test.ts).</t>
  </si>
  <si>
    <t xml:space="preserve">Run: npx jest tests/abuse.security.test.ts -t 'malformed' --verbose</t>
  </si>
  <si>
    <t xml:space="preserve">A correctly signed request with an unparseable body returns 400 'malformed payload'.</t>
  </si>
  <si>
    <t xml:space="preserve">Read the second case</t>
  </si>
  <si>
    <t xml:space="preserve">Valid JSON that is not an object (for example 'null') also returns 400, not 500.</t>
  </si>
  <si>
    <t xml:space="preserve">Check the alerting consequence</t>
  </si>
  <si>
    <t xml:space="preserve">Because it is a 400, the error-spike detector is not triggered by junk input.</t>
  </si>
  <si>
    <t xml:space="preserve">Run: npx jest tests/review-pass3.test.ts -t 'oauth' --verbose</t>
  </si>
  <si>
    <t xml:space="preserve">Read the no-state case</t>
  </si>
  <si>
    <t xml:space="preserve">400 'invalid oauth state: missing'.</t>
  </si>
  <si>
    <t xml:space="preserve">Read the forged case</t>
  </si>
  <si>
    <t xml:space="preserve">A state with two characters changed returns 400 'bad_signature'.</t>
  </si>
  <si>
    <t xml:space="preserve">Read the replay case</t>
  </si>
  <si>
    <t xml:space="preserve">A state that has already been consumed returns 400 'replayed'.</t>
  </si>
  <si>
    <t xml:space="preserve">Read the expiry case</t>
  </si>
  <si>
    <t xml:space="preserve">A state older than STATE_TTL_MS is refused.</t>
  </si>
  <si>
    <t xml:space="preserve">Run: npx jest tests/px/identityAndWindows.test.ts -t 'OAuth callback binds' --verbose</t>
  </si>
  <si>
    <t xml:space="preserve">Read the redirect</t>
  </si>
  <si>
    <t xml:space="preserve">302 to /welcome with Set-Cookie carrying both the session and the CSRF cookie.</t>
  </si>
  <si>
    <t xml:space="preserve">Read the claims</t>
  </si>
  <si>
    <t xml:space="preserve">The session verifies back to the installing workspace and user, and carries that workspace's current install epoch.</t>
  </si>
  <si>
    <t xml:space="preserve">Read the follow-up request</t>
  </si>
  <si>
    <t xml:space="preserve">An /api/* call with that cookie returns 200 — the dashboard is genuinely reachable.</t>
  </si>
  <si>
    <t xml:space="preserve">Run: npx jest tests/px/identityAndWindows.test.ts -t 'uninstall, reinstall and data deletion' --verbose</t>
  </si>
  <si>
    <t xml:space="preserve">Read the baseline</t>
  </si>
  <si>
    <t xml:space="preserve">With a valid cookie the guarded route returns 200.</t>
  </si>
  <si>
    <t xml:space="preserve">Read the uninstall step</t>
  </si>
  <si>
    <t xml:space="preserve">After uninstall the SAME cookie returns 401, well inside its 12-hour lifetime.</t>
  </si>
  <si>
    <t xml:space="preserve">Read the reinstall step</t>
  </si>
  <si>
    <t xml:space="preserve">After a reinstall the old cookie still returns 401 — a new epoch was minted, so pre-uninstall sessions stay dead.</t>
  </si>
  <si>
    <t xml:space="preserve">Read the deletion step</t>
  </si>
  <si>
    <t xml:space="preserve">After POST /api/data/delete the fresh cookie is refused too, the installation record is forgotten and the tenant's workflow is evicted from memory.</t>
  </si>
  <si>
    <t xml:space="preserve">Run: npx jest tests/px/identityAndWindows.test.ts -t 'bumpEpoch' --verbose</t>
  </si>
  <si>
    <t xml:space="preserve">Read the legacy-token case</t>
  </si>
  <si>
    <t xml:space="preserve">A payload without the 'e' claim returns undefined from verifySession even though the signature verifies.</t>
  </si>
  <si>
    <t xml:space="preserve">Read the wrong-epoch case</t>
  </si>
  <si>
    <t xml:space="preserve">A token carrying a superseded epoch is refused by the resolver.</t>
  </si>
  <si>
    <t xml:space="preserve">Read the bumpEpoch case</t>
  </si>
  <si>
    <t xml:space="preserve">An administrative epoch bump invalidates sessions without touching the stored Slack tokens.</t>
  </si>
  <si>
    <t xml:space="preserve">Run: npx jest tests/session.test.ts --verbose</t>
  </si>
  <si>
    <t xml:space="preserve">All 14 cases pass.</t>
  </si>
  <si>
    <t xml:space="preserve">Read the GET case</t>
  </si>
  <si>
    <t xml:space="preserve">A GET with the cookie alone resolves — reads do not need the header.</t>
  </si>
  <si>
    <t xml:space="preserve">Read the POST case</t>
  </si>
  <si>
    <t xml:space="preserve">A POST with the cookie but no x-oncall-csrf header does not resolve, so the route answers 401.</t>
  </si>
  <si>
    <t xml:space="preserve">Read the wrong-token case</t>
  </si>
  <si>
    <t xml:space="preserve">A POST with an incorrect CSRF value is also refused.</t>
  </si>
  <si>
    <t xml:space="preserve">Read the derivation</t>
  </si>
  <si>
    <t xml:space="preserve">The CSRF value is derived from the session token, so it cannot be guessed or fixed.</t>
  </si>
  <si>
    <t xml:space="preserve">Run: npx jest tests/px/identityAndWindows.test.ts -t 'readable and re-writable under k2' --verbose</t>
  </si>
  <si>
    <t xml:space="preserve">The stored installation's access token is ciphertext tagged keyId k1.</t>
  </si>
  <si>
    <t xml:space="preserve">Read the reboot</t>
  </si>
  <si>
    <t xml:space="preserve">With k2 added and made current, restore() reports staleKeyIds ['k1'] and the boot log warns that stored tokens reference a non-current key.</t>
  </si>
  <si>
    <t xml:space="preserve">Read the rotation</t>
  </si>
  <si>
    <t xml:space="preserve">POST /ops/rotate-keys returns {currentKeyId:'k2', reencrypted:2, alreadyCurrent:0, staleKeyIds:[]}.</t>
  </si>
  <si>
    <t xml:space="preserve">Read the verification</t>
  </si>
  <si>
    <t xml:space="preserve">The stored ciphertext is now tagged k2 and the plaintext token still decrypts to its original value.</t>
  </si>
  <si>
    <t xml:space="preserve">Read the third boot</t>
  </si>
  <si>
    <t xml:space="preserve">staleKeyIds is empty — the rotation is complete and the old key can be retired.</t>
  </si>
  <si>
    <t xml:space="preserve">Read the second-run assertion in the same test</t>
  </si>
  <si>
    <t xml:space="preserve">{currentKeyId:'k2', reencrypted:0, alreadyCurrent:2, staleKeyIds:[]} — nothing is re-encrypted twice.</t>
  </si>
  <si>
    <t xml:space="preserve">Read the unauthorised case</t>
  </si>
  <si>
    <t xml:space="preserve">POST /ops/rotate-keys with no Authorization header returns 401.</t>
  </si>
  <si>
    <t xml:space="preserve">Read the uninstalled case</t>
  </si>
  <si>
    <t xml:space="preserve">A workspace whose tokens have been cleared by an uninstall is skipped rather than crashing the job.</t>
  </si>
  <si>
    <t xml:space="preserve">Read the not-configured case in tests/px/edges.test.ts</t>
  </si>
  <si>
    <t xml:space="preserve">A composition with no rotation hook answers 501 'rotation_not_configured' rather than pretending to rotate.</t>
  </si>
  <si>
    <t xml:space="preserve">Run: npx jest tests/px/leaseFrequency.test.ts -t 'restarted replica' --verbose</t>
  </si>
  <si>
    <t xml:space="preserve">Read the first run</t>
  </si>
  <si>
    <t xml:space="preserve">The sweep runs once and the store records last_run_at.</t>
  </si>
  <si>
    <t xml:space="preserve">Read the restart loop</t>
  </si>
  <si>
    <t xml:space="preserve">Five fresh Scheduler instances (each with an empty in-memory lastRun) tick during the same day; none runs the job, and each records the skip.</t>
  </si>
  <si>
    <t xml:space="preserve">Read the counter</t>
  </si>
  <si>
    <t xml:space="preserve">runs === 1 after all five restarts.</t>
  </si>
  <si>
    <t xml:space="preserve">Read the next-day tick</t>
  </si>
  <si>
    <t xml:space="preserve">One day later the job runs again — the interval is respected, not merely suppressed.</t>
  </si>
  <si>
    <t xml:space="preserve">Run: npx jest tests/px/leaseFrequency.test.ts -t 'second replica' --verbose</t>
  </si>
  <si>
    <t xml:space="preserve">Read the second tick</t>
  </si>
  <si>
    <t xml:space="preserve">Replica B ticks after the 5-minute lease TTL has expired but well inside the 24-hour interval, and is refused.</t>
  </si>
  <si>
    <t xml:space="preserve">Read skippedJobs()</t>
  </si>
  <si>
    <t xml:space="preserve">The refusal is visible rather than silent.</t>
  </si>
  <si>
    <t xml:space="preserve">Read the release case</t>
  </si>
  <si>
    <t xml:space="preserve">Releasing a lease keeps last_run_at, so a released job is still not due.</t>
  </si>
  <si>
    <t xml:space="preserve">Run: npx jest tests/px/leaseFrequency.test.ts -t 'retention sweep' --verbose</t>
  </si>
  <si>
    <t xml:space="preserve">Read the tick</t>
  </si>
  <si>
    <t xml:space="preserve">The leased retention job reports 'retention sweep started'.</t>
  </si>
  <si>
    <t xml:space="preserve">Read the eviction</t>
  </si>
  <si>
    <t xml:space="preserve">After the sweep the workspace's workflow and telemetry are both gone from memory, not just from the database.</t>
  </si>
  <si>
    <t xml:space="preserve">Read the log line</t>
  </si>
  <si>
    <t xml:space="preserve">The purge is logged with the team id and the record counts per store.</t>
  </si>
  <si>
    <t xml:space="preserve">Run: npx jest tests/px/identityAndWindows.test.ts -t 'Slack retry inside the window' --verbose</t>
  </si>
  <si>
    <t xml:space="preserve">Read the first delivery</t>
  </si>
  <si>
    <t xml:space="preserve">The event is accepted and recorded with its timestamp.</t>
  </si>
  <si>
    <t xml:space="preserve">Read the restart</t>
  </si>
  <si>
    <t xml:space="preserve">A second runtime is composed over the same data plane and restores the ledger by TIME, not by count.</t>
  </si>
  <si>
    <t xml:space="preserve">Read the retry</t>
  </si>
  <si>
    <t xml:space="preserve">The same event id returns 'duplicate ignored'.</t>
  </si>
  <si>
    <t xml:space="preserve">Read the control case</t>
  </si>
  <si>
    <t xml:space="preserve">An event older than the 6-hour window is correctly processed as new, proving the window is a window and not an accident.</t>
  </si>
  <si>
    <t xml:space="preserve">Read the duplicate case</t>
  </si>
  <si>
    <t xml:space="preserve">The second delivery returns 200 'duplicate ignored' and the handler is not invoked again.</t>
  </si>
  <si>
    <t xml:space="preserve">Read the cap case</t>
  </si>
  <si>
    <t xml:space="preserve">At MAX_DEDUPE_IDS the oldest id is evicted first — the ledger is bounded and cannot grow without limit.</t>
  </si>
  <si>
    <t xml:space="preserve">Read the url_verification case</t>
  </si>
  <si>
    <t xml:space="preserve">Slack's challenge handshake is echoed correctly.</t>
  </si>
  <si>
    <t xml:space="preserve">Run: npx jest tests/composition.test.ts -t 'export covers every tenant store' --verbose</t>
  </si>
  <si>
    <t xml:space="preserve">Read the inventory</t>
  </si>
  <si>
    <t xml:space="preserve">Seven stores: billing, deferred_work, event_dedupe, incidents, installations, metrics, roles.</t>
  </si>
  <si>
    <t xml:space="preserve">Read the exemption</t>
  </si>
  <si>
    <t xml:space="preserve">event_dedupe declares export:'exempt' with the reason 'Slack event ids only; no tenant content' — a declaration in the type, not an empty array that could hide a future store.</t>
  </si>
  <si>
    <t xml:space="preserve">Read the isolation assertion</t>
  </si>
  <si>
    <t xml:space="preserve">Nothing belonging to the neighbouring tenant appears anywhere in the export.</t>
  </si>
  <si>
    <t xml:space="preserve">Run: npx jest tests/composition.test.ts -t 'delete removes the tenant' --verbose</t>
  </si>
  <si>
    <t xml:space="preserve">Read the counts</t>
  </si>
  <si>
    <t xml:space="preserve">Every store reports the number of records removed.</t>
  </si>
  <si>
    <t xml:space="preserve">Read the second delete</t>
  </si>
  <si>
    <t xml:space="preserve">A repeat delete reports zero — which is what 'deleted' has to mean.</t>
  </si>
  <si>
    <t xml:space="preserve">Read the neighbour</t>
  </si>
  <si>
    <t xml:space="preserve">The other tenant's records are untouched.</t>
  </si>
  <si>
    <t xml:space="preserve">Run: npx jest tests/px/identityAndWindows.test.ts -t 'every D-OC7 target' --verbose</t>
  </si>
  <si>
    <t xml:space="preserve">Each of the five ids loads successfully through the typed config loader.</t>
  </si>
  <si>
    <t xml:space="preserve">Read the rejection</t>
  </si>
  <si>
    <t xml:space="preserve">PAGING_PROVIDER=twilio fails with 'PAGING_PROVIDER must be pagerduty|opsgenie|jsm|compass|webhook, got twilio'.</t>
  </si>
  <si>
    <t xml:space="preserve">Boot with PAGING_PROVIDER=jsm and read /ops/composition</t>
  </si>
  <si>
    <t xml:space="preserve">The paging adapter's healthcheck detail names jsm, so the configured target reaches the runtime.</t>
  </si>
  <si>
    <t xml:space="preserve">Run: npx jest tests/px/identityAndWindows.test.ts -t 'never a literal' --verbose</t>
  </si>
  <si>
    <t xml:space="preserve">For jsm, compass and webhook the id reaching PagingService equals the id on the constructed adapter, and the composition inventory names the same adapter.</t>
  </si>
  <si>
    <t xml:space="preserve">Read the user-facing message</t>
  </si>
  <si>
    <t xml:space="preserve">A total paging failure on a compass-configured workspace says 'No responders could be paged via compass' — the real provider, not a hardcoded one.</t>
  </si>
  <si>
    <t xml:space="preserve">Run: npx jest tests/px/asyncBoundary.test.ts --verbose</t>
  </si>
  <si>
    <t xml:space="preserve">All 12 cases pass.</t>
  </si>
  <si>
    <t xml:space="preserve">Read the compiler-API cases</t>
  </si>
  <si>
    <t xml:space="preserve">Nine interfaces — SlackClient, PagingProvider, AiProvider, StatusPublisher, OAuthClient, PaymentProvider, ResponseUrlPoster, ModalOpener and the live-sweep SlackApi — are inspected through the TypeScript type checker and every method's return type starts with Promise&lt;.</t>
  </si>
  <si>
    <t xml:space="preserve">Read the reflection case</t>
  </si>
  <si>
    <t xml:space="preserve">Real adapter instances are called and each result is asserted to be a Promise; a stub that threw synchronously would fail here.</t>
  </si>
  <si>
    <t xml:space="preserve">Read the budget assertion</t>
  </si>
  <si>
    <t xml:space="preserve">The platform call budget is larger than the Slack ack budget — deferred work may take longer than the ack, but never forever.</t>
  </si>
  <si>
    <t xml:space="preserve">In src/paging/paging.ts change 'page(oncallId: string, incidentId: string): Promise&lt;{ ok: boolean; status: number }&gt;;' to return '{ ok: boolean; status: number }' (remove the Promise wrapper)</t>
  </si>
  <si>
    <t xml:space="preserve">Run: npx jest tests/px/asyncBoundary.test.ts</t>
  </si>
  <si>
    <t xml:space="preserve">FAILS on the PagingProvider case — the expected value did not match /^Promise&lt;/.</t>
  </si>
  <si>
    <t xml:space="preserve">Read the failure message</t>
  </si>
  <si>
    <t xml:space="preserve">It names the interface, the file and the offending method.</t>
  </si>
  <si>
    <t xml:space="preserve">Restore: git checkout src/paging/paging.ts and re-run</t>
  </si>
  <si>
    <t xml:space="preserve">In src/composition/runtime.ts, inside composeRuntime, add a line: plane.billing.loadAll();  (no await, no void)</t>
  </si>
  <si>
    <t xml:space="preserve">Run: npx jest tests/px/asyncBoundary.test.ts -t 'floating promise'</t>
  </si>
  <si>
    <t xml:space="preserve">FAILS and prints the file and line number of the offending statement.</t>
  </si>
  <si>
    <t xml:space="preserve">Change the line to: void plane.billing.loadAll();</t>
  </si>
  <si>
    <t xml:space="preserve">The test passes — an explicit 'void' is an accepted, documented choice.</t>
  </si>
  <si>
    <t xml:space="preserve">Remove the line entirely: git checkout src/composition/runtime.ts</t>
  </si>
  <si>
    <t xml:space="preserve">Back to the released state.</t>
  </si>
  <si>
    <t xml:space="preserve">Run: npx jest tests/px/identityAndWindows.test.ts -t 'over budget' --verbose</t>
  </si>
  <si>
    <t xml:space="preserve">Read the result</t>
  </si>
  <si>
    <t xml:space="preserve">{degraded:true, reason:'timeout'} with the platform's user-facing outage message.</t>
  </si>
  <si>
    <t xml:space="preserve">Read the AI case</t>
  </si>
  <si>
    <t xml:space="preserve">A slow model degrades the postmortem — the resolve still completes, the title reads '(draft pending)' and the user is told why.</t>
  </si>
  <si>
    <t xml:space="preserve">Read the breaker case</t>
  </si>
  <si>
    <t xml:space="preserve">Five concurrent failing calls open the circuit breaker exactly once, not five times, and a late failure does not extend the cooldown.</t>
  </si>
  <si>
    <t xml:space="preserve">Run: npm run migrate -- --print</t>
  </si>
  <si>
    <t xml:space="preserve">SQL for 14 migrations, 0001_installations through 0014_deferred_work, in order.</t>
  </si>
  <si>
    <t xml:space="preserve">Run: npm run migrate</t>
  </si>
  <si>
    <t xml:space="preserve">'14 migrations ready. Apply with: npm run migrate -- --print | psql "$DATABASE_URL"'.</t>
  </si>
  <si>
    <t xml:space="preserve">Check the newest three</t>
  </si>
  <si>
    <t xml:space="preserve">0012_billing_bands, 0013_job_leases_last_run and 0014_deferred_work are present — the v0.37.0 additions.</t>
  </si>
  <si>
    <t xml:space="preserve">With a local Postgres: npm run migrate -- --print | psql "$DATABASE_URL"</t>
  </si>
  <si>
    <t xml:space="preserve">Every statement applies with no error.</t>
  </si>
  <si>
    <t xml:space="preserve">Run: DATABASE_URL_TEST=... npm run test:pg</t>
  </si>
  <si>
    <t xml:space="preserve">The 8 integration tests run against the real engine instead of skipping.</t>
  </si>
  <si>
    <t xml:space="preserve">Run: npx jest tests/pgAdapters.integration.test.ts --verbose</t>
  </si>
  <si>
    <t xml:space="preserve">Passes against pg-mem, executing the real migrations and the real SQL.</t>
  </si>
  <si>
    <t xml:space="preserve">Read the foreign-key case</t>
  </si>
  <si>
    <t xml:space="preserve">Inserting an incident for a team with no installations row is rejected by the database.</t>
  </si>
  <si>
    <t xml:space="preserve">Read the NULL-token case</t>
  </si>
  <si>
    <t xml:space="preserve">access_token and refresh_token accept NULL, matching the uninstall path that clears them (F-037).</t>
  </si>
  <si>
    <t xml:space="preserve">Read the cascade case</t>
  </si>
  <si>
    <t xml:space="preserve">Deleting an installation cascades to its incidents.</t>
  </si>
  <si>
    <t xml:space="preserve">Run: npx jest tests/px/pgStores.integration.test.ts -t 'usage is never rolled back' --verbose</t>
  </si>
  <si>
    <t xml:space="preserve">Two usage claims are made, then a stale row with usage 0 is upserted.</t>
  </si>
  <si>
    <t xml:space="preserve">The stored usage is still 2 — the meter's count survived.</t>
  </si>
  <si>
    <t xml:space="preserve">Read the rollover case</t>
  </si>
  <si>
    <t xml:space="preserve">An upsert carrying a NEWER cycle_started_at does reset usage to 0, which is how the monthly rollover is applied.</t>
  </si>
  <si>
    <t xml:space="preserve">Read the older-cycle case</t>
  </si>
  <si>
    <t xml:space="preserve">An upsert carrying an OLDER cycle never wins.</t>
  </si>
  <si>
    <t xml:space="preserve">Run: npx jest --coverage (to produce coverage/coverage-summary.json)</t>
  </si>
  <si>
    <t xml:space="preserve">Coverage written.</t>
  </si>
  <si>
    <t xml:space="preserve">Run: npm run submission-check</t>
  </si>
  <si>
    <t xml:space="preserve">Thirteen requirements listed, each PASS, LIVE, HUMAN or BLOCKED with an owner.</t>
  </si>
  <si>
    <t xml:space="preserve">Read SC-04</t>
  </si>
  <si>
    <t xml:space="preserve">PASS, quoting the real test count and coverage from the summary file rather than a hardcoded claim.</t>
  </si>
  <si>
    <t xml:space="preserve">Read SC-13</t>
  </si>
  <si>
    <t xml:space="preserve">BLOCKED — the production composition still contains stubs, which is the correct answer until S38-S41.</t>
  </si>
  <si>
    <t xml:space="preserve">Read the verdict line</t>
  </si>
  <si>
    <t xml:space="preserve">READY_TO_SUBMIT on the automated half, and the exit code is non-zero because human and live items remain.</t>
  </si>
  <si>
    <t xml:space="preserve">Run: npm run loadtest</t>
  </si>
  <si>
    <t xml:space="preserve">'requests=300 declares=60 events=240 errors=0'.</t>
  </si>
  <si>
    <t xml:space="preserve">Read the per-route lines</t>
  </si>
  <si>
    <t xml:space="preserve">Each route reports n, p95 and its budget, prefixed OK.</t>
  </si>
  <si>
    <t xml:space="preserve">Confirm the deferred work is included</t>
  </si>
  <si>
    <t xml:space="preserve">The declare path drains its queue inside the loop, so the measurement covers the asynchronous work as well as the ack.</t>
  </si>
  <si>
    <t xml:space="preserve">0 — a breach or any error would exit non-zero and fail CI.</t>
  </si>
  <si>
    <t xml:space="preserve">Run: npm run live-sweep -- --dry-run</t>
  </si>
  <si>
    <t xml:space="preserve">Config is printed with every secret masked.</t>
  </si>
  <si>
    <t xml:space="preserve">Read the step list</t>
  </si>
  <si>
    <t xml:space="preserve">SW-01 to SW-12 in order, each with a status and a detail.</t>
  </si>
  <si>
    <t xml:space="preserve">Read the summary</t>
  </si>
  <si>
    <t xml:space="preserve">'8 PASS / 0 FAIL / 4 MANUAL (dry-run)' — the four manual steps are operator actions, reported rather than faked.</t>
  </si>
  <si>
    <t xml:space="preserve">0.</t>
  </si>
  <si>
    <t xml:space="preserve">Follow docs/DEV_WORKSPACE_SETUP.md to create the app and install it</t>
  </si>
  <si>
    <t xml:space="preserve">The workspace shows the app installed and the OAuth callback issues a session.</t>
  </si>
  <si>
    <t xml:space="preserve">Run: npm run live-sweep</t>
  </si>
  <si>
    <t xml:space="preserve">All 8 automated steps PASS against the real workspace; the 4 manual steps are performed by the operator.</t>
  </si>
  <si>
    <t xml:space="preserve">Type /incident declare checkout is failing in a channel</t>
  </si>
  <si>
    <t xml:space="preserve">An incident channel is created, the first message is posted, and the result returns to the caller through response_url.</t>
  </si>
  <si>
    <t xml:space="preserve">Check the audit log and the dashboard</t>
  </si>
  <si>
    <t xml:space="preserve">The incident appears with the correct workspace, actor and timestamps.</t>
  </si>
  <si>
    <t xml:space="preserve">Drive a burst of declares that exceeds the tier limit for conversations.create</t>
  </si>
  <si>
    <t xml:space="preserve">Slack returns 429 with Retry-After.</t>
  </si>
  <si>
    <t xml:space="preserve">Observe the adapter</t>
  </si>
  <si>
    <t xml:space="preserve">The call is retried after the stated interval through the circuit breaker, not immediately.</t>
  </si>
  <si>
    <t xml:space="preserve">Observe the user</t>
  </si>
  <si>
    <t xml:space="preserve">The engineer sees a degraded message rather than a hang or a duplicate channel.</t>
  </si>
  <si>
    <t xml:space="preserve">Check for duplicates</t>
  </si>
  <si>
    <t xml:space="preserve">No duplicate incident channel was created by the retry.</t>
  </si>
  <si>
    <t xml:space="preserve">Configure STRIPE_SECRET_KEY and STRIPE_WEBHOOK_SECRET and boot</t>
  </si>
  <si>
    <t xml:space="preserve">The composition inventory reports a real Stripe provider and the gate permits it.</t>
  </si>
  <si>
    <t xml:space="preserve">Complete a checkout with a test card</t>
  </si>
  <si>
    <t xml:space="preserve">A subscription is created and a webhook is received and verified.</t>
  </si>
  <si>
    <t xml:space="preserve">Check the invoice</t>
  </si>
  <si>
    <t xml:space="preserve">An invoice is issued with the correct tax field.</t>
  </si>
  <si>
    <t xml:space="preserve">Re-send the same webhook</t>
  </si>
  <si>
    <t xml:space="preserve">The idempotency key prevents double processing.</t>
  </si>
  <si>
    <t xml:space="preserve">Trigger a failed payment through Stripe's test card</t>
  </si>
  <si>
    <t xml:space="preserve">The dunning webhook is received.</t>
  </si>
  <si>
    <t xml:space="preserve">Wait out (or simulate) the 7-day grace period</t>
  </si>
  <si>
    <t xml:space="preserve">The account flips to read-only.</t>
  </si>
  <si>
    <t xml:space="preserve">Attempt a declare</t>
  </si>
  <si>
    <t xml:space="preserve">Refused with the read-only message; reads and export still work.</t>
  </si>
  <si>
    <t xml:space="preserve">Pay with a valid test card</t>
  </si>
  <si>
    <t xml:space="preserve">Read-only is lifted and the next declare succeeds.</t>
  </si>
  <si>
    <t xml:space="preserve">Run the importer in dry-run mode against the export</t>
  </si>
  <si>
    <t xml:space="preserve">A mapping report lists what will and will not transfer, with reasons.</t>
  </si>
  <si>
    <t xml:space="preserve">Run the import for real</t>
  </si>
  <si>
    <t xml:space="preserve">Schedules, escalation policies, teams and integrations are created in the workspace.</t>
  </si>
  <si>
    <t xml:space="preserve">Compare the diff report against the source</t>
  </si>
  <si>
    <t xml:space="preserve">Every item is either imported or explicitly listed as unsupported.</t>
  </si>
  <si>
    <t xml:space="preserve">Page a responder through an imported schedule</t>
  </si>
  <si>
    <t xml:space="preserve">The correct person is paged.</t>
  </si>
  <si>
    <t xml:space="preserve">Configure the SAML/OIDC connection</t>
  </si>
  <si>
    <t xml:space="preserve">Metadata is exchanged successfully.</t>
  </si>
  <si>
    <t xml:space="preserve">Sign in as a directory user</t>
  </si>
  <si>
    <t xml:space="preserve">A session is issued with the correct workspace and role.</t>
  </si>
  <si>
    <t xml:space="preserve">Remove the user from the directory and retry</t>
  </si>
  <si>
    <t xml:space="preserve">Access is refused.</t>
  </si>
  <si>
    <t xml:space="preserve">Provision and deprovision through SCIM</t>
  </si>
  <si>
    <t xml:space="preserve">The user appears and disappears in the app without manual action.</t>
  </si>
  <si>
    <t xml:space="preserve">Implement the KMS-backed vault behind the existing SecretsVault contract</t>
  </si>
  <si>
    <t xml:space="preserve">The composition inventory reports the KMS vault and the gate permits it.</t>
  </si>
  <si>
    <t xml:space="preserve">Run POST /ops/rotate-keys against a KMS key version change</t>
  </si>
  <si>
    <t xml:space="preserve">Stored tokens are re-encrypted under the new version.</t>
  </si>
  <si>
    <t xml:space="preserve">Confirm the old version can be disabled</t>
  </si>
  <si>
    <t xml:space="preserve">All records decrypt under the new version and none references the old one.</t>
  </si>
  <si>
    <t xml:space="preserve">Re-run TC-080 against the KMS vault</t>
  </si>
  <si>
    <t xml:space="preserve">Identical behaviour to the environment-variable vault.</t>
  </si>
  <si>
    <t xml:space="preserve">Start a steady declare load against the load balancer</t>
  </si>
  <si>
    <t xml:space="preserve">Incidents are created continuously.</t>
  </si>
  <si>
    <t xml:space="preserve">Trigger a rolling deploy and kill one replica mid-declare</t>
  </si>
  <si>
    <t xml:space="preserve">The replica receives SIGTERM and drains.</t>
  </si>
  <si>
    <t xml:space="preserve">Compare declares sent with incidents created</t>
  </si>
  <si>
    <t xml:space="preserve">No incident is lost and no id is duplicated.</t>
  </si>
  <si>
    <t xml:space="preserve">Check the deferred_work table afterwards</t>
  </si>
  <si>
    <t xml:space="preserve">Empty — every queued job completed or posted a definite failure.</t>
  </si>
  <si>
    <t xml:space="preserve">Point loadtest/k6-launch-load.js at the staging URL</t>
  </si>
  <si>
    <t xml:space="preserve">The script runs against the real service.</t>
  </si>
  <si>
    <t xml:space="preserve">Run at 5x the launch estimate</t>
  </si>
  <si>
    <t xml:space="preserve">Results include real network and database time.</t>
  </si>
  <si>
    <t xml:space="preserve">Compare against the budgets in src/core/latency.ts</t>
  </si>
  <si>
    <t xml:space="preserve">p95 for the API and the slash command is within budget, or the budget is revised with evidence.</t>
  </si>
  <si>
    <t xml:space="preserve">Record the result in the workbook</t>
  </si>
  <si>
    <t xml:space="preserve">The 'NOT MEASURED' row in Product_Spec can finally be closed.</t>
  </si>
  <si>
    <t xml:space="preserve">Run scripts/backup-restore-drill.sh against staging</t>
  </si>
  <si>
    <t xml:space="preserve">The six drill steps execute.</t>
  </si>
  <si>
    <t xml:space="preserve">Compare row counts per table before and after</t>
  </si>
  <si>
    <t xml:space="preserve">Parity across all tenant tables.</t>
  </si>
  <si>
    <t xml:space="preserve">Compare checksums</t>
  </si>
  <si>
    <t xml:space="preserve">Identical.</t>
  </si>
  <si>
    <t xml:space="preserve">Declare an incident after the restore</t>
  </si>
  <si>
    <t xml:space="preserve">Incident numbering resumes correctly from the restored maximum.</t>
  </si>
  <si>
    <t xml:space="preserve">Open the declare modal with a screen reader active</t>
  </si>
  <si>
    <t xml:space="preserve">Every field is announced with its label and required state.</t>
  </si>
  <si>
    <t xml:space="preserve">Submit with a missing field</t>
  </si>
  <si>
    <t xml:space="preserve">The error is announced, not only shown.</t>
  </si>
  <si>
    <t xml:space="preserve">Navigate the incident message buttons by keyboard</t>
  </si>
  <si>
    <t xml:space="preserve">Mitigate, Resolve and Reopen are reachable and announced.</t>
  </si>
  <si>
    <t xml:space="preserve">Open App Home</t>
  </si>
  <si>
    <t xml:space="preserve">Structure and headings are announced in a sensible order.</t>
  </si>
  <si>
    <t xml:space="preserve">Test Execution Log</t>
  </si>
  <si>
    <t xml:space="preserve">HOW TO USE THIS SHEET: Copy this sheet for each run and stamp the build. Row 1 of the data is a worked EXAMPLE — delete it before your own run. Result must be one of Pass, Fail, Blocked, Not run; a Fail needs a defect id, and a Blocked needs the blocker named in Notes.</t>
  </si>
  <si>
    <t xml:space="preserve">Run id</t>
  </si>
  <si>
    <t xml:space="preserve">Build under test</t>
  </si>
  <si>
    <t xml:space="preserve">Result</t>
  </si>
  <si>
    <t xml:space="preserve">Failed at step</t>
  </si>
  <si>
    <t xml:space="preserve">Defect id</t>
  </si>
  <si>
    <t xml:space="preserve">Duration (min)</t>
  </si>
  <si>
    <t xml:space="preserve">Notes</t>
  </si>
  <si>
    <t xml:space="preserve">EXAMPLE</t>
  </si>
  <si>
    <t xml:space="preserve">oncall-copilot-v037</t>
  </si>
  <si>
    <t xml:space="preserve">(example)</t>
  </si>
  <si>
    <t xml:space="preserve">2026-09-20</t>
  </si>
  <si>
    <t xml:space="preserve">Pass</t>
  </si>
  <si>
    <t xml:space="preserve">EXAMPLE ROW — delete before recording a real run. Shows the expected shape only.</t>
  </si>
  <si>
    <t xml:space="preserve">Defect Log</t>
  </si>
  <si>
    <t xml:space="preserve">HOW TO USE THIS SHEET: The two pre-populated rows are real and open right now — they were found by the project's own audit tool, not by a reviewer. Add one row per failure found during a run, referencing the Test case id and the step number it failed at. Never close a row without naming the version that fixed it.</t>
  </si>
  <si>
    <t xml:space="preserve">Raised by</t>
  </si>
  <si>
    <t xml:space="preserve">Severity</t>
  </si>
  <si>
    <t xml:space="preserve">Title</t>
  </si>
  <si>
    <t xml:space="preserve">Description and impact</t>
  </si>
  <si>
    <t xml:space="preserve">Found by which test/audit</t>
  </si>
  <si>
    <t xml:space="preserve">Target sprint</t>
  </si>
  <si>
    <t xml:space="preserve">Fixed in version</t>
  </si>
  <si>
    <t xml:space="preserve">PX-014</t>
  </si>
  <si>
    <t xml:space="preserve">Audit check A12 (own tooling)</t>
  </si>
  <si>
    <t xml:space="preserve">MEDIUM</t>
  </si>
  <si>
    <t xml:space="preserve">DegradationService replay queue is in memory and nothing replays it</t>
  </si>
  <si>
    <t xml:space="preserve">When a platform call degrades, the work is queued for replay in a plain in-process array. No component drains that array, and the process restarting discards it. Impact today is bounded because the queue only fills on a degraded third-party call and there is no third party yet; the moment a real Slack adapter lands, a degraded post is silently dropped.</t>
  </si>
  <si>
    <t xml:space="preserve">audit.mjs A12; no automated test asserts replay because there is nothing to assert yet</t>
  </si>
  <si>
    <t xml:space="preserve">Open</t>
  </si>
  <si>
    <t xml:space="preserve">PX-015</t>
  </si>
  <si>
    <t xml:space="preserve">LOW</t>
  </si>
  <si>
    <t xml:space="preserve">EventReceiver retry queue is not drained at shutdown</t>
  </si>
  <si>
    <t xml:space="preserve">The event receiver keeps a retry queue that Lifecycle does not register as Drainable, so a retry pending at SIGTERM is lost. Low risk today because the runtime handler never fails, which is why the queue is always empty in practice — a property of the current wiring, not a guarantee.</t>
  </si>
  <si>
    <t xml:space="preserve">audit.mjs A12</t>
  </si>
  <si>
    <t xml:space="preserve">PX-013</t>
  </si>
  <si>
    <t xml:space="preserve">Audit check A10 (own tooling), run against the remediation itself</t>
  </si>
  <si>
    <t xml:space="preserve">HIGH</t>
  </si>
  <si>
    <t xml:space="preserve">Atomic incident-id allocator was fully tested and called by nothing</t>
  </si>
  <si>
    <t xml:space="preserve">SequenceAllocator.claimNext had complete coverage and no production caller, so two replicas under blue/green could mint the same INC- id. This is the exact failure mode a 100% coverage gate cannot see, and it was found by a check that looks for tested-but-uncalled exports.</t>
  </si>
  <si>
    <t xml:space="preserve">audit.mjs A10; now covered by TC-018 and tests/px/edges.test.ts</t>
  </si>
  <si>
    <t xml:space="preserve">CLOSED</t>
  </si>
  <si>
    <t xml:space="preserve">PX-S2</t>
  </si>
  <si>
    <t xml:space="preserve">Traceability Matrix</t>
  </si>
  <si>
    <t xml:space="preserve">HOW TO USE THIS SHEET: Read down the 'Manual case(s)' column: an empty cell would mean a finding with no manual proof. Use this sheet to answer 'how do I know PX-002 is actually fixed' without reading a test file.</t>
  </si>
  <si>
    <t xml:space="preserve">Finding id</t>
  </si>
  <si>
    <t xml:space="preserve">Source</t>
  </si>
  <si>
    <t xml:space="preserve">Finding in one line</t>
  </si>
  <si>
    <t xml:space="preserve">Closed in version</t>
  </si>
  <si>
    <t xml:space="preserve">Manual case(s) that prove it</t>
  </si>
  <si>
    <t xml:space="preserve">Automated evidence</t>
  </si>
  <si>
    <t xml:space="preserve">PX-001</t>
  </si>
  <si>
    <t xml:space="preserve">Perplexity review V001</t>
  </si>
  <si>
    <t xml:space="preserve">BLOCKER</t>
  </si>
  <si>
    <t xml:space="preserve">The entire platform boundary was synchronous, so no real adapter could ever be plugged in</t>
  </si>
  <si>
    <t xml:space="preserve">TC-006, TC-041, TC-042</t>
  </si>
  <si>
    <t xml:space="preserve">tests/px/asyncBoundary.test.ts — compiler API over nine interfaces + floating-promise scan</t>
  </si>
  <si>
    <t xml:space="preserve">PX-002</t>
  </si>
  <si>
    <t xml:space="preserve">Plan limits were unenforced in the deployed composition: usage never incremented</t>
  </si>
  <si>
    <t xml:space="preserve">TC-030, TC-031, TC-032, TC-033</t>
  </si>
  <si>
    <t xml:space="preserve">PX-003</t>
  </si>
  <si>
    <t xml:space="preserve">User-facing Slack paths sat outside the boot gate (three, not the two reported)</t>
  </si>
  <si>
    <t xml:space="preserve">TC-011, TC-012, TC-013, TC-014</t>
  </si>
  <si>
    <t xml:space="preserve">PX-004</t>
  </si>
  <si>
    <t xml:space="preserve">Queued declares were lost on SIGTERM — on every deploy</t>
  </si>
  <si>
    <t xml:space="preserve">TC-024, TC-025, TC-026, TC-027</t>
  </si>
  <si>
    <t xml:space="preserve">PX-005</t>
  </si>
  <si>
    <t xml:space="preserve">Key rotation had no possible caller</t>
  </si>
  <si>
    <t xml:space="preserve">TC-060, TC-061</t>
  </si>
  <si>
    <t xml:space="preserve">PX-006</t>
  </si>
  <si>
    <t xml:space="preserve">Leases deduped concurrency but not frequency, so a restart re-ran a daily job</t>
  </si>
  <si>
    <t xml:space="preserve">TC-065, TC-066</t>
  </si>
  <si>
    <t xml:space="preserve">PX-007</t>
  </si>
  <si>
    <t xml:space="preserve">The paging provider union could not express the D-OC7 targets</t>
  </si>
  <si>
    <t xml:space="preserve">TC-075</t>
  </si>
  <si>
    <t xml:space="preserve">PX-008</t>
  </si>
  <si>
    <t xml:space="preserve">The workflow was handed a literal provider name instead of the adapter</t>
  </si>
  <si>
    <t xml:space="preserve">TC-076</t>
  </si>
  <si>
    <t xml:space="preserve">same</t>
  </si>
  <si>
    <t xml:space="preserve">PX-009</t>
  </si>
  <si>
    <t xml:space="preserve">The financial model was never computed</t>
  </si>
  <si>
    <t xml:space="preserve">workbook v037</t>
  </si>
  <si>
    <t xml:space="preserve">LibreOffice recalculation, zero formula errors</t>
  </si>
  <si>
    <t xml:space="preserve">PX-010</t>
  </si>
  <si>
    <t xml:space="preserve">Sessions could not be revoked</t>
  </si>
  <si>
    <t xml:space="preserve">TC-055, TC-056, TC-057</t>
  </si>
  <si>
    <t xml:space="preserve">PX-011</t>
  </si>
  <si>
    <t xml:space="preserve">The replay window was bounded by row count, not time</t>
  </si>
  <si>
    <t xml:space="preserve">TC-070, TC-071</t>
  </si>
  <si>
    <t xml:space="preserve">same + pgStores.integration.test.ts</t>
  </si>
  <si>
    <t xml:space="preserve">PX-012</t>
  </si>
  <si>
    <t xml:space="preserve">LOW-MED</t>
  </si>
  <si>
    <t xml:space="preserve">Positioning undersold the price gap and the free tier covered 4 of 5 modules</t>
  </si>
  <si>
    <t xml:space="preserve">Own audit A10</t>
  </si>
  <si>
    <t xml:space="preserve">The atomic id allocator was tested and called by nothing</t>
  </si>
  <si>
    <t xml:space="preserve">TC-018, TC-019</t>
  </si>
  <si>
    <t xml:space="preserve">tests/px/edges.test.ts</t>
  </si>
  <si>
    <t xml:space="preserve">Own audit A12</t>
  </si>
  <si>
    <t xml:space="preserve">Degradation replay queue in memory, nothing replays it</t>
  </si>
  <si>
    <t xml:space="preserve">OPEN — S42</t>
  </si>
  <si>
    <t xml:space="preserve">TC-020 (expects the known failure)</t>
  </si>
  <si>
    <t xml:space="preserve">audit.mjs A12 reports it</t>
  </si>
  <si>
    <t xml:space="preserve">Event retry queue not drained at shutdown</t>
  </si>
  <si>
    <t xml:space="preserve">TC-021 (expects the known failure)</t>
  </si>
  <si>
    <t xml:space="preserve">CF-001..CF-011</t>
  </si>
  <si>
    <t xml:space="preserve">External review V001 (cold)</t>
  </si>
  <si>
    <t xml:space="preserve">MIXED</t>
  </si>
  <si>
    <t xml:space="preserve">Composition root outside the type-check and the coverage gate; memory data plane in production; unawaited handlers</t>
  </si>
  <si>
    <t xml:space="preserve">TC-002, TC-003, TC-004</t>
  </si>
  <si>
    <t xml:space="preserve">jest collects from scripts/**; tsconfig.all.json</t>
  </si>
  <si>
    <t xml:space="preserve">F-001..F-034</t>
  </si>
  <si>
    <t xml:space="preserve">Project's own cold-review passes</t>
  </si>
  <si>
    <t xml:space="preserve">34 defects found by adversarial self-review across v011-v035</t>
  </si>
  <si>
    <t xml:space="preserve">various</t>
  </si>
  <si>
    <t xml:space="preserve">Covered by the area cases for each subsystem</t>
  </si>
  <si>
    <t xml:space="preserve">The automated suite; each fix landed with a regression test</t>
  </si>
  <si>
    <t xml:space="preserve">A9</t>
  </si>
  <si>
    <t xml:space="preserve">Audit check</t>
  </si>
  <si>
    <t xml:space="preserve">scripts/ was outside the coverage gate — the file that decides what ships was untested</t>
  </si>
  <si>
    <t xml:space="preserve">TC-007, TC-008</t>
  </si>
  <si>
    <t xml:space="preserve">npx jest --coverage over src/ and scripts/</t>
  </si>
  <si>
    <t xml:space="preserve">G0</t>
  </si>
  <si>
    <t xml:space="preserve">Portfolio gate</t>
  </si>
  <si>
    <t xml:space="preserve">Enterprise-ready claim withdrawn and not reinstated</t>
  </si>
  <si>
    <t xml:space="preserve">Still closed</t>
  </si>
  <si>
    <t xml:space="preserve">TC-005 (documentation honesty check)</t>
  </si>
  <si>
    <t xml:space="preserve">docs/ gate test</t>
  </si>
  <si>
    <t xml:space="preserve">Test Summary</t>
  </si>
  <si>
    <t xml:space="preserve">HOW TO USE THIS SHEET: Do not type numbers here. Every cell is a formula over Manual_Test_Cases or Test_Execution_Log; if a count looks wrong, the source sheet is wrong. Refresh by reopening the file or pressing F9.</t>
  </si>
  <si>
    <t xml:space="preserve">Measure</t>
  </si>
  <si>
    <t xml:space="preserve">Count</t>
  </si>
  <si>
    <t xml:space="preserve">Computed from</t>
  </si>
  <si>
    <t xml:space="preserve">one row per case</t>
  </si>
  <si>
    <t xml:space="preserve">Positive cases</t>
  </si>
  <si>
    <t xml:space="preserve">Type column</t>
  </si>
  <si>
    <t xml:space="preserve">Negative cases</t>
  </si>
  <si>
    <t xml:space="preserve">P0 cases (must pass to ship)</t>
  </si>
  <si>
    <t xml:space="preserve">Priority column</t>
  </si>
  <si>
    <t xml:space="preserve">P1 cases</t>
  </si>
  <si>
    <t xml:space="preserve">P2 cases</t>
  </si>
  <si>
    <t xml:space="preserve">Executable against the delivered zip today</t>
  </si>
  <si>
    <t xml:space="preserve">Executable column</t>
  </si>
  <si>
    <t xml:space="preserve">Blocked on a credential or an environment</t>
  </si>
  <si>
    <t xml:space="preserve">Total documented steps</t>
  </si>
  <si>
    <t xml:space="preserve">Steps column, which counts rows on Test_Steps</t>
  </si>
  <si>
    <t xml:space="preserve">Versions covered by at least one case</t>
  </si>
  <si>
    <t xml:space="preserve">distinct Version values</t>
  </si>
  <si>
    <t xml:space="preserve">— run results (fill Test_Execution_Log first) —</t>
  </si>
  <si>
    <t xml:space="preserve">Recorded results this run</t>
  </si>
  <si>
    <t xml:space="preserve">excludes the example row</t>
  </si>
  <si>
    <t xml:space="preserve">Passed</t>
  </si>
  <si>
    <t xml:space="preserve">Failed</t>
  </si>
  <si>
    <t xml:space="preserve">Blocked</t>
  </si>
  <si>
    <t xml:space="preserve">Not yet run</t>
  </si>
  <si>
    <t xml:space="preserve">register minus recorded</t>
  </si>
  <si>
    <t xml:space="preserve">Pass rate of what has been run</t>
  </si>
  <si>
    <t xml:space="preserve">Pass / recorded</t>
  </si>
  <si>
    <t xml:space="preserve">— product state —</t>
  </si>
  <si>
    <t xml:space="preserve">Released versions recorded</t>
  </si>
  <si>
    <t xml:space="preserve">Pending versions recorded</t>
  </si>
  <si>
    <t xml:space="preserve">Layers marked DONE</t>
  </si>
  <si>
    <t xml:space="preserve">Layers marked PARTIAL</t>
  </si>
  <si>
    <t xml:space="preserve">Layers marked BLOCKED</t>
  </si>
  <si>
    <t xml:space="preserve">Layers marked NOT BUILT</t>
  </si>
  <si>
    <t xml:space="preserve">Open defects</t>
  </si>
  <si>
    <t xml:space="preserve">Assumptions and Limitations</t>
  </si>
  <si>
    <t xml:space="preserve">HOW TO USE THIS SHEET: Read this alongside any conclusion you draw. An assumption that turns out to be false invalidates the rows named in the last column, and nothing else.</t>
  </si>
  <si>
    <t xml:space="preserve">Statement</t>
  </si>
  <si>
    <t xml:space="preserve">Why it was necessary</t>
  </si>
  <si>
    <t xml:space="preserve">What is invalidated if it is false</t>
  </si>
  <si>
    <t xml:space="preserve">Assumption</t>
  </si>
  <si>
    <t xml:space="preserve">The zip named on the Cover_Sheet is the artefact under test and is unmodified.</t>
  </si>
  <si>
    <t xml:space="preserve">Every expected result is an exact output of that build.</t>
  </si>
  <si>
    <t xml:space="preserve">All test sheets.</t>
  </si>
  <si>
    <t xml:space="preserve">'Covered by an automated test' is treated as evidence of behaviour, not proof of production correctness.</t>
  </si>
  <si>
    <t xml:space="preserve">The product has never run against a real third party, so coverage is the strongest evidence available.</t>
  </si>
  <si>
    <t xml:space="preserve">Any claim of live behaviour — none is made.</t>
  </si>
  <si>
    <t xml:space="preserve">The development stubs behave as the real adapters will, in shape but not in failure mode.</t>
  </si>
  <si>
    <t xml:space="preserve">The contracts are typed and health-probed, but a real API fails in ways a stub does not.</t>
  </si>
  <si>
    <t xml:space="preserve">The amber rows on Completed_vs_Pending.</t>
  </si>
  <si>
    <t xml:space="preserve">The financial model's inputs (conversion, churn, price bands) are estimates, not observations.</t>
  </si>
  <si>
    <t xml:space="preserve">There are no customers.</t>
  </si>
  <si>
    <t xml:space="preserve">Anything derived from the model's outputs.</t>
  </si>
  <si>
    <t xml:space="preserve">Limitation</t>
  </si>
  <si>
    <t xml:space="preserve">No case in this pack proves a message reaches Slack.</t>
  </si>
  <si>
    <t xml:space="preserve">Blocker SC-06 — no workspace credential exists.</t>
  </si>
  <si>
    <t xml:space="preserve">Any inference that the user-facing product works.</t>
  </si>
  <si>
    <t xml:space="preserve">No case proves money moves.</t>
  </si>
  <si>
    <t xml:space="preserve">Blocker SC-07 — no Stripe keys.</t>
  </si>
  <si>
    <t xml:space="preserve">Billing claims beyond state-machine correctness.</t>
  </si>
  <si>
    <t xml:space="preserve">No case proves behaviour under a real deploy topology.</t>
  </si>
  <si>
    <t xml:space="preserve">No staging environment with two replicas exists.</t>
  </si>
  <si>
    <t xml:space="preserve">Concurrency and rolling-deploy claims beyond what the in-process tests show.</t>
  </si>
  <si>
    <t xml:space="preserve">Latency is measured in-process only and is marked NOT MEASURED end to end.</t>
  </si>
  <si>
    <t xml:space="preserve">No deployed URL to measure against.</t>
  </si>
  <si>
    <t xml:space="preserve">Any published latency figure.</t>
  </si>
  <si>
    <t xml:space="preserve">Accessibility is proven against static view shells by jest-axe; no human has used a screen reader.</t>
  </si>
  <si>
    <t xml:space="preserve">Requires both a workspace and a human tester.</t>
  </si>
  <si>
    <t xml:space="preserve">Accessibility conformance claims.</t>
  </si>
  <si>
    <t xml:space="preserve">This pack was written by the same agent that wrote the code.</t>
  </si>
  <si>
    <t xml:space="preserve">Shared blind spots are possible; two external reviews and an independent audit tool are the mitigation.</t>
  </si>
  <si>
    <t xml:space="preserve">Completeness of coverage, not correctness of what is written.</t>
  </si>
  <si>
    <t xml:space="preserve">Manual results recorded in this file are self-reported.</t>
  </si>
  <si>
    <t xml:space="preserve">There is no evidence capture built into the workbook.</t>
  </si>
  <si>
    <t xml:space="preserve">Any run whose log has no attached terminal output.</t>
  </si>
  <si>
    <t xml:space="preserve">HOW TO USE THIS SHEET: Look a term up before assuming its ordinary meaning — several (ack, lease, epoch, band, drain) are used here in a specific technical sense.</t>
  </si>
  <si>
    <t xml:space="preserve">Term</t>
  </si>
  <si>
    <t xml:space="preserve">Meaning in this product</t>
  </si>
  <si>
    <t xml:space="preserve">002-MoPr08</t>
  </si>
  <si>
    <t xml:space="preserve">The portfolio id of this product: portfolio slot 08 in the Monetisable Products wave.</t>
  </si>
  <si>
    <t xml:space="preserve">Ack</t>
  </si>
  <si>
    <t xml:space="preserve">The reply Slack requires within 3 seconds of a slash command. Anything slower is shown to the user as an error, so real work is deferred past the ack.</t>
  </si>
  <si>
    <t xml:space="preserve">The rule that every interface that will one day talk to a third party returns a Promise, so a real adapter can be substituted without rewriting the core. PX-001.</t>
  </si>
  <si>
    <t xml:space="preserve">Band</t>
  </si>
  <si>
    <t xml:space="preserve">A pricing tier chosen by workspace size rather than by seat count. Decision D-OC8, awaiting ratification.</t>
  </si>
  <si>
    <t xml:space="preserve">Blocked (case)</t>
  </si>
  <si>
    <t xml:space="preserve">A test that cannot be executed because a credential or an environment does not exist. Not a failure; recorded separately so the gap stays visible.</t>
  </si>
  <si>
    <t xml:space="preserve">The check that runs at startup in production and refuses to serve if any of the ten required providers is a stub or fails its health probe.</t>
  </si>
  <si>
    <t xml:space="preserve">Breaker</t>
  </si>
  <si>
    <t xml:space="preserve">Circuit breaker — stops calling a third party that is failing and returns a degraded result instead.</t>
  </si>
  <si>
    <t xml:space="preserve">CF-nnn</t>
  </si>
  <si>
    <t xml:space="preserve">A finding from the first external cold review (V001).</t>
  </si>
  <si>
    <t xml:space="preserve">Claim (a write)</t>
  </si>
  <si>
    <t xml:space="preserve">Atomically asking the entitlement store for permission to perform a billable write and having the counter incremented in the same operation. Replaced check-then-record.</t>
  </si>
  <si>
    <t xml:space="preserve">Coverage gate</t>
  </si>
  <si>
    <t xml:space="preserve">The rule that a merge is refused below 100% statements, branches, functions and lines. Since v0.37.0 it covers scripts/ as well as src/.</t>
  </si>
  <si>
    <t xml:space="preserve">D-OCn</t>
  </si>
  <si>
    <t xml:space="preserve">A product decision for OnCall Copilot, numbered.</t>
  </si>
  <si>
    <t xml:space="preserve">Work that could not fit inside the 3-second ack, written to the database as a descriptor before the ack returns, leased while it runs and deleted when delivered.</t>
  </si>
  <si>
    <t xml:space="preserve">Degraded result</t>
  </si>
  <si>
    <t xml:space="preserve">An explicit outcome meaning 'the third party did not answer in budget' — never a hang and never an exception.</t>
  </si>
  <si>
    <t xml:space="preserve">Drain</t>
  </si>
  <si>
    <t xml:space="preserve">Finishing buffered work before the process exits. Registered components are Drainable and are drained in order at SIGTERM.</t>
  </si>
  <si>
    <t xml:space="preserve">Entitlement</t>
  </si>
  <si>
    <t xml:space="preserve">What the customer's plan permits. Enforced on the write path, not reported after the fact.</t>
  </si>
  <si>
    <t xml:space="preserve">Epoch (install)</t>
  </si>
  <si>
    <t xml:space="preserve">A number stamped into every session token. Bumping it on the workspace invalidates every issued session at once — how revocation works. PX-010.</t>
  </si>
  <si>
    <t xml:space="preserve">F-nnn</t>
  </si>
  <si>
    <t xml:space="preserve">A defect found by the project's own adversarial cold-review passes.</t>
  </si>
  <si>
    <t xml:space="preserve">The portfolio gate that must close before an enterprise-ready claim may be made. It is closed, and the claim is withdrawn.</t>
  </si>
  <si>
    <t xml:space="preserve">Healthcheck</t>
  </si>
  <si>
    <t xml:space="preserve">A method every provider implements so the boot gate can probe it rather than trusting its type.</t>
  </si>
  <si>
    <t xml:space="preserve">Lease</t>
  </si>
  <si>
    <t xml:space="preserve">A time-bounded claim on a scheduled job, stored in the database, so two replicas cannot run it at once and a restart cannot re-run it inside its interval. PX-006.</t>
  </si>
  <si>
    <t xml:space="preserve">Live sweep</t>
  </si>
  <si>
    <t xml:space="preserve">A 12-step scripted walk through the real product in a real workspace. Written, never run — SC-06.</t>
  </si>
  <si>
    <t xml:space="preserve">NOT MEASURED</t>
  </si>
  <si>
    <t xml:space="preserve">Written wherever a figure has not actually been observed. Used instead of an estimate.</t>
  </si>
  <si>
    <t xml:space="preserve">PX-nnn</t>
  </si>
  <si>
    <t xml:space="preserve">A finding from the second independent review (Perplexity, V001) or from the project's own audit tool.</t>
  </si>
  <si>
    <t xml:space="preserve">PX-S0..S3</t>
  </si>
  <si>
    <t xml:space="preserve">The remediation sprints the second review required, in the order it required them: async boundary, then enforcement, then the gate's blind spots, then adapters.</t>
  </si>
  <si>
    <t xml:space="preserve">The time span within which a repeated Slack request is treated as a retry rather than a new action. Bounded by time (6 hours) since PX-011, not by row count.</t>
  </si>
  <si>
    <t xml:space="preserve">SC-06 / SC-07</t>
  </si>
  <si>
    <t xml:space="preserve">Supply-chain blockers: a Slack workspace credential and Stripe test keys respectively. Neither exists.</t>
  </si>
  <si>
    <t xml:space="preserve">Stub</t>
  </si>
  <si>
    <t xml:space="preserve">A named, honest implementation that does nothing real and says so. Production refuses to start on one, by name.</t>
  </si>
  <si>
    <t xml:space="preserve">Workspace isolation. Every stored row carries a team id and every read is scoped to it; cross-tenant access is a negative test, not an assumption.</t>
  </si>
  <si>
    <t xml:space="preserve">Traceability</t>
  </si>
  <si>
    <t xml:space="preserve">The chain from a finding, to the change that closed it, to the test that would fail if it regressed.</t>
  </si>
  <si>
    <t xml:space="preserve">Unwired</t>
  </si>
  <si>
    <t xml:space="preserve">A capability whose code exists and is covered but which is connected to no real third party.</t>
  </si>
  <si>
    <t xml:space="preserve">Sign Off</t>
  </si>
  <si>
    <t xml:space="preserve">HOW TO USE THIS SHEET: Sign only after Entry_Exit_Criteria shows every exit row met or waived. Write any waiver in full on the waiver rows — a waiver that is not written down did not happen.</t>
  </si>
  <si>
    <t xml:space="preserve">Role</t>
  </si>
  <si>
    <t xml:space="preserve">Name</t>
  </si>
  <si>
    <t xml:space="preserve">What they are attesting</t>
  </si>
  <si>
    <t xml:space="preserve">Signature</t>
  </si>
  <si>
    <t xml:space="preserve">Author / build agent</t>
  </si>
  <si>
    <t xml:space="preserve">Claude (Anthropic)</t>
  </si>
  <si>
    <t xml:space="preserve">That this workbook accurately describes codebase v0.37.0, that every 'what' is taken from the released product record, and that every limitation known at the time of writing is stated on Assumptions_and_Limitations rather than omitted.</t>
  </si>
  <si>
    <t xml:space="preserve">20/09/2026</t>
  </si>
  <si>
    <t xml:space="preserve">Test executor</t>
  </si>
  <si>
    <t xml:space="preserve">That every executable case was run as written against the build named on the Cover_Sheet, and that every result recorded is what was observed.</t>
  </si>
  <si>
    <t xml:space="preserve">Product owner / approver</t>
  </si>
  <si>
    <t xml:space="preserve">Senthil</t>
  </si>
  <si>
    <t xml:space="preserve">That the pending list and its reasons are accepted, that the open defects are accepted with their target sprint, and that the withdrawn enterprise-ready claim remains withdrawn.</t>
  </si>
  <si>
    <t xml:space="preserve">Independent reviewer (optional)</t>
  </si>
  <si>
    <t xml:space="preserve">That the pack was reviewed for gaps against the finding registers.</t>
  </si>
  <si>
    <t xml:space="preserve">Waivers (write in full — a waiver not written here did not happen)</t>
  </si>
</sst>
</file>

<file path=xl/styles.xml><?xml version="1.0" encoding="utf-8"?>
<styleSheet xmlns="http://schemas.openxmlformats.org/spreadsheetml/2006/main">
  <numFmts count="3">
    <numFmt numFmtId="164" formatCode="General"/>
    <numFmt numFmtId="165" formatCode="General"/>
    <numFmt numFmtId="166" formatCode="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1"/>
      <name val="Arial"/>
      <family val="0"/>
      <charset val="1"/>
    </font>
    <font>
      <b val="true"/>
      <sz val="10"/>
      <name val="Arial"/>
      <family val="0"/>
      <charset val="1"/>
    </font>
    <font>
      <sz val="10"/>
      <name val="Arial"/>
      <family val="0"/>
      <charset val="1"/>
    </font>
    <font>
      <sz val="9"/>
      <name val="Arial"/>
      <family val="0"/>
      <charset val="1"/>
    </font>
  </fonts>
  <fills count="8">
    <fill>
      <patternFill patternType="none"/>
    </fill>
    <fill>
      <patternFill patternType="gray125"/>
    </fill>
    <fill>
      <patternFill patternType="solid">
        <fgColor rgb="FFD9E2F3"/>
        <bgColor rgb="FFDDEBF7"/>
      </patternFill>
    </fill>
    <fill>
      <patternFill patternType="solid">
        <fgColor rgb="FFC6EFCE"/>
        <bgColor rgb="FFDDEBF7"/>
      </patternFill>
    </fill>
    <fill>
      <patternFill patternType="solid">
        <fgColor rgb="FFFFEB9C"/>
        <bgColor rgb="FFFFFFCC"/>
      </patternFill>
    </fill>
    <fill>
      <patternFill patternType="solid">
        <fgColor rgb="FFFFC7CE"/>
        <bgColor rgb="FFD9E2F3"/>
      </patternFill>
    </fill>
    <fill>
      <patternFill patternType="solid">
        <fgColor rgb="FFDDEBF7"/>
        <bgColor rgb="FFD9E2F3"/>
      </patternFill>
    </fill>
    <fill>
      <patternFill patternType="solid">
        <fgColor rgb="FFEDEDED"/>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7" fillId="7"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4"/>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15" hidden="false" customHeight="false" outlineLevel="0" collapsed="false">
      <c r="A12" s="3" t="s">
        <v>18</v>
      </c>
      <c r="B12" s="4" t="s">
        <v>19</v>
      </c>
    </row>
    <row r="13" customFormat="false" ht="30" hidden="false" customHeight="true" outlineLevel="0" collapsed="false">
      <c r="A13" s="3" t="s">
        <v>20</v>
      </c>
      <c r="B13" s="4" t="s">
        <v>21</v>
      </c>
    </row>
    <row r="14" customFormat="false" ht="45" hidden="false" customHeight="true" outlineLevel="0" collapsed="false">
      <c r="A14" s="3" t="s">
        <v>22</v>
      </c>
      <c r="B14" s="4" t="s">
        <v>23</v>
      </c>
    </row>
    <row r="15" customFormat="false" ht="15" hidden="false" customHeight="false" outlineLevel="0" collapsed="false">
      <c r="A15" s="3" t="s">
        <v>24</v>
      </c>
      <c r="B15" s="4" t="s">
        <v>25</v>
      </c>
    </row>
    <row r="16" customFormat="false" ht="30" hidden="false" customHeight="true" outlineLevel="0" collapsed="false">
      <c r="A16" s="3" t="s">
        <v>26</v>
      </c>
      <c r="B16" s="4" t="s">
        <v>27</v>
      </c>
    </row>
    <row r="17" customFormat="false" ht="15" hidden="false" customHeight="false" outlineLevel="0" collapsed="false">
      <c r="A17" s="3" t="s">
        <v>28</v>
      </c>
      <c r="B17" s="4" t="s">
        <v>29</v>
      </c>
    </row>
    <row r="18" customFormat="false" ht="15" hidden="false" customHeight="false" outlineLevel="0" collapsed="false">
      <c r="A18" s="3" t="s">
        <v>30</v>
      </c>
      <c r="B18" s="4" t="s">
        <v>31</v>
      </c>
    </row>
    <row r="19" customFormat="false" ht="15" hidden="false" customHeight="false" outlineLevel="0" collapsed="false">
      <c r="A19" s="3" t="s">
        <v>32</v>
      </c>
      <c r="B19" s="4" t="s">
        <v>33</v>
      </c>
    </row>
    <row r="20" customFormat="false" ht="15" hidden="false" customHeight="false" outlineLevel="0" collapsed="false">
      <c r="A20" s="3" t="s">
        <v>34</v>
      </c>
      <c r="B20" s="4" t="s">
        <v>35</v>
      </c>
    </row>
    <row r="21" customFormat="false" ht="30" hidden="false" customHeight="true" outlineLevel="0" collapsed="false">
      <c r="A21" s="3" t="s">
        <v>36</v>
      </c>
      <c r="B21" s="4"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2"/>
    <col collapsed="false" customWidth="true" hidden="false" outlineLevel="0" max="4" min="4" style="0" width="62"/>
    <col collapsed="false" customWidth="true" hidden="false" outlineLevel="0" max="5" min="5" style="0" width="30"/>
    <col collapsed="false" customWidth="true" hidden="false" outlineLevel="0" max="6" min="6" style="0" width="34"/>
    <col collapsed="false" customWidth="true" hidden="false" outlineLevel="0" max="7" min="7" style="0" width="14"/>
  </cols>
  <sheetData>
    <row r="1" customFormat="false" ht="15" hidden="false" customHeight="false" outlineLevel="0" collapsed="false">
      <c r="A1" s="1" t="s">
        <v>38</v>
      </c>
    </row>
    <row r="2" customFormat="false" ht="30" hidden="false" customHeight="true" outlineLevel="0" collapsed="false">
      <c r="A2" s="5" t="s">
        <v>39</v>
      </c>
    </row>
    <row r="4" customFormat="false" ht="30" hidden="false" customHeight="true" outlineLevel="0" collapsed="false">
      <c r="A4" s="6" t="s">
        <v>40</v>
      </c>
      <c r="B4" s="6" t="s">
        <v>41</v>
      </c>
      <c r="C4" s="6" t="s">
        <v>8</v>
      </c>
      <c r="D4" s="6" t="s">
        <v>42</v>
      </c>
      <c r="E4" s="6" t="s">
        <v>43</v>
      </c>
      <c r="F4" s="6" t="s">
        <v>44</v>
      </c>
      <c r="G4" s="6" t="s">
        <v>45</v>
      </c>
    </row>
    <row r="5" customFormat="false" ht="63.75" hidden="false" customHeight="true" outlineLevel="0" collapsed="false">
      <c r="A5" s="4" t="s">
        <v>46</v>
      </c>
      <c r="B5" s="4" t="s">
        <v>7</v>
      </c>
      <c r="C5" s="4" t="s">
        <v>47</v>
      </c>
      <c r="D5" s="4" t="s">
        <v>48</v>
      </c>
      <c r="E5" s="4" t="s">
        <v>49</v>
      </c>
      <c r="F5" s="4" t="s">
        <v>50</v>
      </c>
      <c r="G5" s="4" t="s">
        <v>51</v>
      </c>
    </row>
    <row r="6" customFormat="false" ht="15" hidden="false" customHeight="false" outlineLevel="0" collapsed="false">
      <c r="A6" s="4" t="s">
        <v>52</v>
      </c>
      <c r="B6" s="4" t="s">
        <v>53</v>
      </c>
      <c r="C6" s="4"/>
      <c r="D6" s="4" t="s">
        <v>54</v>
      </c>
      <c r="E6" s="4"/>
      <c r="F6" s="4"/>
      <c r="G6"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8"/>
  </cols>
  <sheetData>
    <row r="1" customFormat="false" ht="15" hidden="false" customHeight="false" outlineLevel="0" collapsed="false">
      <c r="A1" s="1" t="s">
        <v>55</v>
      </c>
    </row>
    <row r="2" customFormat="false" ht="30" hidden="false" customHeight="true" outlineLevel="0" collapsed="false">
      <c r="A2" s="5" t="s">
        <v>56</v>
      </c>
    </row>
    <row r="4" customFormat="false" ht="30" hidden="false" customHeight="true" outlineLevel="0" collapsed="false">
      <c r="A4" s="6" t="s">
        <v>57</v>
      </c>
      <c r="B4" s="6" t="s">
        <v>58</v>
      </c>
    </row>
    <row r="5" customFormat="false" ht="60" hidden="false" customHeight="true" outlineLevel="0" collapsed="false">
      <c r="A5" s="4" t="s">
        <v>59</v>
      </c>
      <c r="B5" s="4" t="s">
        <v>60</v>
      </c>
    </row>
    <row r="6" customFormat="false" ht="30" hidden="false" customHeight="true" outlineLevel="0" collapsed="false">
      <c r="A6" s="4" t="s">
        <v>61</v>
      </c>
      <c r="B6" s="4" t="s">
        <v>62</v>
      </c>
    </row>
    <row r="7" customFormat="false" ht="45" hidden="false" customHeight="true" outlineLevel="0" collapsed="false">
      <c r="A7" s="4" t="s">
        <v>63</v>
      </c>
      <c r="B7" s="4" t="s">
        <v>64</v>
      </c>
    </row>
    <row r="8" customFormat="false" ht="45" hidden="false" customHeight="true" outlineLevel="0" collapsed="false">
      <c r="A8" s="4" t="s">
        <v>65</v>
      </c>
      <c r="B8" s="4" t="s">
        <v>66</v>
      </c>
    </row>
    <row r="9" customFormat="false" ht="45" hidden="false" customHeight="true" outlineLevel="0" collapsed="false">
      <c r="A9" s="4" t="s">
        <v>67</v>
      </c>
      <c r="B9" s="4" t="s">
        <v>68</v>
      </c>
    </row>
    <row r="10" customFormat="false" ht="45" hidden="false" customHeight="true" outlineLevel="0" collapsed="false">
      <c r="A10" s="4" t="s">
        <v>69</v>
      </c>
      <c r="B10" s="4" t="s">
        <v>70</v>
      </c>
    </row>
    <row r="11" customFormat="false" ht="60" hidden="false" customHeight="true" outlineLevel="0" collapsed="false">
      <c r="A11" s="4" t="s">
        <v>71</v>
      </c>
      <c r="B11" s="4" t="s">
        <v>72</v>
      </c>
    </row>
    <row r="12" customFormat="false" ht="45" hidden="false" customHeight="true" outlineLevel="0" collapsed="false">
      <c r="A12" s="4" t="s">
        <v>73</v>
      </c>
      <c r="B12" s="4" t="s">
        <v>74</v>
      </c>
    </row>
    <row r="13" customFormat="false" ht="45" hidden="false" customHeight="true" outlineLevel="0" collapsed="false">
      <c r="A13" s="4" t="s">
        <v>75</v>
      </c>
      <c r="B13" s="4" t="s">
        <v>76</v>
      </c>
    </row>
    <row r="14" customFormat="false" ht="30" hidden="false" customHeight="true" outlineLevel="0" collapsed="false">
      <c r="A14" s="4" t="s">
        <v>77</v>
      </c>
      <c r="B14" s="4"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4"/>
    <col collapsed="false" customWidth="true" hidden="false" outlineLevel="0" max="4" min="4" style="0" width="52"/>
    <col collapsed="false" customWidth="true" hidden="false" outlineLevel="0" max="5" min="5" style="0" width="62"/>
    <col collapsed="false" customWidth="true" hidden="false" outlineLevel="0" max="6" min="6" style="0" width="18"/>
  </cols>
  <sheetData>
    <row r="1" customFormat="false" ht="15" hidden="false" customHeight="false" outlineLevel="0" collapsed="false">
      <c r="A1" s="1" t="s">
        <v>79</v>
      </c>
    </row>
    <row r="2" customFormat="false" ht="30" hidden="false" customHeight="true" outlineLevel="0" collapsed="false">
      <c r="A2" s="5" t="s">
        <v>80</v>
      </c>
    </row>
    <row r="4" customFormat="false" ht="30" hidden="false" customHeight="true" outlineLevel="0" collapsed="false">
      <c r="A4" s="6" t="s">
        <v>81</v>
      </c>
      <c r="B4" s="6" t="s">
        <v>82</v>
      </c>
      <c r="C4" s="6" t="s">
        <v>83</v>
      </c>
      <c r="D4" s="6" t="s">
        <v>22</v>
      </c>
      <c r="E4" s="6" t="s">
        <v>84</v>
      </c>
      <c r="F4" s="6" t="s">
        <v>85</v>
      </c>
    </row>
    <row r="5" customFormat="false" ht="39" hidden="false" customHeight="true" outlineLevel="0" collapsed="false">
      <c r="A5" s="4" t="n">
        <v>1</v>
      </c>
      <c r="B5" s="4" t="s">
        <v>86</v>
      </c>
      <c r="C5" s="4" t="s">
        <v>87</v>
      </c>
      <c r="D5" s="4" t="s">
        <v>88</v>
      </c>
      <c r="E5" s="4" t="s">
        <v>89</v>
      </c>
      <c r="F5" s="4" t="s">
        <v>90</v>
      </c>
    </row>
    <row r="6" customFormat="false" ht="51.75" hidden="false" customHeight="true" outlineLevel="0" collapsed="false">
      <c r="A6" s="4" t="n">
        <v>2</v>
      </c>
      <c r="B6" s="4" t="s">
        <v>91</v>
      </c>
      <c r="C6" s="4" t="s">
        <v>92</v>
      </c>
      <c r="D6" s="4" t="s">
        <v>93</v>
      </c>
      <c r="E6" s="4" t="s">
        <v>94</v>
      </c>
      <c r="F6" s="4" t="s">
        <v>8</v>
      </c>
    </row>
    <row r="7" customFormat="false" ht="51.75" hidden="false" customHeight="true" outlineLevel="0" collapsed="false">
      <c r="A7" s="4" t="n">
        <v>3</v>
      </c>
      <c r="B7" s="4" t="s">
        <v>95</v>
      </c>
      <c r="C7" s="4" t="s">
        <v>96</v>
      </c>
      <c r="D7" s="4" t="s">
        <v>97</v>
      </c>
      <c r="E7" s="4" t="s">
        <v>98</v>
      </c>
      <c r="F7" s="4" t="s">
        <v>8</v>
      </c>
    </row>
    <row r="8" customFormat="false" ht="39" hidden="false" customHeight="true" outlineLevel="0" collapsed="false">
      <c r="A8" s="4" t="n">
        <v>4</v>
      </c>
      <c r="B8" s="4" t="s">
        <v>99</v>
      </c>
      <c r="C8" s="4" t="s">
        <v>100</v>
      </c>
      <c r="D8" s="4" t="s">
        <v>101</v>
      </c>
      <c r="E8" s="4" t="s">
        <v>102</v>
      </c>
      <c r="F8" s="4" t="s">
        <v>8</v>
      </c>
    </row>
    <row r="9" customFormat="false" ht="78" hidden="false" customHeight="true" outlineLevel="0" collapsed="false">
      <c r="A9" s="4" t="n">
        <v>5</v>
      </c>
      <c r="B9" s="4" t="s">
        <v>103</v>
      </c>
      <c r="C9" s="4" t="s">
        <v>104</v>
      </c>
      <c r="D9" s="4" t="s">
        <v>105</v>
      </c>
      <c r="E9" s="4" t="s">
        <v>106</v>
      </c>
      <c r="F9" s="4" t="s">
        <v>107</v>
      </c>
    </row>
    <row r="10" customFormat="false" ht="78" hidden="false" customHeight="true" outlineLevel="0" collapsed="false">
      <c r="A10" s="4" t="n">
        <v>6</v>
      </c>
      <c r="B10" s="4" t="s">
        <v>108</v>
      </c>
      <c r="C10" s="4" t="s">
        <v>109</v>
      </c>
      <c r="D10" s="4" t="s">
        <v>110</v>
      </c>
      <c r="E10" s="4" t="s">
        <v>111</v>
      </c>
      <c r="F10" s="4" t="s">
        <v>112</v>
      </c>
    </row>
    <row r="11" customFormat="false" ht="78" hidden="false" customHeight="true" outlineLevel="0" collapsed="false">
      <c r="A11" s="4" t="n">
        <v>7</v>
      </c>
      <c r="B11" s="4" t="s">
        <v>113</v>
      </c>
      <c r="C11" s="4" t="s">
        <v>114</v>
      </c>
      <c r="D11" s="4" t="s">
        <v>115</v>
      </c>
      <c r="E11" s="4" t="s">
        <v>116</v>
      </c>
      <c r="F11" s="4" t="s">
        <v>107</v>
      </c>
    </row>
    <row r="12" customFormat="false" ht="51.75" hidden="false" customHeight="true" outlineLevel="0" collapsed="false">
      <c r="A12" s="4" t="n">
        <v>8</v>
      </c>
      <c r="B12" s="4" t="s">
        <v>117</v>
      </c>
      <c r="C12" s="4" t="s">
        <v>118</v>
      </c>
      <c r="D12" s="4" t="s">
        <v>119</v>
      </c>
      <c r="E12" s="4" t="s">
        <v>120</v>
      </c>
      <c r="F12" s="4" t="s">
        <v>8</v>
      </c>
    </row>
    <row r="13" customFormat="false" ht="51.75" hidden="false" customHeight="true" outlineLevel="0" collapsed="false">
      <c r="A13" s="4" t="n">
        <v>9</v>
      </c>
      <c r="B13" s="4" t="s">
        <v>121</v>
      </c>
      <c r="C13" s="4" t="s">
        <v>122</v>
      </c>
      <c r="D13" s="4" t="s">
        <v>123</v>
      </c>
      <c r="E13" s="4" t="s">
        <v>124</v>
      </c>
      <c r="F13" s="4" t="s">
        <v>47</v>
      </c>
    </row>
    <row r="14" customFormat="false" ht="51.75" hidden="false" customHeight="true" outlineLevel="0" collapsed="false">
      <c r="A14" s="4" t="n">
        <v>10</v>
      </c>
      <c r="B14" s="4" t="s">
        <v>125</v>
      </c>
      <c r="C14" s="4" t="s">
        <v>126</v>
      </c>
      <c r="D14" s="4" t="s">
        <v>127</v>
      </c>
      <c r="E14" s="4" t="s">
        <v>128</v>
      </c>
      <c r="F14" s="4" t="s">
        <v>129</v>
      </c>
    </row>
    <row r="15" customFormat="false" ht="90" hidden="false" customHeight="true" outlineLevel="0" collapsed="false">
      <c r="A15" s="4" t="n">
        <v>11</v>
      </c>
      <c r="B15" s="4" t="s">
        <v>130</v>
      </c>
      <c r="C15" s="4" t="s">
        <v>131</v>
      </c>
      <c r="D15" s="4" t="s">
        <v>132</v>
      </c>
      <c r="E15" s="4" t="s">
        <v>133</v>
      </c>
      <c r="F15" s="4" t="s">
        <v>134</v>
      </c>
    </row>
    <row r="16" customFormat="false" ht="78" hidden="false" customHeight="true" outlineLevel="0" collapsed="false">
      <c r="A16" s="4" t="n">
        <v>12</v>
      </c>
      <c r="B16" s="4" t="s">
        <v>135</v>
      </c>
      <c r="C16" s="4" t="s">
        <v>136</v>
      </c>
      <c r="D16" s="4" t="s">
        <v>137</v>
      </c>
      <c r="E16" s="4" t="s">
        <v>138</v>
      </c>
      <c r="F16" s="4" t="s">
        <v>134</v>
      </c>
    </row>
    <row r="17" customFormat="false" ht="64.5" hidden="false" customHeight="true" outlineLevel="0" collapsed="false">
      <c r="A17" s="4" t="n">
        <v>13</v>
      </c>
      <c r="B17" s="4" t="s">
        <v>139</v>
      </c>
      <c r="C17" s="4" t="s">
        <v>140</v>
      </c>
      <c r="D17" s="4" t="s">
        <v>141</v>
      </c>
      <c r="E17" s="4" t="s">
        <v>142</v>
      </c>
      <c r="F17" s="4" t="s">
        <v>143</v>
      </c>
    </row>
    <row r="18" customFormat="false" ht="78" hidden="false" customHeight="true" outlineLevel="0" collapsed="false">
      <c r="A18" s="4" t="n">
        <v>14</v>
      </c>
      <c r="B18" s="4" t="s">
        <v>144</v>
      </c>
      <c r="C18" s="4" t="s">
        <v>145</v>
      </c>
      <c r="D18" s="4" t="s">
        <v>146</v>
      </c>
      <c r="E18" s="4" t="s">
        <v>147</v>
      </c>
      <c r="F18" s="4" t="s">
        <v>148</v>
      </c>
    </row>
    <row r="19" customFormat="false" ht="64.5" hidden="false" customHeight="true" outlineLevel="0" collapsed="false">
      <c r="A19" s="4" t="n">
        <v>15</v>
      </c>
      <c r="B19" s="4" t="s">
        <v>149</v>
      </c>
      <c r="C19" s="4" t="s">
        <v>150</v>
      </c>
      <c r="D19" s="4" t="s">
        <v>151</v>
      </c>
      <c r="E19" s="4" t="s">
        <v>152</v>
      </c>
      <c r="F19" s="4" t="s">
        <v>107</v>
      </c>
    </row>
    <row r="20" customFormat="false" ht="64.5" hidden="false" customHeight="true" outlineLevel="0" collapsed="false">
      <c r="A20" s="4" t="n">
        <v>16</v>
      </c>
      <c r="B20" s="4" t="s">
        <v>153</v>
      </c>
      <c r="C20" s="4" t="s">
        <v>154</v>
      </c>
      <c r="D20" s="4" t="s">
        <v>155</v>
      </c>
      <c r="E20" s="4" t="s">
        <v>156</v>
      </c>
      <c r="F20" s="4" t="s">
        <v>157</v>
      </c>
    </row>
    <row r="21" customFormat="false" ht="51.75" hidden="false" customHeight="true" outlineLevel="0" collapsed="false">
      <c r="A21" s="4" t="n">
        <v>17</v>
      </c>
      <c r="B21" s="4" t="s">
        <v>158</v>
      </c>
      <c r="C21" s="4" t="s">
        <v>159</v>
      </c>
      <c r="D21" s="4" t="s">
        <v>160</v>
      </c>
      <c r="E21" s="4" t="s">
        <v>161</v>
      </c>
      <c r="F21" s="4" t="s">
        <v>8</v>
      </c>
    </row>
    <row r="22" customFormat="false" ht="51.75" hidden="false" customHeight="true" outlineLevel="0" collapsed="false">
      <c r="A22" s="4" t="n">
        <v>18</v>
      </c>
      <c r="B22" s="4" t="s">
        <v>162</v>
      </c>
      <c r="C22" s="4" t="s">
        <v>163</v>
      </c>
      <c r="D22" s="4" t="s">
        <v>164</v>
      </c>
      <c r="E22" s="4" t="s">
        <v>165</v>
      </c>
      <c r="F22" s="4" t="s">
        <v>8</v>
      </c>
    </row>
    <row r="23" customFormat="false" ht="51.75" hidden="false" customHeight="true" outlineLevel="0" collapsed="false">
      <c r="A23" s="4" t="n">
        <v>19</v>
      </c>
      <c r="B23" s="4" t="s">
        <v>166</v>
      </c>
      <c r="C23" s="4" t="s">
        <v>167</v>
      </c>
      <c r="D23" s="4" t="s">
        <v>168</v>
      </c>
      <c r="E23" s="4" t="s">
        <v>169</v>
      </c>
      <c r="F23" s="4"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1"/>
    <col collapsed="false" customWidth="true" hidden="false" outlineLevel="0" max="4" min="4" style="0" width="9"/>
    <col collapsed="false" customWidth="true" hidden="false" outlineLevel="0" max="5" min="5" style="0" width="17"/>
    <col collapsed="false" customWidth="true" hidden="false" outlineLevel="0" max="6" min="6" style="0" width="26"/>
    <col collapsed="false" customWidth="true" hidden="false" outlineLevel="0" max="7" min="7" style="0" width="82"/>
    <col collapsed="false" customWidth="true" hidden="false" outlineLevel="0" max="8" min="8" style="0" width="72"/>
    <col collapsed="false" customWidth="true" hidden="false" outlineLevel="0" max="9" min="9" style="0" width="34"/>
    <col collapsed="false" customWidth="true" hidden="false" outlineLevel="0" max="10" min="10" style="0" width="16"/>
    <col collapsed="false" customWidth="true" hidden="false" outlineLevel="0" max="11" min="11" style="0" width="11"/>
  </cols>
  <sheetData>
    <row r="1" customFormat="false" ht="15" hidden="false" customHeight="false" outlineLevel="0" collapsed="false">
      <c r="A1" s="1" t="s">
        <v>170</v>
      </c>
    </row>
    <row r="2" customFormat="false" ht="30" hidden="false" customHeight="true" outlineLevel="0" collapsed="false">
      <c r="A2" s="5" t="s">
        <v>171</v>
      </c>
    </row>
    <row r="4" customFormat="false" ht="30" hidden="false" customHeight="true" outlineLevel="0" collapsed="false">
      <c r="A4" s="6" t="s">
        <v>81</v>
      </c>
      <c r="B4" s="6" t="s">
        <v>172</v>
      </c>
      <c r="C4" s="6" t="s">
        <v>173</v>
      </c>
      <c r="D4" s="6" t="s">
        <v>174</v>
      </c>
      <c r="E4" s="6" t="s">
        <v>175</v>
      </c>
      <c r="F4" s="6" t="s">
        <v>176</v>
      </c>
      <c r="G4" s="6" t="s">
        <v>177</v>
      </c>
      <c r="H4" s="6" t="s">
        <v>178</v>
      </c>
      <c r="I4" s="6" t="s">
        <v>179</v>
      </c>
      <c r="J4" s="6" t="s">
        <v>180</v>
      </c>
      <c r="K4" s="6" t="s">
        <v>181</v>
      </c>
    </row>
    <row r="5" customFormat="false" ht="51.75" hidden="false" customHeight="true" outlineLevel="0" collapsed="false">
      <c r="A5" s="4" t="n">
        <v>1</v>
      </c>
      <c r="B5" s="4" t="s">
        <v>182</v>
      </c>
      <c r="C5" s="4" t="s">
        <v>183</v>
      </c>
      <c r="D5" s="4" t="s">
        <v>183</v>
      </c>
      <c r="E5" s="4" t="s">
        <v>184</v>
      </c>
      <c r="F5" s="4" t="s">
        <v>185</v>
      </c>
      <c r="G5" s="4" t="s">
        <v>186</v>
      </c>
      <c r="H5" s="4" t="s">
        <v>187</v>
      </c>
      <c r="I5" s="4" t="s">
        <v>188</v>
      </c>
      <c r="J5" s="4" t="s">
        <v>183</v>
      </c>
      <c r="K5" s="7" t="s">
        <v>175</v>
      </c>
    </row>
    <row r="6" customFormat="false" ht="64.5" hidden="false" customHeight="true" outlineLevel="0" collapsed="false">
      <c r="A6" s="4" t="n">
        <v>2</v>
      </c>
      <c r="B6" s="4" t="s">
        <v>189</v>
      </c>
      <c r="C6" s="4" t="s">
        <v>183</v>
      </c>
      <c r="D6" s="4" t="s">
        <v>183</v>
      </c>
      <c r="E6" s="4" t="s">
        <v>190</v>
      </c>
      <c r="F6" s="4" t="s">
        <v>191</v>
      </c>
      <c r="G6" s="4" t="s">
        <v>192</v>
      </c>
      <c r="H6" s="4" t="s">
        <v>193</v>
      </c>
      <c r="I6" s="4" t="s">
        <v>194</v>
      </c>
      <c r="J6" s="4" t="s">
        <v>183</v>
      </c>
      <c r="K6" s="7" t="s">
        <v>175</v>
      </c>
    </row>
    <row r="7" customFormat="false" ht="78" hidden="false" customHeight="true" outlineLevel="0" collapsed="false">
      <c r="A7" s="4" t="n">
        <v>3</v>
      </c>
      <c r="B7" s="4" t="s">
        <v>195</v>
      </c>
      <c r="C7" s="4" t="s">
        <v>196</v>
      </c>
      <c r="D7" s="4" t="s">
        <v>197</v>
      </c>
      <c r="E7" s="4" t="s">
        <v>198</v>
      </c>
      <c r="F7" s="4" t="s">
        <v>199</v>
      </c>
      <c r="G7" s="4" t="s">
        <v>200</v>
      </c>
      <c r="H7" s="4" t="s">
        <v>201</v>
      </c>
      <c r="I7" s="4" t="s">
        <v>202</v>
      </c>
      <c r="J7" s="4" t="s">
        <v>183</v>
      </c>
      <c r="K7" s="7" t="s">
        <v>175</v>
      </c>
    </row>
    <row r="8" customFormat="false" ht="90.75" hidden="false" customHeight="true" outlineLevel="0" collapsed="false">
      <c r="A8" s="4" t="n">
        <v>4</v>
      </c>
      <c r="B8" s="4" t="s">
        <v>203</v>
      </c>
      <c r="C8" s="4" t="s">
        <v>204</v>
      </c>
      <c r="D8" s="4" t="s">
        <v>197</v>
      </c>
      <c r="E8" s="4" t="s">
        <v>205</v>
      </c>
      <c r="F8" s="4" t="s">
        <v>206</v>
      </c>
      <c r="G8" s="4" t="s">
        <v>207</v>
      </c>
      <c r="H8" s="4" t="s">
        <v>208</v>
      </c>
      <c r="I8" s="4" t="s">
        <v>209</v>
      </c>
      <c r="J8" s="4" t="s">
        <v>183</v>
      </c>
      <c r="K8" s="7" t="s">
        <v>175</v>
      </c>
    </row>
    <row r="9" customFormat="false" ht="64.5" hidden="false" customHeight="true" outlineLevel="0" collapsed="false">
      <c r="A9" s="4" t="n">
        <v>5</v>
      </c>
      <c r="B9" s="4" t="s">
        <v>210</v>
      </c>
      <c r="C9" s="4" t="s">
        <v>211</v>
      </c>
      <c r="D9" s="4" t="s">
        <v>212</v>
      </c>
      <c r="E9" s="4" t="s">
        <v>213</v>
      </c>
      <c r="F9" s="4" t="s">
        <v>214</v>
      </c>
      <c r="G9" s="4" t="s">
        <v>215</v>
      </c>
      <c r="H9" s="4" t="s">
        <v>216</v>
      </c>
      <c r="I9" s="4" t="s">
        <v>217</v>
      </c>
      <c r="J9" s="4" t="s">
        <v>183</v>
      </c>
      <c r="K9" s="7" t="s">
        <v>175</v>
      </c>
    </row>
    <row r="10" customFormat="false" ht="78" hidden="false" customHeight="true" outlineLevel="0" collapsed="false">
      <c r="A10" s="4" t="n">
        <v>6</v>
      </c>
      <c r="B10" s="4" t="s">
        <v>218</v>
      </c>
      <c r="C10" s="4" t="s">
        <v>219</v>
      </c>
      <c r="D10" s="4" t="s">
        <v>220</v>
      </c>
      <c r="E10" s="4" t="s">
        <v>221</v>
      </c>
      <c r="F10" s="4" t="s">
        <v>222</v>
      </c>
      <c r="G10" s="4" t="s">
        <v>223</v>
      </c>
      <c r="H10" s="4" t="s">
        <v>224</v>
      </c>
      <c r="I10" s="4" t="s">
        <v>225</v>
      </c>
      <c r="J10" s="4" t="s">
        <v>226</v>
      </c>
      <c r="K10" s="7" t="s">
        <v>175</v>
      </c>
    </row>
    <row r="11" customFormat="false" ht="90.75" hidden="false" customHeight="true" outlineLevel="0" collapsed="false">
      <c r="A11" s="4" t="n">
        <v>7</v>
      </c>
      <c r="B11" s="4" t="s">
        <v>227</v>
      </c>
      <c r="C11" s="4" t="s">
        <v>228</v>
      </c>
      <c r="D11" s="4" t="s">
        <v>229</v>
      </c>
      <c r="E11" s="4" t="s">
        <v>230</v>
      </c>
      <c r="F11" s="4" t="s">
        <v>231</v>
      </c>
      <c r="G11" s="4" t="s">
        <v>232</v>
      </c>
      <c r="H11" s="4" t="s">
        <v>233</v>
      </c>
      <c r="I11" s="4" t="s">
        <v>234</v>
      </c>
      <c r="J11" s="4" t="s">
        <v>183</v>
      </c>
      <c r="K11" s="7" t="s">
        <v>175</v>
      </c>
    </row>
    <row r="12" customFormat="false" ht="117" hidden="false" customHeight="true" outlineLevel="0" collapsed="false">
      <c r="A12" s="4" t="n">
        <v>8</v>
      </c>
      <c r="B12" s="4" t="s">
        <v>235</v>
      </c>
      <c r="C12" s="4" t="s">
        <v>236</v>
      </c>
      <c r="D12" s="4" t="s">
        <v>237</v>
      </c>
      <c r="E12" s="4" t="s">
        <v>238</v>
      </c>
      <c r="F12" s="4" t="s">
        <v>239</v>
      </c>
      <c r="G12" s="4" t="s">
        <v>240</v>
      </c>
      <c r="H12" s="4" t="s">
        <v>241</v>
      </c>
      <c r="I12" s="4" t="s">
        <v>242</v>
      </c>
      <c r="J12" s="4" t="s">
        <v>243</v>
      </c>
      <c r="K12" s="7" t="s">
        <v>175</v>
      </c>
    </row>
    <row r="13" customFormat="false" ht="117" hidden="false" customHeight="true" outlineLevel="0" collapsed="false">
      <c r="A13" s="4" t="n">
        <v>9</v>
      </c>
      <c r="B13" s="4" t="s">
        <v>244</v>
      </c>
      <c r="C13" s="4" t="s">
        <v>245</v>
      </c>
      <c r="D13" s="4" t="s">
        <v>246</v>
      </c>
      <c r="E13" s="4" t="s">
        <v>247</v>
      </c>
      <c r="F13" s="4" t="s">
        <v>248</v>
      </c>
      <c r="G13" s="4" t="s">
        <v>249</v>
      </c>
      <c r="H13" s="4" t="s">
        <v>250</v>
      </c>
      <c r="I13" s="4" t="s">
        <v>251</v>
      </c>
      <c r="J13" s="4" t="s">
        <v>252</v>
      </c>
      <c r="K13" s="7" t="s">
        <v>175</v>
      </c>
    </row>
    <row r="14" customFormat="false" ht="90.75" hidden="false" customHeight="true" outlineLevel="0" collapsed="false">
      <c r="A14" s="4" t="n">
        <v>10</v>
      </c>
      <c r="B14" s="4" t="s">
        <v>253</v>
      </c>
      <c r="C14" s="4" t="s">
        <v>254</v>
      </c>
      <c r="D14" s="4" t="s">
        <v>189</v>
      </c>
      <c r="E14" s="4" t="s">
        <v>255</v>
      </c>
      <c r="F14" s="4" t="s">
        <v>256</v>
      </c>
      <c r="G14" s="4" t="s">
        <v>257</v>
      </c>
      <c r="H14" s="4" t="s">
        <v>258</v>
      </c>
      <c r="I14" s="4" t="s">
        <v>259</v>
      </c>
      <c r="J14" s="4" t="s">
        <v>260</v>
      </c>
      <c r="K14" s="7" t="s">
        <v>175</v>
      </c>
    </row>
    <row r="15" customFormat="false" ht="117" hidden="false" customHeight="true" outlineLevel="0" collapsed="false">
      <c r="A15" s="4" t="n">
        <v>11</v>
      </c>
      <c r="B15" s="4" t="s">
        <v>261</v>
      </c>
      <c r="C15" s="4" t="s">
        <v>262</v>
      </c>
      <c r="D15" s="4" t="s">
        <v>195</v>
      </c>
      <c r="E15" s="4" t="s">
        <v>263</v>
      </c>
      <c r="F15" s="4" t="s">
        <v>264</v>
      </c>
      <c r="G15" s="4" t="s">
        <v>265</v>
      </c>
      <c r="H15" s="4" t="s">
        <v>266</v>
      </c>
      <c r="I15" s="4" t="s">
        <v>267</v>
      </c>
      <c r="J15" s="4" t="s">
        <v>268</v>
      </c>
      <c r="K15" s="7" t="s">
        <v>175</v>
      </c>
    </row>
    <row r="16" customFormat="false" ht="78" hidden="false" customHeight="true" outlineLevel="0" collapsed="false">
      <c r="A16" s="4" t="n">
        <v>12</v>
      </c>
      <c r="B16" s="4" t="s">
        <v>269</v>
      </c>
      <c r="C16" s="4" t="s">
        <v>270</v>
      </c>
      <c r="D16" s="4" t="s">
        <v>203</v>
      </c>
      <c r="E16" s="4" t="s">
        <v>271</v>
      </c>
      <c r="F16" s="4" t="s">
        <v>272</v>
      </c>
      <c r="G16" s="4" t="s">
        <v>273</v>
      </c>
      <c r="H16" s="4" t="s">
        <v>274</v>
      </c>
      <c r="I16" s="4" t="s">
        <v>275</v>
      </c>
      <c r="J16" s="4" t="s">
        <v>183</v>
      </c>
      <c r="K16" s="7" t="s">
        <v>175</v>
      </c>
    </row>
    <row r="17" customFormat="false" ht="103.5" hidden="false" customHeight="true" outlineLevel="0" collapsed="false">
      <c r="A17" s="4" t="n">
        <v>13</v>
      </c>
      <c r="B17" s="4" t="s">
        <v>276</v>
      </c>
      <c r="C17" s="4" t="s">
        <v>277</v>
      </c>
      <c r="D17" s="4" t="s">
        <v>210</v>
      </c>
      <c r="E17" s="4" t="s">
        <v>278</v>
      </c>
      <c r="F17" s="4" t="s">
        <v>279</v>
      </c>
      <c r="G17" s="4" t="s">
        <v>280</v>
      </c>
      <c r="H17" s="4" t="s">
        <v>281</v>
      </c>
      <c r="I17" s="4" t="s">
        <v>282</v>
      </c>
      <c r="J17" s="4" t="s">
        <v>283</v>
      </c>
      <c r="K17" s="7" t="s">
        <v>175</v>
      </c>
    </row>
    <row r="18" customFormat="false" ht="103.5" hidden="false" customHeight="true" outlineLevel="0" collapsed="false">
      <c r="A18" s="4" t="n">
        <v>14</v>
      </c>
      <c r="B18" s="4" t="s">
        <v>284</v>
      </c>
      <c r="C18" s="4" t="s">
        <v>285</v>
      </c>
      <c r="D18" s="4" t="s">
        <v>218</v>
      </c>
      <c r="E18" s="4" t="s">
        <v>286</v>
      </c>
      <c r="F18" s="4" t="s">
        <v>287</v>
      </c>
      <c r="G18" s="4" t="s">
        <v>288</v>
      </c>
      <c r="H18" s="4" t="s">
        <v>289</v>
      </c>
      <c r="I18" s="4" t="s">
        <v>290</v>
      </c>
      <c r="J18" s="4" t="s">
        <v>291</v>
      </c>
      <c r="K18" s="7" t="s">
        <v>175</v>
      </c>
    </row>
    <row r="19" customFormat="false" ht="90.75" hidden="false" customHeight="true" outlineLevel="0" collapsed="false">
      <c r="A19" s="4" t="n">
        <v>15</v>
      </c>
      <c r="B19" s="4" t="s">
        <v>292</v>
      </c>
      <c r="C19" s="4" t="s">
        <v>293</v>
      </c>
      <c r="D19" s="4" t="s">
        <v>227</v>
      </c>
      <c r="E19" s="4" t="s">
        <v>294</v>
      </c>
      <c r="F19" s="4" t="s">
        <v>295</v>
      </c>
      <c r="G19" s="4" t="s">
        <v>296</v>
      </c>
      <c r="H19" s="4" t="s">
        <v>297</v>
      </c>
      <c r="I19" s="4" t="s">
        <v>298</v>
      </c>
      <c r="J19" s="4" t="s">
        <v>299</v>
      </c>
      <c r="K19" s="7" t="s">
        <v>175</v>
      </c>
    </row>
    <row r="20" customFormat="false" ht="90.75" hidden="false" customHeight="true" outlineLevel="0" collapsed="false">
      <c r="A20" s="4" t="n">
        <v>16</v>
      </c>
      <c r="B20" s="4" t="s">
        <v>300</v>
      </c>
      <c r="C20" s="4" t="s">
        <v>301</v>
      </c>
      <c r="D20" s="4" t="s">
        <v>235</v>
      </c>
      <c r="E20" s="4" t="s">
        <v>302</v>
      </c>
      <c r="F20" s="4" t="s">
        <v>303</v>
      </c>
      <c r="G20" s="4" t="s">
        <v>304</v>
      </c>
      <c r="H20" s="4" t="s">
        <v>305</v>
      </c>
      <c r="I20" s="4" t="s">
        <v>306</v>
      </c>
      <c r="J20" s="4" t="s">
        <v>183</v>
      </c>
      <c r="K20" s="7" t="s">
        <v>175</v>
      </c>
    </row>
    <row r="21" customFormat="false" ht="90.75" hidden="false" customHeight="true" outlineLevel="0" collapsed="false">
      <c r="A21" s="4" t="n">
        <v>17</v>
      </c>
      <c r="B21" s="4" t="s">
        <v>307</v>
      </c>
      <c r="C21" s="4" t="s">
        <v>308</v>
      </c>
      <c r="D21" s="4" t="s">
        <v>244</v>
      </c>
      <c r="E21" s="4" t="s">
        <v>309</v>
      </c>
      <c r="F21" s="4" t="s">
        <v>310</v>
      </c>
      <c r="G21" s="4" t="s">
        <v>311</v>
      </c>
      <c r="H21" s="4" t="s">
        <v>312</v>
      </c>
      <c r="I21" s="4" t="s">
        <v>313</v>
      </c>
      <c r="J21" s="4" t="s">
        <v>183</v>
      </c>
      <c r="K21" s="7" t="s">
        <v>175</v>
      </c>
    </row>
    <row r="22" customFormat="false" ht="90.75" hidden="false" customHeight="true" outlineLevel="0" collapsed="false">
      <c r="A22" s="4" t="n">
        <v>18</v>
      </c>
      <c r="B22" s="4" t="s">
        <v>314</v>
      </c>
      <c r="C22" s="4" t="s">
        <v>315</v>
      </c>
      <c r="D22" s="4" t="s">
        <v>261</v>
      </c>
      <c r="E22" s="4" t="s">
        <v>316</v>
      </c>
      <c r="F22" s="4" t="s">
        <v>317</v>
      </c>
      <c r="G22" s="4" t="s">
        <v>318</v>
      </c>
      <c r="H22" s="4" t="s">
        <v>319</v>
      </c>
      <c r="I22" s="4" t="s">
        <v>320</v>
      </c>
      <c r="J22" s="4" t="s">
        <v>321</v>
      </c>
      <c r="K22" s="7" t="s">
        <v>175</v>
      </c>
    </row>
    <row r="23" customFormat="false" ht="103.5" hidden="false" customHeight="true" outlineLevel="0" collapsed="false">
      <c r="A23" s="4" t="n">
        <v>19</v>
      </c>
      <c r="B23" s="4" t="s">
        <v>322</v>
      </c>
      <c r="C23" s="4" t="s">
        <v>323</v>
      </c>
      <c r="D23" s="4" t="s">
        <v>269</v>
      </c>
      <c r="E23" s="4" t="s">
        <v>324</v>
      </c>
      <c r="F23" s="4" t="s">
        <v>325</v>
      </c>
      <c r="G23" s="4" t="s">
        <v>326</v>
      </c>
      <c r="H23" s="4" t="s">
        <v>327</v>
      </c>
      <c r="I23" s="4" t="s">
        <v>328</v>
      </c>
      <c r="J23" s="4" t="s">
        <v>329</v>
      </c>
      <c r="K23" s="7" t="s">
        <v>175</v>
      </c>
    </row>
    <row r="24" customFormat="false" ht="103.5" hidden="false" customHeight="true" outlineLevel="0" collapsed="false">
      <c r="A24" s="4" t="n">
        <v>20</v>
      </c>
      <c r="B24" s="4" t="s">
        <v>330</v>
      </c>
      <c r="C24" s="4" t="s">
        <v>331</v>
      </c>
      <c r="D24" s="4" t="s">
        <v>276</v>
      </c>
      <c r="E24" s="4" t="s">
        <v>332</v>
      </c>
      <c r="F24" s="4" t="s">
        <v>333</v>
      </c>
      <c r="G24" s="4" t="s">
        <v>334</v>
      </c>
      <c r="H24" s="4" t="s">
        <v>335</v>
      </c>
      <c r="I24" s="4" t="s">
        <v>336</v>
      </c>
      <c r="J24" s="4" t="s">
        <v>337</v>
      </c>
      <c r="K24" s="7" t="s">
        <v>175</v>
      </c>
    </row>
    <row r="25" customFormat="false" ht="103.5" hidden="false" customHeight="true" outlineLevel="0" collapsed="false">
      <c r="A25" s="4" t="n">
        <v>21</v>
      </c>
      <c r="B25" s="4" t="s">
        <v>338</v>
      </c>
      <c r="C25" s="4" t="s">
        <v>339</v>
      </c>
      <c r="D25" s="4" t="s">
        <v>284</v>
      </c>
      <c r="E25" s="4" t="s">
        <v>340</v>
      </c>
      <c r="F25" s="4" t="s">
        <v>341</v>
      </c>
      <c r="G25" s="4" t="s">
        <v>342</v>
      </c>
      <c r="H25" s="4" t="s">
        <v>343</v>
      </c>
      <c r="I25" s="4" t="s">
        <v>344</v>
      </c>
      <c r="J25" s="4" t="s">
        <v>345</v>
      </c>
      <c r="K25" s="7" t="s">
        <v>175</v>
      </c>
    </row>
    <row r="26" customFormat="false" ht="103.5" hidden="false" customHeight="true" outlineLevel="0" collapsed="false">
      <c r="A26" s="4" t="n">
        <v>22</v>
      </c>
      <c r="B26" s="4" t="s">
        <v>346</v>
      </c>
      <c r="C26" s="4" t="s">
        <v>347</v>
      </c>
      <c r="D26" s="4" t="s">
        <v>292</v>
      </c>
      <c r="E26" s="4" t="s">
        <v>348</v>
      </c>
      <c r="F26" s="4" t="s">
        <v>349</v>
      </c>
      <c r="G26" s="4" t="s">
        <v>350</v>
      </c>
      <c r="H26" s="4" t="s">
        <v>351</v>
      </c>
      <c r="I26" s="4" t="s">
        <v>352</v>
      </c>
      <c r="J26" s="4" t="s">
        <v>353</v>
      </c>
      <c r="K26" s="7" t="s">
        <v>175</v>
      </c>
    </row>
    <row r="27" customFormat="false" ht="117" hidden="false" customHeight="true" outlineLevel="0" collapsed="false">
      <c r="A27" s="4" t="n">
        <v>23</v>
      </c>
      <c r="B27" s="4" t="s">
        <v>354</v>
      </c>
      <c r="C27" s="4" t="s">
        <v>355</v>
      </c>
      <c r="D27" s="4" t="s">
        <v>300</v>
      </c>
      <c r="E27" s="4" t="s">
        <v>356</v>
      </c>
      <c r="F27" s="4" t="s">
        <v>357</v>
      </c>
      <c r="G27" s="4" t="s">
        <v>358</v>
      </c>
      <c r="H27" s="4" t="s">
        <v>359</v>
      </c>
      <c r="I27" s="4" t="s">
        <v>360</v>
      </c>
      <c r="J27" s="4" t="s">
        <v>361</v>
      </c>
      <c r="K27" s="7" t="s">
        <v>175</v>
      </c>
    </row>
    <row r="28" customFormat="false" ht="90.75" hidden="false" customHeight="true" outlineLevel="0" collapsed="false">
      <c r="A28" s="4" t="n">
        <v>24</v>
      </c>
      <c r="B28" s="4" t="s">
        <v>362</v>
      </c>
      <c r="C28" s="4" t="s">
        <v>363</v>
      </c>
      <c r="D28" s="4" t="s">
        <v>307</v>
      </c>
      <c r="E28" s="4" t="s">
        <v>364</v>
      </c>
      <c r="F28" s="4" t="s">
        <v>365</v>
      </c>
      <c r="G28" s="4" t="s">
        <v>366</v>
      </c>
      <c r="H28" s="4" t="s">
        <v>367</v>
      </c>
      <c r="I28" s="4" t="s">
        <v>368</v>
      </c>
      <c r="J28" s="4" t="s">
        <v>369</v>
      </c>
      <c r="K28" s="7" t="s">
        <v>175</v>
      </c>
    </row>
    <row r="29" customFormat="false" ht="117" hidden="false" customHeight="true" outlineLevel="0" collapsed="false">
      <c r="A29" s="4" t="n">
        <v>25</v>
      </c>
      <c r="B29" s="4" t="s">
        <v>19</v>
      </c>
      <c r="C29" s="4" t="s">
        <v>370</v>
      </c>
      <c r="D29" s="4" t="s">
        <v>314</v>
      </c>
      <c r="E29" s="4" t="s">
        <v>371</v>
      </c>
      <c r="F29" s="4" t="s">
        <v>372</v>
      </c>
      <c r="G29" s="4" t="s">
        <v>373</v>
      </c>
      <c r="H29" s="4" t="s">
        <v>374</v>
      </c>
      <c r="I29" s="4" t="s">
        <v>375</v>
      </c>
      <c r="J29" s="4" t="s">
        <v>376</v>
      </c>
      <c r="K29" s="7" t="s">
        <v>175</v>
      </c>
    </row>
    <row r="30" customFormat="false" ht="90.75" hidden="false" customHeight="true" outlineLevel="0" collapsed="false">
      <c r="A30" s="4" t="n">
        <v>26</v>
      </c>
      <c r="B30" s="4" t="s">
        <v>377</v>
      </c>
      <c r="C30" s="4" t="s">
        <v>378</v>
      </c>
      <c r="D30" s="4" t="s">
        <v>322</v>
      </c>
      <c r="E30" s="4" t="s">
        <v>379</v>
      </c>
      <c r="F30" s="4" t="s">
        <v>380</v>
      </c>
      <c r="G30" s="4" t="s">
        <v>381</v>
      </c>
      <c r="H30" s="4" t="s">
        <v>382</v>
      </c>
      <c r="I30" s="4" t="s">
        <v>383</v>
      </c>
      <c r="J30" s="4" t="s">
        <v>384</v>
      </c>
      <c r="K30" s="7" t="s">
        <v>175</v>
      </c>
    </row>
    <row r="31" customFormat="false" ht="117" hidden="false" customHeight="true" outlineLevel="0" collapsed="false">
      <c r="A31" s="4" t="n">
        <v>27</v>
      </c>
      <c r="B31" s="4" t="s">
        <v>385</v>
      </c>
      <c r="C31" s="4" t="s">
        <v>386</v>
      </c>
      <c r="D31" s="4" t="s">
        <v>330</v>
      </c>
      <c r="E31" s="4" t="s">
        <v>387</v>
      </c>
      <c r="F31" s="4" t="s">
        <v>388</v>
      </c>
      <c r="G31" s="4" t="s">
        <v>389</v>
      </c>
      <c r="H31" s="4" t="s">
        <v>390</v>
      </c>
      <c r="I31" s="4" t="s">
        <v>391</v>
      </c>
      <c r="J31" s="4" t="s">
        <v>392</v>
      </c>
      <c r="K31" s="7" t="s">
        <v>175</v>
      </c>
    </row>
    <row r="32" customFormat="false" ht="103.5" hidden="false" customHeight="true" outlineLevel="0" collapsed="false">
      <c r="A32" s="4" t="n">
        <v>28</v>
      </c>
      <c r="B32" s="4" t="s">
        <v>393</v>
      </c>
      <c r="C32" s="4" t="s">
        <v>394</v>
      </c>
      <c r="D32" s="4" t="s">
        <v>338</v>
      </c>
      <c r="E32" s="4" t="s">
        <v>395</v>
      </c>
      <c r="F32" s="4" t="s">
        <v>396</v>
      </c>
      <c r="G32" s="4" t="s">
        <v>397</v>
      </c>
      <c r="H32" s="4" t="s">
        <v>398</v>
      </c>
      <c r="I32" s="4" t="s">
        <v>399</v>
      </c>
      <c r="J32" s="4" t="s">
        <v>400</v>
      </c>
      <c r="K32" s="7" t="s">
        <v>175</v>
      </c>
    </row>
    <row r="33" customFormat="false" ht="103.5" hidden="false" customHeight="true" outlineLevel="0" collapsed="false">
      <c r="A33" s="4" t="n">
        <v>29</v>
      </c>
      <c r="B33" s="4" t="s">
        <v>401</v>
      </c>
      <c r="C33" s="4" t="s">
        <v>402</v>
      </c>
      <c r="D33" s="4" t="s">
        <v>346</v>
      </c>
      <c r="E33" s="4" t="s">
        <v>403</v>
      </c>
      <c r="F33" s="4" t="s">
        <v>404</v>
      </c>
      <c r="G33" s="4" t="s">
        <v>405</v>
      </c>
      <c r="H33" s="4" t="s">
        <v>406</v>
      </c>
      <c r="I33" s="4" t="s">
        <v>407</v>
      </c>
      <c r="J33" s="4" t="s">
        <v>408</v>
      </c>
      <c r="K33" s="7" t="s">
        <v>175</v>
      </c>
    </row>
    <row r="34" customFormat="false" ht="90.75" hidden="false" customHeight="true" outlineLevel="0" collapsed="false">
      <c r="A34" s="4" t="n">
        <v>30</v>
      </c>
      <c r="B34" s="4" t="s">
        <v>409</v>
      </c>
      <c r="C34" s="4" t="s">
        <v>410</v>
      </c>
      <c r="D34" s="4" t="s">
        <v>354</v>
      </c>
      <c r="E34" s="4" t="s">
        <v>411</v>
      </c>
      <c r="F34" s="4" t="s">
        <v>412</v>
      </c>
      <c r="G34" s="4" t="s">
        <v>413</v>
      </c>
      <c r="H34" s="4" t="s">
        <v>414</v>
      </c>
      <c r="I34" s="4" t="s">
        <v>407</v>
      </c>
      <c r="J34" s="4" t="s">
        <v>415</v>
      </c>
      <c r="K34" s="7" t="s">
        <v>175</v>
      </c>
    </row>
    <row r="35" customFormat="false" ht="90.75" hidden="false" customHeight="true" outlineLevel="0" collapsed="false">
      <c r="A35" s="4" t="n">
        <v>31</v>
      </c>
      <c r="B35" s="4" t="s">
        <v>416</v>
      </c>
      <c r="C35" s="4" t="s">
        <v>417</v>
      </c>
      <c r="D35" s="4" t="s">
        <v>362</v>
      </c>
      <c r="E35" s="4" t="s">
        <v>418</v>
      </c>
      <c r="F35" s="4" t="s">
        <v>419</v>
      </c>
      <c r="G35" s="4" t="s">
        <v>420</v>
      </c>
      <c r="H35" s="4" t="s">
        <v>421</v>
      </c>
      <c r="I35" s="4" t="s">
        <v>422</v>
      </c>
      <c r="J35" s="4" t="s">
        <v>423</v>
      </c>
      <c r="K35" s="7" t="s">
        <v>175</v>
      </c>
    </row>
    <row r="36" customFormat="false" ht="207.75" hidden="false" customHeight="true" outlineLevel="0" collapsed="false">
      <c r="A36" s="4" t="n">
        <v>32</v>
      </c>
      <c r="B36" s="4" t="s">
        <v>17</v>
      </c>
      <c r="C36" s="4" t="s">
        <v>15</v>
      </c>
      <c r="D36" s="4" t="s">
        <v>19</v>
      </c>
      <c r="E36" s="4" t="s">
        <v>424</v>
      </c>
      <c r="F36" s="4" t="s">
        <v>425</v>
      </c>
      <c r="G36" s="4" t="s">
        <v>426</v>
      </c>
      <c r="H36" s="4" t="s">
        <v>427</v>
      </c>
      <c r="I36" s="4" t="s">
        <v>428</v>
      </c>
      <c r="J36" s="4" t="s">
        <v>429</v>
      </c>
      <c r="K36" s="7" t="s">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9"/>
    <col collapsed="false" customWidth="true" hidden="false" outlineLevel="0" max="4" min="4" style="0" width="30"/>
    <col collapsed="false" customWidth="true" hidden="false" outlineLevel="0" max="5" min="5" style="0" width="76"/>
    <col collapsed="false" customWidth="true" hidden="false" outlineLevel="0" max="6" min="6" style="0" width="84"/>
    <col collapsed="false" customWidth="true" hidden="false" outlineLevel="0" max="8" min="7" style="0" width="22"/>
    <col collapsed="false" customWidth="true" hidden="false" outlineLevel="0" max="9" min="9" style="0" width="58"/>
    <col collapsed="false" customWidth="true" hidden="false" outlineLevel="0" max="10" min="10" style="0" width="30"/>
    <col collapsed="false" customWidth="true" hidden="false" outlineLevel="0" max="11" min="11" style="0" width="11"/>
  </cols>
  <sheetData>
    <row r="1" customFormat="false" ht="15" hidden="false" customHeight="false" outlineLevel="0" collapsed="false">
      <c r="A1" s="1" t="s">
        <v>430</v>
      </c>
    </row>
    <row r="2" customFormat="false" ht="30" hidden="false" customHeight="true" outlineLevel="0" collapsed="false">
      <c r="A2" s="5" t="s">
        <v>431</v>
      </c>
    </row>
    <row r="4" customFormat="false" ht="30" hidden="false" customHeight="true" outlineLevel="0" collapsed="false">
      <c r="A4" s="6" t="s">
        <v>81</v>
      </c>
      <c r="B4" s="6" t="s">
        <v>432</v>
      </c>
      <c r="C4" s="6" t="s">
        <v>433</v>
      </c>
      <c r="D4" s="6" t="s">
        <v>176</v>
      </c>
      <c r="E4" s="6" t="s">
        <v>434</v>
      </c>
      <c r="F4" s="6" t="s">
        <v>435</v>
      </c>
      <c r="G4" s="6" t="s">
        <v>436</v>
      </c>
      <c r="H4" s="6" t="s">
        <v>437</v>
      </c>
      <c r="I4" s="6" t="s">
        <v>438</v>
      </c>
      <c r="J4" s="6" t="s">
        <v>439</v>
      </c>
      <c r="K4" s="6" t="s">
        <v>440</v>
      </c>
    </row>
    <row r="5" customFormat="false" ht="78" hidden="false" customHeight="true" outlineLevel="0" collapsed="false">
      <c r="A5" s="4" t="n">
        <v>1</v>
      </c>
      <c r="B5" s="4" t="s">
        <v>441</v>
      </c>
      <c r="C5" s="4" t="s">
        <v>442</v>
      </c>
      <c r="D5" s="4" t="s">
        <v>443</v>
      </c>
      <c r="E5" s="4" t="s">
        <v>444</v>
      </c>
      <c r="F5" s="4" t="s">
        <v>445</v>
      </c>
      <c r="G5" s="8" t="s">
        <v>446</v>
      </c>
      <c r="H5" s="4" t="s">
        <v>47</v>
      </c>
      <c r="I5" s="4" t="s">
        <v>447</v>
      </c>
      <c r="J5" s="4" t="s">
        <v>448</v>
      </c>
      <c r="K5" s="4" t="s">
        <v>449</v>
      </c>
    </row>
    <row r="6" customFormat="false" ht="78" hidden="false" customHeight="true" outlineLevel="0" collapsed="false">
      <c r="A6" s="4" t="n">
        <v>2</v>
      </c>
      <c r="B6" s="4" t="s">
        <v>450</v>
      </c>
      <c r="C6" s="4" t="s">
        <v>451</v>
      </c>
      <c r="D6" s="4" t="s">
        <v>452</v>
      </c>
      <c r="E6" s="4" t="s">
        <v>453</v>
      </c>
      <c r="F6" s="4" t="s">
        <v>454</v>
      </c>
      <c r="G6" s="9" t="s">
        <v>455</v>
      </c>
      <c r="H6" s="4" t="s">
        <v>456</v>
      </c>
      <c r="I6" s="4" t="s">
        <v>457</v>
      </c>
      <c r="J6" s="4" t="s">
        <v>458</v>
      </c>
      <c r="K6" s="4" t="s">
        <v>459</v>
      </c>
    </row>
    <row r="7" customFormat="false" ht="78" hidden="false" customHeight="true" outlineLevel="0" collapsed="false">
      <c r="A7" s="4" t="n">
        <v>3</v>
      </c>
      <c r="B7" s="4" t="s">
        <v>460</v>
      </c>
      <c r="C7" s="4" t="s">
        <v>461</v>
      </c>
      <c r="D7" s="4" t="s">
        <v>462</v>
      </c>
      <c r="E7" s="4" t="s">
        <v>463</v>
      </c>
      <c r="F7" s="4" t="s">
        <v>464</v>
      </c>
      <c r="G7" s="9" t="s">
        <v>465</v>
      </c>
      <c r="H7" s="4" t="s">
        <v>456</v>
      </c>
      <c r="I7" s="4" t="s">
        <v>466</v>
      </c>
      <c r="J7" s="4" t="s">
        <v>467</v>
      </c>
      <c r="K7" s="4" t="s">
        <v>468</v>
      </c>
    </row>
    <row r="8" customFormat="false" ht="64.5" hidden="false" customHeight="true" outlineLevel="0" collapsed="false">
      <c r="A8" s="4" t="n">
        <v>4</v>
      </c>
      <c r="B8" s="4" t="s">
        <v>469</v>
      </c>
      <c r="C8" s="4" t="s">
        <v>470</v>
      </c>
      <c r="D8" s="4" t="s">
        <v>471</v>
      </c>
      <c r="E8" s="4" t="s">
        <v>472</v>
      </c>
      <c r="F8" s="4" t="s">
        <v>473</v>
      </c>
      <c r="G8" s="8" t="s">
        <v>474</v>
      </c>
      <c r="H8" s="4" t="s">
        <v>475</v>
      </c>
      <c r="I8" s="4" t="s">
        <v>476</v>
      </c>
      <c r="J8" s="4" t="s">
        <v>477</v>
      </c>
      <c r="K8" s="4" t="s">
        <v>478</v>
      </c>
    </row>
    <row r="9" customFormat="false" ht="64.5" hidden="false" customHeight="true" outlineLevel="0" collapsed="false">
      <c r="A9" s="4" t="n">
        <v>5</v>
      </c>
      <c r="B9" s="4" t="s">
        <v>479</v>
      </c>
      <c r="C9" s="4" t="s">
        <v>480</v>
      </c>
      <c r="D9" s="4" t="s">
        <v>481</v>
      </c>
      <c r="E9" s="4" t="s">
        <v>482</v>
      </c>
      <c r="F9" s="4" t="s">
        <v>483</v>
      </c>
      <c r="G9" s="8" t="s">
        <v>484</v>
      </c>
      <c r="H9" s="4" t="s">
        <v>47</v>
      </c>
      <c r="I9" s="4" t="s">
        <v>485</v>
      </c>
      <c r="J9" s="4" t="s">
        <v>486</v>
      </c>
      <c r="K9" s="4" t="s">
        <v>468</v>
      </c>
    </row>
    <row r="10" customFormat="false" ht="103.5" hidden="false" customHeight="true" outlineLevel="0" collapsed="false">
      <c r="A10" s="4" t="n">
        <v>6</v>
      </c>
      <c r="B10" s="4" t="s">
        <v>487</v>
      </c>
      <c r="C10" s="4" t="s">
        <v>488</v>
      </c>
      <c r="D10" s="4" t="s">
        <v>489</v>
      </c>
      <c r="E10" s="4" t="s">
        <v>490</v>
      </c>
      <c r="F10" s="4" t="s">
        <v>491</v>
      </c>
      <c r="G10" s="8" t="s">
        <v>446</v>
      </c>
      <c r="H10" s="4" t="s">
        <v>47</v>
      </c>
      <c r="I10" s="4" t="s">
        <v>492</v>
      </c>
      <c r="J10" s="4" t="s">
        <v>493</v>
      </c>
      <c r="K10" s="4" t="s">
        <v>478</v>
      </c>
    </row>
    <row r="11" customFormat="false" ht="64.5" hidden="false" customHeight="true" outlineLevel="0" collapsed="false">
      <c r="A11" s="4" t="n">
        <v>7</v>
      </c>
      <c r="B11" s="4" t="s">
        <v>494</v>
      </c>
      <c r="C11" s="4" t="s">
        <v>495</v>
      </c>
      <c r="D11" s="4" t="s">
        <v>496</v>
      </c>
      <c r="E11" s="4" t="s">
        <v>497</v>
      </c>
      <c r="F11" s="4" t="s">
        <v>498</v>
      </c>
      <c r="G11" s="8" t="s">
        <v>499</v>
      </c>
      <c r="H11" s="4" t="s">
        <v>500</v>
      </c>
      <c r="I11" s="4" t="s">
        <v>501</v>
      </c>
      <c r="J11" s="4" t="s">
        <v>502</v>
      </c>
      <c r="K11" s="4" t="s">
        <v>459</v>
      </c>
    </row>
    <row r="12" customFormat="false" ht="51.75" hidden="false" customHeight="true" outlineLevel="0" collapsed="false">
      <c r="A12" s="4" t="n">
        <v>8</v>
      </c>
      <c r="B12" s="4" t="s">
        <v>503</v>
      </c>
      <c r="C12" s="4" t="s">
        <v>504</v>
      </c>
      <c r="D12" s="4" t="s">
        <v>505</v>
      </c>
      <c r="E12" s="4" t="s">
        <v>506</v>
      </c>
      <c r="F12" s="4" t="s">
        <v>507</v>
      </c>
      <c r="G12" s="9" t="s">
        <v>508</v>
      </c>
      <c r="H12" s="4" t="s">
        <v>509</v>
      </c>
      <c r="I12" s="4" t="s">
        <v>510</v>
      </c>
      <c r="J12" s="4" t="s">
        <v>511</v>
      </c>
      <c r="K12" s="4" t="s">
        <v>478</v>
      </c>
    </row>
    <row r="13" customFormat="false" ht="90.75" hidden="false" customHeight="true" outlineLevel="0" collapsed="false">
      <c r="A13" s="4" t="n">
        <v>9</v>
      </c>
      <c r="B13" s="4" t="s">
        <v>512</v>
      </c>
      <c r="C13" s="4" t="s">
        <v>513</v>
      </c>
      <c r="D13" s="4" t="s">
        <v>514</v>
      </c>
      <c r="E13" s="4" t="s">
        <v>515</v>
      </c>
      <c r="F13" s="4" t="s">
        <v>516</v>
      </c>
      <c r="G13" s="9" t="s">
        <v>517</v>
      </c>
      <c r="H13" s="4" t="s">
        <v>47</v>
      </c>
      <c r="I13" s="4" t="s">
        <v>518</v>
      </c>
      <c r="J13" s="4" t="s">
        <v>511</v>
      </c>
      <c r="K13" s="4" t="s">
        <v>459</v>
      </c>
    </row>
    <row r="14" customFormat="false" ht="51.75" hidden="false" customHeight="true" outlineLevel="0" collapsed="false">
      <c r="A14" s="4" t="n">
        <v>10</v>
      </c>
      <c r="B14" s="4" t="s">
        <v>519</v>
      </c>
      <c r="C14" s="4" t="s">
        <v>520</v>
      </c>
      <c r="D14" s="4" t="s">
        <v>521</v>
      </c>
      <c r="E14" s="4" t="s">
        <v>522</v>
      </c>
      <c r="F14" s="4" t="s">
        <v>523</v>
      </c>
      <c r="G14" s="8" t="s">
        <v>524</v>
      </c>
      <c r="H14" s="4" t="s">
        <v>525</v>
      </c>
      <c r="I14" s="4" t="s">
        <v>526</v>
      </c>
      <c r="J14" s="4" t="s">
        <v>527</v>
      </c>
      <c r="K14" s="4" t="s">
        <v>459</v>
      </c>
    </row>
    <row r="15" customFormat="false" ht="51.75" hidden="false" customHeight="true" outlineLevel="0" collapsed="false">
      <c r="A15" s="4" t="n">
        <v>11</v>
      </c>
      <c r="B15" s="4" t="s">
        <v>528</v>
      </c>
      <c r="C15" s="4" t="s">
        <v>529</v>
      </c>
      <c r="D15" s="4" t="s">
        <v>530</v>
      </c>
      <c r="E15" s="4" t="s">
        <v>531</v>
      </c>
      <c r="F15" s="4" t="s">
        <v>532</v>
      </c>
      <c r="G15" s="8" t="s">
        <v>533</v>
      </c>
      <c r="H15" s="4" t="s">
        <v>534</v>
      </c>
      <c r="I15" s="4" t="s">
        <v>535</v>
      </c>
      <c r="J15" s="4" t="s">
        <v>536</v>
      </c>
      <c r="K15" s="4" t="s">
        <v>468</v>
      </c>
    </row>
    <row r="16" customFormat="false" ht="78" hidden="false" customHeight="true" outlineLevel="0" collapsed="false">
      <c r="A16" s="4" t="n">
        <v>12</v>
      </c>
      <c r="B16" s="4" t="s">
        <v>537</v>
      </c>
      <c r="C16" s="4" t="s">
        <v>538</v>
      </c>
      <c r="D16" s="4" t="s">
        <v>539</v>
      </c>
      <c r="E16" s="4" t="s">
        <v>540</v>
      </c>
      <c r="F16" s="4" t="s">
        <v>541</v>
      </c>
      <c r="G16" s="8" t="s">
        <v>542</v>
      </c>
      <c r="H16" s="4" t="s">
        <v>543</v>
      </c>
      <c r="I16" s="4" t="s">
        <v>544</v>
      </c>
      <c r="J16" s="4" t="s">
        <v>545</v>
      </c>
      <c r="K16" s="4" t="s">
        <v>546</v>
      </c>
    </row>
    <row r="17" customFormat="false" ht="64.5" hidden="false" customHeight="true" outlineLevel="0" collapsed="false">
      <c r="A17" s="4" t="n">
        <v>13</v>
      </c>
      <c r="B17" s="4" t="s">
        <v>547</v>
      </c>
      <c r="C17" s="4" t="s">
        <v>548</v>
      </c>
      <c r="D17" s="4" t="s">
        <v>549</v>
      </c>
      <c r="E17" s="4" t="s">
        <v>550</v>
      </c>
      <c r="F17" s="4" t="s">
        <v>551</v>
      </c>
      <c r="G17" s="8" t="s">
        <v>552</v>
      </c>
      <c r="H17" s="4" t="s">
        <v>553</v>
      </c>
      <c r="I17" s="4" t="s">
        <v>554</v>
      </c>
      <c r="J17" s="4" t="s">
        <v>555</v>
      </c>
      <c r="K17" s="4" t="s">
        <v>556</v>
      </c>
    </row>
    <row r="18" customFormat="false" ht="51.75" hidden="false" customHeight="true" outlineLevel="0" collapsed="false">
      <c r="A18" s="4" t="n">
        <v>14</v>
      </c>
      <c r="B18" s="4" t="s">
        <v>557</v>
      </c>
      <c r="C18" s="4" t="s">
        <v>558</v>
      </c>
      <c r="D18" s="4" t="s">
        <v>559</v>
      </c>
      <c r="E18" s="4" t="s">
        <v>560</v>
      </c>
      <c r="F18" s="4" t="s">
        <v>561</v>
      </c>
      <c r="G18" s="8" t="s">
        <v>562</v>
      </c>
      <c r="H18" s="4" t="s">
        <v>563</v>
      </c>
      <c r="I18" s="4" t="s">
        <v>564</v>
      </c>
      <c r="J18" s="4" t="s">
        <v>565</v>
      </c>
      <c r="K18" s="4" t="s">
        <v>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2"/>
    <col collapsed="false" customWidth="true" hidden="false" outlineLevel="0" max="5" min="4" style="0" width="86"/>
    <col collapsed="false" customWidth="true" hidden="false" outlineLevel="0" max="6" min="6" style="0" width="13"/>
    <col collapsed="false" customWidth="true" hidden="false" outlineLevel="0" max="7" min="7" style="0" width="40"/>
  </cols>
  <sheetData>
    <row r="1" customFormat="false" ht="15" hidden="false" customHeight="false" outlineLevel="0" collapsed="false">
      <c r="A1" s="1" t="s">
        <v>567</v>
      </c>
    </row>
    <row r="2" customFormat="false" ht="30" hidden="false" customHeight="true" outlineLevel="0" collapsed="false">
      <c r="A2" s="5" t="s">
        <v>568</v>
      </c>
    </row>
    <row r="4" customFormat="false" ht="30" hidden="false" customHeight="true" outlineLevel="0" collapsed="false">
      <c r="A4" s="6" t="s">
        <v>81</v>
      </c>
      <c r="B4" s="6" t="s">
        <v>569</v>
      </c>
      <c r="C4" s="6" t="s">
        <v>181</v>
      </c>
      <c r="D4" s="6" t="s">
        <v>570</v>
      </c>
      <c r="E4" s="6" t="s">
        <v>571</v>
      </c>
      <c r="F4" s="6" t="s">
        <v>572</v>
      </c>
      <c r="G4" s="6" t="s">
        <v>573</v>
      </c>
    </row>
    <row r="5" customFormat="false" ht="51.75" hidden="false" customHeight="true" outlineLevel="0" collapsed="false">
      <c r="A5" s="4" t="n">
        <v>1</v>
      </c>
      <c r="B5" s="4" t="s">
        <v>574</v>
      </c>
      <c r="C5" s="8" t="s">
        <v>575</v>
      </c>
      <c r="D5" s="4" t="s">
        <v>576</v>
      </c>
      <c r="E5" s="4" t="s">
        <v>577</v>
      </c>
      <c r="F5" s="4" t="s">
        <v>451</v>
      </c>
      <c r="G5" s="4" t="s">
        <v>578</v>
      </c>
    </row>
    <row r="6" customFormat="false" ht="39" hidden="false" customHeight="true" outlineLevel="0" collapsed="false">
      <c r="A6" s="4" t="n">
        <v>2</v>
      </c>
      <c r="B6" s="4" t="s">
        <v>579</v>
      </c>
      <c r="C6" s="7" t="s">
        <v>580</v>
      </c>
      <c r="D6" s="4" t="s">
        <v>581</v>
      </c>
      <c r="E6" s="4" t="s">
        <v>183</v>
      </c>
      <c r="F6" s="4" t="s">
        <v>183</v>
      </c>
      <c r="G6" s="4" t="s">
        <v>582</v>
      </c>
    </row>
    <row r="7" customFormat="false" ht="39" hidden="false" customHeight="true" outlineLevel="0" collapsed="false">
      <c r="A7" s="4" t="n">
        <v>3</v>
      </c>
      <c r="B7" s="4" t="s">
        <v>583</v>
      </c>
      <c r="C7" s="7" t="s">
        <v>580</v>
      </c>
      <c r="D7" s="4" t="s">
        <v>584</v>
      </c>
      <c r="E7" s="4" t="s">
        <v>183</v>
      </c>
      <c r="F7" s="4" t="s">
        <v>183</v>
      </c>
      <c r="G7" s="4" t="s">
        <v>585</v>
      </c>
    </row>
    <row r="8" customFormat="false" ht="51.75" hidden="false" customHeight="true" outlineLevel="0" collapsed="false">
      <c r="A8" s="4" t="n">
        <v>4</v>
      </c>
      <c r="B8" s="4" t="s">
        <v>586</v>
      </c>
      <c r="C8" s="8" t="s">
        <v>575</v>
      </c>
      <c r="D8" s="4" t="s">
        <v>587</v>
      </c>
      <c r="E8" s="4" t="s">
        <v>588</v>
      </c>
      <c r="F8" s="4" t="s">
        <v>513</v>
      </c>
      <c r="G8" s="4" t="s">
        <v>589</v>
      </c>
    </row>
    <row r="9" customFormat="false" ht="51.75" hidden="false" customHeight="true" outlineLevel="0" collapsed="false">
      <c r="A9" s="4" t="n">
        <v>5</v>
      </c>
      <c r="B9" s="4" t="s">
        <v>590</v>
      </c>
      <c r="C9" s="8" t="s">
        <v>575</v>
      </c>
      <c r="D9" s="4" t="s">
        <v>591</v>
      </c>
      <c r="E9" s="4" t="s">
        <v>592</v>
      </c>
      <c r="F9" s="4" t="s">
        <v>480</v>
      </c>
      <c r="G9" s="4" t="s">
        <v>593</v>
      </c>
    </row>
    <row r="10" customFormat="false" ht="25.5" hidden="false" customHeight="true" outlineLevel="0" collapsed="false">
      <c r="A10" s="4" t="n">
        <v>6</v>
      </c>
      <c r="B10" s="4" t="s">
        <v>594</v>
      </c>
      <c r="C10" s="8" t="s">
        <v>575</v>
      </c>
      <c r="D10" s="4" t="s">
        <v>595</v>
      </c>
      <c r="E10" s="4" t="s">
        <v>596</v>
      </c>
      <c r="F10" s="4" t="s">
        <v>597</v>
      </c>
      <c r="G10" s="4" t="s">
        <v>598</v>
      </c>
    </row>
    <row r="11" customFormat="false" ht="51.75" hidden="false" customHeight="true" outlineLevel="0" collapsed="false">
      <c r="A11" s="4" t="n">
        <v>7</v>
      </c>
      <c r="B11" s="4" t="s">
        <v>599</v>
      </c>
      <c r="C11" s="7" t="s">
        <v>580</v>
      </c>
      <c r="D11" s="4" t="s">
        <v>600</v>
      </c>
      <c r="E11" s="4" t="s">
        <v>183</v>
      </c>
      <c r="F11" s="4" t="s">
        <v>183</v>
      </c>
      <c r="G11" s="4" t="s">
        <v>601</v>
      </c>
    </row>
    <row r="12" customFormat="false" ht="51.75" hidden="false" customHeight="true" outlineLevel="0" collapsed="false">
      <c r="A12" s="4" t="n">
        <v>8</v>
      </c>
      <c r="B12" s="4" t="s">
        <v>602</v>
      </c>
      <c r="C12" s="7" t="s">
        <v>580</v>
      </c>
      <c r="D12" s="4" t="s">
        <v>603</v>
      </c>
      <c r="E12" s="4" t="s">
        <v>604</v>
      </c>
      <c r="F12" s="4" t="s">
        <v>605</v>
      </c>
      <c r="G12" s="4" t="s">
        <v>606</v>
      </c>
    </row>
    <row r="13" customFormat="false" ht="51.75" hidden="false" customHeight="true" outlineLevel="0" collapsed="false">
      <c r="A13" s="4" t="n">
        <v>9</v>
      </c>
      <c r="B13" s="4" t="s">
        <v>607</v>
      </c>
      <c r="C13" s="7" t="s">
        <v>580</v>
      </c>
      <c r="D13" s="4" t="s">
        <v>608</v>
      </c>
      <c r="E13" s="4" t="s">
        <v>183</v>
      </c>
      <c r="F13" s="4" t="s">
        <v>183</v>
      </c>
      <c r="G13" s="4" t="s">
        <v>609</v>
      </c>
    </row>
    <row r="14" customFormat="false" ht="51.75" hidden="false" customHeight="true" outlineLevel="0" collapsed="false">
      <c r="A14" s="4" t="n">
        <v>10</v>
      </c>
      <c r="B14" s="4" t="s">
        <v>610</v>
      </c>
      <c r="C14" s="8" t="s">
        <v>611</v>
      </c>
      <c r="D14" s="4" t="s">
        <v>612</v>
      </c>
      <c r="E14" s="4" t="s">
        <v>613</v>
      </c>
      <c r="F14" s="4" t="s">
        <v>495</v>
      </c>
      <c r="G14" s="4" t="s">
        <v>614</v>
      </c>
    </row>
    <row r="15" customFormat="false" ht="51.75" hidden="false" customHeight="true" outlineLevel="0" collapsed="false">
      <c r="A15" s="4" t="n">
        <v>11</v>
      </c>
      <c r="B15" s="4" t="s">
        <v>615</v>
      </c>
      <c r="C15" s="7" t="s">
        <v>580</v>
      </c>
      <c r="D15" s="4" t="s">
        <v>616</v>
      </c>
      <c r="E15" s="4" t="s">
        <v>617</v>
      </c>
      <c r="F15" s="4" t="s">
        <v>442</v>
      </c>
      <c r="G15" s="4" t="s">
        <v>618</v>
      </c>
    </row>
    <row r="16" customFormat="false" ht="51.75" hidden="false" customHeight="true" outlineLevel="0" collapsed="false">
      <c r="A16" s="4" t="n">
        <v>12</v>
      </c>
      <c r="B16" s="4" t="s">
        <v>619</v>
      </c>
      <c r="C16" s="7" t="s">
        <v>580</v>
      </c>
      <c r="D16" s="4" t="s">
        <v>620</v>
      </c>
      <c r="E16" s="4" t="s">
        <v>183</v>
      </c>
      <c r="F16" s="4" t="s">
        <v>183</v>
      </c>
      <c r="G16" s="4" t="s">
        <v>621</v>
      </c>
    </row>
    <row r="17" customFormat="false" ht="39" hidden="false" customHeight="true" outlineLevel="0" collapsed="false">
      <c r="A17" s="4" t="n">
        <v>13</v>
      </c>
      <c r="B17" s="4" t="s">
        <v>622</v>
      </c>
      <c r="C17" s="7" t="s">
        <v>580</v>
      </c>
      <c r="D17" s="4" t="s">
        <v>623</v>
      </c>
      <c r="E17" s="4" t="s">
        <v>624</v>
      </c>
      <c r="F17" s="4" t="s">
        <v>625</v>
      </c>
      <c r="G17" s="4" t="s">
        <v>626</v>
      </c>
    </row>
    <row r="18" customFormat="false" ht="39" hidden="false" customHeight="true" outlineLevel="0" collapsed="false">
      <c r="A18" s="4" t="n">
        <v>14</v>
      </c>
      <c r="B18" s="4" t="s">
        <v>627</v>
      </c>
      <c r="C18" s="9" t="s">
        <v>628</v>
      </c>
      <c r="D18" s="4" t="s">
        <v>629</v>
      </c>
      <c r="E18" s="4" t="s">
        <v>630</v>
      </c>
      <c r="F18" s="4" t="s">
        <v>631</v>
      </c>
      <c r="G18" s="4" t="s">
        <v>632</v>
      </c>
    </row>
    <row r="19" customFormat="false" ht="39" hidden="false" customHeight="true" outlineLevel="0" collapsed="false">
      <c r="A19" s="4" t="n">
        <v>15</v>
      </c>
      <c r="B19" s="4" t="s">
        <v>633</v>
      </c>
      <c r="C19" s="9" t="s">
        <v>628</v>
      </c>
      <c r="D19" s="4" t="s">
        <v>183</v>
      </c>
      <c r="E19" s="4" t="s">
        <v>634</v>
      </c>
      <c r="F19" s="4" t="s">
        <v>635</v>
      </c>
      <c r="G19" s="4" t="s">
        <v>183</v>
      </c>
    </row>
    <row r="20" customFormat="false" ht="51.75" hidden="false" customHeight="true" outlineLevel="0" collapsed="false">
      <c r="A20" s="4" t="n">
        <v>16</v>
      </c>
      <c r="B20" s="4" t="s">
        <v>636</v>
      </c>
      <c r="C20" s="8" t="s">
        <v>611</v>
      </c>
      <c r="D20" s="4" t="s">
        <v>637</v>
      </c>
      <c r="E20" s="4" t="s">
        <v>638</v>
      </c>
      <c r="F20" s="4" t="s">
        <v>488</v>
      </c>
      <c r="G20" s="4" t="s">
        <v>639</v>
      </c>
    </row>
    <row r="21" customFormat="false" ht="51.75" hidden="false" customHeight="true" outlineLevel="0" collapsed="false">
      <c r="A21" s="4" t="n">
        <v>17</v>
      </c>
      <c r="B21" s="4" t="s">
        <v>640</v>
      </c>
      <c r="C21" s="8" t="s">
        <v>611</v>
      </c>
      <c r="D21" s="4" t="s">
        <v>641</v>
      </c>
      <c r="E21" s="4" t="s">
        <v>642</v>
      </c>
      <c r="F21" s="4" t="s">
        <v>643</v>
      </c>
      <c r="G21" s="4" t="s">
        <v>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8"/>
  </cols>
  <sheetData>
    <row r="1" customFormat="false" ht="15" hidden="false" customHeight="false" outlineLevel="0" collapsed="false">
      <c r="A1" s="1" t="s">
        <v>645</v>
      </c>
    </row>
    <row r="2" customFormat="false" ht="30" hidden="false" customHeight="true" outlineLevel="0" collapsed="false">
      <c r="A2" s="5" t="s">
        <v>646</v>
      </c>
    </row>
    <row r="4" customFormat="false" ht="30" hidden="false" customHeight="true" outlineLevel="0" collapsed="false">
      <c r="A4" s="6" t="s">
        <v>57</v>
      </c>
      <c r="B4" s="6" t="s">
        <v>58</v>
      </c>
    </row>
    <row r="5" customFormat="false" ht="30" hidden="false" customHeight="true" outlineLevel="0" collapsed="false">
      <c r="A5" s="4" t="s">
        <v>647</v>
      </c>
      <c r="B5" s="4" t="s">
        <v>648</v>
      </c>
    </row>
    <row r="6" customFormat="false" ht="45" hidden="false" customHeight="true" outlineLevel="0" collapsed="false">
      <c r="A6" s="4" t="s">
        <v>649</v>
      </c>
      <c r="B6" s="4" t="s">
        <v>650</v>
      </c>
    </row>
    <row r="7" customFormat="false" ht="30" hidden="false" customHeight="true" outlineLevel="0" collapsed="false">
      <c r="A7" s="4" t="s">
        <v>651</v>
      </c>
      <c r="B7" s="4" t="s">
        <v>652</v>
      </c>
    </row>
    <row r="8" customFormat="false" ht="45" hidden="false" customHeight="true" outlineLevel="0" collapsed="false">
      <c r="A8" s="4" t="s">
        <v>653</v>
      </c>
      <c r="B8" s="4" t="s">
        <v>654</v>
      </c>
    </row>
    <row r="9" customFormat="false" ht="45" hidden="false" customHeight="true" outlineLevel="0" collapsed="false">
      <c r="A9" s="4" t="s">
        <v>655</v>
      </c>
      <c r="B9" s="4" t="s">
        <v>656</v>
      </c>
    </row>
    <row r="10" customFormat="false" ht="30" hidden="false" customHeight="true" outlineLevel="0" collapsed="false">
      <c r="A10" s="4" t="s">
        <v>657</v>
      </c>
      <c r="B10" s="4" t="s">
        <v>658</v>
      </c>
    </row>
    <row r="11" customFormat="false" ht="45" hidden="false" customHeight="true" outlineLevel="0" collapsed="false">
      <c r="A11" s="4" t="s">
        <v>659</v>
      </c>
      <c r="B11" s="4" t="s">
        <v>660</v>
      </c>
    </row>
    <row r="12" customFormat="false" ht="60" hidden="false" customHeight="true" outlineLevel="0" collapsed="false">
      <c r="A12" s="4" t="s">
        <v>661</v>
      </c>
      <c r="B12" s="4" t="s">
        <v>662</v>
      </c>
    </row>
    <row r="13" customFormat="false" ht="60" hidden="false" customHeight="true" outlineLevel="0" collapsed="false">
      <c r="A13" s="4" t="s">
        <v>663</v>
      </c>
      <c r="B13" s="4" t="s">
        <v>664</v>
      </c>
    </row>
    <row r="14" customFormat="false" ht="30" hidden="false" customHeight="true" outlineLevel="0" collapsed="false">
      <c r="A14" s="4" t="s">
        <v>665</v>
      </c>
      <c r="B14" s="4" t="s">
        <v>666</v>
      </c>
    </row>
    <row r="15" customFormat="false" ht="45" hidden="false" customHeight="true" outlineLevel="0" collapsed="false">
      <c r="A15" s="4" t="s">
        <v>667</v>
      </c>
      <c r="B15" s="4" t="s">
        <v>668</v>
      </c>
    </row>
    <row r="16" customFormat="false" ht="45" hidden="false" customHeight="true" outlineLevel="0" collapsed="false">
      <c r="A16" s="4" t="s">
        <v>669</v>
      </c>
      <c r="B16" s="4" t="s">
        <v>670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0"/>
    <col collapsed="false" customWidth="true" hidden="false" outlineLevel="0" max="4" min="4" style="0" width="62"/>
    <col collapsed="false" customWidth="true" hidden="false" outlineLevel="0" max="5" min="5" style="0" width="56"/>
  </cols>
  <sheetData>
    <row r="1" customFormat="false" ht="15" hidden="false" customHeight="false" outlineLevel="0" collapsed="false">
      <c r="A1" s="1" t="s">
        <v>671</v>
      </c>
    </row>
    <row r="2" customFormat="false" ht="30" hidden="false" customHeight="true" outlineLevel="0" collapsed="false">
      <c r="A2" s="5" t="s">
        <v>672</v>
      </c>
    </row>
    <row r="4" customFormat="false" ht="30" hidden="false" customHeight="true" outlineLevel="0" collapsed="false">
      <c r="A4" s="6" t="s">
        <v>81</v>
      </c>
      <c r="B4" s="6" t="s">
        <v>673</v>
      </c>
      <c r="C4" s="6" t="s">
        <v>674</v>
      </c>
      <c r="D4" s="6" t="s">
        <v>675</v>
      </c>
      <c r="E4" s="6" t="s">
        <v>676</v>
      </c>
    </row>
    <row r="5" customFormat="false" ht="39" hidden="false" customHeight="true" outlineLevel="0" collapsed="false">
      <c r="A5" s="4" t="n">
        <v>1</v>
      </c>
      <c r="B5" s="4" t="s">
        <v>677</v>
      </c>
      <c r="C5" s="4" t="s">
        <v>678</v>
      </c>
      <c r="D5" s="4" t="s">
        <v>679</v>
      </c>
      <c r="E5" s="4" t="s">
        <v>680</v>
      </c>
    </row>
    <row r="6" customFormat="false" ht="39" hidden="false" customHeight="true" outlineLevel="0" collapsed="false">
      <c r="A6" s="4" t="n">
        <v>2</v>
      </c>
      <c r="B6" s="4" t="s">
        <v>681</v>
      </c>
      <c r="C6" s="4" t="s">
        <v>682</v>
      </c>
      <c r="D6" s="4" t="s">
        <v>683</v>
      </c>
      <c r="E6" s="4" t="s">
        <v>684</v>
      </c>
    </row>
    <row r="7" customFormat="false" ht="25.5" hidden="false" customHeight="true" outlineLevel="0" collapsed="false">
      <c r="A7" s="4" t="n">
        <v>3</v>
      </c>
      <c r="B7" s="4" t="s">
        <v>685</v>
      </c>
      <c r="C7" s="4" t="s">
        <v>686</v>
      </c>
      <c r="D7" s="4" t="s">
        <v>687</v>
      </c>
      <c r="E7" s="4" t="s">
        <v>688</v>
      </c>
    </row>
    <row r="8" customFormat="false" ht="39" hidden="false" customHeight="true" outlineLevel="0" collapsed="false">
      <c r="A8" s="4" t="n">
        <v>4</v>
      </c>
      <c r="B8" s="4" t="s">
        <v>689</v>
      </c>
      <c r="C8" s="4" t="s">
        <v>690</v>
      </c>
      <c r="D8" s="4" t="s">
        <v>691</v>
      </c>
      <c r="E8" s="4" t="s">
        <v>692</v>
      </c>
    </row>
    <row r="9" customFormat="false" ht="25.5" hidden="false" customHeight="true" outlineLevel="0" collapsed="false">
      <c r="A9" s="4" t="n">
        <v>5</v>
      </c>
      <c r="B9" s="4" t="s">
        <v>693</v>
      </c>
      <c r="C9" s="4" t="s">
        <v>694</v>
      </c>
      <c r="D9" s="4" t="s">
        <v>695</v>
      </c>
      <c r="E9" s="4" t="s">
        <v>696</v>
      </c>
    </row>
    <row r="10" customFormat="false" ht="51.75" hidden="false" customHeight="true" outlineLevel="0" collapsed="false">
      <c r="A10" s="4" t="n">
        <v>6</v>
      </c>
      <c r="B10" s="4" t="s">
        <v>697</v>
      </c>
      <c r="C10" s="4" t="s">
        <v>698</v>
      </c>
      <c r="D10" s="4" t="s">
        <v>699</v>
      </c>
      <c r="E10" s="4" t="s">
        <v>700</v>
      </c>
    </row>
    <row r="11" customFormat="false" ht="51.75" hidden="false" customHeight="true" outlineLevel="0" collapsed="false">
      <c r="A11" s="4" t="n">
        <v>7</v>
      </c>
      <c r="B11" s="4" t="s">
        <v>701</v>
      </c>
      <c r="C11" s="4" t="s">
        <v>702</v>
      </c>
      <c r="D11" s="4" t="s">
        <v>703</v>
      </c>
      <c r="E11" s="4" t="s">
        <v>704</v>
      </c>
    </row>
    <row r="12" customFormat="false" ht="39" hidden="false" customHeight="true" outlineLevel="0" collapsed="false">
      <c r="A12" s="4" t="n">
        <v>8</v>
      </c>
      <c r="B12" s="4" t="s">
        <v>705</v>
      </c>
      <c r="C12" s="9" t="s">
        <v>706</v>
      </c>
      <c r="D12" s="4" t="s">
        <v>707</v>
      </c>
      <c r="E12" s="4" t="s">
        <v>708</v>
      </c>
    </row>
    <row r="13" customFormat="false" ht="25.5" hidden="false" customHeight="true" outlineLevel="0" collapsed="false">
      <c r="A13" s="4" t="n">
        <v>9</v>
      </c>
      <c r="B13" s="4" t="s">
        <v>709</v>
      </c>
      <c r="C13" s="9" t="s">
        <v>710</v>
      </c>
      <c r="D13" s="4" t="s">
        <v>711</v>
      </c>
      <c r="E13" s="4" t="s">
        <v>708</v>
      </c>
    </row>
    <row r="14" customFormat="false" ht="39" hidden="false" customHeight="true" outlineLevel="0" collapsed="false">
      <c r="A14" s="4" t="n">
        <v>10</v>
      </c>
      <c r="B14" s="4" t="s">
        <v>712</v>
      </c>
      <c r="C14" s="9" t="s">
        <v>713</v>
      </c>
      <c r="D14" s="4" t="s">
        <v>714</v>
      </c>
      <c r="E14" s="4" t="s">
        <v>708</v>
      </c>
    </row>
    <row r="15" customFormat="false" ht="39" hidden="false" customHeight="true" outlineLevel="0" collapsed="false">
      <c r="A15" s="4" t="n">
        <v>11</v>
      </c>
      <c r="B15" s="4" t="s">
        <v>715</v>
      </c>
      <c r="C15" s="4" t="s">
        <v>716</v>
      </c>
      <c r="D15" s="4" t="s">
        <v>717</v>
      </c>
      <c r="E15" s="4" t="s">
        <v>718</v>
      </c>
    </row>
    <row r="16" customFormat="false" ht="39" hidden="false" customHeight="true" outlineLevel="0" collapsed="false">
      <c r="A16" s="4" t="n">
        <v>12</v>
      </c>
      <c r="B16" s="4" t="s">
        <v>719</v>
      </c>
      <c r="C16" s="4" t="s">
        <v>720</v>
      </c>
      <c r="D16" s="4" t="s">
        <v>721</v>
      </c>
      <c r="E16" s="4" t="s">
        <v>722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
    <col collapsed="false" customWidth="true" hidden="false" outlineLevel="0" max="3" min="3" style="0" width="86"/>
    <col collapsed="false" customWidth="true" hidden="false" outlineLevel="0" max="4" min="4" style="0" width="72"/>
    <col collapsed="false" customWidth="true" hidden="false" outlineLevel="0" max="5" min="5" style="0" width="9"/>
  </cols>
  <sheetData>
    <row r="1" customFormat="false" ht="15" hidden="false" customHeight="false" outlineLevel="0" collapsed="false">
      <c r="A1" s="1" t="s">
        <v>723</v>
      </c>
    </row>
    <row r="2" customFormat="false" ht="30" hidden="false" customHeight="true" outlineLevel="0" collapsed="false">
      <c r="A2" s="5" t="s">
        <v>724</v>
      </c>
    </row>
    <row r="4" customFormat="false" ht="30" hidden="false" customHeight="true" outlineLevel="0" collapsed="false">
      <c r="A4" s="6" t="s">
        <v>725</v>
      </c>
      <c r="B4" s="6" t="s">
        <v>81</v>
      </c>
      <c r="C4" s="6" t="s">
        <v>726</v>
      </c>
      <c r="D4" s="6" t="s">
        <v>727</v>
      </c>
      <c r="E4" s="6" t="s">
        <v>728</v>
      </c>
    </row>
    <row r="5" customFormat="false" ht="25.5" hidden="false" customHeight="true" outlineLevel="0" collapsed="false">
      <c r="A5" s="10" t="s">
        <v>729</v>
      </c>
      <c r="B5" s="4" t="n">
        <v>1</v>
      </c>
      <c r="C5" s="4" t="s">
        <v>730</v>
      </c>
      <c r="D5" s="4" t="s">
        <v>731</v>
      </c>
      <c r="E5" s="4"/>
    </row>
    <row r="6" customFormat="false" ht="12.75" hidden="false" customHeight="true" outlineLevel="0" collapsed="false">
      <c r="A6" s="10" t="s">
        <v>729</v>
      </c>
      <c r="B6" s="4" t="n">
        <v>2</v>
      </c>
      <c r="C6" s="4" t="s">
        <v>732</v>
      </c>
      <c r="D6" s="4" t="s">
        <v>733</v>
      </c>
      <c r="E6" s="4"/>
    </row>
    <row r="7" customFormat="false" ht="25.5" hidden="false" customHeight="true" outlineLevel="0" collapsed="false">
      <c r="A7" s="10" t="s">
        <v>729</v>
      </c>
      <c r="B7" s="4" t="n">
        <v>3</v>
      </c>
      <c r="C7" s="4" t="s">
        <v>734</v>
      </c>
      <c r="D7" s="4" t="s">
        <v>735</v>
      </c>
      <c r="E7" s="4"/>
    </row>
    <row r="8" customFormat="false" ht="12.75" hidden="false" customHeight="true" outlineLevel="0" collapsed="false">
      <c r="A8" s="10" t="s">
        <v>729</v>
      </c>
      <c r="B8" s="4" t="n">
        <v>4</v>
      </c>
      <c r="C8" s="4" t="s">
        <v>736</v>
      </c>
      <c r="D8" s="4" t="s">
        <v>737</v>
      </c>
      <c r="E8" s="4"/>
    </row>
    <row r="9" customFormat="false" ht="25.5" hidden="false" customHeight="true" outlineLevel="0" collapsed="false">
      <c r="A9" s="10" t="s">
        <v>729</v>
      </c>
      <c r="B9" s="4" t="n">
        <v>5</v>
      </c>
      <c r="C9" s="4" t="s">
        <v>738</v>
      </c>
      <c r="D9" s="4" t="s">
        <v>739</v>
      </c>
      <c r="E9" s="4"/>
    </row>
    <row r="10" customFormat="false" ht="25.5" hidden="false" customHeight="true" outlineLevel="0" collapsed="false">
      <c r="A10" s="11" t="s">
        <v>740</v>
      </c>
      <c r="B10" s="4" t="n">
        <v>1</v>
      </c>
      <c r="C10" s="4" t="s">
        <v>741</v>
      </c>
      <c r="D10" s="4" t="s">
        <v>742</v>
      </c>
      <c r="E10" s="4"/>
    </row>
    <row r="11" customFormat="false" ht="12.75" hidden="false" customHeight="true" outlineLevel="0" collapsed="false">
      <c r="A11" s="11" t="s">
        <v>740</v>
      </c>
      <c r="B11" s="4" t="n">
        <v>2</v>
      </c>
      <c r="C11" s="4" t="s">
        <v>743</v>
      </c>
      <c r="D11" s="4" t="s">
        <v>744</v>
      </c>
      <c r="E11" s="4"/>
    </row>
    <row r="12" customFormat="false" ht="12.75" hidden="false" customHeight="true" outlineLevel="0" collapsed="false">
      <c r="A12" s="11" t="s">
        <v>740</v>
      </c>
      <c r="B12" s="4" t="n">
        <v>3</v>
      </c>
      <c r="C12" s="4" t="s">
        <v>745</v>
      </c>
      <c r="D12" s="4" t="s">
        <v>746</v>
      </c>
      <c r="E12" s="4"/>
    </row>
    <row r="13" customFormat="false" ht="12.75" hidden="false" customHeight="true" outlineLevel="0" collapsed="false">
      <c r="A13" s="11" t="s">
        <v>740</v>
      </c>
      <c r="B13" s="4" t="n">
        <v>4</v>
      </c>
      <c r="C13" s="4" t="s">
        <v>747</v>
      </c>
      <c r="D13" s="4" t="s">
        <v>748</v>
      </c>
      <c r="E13" s="4"/>
    </row>
    <row r="14" customFormat="false" ht="12.75" hidden="false" customHeight="true" outlineLevel="0" collapsed="false">
      <c r="A14" s="11" t="s">
        <v>740</v>
      </c>
      <c r="B14" s="4" t="n">
        <v>5</v>
      </c>
      <c r="C14" s="4" t="s">
        <v>749</v>
      </c>
      <c r="D14" s="4" t="s">
        <v>750</v>
      </c>
      <c r="E14" s="4"/>
    </row>
    <row r="15" customFormat="false" ht="12.75" hidden="false" customHeight="true" outlineLevel="0" collapsed="false">
      <c r="A15" s="11" t="s">
        <v>740</v>
      </c>
      <c r="B15" s="4" t="n">
        <v>6</v>
      </c>
      <c r="C15" s="4" t="s">
        <v>751</v>
      </c>
      <c r="D15" s="4" t="s">
        <v>752</v>
      </c>
      <c r="E15" s="4"/>
    </row>
  </sheetData>
  <dataValidations count="1">
    <dataValidation allowBlank="true" errorStyle="stop" operator="between" showDropDown="false" showErrorMessage="false" showInputMessage="false" sqref="E5:E15" type="list">
      <formula1>"Yes,No,Waived"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4" min="3" style="0" width="26"/>
    <col collapsed="false" customWidth="true" hidden="false" outlineLevel="0" max="5" min="5" style="0" width="10"/>
    <col collapsed="false" customWidth="true" hidden="false" outlineLevel="0" max="6" min="6" style="0" width="8"/>
    <col collapsed="false" customWidth="true" hidden="false" outlineLevel="0" max="7" min="7" style="0" width="56"/>
    <col collapsed="false" customWidth="true" hidden="false" outlineLevel="0" max="8" min="8" style="0" width="76"/>
    <col collapsed="false" customWidth="true" hidden="false" outlineLevel="0" max="9" min="9" style="0" width="48"/>
    <col collapsed="false" customWidth="true" hidden="false" outlineLevel="0" max="10" min="10" style="0" width="40"/>
    <col collapsed="false" customWidth="true" hidden="false" outlineLevel="0" max="11" min="11" style="0" width="6"/>
    <col collapsed="false" customWidth="true" hidden="false" outlineLevel="0" max="12" min="12" style="0" width="72"/>
    <col collapsed="false" customWidth="true" hidden="false" outlineLevel="0" max="13" min="13" style="0" width="30"/>
    <col collapsed="false" customWidth="true" hidden="false" outlineLevel="0" max="14" min="14" style="0" width="46"/>
  </cols>
  <sheetData>
    <row r="1" customFormat="false" ht="15" hidden="false" customHeight="false" outlineLevel="0" collapsed="false">
      <c r="A1" s="1" t="s">
        <v>753</v>
      </c>
    </row>
    <row r="2" customFormat="false" ht="30" hidden="false" customHeight="true" outlineLevel="0" collapsed="false">
      <c r="A2" s="5" t="s">
        <v>754</v>
      </c>
    </row>
    <row r="4" customFormat="false" ht="30" hidden="false" customHeight="true" outlineLevel="0" collapsed="false">
      <c r="A4" s="6" t="s">
        <v>755</v>
      </c>
      <c r="B4" s="6" t="s">
        <v>172</v>
      </c>
      <c r="C4" s="6" t="s">
        <v>569</v>
      </c>
      <c r="D4" s="6" t="s">
        <v>756</v>
      </c>
      <c r="E4" s="6" t="s">
        <v>725</v>
      </c>
      <c r="F4" s="6" t="s">
        <v>757</v>
      </c>
      <c r="G4" s="6" t="s">
        <v>758</v>
      </c>
      <c r="H4" s="6" t="s">
        <v>759</v>
      </c>
      <c r="I4" s="6" t="s">
        <v>760</v>
      </c>
      <c r="J4" s="6" t="s">
        <v>761</v>
      </c>
      <c r="K4" s="6" t="s">
        <v>762</v>
      </c>
      <c r="L4" s="6" t="s">
        <v>763</v>
      </c>
      <c r="M4" s="6" t="s">
        <v>764</v>
      </c>
      <c r="N4" s="6" t="s">
        <v>765</v>
      </c>
    </row>
    <row r="5" customFormat="false" ht="39" hidden="false" customHeight="true" outlineLevel="0" collapsed="false">
      <c r="A5" s="4" t="s">
        <v>766</v>
      </c>
      <c r="B5" s="4" t="s">
        <v>17</v>
      </c>
      <c r="C5" s="4" t="s">
        <v>767</v>
      </c>
      <c r="D5" s="4" t="s">
        <v>768</v>
      </c>
      <c r="E5" s="7" t="s">
        <v>769</v>
      </c>
      <c r="F5" s="4" t="s">
        <v>770</v>
      </c>
      <c r="G5" s="4" t="s">
        <v>771</v>
      </c>
      <c r="H5" s="4" t="s">
        <v>772</v>
      </c>
      <c r="I5" s="4" t="s">
        <v>773</v>
      </c>
      <c r="J5" s="4" t="s">
        <v>183</v>
      </c>
      <c r="K5" s="12" t="n">
        <v>5</v>
      </c>
      <c r="L5" s="4" t="s">
        <v>774</v>
      </c>
      <c r="M5" s="4" t="s">
        <v>775</v>
      </c>
      <c r="N5" s="4" t="s">
        <v>776</v>
      </c>
    </row>
    <row r="6" customFormat="false" ht="51.75" hidden="false" customHeight="true" outlineLevel="0" collapsed="false">
      <c r="A6" s="4" t="s">
        <v>777</v>
      </c>
      <c r="B6" s="4" t="s">
        <v>416</v>
      </c>
      <c r="C6" s="4" t="s">
        <v>767</v>
      </c>
      <c r="D6" s="4" t="s">
        <v>778</v>
      </c>
      <c r="E6" s="8" t="s">
        <v>779</v>
      </c>
      <c r="F6" s="4" t="s">
        <v>770</v>
      </c>
      <c r="G6" s="4" t="s">
        <v>780</v>
      </c>
      <c r="H6" s="4" t="s">
        <v>781</v>
      </c>
      <c r="I6" s="4" t="s">
        <v>782</v>
      </c>
      <c r="J6" s="4" t="s">
        <v>783</v>
      </c>
      <c r="K6" s="12" t="n">
        <v>5</v>
      </c>
      <c r="L6" s="4" t="s">
        <v>784</v>
      </c>
      <c r="M6" s="4" t="s">
        <v>775</v>
      </c>
      <c r="N6" s="4" t="s">
        <v>785</v>
      </c>
    </row>
    <row r="7" customFormat="false" ht="39" hidden="false" customHeight="true" outlineLevel="0" collapsed="false">
      <c r="A7" s="4" t="s">
        <v>786</v>
      </c>
      <c r="B7" s="4" t="s">
        <v>17</v>
      </c>
      <c r="C7" s="4" t="s">
        <v>787</v>
      </c>
      <c r="D7" s="4" t="s">
        <v>788</v>
      </c>
      <c r="E7" s="7" t="s">
        <v>769</v>
      </c>
      <c r="F7" s="4" t="s">
        <v>770</v>
      </c>
      <c r="G7" s="4" t="s">
        <v>789</v>
      </c>
      <c r="H7" s="4" t="s">
        <v>790</v>
      </c>
      <c r="I7" s="4" t="s">
        <v>782</v>
      </c>
      <c r="J7" s="4" t="s">
        <v>183</v>
      </c>
      <c r="K7" s="12" t="n">
        <v>5</v>
      </c>
      <c r="L7" s="4" t="s">
        <v>791</v>
      </c>
      <c r="M7" s="4" t="s">
        <v>775</v>
      </c>
      <c r="N7" s="4" t="s">
        <v>792</v>
      </c>
    </row>
    <row r="8" customFormat="false" ht="39" hidden="false" customHeight="true" outlineLevel="0" collapsed="false">
      <c r="A8" s="4" t="s">
        <v>793</v>
      </c>
      <c r="B8" s="4" t="s">
        <v>17</v>
      </c>
      <c r="C8" s="4" t="s">
        <v>787</v>
      </c>
      <c r="D8" s="4" t="s">
        <v>788</v>
      </c>
      <c r="E8" s="8" t="s">
        <v>779</v>
      </c>
      <c r="F8" s="4" t="s">
        <v>794</v>
      </c>
      <c r="G8" s="4" t="s">
        <v>795</v>
      </c>
      <c r="H8" s="4" t="s">
        <v>796</v>
      </c>
      <c r="I8" s="4" t="s">
        <v>797</v>
      </c>
      <c r="J8" s="4" t="s">
        <v>798</v>
      </c>
      <c r="K8" s="12" t="n">
        <v>5</v>
      </c>
      <c r="L8" s="4" t="s">
        <v>799</v>
      </c>
      <c r="M8" s="4" t="s">
        <v>775</v>
      </c>
      <c r="N8" s="4" t="s">
        <v>183</v>
      </c>
    </row>
    <row r="9" customFormat="false" ht="39" hidden="false" customHeight="true" outlineLevel="0" collapsed="false">
      <c r="A9" s="4" t="s">
        <v>800</v>
      </c>
      <c r="B9" s="4" t="s">
        <v>17</v>
      </c>
      <c r="C9" s="4" t="s">
        <v>801</v>
      </c>
      <c r="D9" s="4" t="s">
        <v>802</v>
      </c>
      <c r="E9" s="7" t="s">
        <v>769</v>
      </c>
      <c r="F9" s="4" t="s">
        <v>803</v>
      </c>
      <c r="G9" s="4" t="s">
        <v>804</v>
      </c>
      <c r="H9" s="4" t="s">
        <v>805</v>
      </c>
      <c r="I9" s="4" t="s">
        <v>782</v>
      </c>
      <c r="J9" s="4" t="s">
        <v>183</v>
      </c>
      <c r="K9" s="12" t="n">
        <v>3</v>
      </c>
      <c r="L9" s="4" t="s">
        <v>806</v>
      </c>
      <c r="M9" s="4" t="s">
        <v>775</v>
      </c>
      <c r="N9" s="4" t="s">
        <v>807</v>
      </c>
    </row>
    <row r="10" customFormat="false" ht="39" hidden="false" customHeight="true" outlineLevel="0" collapsed="false">
      <c r="A10" s="4" t="s">
        <v>808</v>
      </c>
      <c r="B10" s="4" t="s">
        <v>17</v>
      </c>
      <c r="C10" s="4" t="s">
        <v>809</v>
      </c>
      <c r="D10" s="4" t="s">
        <v>810</v>
      </c>
      <c r="E10" s="7" t="s">
        <v>769</v>
      </c>
      <c r="F10" s="4" t="s">
        <v>794</v>
      </c>
      <c r="G10" s="4" t="s">
        <v>811</v>
      </c>
      <c r="H10" s="4" t="s">
        <v>812</v>
      </c>
      <c r="I10" s="4" t="s">
        <v>782</v>
      </c>
      <c r="J10" s="4" t="s">
        <v>183</v>
      </c>
      <c r="K10" s="12" t="n">
        <v>4</v>
      </c>
      <c r="L10" s="4" t="s">
        <v>813</v>
      </c>
      <c r="M10" s="4" t="s">
        <v>775</v>
      </c>
      <c r="N10" s="4" t="s">
        <v>814</v>
      </c>
    </row>
    <row r="11" customFormat="false" ht="39" hidden="false" customHeight="true" outlineLevel="0" collapsed="false">
      <c r="A11" s="4" t="s">
        <v>815</v>
      </c>
      <c r="B11" s="4" t="s">
        <v>17</v>
      </c>
      <c r="C11" s="4" t="s">
        <v>809</v>
      </c>
      <c r="D11" s="4" t="s">
        <v>816</v>
      </c>
      <c r="E11" s="8" t="s">
        <v>779</v>
      </c>
      <c r="F11" s="4" t="s">
        <v>794</v>
      </c>
      <c r="G11" s="4" t="s">
        <v>817</v>
      </c>
      <c r="H11" s="4" t="s">
        <v>818</v>
      </c>
      <c r="I11" s="4" t="s">
        <v>819</v>
      </c>
      <c r="J11" s="4" t="s">
        <v>820</v>
      </c>
      <c r="K11" s="12" t="n">
        <v>5</v>
      </c>
      <c r="L11" s="4" t="s">
        <v>821</v>
      </c>
      <c r="M11" s="4" t="s">
        <v>775</v>
      </c>
      <c r="N11" s="4" t="s">
        <v>183</v>
      </c>
    </row>
    <row r="12" customFormat="false" ht="39" hidden="false" customHeight="true" outlineLevel="0" collapsed="false">
      <c r="A12" s="4" t="s">
        <v>822</v>
      </c>
      <c r="B12" s="4" t="s">
        <v>416</v>
      </c>
      <c r="C12" s="4" t="s">
        <v>823</v>
      </c>
      <c r="D12" s="4" t="s">
        <v>824</v>
      </c>
      <c r="E12" s="7" t="s">
        <v>769</v>
      </c>
      <c r="F12" s="4" t="s">
        <v>770</v>
      </c>
      <c r="G12" s="4" t="s">
        <v>825</v>
      </c>
      <c r="H12" s="4" t="s">
        <v>826</v>
      </c>
      <c r="I12" s="4" t="s">
        <v>827</v>
      </c>
      <c r="J12" s="4" t="s">
        <v>828</v>
      </c>
      <c r="K12" s="12" t="n">
        <v>5</v>
      </c>
      <c r="L12" s="4" t="s">
        <v>829</v>
      </c>
      <c r="M12" s="4" t="s">
        <v>775</v>
      </c>
      <c r="N12" s="4" t="s">
        <v>830</v>
      </c>
    </row>
    <row r="13" customFormat="false" ht="39" hidden="false" customHeight="true" outlineLevel="0" collapsed="false">
      <c r="A13" s="4" t="s">
        <v>831</v>
      </c>
      <c r="B13" s="4" t="s">
        <v>17</v>
      </c>
      <c r="C13" s="4" t="s">
        <v>823</v>
      </c>
      <c r="D13" s="4" t="s">
        <v>832</v>
      </c>
      <c r="E13" s="8" t="s">
        <v>779</v>
      </c>
      <c r="F13" s="4" t="s">
        <v>770</v>
      </c>
      <c r="G13" s="4" t="s">
        <v>833</v>
      </c>
      <c r="H13" s="4" t="s">
        <v>834</v>
      </c>
      <c r="I13" s="4" t="s">
        <v>827</v>
      </c>
      <c r="J13" s="4" t="s">
        <v>835</v>
      </c>
      <c r="K13" s="12" t="n">
        <v>6</v>
      </c>
      <c r="L13" s="4" t="s">
        <v>836</v>
      </c>
      <c r="M13" s="4" t="s">
        <v>775</v>
      </c>
      <c r="N13" s="4" t="s">
        <v>837</v>
      </c>
    </row>
    <row r="14" customFormat="false" ht="39" hidden="false" customHeight="true" outlineLevel="0" collapsed="false">
      <c r="A14" s="4" t="s">
        <v>838</v>
      </c>
      <c r="B14" s="4" t="s">
        <v>17</v>
      </c>
      <c r="C14" s="4" t="s">
        <v>823</v>
      </c>
      <c r="D14" s="4" t="s">
        <v>839</v>
      </c>
      <c r="E14" s="8" t="s">
        <v>779</v>
      </c>
      <c r="F14" s="4" t="s">
        <v>794</v>
      </c>
      <c r="G14" s="4" t="s">
        <v>840</v>
      </c>
      <c r="H14" s="4" t="s">
        <v>841</v>
      </c>
      <c r="I14" s="4" t="s">
        <v>782</v>
      </c>
      <c r="J14" s="4" t="s">
        <v>842</v>
      </c>
      <c r="K14" s="12" t="n">
        <v>4</v>
      </c>
      <c r="L14" s="4" t="s">
        <v>843</v>
      </c>
      <c r="M14" s="4" t="s">
        <v>775</v>
      </c>
      <c r="N14" s="4" t="s">
        <v>830</v>
      </c>
    </row>
    <row r="15" customFormat="false" ht="39" hidden="false" customHeight="true" outlineLevel="0" collapsed="false">
      <c r="A15" s="4" t="s">
        <v>844</v>
      </c>
      <c r="B15" s="4" t="s">
        <v>17</v>
      </c>
      <c r="C15" s="4" t="s">
        <v>845</v>
      </c>
      <c r="D15" s="4" t="s">
        <v>839</v>
      </c>
      <c r="E15" s="8" t="s">
        <v>779</v>
      </c>
      <c r="F15" s="4" t="s">
        <v>794</v>
      </c>
      <c r="G15" s="4" t="s">
        <v>846</v>
      </c>
      <c r="H15" s="4" t="s">
        <v>847</v>
      </c>
      <c r="I15" s="4" t="s">
        <v>782</v>
      </c>
      <c r="J15" s="4" t="s">
        <v>848</v>
      </c>
      <c r="K15" s="12" t="n">
        <v>3</v>
      </c>
      <c r="L15" s="4" t="s">
        <v>849</v>
      </c>
      <c r="M15" s="4" t="s">
        <v>775</v>
      </c>
      <c r="N15" s="4" t="s">
        <v>850</v>
      </c>
    </row>
    <row r="16" customFormat="false" ht="39" hidden="false" customHeight="true" outlineLevel="0" collapsed="false">
      <c r="A16" s="4" t="s">
        <v>851</v>
      </c>
      <c r="B16" s="4" t="s">
        <v>416</v>
      </c>
      <c r="C16" s="4" t="s">
        <v>852</v>
      </c>
      <c r="D16" s="4" t="s">
        <v>853</v>
      </c>
      <c r="E16" s="7" t="s">
        <v>769</v>
      </c>
      <c r="F16" s="4" t="s">
        <v>794</v>
      </c>
      <c r="G16" s="4" t="s">
        <v>854</v>
      </c>
      <c r="H16" s="4" t="s">
        <v>855</v>
      </c>
      <c r="I16" s="4" t="s">
        <v>856</v>
      </c>
      <c r="J16" s="4" t="s">
        <v>857</v>
      </c>
      <c r="K16" s="12" t="n">
        <v>4</v>
      </c>
      <c r="L16" s="4" t="s">
        <v>858</v>
      </c>
      <c r="M16" s="4" t="s">
        <v>775</v>
      </c>
      <c r="N16" s="4" t="s">
        <v>859</v>
      </c>
    </row>
    <row r="17" customFormat="false" ht="39" hidden="false" customHeight="true" outlineLevel="0" collapsed="false">
      <c r="A17" s="4" t="s">
        <v>860</v>
      </c>
      <c r="B17" s="4" t="s">
        <v>416</v>
      </c>
      <c r="C17" s="4" t="s">
        <v>852</v>
      </c>
      <c r="D17" s="4" t="s">
        <v>861</v>
      </c>
      <c r="E17" s="8" t="s">
        <v>779</v>
      </c>
      <c r="F17" s="4" t="s">
        <v>770</v>
      </c>
      <c r="G17" s="4" t="s">
        <v>862</v>
      </c>
      <c r="H17" s="4" t="s">
        <v>863</v>
      </c>
      <c r="I17" s="4" t="s">
        <v>856</v>
      </c>
      <c r="J17" s="4" t="s">
        <v>864</v>
      </c>
      <c r="K17" s="12" t="n">
        <v>5</v>
      </c>
      <c r="L17" s="4" t="s">
        <v>865</v>
      </c>
      <c r="M17" s="4" t="s">
        <v>775</v>
      </c>
      <c r="N17" s="4" t="s">
        <v>866</v>
      </c>
    </row>
    <row r="18" customFormat="false" ht="39" hidden="false" customHeight="true" outlineLevel="0" collapsed="false">
      <c r="A18" s="4" t="s">
        <v>867</v>
      </c>
      <c r="B18" s="4" t="s">
        <v>17</v>
      </c>
      <c r="C18" s="4" t="s">
        <v>823</v>
      </c>
      <c r="D18" s="4" t="s">
        <v>868</v>
      </c>
      <c r="E18" s="7" t="s">
        <v>769</v>
      </c>
      <c r="F18" s="4" t="s">
        <v>770</v>
      </c>
      <c r="G18" s="4" t="s">
        <v>869</v>
      </c>
      <c r="H18" s="4" t="s">
        <v>870</v>
      </c>
      <c r="I18" s="4" t="s">
        <v>782</v>
      </c>
      <c r="J18" s="4" t="s">
        <v>183</v>
      </c>
      <c r="K18" s="12" t="n">
        <v>3</v>
      </c>
      <c r="L18" s="4" t="s">
        <v>871</v>
      </c>
      <c r="M18" s="4" t="s">
        <v>775</v>
      </c>
      <c r="N18" s="4" t="s">
        <v>859</v>
      </c>
    </row>
    <row r="19" customFormat="false" ht="39" hidden="false" customHeight="true" outlineLevel="0" collapsed="false">
      <c r="A19" s="4" t="s">
        <v>872</v>
      </c>
      <c r="B19" s="4" t="s">
        <v>17</v>
      </c>
      <c r="C19" s="4" t="s">
        <v>823</v>
      </c>
      <c r="D19" s="4" t="s">
        <v>873</v>
      </c>
      <c r="E19" s="8" t="s">
        <v>779</v>
      </c>
      <c r="F19" s="4" t="s">
        <v>794</v>
      </c>
      <c r="G19" s="4" t="s">
        <v>874</v>
      </c>
      <c r="H19" s="4" t="s">
        <v>875</v>
      </c>
      <c r="I19" s="4" t="s">
        <v>782</v>
      </c>
      <c r="J19" s="4" t="s">
        <v>183</v>
      </c>
      <c r="K19" s="12" t="n">
        <v>3</v>
      </c>
      <c r="L19" s="4" t="s">
        <v>876</v>
      </c>
      <c r="M19" s="4" t="s">
        <v>775</v>
      </c>
      <c r="N19" s="4" t="s">
        <v>859</v>
      </c>
    </row>
    <row r="20" customFormat="false" ht="51.75" hidden="false" customHeight="true" outlineLevel="0" collapsed="false">
      <c r="A20" s="4" t="s">
        <v>877</v>
      </c>
      <c r="B20" s="4" t="s">
        <v>235</v>
      </c>
      <c r="C20" s="4" t="s">
        <v>878</v>
      </c>
      <c r="D20" s="4" t="s">
        <v>879</v>
      </c>
      <c r="E20" s="7" t="s">
        <v>769</v>
      </c>
      <c r="F20" s="4" t="s">
        <v>770</v>
      </c>
      <c r="G20" s="4" t="s">
        <v>880</v>
      </c>
      <c r="H20" s="4" t="s">
        <v>881</v>
      </c>
      <c r="I20" s="4" t="s">
        <v>782</v>
      </c>
      <c r="J20" s="4" t="s">
        <v>882</v>
      </c>
      <c r="K20" s="12" t="n">
        <v>4</v>
      </c>
      <c r="L20" s="4" t="s">
        <v>883</v>
      </c>
      <c r="M20" s="4" t="s">
        <v>775</v>
      </c>
      <c r="N20" s="4" t="s">
        <v>884</v>
      </c>
    </row>
    <row r="21" customFormat="false" ht="39" hidden="false" customHeight="true" outlineLevel="0" collapsed="false">
      <c r="A21" s="4" t="s">
        <v>885</v>
      </c>
      <c r="B21" s="4" t="s">
        <v>253</v>
      </c>
      <c r="C21" s="4" t="s">
        <v>878</v>
      </c>
      <c r="D21" s="4" t="s">
        <v>886</v>
      </c>
      <c r="E21" s="8" t="s">
        <v>779</v>
      </c>
      <c r="F21" s="4" t="s">
        <v>770</v>
      </c>
      <c r="G21" s="4" t="s">
        <v>887</v>
      </c>
      <c r="H21" s="4" t="s">
        <v>888</v>
      </c>
      <c r="I21" s="4" t="s">
        <v>856</v>
      </c>
      <c r="J21" s="4" t="s">
        <v>889</v>
      </c>
      <c r="K21" s="12" t="n">
        <v>4</v>
      </c>
      <c r="L21" s="4" t="s">
        <v>890</v>
      </c>
      <c r="M21" s="4" t="s">
        <v>775</v>
      </c>
      <c r="N21" s="4" t="s">
        <v>891</v>
      </c>
    </row>
    <row r="22" customFormat="false" ht="39" hidden="false" customHeight="true" outlineLevel="0" collapsed="false">
      <c r="A22" s="4" t="s">
        <v>892</v>
      </c>
      <c r="B22" s="4" t="s">
        <v>203</v>
      </c>
      <c r="C22" s="4" t="s">
        <v>878</v>
      </c>
      <c r="D22" s="4" t="s">
        <v>886</v>
      </c>
      <c r="E22" s="8" t="s">
        <v>779</v>
      </c>
      <c r="F22" s="4" t="s">
        <v>794</v>
      </c>
      <c r="G22" s="4" t="s">
        <v>893</v>
      </c>
      <c r="H22" s="4" t="s">
        <v>894</v>
      </c>
      <c r="I22" s="4" t="s">
        <v>782</v>
      </c>
      <c r="J22" s="4" t="s">
        <v>895</v>
      </c>
      <c r="K22" s="12" t="n">
        <v>3</v>
      </c>
      <c r="L22" s="4" t="s">
        <v>896</v>
      </c>
      <c r="M22" s="4" t="s">
        <v>775</v>
      </c>
      <c r="N22" s="4" t="s">
        <v>897</v>
      </c>
    </row>
    <row r="23" customFormat="false" ht="39" hidden="false" customHeight="true" outlineLevel="0" collapsed="false">
      <c r="A23" s="4" t="s">
        <v>898</v>
      </c>
      <c r="B23" s="4" t="s">
        <v>253</v>
      </c>
      <c r="C23" s="4" t="s">
        <v>878</v>
      </c>
      <c r="D23" s="4" t="s">
        <v>899</v>
      </c>
      <c r="E23" s="8" t="s">
        <v>779</v>
      </c>
      <c r="F23" s="4" t="s">
        <v>770</v>
      </c>
      <c r="G23" s="4" t="s">
        <v>900</v>
      </c>
      <c r="H23" s="4" t="s">
        <v>901</v>
      </c>
      <c r="I23" s="4" t="s">
        <v>782</v>
      </c>
      <c r="J23" s="4" t="s">
        <v>902</v>
      </c>
      <c r="K23" s="12" t="n">
        <v>4</v>
      </c>
      <c r="L23" s="4" t="s">
        <v>903</v>
      </c>
      <c r="M23" s="4" t="s">
        <v>775</v>
      </c>
      <c r="N23" s="4" t="s">
        <v>904</v>
      </c>
    </row>
    <row r="24" customFormat="false" ht="25.5" hidden="false" customHeight="true" outlineLevel="0" collapsed="false">
      <c r="A24" s="4" t="s">
        <v>905</v>
      </c>
      <c r="B24" s="4" t="s">
        <v>244</v>
      </c>
      <c r="C24" s="4" t="s">
        <v>878</v>
      </c>
      <c r="D24" s="4" t="s">
        <v>879</v>
      </c>
      <c r="E24" s="8" t="s">
        <v>779</v>
      </c>
      <c r="F24" s="4" t="s">
        <v>803</v>
      </c>
      <c r="G24" s="4" t="s">
        <v>906</v>
      </c>
      <c r="H24" s="4" t="s">
        <v>907</v>
      </c>
      <c r="I24" s="4" t="s">
        <v>782</v>
      </c>
      <c r="J24" s="4" t="s">
        <v>908</v>
      </c>
      <c r="K24" s="12" t="n">
        <v>3</v>
      </c>
      <c r="L24" s="4" t="s">
        <v>909</v>
      </c>
      <c r="M24" s="4" t="s">
        <v>775</v>
      </c>
      <c r="N24" s="4" t="s">
        <v>910</v>
      </c>
    </row>
    <row r="25" customFormat="false" ht="39" hidden="false" customHeight="true" outlineLevel="0" collapsed="false">
      <c r="A25" s="4" t="s">
        <v>911</v>
      </c>
      <c r="B25" s="4" t="s">
        <v>17</v>
      </c>
      <c r="C25" s="4" t="s">
        <v>912</v>
      </c>
      <c r="D25" s="4" t="s">
        <v>913</v>
      </c>
      <c r="E25" s="7" t="s">
        <v>769</v>
      </c>
      <c r="F25" s="4" t="s">
        <v>770</v>
      </c>
      <c r="G25" s="4" t="s">
        <v>914</v>
      </c>
      <c r="H25" s="4" t="s">
        <v>915</v>
      </c>
      <c r="I25" s="4" t="s">
        <v>782</v>
      </c>
      <c r="J25" s="4" t="s">
        <v>183</v>
      </c>
      <c r="K25" s="12" t="n">
        <v>4</v>
      </c>
      <c r="L25" s="4" t="s">
        <v>916</v>
      </c>
      <c r="M25" s="4" t="s">
        <v>775</v>
      </c>
      <c r="N25" s="4" t="s">
        <v>917</v>
      </c>
    </row>
    <row r="26" customFormat="false" ht="51.75" hidden="false" customHeight="true" outlineLevel="0" collapsed="false">
      <c r="A26" s="4" t="s">
        <v>918</v>
      </c>
      <c r="B26" s="4" t="s">
        <v>416</v>
      </c>
      <c r="C26" s="4" t="s">
        <v>919</v>
      </c>
      <c r="D26" s="4" t="s">
        <v>920</v>
      </c>
      <c r="E26" s="8" t="s">
        <v>779</v>
      </c>
      <c r="F26" s="4" t="s">
        <v>794</v>
      </c>
      <c r="G26" s="4" t="s">
        <v>921</v>
      </c>
      <c r="H26" s="4" t="s">
        <v>922</v>
      </c>
      <c r="I26" s="4" t="s">
        <v>782</v>
      </c>
      <c r="J26" s="4" t="s">
        <v>183</v>
      </c>
      <c r="K26" s="12" t="n">
        <v>3</v>
      </c>
      <c r="L26" s="4" t="s">
        <v>923</v>
      </c>
      <c r="M26" s="4" t="s">
        <v>775</v>
      </c>
      <c r="N26" s="4" t="s">
        <v>910</v>
      </c>
    </row>
    <row r="27" customFormat="false" ht="51.75" hidden="false" customHeight="true" outlineLevel="0" collapsed="false">
      <c r="A27" s="4" t="s">
        <v>924</v>
      </c>
      <c r="B27" s="4" t="s">
        <v>17</v>
      </c>
      <c r="C27" s="4" t="s">
        <v>912</v>
      </c>
      <c r="D27" s="4" t="s">
        <v>925</v>
      </c>
      <c r="E27" s="7" t="s">
        <v>769</v>
      </c>
      <c r="F27" s="4" t="s">
        <v>770</v>
      </c>
      <c r="G27" s="4" t="s">
        <v>926</v>
      </c>
      <c r="H27" s="4" t="s">
        <v>927</v>
      </c>
      <c r="I27" s="4" t="s">
        <v>782</v>
      </c>
      <c r="J27" s="4" t="s">
        <v>183</v>
      </c>
      <c r="K27" s="12" t="n">
        <v>4</v>
      </c>
      <c r="L27" s="4" t="s">
        <v>928</v>
      </c>
      <c r="M27" s="4" t="s">
        <v>775</v>
      </c>
      <c r="N27" s="4" t="s">
        <v>917</v>
      </c>
    </row>
    <row r="28" customFormat="false" ht="39" hidden="false" customHeight="true" outlineLevel="0" collapsed="false">
      <c r="A28" s="4" t="s">
        <v>929</v>
      </c>
      <c r="B28" s="4" t="s">
        <v>17</v>
      </c>
      <c r="C28" s="4" t="s">
        <v>912</v>
      </c>
      <c r="D28" s="4" t="s">
        <v>930</v>
      </c>
      <c r="E28" s="8" t="s">
        <v>779</v>
      </c>
      <c r="F28" s="4" t="s">
        <v>794</v>
      </c>
      <c r="G28" s="4" t="s">
        <v>931</v>
      </c>
      <c r="H28" s="4" t="s">
        <v>932</v>
      </c>
      <c r="I28" s="4" t="s">
        <v>782</v>
      </c>
      <c r="J28" s="4" t="s">
        <v>183</v>
      </c>
      <c r="K28" s="12" t="n">
        <v>4</v>
      </c>
      <c r="L28" s="4" t="s">
        <v>933</v>
      </c>
      <c r="M28" s="4" t="s">
        <v>775</v>
      </c>
      <c r="N28" s="4" t="s">
        <v>917</v>
      </c>
    </row>
    <row r="29" customFormat="false" ht="39" hidden="false" customHeight="true" outlineLevel="0" collapsed="false">
      <c r="A29" s="4" t="s">
        <v>934</v>
      </c>
      <c r="B29" s="4" t="s">
        <v>17</v>
      </c>
      <c r="C29" s="4" t="s">
        <v>912</v>
      </c>
      <c r="D29" s="4" t="s">
        <v>930</v>
      </c>
      <c r="E29" s="8" t="s">
        <v>779</v>
      </c>
      <c r="F29" s="4" t="s">
        <v>794</v>
      </c>
      <c r="G29" s="4" t="s">
        <v>935</v>
      </c>
      <c r="H29" s="4" t="s">
        <v>936</v>
      </c>
      <c r="I29" s="4" t="s">
        <v>782</v>
      </c>
      <c r="J29" s="4" t="s">
        <v>183</v>
      </c>
      <c r="K29" s="12" t="n">
        <v>3</v>
      </c>
      <c r="L29" s="4" t="s">
        <v>937</v>
      </c>
      <c r="M29" s="4" t="s">
        <v>775</v>
      </c>
      <c r="N29" s="4" t="s">
        <v>938</v>
      </c>
    </row>
    <row r="30" customFormat="false" ht="51.75" hidden="false" customHeight="true" outlineLevel="0" collapsed="false">
      <c r="A30" s="4" t="s">
        <v>939</v>
      </c>
      <c r="B30" s="4" t="s">
        <v>17</v>
      </c>
      <c r="C30" s="4" t="s">
        <v>940</v>
      </c>
      <c r="D30" s="4" t="s">
        <v>832</v>
      </c>
      <c r="E30" s="7" t="s">
        <v>769</v>
      </c>
      <c r="F30" s="4" t="s">
        <v>794</v>
      </c>
      <c r="G30" s="4" t="s">
        <v>941</v>
      </c>
      <c r="H30" s="4" t="s">
        <v>942</v>
      </c>
      <c r="I30" s="4" t="s">
        <v>782</v>
      </c>
      <c r="J30" s="4" t="s">
        <v>183</v>
      </c>
      <c r="K30" s="12" t="n">
        <v>4</v>
      </c>
      <c r="L30" s="4" t="s">
        <v>943</v>
      </c>
      <c r="M30" s="4" t="s">
        <v>775</v>
      </c>
      <c r="N30" s="4" t="s">
        <v>917</v>
      </c>
    </row>
    <row r="31" customFormat="false" ht="51.75" hidden="false" customHeight="true" outlineLevel="0" collapsed="false">
      <c r="A31" s="4" t="s">
        <v>944</v>
      </c>
      <c r="B31" s="4" t="s">
        <v>17</v>
      </c>
      <c r="C31" s="4" t="s">
        <v>945</v>
      </c>
      <c r="D31" s="4" t="s">
        <v>946</v>
      </c>
      <c r="E31" s="7" t="s">
        <v>769</v>
      </c>
      <c r="F31" s="4" t="s">
        <v>770</v>
      </c>
      <c r="G31" s="4" t="s">
        <v>947</v>
      </c>
      <c r="H31" s="4" t="s">
        <v>948</v>
      </c>
      <c r="I31" s="4" t="s">
        <v>782</v>
      </c>
      <c r="J31" s="4" t="s">
        <v>949</v>
      </c>
      <c r="K31" s="12" t="n">
        <v>5</v>
      </c>
      <c r="L31" s="4" t="s">
        <v>950</v>
      </c>
      <c r="M31" s="4" t="s">
        <v>775</v>
      </c>
      <c r="N31" s="4" t="s">
        <v>951</v>
      </c>
    </row>
    <row r="32" customFormat="false" ht="39" hidden="false" customHeight="true" outlineLevel="0" collapsed="false">
      <c r="A32" s="4" t="s">
        <v>952</v>
      </c>
      <c r="B32" s="4" t="s">
        <v>17</v>
      </c>
      <c r="C32" s="4" t="s">
        <v>945</v>
      </c>
      <c r="D32" s="4" t="s">
        <v>953</v>
      </c>
      <c r="E32" s="8" t="s">
        <v>779</v>
      </c>
      <c r="F32" s="4" t="s">
        <v>770</v>
      </c>
      <c r="G32" s="4" t="s">
        <v>954</v>
      </c>
      <c r="H32" s="4" t="s">
        <v>955</v>
      </c>
      <c r="I32" s="4" t="s">
        <v>956</v>
      </c>
      <c r="J32" s="4" t="s">
        <v>957</v>
      </c>
      <c r="K32" s="12" t="n">
        <v>4</v>
      </c>
      <c r="L32" s="4" t="s">
        <v>958</v>
      </c>
      <c r="M32" s="4" t="s">
        <v>775</v>
      </c>
      <c r="N32" s="4" t="s">
        <v>951</v>
      </c>
    </row>
    <row r="33" customFormat="false" ht="39" hidden="false" customHeight="true" outlineLevel="0" collapsed="false">
      <c r="A33" s="4" t="s">
        <v>959</v>
      </c>
      <c r="B33" s="4" t="s">
        <v>17</v>
      </c>
      <c r="C33" s="4" t="s">
        <v>945</v>
      </c>
      <c r="D33" s="4" t="s">
        <v>930</v>
      </c>
      <c r="E33" s="8" t="s">
        <v>779</v>
      </c>
      <c r="F33" s="4" t="s">
        <v>770</v>
      </c>
      <c r="G33" s="4" t="s">
        <v>960</v>
      </c>
      <c r="H33" s="4" t="s">
        <v>961</v>
      </c>
      <c r="I33" s="4" t="s">
        <v>782</v>
      </c>
      <c r="J33" s="4" t="s">
        <v>962</v>
      </c>
      <c r="K33" s="12" t="n">
        <v>4</v>
      </c>
      <c r="L33" s="4" t="s">
        <v>963</v>
      </c>
      <c r="M33" s="4" t="s">
        <v>775</v>
      </c>
      <c r="N33" s="4" t="s">
        <v>951</v>
      </c>
    </row>
    <row r="34" customFormat="false" ht="39" hidden="false" customHeight="true" outlineLevel="0" collapsed="false">
      <c r="A34" s="4" t="s">
        <v>964</v>
      </c>
      <c r="B34" s="4" t="s">
        <v>346</v>
      </c>
      <c r="C34" s="4" t="s">
        <v>945</v>
      </c>
      <c r="D34" s="4" t="s">
        <v>965</v>
      </c>
      <c r="E34" s="8" t="s">
        <v>779</v>
      </c>
      <c r="F34" s="4" t="s">
        <v>770</v>
      </c>
      <c r="G34" s="4" t="s">
        <v>966</v>
      </c>
      <c r="H34" s="4" t="s">
        <v>967</v>
      </c>
      <c r="I34" s="4" t="s">
        <v>782</v>
      </c>
      <c r="J34" s="4" t="s">
        <v>968</v>
      </c>
      <c r="K34" s="12" t="n">
        <v>5</v>
      </c>
      <c r="L34" s="4" t="s">
        <v>969</v>
      </c>
      <c r="M34" s="4" t="s">
        <v>775</v>
      </c>
      <c r="N34" s="4" t="s">
        <v>970</v>
      </c>
    </row>
    <row r="35" customFormat="false" ht="51.75" hidden="false" customHeight="true" outlineLevel="0" collapsed="false">
      <c r="A35" s="4" t="s">
        <v>971</v>
      </c>
      <c r="B35" s="4" t="s">
        <v>17</v>
      </c>
      <c r="C35" s="4" t="s">
        <v>972</v>
      </c>
      <c r="D35" s="4" t="s">
        <v>965</v>
      </c>
      <c r="E35" s="8" t="s">
        <v>779</v>
      </c>
      <c r="F35" s="4" t="s">
        <v>794</v>
      </c>
      <c r="G35" s="4" t="s">
        <v>973</v>
      </c>
      <c r="H35" s="4" t="s">
        <v>974</v>
      </c>
      <c r="I35" s="4" t="s">
        <v>782</v>
      </c>
      <c r="J35" s="4" t="s">
        <v>975</v>
      </c>
      <c r="K35" s="12" t="n">
        <v>5</v>
      </c>
      <c r="L35" s="4" t="s">
        <v>976</v>
      </c>
      <c r="M35" s="4" t="s">
        <v>775</v>
      </c>
      <c r="N35" s="4" t="s">
        <v>951</v>
      </c>
    </row>
    <row r="36" customFormat="false" ht="39" hidden="false" customHeight="true" outlineLevel="0" collapsed="false">
      <c r="A36" s="4" t="s">
        <v>977</v>
      </c>
      <c r="B36" s="4" t="s">
        <v>17</v>
      </c>
      <c r="C36" s="4" t="s">
        <v>978</v>
      </c>
      <c r="D36" s="4" t="s">
        <v>965</v>
      </c>
      <c r="E36" s="8" t="s">
        <v>779</v>
      </c>
      <c r="F36" s="4" t="s">
        <v>794</v>
      </c>
      <c r="G36" s="4" t="s">
        <v>979</v>
      </c>
      <c r="H36" s="4" t="s">
        <v>980</v>
      </c>
      <c r="I36" s="4" t="s">
        <v>782</v>
      </c>
      <c r="J36" s="4" t="s">
        <v>981</v>
      </c>
      <c r="K36" s="12" t="n">
        <v>4</v>
      </c>
      <c r="L36" s="4" t="s">
        <v>982</v>
      </c>
      <c r="M36" s="4" t="s">
        <v>775</v>
      </c>
      <c r="N36" s="4" t="s">
        <v>951</v>
      </c>
    </row>
    <row r="37" customFormat="false" ht="39" hidden="false" customHeight="true" outlineLevel="0" collapsed="false">
      <c r="A37" s="4" t="s">
        <v>983</v>
      </c>
      <c r="B37" s="4" t="s">
        <v>17</v>
      </c>
      <c r="C37" s="4" t="s">
        <v>984</v>
      </c>
      <c r="D37" s="4" t="s">
        <v>985</v>
      </c>
      <c r="E37" s="7" t="s">
        <v>769</v>
      </c>
      <c r="F37" s="4" t="s">
        <v>794</v>
      </c>
      <c r="G37" s="4" t="s">
        <v>986</v>
      </c>
      <c r="H37" s="4" t="s">
        <v>987</v>
      </c>
      <c r="I37" s="4" t="s">
        <v>782</v>
      </c>
      <c r="J37" s="4" t="s">
        <v>183</v>
      </c>
      <c r="K37" s="12" t="n">
        <v>3</v>
      </c>
      <c r="L37" s="4" t="s">
        <v>988</v>
      </c>
      <c r="M37" s="4" t="s">
        <v>775</v>
      </c>
      <c r="N37" s="4" t="s">
        <v>989</v>
      </c>
    </row>
    <row r="38" customFormat="false" ht="39" hidden="false" customHeight="true" outlineLevel="0" collapsed="false">
      <c r="A38" s="4" t="s">
        <v>990</v>
      </c>
      <c r="B38" s="4" t="s">
        <v>17</v>
      </c>
      <c r="C38" s="4" t="s">
        <v>984</v>
      </c>
      <c r="D38" s="4" t="s">
        <v>991</v>
      </c>
      <c r="E38" s="8" t="s">
        <v>779</v>
      </c>
      <c r="F38" s="4" t="s">
        <v>803</v>
      </c>
      <c r="G38" s="4" t="s">
        <v>992</v>
      </c>
      <c r="H38" s="4" t="s">
        <v>993</v>
      </c>
      <c r="I38" s="4" t="s">
        <v>994</v>
      </c>
      <c r="J38" s="4" t="s">
        <v>995</v>
      </c>
      <c r="K38" s="12" t="n">
        <v>4</v>
      </c>
      <c r="L38" s="4" t="s">
        <v>996</v>
      </c>
      <c r="M38" s="4" t="s">
        <v>775</v>
      </c>
      <c r="N38" s="4" t="s">
        <v>989</v>
      </c>
    </row>
    <row r="39" customFormat="false" ht="39" hidden="false" customHeight="true" outlineLevel="0" collapsed="false">
      <c r="A39" s="4" t="s">
        <v>997</v>
      </c>
      <c r="B39" s="4" t="s">
        <v>314</v>
      </c>
      <c r="C39" s="4" t="s">
        <v>998</v>
      </c>
      <c r="D39" s="4" t="s">
        <v>999</v>
      </c>
      <c r="E39" s="7" t="s">
        <v>769</v>
      </c>
      <c r="F39" s="4" t="s">
        <v>770</v>
      </c>
      <c r="G39" s="4" t="s">
        <v>1000</v>
      </c>
      <c r="H39" s="4" t="s">
        <v>1001</v>
      </c>
      <c r="I39" s="4" t="s">
        <v>782</v>
      </c>
      <c r="J39" s="4" t="s">
        <v>1002</v>
      </c>
      <c r="K39" s="12" t="n">
        <v>4</v>
      </c>
      <c r="L39" s="4" t="s">
        <v>1003</v>
      </c>
      <c r="M39" s="4" t="s">
        <v>775</v>
      </c>
      <c r="N39" s="4" t="s">
        <v>1004</v>
      </c>
    </row>
    <row r="40" customFormat="false" ht="39" hidden="false" customHeight="true" outlineLevel="0" collapsed="false">
      <c r="A40" s="4" t="s">
        <v>1005</v>
      </c>
      <c r="B40" s="4" t="s">
        <v>314</v>
      </c>
      <c r="C40" s="4" t="s">
        <v>998</v>
      </c>
      <c r="D40" s="4" t="s">
        <v>999</v>
      </c>
      <c r="E40" s="8" t="s">
        <v>779</v>
      </c>
      <c r="F40" s="4" t="s">
        <v>770</v>
      </c>
      <c r="G40" s="4" t="s">
        <v>1006</v>
      </c>
      <c r="H40" s="4" t="s">
        <v>1007</v>
      </c>
      <c r="I40" s="4" t="s">
        <v>1008</v>
      </c>
      <c r="J40" s="4" t="s">
        <v>1009</v>
      </c>
      <c r="K40" s="12" t="n">
        <v>4</v>
      </c>
      <c r="L40" s="4" t="s">
        <v>1010</v>
      </c>
      <c r="M40" s="4" t="s">
        <v>775</v>
      </c>
      <c r="N40" s="4" t="s">
        <v>1011</v>
      </c>
    </row>
    <row r="41" customFormat="false" ht="39" hidden="false" customHeight="true" outlineLevel="0" collapsed="false">
      <c r="A41" s="4" t="s">
        <v>1012</v>
      </c>
      <c r="B41" s="4" t="s">
        <v>314</v>
      </c>
      <c r="C41" s="4" t="s">
        <v>998</v>
      </c>
      <c r="D41" s="4" t="s">
        <v>999</v>
      </c>
      <c r="E41" s="7" t="s">
        <v>769</v>
      </c>
      <c r="F41" s="4" t="s">
        <v>794</v>
      </c>
      <c r="G41" s="4" t="s">
        <v>1013</v>
      </c>
      <c r="H41" s="4" t="s">
        <v>1014</v>
      </c>
      <c r="I41" s="4" t="s">
        <v>1008</v>
      </c>
      <c r="J41" s="4" t="s">
        <v>1015</v>
      </c>
      <c r="K41" s="12" t="n">
        <v>4</v>
      </c>
      <c r="L41" s="4" t="s">
        <v>1016</v>
      </c>
      <c r="M41" s="4" t="s">
        <v>775</v>
      </c>
      <c r="N41" s="4" t="s">
        <v>1017</v>
      </c>
    </row>
    <row r="42" customFormat="false" ht="39" hidden="false" customHeight="true" outlineLevel="0" collapsed="false">
      <c r="A42" s="4" t="s">
        <v>1018</v>
      </c>
      <c r="B42" s="4" t="s">
        <v>253</v>
      </c>
      <c r="C42" s="4" t="s">
        <v>1019</v>
      </c>
      <c r="D42" s="4" t="s">
        <v>1020</v>
      </c>
      <c r="E42" s="8" t="s">
        <v>779</v>
      </c>
      <c r="F42" s="4" t="s">
        <v>770</v>
      </c>
      <c r="G42" s="4" t="s">
        <v>1021</v>
      </c>
      <c r="H42" s="4" t="s">
        <v>1022</v>
      </c>
      <c r="I42" s="4" t="s">
        <v>782</v>
      </c>
      <c r="J42" s="4" t="s">
        <v>1023</v>
      </c>
      <c r="K42" s="12" t="n">
        <v>5</v>
      </c>
      <c r="L42" s="4" t="s">
        <v>1024</v>
      </c>
      <c r="M42" s="4" t="s">
        <v>775</v>
      </c>
      <c r="N42" s="4" t="s">
        <v>891</v>
      </c>
    </row>
    <row r="43" customFormat="false" ht="25.5" hidden="false" customHeight="true" outlineLevel="0" collapsed="false">
      <c r="A43" s="4" t="s">
        <v>1025</v>
      </c>
      <c r="B43" s="4" t="s">
        <v>253</v>
      </c>
      <c r="C43" s="4" t="s">
        <v>1026</v>
      </c>
      <c r="D43" s="4" t="s">
        <v>1027</v>
      </c>
      <c r="E43" s="8" t="s">
        <v>779</v>
      </c>
      <c r="F43" s="4" t="s">
        <v>770</v>
      </c>
      <c r="G43" s="4" t="s">
        <v>1028</v>
      </c>
      <c r="H43" s="4" t="s">
        <v>1029</v>
      </c>
      <c r="I43" s="4" t="s">
        <v>782</v>
      </c>
      <c r="J43" s="4" t="s">
        <v>1030</v>
      </c>
      <c r="K43" s="12" t="n">
        <v>4</v>
      </c>
      <c r="L43" s="4" t="s">
        <v>1031</v>
      </c>
      <c r="M43" s="4" t="s">
        <v>775</v>
      </c>
      <c r="N43" s="4" t="s">
        <v>1032</v>
      </c>
    </row>
    <row r="44" customFormat="false" ht="51.75" hidden="false" customHeight="true" outlineLevel="0" collapsed="false">
      <c r="A44" s="4" t="s">
        <v>1033</v>
      </c>
      <c r="B44" s="4" t="s">
        <v>401</v>
      </c>
      <c r="C44" s="4" t="s">
        <v>1034</v>
      </c>
      <c r="D44" s="4" t="s">
        <v>886</v>
      </c>
      <c r="E44" s="8" t="s">
        <v>779</v>
      </c>
      <c r="F44" s="4" t="s">
        <v>794</v>
      </c>
      <c r="G44" s="4" t="s">
        <v>1035</v>
      </c>
      <c r="H44" s="4" t="s">
        <v>1036</v>
      </c>
      <c r="I44" s="4" t="s">
        <v>856</v>
      </c>
      <c r="J44" s="4" t="s">
        <v>1037</v>
      </c>
      <c r="K44" s="12" t="n">
        <v>4</v>
      </c>
      <c r="L44" s="4" t="s">
        <v>1038</v>
      </c>
      <c r="M44" s="4" t="s">
        <v>775</v>
      </c>
      <c r="N44" s="4" t="s">
        <v>891</v>
      </c>
    </row>
    <row r="45" customFormat="false" ht="39" hidden="false" customHeight="true" outlineLevel="0" collapsed="false">
      <c r="A45" s="4" t="s">
        <v>1039</v>
      </c>
      <c r="B45" s="4" t="s">
        <v>253</v>
      </c>
      <c r="C45" s="4" t="s">
        <v>1040</v>
      </c>
      <c r="D45" s="4" t="s">
        <v>1041</v>
      </c>
      <c r="E45" s="8" t="s">
        <v>779</v>
      </c>
      <c r="F45" s="4" t="s">
        <v>770</v>
      </c>
      <c r="G45" s="4" t="s">
        <v>1042</v>
      </c>
      <c r="H45" s="4" t="s">
        <v>1043</v>
      </c>
      <c r="I45" s="4" t="s">
        <v>782</v>
      </c>
      <c r="J45" s="4" t="s">
        <v>1044</v>
      </c>
      <c r="K45" s="12" t="n">
        <v>5</v>
      </c>
      <c r="L45" s="4" t="s">
        <v>1045</v>
      </c>
      <c r="M45" s="4" t="s">
        <v>775</v>
      </c>
      <c r="N45" s="4" t="s">
        <v>904</v>
      </c>
    </row>
    <row r="46" customFormat="false" ht="39" hidden="false" customHeight="true" outlineLevel="0" collapsed="false">
      <c r="A46" s="4" t="s">
        <v>1046</v>
      </c>
      <c r="B46" s="4" t="s">
        <v>416</v>
      </c>
      <c r="C46" s="4" t="s">
        <v>1047</v>
      </c>
      <c r="D46" s="4" t="s">
        <v>1048</v>
      </c>
      <c r="E46" s="7" t="s">
        <v>769</v>
      </c>
      <c r="F46" s="4" t="s">
        <v>770</v>
      </c>
      <c r="G46" s="4" t="s">
        <v>1049</v>
      </c>
      <c r="H46" s="4" t="s">
        <v>1050</v>
      </c>
      <c r="I46" s="4" t="s">
        <v>782</v>
      </c>
      <c r="J46" s="4" t="s">
        <v>1051</v>
      </c>
      <c r="K46" s="12" t="n">
        <v>4</v>
      </c>
      <c r="L46" s="4" t="s">
        <v>1052</v>
      </c>
      <c r="M46" s="4" t="s">
        <v>775</v>
      </c>
      <c r="N46" s="4" t="s">
        <v>1053</v>
      </c>
    </row>
    <row r="47" customFormat="false" ht="51.75" hidden="false" customHeight="true" outlineLevel="0" collapsed="false">
      <c r="A47" s="4" t="s">
        <v>1054</v>
      </c>
      <c r="B47" s="4" t="s">
        <v>17</v>
      </c>
      <c r="C47" s="4" t="s">
        <v>1055</v>
      </c>
      <c r="D47" s="4" t="s">
        <v>1048</v>
      </c>
      <c r="E47" s="8" t="s">
        <v>779</v>
      </c>
      <c r="F47" s="4" t="s">
        <v>770</v>
      </c>
      <c r="G47" s="4" t="s">
        <v>1056</v>
      </c>
      <c r="H47" s="4" t="s">
        <v>1057</v>
      </c>
      <c r="I47" s="4" t="s">
        <v>782</v>
      </c>
      <c r="J47" s="4" t="s">
        <v>1058</v>
      </c>
      <c r="K47" s="12" t="n">
        <v>5</v>
      </c>
      <c r="L47" s="4" t="s">
        <v>1059</v>
      </c>
      <c r="M47" s="4" t="s">
        <v>775</v>
      </c>
      <c r="N47" s="4" t="s">
        <v>850</v>
      </c>
    </row>
    <row r="48" customFormat="false" ht="39" hidden="false" customHeight="true" outlineLevel="0" collapsed="false">
      <c r="A48" s="4" t="s">
        <v>1060</v>
      </c>
      <c r="B48" s="4" t="s">
        <v>17</v>
      </c>
      <c r="C48" s="4" t="s">
        <v>1055</v>
      </c>
      <c r="D48" s="4" t="s">
        <v>1048</v>
      </c>
      <c r="E48" s="8" t="s">
        <v>779</v>
      </c>
      <c r="F48" s="4" t="s">
        <v>794</v>
      </c>
      <c r="G48" s="4" t="s">
        <v>1061</v>
      </c>
      <c r="H48" s="4" t="s">
        <v>1062</v>
      </c>
      <c r="I48" s="4" t="s">
        <v>1063</v>
      </c>
      <c r="J48" s="4" t="s">
        <v>1064</v>
      </c>
      <c r="K48" s="12" t="n">
        <v>4</v>
      </c>
      <c r="L48" s="4" t="s">
        <v>1065</v>
      </c>
      <c r="M48" s="4" t="s">
        <v>775</v>
      </c>
      <c r="N48" s="4" t="s">
        <v>850</v>
      </c>
    </row>
    <row r="49" customFormat="false" ht="25.5" hidden="false" customHeight="true" outlineLevel="0" collapsed="false">
      <c r="A49" s="4" t="s">
        <v>1066</v>
      </c>
      <c r="B49" s="4" t="s">
        <v>416</v>
      </c>
      <c r="C49" s="4" t="s">
        <v>1067</v>
      </c>
      <c r="D49" s="4" t="s">
        <v>1048</v>
      </c>
      <c r="E49" s="8" t="s">
        <v>779</v>
      </c>
      <c r="F49" s="4" t="s">
        <v>794</v>
      </c>
      <c r="G49" s="4" t="s">
        <v>1068</v>
      </c>
      <c r="H49" s="4" t="s">
        <v>1069</v>
      </c>
      <c r="I49" s="4" t="s">
        <v>782</v>
      </c>
      <c r="J49" s="4" t="s">
        <v>1070</v>
      </c>
      <c r="K49" s="12" t="n">
        <v>5</v>
      </c>
      <c r="L49" s="4" t="s">
        <v>1071</v>
      </c>
      <c r="M49" s="4" t="s">
        <v>775</v>
      </c>
      <c r="N49" s="4" t="s">
        <v>1072</v>
      </c>
    </row>
    <row r="50" customFormat="false" ht="39" hidden="false" customHeight="true" outlineLevel="0" collapsed="false">
      <c r="A50" s="4" t="s">
        <v>1073</v>
      </c>
      <c r="B50" s="4" t="s">
        <v>17</v>
      </c>
      <c r="C50" s="4" t="s">
        <v>1074</v>
      </c>
      <c r="D50" s="4" t="s">
        <v>839</v>
      </c>
      <c r="E50" s="7" t="s">
        <v>769</v>
      </c>
      <c r="F50" s="4" t="s">
        <v>770</v>
      </c>
      <c r="G50" s="4" t="s">
        <v>1075</v>
      </c>
      <c r="H50" s="4" t="s">
        <v>1076</v>
      </c>
      <c r="I50" s="4" t="s">
        <v>782</v>
      </c>
      <c r="J50" s="4" t="s">
        <v>1077</v>
      </c>
      <c r="K50" s="12" t="n">
        <v>6</v>
      </c>
      <c r="L50" s="4" t="s">
        <v>1078</v>
      </c>
      <c r="M50" s="4" t="s">
        <v>775</v>
      </c>
      <c r="N50" s="4" t="s">
        <v>850</v>
      </c>
    </row>
    <row r="51" customFormat="false" ht="39" hidden="false" customHeight="true" outlineLevel="0" collapsed="false">
      <c r="A51" s="4" t="s">
        <v>1079</v>
      </c>
      <c r="B51" s="4" t="s">
        <v>17</v>
      </c>
      <c r="C51" s="4" t="s">
        <v>1074</v>
      </c>
      <c r="D51" s="4" t="s">
        <v>1080</v>
      </c>
      <c r="E51" s="8" t="s">
        <v>779</v>
      </c>
      <c r="F51" s="4" t="s">
        <v>794</v>
      </c>
      <c r="G51" s="4" t="s">
        <v>1081</v>
      </c>
      <c r="H51" s="4" t="s">
        <v>1082</v>
      </c>
      <c r="I51" s="4" t="s">
        <v>1083</v>
      </c>
      <c r="J51" s="4" t="s">
        <v>1084</v>
      </c>
      <c r="K51" s="12" t="n">
        <v>4</v>
      </c>
      <c r="L51" s="4" t="s">
        <v>1085</v>
      </c>
      <c r="M51" s="4" t="s">
        <v>775</v>
      </c>
      <c r="N51" s="4" t="s">
        <v>1086</v>
      </c>
    </row>
    <row r="52" customFormat="false" ht="51.75" hidden="false" customHeight="true" outlineLevel="0" collapsed="false">
      <c r="A52" s="4" t="s">
        <v>1087</v>
      </c>
      <c r="B52" s="4" t="s">
        <v>17</v>
      </c>
      <c r="C52" s="4" t="s">
        <v>1088</v>
      </c>
      <c r="D52" s="4" t="s">
        <v>1089</v>
      </c>
      <c r="E52" s="8" t="s">
        <v>779</v>
      </c>
      <c r="F52" s="4" t="s">
        <v>770</v>
      </c>
      <c r="G52" s="4" t="s">
        <v>1090</v>
      </c>
      <c r="H52" s="4" t="s">
        <v>1091</v>
      </c>
      <c r="I52" s="4" t="s">
        <v>782</v>
      </c>
      <c r="J52" s="4" t="s">
        <v>1092</v>
      </c>
      <c r="K52" s="12" t="n">
        <v>5</v>
      </c>
      <c r="L52" s="4" t="s">
        <v>1093</v>
      </c>
      <c r="M52" s="4" t="s">
        <v>775</v>
      </c>
      <c r="N52" s="4" t="s">
        <v>1094</v>
      </c>
    </row>
    <row r="53" customFormat="false" ht="39" hidden="false" customHeight="true" outlineLevel="0" collapsed="false">
      <c r="A53" s="4" t="s">
        <v>1095</v>
      </c>
      <c r="B53" s="4" t="s">
        <v>19</v>
      </c>
      <c r="C53" s="4" t="s">
        <v>1088</v>
      </c>
      <c r="D53" s="4" t="s">
        <v>930</v>
      </c>
      <c r="E53" s="8" t="s">
        <v>779</v>
      </c>
      <c r="F53" s="4" t="s">
        <v>794</v>
      </c>
      <c r="G53" s="4" t="s">
        <v>1096</v>
      </c>
      <c r="H53" s="4" t="s">
        <v>1097</v>
      </c>
      <c r="I53" s="4" t="s">
        <v>1098</v>
      </c>
      <c r="J53" s="4" t="s">
        <v>1099</v>
      </c>
      <c r="K53" s="12" t="n">
        <v>4</v>
      </c>
      <c r="L53" s="4" t="s">
        <v>1100</v>
      </c>
      <c r="M53" s="4" t="s">
        <v>775</v>
      </c>
      <c r="N53" s="4" t="s">
        <v>1101</v>
      </c>
    </row>
    <row r="54" customFormat="false" ht="39" hidden="false" customHeight="true" outlineLevel="0" collapsed="false">
      <c r="A54" s="4" t="s">
        <v>1102</v>
      </c>
      <c r="B54" s="4" t="s">
        <v>17</v>
      </c>
      <c r="C54" s="4" t="s">
        <v>1088</v>
      </c>
      <c r="D54" s="4" t="s">
        <v>1103</v>
      </c>
      <c r="E54" s="7" t="s">
        <v>769</v>
      </c>
      <c r="F54" s="4" t="s">
        <v>803</v>
      </c>
      <c r="G54" s="4" t="s">
        <v>1104</v>
      </c>
      <c r="H54" s="4" t="s">
        <v>1105</v>
      </c>
      <c r="I54" s="4" t="s">
        <v>782</v>
      </c>
      <c r="J54" s="4" t="s">
        <v>1106</v>
      </c>
      <c r="K54" s="12" t="n">
        <v>4</v>
      </c>
      <c r="L54" s="4" t="s">
        <v>1107</v>
      </c>
      <c r="M54" s="4" t="s">
        <v>775</v>
      </c>
      <c r="N54" s="4" t="s">
        <v>1094</v>
      </c>
    </row>
    <row r="55" customFormat="false" ht="51.75" hidden="false" customHeight="true" outlineLevel="0" collapsed="false">
      <c r="A55" s="4" t="s">
        <v>1108</v>
      </c>
      <c r="B55" s="4" t="s">
        <v>17</v>
      </c>
      <c r="C55" s="4" t="s">
        <v>1109</v>
      </c>
      <c r="D55" s="4" t="s">
        <v>886</v>
      </c>
      <c r="E55" s="8" t="s">
        <v>779</v>
      </c>
      <c r="F55" s="4" t="s">
        <v>770</v>
      </c>
      <c r="G55" s="4" t="s">
        <v>1110</v>
      </c>
      <c r="H55" s="4" t="s">
        <v>1111</v>
      </c>
      <c r="I55" s="4" t="s">
        <v>782</v>
      </c>
      <c r="J55" s="4" t="s">
        <v>1112</v>
      </c>
      <c r="K55" s="12" t="n">
        <v>5</v>
      </c>
      <c r="L55" s="4" t="s">
        <v>1113</v>
      </c>
      <c r="M55" s="4" t="s">
        <v>775</v>
      </c>
      <c r="N55" s="4" t="s">
        <v>850</v>
      </c>
    </row>
    <row r="56" customFormat="false" ht="39" hidden="false" customHeight="true" outlineLevel="0" collapsed="false">
      <c r="A56" s="4" t="s">
        <v>1114</v>
      </c>
      <c r="B56" s="4" t="s">
        <v>203</v>
      </c>
      <c r="C56" s="4" t="s">
        <v>1109</v>
      </c>
      <c r="D56" s="4" t="s">
        <v>886</v>
      </c>
      <c r="E56" s="8" t="s">
        <v>779</v>
      </c>
      <c r="F56" s="4" t="s">
        <v>803</v>
      </c>
      <c r="G56" s="4" t="s">
        <v>1115</v>
      </c>
      <c r="H56" s="4" t="s">
        <v>1116</v>
      </c>
      <c r="I56" s="4" t="s">
        <v>782</v>
      </c>
      <c r="J56" s="4" t="s">
        <v>1117</v>
      </c>
      <c r="K56" s="12" t="n">
        <v>4</v>
      </c>
      <c r="L56" s="4" t="s">
        <v>1118</v>
      </c>
      <c r="M56" s="4" t="s">
        <v>775</v>
      </c>
      <c r="N56" s="4" t="s">
        <v>897</v>
      </c>
    </row>
    <row r="57" customFormat="false" ht="51.75" hidden="false" customHeight="true" outlineLevel="0" collapsed="false">
      <c r="A57" s="4" t="s">
        <v>1119</v>
      </c>
      <c r="B57" s="4" t="s">
        <v>416</v>
      </c>
      <c r="C57" s="4" t="s">
        <v>1120</v>
      </c>
      <c r="D57" s="4" t="s">
        <v>1121</v>
      </c>
      <c r="E57" s="7" t="s">
        <v>769</v>
      </c>
      <c r="F57" s="4" t="s">
        <v>770</v>
      </c>
      <c r="G57" s="4" t="s">
        <v>1122</v>
      </c>
      <c r="H57" s="4" t="s">
        <v>1123</v>
      </c>
      <c r="I57" s="4" t="s">
        <v>782</v>
      </c>
      <c r="J57" s="4" t="s">
        <v>1124</v>
      </c>
      <c r="K57" s="12" t="n">
        <v>4</v>
      </c>
      <c r="L57" s="4" t="s">
        <v>1125</v>
      </c>
      <c r="M57" s="4" t="s">
        <v>775</v>
      </c>
      <c r="N57" s="4" t="s">
        <v>1126</v>
      </c>
    </row>
    <row r="58" customFormat="false" ht="39" hidden="false" customHeight="true" outlineLevel="0" collapsed="false">
      <c r="A58" s="4" t="s">
        <v>1127</v>
      </c>
      <c r="B58" s="4" t="s">
        <v>416</v>
      </c>
      <c r="C58" s="4" t="s">
        <v>1120</v>
      </c>
      <c r="D58" s="4" t="s">
        <v>1121</v>
      </c>
      <c r="E58" s="7" t="s">
        <v>769</v>
      </c>
      <c r="F58" s="4" t="s">
        <v>770</v>
      </c>
      <c r="G58" s="4" t="s">
        <v>1128</v>
      </c>
      <c r="H58" s="4" t="s">
        <v>1129</v>
      </c>
      <c r="I58" s="4" t="s">
        <v>1130</v>
      </c>
      <c r="J58" s="4" t="s">
        <v>1131</v>
      </c>
      <c r="K58" s="12" t="n">
        <v>4</v>
      </c>
      <c r="L58" s="4" t="s">
        <v>1132</v>
      </c>
      <c r="M58" s="4" t="s">
        <v>775</v>
      </c>
      <c r="N58" s="4" t="s">
        <v>1126</v>
      </c>
    </row>
    <row r="59" customFormat="false" ht="39" hidden="false" customHeight="true" outlineLevel="0" collapsed="false">
      <c r="A59" s="4" t="s">
        <v>1133</v>
      </c>
      <c r="B59" s="4" t="s">
        <v>17</v>
      </c>
      <c r="C59" s="4" t="s">
        <v>1134</v>
      </c>
      <c r="D59" s="4" t="s">
        <v>1135</v>
      </c>
      <c r="E59" s="7" t="s">
        <v>769</v>
      </c>
      <c r="F59" s="4" t="s">
        <v>794</v>
      </c>
      <c r="G59" s="4" t="s">
        <v>1136</v>
      </c>
      <c r="H59" s="4" t="s">
        <v>1137</v>
      </c>
      <c r="I59" s="4" t="s">
        <v>782</v>
      </c>
      <c r="J59" s="4" t="s">
        <v>1138</v>
      </c>
      <c r="K59" s="12" t="n">
        <v>4</v>
      </c>
      <c r="L59" s="4" t="s">
        <v>1139</v>
      </c>
      <c r="M59" s="4" t="s">
        <v>775</v>
      </c>
      <c r="N59" s="4" t="s">
        <v>1140</v>
      </c>
    </row>
    <row r="60" customFormat="false" ht="51.75" hidden="false" customHeight="true" outlineLevel="0" collapsed="false">
      <c r="A60" s="4" t="s">
        <v>1141</v>
      </c>
      <c r="B60" s="4" t="s">
        <v>17</v>
      </c>
      <c r="C60" s="4" t="s">
        <v>1134</v>
      </c>
      <c r="D60" s="4" t="s">
        <v>946</v>
      </c>
      <c r="E60" s="8" t="s">
        <v>779</v>
      </c>
      <c r="F60" s="4" t="s">
        <v>794</v>
      </c>
      <c r="G60" s="4" t="s">
        <v>1142</v>
      </c>
      <c r="H60" s="4" t="s">
        <v>1143</v>
      </c>
      <c r="I60" s="4" t="s">
        <v>1144</v>
      </c>
      <c r="J60" s="4" t="s">
        <v>1145</v>
      </c>
      <c r="K60" s="12" t="n">
        <v>3</v>
      </c>
      <c r="L60" s="4" t="s">
        <v>1146</v>
      </c>
      <c r="M60" s="4" t="s">
        <v>775</v>
      </c>
      <c r="N60" s="4" t="s">
        <v>850</v>
      </c>
    </row>
    <row r="61" customFormat="false" ht="51.75" hidden="false" customHeight="true" outlineLevel="0" collapsed="false">
      <c r="A61" s="4" t="s">
        <v>1147</v>
      </c>
      <c r="B61" s="4" t="s">
        <v>17</v>
      </c>
      <c r="C61" s="4" t="s">
        <v>1148</v>
      </c>
      <c r="D61" s="4" t="s">
        <v>1149</v>
      </c>
      <c r="E61" s="7" t="s">
        <v>769</v>
      </c>
      <c r="F61" s="4" t="s">
        <v>770</v>
      </c>
      <c r="G61" s="4" t="s">
        <v>1150</v>
      </c>
      <c r="H61" s="4" t="s">
        <v>1151</v>
      </c>
      <c r="I61" s="4" t="s">
        <v>782</v>
      </c>
      <c r="J61" s="4" t="s">
        <v>183</v>
      </c>
      <c r="K61" s="12" t="n">
        <v>4</v>
      </c>
      <c r="L61" s="4" t="s">
        <v>1152</v>
      </c>
      <c r="M61" s="4" t="s">
        <v>775</v>
      </c>
      <c r="N61" s="4" t="s">
        <v>1149</v>
      </c>
    </row>
    <row r="62" customFormat="false" ht="39" hidden="false" customHeight="true" outlineLevel="0" collapsed="false">
      <c r="A62" s="4" t="s">
        <v>1153</v>
      </c>
      <c r="B62" s="4" t="s">
        <v>17</v>
      </c>
      <c r="C62" s="4" t="s">
        <v>1148</v>
      </c>
      <c r="D62" s="4" t="s">
        <v>1154</v>
      </c>
      <c r="E62" s="8" t="s">
        <v>779</v>
      </c>
      <c r="F62" s="4" t="s">
        <v>770</v>
      </c>
      <c r="G62" s="4" t="s">
        <v>1155</v>
      </c>
      <c r="H62" s="4" t="s">
        <v>1156</v>
      </c>
      <c r="I62" s="4" t="s">
        <v>1157</v>
      </c>
      <c r="J62" s="4" t="s">
        <v>1158</v>
      </c>
      <c r="K62" s="12" t="n">
        <v>4</v>
      </c>
      <c r="L62" s="4" t="s">
        <v>1159</v>
      </c>
      <c r="M62" s="4" t="s">
        <v>775</v>
      </c>
      <c r="N62" s="4" t="s">
        <v>1149</v>
      </c>
    </row>
    <row r="63" customFormat="false" ht="51.75" hidden="false" customHeight="true" outlineLevel="0" collapsed="false">
      <c r="A63" s="4" t="s">
        <v>1160</v>
      </c>
      <c r="B63" s="4" t="s">
        <v>17</v>
      </c>
      <c r="C63" s="4" t="s">
        <v>1148</v>
      </c>
      <c r="D63" s="4" t="s">
        <v>1103</v>
      </c>
      <c r="E63" s="8" t="s">
        <v>779</v>
      </c>
      <c r="F63" s="4" t="s">
        <v>794</v>
      </c>
      <c r="G63" s="4" t="s">
        <v>1161</v>
      </c>
      <c r="H63" s="4" t="s">
        <v>1162</v>
      </c>
      <c r="I63" s="4" t="s">
        <v>1157</v>
      </c>
      <c r="J63" s="4" t="s">
        <v>1158</v>
      </c>
      <c r="K63" s="12" t="n">
        <v>4</v>
      </c>
      <c r="L63" s="4" t="s">
        <v>1163</v>
      </c>
      <c r="M63" s="4" t="s">
        <v>775</v>
      </c>
      <c r="N63" s="4" t="s">
        <v>1149</v>
      </c>
    </row>
    <row r="64" customFormat="false" ht="51.75" hidden="false" customHeight="true" outlineLevel="0" collapsed="false">
      <c r="A64" s="4" t="s">
        <v>1164</v>
      </c>
      <c r="B64" s="4" t="s">
        <v>17</v>
      </c>
      <c r="C64" s="4" t="s">
        <v>1165</v>
      </c>
      <c r="D64" s="4" t="s">
        <v>1166</v>
      </c>
      <c r="E64" s="8" t="s">
        <v>779</v>
      </c>
      <c r="F64" s="4" t="s">
        <v>770</v>
      </c>
      <c r="G64" s="4" t="s">
        <v>1167</v>
      </c>
      <c r="H64" s="4" t="s">
        <v>1168</v>
      </c>
      <c r="I64" s="4" t="s">
        <v>782</v>
      </c>
      <c r="J64" s="4" t="s">
        <v>1169</v>
      </c>
      <c r="K64" s="12" t="n">
        <v>4</v>
      </c>
      <c r="L64" s="4" t="s">
        <v>1170</v>
      </c>
      <c r="M64" s="4" t="s">
        <v>775</v>
      </c>
      <c r="N64" s="4" t="s">
        <v>1171</v>
      </c>
    </row>
    <row r="65" customFormat="false" ht="39" hidden="false" customHeight="true" outlineLevel="0" collapsed="false">
      <c r="A65" s="4" t="s">
        <v>1172</v>
      </c>
      <c r="B65" s="4" t="s">
        <v>17</v>
      </c>
      <c r="C65" s="4" t="s">
        <v>1173</v>
      </c>
      <c r="D65" s="4" t="s">
        <v>1174</v>
      </c>
      <c r="E65" s="7" t="s">
        <v>769</v>
      </c>
      <c r="F65" s="4" t="s">
        <v>794</v>
      </c>
      <c r="G65" s="4" t="s">
        <v>1175</v>
      </c>
      <c r="H65" s="4" t="s">
        <v>1176</v>
      </c>
      <c r="I65" s="4" t="s">
        <v>1177</v>
      </c>
      <c r="J65" s="4" t="s">
        <v>183</v>
      </c>
      <c r="K65" s="12" t="n">
        <v>5</v>
      </c>
      <c r="L65" s="4" t="s">
        <v>1178</v>
      </c>
      <c r="M65" s="4" t="s">
        <v>1179</v>
      </c>
      <c r="N65" s="4" t="s">
        <v>1180</v>
      </c>
    </row>
    <row r="66" customFormat="false" ht="51.75" hidden="false" customHeight="true" outlineLevel="0" collapsed="false">
      <c r="A66" s="4" t="s">
        <v>1181</v>
      </c>
      <c r="B66" s="4" t="s">
        <v>385</v>
      </c>
      <c r="C66" s="4" t="s">
        <v>1173</v>
      </c>
      <c r="D66" s="4" t="s">
        <v>930</v>
      </c>
      <c r="E66" s="8" t="s">
        <v>779</v>
      </c>
      <c r="F66" s="4" t="s">
        <v>794</v>
      </c>
      <c r="G66" s="4" t="s">
        <v>1182</v>
      </c>
      <c r="H66" s="4" t="s">
        <v>1183</v>
      </c>
      <c r="I66" s="4" t="s">
        <v>1184</v>
      </c>
      <c r="J66" s="4" t="s">
        <v>1185</v>
      </c>
      <c r="K66" s="12" t="n">
        <v>4</v>
      </c>
      <c r="L66" s="4" t="s">
        <v>1186</v>
      </c>
      <c r="M66" s="4" t="s">
        <v>775</v>
      </c>
      <c r="N66" s="4" t="s">
        <v>1187</v>
      </c>
    </row>
    <row r="67" customFormat="false" ht="39" hidden="false" customHeight="true" outlineLevel="0" collapsed="false">
      <c r="A67" s="4" t="s">
        <v>1188</v>
      </c>
      <c r="B67" s="4" t="s">
        <v>17</v>
      </c>
      <c r="C67" s="4" t="s">
        <v>1173</v>
      </c>
      <c r="D67" s="4" t="s">
        <v>930</v>
      </c>
      <c r="E67" s="8" t="s">
        <v>779</v>
      </c>
      <c r="F67" s="4" t="s">
        <v>794</v>
      </c>
      <c r="G67" s="4" t="s">
        <v>1189</v>
      </c>
      <c r="H67" s="4" t="s">
        <v>1190</v>
      </c>
      <c r="I67" s="4" t="s">
        <v>782</v>
      </c>
      <c r="J67" s="4" t="s">
        <v>1191</v>
      </c>
      <c r="K67" s="12" t="n">
        <v>5</v>
      </c>
      <c r="L67" s="4" t="s">
        <v>1192</v>
      </c>
      <c r="M67" s="4" t="s">
        <v>775</v>
      </c>
      <c r="N67" s="4" t="s">
        <v>1193</v>
      </c>
    </row>
    <row r="68" customFormat="false" ht="39" hidden="false" customHeight="true" outlineLevel="0" collapsed="false">
      <c r="A68" s="4" t="s">
        <v>1194</v>
      </c>
      <c r="B68" s="4" t="s">
        <v>307</v>
      </c>
      <c r="C68" s="4" t="s">
        <v>1195</v>
      </c>
      <c r="D68" s="4" t="s">
        <v>1196</v>
      </c>
      <c r="E68" s="7" t="s">
        <v>769</v>
      </c>
      <c r="F68" s="4" t="s">
        <v>803</v>
      </c>
      <c r="G68" s="4" t="s">
        <v>1197</v>
      </c>
      <c r="H68" s="4" t="s">
        <v>1198</v>
      </c>
      <c r="I68" s="4" t="s">
        <v>1199</v>
      </c>
      <c r="J68" s="4" t="s">
        <v>183</v>
      </c>
      <c r="K68" s="12" t="n">
        <v>5</v>
      </c>
      <c r="L68" s="4" t="s">
        <v>1200</v>
      </c>
      <c r="M68" s="4" t="s">
        <v>775</v>
      </c>
      <c r="N68" s="4" t="s">
        <v>1201</v>
      </c>
    </row>
    <row r="69" customFormat="false" ht="51.75" hidden="false" customHeight="true" outlineLevel="0" collapsed="false">
      <c r="A69" s="4" t="s">
        <v>1202</v>
      </c>
      <c r="B69" s="4" t="s">
        <v>401</v>
      </c>
      <c r="C69" s="4" t="s">
        <v>1203</v>
      </c>
      <c r="D69" s="4" t="s">
        <v>1204</v>
      </c>
      <c r="E69" s="7" t="s">
        <v>769</v>
      </c>
      <c r="F69" s="4" t="s">
        <v>803</v>
      </c>
      <c r="G69" s="4" t="s">
        <v>1205</v>
      </c>
      <c r="H69" s="4" t="s">
        <v>1206</v>
      </c>
      <c r="I69" s="4" t="s">
        <v>782</v>
      </c>
      <c r="J69" s="4" t="s">
        <v>1207</v>
      </c>
      <c r="K69" s="12" t="n">
        <v>4</v>
      </c>
      <c r="L69" s="4" t="s">
        <v>1208</v>
      </c>
      <c r="M69" s="4" t="s">
        <v>775</v>
      </c>
      <c r="N69" s="4" t="s">
        <v>1209</v>
      </c>
    </row>
    <row r="70" customFormat="false" ht="51.75" hidden="false" customHeight="true" outlineLevel="0" collapsed="false">
      <c r="A70" s="4" t="s">
        <v>1210</v>
      </c>
      <c r="B70" s="4" t="s">
        <v>210</v>
      </c>
      <c r="C70" s="4" t="s">
        <v>214</v>
      </c>
      <c r="D70" s="4" t="s">
        <v>1211</v>
      </c>
      <c r="E70" s="7" t="s">
        <v>769</v>
      </c>
      <c r="F70" s="4" t="s">
        <v>803</v>
      </c>
      <c r="G70" s="4" t="s">
        <v>1212</v>
      </c>
      <c r="H70" s="4" t="s">
        <v>1213</v>
      </c>
      <c r="I70" s="4" t="s">
        <v>782</v>
      </c>
      <c r="J70" s="4" t="s">
        <v>1214</v>
      </c>
      <c r="K70" s="12" t="n">
        <v>4</v>
      </c>
      <c r="L70" s="4" t="s">
        <v>1215</v>
      </c>
      <c r="M70" s="4" t="s">
        <v>775</v>
      </c>
      <c r="N70" s="4" t="s">
        <v>1216</v>
      </c>
    </row>
    <row r="71" customFormat="false" ht="39" hidden="false" customHeight="true" outlineLevel="0" collapsed="false">
      <c r="A71" s="4" t="s">
        <v>1217</v>
      </c>
      <c r="B71" s="4" t="s">
        <v>1218</v>
      </c>
      <c r="C71" s="4" t="s">
        <v>1219</v>
      </c>
      <c r="D71" s="4" t="s">
        <v>451</v>
      </c>
      <c r="E71" s="7" t="s">
        <v>769</v>
      </c>
      <c r="F71" s="4" t="s">
        <v>770</v>
      </c>
      <c r="G71" s="4" t="s">
        <v>1220</v>
      </c>
      <c r="H71" s="4" t="s">
        <v>1221</v>
      </c>
      <c r="I71" s="4" t="s">
        <v>1222</v>
      </c>
      <c r="J71" s="4" t="s">
        <v>1223</v>
      </c>
      <c r="K71" s="12" t="n">
        <v>4</v>
      </c>
      <c r="L71" s="4" t="s">
        <v>1224</v>
      </c>
      <c r="M71" s="9" t="s">
        <v>1225</v>
      </c>
      <c r="N71" s="4" t="s">
        <v>1226</v>
      </c>
    </row>
    <row r="72" customFormat="false" ht="51.75" hidden="false" customHeight="true" outlineLevel="0" collapsed="false">
      <c r="A72" s="4" t="s">
        <v>1227</v>
      </c>
      <c r="B72" s="4" t="s">
        <v>1218</v>
      </c>
      <c r="C72" s="4" t="s">
        <v>1219</v>
      </c>
      <c r="D72" s="4" t="s">
        <v>451</v>
      </c>
      <c r="E72" s="8" t="s">
        <v>779</v>
      </c>
      <c r="F72" s="4" t="s">
        <v>794</v>
      </c>
      <c r="G72" s="4" t="s">
        <v>1228</v>
      </c>
      <c r="H72" s="4" t="s">
        <v>1229</v>
      </c>
      <c r="I72" s="4" t="s">
        <v>1230</v>
      </c>
      <c r="J72" s="4" t="s">
        <v>1231</v>
      </c>
      <c r="K72" s="12" t="n">
        <v>4</v>
      </c>
      <c r="L72" s="4" t="s">
        <v>1232</v>
      </c>
      <c r="M72" s="9" t="s">
        <v>1233</v>
      </c>
      <c r="N72" s="4" t="s">
        <v>1234</v>
      </c>
    </row>
    <row r="73" customFormat="false" ht="39" hidden="false" customHeight="true" outlineLevel="0" collapsed="false">
      <c r="A73" s="4" t="s">
        <v>1235</v>
      </c>
      <c r="B73" s="4" t="s">
        <v>1236</v>
      </c>
      <c r="C73" s="4" t="s">
        <v>1237</v>
      </c>
      <c r="D73" s="4" t="s">
        <v>461</v>
      </c>
      <c r="E73" s="7" t="s">
        <v>769</v>
      </c>
      <c r="F73" s="4" t="s">
        <v>770</v>
      </c>
      <c r="G73" s="4" t="s">
        <v>1238</v>
      </c>
      <c r="H73" s="4" t="s">
        <v>1239</v>
      </c>
      <c r="I73" s="4" t="s">
        <v>1240</v>
      </c>
      <c r="J73" s="4" t="s">
        <v>1241</v>
      </c>
      <c r="K73" s="12" t="n">
        <v>4</v>
      </c>
      <c r="L73" s="4" t="s">
        <v>1242</v>
      </c>
      <c r="M73" s="9" t="s">
        <v>1243</v>
      </c>
      <c r="N73" s="4" t="s">
        <v>1244</v>
      </c>
    </row>
    <row r="74" customFormat="false" ht="39" hidden="false" customHeight="true" outlineLevel="0" collapsed="false">
      <c r="A74" s="4" t="s">
        <v>1245</v>
      </c>
      <c r="B74" s="4" t="s">
        <v>1236</v>
      </c>
      <c r="C74" s="4" t="s">
        <v>1237</v>
      </c>
      <c r="D74" s="4" t="s">
        <v>461</v>
      </c>
      <c r="E74" s="8" t="s">
        <v>779</v>
      </c>
      <c r="F74" s="4" t="s">
        <v>770</v>
      </c>
      <c r="G74" s="4" t="s">
        <v>1246</v>
      </c>
      <c r="H74" s="4" t="s">
        <v>1247</v>
      </c>
      <c r="I74" s="4" t="s">
        <v>1248</v>
      </c>
      <c r="J74" s="4" t="s">
        <v>1249</v>
      </c>
      <c r="K74" s="12" t="n">
        <v>4</v>
      </c>
      <c r="L74" s="4" t="s">
        <v>1250</v>
      </c>
      <c r="M74" s="9" t="s">
        <v>1251</v>
      </c>
      <c r="N74" s="4" t="s">
        <v>1252</v>
      </c>
    </row>
    <row r="75" customFormat="false" ht="39" hidden="false" customHeight="true" outlineLevel="0" collapsed="false">
      <c r="A75" s="4" t="s">
        <v>1253</v>
      </c>
      <c r="B75" s="4" t="s">
        <v>1254</v>
      </c>
      <c r="C75" s="4" t="s">
        <v>1255</v>
      </c>
      <c r="D75" s="4" t="s">
        <v>470</v>
      </c>
      <c r="E75" s="7" t="s">
        <v>769</v>
      </c>
      <c r="F75" s="4" t="s">
        <v>770</v>
      </c>
      <c r="G75" s="4" t="s">
        <v>1256</v>
      </c>
      <c r="H75" s="4" t="s">
        <v>1257</v>
      </c>
      <c r="I75" s="4" t="s">
        <v>1258</v>
      </c>
      <c r="J75" s="4" t="s">
        <v>1259</v>
      </c>
      <c r="K75" s="12" t="n">
        <v>4</v>
      </c>
      <c r="L75" s="4" t="s">
        <v>1260</v>
      </c>
      <c r="M75" s="9" t="s">
        <v>1261</v>
      </c>
      <c r="N75" s="4" t="s">
        <v>1262</v>
      </c>
    </row>
    <row r="76" customFormat="false" ht="39" hidden="false" customHeight="true" outlineLevel="0" collapsed="false">
      <c r="A76" s="4" t="s">
        <v>1263</v>
      </c>
      <c r="B76" s="4" t="s">
        <v>1264</v>
      </c>
      <c r="C76" s="4" t="s">
        <v>1265</v>
      </c>
      <c r="D76" s="4" t="s">
        <v>495</v>
      </c>
      <c r="E76" s="7" t="s">
        <v>769</v>
      </c>
      <c r="F76" s="4" t="s">
        <v>794</v>
      </c>
      <c r="G76" s="4" t="s">
        <v>1266</v>
      </c>
      <c r="H76" s="4" t="s">
        <v>1267</v>
      </c>
      <c r="I76" s="4" t="s">
        <v>1268</v>
      </c>
      <c r="J76" s="4" t="s">
        <v>1269</v>
      </c>
      <c r="K76" s="12" t="n">
        <v>4</v>
      </c>
      <c r="L76" s="4" t="s">
        <v>1270</v>
      </c>
      <c r="M76" s="9" t="s">
        <v>1271</v>
      </c>
      <c r="N76" s="4" t="s">
        <v>1262</v>
      </c>
    </row>
    <row r="77" customFormat="false" ht="39" hidden="false" customHeight="true" outlineLevel="0" collapsed="false">
      <c r="A77" s="4" t="s">
        <v>1272</v>
      </c>
      <c r="B77" s="4" t="s">
        <v>1264</v>
      </c>
      <c r="C77" s="4" t="s">
        <v>1273</v>
      </c>
      <c r="D77" s="4" t="s">
        <v>495</v>
      </c>
      <c r="E77" s="7" t="s">
        <v>769</v>
      </c>
      <c r="F77" s="4" t="s">
        <v>794</v>
      </c>
      <c r="G77" s="4" t="s">
        <v>1274</v>
      </c>
      <c r="H77" s="4" t="s">
        <v>1275</v>
      </c>
      <c r="I77" s="4" t="s">
        <v>1276</v>
      </c>
      <c r="J77" s="4" t="s">
        <v>1277</v>
      </c>
      <c r="K77" s="12" t="n">
        <v>4</v>
      </c>
      <c r="L77" s="4" t="s">
        <v>1278</v>
      </c>
      <c r="M77" s="9" t="s">
        <v>1279</v>
      </c>
      <c r="N77" s="4" t="s">
        <v>1280</v>
      </c>
    </row>
    <row r="78" customFormat="false" ht="39" hidden="false" customHeight="true" outlineLevel="0" collapsed="false">
      <c r="A78" s="4" t="s">
        <v>1281</v>
      </c>
      <c r="B78" s="4" t="s">
        <v>1282</v>
      </c>
      <c r="C78" s="4" t="s">
        <v>1283</v>
      </c>
      <c r="D78" s="4" t="s">
        <v>442</v>
      </c>
      <c r="E78" s="8" t="s">
        <v>779</v>
      </c>
      <c r="F78" s="4" t="s">
        <v>770</v>
      </c>
      <c r="G78" s="4" t="s">
        <v>1284</v>
      </c>
      <c r="H78" s="4" t="s">
        <v>1285</v>
      </c>
      <c r="I78" s="4" t="s">
        <v>1286</v>
      </c>
      <c r="J78" s="4" t="s">
        <v>1287</v>
      </c>
      <c r="K78" s="12" t="n">
        <v>4</v>
      </c>
      <c r="L78" s="4" t="s">
        <v>1288</v>
      </c>
      <c r="M78" s="9" t="s">
        <v>1289</v>
      </c>
      <c r="N78" s="4" t="s">
        <v>1290</v>
      </c>
    </row>
    <row r="79" customFormat="false" ht="39" hidden="false" customHeight="true" outlineLevel="0" collapsed="false">
      <c r="A79" s="4" t="s">
        <v>1291</v>
      </c>
      <c r="B79" s="4" t="s">
        <v>1292</v>
      </c>
      <c r="C79" s="4" t="s">
        <v>1203</v>
      </c>
      <c r="D79" s="4" t="s">
        <v>488</v>
      </c>
      <c r="E79" s="7" t="s">
        <v>769</v>
      </c>
      <c r="F79" s="4" t="s">
        <v>803</v>
      </c>
      <c r="G79" s="4" t="s">
        <v>1293</v>
      </c>
      <c r="H79" s="4" t="s">
        <v>1294</v>
      </c>
      <c r="I79" s="4" t="s">
        <v>1295</v>
      </c>
      <c r="J79" s="4" t="s">
        <v>1296</v>
      </c>
      <c r="K79" s="12" t="n">
        <v>4</v>
      </c>
      <c r="L79" s="4" t="s">
        <v>1297</v>
      </c>
      <c r="M79" s="9" t="s">
        <v>1298</v>
      </c>
      <c r="N79" s="4" t="s">
        <v>1299</v>
      </c>
    </row>
    <row r="80" customFormat="false" ht="39" hidden="false" customHeight="true" outlineLevel="0" collapsed="false">
      <c r="A80" s="4" t="s">
        <v>1300</v>
      </c>
      <c r="B80" s="4" t="s">
        <v>1292</v>
      </c>
      <c r="C80" s="4" t="s">
        <v>1301</v>
      </c>
      <c r="D80" s="4" t="s">
        <v>488</v>
      </c>
      <c r="E80" s="7" t="s">
        <v>769</v>
      </c>
      <c r="F80" s="4" t="s">
        <v>794</v>
      </c>
      <c r="G80" s="4" t="s">
        <v>1302</v>
      </c>
      <c r="H80" s="4" t="s">
        <v>1303</v>
      </c>
      <c r="I80" s="4" t="s">
        <v>1304</v>
      </c>
      <c r="J80" s="4" t="s">
        <v>1305</v>
      </c>
      <c r="K80" s="12" t="n">
        <v>4</v>
      </c>
      <c r="L80" s="4" t="s">
        <v>1306</v>
      </c>
      <c r="M80" s="9" t="s">
        <v>1307</v>
      </c>
      <c r="N80" s="4" t="s">
        <v>1308</v>
      </c>
    </row>
    <row r="81" customFormat="false" ht="39" hidden="false" customHeight="true" outlineLevel="0" collapsed="false">
      <c r="A81" s="4" t="s">
        <v>1309</v>
      </c>
      <c r="B81" s="4" t="s">
        <v>1310</v>
      </c>
      <c r="C81" s="4" t="s">
        <v>1311</v>
      </c>
      <c r="D81" s="4" t="s">
        <v>548</v>
      </c>
      <c r="E81" s="7" t="s">
        <v>769</v>
      </c>
      <c r="F81" s="4" t="s">
        <v>794</v>
      </c>
      <c r="G81" s="4" t="s">
        <v>1312</v>
      </c>
      <c r="H81" s="4" t="s">
        <v>1313</v>
      </c>
      <c r="I81" s="4" t="s">
        <v>1314</v>
      </c>
      <c r="J81" s="4" t="s">
        <v>1315</v>
      </c>
      <c r="K81" s="12" t="n">
        <v>4</v>
      </c>
      <c r="L81" s="4" t="s">
        <v>1316</v>
      </c>
      <c r="M81" s="9" t="s">
        <v>1317</v>
      </c>
      <c r="N81" s="4" t="s">
        <v>1318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52"/>
    <col collapsed="false" customWidth="true" hidden="false" outlineLevel="0" max="4" min="4" style="0" width="10"/>
    <col collapsed="false" customWidth="true" hidden="false" outlineLevel="0" max="5" min="5" style="0" width="7"/>
    <col collapsed="false" customWidth="true" hidden="false" outlineLevel="0" max="6" min="6" style="0" width="92"/>
    <col collapsed="false" customWidth="true" hidden="false" outlineLevel="0" max="7" min="7" style="0" width="88"/>
    <col collapsed="false" customWidth="true" hidden="false" outlineLevel="0" max="8" min="8" style="0" width="40"/>
    <col collapsed="false" customWidth="true" hidden="false" outlineLevel="0" max="9" min="9" style="0" width="10"/>
  </cols>
  <sheetData>
    <row r="1" customFormat="false" ht="15" hidden="false" customHeight="false" outlineLevel="0" collapsed="false">
      <c r="A1" s="1" t="s">
        <v>1319</v>
      </c>
    </row>
    <row r="2" customFormat="false" ht="30" hidden="false" customHeight="true" outlineLevel="0" collapsed="false">
      <c r="A2" s="5" t="s">
        <v>1320</v>
      </c>
    </row>
    <row r="4" customFormat="false" ht="30" hidden="false" customHeight="true" outlineLevel="0" collapsed="false">
      <c r="A4" s="6" t="s">
        <v>755</v>
      </c>
      <c r="B4" s="6" t="s">
        <v>172</v>
      </c>
      <c r="C4" s="6" t="s">
        <v>758</v>
      </c>
      <c r="D4" s="6" t="s">
        <v>725</v>
      </c>
      <c r="E4" s="6" t="s">
        <v>1321</v>
      </c>
      <c r="F4" s="6" t="s">
        <v>1322</v>
      </c>
      <c r="G4" s="6" t="s">
        <v>1323</v>
      </c>
      <c r="H4" s="6" t="s">
        <v>1324</v>
      </c>
      <c r="I4" s="6" t="s">
        <v>1325</v>
      </c>
    </row>
    <row r="5" customFormat="false" ht="12.75" hidden="false" customHeight="true" outlineLevel="0" collapsed="false">
      <c r="A5" s="4" t="s">
        <v>766</v>
      </c>
      <c r="B5" s="4" t="s">
        <v>17</v>
      </c>
      <c r="C5" s="4" t="s">
        <v>771</v>
      </c>
      <c r="D5" s="4" t="s">
        <v>769</v>
      </c>
      <c r="E5" s="12" t="n">
        <v>1</v>
      </c>
      <c r="F5" s="4" t="s">
        <v>1326</v>
      </c>
      <c r="G5" s="4" t="s">
        <v>1327</v>
      </c>
      <c r="H5" s="4"/>
      <c r="I5" s="4"/>
    </row>
    <row r="6" customFormat="false" ht="25.5" hidden="false" customHeight="true" outlineLevel="0" collapsed="false">
      <c r="A6" s="4" t="s">
        <v>766</v>
      </c>
      <c r="B6" s="4" t="s">
        <v>17</v>
      </c>
      <c r="C6" s="4" t="s">
        <v>771</v>
      </c>
      <c r="D6" s="4" t="s">
        <v>769</v>
      </c>
      <c r="E6" s="12" t="n">
        <v>2</v>
      </c>
      <c r="F6" s="4" t="s">
        <v>1328</v>
      </c>
      <c r="G6" s="4" t="s">
        <v>1329</v>
      </c>
      <c r="H6" s="4"/>
      <c r="I6" s="4"/>
    </row>
    <row r="7" customFormat="false" ht="12.75" hidden="false" customHeight="true" outlineLevel="0" collapsed="false">
      <c r="A7" s="4" t="s">
        <v>766</v>
      </c>
      <c r="B7" s="4" t="s">
        <v>17</v>
      </c>
      <c r="C7" s="4" t="s">
        <v>771</v>
      </c>
      <c r="D7" s="4" t="s">
        <v>769</v>
      </c>
      <c r="E7" s="12" t="n">
        <v>3</v>
      </c>
      <c r="F7" s="4" t="s">
        <v>1330</v>
      </c>
      <c r="G7" s="4" t="s">
        <v>1331</v>
      </c>
      <c r="H7" s="4"/>
      <c r="I7" s="4"/>
    </row>
    <row r="8" customFormat="false" ht="12.75" hidden="false" customHeight="true" outlineLevel="0" collapsed="false">
      <c r="A8" s="4" t="s">
        <v>766</v>
      </c>
      <c r="B8" s="4" t="s">
        <v>17</v>
      </c>
      <c r="C8" s="4" t="s">
        <v>771</v>
      </c>
      <c r="D8" s="4" t="s">
        <v>769</v>
      </c>
      <c r="E8" s="12" t="n">
        <v>4</v>
      </c>
      <c r="F8" s="4" t="s">
        <v>1332</v>
      </c>
      <c r="G8" s="4" t="s">
        <v>1333</v>
      </c>
      <c r="H8" s="4"/>
      <c r="I8" s="4"/>
    </row>
    <row r="9" customFormat="false" ht="25.5" hidden="false" customHeight="true" outlineLevel="0" collapsed="false">
      <c r="A9" s="4" t="s">
        <v>766</v>
      </c>
      <c r="B9" s="4" t="s">
        <v>17</v>
      </c>
      <c r="C9" s="4" t="s">
        <v>771</v>
      </c>
      <c r="D9" s="4" t="s">
        <v>769</v>
      </c>
      <c r="E9" s="12" t="n">
        <v>5</v>
      </c>
      <c r="F9" s="4" t="s">
        <v>1334</v>
      </c>
      <c r="G9" s="4" t="s">
        <v>1335</v>
      </c>
      <c r="H9" s="4"/>
      <c r="I9" s="4"/>
    </row>
    <row r="10" customFormat="false" ht="12.75" hidden="false" customHeight="true" outlineLevel="0" collapsed="false">
      <c r="A10" s="4" t="s">
        <v>777</v>
      </c>
      <c r="B10" s="4" t="s">
        <v>416</v>
      </c>
      <c r="C10" s="4" t="s">
        <v>780</v>
      </c>
      <c r="D10" s="4" t="s">
        <v>779</v>
      </c>
      <c r="E10" s="12" t="n">
        <v>1</v>
      </c>
      <c r="F10" s="4" t="s">
        <v>1336</v>
      </c>
      <c r="G10" s="4" t="s">
        <v>1337</v>
      </c>
      <c r="H10" s="4"/>
      <c r="I10" s="4"/>
    </row>
    <row r="11" customFormat="false" ht="12.75" hidden="false" customHeight="true" outlineLevel="0" collapsed="false">
      <c r="A11" s="4" t="s">
        <v>777</v>
      </c>
      <c r="B11" s="4" t="s">
        <v>416</v>
      </c>
      <c r="C11" s="4" t="s">
        <v>780</v>
      </c>
      <c r="D11" s="4" t="s">
        <v>779</v>
      </c>
      <c r="E11" s="12" t="n">
        <v>2</v>
      </c>
      <c r="F11" s="4" t="s">
        <v>1330</v>
      </c>
      <c r="G11" s="4" t="s">
        <v>1338</v>
      </c>
      <c r="H11" s="4"/>
      <c r="I11" s="4"/>
    </row>
    <row r="12" customFormat="false" ht="12.75" hidden="false" customHeight="true" outlineLevel="0" collapsed="false">
      <c r="A12" s="4" t="s">
        <v>777</v>
      </c>
      <c r="B12" s="4" t="s">
        <v>416</v>
      </c>
      <c r="C12" s="4" t="s">
        <v>780</v>
      </c>
      <c r="D12" s="4" t="s">
        <v>779</v>
      </c>
      <c r="E12" s="12" t="n">
        <v>3</v>
      </c>
      <c r="F12" s="4" t="s">
        <v>1339</v>
      </c>
      <c r="G12" s="4" t="s">
        <v>1340</v>
      </c>
      <c r="H12" s="4"/>
      <c r="I12" s="4"/>
    </row>
    <row r="13" customFormat="false" ht="12.75" hidden="false" customHeight="true" outlineLevel="0" collapsed="false">
      <c r="A13" s="4" t="s">
        <v>777</v>
      </c>
      <c r="B13" s="4" t="s">
        <v>416</v>
      </c>
      <c r="C13" s="4" t="s">
        <v>780</v>
      </c>
      <c r="D13" s="4" t="s">
        <v>779</v>
      </c>
      <c r="E13" s="12" t="n">
        <v>4</v>
      </c>
      <c r="F13" s="4" t="s">
        <v>1341</v>
      </c>
      <c r="G13" s="4" t="s">
        <v>1342</v>
      </c>
      <c r="H13" s="4"/>
      <c r="I13" s="4"/>
    </row>
    <row r="14" customFormat="false" ht="12.75" hidden="false" customHeight="true" outlineLevel="0" collapsed="false">
      <c r="A14" s="4" t="s">
        <v>777</v>
      </c>
      <c r="B14" s="4" t="s">
        <v>416</v>
      </c>
      <c r="C14" s="4" t="s">
        <v>780</v>
      </c>
      <c r="D14" s="4" t="s">
        <v>779</v>
      </c>
      <c r="E14" s="12" t="n">
        <v>5</v>
      </c>
      <c r="F14" s="4" t="s">
        <v>1343</v>
      </c>
      <c r="G14" s="4" t="s">
        <v>1344</v>
      </c>
      <c r="H14" s="4"/>
      <c r="I14" s="4"/>
    </row>
    <row r="15" customFormat="false" ht="12.75" hidden="false" customHeight="true" outlineLevel="0" collapsed="false">
      <c r="A15" s="4" t="s">
        <v>786</v>
      </c>
      <c r="B15" s="4" t="s">
        <v>17</v>
      </c>
      <c r="C15" s="4" t="s">
        <v>789</v>
      </c>
      <c r="D15" s="4" t="s">
        <v>769</v>
      </c>
      <c r="E15" s="12" t="n">
        <v>1</v>
      </c>
      <c r="F15" s="4" t="s">
        <v>1345</v>
      </c>
      <c r="G15" s="4" t="s">
        <v>1346</v>
      </c>
      <c r="H15" s="4"/>
      <c r="I15" s="4"/>
    </row>
    <row r="16" customFormat="false" ht="12.75" hidden="false" customHeight="true" outlineLevel="0" collapsed="false">
      <c r="A16" s="4" t="s">
        <v>786</v>
      </c>
      <c r="B16" s="4" t="s">
        <v>17</v>
      </c>
      <c r="C16" s="4" t="s">
        <v>789</v>
      </c>
      <c r="D16" s="4" t="s">
        <v>769</v>
      </c>
      <c r="E16" s="12" t="n">
        <v>2</v>
      </c>
      <c r="F16" s="4" t="s">
        <v>1347</v>
      </c>
      <c r="G16" s="4" t="s">
        <v>1348</v>
      </c>
      <c r="H16" s="4"/>
      <c r="I16" s="4"/>
    </row>
    <row r="17" customFormat="false" ht="12.75" hidden="false" customHeight="true" outlineLevel="0" collapsed="false">
      <c r="A17" s="4" t="s">
        <v>786</v>
      </c>
      <c r="B17" s="4" t="s">
        <v>17</v>
      </c>
      <c r="C17" s="4" t="s">
        <v>789</v>
      </c>
      <c r="D17" s="4" t="s">
        <v>769</v>
      </c>
      <c r="E17" s="12" t="n">
        <v>3</v>
      </c>
      <c r="F17" s="4" t="s">
        <v>1349</v>
      </c>
      <c r="G17" s="4" t="s">
        <v>1350</v>
      </c>
      <c r="H17" s="4"/>
      <c r="I17" s="4"/>
    </row>
    <row r="18" customFormat="false" ht="25.5" hidden="false" customHeight="true" outlineLevel="0" collapsed="false">
      <c r="A18" s="4" t="s">
        <v>786</v>
      </c>
      <c r="B18" s="4" t="s">
        <v>17</v>
      </c>
      <c r="C18" s="4" t="s">
        <v>789</v>
      </c>
      <c r="D18" s="4" t="s">
        <v>769</v>
      </c>
      <c r="E18" s="12" t="n">
        <v>4</v>
      </c>
      <c r="F18" s="4" t="s">
        <v>1351</v>
      </c>
      <c r="G18" s="4" t="s">
        <v>1352</v>
      </c>
      <c r="H18" s="4"/>
      <c r="I18" s="4"/>
    </row>
    <row r="19" customFormat="false" ht="12.75" hidden="false" customHeight="true" outlineLevel="0" collapsed="false">
      <c r="A19" s="4" t="s">
        <v>786</v>
      </c>
      <c r="B19" s="4" t="s">
        <v>17</v>
      </c>
      <c r="C19" s="4" t="s">
        <v>789</v>
      </c>
      <c r="D19" s="4" t="s">
        <v>769</v>
      </c>
      <c r="E19" s="12" t="n">
        <v>5</v>
      </c>
      <c r="F19" s="4" t="s">
        <v>1353</v>
      </c>
      <c r="G19" s="4" t="s">
        <v>1354</v>
      </c>
      <c r="H19" s="4"/>
      <c r="I19" s="4"/>
    </row>
    <row r="20" customFormat="false" ht="25.5" hidden="false" customHeight="true" outlineLevel="0" collapsed="false">
      <c r="A20" s="4" t="s">
        <v>793</v>
      </c>
      <c r="B20" s="4" t="s">
        <v>17</v>
      </c>
      <c r="C20" s="4" t="s">
        <v>795</v>
      </c>
      <c r="D20" s="4" t="s">
        <v>779</v>
      </c>
      <c r="E20" s="12" t="n">
        <v>1</v>
      </c>
      <c r="F20" s="4" t="s">
        <v>1355</v>
      </c>
      <c r="G20" s="4" t="s">
        <v>1337</v>
      </c>
      <c r="H20" s="4"/>
      <c r="I20" s="4"/>
    </row>
    <row r="21" customFormat="false" ht="25.5" hidden="false" customHeight="true" outlineLevel="0" collapsed="false">
      <c r="A21" s="4" t="s">
        <v>793</v>
      </c>
      <c r="B21" s="4" t="s">
        <v>17</v>
      </c>
      <c r="C21" s="4" t="s">
        <v>795</v>
      </c>
      <c r="D21" s="4" t="s">
        <v>779</v>
      </c>
      <c r="E21" s="12" t="n">
        <v>2</v>
      </c>
      <c r="F21" s="4" t="s">
        <v>1345</v>
      </c>
      <c r="G21" s="4" t="s">
        <v>1356</v>
      </c>
      <c r="H21" s="4"/>
      <c r="I21" s="4"/>
    </row>
    <row r="22" customFormat="false" ht="12.75" hidden="false" customHeight="true" outlineLevel="0" collapsed="false">
      <c r="A22" s="4" t="s">
        <v>793</v>
      </c>
      <c r="B22" s="4" t="s">
        <v>17</v>
      </c>
      <c r="C22" s="4" t="s">
        <v>795</v>
      </c>
      <c r="D22" s="4" t="s">
        <v>779</v>
      </c>
      <c r="E22" s="12" t="n">
        <v>3</v>
      </c>
      <c r="F22" s="4" t="s">
        <v>1357</v>
      </c>
      <c r="G22" s="4" t="s">
        <v>1358</v>
      </c>
      <c r="H22" s="4"/>
      <c r="I22" s="4"/>
    </row>
    <row r="23" customFormat="false" ht="12.75" hidden="false" customHeight="true" outlineLevel="0" collapsed="false">
      <c r="A23" s="4" t="s">
        <v>793</v>
      </c>
      <c r="B23" s="4" t="s">
        <v>17</v>
      </c>
      <c r="C23" s="4" t="s">
        <v>795</v>
      </c>
      <c r="D23" s="4" t="s">
        <v>779</v>
      </c>
      <c r="E23" s="12" t="n">
        <v>4</v>
      </c>
      <c r="F23" s="4" t="s">
        <v>1359</v>
      </c>
      <c r="G23" s="4" t="s">
        <v>1360</v>
      </c>
      <c r="H23" s="4"/>
      <c r="I23" s="4"/>
    </row>
    <row r="24" customFormat="false" ht="12.75" hidden="false" customHeight="true" outlineLevel="0" collapsed="false">
      <c r="A24" s="4" t="s">
        <v>793</v>
      </c>
      <c r="B24" s="4" t="s">
        <v>17</v>
      </c>
      <c r="C24" s="4" t="s">
        <v>795</v>
      </c>
      <c r="D24" s="4" t="s">
        <v>779</v>
      </c>
      <c r="E24" s="12" t="n">
        <v>5</v>
      </c>
      <c r="F24" s="4" t="s">
        <v>1361</v>
      </c>
      <c r="G24" s="4" t="s">
        <v>1362</v>
      </c>
      <c r="H24" s="4"/>
      <c r="I24" s="4"/>
    </row>
    <row r="25" customFormat="false" ht="12.75" hidden="false" customHeight="true" outlineLevel="0" collapsed="false">
      <c r="A25" s="4" t="s">
        <v>800</v>
      </c>
      <c r="B25" s="4" t="s">
        <v>17</v>
      </c>
      <c r="C25" s="4" t="s">
        <v>804</v>
      </c>
      <c r="D25" s="4" t="s">
        <v>769</v>
      </c>
      <c r="E25" s="12" t="n">
        <v>1</v>
      </c>
      <c r="F25" s="4" t="s">
        <v>1363</v>
      </c>
      <c r="G25" s="4" t="s">
        <v>1364</v>
      </c>
      <c r="H25" s="4"/>
      <c r="I25" s="4"/>
    </row>
    <row r="26" customFormat="false" ht="12.75" hidden="false" customHeight="true" outlineLevel="0" collapsed="false">
      <c r="A26" s="4" t="s">
        <v>800</v>
      </c>
      <c r="B26" s="4" t="s">
        <v>17</v>
      </c>
      <c r="C26" s="4" t="s">
        <v>804</v>
      </c>
      <c r="D26" s="4" t="s">
        <v>769</v>
      </c>
      <c r="E26" s="12" t="n">
        <v>2</v>
      </c>
      <c r="F26" s="4" t="s">
        <v>1365</v>
      </c>
      <c r="G26" s="4" t="s">
        <v>1366</v>
      </c>
      <c r="H26" s="4"/>
      <c r="I26" s="4"/>
    </row>
    <row r="27" customFormat="false" ht="12.75" hidden="false" customHeight="true" outlineLevel="0" collapsed="false">
      <c r="A27" s="4" t="s">
        <v>800</v>
      </c>
      <c r="B27" s="4" t="s">
        <v>17</v>
      </c>
      <c r="C27" s="4" t="s">
        <v>804</v>
      </c>
      <c r="D27" s="4" t="s">
        <v>769</v>
      </c>
      <c r="E27" s="12" t="n">
        <v>3</v>
      </c>
      <c r="F27" s="4" t="s">
        <v>1367</v>
      </c>
      <c r="G27" s="4" t="s">
        <v>1368</v>
      </c>
      <c r="H27" s="4"/>
      <c r="I27" s="4"/>
    </row>
    <row r="28" customFormat="false" ht="25.5" hidden="false" customHeight="true" outlineLevel="0" collapsed="false">
      <c r="A28" s="4" t="s">
        <v>808</v>
      </c>
      <c r="B28" s="4" t="s">
        <v>17</v>
      </c>
      <c r="C28" s="4" t="s">
        <v>811</v>
      </c>
      <c r="D28" s="4" t="s">
        <v>769</v>
      </c>
      <c r="E28" s="12" t="n">
        <v>1</v>
      </c>
      <c r="F28" s="4" t="s">
        <v>1369</v>
      </c>
      <c r="G28" s="4" t="s">
        <v>1370</v>
      </c>
      <c r="H28" s="4"/>
      <c r="I28" s="4"/>
    </row>
    <row r="29" customFormat="false" ht="25.5" hidden="false" customHeight="true" outlineLevel="0" collapsed="false">
      <c r="A29" s="4" t="s">
        <v>808</v>
      </c>
      <c r="B29" s="4" t="s">
        <v>17</v>
      </c>
      <c r="C29" s="4" t="s">
        <v>811</v>
      </c>
      <c r="D29" s="4" t="s">
        <v>769</v>
      </c>
      <c r="E29" s="12" t="n">
        <v>2</v>
      </c>
      <c r="F29" s="4" t="s">
        <v>1371</v>
      </c>
      <c r="G29" s="4" t="s">
        <v>1372</v>
      </c>
      <c r="H29" s="4"/>
      <c r="I29" s="4"/>
    </row>
    <row r="30" customFormat="false" ht="25.5" hidden="false" customHeight="true" outlineLevel="0" collapsed="false">
      <c r="A30" s="4" t="s">
        <v>808</v>
      </c>
      <c r="B30" s="4" t="s">
        <v>17</v>
      </c>
      <c r="C30" s="4" t="s">
        <v>811</v>
      </c>
      <c r="D30" s="4" t="s">
        <v>769</v>
      </c>
      <c r="E30" s="12" t="n">
        <v>3</v>
      </c>
      <c r="F30" s="4" t="s">
        <v>1373</v>
      </c>
      <c r="G30" s="4" t="s">
        <v>1374</v>
      </c>
      <c r="H30" s="4"/>
      <c r="I30" s="4"/>
    </row>
    <row r="31" customFormat="false" ht="12.75" hidden="false" customHeight="true" outlineLevel="0" collapsed="false">
      <c r="A31" s="4" t="s">
        <v>808</v>
      </c>
      <c r="B31" s="4" t="s">
        <v>17</v>
      </c>
      <c r="C31" s="4" t="s">
        <v>811</v>
      </c>
      <c r="D31" s="4" t="s">
        <v>769</v>
      </c>
      <c r="E31" s="12" t="n">
        <v>4</v>
      </c>
      <c r="F31" s="4" t="s">
        <v>1375</v>
      </c>
      <c r="G31" s="4" t="s">
        <v>1376</v>
      </c>
      <c r="H31" s="4"/>
      <c r="I31" s="4"/>
    </row>
    <row r="32" customFormat="false" ht="39" hidden="false" customHeight="true" outlineLevel="0" collapsed="false">
      <c r="A32" s="4" t="s">
        <v>815</v>
      </c>
      <c r="B32" s="4" t="s">
        <v>17</v>
      </c>
      <c r="C32" s="4" t="s">
        <v>817</v>
      </c>
      <c r="D32" s="4" t="s">
        <v>779</v>
      </c>
      <c r="E32" s="12" t="n">
        <v>1</v>
      </c>
      <c r="F32" s="4" t="s">
        <v>1377</v>
      </c>
      <c r="G32" s="4" t="s">
        <v>1378</v>
      </c>
      <c r="H32" s="4"/>
      <c r="I32" s="4"/>
    </row>
    <row r="33" customFormat="false" ht="25.5" hidden="false" customHeight="true" outlineLevel="0" collapsed="false">
      <c r="A33" s="4" t="s">
        <v>815</v>
      </c>
      <c r="B33" s="4" t="s">
        <v>17</v>
      </c>
      <c r="C33" s="4" t="s">
        <v>817</v>
      </c>
      <c r="D33" s="4" t="s">
        <v>779</v>
      </c>
      <c r="E33" s="12" t="n">
        <v>2</v>
      </c>
      <c r="F33" s="4" t="s">
        <v>1369</v>
      </c>
      <c r="G33" s="4" t="s">
        <v>1379</v>
      </c>
      <c r="H33" s="4"/>
      <c r="I33" s="4"/>
    </row>
    <row r="34" customFormat="false" ht="12.75" hidden="false" customHeight="true" outlineLevel="0" collapsed="false">
      <c r="A34" s="4" t="s">
        <v>815</v>
      </c>
      <c r="B34" s="4" t="s">
        <v>17</v>
      </c>
      <c r="C34" s="4" t="s">
        <v>817</v>
      </c>
      <c r="D34" s="4" t="s">
        <v>779</v>
      </c>
      <c r="E34" s="12" t="n">
        <v>3</v>
      </c>
      <c r="F34" s="4" t="s">
        <v>1359</v>
      </c>
      <c r="G34" s="4" t="s">
        <v>1380</v>
      </c>
      <c r="H34" s="4"/>
      <c r="I34" s="4"/>
    </row>
    <row r="35" customFormat="false" ht="12.75" hidden="false" customHeight="true" outlineLevel="0" collapsed="false">
      <c r="A35" s="4" t="s">
        <v>815</v>
      </c>
      <c r="B35" s="4" t="s">
        <v>17</v>
      </c>
      <c r="C35" s="4" t="s">
        <v>817</v>
      </c>
      <c r="D35" s="4" t="s">
        <v>779</v>
      </c>
      <c r="E35" s="12" t="n">
        <v>4</v>
      </c>
      <c r="F35" s="4" t="s">
        <v>1381</v>
      </c>
      <c r="G35" s="4" t="s">
        <v>1382</v>
      </c>
      <c r="H35" s="4"/>
      <c r="I35" s="4"/>
    </row>
    <row r="36" customFormat="false" ht="12.75" hidden="false" customHeight="true" outlineLevel="0" collapsed="false">
      <c r="A36" s="4" t="s">
        <v>815</v>
      </c>
      <c r="B36" s="4" t="s">
        <v>17</v>
      </c>
      <c r="C36" s="4" t="s">
        <v>817</v>
      </c>
      <c r="D36" s="4" t="s">
        <v>779</v>
      </c>
      <c r="E36" s="12" t="n">
        <v>5</v>
      </c>
      <c r="F36" s="4" t="s">
        <v>1369</v>
      </c>
      <c r="G36" s="4" t="s">
        <v>1383</v>
      </c>
      <c r="H36" s="4"/>
      <c r="I36" s="4"/>
    </row>
    <row r="37" customFormat="false" ht="25.5" hidden="false" customHeight="true" outlineLevel="0" collapsed="false">
      <c r="A37" s="4" t="s">
        <v>822</v>
      </c>
      <c r="B37" s="4" t="s">
        <v>416</v>
      </c>
      <c r="C37" s="4" t="s">
        <v>825</v>
      </c>
      <c r="D37" s="4" t="s">
        <v>769</v>
      </c>
      <c r="E37" s="12" t="n">
        <v>1</v>
      </c>
      <c r="F37" s="4" t="s">
        <v>1384</v>
      </c>
      <c r="G37" s="4" t="s">
        <v>1385</v>
      </c>
      <c r="H37" s="4"/>
      <c r="I37" s="4"/>
    </row>
    <row r="38" customFormat="false" ht="25.5" hidden="false" customHeight="true" outlineLevel="0" collapsed="false">
      <c r="A38" s="4" t="s">
        <v>822</v>
      </c>
      <c r="B38" s="4" t="s">
        <v>416</v>
      </c>
      <c r="C38" s="4" t="s">
        <v>825</v>
      </c>
      <c r="D38" s="4" t="s">
        <v>769</v>
      </c>
      <c r="E38" s="12" t="n">
        <v>2</v>
      </c>
      <c r="F38" s="4" t="s">
        <v>1386</v>
      </c>
      <c r="G38" s="4" t="s">
        <v>1387</v>
      </c>
      <c r="H38" s="4"/>
      <c r="I38" s="4"/>
    </row>
    <row r="39" customFormat="false" ht="12.75" hidden="false" customHeight="true" outlineLevel="0" collapsed="false">
      <c r="A39" s="4" t="s">
        <v>822</v>
      </c>
      <c r="B39" s="4" t="s">
        <v>416</v>
      </c>
      <c r="C39" s="4" t="s">
        <v>825</v>
      </c>
      <c r="D39" s="4" t="s">
        <v>769</v>
      </c>
      <c r="E39" s="12" t="n">
        <v>3</v>
      </c>
      <c r="F39" s="4" t="s">
        <v>1388</v>
      </c>
      <c r="G39" s="4" t="s">
        <v>1389</v>
      </c>
      <c r="H39" s="4"/>
      <c r="I39" s="4"/>
    </row>
    <row r="40" customFormat="false" ht="12.75" hidden="false" customHeight="true" outlineLevel="0" collapsed="false">
      <c r="A40" s="4" t="s">
        <v>822</v>
      </c>
      <c r="B40" s="4" t="s">
        <v>416</v>
      </c>
      <c r="C40" s="4" t="s">
        <v>825</v>
      </c>
      <c r="D40" s="4" t="s">
        <v>769</v>
      </c>
      <c r="E40" s="12" t="n">
        <v>4</v>
      </c>
      <c r="F40" s="4" t="s">
        <v>1390</v>
      </c>
      <c r="G40" s="4" t="s">
        <v>1391</v>
      </c>
      <c r="H40" s="4"/>
      <c r="I40" s="4"/>
    </row>
    <row r="41" customFormat="false" ht="12.75" hidden="false" customHeight="true" outlineLevel="0" collapsed="false">
      <c r="A41" s="4" t="s">
        <v>822</v>
      </c>
      <c r="B41" s="4" t="s">
        <v>416</v>
      </c>
      <c r="C41" s="4" t="s">
        <v>825</v>
      </c>
      <c r="D41" s="4" t="s">
        <v>769</v>
      </c>
      <c r="E41" s="12" t="n">
        <v>5</v>
      </c>
      <c r="F41" s="4" t="s">
        <v>1392</v>
      </c>
      <c r="G41" s="4" t="s">
        <v>1393</v>
      </c>
      <c r="H41" s="4"/>
      <c r="I41" s="4"/>
    </row>
    <row r="42" customFormat="false" ht="12.75" hidden="false" customHeight="true" outlineLevel="0" collapsed="false">
      <c r="A42" s="4" t="s">
        <v>831</v>
      </c>
      <c r="B42" s="4" t="s">
        <v>17</v>
      </c>
      <c r="C42" s="4" t="s">
        <v>833</v>
      </c>
      <c r="D42" s="4" t="s">
        <v>779</v>
      </c>
      <c r="E42" s="12" t="n">
        <v>1</v>
      </c>
      <c r="F42" s="4" t="s">
        <v>1394</v>
      </c>
      <c r="G42" s="4" t="s">
        <v>1395</v>
      </c>
      <c r="H42" s="4"/>
      <c r="I42" s="4"/>
    </row>
    <row r="43" customFormat="false" ht="25.5" hidden="false" customHeight="true" outlineLevel="0" collapsed="false">
      <c r="A43" s="4" t="s">
        <v>831</v>
      </c>
      <c r="B43" s="4" t="s">
        <v>17</v>
      </c>
      <c r="C43" s="4" t="s">
        <v>833</v>
      </c>
      <c r="D43" s="4" t="s">
        <v>779</v>
      </c>
      <c r="E43" s="12" t="n">
        <v>2</v>
      </c>
      <c r="F43" s="4" t="s">
        <v>1396</v>
      </c>
      <c r="G43" s="4" t="s">
        <v>1397</v>
      </c>
      <c r="H43" s="4"/>
      <c r="I43" s="4"/>
    </row>
    <row r="44" customFormat="false" ht="25.5" hidden="false" customHeight="true" outlineLevel="0" collapsed="false">
      <c r="A44" s="4" t="s">
        <v>831</v>
      </c>
      <c r="B44" s="4" t="s">
        <v>17</v>
      </c>
      <c r="C44" s="4" t="s">
        <v>833</v>
      </c>
      <c r="D44" s="4" t="s">
        <v>779</v>
      </c>
      <c r="E44" s="12" t="n">
        <v>3</v>
      </c>
      <c r="F44" s="4" t="s">
        <v>1398</v>
      </c>
      <c r="G44" s="4" t="s">
        <v>1399</v>
      </c>
      <c r="H44" s="4"/>
      <c r="I44" s="4"/>
    </row>
    <row r="45" customFormat="false" ht="39" hidden="false" customHeight="true" outlineLevel="0" collapsed="false">
      <c r="A45" s="4" t="s">
        <v>831</v>
      </c>
      <c r="B45" s="4" t="s">
        <v>17</v>
      </c>
      <c r="C45" s="4" t="s">
        <v>833</v>
      </c>
      <c r="D45" s="4" t="s">
        <v>779</v>
      </c>
      <c r="E45" s="12" t="n">
        <v>4</v>
      </c>
      <c r="F45" s="4" t="s">
        <v>1400</v>
      </c>
      <c r="G45" s="4" t="s">
        <v>1401</v>
      </c>
      <c r="H45" s="4"/>
      <c r="I45" s="4"/>
    </row>
    <row r="46" customFormat="false" ht="12.75" hidden="false" customHeight="true" outlineLevel="0" collapsed="false">
      <c r="A46" s="4" t="s">
        <v>831</v>
      </c>
      <c r="B46" s="4" t="s">
        <v>17</v>
      </c>
      <c r="C46" s="4" t="s">
        <v>833</v>
      </c>
      <c r="D46" s="4" t="s">
        <v>779</v>
      </c>
      <c r="E46" s="12" t="n">
        <v>5</v>
      </c>
      <c r="F46" s="4" t="s">
        <v>1402</v>
      </c>
      <c r="G46" s="4" t="s">
        <v>1403</v>
      </c>
      <c r="H46" s="4"/>
      <c r="I46" s="4"/>
    </row>
    <row r="47" customFormat="false" ht="12.75" hidden="false" customHeight="true" outlineLevel="0" collapsed="false">
      <c r="A47" s="4" t="s">
        <v>831</v>
      </c>
      <c r="B47" s="4" t="s">
        <v>17</v>
      </c>
      <c r="C47" s="4" t="s">
        <v>833</v>
      </c>
      <c r="D47" s="4" t="s">
        <v>779</v>
      </c>
      <c r="E47" s="12" t="n">
        <v>6</v>
      </c>
      <c r="F47" s="4" t="s">
        <v>1359</v>
      </c>
      <c r="G47" s="4" t="s">
        <v>1404</v>
      </c>
      <c r="H47" s="4"/>
      <c r="I47" s="4"/>
    </row>
    <row r="48" customFormat="false" ht="12.75" hidden="false" customHeight="true" outlineLevel="0" collapsed="false">
      <c r="A48" s="4" t="s">
        <v>838</v>
      </c>
      <c r="B48" s="4" t="s">
        <v>17</v>
      </c>
      <c r="C48" s="4" t="s">
        <v>840</v>
      </c>
      <c r="D48" s="4" t="s">
        <v>779</v>
      </c>
      <c r="E48" s="12" t="n">
        <v>1</v>
      </c>
      <c r="F48" s="4" t="s">
        <v>1405</v>
      </c>
      <c r="G48" s="4" t="s">
        <v>1406</v>
      </c>
      <c r="H48" s="4"/>
      <c r="I48" s="4"/>
    </row>
    <row r="49" customFormat="false" ht="25.5" hidden="false" customHeight="true" outlineLevel="0" collapsed="false">
      <c r="A49" s="4" t="s">
        <v>838</v>
      </c>
      <c r="B49" s="4" t="s">
        <v>17</v>
      </c>
      <c r="C49" s="4" t="s">
        <v>840</v>
      </c>
      <c r="D49" s="4" t="s">
        <v>779</v>
      </c>
      <c r="E49" s="12" t="n">
        <v>2</v>
      </c>
      <c r="F49" s="4" t="s">
        <v>1407</v>
      </c>
      <c r="G49" s="4" t="s">
        <v>1408</v>
      </c>
      <c r="H49" s="4"/>
      <c r="I49" s="4"/>
    </row>
    <row r="50" customFormat="false" ht="12.75" hidden="false" customHeight="true" outlineLevel="0" collapsed="false">
      <c r="A50" s="4" t="s">
        <v>838</v>
      </c>
      <c r="B50" s="4" t="s">
        <v>17</v>
      </c>
      <c r="C50" s="4" t="s">
        <v>840</v>
      </c>
      <c r="D50" s="4" t="s">
        <v>779</v>
      </c>
      <c r="E50" s="12" t="n">
        <v>3</v>
      </c>
      <c r="F50" s="4" t="s">
        <v>1409</v>
      </c>
      <c r="G50" s="4" t="s">
        <v>1410</v>
      </c>
      <c r="H50" s="4"/>
      <c r="I50" s="4"/>
    </row>
    <row r="51" customFormat="false" ht="12.75" hidden="false" customHeight="true" outlineLevel="0" collapsed="false">
      <c r="A51" s="4" t="s">
        <v>838</v>
      </c>
      <c r="B51" s="4" t="s">
        <v>17</v>
      </c>
      <c r="C51" s="4" t="s">
        <v>840</v>
      </c>
      <c r="D51" s="4" t="s">
        <v>779</v>
      </c>
      <c r="E51" s="12" t="n">
        <v>4</v>
      </c>
      <c r="F51" s="4" t="s">
        <v>1411</v>
      </c>
      <c r="G51" s="4" t="s">
        <v>1412</v>
      </c>
      <c r="H51" s="4"/>
      <c r="I51" s="4"/>
    </row>
    <row r="52" customFormat="false" ht="25.5" hidden="false" customHeight="true" outlineLevel="0" collapsed="false">
      <c r="A52" s="4" t="s">
        <v>844</v>
      </c>
      <c r="B52" s="4" t="s">
        <v>17</v>
      </c>
      <c r="C52" s="4" t="s">
        <v>846</v>
      </c>
      <c r="D52" s="4" t="s">
        <v>779</v>
      </c>
      <c r="E52" s="12" t="n">
        <v>1</v>
      </c>
      <c r="F52" s="4" t="s">
        <v>1413</v>
      </c>
      <c r="G52" s="4" t="s">
        <v>1414</v>
      </c>
      <c r="H52" s="4"/>
      <c r="I52" s="4"/>
    </row>
    <row r="53" customFormat="false" ht="12.75" hidden="false" customHeight="true" outlineLevel="0" collapsed="false">
      <c r="A53" s="4" t="s">
        <v>844</v>
      </c>
      <c r="B53" s="4" t="s">
        <v>17</v>
      </c>
      <c r="C53" s="4" t="s">
        <v>846</v>
      </c>
      <c r="D53" s="4" t="s">
        <v>779</v>
      </c>
      <c r="E53" s="12" t="n">
        <v>2</v>
      </c>
      <c r="F53" s="4" t="s">
        <v>1415</v>
      </c>
      <c r="G53" s="4" t="s">
        <v>1416</v>
      </c>
      <c r="H53" s="4"/>
      <c r="I53" s="4"/>
    </row>
    <row r="54" customFormat="false" ht="12.75" hidden="false" customHeight="true" outlineLevel="0" collapsed="false">
      <c r="A54" s="4" t="s">
        <v>844</v>
      </c>
      <c r="B54" s="4" t="s">
        <v>17</v>
      </c>
      <c r="C54" s="4" t="s">
        <v>846</v>
      </c>
      <c r="D54" s="4" t="s">
        <v>779</v>
      </c>
      <c r="E54" s="12" t="n">
        <v>3</v>
      </c>
      <c r="F54" s="4" t="s">
        <v>1417</v>
      </c>
      <c r="G54" s="4" t="s">
        <v>1418</v>
      </c>
      <c r="H54" s="4"/>
      <c r="I54" s="4"/>
    </row>
    <row r="55" customFormat="false" ht="25.5" hidden="false" customHeight="true" outlineLevel="0" collapsed="false">
      <c r="A55" s="4" t="s">
        <v>851</v>
      </c>
      <c r="B55" s="4" t="s">
        <v>416</v>
      </c>
      <c r="C55" s="4" t="s">
        <v>854</v>
      </c>
      <c r="D55" s="4" t="s">
        <v>769</v>
      </c>
      <c r="E55" s="12" t="n">
        <v>1</v>
      </c>
      <c r="F55" s="4" t="s">
        <v>1419</v>
      </c>
      <c r="G55" s="4" t="s">
        <v>1420</v>
      </c>
      <c r="H55" s="4"/>
      <c r="I55" s="4"/>
    </row>
    <row r="56" customFormat="false" ht="25.5" hidden="false" customHeight="true" outlineLevel="0" collapsed="false">
      <c r="A56" s="4" t="s">
        <v>851</v>
      </c>
      <c r="B56" s="4" t="s">
        <v>416</v>
      </c>
      <c r="C56" s="4" t="s">
        <v>854</v>
      </c>
      <c r="D56" s="4" t="s">
        <v>769</v>
      </c>
      <c r="E56" s="12" t="n">
        <v>2</v>
      </c>
      <c r="F56" s="4" t="s">
        <v>1421</v>
      </c>
      <c r="G56" s="4" t="s">
        <v>1422</v>
      </c>
      <c r="H56" s="4"/>
      <c r="I56" s="4"/>
    </row>
    <row r="57" customFormat="false" ht="25.5" hidden="false" customHeight="true" outlineLevel="0" collapsed="false">
      <c r="A57" s="4" t="s">
        <v>851</v>
      </c>
      <c r="B57" s="4" t="s">
        <v>416</v>
      </c>
      <c r="C57" s="4" t="s">
        <v>854</v>
      </c>
      <c r="D57" s="4" t="s">
        <v>769</v>
      </c>
      <c r="E57" s="12" t="n">
        <v>3</v>
      </c>
      <c r="F57" s="4" t="s">
        <v>1423</v>
      </c>
      <c r="G57" s="4" t="s">
        <v>1424</v>
      </c>
      <c r="H57" s="4"/>
      <c r="I57" s="4"/>
    </row>
    <row r="58" customFormat="false" ht="12.75" hidden="false" customHeight="true" outlineLevel="0" collapsed="false">
      <c r="A58" s="4" t="s">
        <v>851</v>
      </c>
      <c r="B58" s="4" t="s">
        <v>416</v>
      </c>
      <c r="C58" s="4" t="s">
        <v>854</v>
      </c>
      <c r="D58" s="4" t="s">
        <v>769</v>
      </c>
      <c r="E58" s="12" t="n">
        <v>4</v>
      </c>
      <c r="F58" s="4" t="s">
        <v>1425</v>
      </c>
      <c r="G58" s="4" t="s">
        <v>1426</v>
      </c>
      <c r="H58" s="4"/>
      <c r="I58" s="4"/>
    </row>
    <row r="59" customFormat="false" ht="12.75" hidden="false" customHeight="true" outlineLevel="0" collapsed="false">
      <c r="A59" s="4" t="s">
        <v>860</v>
      </c>
      <c r="B59" s="4" t="s">
        <v>416</v>
      </c>
      <c r="C59" s="4" t="s">
        <v>862</v>
      </c>
      <c r="D59" s="4" t="s">
        <v>779</v>
      </c>
      <c r="E59" s="12" t="n">
        <v>1</v>
      </c>
      <c r="F59" s="4" t="s">
        <v>1427</v>
      </c>
      <c r="G59" s="4" t="s">
        <v>1428</v>
      </c>
      <c r="H59" s="4"/>
      <c r="I59" s="4"/>
    </row>
    <row r="60" customFormat="false" ht="12.75" hidden="false" customHeight="true" outlineLevel="0" collapsed="false">
      <c r="A60" s="4" t="s">
        <v>860</v>
      </c>
      <c r="B60" s="4" t="s">
        <v>416</v>
      </c>
      <c r="C60" s="4" t="s">
        <v>862</v>
      </c>
      <c r="D60" s="4" t="s">
        <v>779</v>
      </c>
      <c r="E60" s="12" t="n">
        <v>2</v>
      </c>
      <c r="F60" s="4" t="s">
        <v>1429</v>
      </c>
      <c r="G60" s="4" t="s">
        <v>1428</v>
      </c>
      <c r="H60" s="4"/>
      <c r="I60" s="4"/>
    </row>
    <row r="61" customFormat="false" ht="12.75" hidden="false" customHeight="true" outlineLevel="0" collapsed="false">
      <c r="A61" s="4" t="s">
        <v>860</v>
      </c>
      <c r="B61" s="4" t="s">
        <v>416</v>
      </c>
      <c r="C61" s="4" t="s">
        <v>862</v>
      </c>
      <c r="D61" s="4" t="s">
        <v>779</v>
      </c>
      <c r="E61" s="12" t="n">
        <v>3</v>
      </c>
      <c r="F61" s="4" t="s">
        <v>1430</v>
      </c>
      <c r="G61" s="4" t="s">
        <v>1431</v>
      </c>
      <c r="H61" s="4"/>
      <c r="I61" s="4"/>
    </row>
    <row r="62" customFormat="false" ht="12.75" hidden="false" customHeight="true" outlineLevel="0" collapsed="false">
      <c r="A62" s="4" t="s">
        <v>860</v>
      </c>
      <c r="B62" s="4" t="s">
        <v>416</v>
      </c>
      <c r="C62" s="4" t="s">
        <v>862</v>
      </c>
      <c r="D62" s="4" t="s">
        <v>779</v>
      </c>
      <c r="E62" s="12" t="n">
        <v>4</v>
      </c>
      <c r="F62" s="4" t="s">
        <v>1432</v>
      </c>
      <c r="G62" s="4" t="s">
        <v>1433</v>
      </c>
      <c r="H62" s="4"/>
      <c r="I62" s="4"/>
    </row>
    <row r="63" customFormat="false" ht="12.75" hidden="false" customHeight="true" outlineLevel="0" collapsed="false">
      <c r="A63" s="4" t="s">
        <v>860</v>
      </c>
      <c r="B63" s="4" t="s">
        <v>416</v>
      </c>
      <c r="C63" s="4" t="s">
        <v>862</v>
      </c>
      <c r="D63" s="4" t="s">
        <v>779</v>
      </c>
      <c r="E63" s="12" t="n">
        <v>5</v>
      </c>
      <c r="F63" s="4" t="s">
        <v>1434</v>
      </c>
      <c r="G63" s="4" t="s">
        <v>1435</v>
      </c>
      <c r="H63" s="4"/>
      <c r="I63" s="4"/>
    </row>
    <row r="64" customFormat="false" ht="12.75" hidden="false" customHeight="true" outlineLevel="0" collapsed="false">
      <c r="A64" s="4" t="s">
        <v>867</v>
      </c>
      <c r="B64" s="4" t="s">
        <v>17</v>
      </c>
      <c r="C64" s="4" t="s">
        <v>869</v>
      </c>
      <c r="D64" s="4" t="s">
        <v>769</v>
      </c>
      <c r="E64" s="12" t="n">
        <v>1</v>
      </c>
      <c r="F64" s="4" t="s">
        <v>1436</v>
      </c>
      <c r="G64" s="4" t="s">
        <v>1437</v>
      </c>
      <c r="H64" s="4"/>
      <c r="I64" s="4"/>
    </row>
    <row r="65" customFormat="false" ht="25.5" hidden="false" customHeight="true" outlineLevel="0" collapsed="false">
      <c r="A65" s="4" t="s">
        <v>867</v>
      </c>
      <c r="B65" s="4" t="s">
        <v>17</v>
      </c>
      <c r="C65" s="4" t="s">
        <v>869</v>
      </c>
      <c r="D65" s="4" t="s">
        <v>769</v>
      </c>
      <c r="E65" s="12" t="n">
        <v>2</v>
      </c>
      <c r="F65" s="4" t="s">
        <v>1438</v>
      </c>
      <c r="G65" s="4" t="s">
        <v>1439</v>
      </c>
      <c r="H65" s="4"/>
      <c r="I65" s="4"/>
    </row>
    <row r="66" customFormat="false" ht="25.5" hidden="false" customHeight="true" outlineLevel="0" collapsed="false">
      <c r="A66" s="4" t="s">
        <v>867</v>
      </c>
      <c r="B66" s="4" t="s">
        <v>17</v>
      </c>
      <c r="C66" s="4" t="s">
        <v>869</v>
      </c>
      <c r="D66" s="4" t="s">
        <v>769</v>
      </c>
      <c r="E66" s="12" t="n">
        <v>3</v>
      </c>
      <c r="F66" s="4" t="s">
        <v>1440</v>
      </c>
      <c r="G66" s="4" t="s">
        <v>1441</v>
      </c>
      <c r="H66" s="4"/>
      <c r="I66" s="4"/>
    </row>
    <row r="67" customFormat="false" ht="12.75" hidden="false" customHeight="true" outlineLevel="0" collapsed="false">
      <c r="A67" s="4" t="s">
        <v>872</v>
      </c>
      <c r="B67" s="4" t="s">
        <v>17</v>
      </c>
      <c r="C67" s="4" t="s">
        <v>874</v>
      </c>
      <c r="D67" s="4" t="s">
        <v>779</v>
      </c>
      <c r="E67" s="12" t="n">
        <v>1</v>
      </c>
      <c r="F67" s="4" t="s">
        <v>1442</v>
      </c>
      <c r="G67" s="4" t="s">
        <v>1443</v>
      </c>
      <c r="H67" s="4"/>
      <c r="I67" s="4"/>
    </row>
    <row r="68" customFormat="false" ht="25.5" hidden="false" customHeight="true" outlineLevel="0" collapsed="false">
      <c r="A68" s="4" t="s">
        <v>872</v>
      </c>
      <c r="B68" s="4" t="s">
        <v>17</v>
      </c>
      <c r="C68" s="4" t="s">
        <v>874</v>
      </c>
      <c r="D68" s="4" t="s">
        <v>779</v>
      </c>
      <c r="E68" s="12" t="n">
        <v>2</v>
      </c>
      <c r="F68" s="4" t="s">
        <v>1444</v>
      </c>
      <c r="G68" s="4" t="s">
        <v>1445</v>
      </c>
      <c r="H68" s="4"/>
      <c r="I68" s="4"/>
    </row>
    <row r="69" customFormat="false" ht="25.5" hidden="false" customHeight="true" outlineLevel="0" collapsed="false">
      <c r="A69" s="4" t="s">
        <v>872</v>
      </c>
      <c r="B69" s="4" t="s">
        <v>17</v>
      </c>
      <c r="C69" s="4" t="s">
        <v>874</v>
      </c>
      <c r="D69" s="4" t="s">
        <v>779</v>
      </c>
      <c r="E69" s="12" t="n">
        <v>3</v>
      </c>
      <c r="F69" s="4" t="s">
        <v>1446</v>
      </c>
      <c r="G69" s="4" t="s">
        <v>1447</v>
      </c>
      <c r="H69" s="4"/>
      <c r="I69" s="4"/>
    </row>
    <row r="70" customFormat="false" ht="25.5" hidden="false" customHeight="true" outlineLevel="0" collapsed="false">
      <c r="A70" s="4" t="s">
        <v>877</v>
      </c>
      <c r="B70" s="4" t="s">
        <v>235</v>
      </c>
      <c r="C70" s="4" t="s">
        <v>880</v>
      </c>
      <c r="D70" s="4" t="s">
        <v>769</v>
      </c>
      <c r="E70" s="12" t="n">
        <v>1</v>
      </c>
      <c r="F70" s="4" t="s">
        <v>1448</v>
      </c>
      <c r="G70" s="4" t="s">
        <v>1443</v>
      </c>
      <c r="H70" s="4"/>
      <c r="I70" s="4"/>
    </row>
    <row r="71" customFormat="false" ht="25.5" hidden="false" customHeight="true" outlineLevel="0" collapsed="false">
      <c r="A71" s="4" t="s">
        <v>877</v>
      </c>
      <c r="B71" s="4" t="s">
        <v>235</v>
      </c>
      <c r="C71" s="4" t="s">
        <v>880</v>
      </c>
      <c r="D71" s="4" t="s">
        <v>769</v>
      </c>
      <c r="E71" s="12" t="n">
        <v>2</v>
      </c>
      <c r="F71" s="4" t="s">
        <v>1449</v>
      </c>
      <c r="G71" s="4" t="s">
        <v>1450</v>
      </c>
      <c r="H71" s="4"/>
      <c r="I71" s="4"/>
    </row>
    <row r="72" customFormat="false" ht="25.5" hidden="false" customHeight="true" outlineLevel="0" collapsed="false">
      <c r="A72" s="4" t="s">
        <v>877</v>
      </c>
      <c r="B72" s="4" t="s">
        <v>235</v>
      </c>
      <c r="C72" s="4" t="s">
        <v>880</v>
      </c>
      <c r="D72" s="4" t="s">
        <v>769</v>
      </c>
      <c r="E72" s="12" t="n">
        <v>3</v>
      </c>
      <c r="F72" s="4" t="s">
        <v>1451</v>
      </c>
      <c r="G72" s="4" t="s">
        <v>1452</v>
      </c>
      <c r="H72" s="4"/>
      <c r="I72" s="4"/>
    </row>
    <row r="73" customFormat="false" ht="25.5" hidden="false" customHeight="true" outlineLevel="0" collapsed="false">
      <c r="A73" s="4" t="s">
        <v>877</v>
      </c>
      <c r="B73" s="4" t="s">
        <v>235</v>
      </c>
      <c r="C73" s="4" t="s">
        <v>880</v>
      </c>
      <c r="D73" s="4" t="s">
        <v>769</v>
      </c>
      <c r="E73" s="12" t="n">
        <v>4</v>
      </c>
      <c r="F73" s="4" t="s">
        <v>1453</v>
      </c>
      <c r="G73" s="4" t="s">
        <v>1454</v>
      </c>
      <c r="H73" s="4"/>
      <c r="I73" s="4"/>
    </row>
    <row r="74" customFormat="false" ht="25.5" hidden="false" customHeight="true" outlineLevel="0" collapsed="false">
      <c r="A74" s="4" t="s">
        <v>885</v>
      </c>
      <c r="B74" s="4" t="s">
        <v>253</v>
      </c>
      <c r="C74" s="4" t="s">
        <v>887</v>
      </c>
      <c r="D74" s="4" t="s">
        <v>779</v>
      </c>
      <c r="E74" s="12" t="n">
        <v>1</v>
      </c>
      <c r="F74" s="4" t="s">
        <v>1455</v>
      </c>
      <c r="G74" s="4" t="s">
        <v>1456</v>
      </c>
      <c r="H74" s="4"/>
      <c r="I74" s="4"/>
    </row>
    <row r="75" customFormat="false" ht="12.75" hidden="false" customHeight="true" outlineLevel="0" collapsed="false">
      <c r="A75" s="4" t="s">
        <v>885</v>
      </c>
      <c r="B75" s="4" t="s">
        <v>253</v>
      </c>
      <c r="C75" s="4" t="s">
        <v>887</v>
      </c>
      <c r="D75" s="4" t="s">
        <v>779</v>
      </c>
      <c r="E75" s="12" t="n">
        <v>2</v>
      </c>
      <c r="F75" s="4" t="s">
        <v>1457</v>
      </c>
      <c r="G75" s="4" t="s">
        <v>1458</v>
      </c>
      <c r="H75" s="4"/>
      <c r="I75" s="4"/>
    </row>
    <row r="76" customFormat="false" ht="12.75" hidden="false" customHeight="true" outlineLevel="0" collapsed="false">
      <c r="A76" s="4" t="s">
        <v>885</v>
      </c>
      <c r="B76" s="4" t="s">
        <v>253</v>
      </c>
      <c r="C76" s="4" t="s">
        <v>887</v>
      </c>
      <c r="D76" s="4" t="s">
        <v>779</v>
      </c>
      <c r="E76" s="12" t="n">
        <v>3</v>
      </c>
      <c r="F76" s="4" t="s">
        <v>1459</v>
      </c>
      <c r="G76" s="4" t="s">
        <v>1460</v>
      </c>
      <c r="H76" s="4"/>
      <c r="I76" s="4"/>
    </row>
    <row r="77" customFormat="false" ht="25.5" hidden="false" customHeight="true" outlineLevel="0" collapsed="false">
      <c r="A77" s="4" t="s">
        <v>885</v>
      </c>
      <c r="B77" s="4" t="s">
        <v>253</v>
      </c>
      <c r="C77" s="4" t="s">
        <v>887</v>
      </c>
      <c r="D77" s="4" t="s">
        <v>779</v>
      </c>
      <c r="E77" s="12" t="n">
        <v>4</v>
      </c>
      <c r="F77" s="4" t="s">
        <v>1461</v>
      </c>
      <c r="G77" s="4" t="s">
        <v>1462</v>
      </c>
      <c r="H77" s="4"/>
      <c r="I77" s="4"/>
    </row>
    <row r="78" customFormat="false" ht="12.75" hidden="false" customHeight="true" outlineLevel="0" collapsed="false">
      <c r="A78" s="4" t="s">
        <v>892</v>
      </c>
      <c r="B78" s="4" t="s">
        <v>203</v>
      </c>
      <c r="C78" s="4" t="s">
        <v>893</v>
      </c>
      <c r="D78" s="4" t="s">
        <v>779</v>
      </c>
      <c r="E78" s="12" t="n">
        <v>1</v>
      </c>
      <c r="F78" s="4" t="s">
        <v>1463</v>
      </c>
      <c r="G78" s="4" t="s">
        <v>1443</v>
      </c>
      <c r="H78" s="4"/>
      <c r="I78" s="4"/>
    </row>
    <row r="79" customFormat="false" ht="25.5" hidden="false" customHeight="true" outlineLevel="0" collapsed="false">
      <c r="A79" s="4" t="s">
        <v>892</v>
      </c>
      <c r="B79" s="4" t="s">
        <v>203</v>
      </c>
      <c r="C79" s="4" t="s">
        <v>893</v>
      </c>
      <c r="D79" s="4" t="s">
        <v>779</v>
      </c>
      <c r="E79" s="12" t="n">
        <v>2</v>
      </c>
      <c r="F79" s="4" t="s">
        <v>1464</v>
      </c>
      <c r="G79" s="4" t="s">
        <v>1465</v>
      </c>
      <c r="H79" s="4"/>
      <c r="I79" s="4"/>
    </row>
    <row r="80" customFormat="false" ht="12.75" hidden="false" customHeight="true" outlineLevel="0" collapsed="false">
      <c r="A80" s="4" t="s">
        <v>892</v>
      </c>
      <c r="B80" s="4" t="s">
        <v>203</v>
      </c>
      <c r="C80" s="4" t="s">
        <v>893</v>
      </c>
      <c r="D80" s="4" t="s">
        <v>779</v>
      </c>
      <c r="E80" s="12" t="n">
        <v>3</v>
      </c>
      <c r="F80" s="4" t="s">
        <v>1466</v>
      </c>
      <c r="G80" s="4" t="s">
        <v>1467</v>
      </c>
      <c r="H80" s="4"/>
      <c r="I80" s="4"/>
    </row>
    <row r="81" customFormat="false" ht="12.75" hidden="false" customHeight="true" outlineLevel="0" collapsed="false">
      <c r="A81" s="4" t="s">
        <v>898</v>
      </c>
      <c r="B81" s="4" t="s">
        <v>253</v>
      </c>
      <c r="C81" s="4" t="s">
        <v>900</v>
      </c>
      <c r="D81" s="4" t="s">
        <v>779</v>
      </c>
      <c r="E81" s="12" t="n">
        <v>1</v>
      </c>
      <c r="F81" s="4" t="s">
        <v>1468</v>
      </c>
      <c r="G81" s="4" t="s">
        <v>1443</v>
      </c>
      <c r="H81" s="4"/>
      <c r="I81" s="4"/>
    </row>
    <row r="82" customFormat="false" ht="25.5" hidden="false" customHeight="true" outlineLevel="0" collapsed="false">
      <c r="A82" s="4" t="s">
        <v>898</v>
      </c>
      <c r="B82" s="4" t="s">
        <v>253</v>
      </c>
      <c r="C82" s="4" t="s">
        <v>900</v>
      </c>
      <c r="D82" s="4" t="s">
        <v>779</v>
      </c>
      <c r="E82" s="12" t="n">
        <v>2</v>
      </c>
      <c r="F82" s="4" t="s">
        <v>1469</v>
      </c>
      <c r="G82" s="4" t="s">
        <v>1470</v>
      </c>
      <c r="H82" s="4"/>
      <c r="I82" s="4"/>
    </row>
    <row r="83" customFormat="false" ht="25.5" hidden="false" customHeight="true" outlineLevel="0" collapsed="false">
      <c r="A83" s="4" t="s">
        <v>898</v>
      </c>
      <c r="B83" s="4" t="s">
        <v>253</v>
      </c>
      <c r="C83" s="4" t="s">
        <v>900</v>
      </c>
      <c r="D83" s="4" t="s">
        <v>779</v>
      </c>
      <c r="E83" s="12" t="n">
        <v>3</v>
      </c>
      <c r="F83" s="4" t="s">
        <v>1471</v>
      </c>
      <c r="G83" s="4" t="s">
        <v>1472</v>
      </c>
      <c r="H83" s="4"/>
      <c r="I83" s="4"/>
    </row>
    <row r="84" customFormat="false" ht="12.75" hidden="false" customHeight="true" outlineLevel="0" collapsed="false">
      <c r="A84" s="4" t="s">
        <v>898</v>
      </c>
      <c r="B84" s="4" t="s">
        <v>253</v>
      </c>
      <c r="C84" s="4" t="s">
        <v>900</v>
      </c>
      <c r="D84" s="4" t="s">
        <v>779</v>
      </c>
      <c r="E84" s="12" t="n">
        <v>4</v>
      </c>
      <c r="F84" s="4" t="s">
        <v>1473</v>
      </c>
      <c r="G84" s="4" t="s">
        <v>1474</v>
      </c>
      <c r="H84" s="4"/>
      <c r="I84" s="4"/>
    </row>
    <row r="85" customFormat="false" ht="12.75" hidden="false" customHeight="true" outlineLevel="0" collapsed="false">
      <c r="A85" s="4" t="s">
        <v>905</v>
      </c>
      <c r="B85" s="4" t="s">
        <v>244</v>
      </c>
      <c r="C85" s="4" t="s">
        <v>906</v>
      </c>
      <c r="D85" s="4" t="s">
        <v>779</v>
      </c>
      <c r="E85" s="12" t="n">
        <v>1</v>
      </c>
      <c r="F85" s="4" t="s">
        <v>1475</v>
      </c>
      <c r="G85" s="4" t="s">
        <v>1443</v>
      </c>
      <c r="H85" s="4"/>
      <c r="I85" s="4"/>
    </row>
    <row r="86" customFormat="false" ht="12.75" hidden="false" customHeight="true" outlineLevel="0" collapsed="false">
      <c r="A86" s="4" t="s">
        <v>905</v>
      </c>
      <c r="B86" s="4" t="s">
        <v>244</v>
      </c>
      <c r="C86" s="4" t="s">
        <v>906</v>
      </c>
      <c r="D86" s="4" t="s">
        <v>779</v>
      </c>
      <c r="E86" s="12" t="n">
        <v>2</v>
      </c>
      <c r="F86" s="4" t="s">
        <v>1444</v>
      </c>
      <c r="G86" s="4" t="s">
        <v>1476</v>
      </c>
      <c r="H86" s="4"/>
      <c r="I86" s="4"/>
    </row>
    <row r="87" customFormat="false" ht="25.5" hidden="false" customHeight="true" outlineLevel="0" collapsed="false">
      <c r="A87" s="4" t="s">
        <v>905</v>
      </c>
      <c r="B87" s="4" t="s">
        <v>244</v>
      </c>
      <c r="C87" s="4" t="s">
        <v>906</v>
      </c>
      <c r="D87" s="4" t="s">
        <v>779</v>
      </c>
      <c r="E87" s="12" t="n">
        <v>3</v>
      </c>
      <c r="F87" s="4" t="s">
        <v>1477</v>
      </c>
      <c r="G87" s="4" t="s">
        <v>1478</v>
      </c>
      <c r="H87" s="4"/>
      <c r="I87" s="4"/>
    </row>
    <row r="88" customFormat="false" ht="12.75" hidden="false" customHeight="true" outlineLevel="0" collapsed="false">
      <c r="A88" s="4" t="s">
        <v>911</v>
      </c>
      <c r="B88" s="4" t="s">
        <v>17</v>
      </c>
      <c r="C88" s="4" t="s">
        <v>914</v>
      </c>
      <c r="D88" s="4" t="s">
        <v>769</v>
      </c>
      <c r="E88" s="12" t="n">
        <v>1</v>
      </c>
      <c r="F88" s="4" t="s">
        <v>1479</v>
      </c>
      <c r="G88" s="4" t="s">
        <v>1443</v>
      </c>
      <c r="H88" s="4"/>
      <c r="I88" s="4"/>
    </row>
    <row r="89" customFormat="false" ht="25.5" hidden="false" customHeight="true" outlineLevel="0" collapsed="false">
      <c r="A89" s="4" t="s">
        <v>911</v>
      </c>
      <c r="B89" s="4" t="s">
        <v>17</v>
      </c>
      <c r="C89" s="4" t="s">
        <v>914</v>
      </c>
      <c r="D89" s="4" t="s">
        <v>769</v>
      </c>
      <c r="E89" s="12" t="n">
        <v>2</v>
      </c>
      <c r="F89" s="4" t="s">
        <v>1480</v>
      </c>
      <c r="G89" s="4" t="s">
        <v>1481</v>
      </c>
      <c r="H89" s="4"/>
      <c r="I89" s="4"/>
    </row>
    <row r="90" customFormat="false" ht="25.5" hidden="false" customHeight="true" outlineLevel="0" collapsed="false">
      <c r="A90" s="4" t="s">
        <v>911</v>
      </c>
      <c r="B90" s="4" t="s">
        <v>17</v>
      </c>
      <c r="C90" s="4" t="s">
        <v>914</v>
      </c>
      <c r="D90" s="4" t="s">
        <v>769</v>
      </c>
      <c r="E90" s="12" t="n">
        <v>3</v>
      </c>
      <c r="F90" s="4" t="s">
        <v>1482</v>
      </c>
      <c r="G90" s="4" t="s">
        <v>1483</v>
      </c>
      <c r="H90" s="4"/>
      <c r="I90" s="4"/>
    </row>
    <row r="91" customFormat="false" ht="12.75" hidden="false" customHeight="true" outlineLevel="0" collapsed="false">
      <c r="A91" s="4" t="s">
        <v>911</v>
      </c>
      <c r="B91" s="4" t="s">
        <v>17</v>
      </c>
      <c r="C91" s="4" t="s">
        <v>914</v>
      </c>
      <c r="D91" s="4" t="s">
        <v>769</v>
      </c>
      <c r="E91" s="12" t="n">
        <v>4</v>
      </c>
      <c r="F91" s="4" t="s">
        <v>1484</v>
      </c>
      <c r="G91" s="4" t="s">
        <v>1485</v>
      </c>
      <c r="H91" s="4"/>
      <c r="I91" s="4"/>
    </row>
    <row r="92" customFormat="false" ht="12.75" hidden="false" customHeight="true" outlineLevel="0" collapsed="false">
      <c r="A92" s="4" t="s">
        <v>918</v>
      </c>
      <c r="B92" s="4" t="s">
        <v>416</v>
      </c>
      <c r="C92" s="4" t="s">
        <v>921</v>
      </c>
      <c r="D92" s="4" t="s">
        <v>779</v>
      </c>
      <c r="E92" s="12" t="n">
        <v>1</v>
      </c>
      <c r="F92" s="4" t="s">
        <v>1486</v>
      </c>
      <c r="G92" s="4" t="s">
        <v>1443</v>
      </c>
      <c r="H92" s="4"/>
      <c r="I92" s="4"/>
    </row>
    <row r="93" customFormat="false" ht="25.5" hidden="false" customHeight="true" outlineLevel="0" collapsed="false">
      <c r="A93" s="4" t="s">
        <v>918</v>
      </c>
      <c r="B93" s="4" t="s">
        <v>416</v>
      </c>
      <c r="C93" s="4" t="s">
        <v>921</v>
      </c>
      <c r="D93" s="4" t="s">
        <v>779</v>
      </c>
      <c r="E93" s="12" t="n">
        <v>2</v>
      </c>
      <c r="F93" s="4" t="s">
        <v>1444</v>
      </c>
      <c r="G93" s="4" t="s">
        <v>1487</v>
      </c>
      <c r="H93" s="4"/>
      <c r="I93" s="4"/>
    </row>
    <row r="94" customFormat="false" ht="25.5" hidden="false" customHeight="true" outlineLevel="0" collapsed="false">
      <c r="A94" s="4" t="s">
        <v>918</v>
      </c>
      <c r="B94" s="4" t="s">
        <v>416</v>
      </c>
      <c r="C94" s="4" t="s">
        <v>921</v>
      </c>
      <c r="D94" s="4" t="s">
        <v>779</v>
      </c>
      <c r="E94" s="12" t="n">
        <v>3</v>
      </c>
      <c r="F94" s="4" t="s">
        <v>1488</v>
      </c>
      <c r="G94" s="4" t="s">
        <v>1489</v>
      </c>
      <c r="H94" s="4"/>
      <c r="I94" s="4"/>
    </row>
    <row r="95" customFormat="false" ht="12.75" hidden="false" customHeight="true" outlineLevel="0" collapsed="false">
      <c r="A95" s="4" t="s">
        <v>924</v>
      </c>
      <c r="B95" s="4" t="s">
        <v>17</v>
      </c>
      <c r="C95" s="4" t="s">
        <v>926</v>
      </c>
      <c r="D95" s="4" t="s">
        <v>769</v>
      </c>
      <c r="E95" s="12" t="n">
        <v>1</v>
      </c>
      <c r="F95" s="4" t="s">
        <v>1490</v>
      </c>
      <c r="G95" s="4" t="s">
        <v>1443</v>
      </c>
      <c r="H95" s="4"/>
      <c r="I95" s="4"/>
    </row>
    <row r="96" customFormat="false" ht="25.5" hidden="false" customHeight="true" outlineLevel="0" collapsed="false">
      <c r="A96" s="4" t="s">
        <v>924</v>
      </c>
      <c r="B96" s="4" t="s">
        <v>17</v>
      </c>
      <c r="C96" s="4" t="s">
        <v>926</v>
      </c>
      <c r="D96" s="4" t="s">
        <v>769</v>
      </c>
      <c r="E96" s="12" t="n">
        <v>2</v>
      </c>
      <c r="F96" s="4" t="s">
        <v>1491</v>
      </c>
      <c r="G96" s="4" t="s">
        <v>1492</v>
      </c>
      <c r="H96" s="4"/>
      <c r="I96" s="4"/>
    </row>
    <row r="97" customFormat="false" ht="25.5" hidden="false" customHeight="true" outlineLevel="0" collapsed="false">
      <c r="A97" s="4" t="s">
        <v>924</v>
      </c>
      <c r="B97" s="4" t="s">
        <v>17</v>
      </c>
      <c r="C97" s="4" t="s">
        <v>926</v>
      </c>
      <c r="D97" s="4" t="s">
        <v>769</v>
      </c>
      <c r="E97" s="12" t="n">
        <v>3</v>
      </c>
      <c r="F97" s="4" t="s">
        <v>1444</v>
      </c>
      <c r="G97" s="4" t="s">
        <v>1493</v>
      </c>
      <c r="H97" s="4"/>
      <c r="I97" s="4"/>
    </row>
    <row r="98" customFormat="false" ht="25.5" hidden="false" customHeight="true" outlineLevel="0" collapsed="false">
      <c r="A98" s="4" t="s">
        <v>924</v>
      </c>
      <c r="B98" s="4" t="s">
        <v>17</v>
      </c>
      <c r="C98" s="4" t="s">
        <v>926</v>
      </c>
      <c r="D98" s="4" t="s">
        <v>769</v>
      </c>
      <c r="E98" s="12" t="n">
        <v>4</v>
      </c>
      <c r="F98" s="4" t="s">
        <v>1494</v>
      </c>
      <c r="G98" s="4" t="s">
        <v>1495</v>
      </c>
      <c r="H98" s="4"/>
      <c r="I98" s="4"/>
    </row>
    <row r="99" customFormat="false" ht="12.75" hidden="false" customHeight="true" outlineLevel="0" collapsed="false">
      <c r="A99" s="4" t="s">
        <v>929</v>
      </c>
      <c r="B99" s="4" t="s">
        <v>17</v>
      </c>
      <c r="C99" s="4" t="s">
        <v>931</v>
      </c>
      <c r="D99" s="4" t="s">
        <v>779</v>
      </c>
      <c r="E99" s="12" t="n">
        <v>1</v>
      </c>
      <c r="F99" s="4" t="s">
        <v>1496</v>
      </c>
      <c r="G99" s="4" t="s">
        <v>1443</v>
      </c>
      <c r="H99" s="4"/>
      <c r="I99" s="4"/>
    </row>
    <row r="100" customFormat="false" ht="25.5" hidden="false" customHeight="true" outlineLevel="0" collapsed="false">
      <c r="A100" s="4" t="s">
        <v>929</v>
      </c>
      <c r="B100" s="4" t="s">
        <v>17</v>
      </c>
      <c r="C100" s="4" t="s">
        <v>931</v>
      </c>
      <c r="D100" s="4" t="s">
        <v>779</v>
      </c>
      <c r="E100" s="12" t="n">
        <v>2</v>
      </c>
      <c r="F100" s="4" t="s">
        <v>1444</v>
      </c>
      <c r="G100" s="4" t="s">
        <v>1497</v>
      </c>
      <c r="H100" s="4"/>
      <c r="I100" s="4"/>
    </row>
    <row r="101" customFormat="false" ht="12.75" hidden="false" customHeight="true" outlineLevel="0" collapsed="false">
      <c r="A101" s="4" t="s">
        <v>929</v>
      </c>
      <c r="B101" s="4" t="s">
        <v>17</v>
      </c>
      <c r="C101" s="4" t="s">
        <v>931</v>
      </c>
      <c r="D101" s="4" t="s">
        <v>779</v>
      </c>
      <c r="E101" s="12" t="n">
        <v>3</v>
      </c>
      <c r="F101" s="4" t="s">
        <v>1498</v>
      </c>
      <c r="G101" s="4" t="s">
        <v>1499</v>
      </c>
      <c r="H101" s="4"/>
      <c r="I101" s="4"/>
    </row>
    <row r="102" customFormat="false" ht="25.5" hidden="false" customHeight="true" outlineLevel="0" collapsed="false">
      <c r="A102" s="4" t="s">
        <v>929</v>
      </c>
      <c r="B102" s="4" t="s">
        <v>17</v>
      </c>
      <c r="C102" s="4" t="s">
        <v>931</v>
      </c>
      <c r="D102" s="4" t="s">
        <v>779</v>
      </c>
      <c r="E102" s="12" t="n">
        <v>4</v>
      </c>
      <c r="F102" s="4" t="s">
        <v>1500</v>
      </c>
      <c r="G102" s="4" t="s">
        <v>1501</v>
      </c>
      <c r="H102" s="4"/>
      <c r="I102" s="4"/>
    </row>
    <row r="103" customFormat="false" ht="12.75" hidden="false" customHeight="true" outlineLevel="0" collapsed="false">
      <c r="A103" s="4" t="s">
        <v>934</v>
      </c>
      <c r="B103" s="4" t="s">
        <v>17</v>
      </c>
      <c r="C103" s="4" t="s">
        <v>935</v>
      </c>
      <c r="D103" s="4" t="s">
        <v>779</v>
      </c>
      <c r="E103" s="12" t="n">
        <v>1</v>
      </c>
      <c r="F103" s="4" t="s">
        <v>1502</v>
      </c>
      <c r="G103" s="4" t="s">
        <v>1443</v>
      </c>
      <c r="H103" s="4"/>
      <c r="I103" s="4"/>
    </row>
    <row r="104" customFormat="false" ht="25.5" hidden="false" customHeight="true" outlineLevel="0" collapsed="false">
      <c r="A104" s="4" t="s">
        <v>934</v>
      </c>
      <c r="B104" s="4" t="s">
        <v>17</v>
      </c>
      <c r="C104" s="4" t="s">
        <v>935</v>
      </c>
      <c r="D104" s="4" t="s">
        <v>779</v>
      </c>
      <c r="E104" s="12" t="n">
        <v>2</v>
      </c>
      <c r="F104" s="4" t="s">
        <v>1444</v>
      </c>
      <c r="G104" s="4" t="s">
        <v>1503</v>
      </c>
      <c r="H104" s="4"/>
      <c r="I104" s="4"/>
    </row>
    <row r="105" customFormat="false" ht="12.75" hidden="false" customHeight="true" outlineLevel="0" collapsed="false">
      <c r="A105" s="4" t="s">
        <v>934</v>
      </c>
      <c r="B105" s="4" t="s">
        <v>17</v>
      </c>
      <c r="C105" s="4" t="s">
        <v>935</v>
      </c>
      <c r="D105" s="4" t="s">
        <v>779</v>
      </c>
      <c r="E105" s="12" t="n">
        <v>3</v>
      </c>
      <c r="F105" s="4" t="s">
        <v>1504</v>
      </c>
      <c r="G105" s="4" t="s">
        <v>1505</v>
      </c>
      <c r="H105" s="4"/>
      <c r="I105" s="4"/>
    </row>
    <row r="106" customFormat="false" ht="12.75" hidden="false" customHeight="true" outlineLevel="0" collapsed="false">
      <c r="A106" s="4" t="s">
        <v>939</v>
      </c>
      <c r="B106" s="4" t="s">
        <v>17</v>
      </c>
      <c r="C106" s="4" t="s">
        <v>941</v>
      </c>
      <c r="D106" s="4" t="s">
        <v>769</v>
      </c>
      <c r="E106" s="12" t="n">
        <v>1</v>
      </c>
      <c r="F106" s="4" t="s">
        <v>1506</v>
      </c>
      <c r="G106" s="4" t="s">
        <v>1443</v>
      </c>
      <c r="H106" s="4"/>
      <c r="I106" s="4"/>
    </row>
    <row r="107" customFormat="false" ht="12.75" hidden="false" customHeight="true" outlineLevel="0" collapsed="false">
      <c r="A107" s="4" t="s">
        <v>939</v>
      </c>
      <c r="B107" s="4" t="s">
        <v>17</v>
      </c>
      <c r="C107" s="4" t="s">
        <v>941</v>
      </c>
      <c r="D107" s="4" t="s">
        <v>769</v>
      </c>
      <c r="E107" s="12" t="n">
        <v>2</v>
      </c>
      <c r="F107" s="4" t="s">
        <v>1507</v>
      </c>
      <c r="G107" s="4" t="s">
        <v>1508</v>
      </c>
      <c r="H107" s="4"/>
      <c r="I107" s="4"/>
    </row>
    <row r="108" customFormat="false" ht="12.75" hidden="false" customHeight="true" outlineLevel="0" collapsed="false">
      <c r="A108" s="4" t="s">
        <v>939</v>
      </c>
      <c r="B108" s="4" t="s">
        <v>17</v>
      </c>
      <c r="C108" s="4" t="s">
        <v>941</v>
      </c>
      <c r="D108" s="4" t="s">
        <v>769</v>
      </c>
      <c r="E108" s="12" t="n">
        <v>3</v>
      </c>
      <c r="F108" s="4" t="s">
        <v>1509</v>
      </c>
      <c r="G108" s="4" t="s">
        <v>1510</v>
      </c>
      <c r="H108" s="4"/>
      <c r="I108" s="4"/>
    </row>
    <row r="109" customFormat="false" ht="12.75" hidden="false" customHeight="true" outlineLevel="0" collapsed="false">
      <c r="A109" s="4" t="s">
        <v>939</v>
      </c>
      <c r="B109" s="4" t="s">
        <v>17</v>
      </c>
      <c r="C109" s="4" t="s">
        <v>941</v>
      </c>
      <c r="D109" s="4" t="s">
        <v>769</v>
      </c>
      <c r="E109" s="12" t="n">
        <v>4</v>
      </c>
      <c r="F109" s="4" t="s">
        <v>1511</v>
      </c>
      <c r="G109" s="4" t="s">
        <v>1512</v>
      </c>
      <c r="H109" s="4"/>
      <c r="I109" s="4"/>
    </row>
    <row r="110" customFormat="false" ht="12.75" hidden="false" customHeight="true" outlineLevel="0" collapsed="false">
      <c r="A110" s="4" t="s">
        <v>944</v>
      </c>
      <c r="B110" s="4" t="s">
        <v>17</v>
      </c>
      <c r="C110" s="4" t="s">
        <v>947</v>
      </c>
      <c r="D110" s="4" t="s">
        <v>769</v>
      </c>
      <c r="E110" s="12" t="n">
        <v>1</v>
      </c>
      <c r="F110" s="4" t="s">
        <v>1513</v>
      </c>
      <c r="G110" s="4" t="s">
        <v>1443</v>
      </c>
      <c r="H110" s="4"/>
      <c r="I110" s="4"/>
    </row>
    <row r="111" customFormat="false" ht="25.5" hidden="false" customHeight="true" outlineLevel="0" collapsed="false">
      <c r="A111" s="4" t="s">
        <v>944</v>
      </c>
      <c r="B111" s="4" t="s">
        <v>17</v>
      </c>
      <c r="C111" s="4" t="s">
        <v>947</v>
      </c>
      <c r="D111" s="4" t="s">
        <v>769</v>
      </c>
      <c r="E111" s="12" t="n">
        <v>2</v>
      </c>
      <c r="F111" s="4" t="s">
        <v>1491</v>
      </c>
      <c r="G111" s="4" t="s">
        <v>1514</v>
      </c>
      <c r="H111" s="4"/>
      <c r="I111" s="4"/>
    </row>
    <row r="112" customFormat="false" ht="12.75" hidden="false" customHeight="true" outlineLevel="0" collapsed="false">
      <c r="A112" s="4" t="s">
        <v>944</v>
      </c>
      <c r="B112" s="4" t="s">
        <v>17</v>
      </c>
      <c r="C112" s="4" t="s">
        <v>947</v>
      </c>
      <c r="D112" s="4" t="s">
        <v>769</v>
      </c>
      <c r="E112" s="12" t="n">
        <v>3</v>
      </c>
      <c r="F112" s="4" t="s">
        <v>1515</v>
      </c>
      <c r="G112" s="4" t="s">
        <v>1516</v>
      </c>
      <c r="H112" s="4"/>
      <c r="I112" s="4"/>
    </row>
    <row r="113" customFormat="false" ht="12.75" hidden="false" customHeight="true" outlineLevel="0" collapsed="false">
      <c r="A113" s="4" t="s">
        <v>944</v>
      </c>
      <c r="B113" s="4" t="s">
        <v>17</v>
      </c>
      <c r="C113" s="4" t="s">
        <v>947</v>
      </c>
      <c r="D113" s="4" t="s">
        <v>769</v>
      </c>
      <c r="E113" s="12" t="n">
        <v>4</v>
      </c>
      <c r="F113" s="4" t="s">
        <v>1517</v>
      </c>
      <c r="G113" s="4" t="s">
        <v>1518</v>
      </c>
      <c r="H113" s="4"/>
      <c r="I113" s="4"/>
    </row>
    <row r="114" customFormat="false" ht="12.75" hidden="false" customHeight="true" outlineLevel="0" collapsed="false">
      <c r="A114" s="4" t="s">
        <v>944</v>
      </c>
      <c r="B114" s="4" t="s">
        <v>17</v>
      </c>
      <c r="C114" s="4" t="s">
        <v>947</v>
      </c>
      <c r="D114" s="4" t="s">
        <v>769</v>
      </c>
      <c r="E114" s="12" t="n">
        <v>5</v>
      </c>
      <c r="F114" s="4" t="s">
        <v>1519</v>
      </c>
      <c r="G114" s="4" t="s">
        <v>1520</v>
      </c>
      <c r="H114" s="4"/>
      <c r="I114" s="4"/>
    </row>
    <row r="115" customFormat="false" ht="12.75" hidden="false" customHeight="true" outlineLevel="0" collapsed="false">
      <c r="A115" s="4" t="s">
        <v>952</v>
      </c>
      <c r="B115" s="4" t="s">
        <v>17</v>
      </c>
      <c r="C115" s="4" t="s">
        <v>954</v>
      </c>
      <c r="D115" s="4" t="s">
        <v>779</v>
      </c>
      <c r="E115" s="12" t="n">
        <v>1</v>
      </c>
      <c r="F115" s="4" t="s">
        <v>1521</v>
      </c>
      <c r="G115" s="4" t="s">
        <v>1522</v>
      </c>
      <c r="H115" s="4"/>
      <c r="I115" s="4"/>
    </row>
    <row r="116" customFormat="false" ht="25.5" hidden="false" customHeight="true" outlineLevel="0" collapsed="false">
      <c r="A116" s="4" t="s">
        <v>952</v>
      </c>
      <c r="B116" s="4" t="s">
        <v>17</v>
      </c>
      <c r="C116" s="4" t="s">
        <v>954</v>
      </c>
      <c r="D116" s="4" t="s">
        <v>779</v>
      </c>
      <c r="E116" s="12" t="n">
        <v>2</v>
      </c>
      <c r="F116" s="4" t="s">
        <v>1523</v>
      </c>
      <c r="G116" s="4" t="s">
        <v>1524</v>
      </c>
      <c r="H116" s="4"/>
      <c r="I116" s="4"/>
    </row>
    <row r="117" customFormat="false" ht="25.5" hidden="false" customHeight="true" outlineLevel="0" collapsed="false">
      <c r="A117" s="4" t="s">
        <v>952</v>
      </c>
      <c r="B117" s="4" t="s">
        <v>17</v>
      </c>
      <c r="C117" s="4" t="s">
        <v>954</v>
      </c>
      <c r="D117" s="4" t="s">
        <v>779</v>
      </c>
      <c r="E117" s="12" t="n">
        <v>3</v>
      </c>
      <c r="F117" s="4" t="s">
        <v>1525</v>
      </c>
      <c r="G117" s="4" t="s">
        <v>1526</v>
      </c>
      <c r="H117" s="4"/>
      <c r="I117" s="4"/>
    </row>
    <row r="118" customFormat="false" ht="12.75" hidden="false" customHeight="true" outlineLevel="0" collapsed="false">
      <c r="A118" s="4" t="s">
        <v>952</v>
      </c>
      <c r="B118" s="4" t="s">
        <v>17</v>
      </c>
      <c r="C118" s="4" t="s">
        <v>954</v>
      </c>
      <c r="D118" s="4" t="s">
        <v>779</v>
      </c>
      <c r="E118" s="12" t="n">
        <v>4</v>
      </c>
      <c r="F118" s="4" t="s">
        <v>1498</v>
      </c>
      <c r="G118" s="4" t="s">
        <v>1527</v>
      </c>
      <c r="H118" s="4"/>
      <c r="I118" s="4"/>
    </row>
    <row r="119" customFormat="false" ht="12.75" hidden="false" customHeight="true" outlineLevel="0" collapsed="false">
      <c r="A119" s="4" t="s">
        <v>959</v>
      </c>
      <c r="B119" s="4" t="s">
        <v>17</v>
      </c>
      <c r="C119" s="4" t="s">
        <v>960</v>
      </c>
      <c r="D119" s="4" t="s">
        <v>779</v>
      </c>
      <c r="E119" s="12" t="n">
        <v>1</v>
      </c>
      <c r="F119" s="4" t="s">
        <v>1528</v>
      </c>
      <c r="G119" s="4" t="s">
        <v>1443</v>
      </c>
      <c r="H119" s="4"/>
      <c r="I119" s="4"/>
    </row>
    <row r="120" customFormat="false" ht="25.5" hidden="false" customHeight="true" outlineLevel="0" collapsed="false">
      <c r="A120" s="4" t="s">
        <v>959</v>
      </c>
      <c r="B120" s="4" t="s">
        <v>17</v>
      </c>
      <c r="C120" s="4" t="s">
        <v>960</v>
      </c>
      <c r="D120" s="4" t="s">
        <v>779</v>
      </c>
      <c r="E120" s="12" t="n">
        <v>2</v>
      </c>
      <c r="F120" s="4" t="s">
        <v>1491</v>
      </c>
      <c r="G120" s="4" t="s">
        <v>1529</v>
      </c>
      <c r="H120" s="4"/>
      <c r="I120" s="4"/>
    </row>
    <row r="121" customFormat="false" ht="12.75" hidden="false" customHeight="true" outlineLevel="0" collapsed="false">
      <c r="A121" s="4" t="s">
        <v>959</v>
      </c>
      <c r="B121" s="4" t="s">
        <v>17</v>
      </c>
      <c r="C121" s="4" t="s">
        <v>960</v>
      </c>
      <c r="D121" s="4" t="s">
        <v>779</v>
      </c>
      <c r="E121" s="12" t="n">
        <v>3</v>
      </c>
      <c r="F121" s="4" t="s">
        <v>1530</v>
      </c>
      <c r="G121" s="4" t="s">
        <v>1531</v>
      </c>
      <c r="H121" s="4"/>
      <c r="I121" s="4"/>
    </row>
    <row r="122" customFormat="false" ht="12.75" hidden="false" customHeight="true" outlineLevel="0" collapsed="false">
      <c r="A122" s="4" t="s">
        <v>959</v>
      </c>
      <c r="B122" s="4" t="s">
        <v>17</v>
      </c>
      <c r="C122" s="4" t="s">
        <v>960</v>
      </c>
      <c r="D122" s="4" t="s">
        <v>779</v>
      </c>
      <c r="E122" s="12" t="n">
        <v>4</v>
      </c>
      <c r="F122" s="4" t="s">
        <v>1444</v>
      </c>
      <c r="G122" s="4" t="s">
        <v>1532</v>
      </c>
      <c r="H122" s="4"/>
      <c r="I122" s="4"/>
    </row>
    <row r="123" customFormat="false" ht="12.75" hidden="false" customHeight="true" outlineLevel="0" collapsed="false">
      <c r="A123" s="4" t="s">
        <v>964</v>
      </c>
      <c r="B123" s="4" t="s">
        <v>346</v>
      </c>
      <c r="C123" s="4" t="s">
        <v>966</v>
      </c>
      <c r="D123" s="4" t="s">
        <v>779</v>
      </c>
      <c r="E123" s="12" t="n">
        <v>1</v>
      </c>
      <c r="F123" s="4" t="s">
        <v>1533</v>
      </c>
      <c r="G123" s="4" t="s">
        <v>1534</v>
      </c>
      <c r="H123" s="4"/>
      <c r="I123" s="4"/>
    </row>
    <row r="124" customFormat="false" ht="12.75" hidden="false" customHeight="true" outlineLevel="0" collapsed="false">
      <c r="A124" s="4" t="s">
        <v>964</v>
      </c>
      <c r="B124" s="4" t="s">
        <v>346</v>
      </c>
      <c r="C124" s="4" t="s">
        <v>966</v>
      </c>
      <c r="D124" s="4" t="s">
        <v>779</v>
      </c>
      <c r="E124" s="12" t="n">
        <v>2</v>
      </c>
      <c r="F124" s="4" t="s">
        <v>1535</v>
      </c>
      <c r="G124" s="4" t="s">
        <v>1536</v>
      </c>
      <c r="H124" s="4"/>
      <c r="I124" s="4"/>
    </row>
    <row r="125" customFormat="false" ht="25.5" hidden="false" customHeight="true" outlineLevel="0" collapsed="false">
      <c r="A125" s="4" t="s">
        <v>964</v>
      </c>
      <c r="B125" s="4" t="s">
        <v>346</v>
      </c>
      <c r="C125" s="4" t="s">
        <v>966</v>
      </c>
      <c r="D125" s="4" t="s">
        <v>779</v>
      </c>
      <c r="E125" s="12" t="n">
        <v>3</v>
      </c>
      <c r="F125" s="4" t="s">
        <v>1523</v>
      </c>
      <c r="G125" s="4" t="s">
        <v>1537</v>
      </c>
      <c r="H125" s="4"/>
      <c r="I125" s="4"/>
    </row>
    <row r="126" customFormat="false" ht="25.5" hidden="false" customHeight="true" outlineLevel="0" collapsed="false">
      <c r="A126" s="4" t="s">
        <v>964</v>
      </c>
      <c r="B126" s="4" t="s">
        <v>346</v>
      </c>
      <c r="C126" s="4" t="s">
        <v>966</v>
      </c>
      <c r="D126" s="4" t="s">
        <v>779</v>
      </c>
      <c r="E126" s="12" t="n">
        <v>4</v>
      </c>
      <c r="F126" s="4" t="s">
        <v>1538</v>
      </c>
      <c r="G126" s="4" t="s">
        <v>1539</v>
      </c>
      <c r="H126" s="4"/>
      <c r="I126" s="4"/>
    </row>
    <row r="127" customFormat="false" ht="12.75" hidden="false" customHeight="true" outlineLevel="0" collapsed="false">
      <c r="A127" s="4" t="s">
        <v>964</v>
      </c>
      <c r="B127" s="4" t="s">
        <v>346</v>
      </c>
      <c r="C127" s="4" t="s">
        <v>966</v>
      </c>
      <c r="D127" s="4" t="s">
        <v>779</v>
      </c>
      <c r="E127" s="12" t="n">
        <v>5</v>
      </c>
      <c r="F127" s="4" t="s">
        <v>1540</v>
      </c>
      <c r="G127" s="4" t="s">
        <v>1541</v>
      </c>
      <c r="H127" s="4"/>
      <c r="I127" s="4"/>
    </row>
    <row r="128" customFormat="false" ht="12.75" hidden="false" customHeight="true" outlineLevel="0" collapsed="false">
      <c r="A128" s="4" t="s">
        <v>971</v>
      </c>
      <c r="B128" s="4" t="s">
        <v>17</v>
      </c>
      <c r="C128" s="4" t="s">
        <v>973</v>
      </c>
      <c r="D128" s="4" t="s">
        <v>779</v>
      </c>
      <c r="E128" s="12" t="n">
        <v>1</v>
      </c>
      <c r="F128" s="4" t="s">
        <v>1542</v>
      </c>
      <c r="G128" s="4" t="s">
        <v>1443</v>
      </c>
      <c r="H128" s="4"/>
      <c r="I128" s="4"/>
    </row>
    <row r="129" customFormat="false" ht="25.5" hidden="false" customHeight="true" outlineLevel="0" collapsed="false">
      <c r="A129" s="4" t="s">
        <v>971</v>
      </c>
      <c r="B129" s="4" t="s">
        <v>17</v>
      </c>
      <c r="C129" s="4" t="s">
        <v>973</v>
      </c>
      <c r="D129" s="4" t="s">
        <v>779</v>
      </c>
      <c r="E129" s="12" t="n">
        <v>2</v>
      </c>
      <c r="F129" s="4" t="s">
        <v>1488</v>
      </c>
      <c r="G129" s="4" t="s">
        <v>1543</v>
      </c>
      <c r="H129" s="4"/>
      <c r="I129" s="4"/>
    </row>
    <row r="130" customFormat="false" ht="12.75" hidden="false" customHeight="true" outlineLevel="0" collapsed="false">
      <c r="A130" s="4" t="s">
        <v>971</v>
      </c>
      <c r="B130" s="4" t="s">
        <v>17</v>
      </c>
      <c r="C130" s="4" t="s">
        <v>973</v>
      </c>
      <c r="D130" s="4" t="s">
        <v>779</v>
      </c>
      <c r="E130" s="12" t="n">
        <v>3</v>
      </c>
      <c r="F130" s="4" t="s">
        <v>1544</v>
      </c>
      <c r="G130" s="4" t="s">
        <v>1545</v>
      </c>
      <c r="H130" s="4"/>
      <c r="I130" s="4"/>
    </row>
    <row r="131" customFormat="false" ht="12.75" hidden="false" customHeight="true" outlineLevel="0" collapsed="false">
      <c r="A131" s="4" t="s">
        <v>971</v>
      </c>
      <c r="B131" s="4" t="s">
        <v>17</v>
      </c>
      <c r="C131" s="4" t="s">
        <v>973</v>
      </c>
      <c r="D131" s="4" t="s">
        <v>779</v>
      </c>
      <c r="E131" s="12" t="n">
        <v>4</v>
      </c>
      <c r="F131" s="4" t="s">
        <v>1546</v>
      </c>
      <c r="G131" s="4" t="s">
        <v>1547</v>
      </c>
      <c r="H131" s="4"/>
      <c r="I131" s="4"/>
    </row>
    <row r="132" customFormat="false" ht="12.75" hidden="false" customHeight="true" outlineLevel="0" collapsed="false">
      <c r="A132" s="4" t="s">
        <v>971</v>
      </c>
      <c r="B132" s="4" t="s">
        <v>17</v>
      </c>
      <c r="C132" s="4" t="s">
        <v>973</v>
      </c>
      <c r="D132" s="4" t="s">
        <v>779</v>
      </c>
      <c r="E132" s="12" t="n">
        <v>5</v>
      </c>
      <c r="F132" s="4" t="s">
        <v>1548</v>
      </c>
      <c r="G132" s="4" t="s">
        <v>1549</v>
      </c>
      <c r="H132" s="4"/>
      <c r="I132" s="4"/>
    </row>
    <row r="133" customFormat="false" ht="12.75" hidden="false" customHeight="true" outlineLevel="0" collapsed="false">
      <c r="A133" s="4" t="s">
        <v>977</v>
      </c>
      <c r="B133" s="4" t="s">
        <v>17</v>
      </c>
      <c r="C133" s="4" t="s">
        <v>979</v>
      </c>
      <c r="D133" s="4" t="s">
        <v>779</v>
      </c>
      <c r="E133" s="12" t="n">
        <v>1</v>
      </c>
      <c r="F133" s="4" t="s">
        <v>1550</v>
      </c>
      <c r="G133" s="4" t="s">
        <v>1443</v>
      </c>
      <c r="H133" s="4"/>
      <c r="I133" s="4"/>
    </row>
    <row r="134" customFormat="false" ht="12.75" hidden="false" customHeight="true" outlineLevel="0" collapsed="false">
      <c r="A134" s="4" t="s">
        <v>977</v>
      </c>
      <c r="B134" s="4" t="s">
        <v>17</v>
      </c>
      <c r="C134" s="4" t="s">
        <v>979</v>
      </c>
      <c r="D134" s="4" t="s">
        <v>779</v>
      </c>
      <c r="E134" s="12" t="n">
        <v>2</v>
      </c>
      <c r="F134" s="4" t="s">
        <v>1551</v>
      </c>
      <c r="G134" s="4" t="s">
        <v>1552</v>
      </c>
      <c r="H134" s="4"/>
      <c r="I134" s="4"/>
    </row>
    <row r="135" customFormat="false" ht="25.5" hidden="false" customHeight="true" outlineLevel="0" collapsed="false">
      <c r="A135" s="4" t="s">
        <v>977</v>
      </c>
      <c r="B135" s="4" t="s">
        <v>17</v>
      </c>
      <c r="C135" s="4" t="s">
        <v>979</v>
      </c>
      <c r="D135" s="4" t="s">
        <v>779</v>
      </c>
      <c r="E135" s="12" t="n">
        <v>3</v>
      </c>
      <c r="F135" s="4" t="s">
        <v>1553</v>
      </c>
      <c r="G135" s="4" t="s">
        <v>1554</v>
      </c>
      <c r="H135" s="4"/>
      <c r="I135" s="4"/>
    </row>
    <row r="136" customFormat="false" ht="12.75" hidden="false" customHeight="true" outlineLevel="0" collapsed="false">
      <c r="A136" s="4" t="s">
        <v>977</v>
      </c>
      <c r="B136" s="4" t="s">
        <v>17</v>
      </c>
      <c r="C136" s="4" t="s">
        <v>979</v>
      </c>
      <c r="D136" s="4" t="s">
        <v>779</v>
      </c>
      <c r="E136" s="12" t="n">
        <v>4</v>
      </c>
      <c r="F136" s="4" t="s">
        <v>1555</v>
      </c>
      <c r="G136" s="4" t="s">
        <v>1556</v>
      </c>
      <c r="H136" s="4"/>
      <c r="I136" s="4"/>
    </row>
    <row r="137" customFormat="false" ht="12.75" hidden="false" customHeight="true" outlineLevel="0" collapsed="false">
      <c r="A137" s="4" t="s">
        <v>983</v>
      </c>
      <c r="B137" s="4" t="s">
        <v>17</v>
      </c>
      <c r="C137" s="4" t="s">
        <v>986</v>
      </c>
      <c r="D137" s="4" t="s">
        <v>769</v>
      </c>
      <c r="E137" s="12" t="n">
        <v>1</v>
      </c>
      <c r="F137" s="4" t="s">
        <v>1557</v>
      </c>
      <c r="G137" s="4" t="s">
        <v>1534</v>
      </c>
      <c r="H137" s="4"/>
      <c r="I137" s="4"/>
    </row>
    <row r="138" customFormat="false" ht="12.75" hidden="false" customHeight="true" outlineLevel="0" collapsed="false">
      <c r="A138" s="4" t="s">
        <v>983</v>
      </c>
      <c r="B138" s="4" t="s">
        <v>17</v>
      </c>
      <c r="C138" s="4" t="s">
        <v>986</v>
      </c>
      <c r="D138" s="4" t="s">
        <v>769</v>
      </c>
      <c r="E138" s="12" t="n">
        <v>2</v>
      </c>
      <c r="F138" s="4" t="s">
        <v>1558</v>
      </c>
      <c r="G138" s="4" t="s">
        <v>1559</v>
      </c>
      <c r="H138" s="4"/>
      <c r="I138" s="4"/>
    </row>
    <row r="139" customFormat="false" ht="25.5" hidden="false" customHeight="true" outlineLevel="0" collapsed="false">
      <c r="A139" s="4" t="s">
        <v>983</v>
      </c>
      <c r="B139" s="4" t="s">
        <v>17</v>
      </c>
      <c r="C139" s="4" t="s">
        <v>986</v>
      </c>
      <c r="D139" s="4" t="s">
        <v>769</v>
      </c>
      <c r="E139" s="12" t="n">
        <v>3</v>
      </c>
      <c r="F139" s="4" t="s">
        <v>1560</v>
      </c>
      <c r="G139" s="4" t="s">
        <v>1561</v>
      </c>
      <c r="H139" s="4"/>
      <c r="I139" s="4"/>
    </row>
    <row r="140" customFormat="false" ht="12.75" hidden="false" customHeight="true" outlineLevel="0" collapsed="false">
      <c r="A140" s="4" t="s">
        <v>990</v>
      </c>
      <c r="B140" s="4" t="s">
        <v>17</v>
      </c>
      <c r="C140" s="4" t="s">
        <v>992</v>
      </c>
      <c r="D140" s="4" t="s">
        <v>779</v>
      </c>
      <c r="E140" s="12" t="n">
        <v>1</v>
      </c>
      <c r="F140" s="4" t="s">
        <v>1562</v>
      </c>
      <c r="G140" s="4" t="s">
        <v>1337</v>
      </c>
      <c r="H140" s="4"/>
      <c r="I140" s="4"/>
    </row>
    <row r="141" customFormat="false" ht="12.75" hidden="false" customHeight="true" outlineLevel="0" collapsed="false">
      <c r="A141" s="4" t="s">
        <v>990</v>
      </c>
      <c r="B141" s="4" t="s">
        <v>17</v>
      </c>
      <c r="C141" s="4" t="s">
        <v>992</v>
      </c>
      <c r="D141" s="4" t="s">
        <v>779</v>
      </c>
      <c r="E141" s="12" t="n">
        <v>2</v>
      </c>
      <c r="F141" s="4" t="s">
        <v>1563</v>
      </c>
      <c r="G141" s="4" t="s">
        <v>1564</v>
      </c>
      <c r="H141" s="4"/>
      <c r="I141" s="4"/>
    </row>
    <row r="142" customFormat="false" ht="25.5" hidden="false" customHeight="true" outlineLevel="0" collapsed="false">
      <c r="A142" s="4" t="s">
        <v>990</v>
      </c>
      <c r="B142" s="4" t="s">
        <v>17</v>
      </c>
      <c r="C142" s="4" t="s">
        <v>992</v>
      </c>
      <c r="D142" s="4" t="s">
        <v>779</v>
      </c>
      <c r="E142" s="12" t="n">
        <v>3</v>
      </c>
      <c r="F142" s="4" t="s">
        <v>1565</v>
      </c>
      <c r="G142" s="4" t="s">
        <v>1566</v>
      </c>
      <c r="H142" s="4"/>
      <c r="I142" s="4"/>
    </row>
    <row r="143" customFormat="false" ht="12.75" hidden="false" customHeight="true" outlineLevel="0" collapsed="false">
      <c r="A143" s="4" t="s">
        <v>990</v>
      </c>
      <c r="B143" s="4" t="s">
        <v>17</v>
      </c>
      <c r="C143" s="4" t="s">
        <v>992</v>
      </c>
      <c r="D143" s="4" t="s">
        <v>779</v>
      </c>
      <c r="E143" s="12" t="n">
        <v>4</v>
      </c>
      <c r="F143" s="4" t="s">
        <v>1567</v>
      </c>
      <c r="G143" s="4" t="s">
        <v>1568</v>
      </c>
      <c r="H143" s="4"/>
      <c r="I143" s="4"/>
    </row>
    <row r="144" customFormat="false" ht="12.75" hidden="false" customHeight="true" outlineLevel="0" collapsed="false">
      <c r="A144" s="4" t="s">
        <v>997</v>
      </c>
      <c r="B144" s="4" t="s">
        <v>314</v>
      </c>
      <c r="C144" s="4" t="s">
        <v>1000</v>
      </c>
      <c r="D144" s="4" t="s">
        <v>769</v>
      </c>
      <c r="E144" s="12" t="n">
        <v>1</v>
      </c>
      <c r="F144" s="4" t="s">
        <v>1569</v>
      </c>
      <c r="G144" s="4" t="s">
        <v>1443</v>
      </c>
      <c r="H144" s="4"/>
      <c r="I144" s="4"/>
    </row>
    <row r="145" customFormat="false" ht="25.5" hidden="false" customHeight="true" outlineLevel="0" collapsed="false">
      <c r="A145" s="4" t="s">
        <v>997</v>
      </c>
      <c r="B145" s="4" t="s">
        <v>314</v>
      </c>
      <c r="C145" s="4" t="s">
        <v>1000</v>
      </c>
      <c r="D145" s="4" t="s">
        <v>769</v>
      </c>
      <c r="E145" s="12" t="n">
        <v>2</v>
      </c>
      <c r="F145" s="4" t="s">
        <v>1449</v>
      </c>
      <c r="G145" s="4" t="s">
        <v>1570</v>
      </c>
      <c r="H145" s="4"/>
      <c r="I145" s="4"/>
    </row>
    <row r="146" customFormat="false" ht="12.75" hidden="false" customHeight="true" outlineLevel="0" collapsed="false">
      <c r="A146" s="4" t="s">
        <v>997</v>
      </c>
      <c r="B146" s="4" t="s">
        <v>314</v>
      </c>
      <c r="C146" s="4" t="s">
        <v>1000</v>
      </c>
      <c r="D146" s="4" t="s">
        <v>769</v>
      </c>
      <c r="E146" s="12" t="n">
        <v>3</v>
      </c>
      <c r="F146" s="4" t="s">
        <v>1571</v>
      </c>
      <c r="G146" s="4" t="s">
        <v>1572</v>
      </c>
      <c r="H146" s="4"/>
      <c r="I146" s="4"/>
    </row>
    <row r="147" customFormat="false" ht="12.75" hidden="false" customHeight="true" outlineLevel="0" collapsed="false">
      <c r="A147" s="4" t="s">
        <v>997</v>
      </c>
      <c r="B147" s="4" t="s">
        <v>314</v>
      </c>
      <c r="C147" s="4" t="s">
        <v>1000</v>
      </c>
      <c r="D147" s="4" t="s">
        <v>769</v>
      </c>
      <c r="E147" s="12" t="n">
        <v>4</v>
      </c>
      <c r="F147" s="4" t="s">
        <v>1573</v>
      </c>
      <c r="G147" s="4" t="s">
        <v>1574</v>
      </c>
      <c r="H147" s="4"/>
      <c r="I147" s="4"/>
    </row>
    <row r="148" customFormat="false" ht="12.75" hidden="false" customHeight="true" outlineLevel="0" collapsed="false">
      <c r="A148" s="4" t="s">
        <v>1005</v>
      </c>
      <c r="B148" s="4" t="s">
        <v>314</v>
      </c>
      <c r="C148" s="4" t="s">
        <v>1006</v>
      </c>
      <c r="D148" s="4" t="s">
        <v>779</v>
      </c>
      <c r="E148" s="12" t="n">
        <v>1</v>
      </c>
      <c r="F148" s="4" t="s">
        <v>1575</v>
      </c>
      <c r="G148" s="4" t="s">
        <v>1443</v>
      </c>
      <c r="H148" s="4"/>
      <c r="I148" s="4"/>
    </row>
    <row r="149" customFormat="false" ht="25.5" hidden="false" customHeight="true" outlineLevel="0" collapsed="false">
      <c r="A149" s="4" t="s">
        <v>1005</v>
      </c>
      <c r="B149" s="4" t="s">
        <v>314</v>
      </c>
      <c r="C149" s="4" t="s">
        <v>1006</v>
      </c>
      <c r="D149" s="4" t="s">
        <v>779</v>
      </c>
      <c r="E149" s="12" t="n">
        <v>2</v>
      </c>
      <c r="F149" s="4" t="s">
        <v>1488</v>
      </c>
      <c r="G149" s="4" t="s">
        <v>1576</v>
      </c>
      <c r="H149" s="4"/>
      <c r="I149" s="4"/>
    </row>
    <row r="150" customFormat="false" ht="25.5" hidden="false" customHeight="true" outlineLevel="0" collapsed="false">
      <c r="A150" s="4" t="s">
        <v>1005</v>
      </c>
      <c r="B150" s="4" t="s">
        <v>314</v>
      </c>
      <c r="C150" s="4" t="s">
        <v>1006</v>
      </c>
      <c r="D150" s="4" t="s">
        <v>779</v>
      </c>
      <c r="E150" s="12" t="n">
        <v>3</v>
      </c>
      <c r="F150" s="4" t="s">
        <v>1577</v>
      </c>
      <c r="G150" s="4" t="s">
        <v>1578</v>
      </c>
      <c r="H150" s="4"/>
      <c r="I150" s="4"/>
    </row>
    <row r="151" customFormat="false" ht="12.75" hidden="false" customHeight="true" outlineLevel="0" collapsed="false">
      <c r="A151" s="4" t="s">
        <v>1005</v>
      </c>
      <c r="B151" s="4" t="s">
        <v>314</v>
      </c>
      <c r="C151" s="4" t="s">
        <v>1006</v>
      </c>
      <c r="D151" s="4" t="s">
        <v>779</v>
      </c>
      <c r="E151" s="12" t="n">
        <v>4</v>
      </c>
      <c r="F151" s="4" t="s">
        <v>1579</v>
      </c>
      <c r="G151" s="4" t="s">
        <v>1580</v>
      </c>
      <c r="H151" s="4"/>
      <c r="I151" s="4"/>
    </row>
    <row r="152" customFormat="false" ht="12.75" hidden="false" customHeight="true" outlineLevel="0" collapsed="false">
      <c r="A152" s="4" t="s">
        <v>1012</v>
      </c>
      <c r="B152" s="4" t="s">
        <v>314</v>
      </c>
      <c r="C152" s="4" t="s">
        <v>1013</v>
      </c>
      <c r="D152" s="4" t="s">
        <v>769</v>
      </c>
      <c r="E152" s="12" t="n">
        <v>1</v>
      </c>
      <c r="F152" s="4" t="s">
        <v>1581</v>
      </c>
      <c r="G152" s="4" t="s">
        <v>1443</v>
      </c>
      <c r="H152" s="4"/>
      <c r="I152" s="4"/>
    </row>
    <row r="153" customFormat="false" ht="12.75" hidden="false" customHeight="true" outlineLevel="0" collapsed="false">
      <c r="A153" s="4" t="s">
        <v>1012</v>
      </c>
      <c r="B153" s="4" t="s">
        <v>314</v>
      </c>
      <c r="C153" s="4" t="s">
        <v>1013</v>
      </c>
      <c r="D153" s="4" t="s">
        <v>769</v>
      </c>
      <c r="E153" s="12" t="n">
        <v>2</v>
      </c>
      <c r="F153" s="4" t="s">
        <v>1444</v>
      </c>
      <c r="G153" s="4" t="s">
        <v>1582</v>
      </c>
      <c r="H153" s="4"/>
      <c r="I153" s="4"/>
    </row>
    <row r="154" customFormat="false" ht="12.75" hidden="false" customHeight="true" outlineLevel="0" collapsed="false">
      <c r="A154" s="4" t="s">
        <v>1012</v>
      </c>
      <c r="B154" s="4" t="s">
        <v>314</v>
      </c>
      <c r="C154" s="4" t="s">
        <v>1013</v>
      </c>
      <c r="D154" s="4" t="s">
        <v>769</v>
      </c>
      <c r="E154" s="12" t="n">
        <v>3</v>
      </c>
      <c r="F154" s="4" t="s">
        <v>1583</v>
      </c>
      <c r="G154" s="4" t="s">
        <v>1584</v>
      </c>
      <c r="H154" s="4"/>
      <c r="I154" s="4"/>
    </row>
    <row r="155" customFormat="false" ht="12.75" hidden="false" customHeight="true" outlineLevel="0" collapsed="false">
      <c r="A155" s="4" t="s">
        <v>1012</v>
      </c>
      <c r="B155" s="4" t="s">
        <v>314</v>
      </c>
      <c r="C155" s="4" t="s">
        <v>1013</v>
      </c>
      <c r="D155" s="4" t="s">
        <v>769</v>
      </c>
      <c r="E155" s="12" t="n">
        <v>4</v>
      </c>
      <c r="F155" s="4" t="s">
        <v>1585</v>
      </c>
      <c r="G155" s="4" t="s">
        <v>1586</v>
      </c>
      <c r="H155" s="4"/>
      <c r="I155" s="4"/>
    </row>
    <row r="156" customFormat="false" ht="12.75" hidden="false" customHeight="true" outlineLevel="0" collapsed="false">
      <c r="A156" s="4" t="s">
        <v>1018</v>
      </c>
      <c r="B156" s="4" t="s">
        <v>253</v>
      </c>
      <c r="C156" s="4" t="s">
        <v>1021</v>
      </c>
      <c r="D156" s="4" t="s">
        <v>779</v>
      </c>
      <c r="E156" s="12" t="n">
        <v>1</v>
      </c>
      <c r="F156" s="4" t="s">
        <v>1461</v>
      </c>
      <c r="G156" s="4" t="s">
        <v>1587</v>
      </c>
      <c r="H156" s="4"/>
      <c r="I156" s="4"/>
    </row>
    <row r="157" customFormat="false" ht="25.5" hidden="false" customHeight="true" outlineLevel="0" collapsed="false">
      <c r="A157" s="4" t="s">
        <v>1018</v>
      </c>
      <c r="B157" s="4" t="s">
        <v>253</v>
      </c>
      <c r="C157" s="4" t="s">
        <v>1021</v>
      </c>
      <c r="D157" s="4" t="s">
        <v>779</v>
      </c>
      <c r="E157" s="12" t="n">
        <v>2</v>
      </c>
      <c r="F157" s="4" t="s">
        <v>1588</v>
      </c>
      <c r="G157" s="4" t="s">
        <v>1589</v>
      </c>
      <c r="H157" s="4"/>
      <c r="I157" s="4"/>
    </row>
    <row r="158" customFormat="false" ht="12.75" hidden="false" customHeight="true" outlineLevel="0" collapsed="false">
      <c r="A158" s="4" t="s">
        <v>1018</v>
      </c>
      <c r="B158" s="4" t="s">
        <v>253</v>
      </c>
      <c r="C158" s="4" t="s">
        <v>1021</v>
      </c>
      <c r="D158" s="4" t="s">
        <v>779</v>
      </c>
      <c r="E158" s="12" t="n">
        <v>3</v>
      </c>
      <c r="F158" s="4" t="s">
        <v>1590</v>
      </c>
      <c r="G158" s="4" t="s">
        <v>1591</v>
      </c>
      <c r="H158" s="4"/>
      <c r="I158" s="4"/>
    </row>
    <row r="159" customFormat="false" ht="12.75" hidden="false" customHeight="true" outlineLevel="0" collapsed="false">
      <c r="A159" s="4" t="s">
        <v>1018</v>
      </c>
      <c r="B159" s="4" t="s">
        <v>253</v>
      </c>
      <c r="C159" s="4" t="s">
        <v>1021</v>
      </c>
      <c r="D159" s="4" t="s">
        <v>779</v>
      </c>
      <c r="E159" s="12" t="n">
        <v>4</v>
      </c>
      <c r="F159" s="4" t="s">
        <v>1592</v>
      </c>
      <c r="G159" s="4" t="s">
        <v>1593</v>
      </c>
      <c r="H159" s="4"/>
      <c r="I159" s="4"/>
    </row>
    <row r="160" customFormat="false" ht="12.75" hidden="false" customHeight="true" outlineLevel="0" collapsed="false">
      <c r="A160" s="4" t="s">
        <v>1018</v>
      </c>
      <c r="B160" s="4" t="s">
        <v>253</v>
      </c>
      <c r="C160" s="4" t="s">
        <v>1021</v>
      </c>
      <c r="D160" s="4" t="s">
        <v>779</v>
      </c>
      <c r="E160" s="12" t="n">
        <v>5</v>
      </c>
      <c r="F160" s="4" t="s">
        <v>1594</v>
      </c>
      <c r="G160" s="4" t="s">
        <v>1595</v>
      </c>
      <c r="H160" s="4"/>
      <c r="I160" s="4"/>
    </row>
    <row r="161" customFormat="false" ht="12.75" hidden="false" customHeight="true" outlineLevel="0" collapsed="false">
      <c r="A161" s="4" t="s">
        <v>1025</v>
      </c>
      <c r="B161" s="4" t="s">
        <v>253</v>
      </c>
      <c r="C161" s="4" t="s">
        <v>1028</v>
      </c>
      <c r="D161" s="4" t="s">
        <v>779</v>
      </c>
      <c r="E161" s="12" t="n">
        <v>1</v>
      </c>
      <c r="F161" s="4" t="s">
        <v>1596</v>
      </c>
      <c r="G161" s="4" t="s">
        <v>1443</v>
      </c>
      <c r="H161" s="4"/>
      <c r="I161" s="4"/>
    </row>
    <row r="162" customFormat="false" ht="12.75" hidden="false" customHeight="true" outlineLevel="0" collapsed="false">
      <c r="A162" s="4" t="s">
        <v>1025</v>
      </c>
      <c r="B162" s="4" t="s">
        <v>253</v>
      </c>
      <c r="C162" s="4" t="s">
        <v>1028</v>
      </c>
      <c r="D162" s="4" t="s">
        <v>779</v>
      </c>
      <c r="E162" s="12" t="n">
        <v>2</v>
      </c>
      <c r="F162" s="4" t="s">
        <v>1444</v>
      </c>
      <c r="G162" s="4" t="s">
        <v>1597</v>
      </c>
      <c r="H162" s="4"/>
      <c r="I162" s="4"/>
    </row>
    <row r="163" customFormat="false" ht="12.75" hidden="false" customHeight="true" outlineLevel="0" collapsed="false">
      <c r="A163" s="4" t="s">
        <v>1025</v>
      </c>
      <c r="B163" s="4" t="s">
        <v>253</v>
      </c>
      <c r="C163" s="4" t="s">
        <v>1028</v>
      </c>
      <c r="D163" s="4" t="s">
        <v>779</v>
      </c>
      <c r="E163" s="12" t="n">
        <v>3</v>
      </c>
      <c r="F163" s="4" t="s">
        <v>1598</v>
      </c>
      <c r="G163" s="4" t="s">
        <v>1599</v>
      </c>
      <c r="H163" s="4"/>
      <c r="I163" s="4"/>
    </row>
    <row r="164" customFormat="false" ht="25.5" hidden="false" customHeight="true" outlineLevel="0" collapsed="false">
      <c r="A164" s="4" t="s">
        <v>1025</v>
      </c>
      <c r="B164" s="4" t="s">
        <v>253</v>
      </c>
      <c r="C164" s="4" t="s">
        <v>1028</v>
      </c>
      <c r="D164" s="4" t="s">
        <v>779</v>
      </c>
      <c r="E164" s="12" t="n">
        <v>4</v>
      </c>
      <c r="F164" s="4" t="s">
        <v>1600</v>
      </c>
      <c r="G164" s="4" t="s">
        <v>1601</v>
      </c>
      <c r="H164" s="4"/>
      <c r="I164" s="4"/>
    </row>
    <row r="165" customFormat="false" ht="12.75" hidden="false" customHeight="true" outlineLevel="0" collapsed="false">
      <c r="A165" s="4" t="s">
        <v>1033</v>
      </c>
      <c r="B165" s="4" t="s">
        <v>401</v>
      </c>
      <c r="C165" s="4" t="s">
        <v>1035</v>
      </c>
      <c r="D165" s="4" t="s">
        <v>779</v>
      </c>
      <c r="E165" s="12" t="n">
        <v>1</v>
      </c>
      <c r="F165" s="4" t="s">
        <v>1602</v>
      </c>
      <c r="G165" s="4" t="s">
        <v>1443</v>
      </c>
      <c r="H165" s="4"/>
      <c r="I165" s="4"/>
    </row>
    <row r="166" customFormat="false" ht="12.75" hidden="false" customHeight="true" outlineLevel="0" collapsed="false">
      <c r="A166" s="4" t="s">
        <v>1033</v>
      </c>
      <c r="B166" s="4" t="s">
        <v>401</v>
      </c>
      <c r="C166" s="4" t="s">
        <v>1035</v>
      </c>
      <c r="D166" s="4" t="s">
        <v>779</v>
      </c>
      <c r="E166" s="12" t="n">
        <v>2</v>
      </c>
      <c r="F166" s="4" t="s">
        <v>1449</v>
      </c>
      <c r="G166" s="4" t="s">
        <v>1603</v>
      </c>
      <c r="H166" s="4"/>
      <c r="I166" s="4"/>
    </row>
    <row r="167" customFormat="false" ht="12.75" hidden="false" customHeight="true" outlineLevel="0" collapsed="false">
      <c r="A167" s="4" t="s">
        <v>1033</v>
      </c>
      <c r="B167" s="4" t="s">
        <v>401</v>
      </c>
      <c r="C167" s="4" t="s">
        <v>1035</v>
      </c>
      <c r="D167" s="4" t="s">
        <v>779</v>
      </c>
      <c r="E167" s="12" t="n">
        <v>3</v>
      </c>
      <c r="F167" s="4" t="s">
        <v>1604</v>
      </c>
      <c r="G167" s="4" t="s">
        <v>1605</v>
      </c>
      <c r="H167" s="4"/>
      <c r="I167" s="4"/>
    </row>
    <row r="168" customFormat="false" ht="12.75" hidden="false" customHeight="true" outlineLevel="0" collapsed="false">
      <c r="A168" s="4" t="s">
        <v>1033</v>
      </c>
      <c r="B168" s="4" t="s">
        <v>401</v>
      </c>
      <c r="C168" s="4" t="s">
        <v>1035</v>
      </c>
      <c r="D168" s="4" t="s">
        <v>779</v>
      </c>
      <c r="E168" s="12" t="n">
        <v>4</v>
      </c>
      <c r="F168" s="4" t="s">
        <v>1606</v>
      </c>
      <c r="G168" s="4" t="s">
        <v>1607</v>
      </c>
      <c r="H168" s="4"/>
      <c r="I168" s="4"/>
    </row>
    <row r="169" customFormat="false" ht="12.75" hidden="false" customHeight="true" outlineLevel="0" collapsed="false">
      <c r="A169" s="4" t="s">
        <v>1039</v>
      </c>
      <c r="B169" s="4" t="s">
        <v>253</v>
      </c>
      <c r="C169" s="4" t="s">
        <v>1042</v>
      </c>
      <c r="D169" s="4" t="s">
        <v>779</v>
      </c>
      <c r="E169" s="12" t="n">
        <v>1</v>
      </c>
      <c r="F169" s="4" t="s">
        <v>1608</v>
      </c>
      <c r="G169" s="4" t="s">
        <v>1443</v>
      </c>
      <c r="H169" s="4"/>
      <c r="I169" s="4"/>
    </row>
    <row r="170" customFormat="false" ht="12.75" hidden="false" customHeight="true" outlineLevel="0" collapsed="false">
      <c r="A170" s="4" t="s">
        <v>1039</v>
      </c>
      <c r="B170" s="4" t="s">
        <v>253</v>
      </c>
      <c r="C170" s="4" t="s">
        <v>1042</v>
      </c>
      <c r="D170" s="4" t="s">
        <v>779</v>
      </c>
      <c r="E170" s="12" t="n">
        <v>2</v>
      </c>
      <c r="F170" s="4" t="s">
        <v>1609</v>
      </c>
      <c r="G170" s="4" t="s">
        <v>1610</v>
      </c>
      <c r="H170" s="4"/>
      <c r="I170" s="4"/>
    </row>
    <row r="171" customFormat="false" ht="12.75" hidden="false" customHeight="true" outlineLevel="0" collapsed="false">
      <c r="A171" s="4" t="s">
        <v>1039</v>
      </c>
      <c r="B171" s="4" t="s">
        <v>253</v>
      </c>
      <c r="C171" s="4" t="s">
        <v>1042</v>
      </c>
      <c r="D171" s="4" t="s">
        <v>779</v>
      </c>
      <c r="E171" s="12" t="n">
        <v>3</v>
      </c>
      <c r="F171" s="4" t="s">
        <v>1611</v>
      </c>
      <c r="G171" s="4" t="s">
        <v>1612</v>
      </c>
      <c r="H171" s="4"/>
      <c r="I171" s="4"/>
    </row>
    <row r="172" customFormat="false" ht="12.75" hidden="false" customHeight="true" outlineLevel="0" collapsed="false">
      <c r="A172" s="4" t="s">
        <v>1039</v>
      </c>
      <c r="B172" s="4" t="s">
        <v>253</v>
      </c>
      <c r="C172" s="4" t="s">
        <v>1042</v>
      </c>
      <c r="D172" s="4" t="s">
        <v>779</v>
      </c>
      <c r="E172" s="12" t="n">
        <v>4</v>
      </c>
      <c r="F172" s="4" t="s">
        <v>1613</v>
      </c>
      <c r="G172" s="4" t="s">
        <v>1614</v>
      </c>
      <c r="H172" s="4"/>
      <c r="I172" s="4"/>
    </row>
    <row r="173" customFormat="false" ht="12.75" hidden="false" customHeight="true" outlineLevel="0" collapsed="false">
      <c r="A173" s="4" t="s">
        <v>1039</v>
      </c>
      <c r="B173" s="4" t="s">
        <v>253</v>
      </c>
      <c r="C173" s="4" t="s">
        <v>1042</v>
      </c>
      <c r="D173" s="4" t="s">
        <v>779</v>
      </c>
      <c r="E173" s="12" t="n">
        <v>5</v>
      </c>
      <c r="F173" s="4" t="s">
        <v>1615</v>
      </c>
      <c r="G173" s="4" t="s">
        <v>1616</v>
      </c>
      <c r="H173" s="4"/>
      <c r="I173" s="4"/>
    </row>
    <row r="174" customFormat="false" ht="12.75" hidden="false" customHeight="true" outlineLevel="0" collapsed="false">
      <c r="A174" s="4" t="s">
        <v>1046</v>
      </c>
      <c r="B174" s="4" t="s">
        <v>416</v>
      </c>
      <c r="C174" s="4" t="s">
        <v>1049</v>
      </c>
      <c r="D174" s="4" t="s">
        <v>769</v>
      </c>
      <c r="E174" s="12" t="n">
        <v>1</v>
      </c>
      <c r="F174" s="4" t="s">
        <v>1617</v>
      </c>
      <c r="G174" s="4" t="s">
        <v>1443</v>
      </c>
      <c r="H174" s="4"/>
      <c r="I174" s="4"/>
    </row>
    <row r="175" customFormat="false" ht="12.75" hidden="false" customHeight="true" outlineLevel="0" collapsed="false">
      <c r="A175" s="4" t="s">
        <v>1046</v>
      </c>
      <c r="B175" s="4" t="s">
        <v>416</v>
      </c>
      <c r="C175" s="4" t="s">
        <v>1049</v>
      </c>
      <c r="D175" s="4" t="s">
        <v>769</v>
      </c>
      <c r="E175" s="12" t="n">
        <v>2</v>
      </c>
      <c r="F175" s="4" t="s">
        <v>1618</v>
      </c>
      <c r="G175" s="4" t="s">
        <v>1619</v>
      </c>
      <c r="H175" s="4"/>
      <c r="I175" s="4"/>
    </row>
    <row r="176" customFormat="false" ht="25.5" hidden="false" customHeight="true" outlineLevel="0" collapsed="false">
      <c r="A176" s="4" t="s">
        <v>1046</v>
      </c>
      <c r="B176" s="4" t="s">
        <v>416</v>
      </c>
      <c r="C176" s="4" t="s">
        <v>1049</v>
      </c>
      <c r="D176" s="4" t="s">
        <v>769</v>
      </c>
      <c r="E176" s="12" t="n">
        <v>3</v>
      </c>
      <c r="F176" s="4" t="s">
        <v>1620</v>
      </c>
      <c r="G176" s="4" t="s">
        <v>1621</v>
      </c>
      <c r="H176" s="4"/>
      <c r="I176" s="4"/>
    </row>
    <row r="177" customFormat="false" ht="12.75" hidden="false" customHeight="true" outlineLevel="0" collapsed="false">
      <c r="A177" s="4" t="s">
        <v>1046</v>
      </c>
      <c r="B177" s="4" t="s">
        <v>416</v>
      </c>
      <c r="C177" s="4" t="s">
        <v>1049</v>
      </c>
      <c r="D177" s="4" t="s">
        <v>769</v>
      </c>
      <c r="E177" s="12" t="n">
        <v>4</v>
      </c>
      <c r="F177" s="4" t="s">
        <v>1622</v>
      </c>
      <c r="G177" s="4" t="s">
        <v>1623</v>
      </c>
      <c r="H177" s="4"/>
      <c r="I177" s="4"/>
    </row>
    <row r="178" customFormat="false" ht="25.5" hidden="false" customHeight="true" outlineLevel="0" collapsed="false">
      <c r="A178" s="4" t="s">
        <v>1054</v>
      </c>
      <c r="B178" s="4" t="s">
        <v>17</v>
      </c>
      <c r="C178" s="4" t="s">
        <v>1056</v>
      </c>
      <c r="D178" s="4" t="s">
        <v>779</v>
      </c>
      <c r="E178" s="12" t="n">
        <v>1</v>
      </c>
      <c r="F178" s="4" t="s">
        <v>1624</v>
      </c>
      <c r="G178" s="4" t="s">
        <v>1443</v>
      </c>
      <c r="H178" s="4"/>
      <c r="I178" s="4"/>
    </row>
    <row r="179" customFormat="false" ht="12.75" hidden="false" customHeight="true" outlineLevel="0" collapsed="false">
      <c r="A179" s="4" t="s">
        <v>1054</v>
      </c>
      <c r="B179" s="4" t="s">
        <v>17</v>
      </c>
      <c r="C179" s="4" t="s">
        <v>1056</v>
      </c>
      <c r="D179" s="4" t="s">
        <v>779</v>
      </c>
      <c r="E179" s="12" t="n">
        <v>2</v>
      </c>
      <c r="F179" s="4" t="s">
        <v>1625</v>
      </c>
      <c r="G179" s="4" t="s">
        <v>1626</v>
      </c>
      <c r="H179" s="4"/>
      <c r="I179" s="4"/>
    </row>
    <row r="180" customFormat="false" ht="12.75" hidden="false" customHeight="true" outlineLevel="0" collapsed="false">
      <c r="A180" s="4" t="s">
        <v>1054</v>
      </c>
      <c r="B180" s="4" t="s">
        <v>17</v>
      </c>
      <c r="C180" s="4" t="s">
        <v>1056</v>
      </c>
      <c r="D180" s="4" t="s">
        <v>779</v>
      </c>
      <c r="E180" s="12" t="n">
        <v>3</v>
      </c>
      <c r="F180" s="4" t="s">
        <v>1627</v>
      </c>
      <c r="G180" s="4" t="s">
        <v>1628</v>
      </c>
      <c r="H180" s="4"/>
      <c r="I180" s="4"/>
    </row>
    <row r="181" customFormat="false" ht="25.5" hidden="false" customHeight="true" outlineLevel="0" collapsed="false">
      <c r="A181" s="4" t="s">
        <v>1054</v>
      </c>
      <c r="B181" s="4" t="s">
        <v>17</v>
      </c>
      <c r="C181" s="4" t="s">
        <v>1056</v>
      </c>
      <c r="D181" s="4" t="s">
        <v>779</v>
      </c>
      <c r="E181" s="12" t="n">
        <v>4</v>
      </c>
      <c r="F181" s="4" t="s">
        <v>1629</v>
      </c>
      <c r="G181" s="4" t="s">
        <v>1630</v>
      </c>
      <c r="H181" s="4"/>
      <c r="I181" s="4"/>
    </row>
    <row r="182" customFormat="false" ht="25.5" hidden="false" customHeight="true" outlineLevel="0" collapsed="false">
      <c r="A182" s="4" t="s">
        <v>1054</v>
      </c>
      <c r="B182" s="4" t="s">
        <v>17</v>
      </c>
      <c r="C182" s="4" t="s">
        <v>1056</v>
      </c>
      <c r="D182" s="4" t="s">
        <v>779</v>
      </c>
      <c r="E182" s="12" t="n">
        <v>5</v>
      </c>
      <c r="F182" s="4" t="s">
        <v>1631</v>
      </c>
      <c r="G182" s="4" t="s">
        <v>1632</v>
      </c>
      <c r="H182" s="4"/>
      <c r="I182" s="4"/>
    </row>
    <row r="183" customFormat="false" ht="12.75" hidden="false" customHeight="true" outlineLevel="0" collapsed="false">
      <c r="A183" s="4" t="s">
        <v>1060</v>
      </c>
      <c r="B183" s="4" t="s">
        <v>17</v>
      </c>
      <c r="C183" s="4" t="s">
        <v>1061</v>
      </c>
      <c r="D183" s="4" t="s">
        <v>779</v>
      </c>
      <c r="E183" s="12" t="n">
        <v>1</v>
      </c>
      <c r="F183" s="4" t="s">
        <v>1633</v>
      </c>
      <c r="G183" s="4" t="s">
        <v>1443</v>
      </c>
      <c r="H183" s="4"/>
      <c r="I183" s="4"/>
    </row>
    <row r="184" customFormat="false" ht="25.5" hidden="false" customHeight="true" outlineLevel="0" collapsed="false">
      <c r="A184" s="4" t="s">
        <v>1060</v>
      </c>
      <c r="B184" s="4" t="s">
        <v>17</v>
      </c>
      <c r="C184" s="4" t="s">
        <v>1061</v>
      </c>
      <c r="D184" s="4" t="s">
        <v>779</v>
      </c>
      <c r="E184" s="12" t="n">
        <v>2</v>
      </c>
      <c r="F184" s="4" t="s">
        <v>1634</v>
      </c>
      <c r="G184" s="4" t="s">
        <v>1635</v>
      </c>
      <c r="H184" s="4"/>
      <c r="I184" s="4"/>
    </row>
    <row r="185" customFormat="false" ht="12.75" hidden="false" customHeight="true" outlineLevel="0" collapsed="false">
      <c r="A185" s="4" t="s">
        <v>1060</v>
      </c>
      <c r="B185" s="4" t="s">
        <v>17</v>
      </c>
      <c r="C185" s="4" t="s">
        <v>1061</v>
      </c>
      <c r="D185" s="4" t="s">
        <v>779</v>
      </c>
      <c r="E185" s="12" t="n">
        <v>3</v>
      </c>
      <c r="F185" s="4" t="s">
        <v>1636</v>
      </c>
      <c r="G185" s="4" t="s">
        <v>1637</v>
      </c>
      <c r="H185" s="4"/>
      <c r="I185" s="4"/>
    </row>
    <row r="186" customFormat="false" ht="25.5" hidden="false" customHeight="true" outlineLevel="0" collapsed="false">
      <c r="A186" s="4" t="s">
        <v>1060</v>
      </c>
      <c r="B186" s="4" t="s">
        <v>17</v>
      </c>
      <c r="C186" s="4" t="s">
        <v>1061</v>
      </c>
      <c r="D186" s="4" t="s">
        <v>779</v>
      </c>
      <c r="E186" s="12" t="n">
        <v>4</v>
      </c>
      <c r="F186" s="4" t="s">
        <v>1638</v>
      </c>
      <c r="G186" s="4" t="s">
        <v>1639</v>
      </c>
      <c r="H186" s="4"/>
      <c r="I186" s="4"/>
    </row>
    <row r="187" customFormat="false" ht="12.75" hidden="false" customHeight="true" outlineLevel="0" collapsed="false">
      <c r="A187" s="4" t="s">
        <v>1066</v>
      </c>
      <c r="B187" s="4" t="s">
        <v>416</v>
      </c>
      <c r="C187" s="4" t="s">
        <v>1068</v>
      </c>
      <c r="D187" s="4" t="s">
        <v>779</v>
      </c>
      <c r="E187" s="12" t="n">
        <v>1</v>
      </c>
      <c r="F187" s="4" t="s">
        <v>1640</v>
      </c>
      <c r="G187" s="4" t="s">
        <v>1641</v>
      </c>
      <c r="H187" s="4"/>
      <c r="I187" s="4"/>
    </row>
    <row r="188" customFormat="false" ht="12.75" hidden="false" customHeight="true" outlineLevel="0" collapsed="false">
      <c r="A188" s="4" t="s">
        <v>1066</v>
      </c>
      <c r="B188" s="4" t="s">
        <v>416</v>
      </c>
      <c r="C188" s="4" t="s">
        <v>1068</v>
      </c>
      <c r="D188" s="4" t="s">
        <v>779</v>
      </c>
      <c r="E188" s="12" t="n">
        <v>2</v>
      </c>
      <c r="F188" s="4" t="s">
        <v>1642</v>
      </c>
      <c r="G188" s="4" t="s">
        <v>1643</v>
      </c>
      <c r="H188" s="4"/>
      <c r="I188" s="4"/>
    </row>
    <row r="189" customFormat="false" ht="25.5" hidden="false" customHeight="true" outlineLevel="0" collapsed="false">
      <c r="A189" s="4" t="s">
        <v>1066</v>
      </c>
      <c r="B189" s="4" t="s">
        <v>416</v>
      </c>
      <c r="C189" s="4" t="s">
        <v>1068</v>
      </c>
      <c r="D189" s="4" t="s">
        <v>779</v>
      </c>
      <c r="E189" s="12" t="n">
        <v>3</v>
      </c>
      <c r="F189" s="4" t="s">
        <v>1644</v>
      </c>
      <c r="G189" s="4" t="s">
        <v>1645</v>
      </c>
      <c r="H189" s="4"/>
      <c r="I189" s="4"/>
    </row>
    <row r="190" customFormat="false" ht="12.75" hidden="false" customHeight="true" outlineLevel="0" collapsed="false">
      <c r="A190" s="4" t="s">
        <v>1066</v>
      </c>
      <c r="B190" s="4" t="s">
        <v>416</v>
      </c>
      <c r="C190" s="4" t="s">
        <v>1068</v>
      </c>
      <c r="D190" s="4" t="s">
        <v>779</v>
      </c>
      <c r="E190" s="12" t="n">
        <v>4</v>
      </c>
      <c r="F190" s="4" t="s">
        <v>1646</v>
      </c>
      <c r="G190" s="4" t="s">
        <v>1647</v>
      </c>
      <c r="H190" s="4"/>
      <c r="I190" s="4"/>
    </row>
    <row r="191" customFormat="false" ht="12.75" hidden="false" customHeight="true" outlineLevel="0" collapsed="false">
      <c r="A191" s="4" t="s">
        <v>1066</v>
      </c>
      <c r="B191" s="4" t="s">
        <v>416</v>
      </c>
      <c r="C191" s="4" t="s">
        <v>1068</v>
      </c>
      <c r="D191" s="4" t="s">
        <v>779</v>
      </c>
      <c r="E191" s="12" t="n">
        <v>5</v>
      </c>
      <c r="F191" s="4" t="s">
        <v>1648</v>
      </c>
      <c r="G191" s="4" t="s">
        <v>1649</v>
      </c>
      <c r="H191" s="4"/>
      <c r="I191" s="4"/>
    </row>
    <row r="192" customFormat="false" ht="25.5" hidden="false" customHeight="true" outlineLevel="0" collapsed="false">
      <c r="A192" s="4" t="s">
        <v>1073</v>
      </c>
      <c r="B192" s="4" t="s">
        <v>17</v>
      </c>
      <c r="C192" s="4" t="s">
        <v>1075</v>
      </c>
      <c r="D192" s="4" t="s">
        <v>769</v>
      </c>
      <c r="E192" s="12" t="n">
        <v>1</v>
      </c>
      <c r="F192" s="4" t="s">
        <v>1650</v>
      </c>
      <c r="G192" s="4" t="s">
        <v>1443</v>
      </c>
      <c r="H192" s="4"/>
      <c r="I192" s="4"/>
    </row>
    <row r="193" customFormat="false" ht="12.75" hidden="false" customHeight="true" outlineLevel="0" collapsed="false">
      <c r="A193" s="4" t="s">
        <v>1073</v>
      </c>
      <c r="B193" s="4" t="s">
        <v>17</v>
      </c>
      <c r="C193" s="4" t="s">
        <v>1075</v>
      </c>
      <c r="D193" s="4" t="s">
        <v>769</v>
      </c>
      <c r="E193" s="12" t="n">
        <v>2</v>
      </c>
      <c r="F193" s="4" t="s">
        <v>1625</v>
      </c>
      <c r="G193" s="4" t="s">
        <v>1651</v>
      </c>
      <c r="H193" s="4"/>
      <c r="I193" s="4"/>
    </row>
    <row r="194" customFormat="false" ht="25.5" hidden="false" customHeight="true" outlineLevel="0" collapsed="false">
      <c r="A194" s="4" t="s">
        <v>1073</v>
      </c>
      <c r="B194" s="4" t="s">
        <v>17</v>
      </c>
      <c r="C194" s="4" t="s">
        <v>1075</v>
      </c>
      <c r="D194" s="4" t="s">
        <v>769</v>
      </c>
      <c r="E194" s="12" t="n">
        <v>3</v>
      </c>
      <c r="F194" s="4" t="s">
        <v>1652</v>
      </c>
      <c r="G194" s="4" t="s">
        <v>1653</v>
      </c>
      <c r="H194" s="4"/>
      <c r="I194" s="4"/>
    </row>
    <row r="195" customFormat="false" ht="25.5" hidden="false" customHeight="true" outlineLevel="0" collapsed="false">
      <c r="A195" s="4" t="s">
        <v>1073</v>
      </c>
      <c r="B195" s="4" t="s">
        <v>17</v>
      </c>
      <c r="C195" s="4" t="s">
        <v>1075</v>
      </c>
      <c r="D195" s="4" t="s">
        <v>769</v>
      </c>
      <c r="E195" s="12" t="n">
        <v>4</v>
      </c>
      <c r="F195" s="4" t="s">
        <v>1654</v>
      </c>
      <c r="G195" s="4" t="s">
        <v>1655</v>
      </c>
      <c r="H195" s="4"/>
      <c r="I195" s="4"/>
    </row>
    <row r="196" customFormat="false" ht="25.5" hidden="false" customHeight="true" outlineLevel="0" collapsed="false">
      <c r="A196" s="4" t="s">
        <v>1073</v>
      </c>
      <c r="B196" s="4" t="s">
        <v>17</v>
      </c>
      <c r="C196" s="4" t="s">
        <v>1075</v>
      </c>
      <c r="D196" s="4" t="s">
        <v>769</v>
      </c>
      <c r="E196" s="12" t="n">
        <v>5</v>
      </c>
      <c r="F196" s="4" t="s">
        <v>1656</v>
      </c>
      <c r="G196" s="4" t="s">
        <v>1657</v>
      </c>
      <c r="H196" s="4"/>
      <c r="I196" s="4"/>
    </row>
    <row r="197" customFormat="false" ht="12.75" hidden="false" customHeight="true" outlineLevel="0" collapsed="false">
      <c r="A197" s="4" t="s">
        <v>1073</v>
      </c>
      <c r="B197" s="4" t="s">
        <v>17</v>
      </c>
      <c r="C197" s="4" t="s">
        <v>1075</v>
      </c>
      <c r="D197" s="4" t="s">
        <v>769</v>
      </c>
      <c r="E197" s="12" t="n">
        <v>6</v>
      </c>
      <c r="F197" s="4" t="s">
        <v>1658</v>
      </c>
      <c r="G197" s="4" t="s">
        <v>1659</v>
      </c>
      <c r="H197" s="4"/>
      <c r="I197" s="4"/>
    </row>
    <row r="198" customFormat="false" ht="25.5" hidden="false" customHeight="true" outlineLevel="0" collapsed="false">
      <c r="A198" s="4" t="s">
        <v>1079</v>
      </c>
      <c r="B198" s="4" t="s">
        <v>17</v>
      </c>
      <c r="C198" s="4" t="s">
        <v>1081</v>
      </c>
      <c r="D198" s="4" t="s">
        <v>779</v>
      </c>
      <c r="E198" s="12" t="n">
        <v>1</v>
      </c>
      <c r="F198" s="4" t="s">
        <v>1660</v>
      </c>
      <c r="G198" s="4" t="s">
        <v>1661</v>
      </c>
      <c r="H198" s="4"/>
      <c r="I198" s="4"/>
    </row>
    <row r="199" customFormat="false" ht="12.75" hidden="false" customHeight="true" outlineLevel="0" collapsed="false">
      <c r="A199" s="4" t="s">
        <v>1079</v>
      </c>
      <c r="B199" s="4" t="s">
        <v>17</v>
      </c>
      <c r="C199" s="4" t="s">
        <v>1081</v>
      </c>
      <c r="D199" s="4" t="s">
        <v>779</v>
      </c>
      <c r="E199" s="12" t="n">
        <v>2</v>
      </c>
      <c r="F199" s="4" t="s">
        <v>1662</v>
      </c>
      <c r="G199" s="4" t="s">
        <v>1663</v>
      </c>
      <c r="H199" s="4"/>
      <c r="I199" s="4"/>
    </row>
    <row r="200" customFormat="false" ht="25.5" hidden="false" customHeight="true" outlineLevel="0" collapsed="false">
      <c r="A200" s="4" t="s">
        <v>1079</v>
      </c>
      <c r="B200" s="4" t="s">
        <v>17</v>
      </c>
      <c r="C200" s="4" t="s">
        <v>1081</v>
      </c>
      <c r="D200" s="4" t="s">
        <v>779</v>
      </c>
      <c r="E200" s="12" t="n">
        <v>3</v>
      </c>
      <c r="F200" s="4" t="s">
        <v>1664</v>
      </c>
      <c r="G200" s="4" t="s">
        <v>1665</v>
      </c>
      <c r="H200" s="4"/>
      <c r="I200" s="4"/>
    </row>
    <row r="201" customFormat="false" ht="25.5" hidden="false" customHeight="true" outlineLevel="0" collapsed="false">
      <c r="A201" s="4" t="s">
        <v>1079</v>
      </c>
      <c r="B201" s="4" t="s">
        <v>17</v>
      </c>
      <c r="C201" s="4" t="s">
        <v>1081</v>
      </c>
      <c r="D201" s="4" t="s">
        <v>779</v>
      </c>
      <c r="E201" s="12" t="n">
        <v>4</v>
      </c>
      <c r="F201" s="4" t="s">
        <v>1666</v>
      </c>
      <c r="G201" s="4" t="s">
        <v>1667</v>
      </c>
      <c r="H201" s="4"/>
      <c r="I201" s="4"/>
    </row>
    <row r="202" customFormat="false" ht="12.75" hidden="false" customHeight="true" outlineLevel="0" collapsed="false">
      <c r="A202" s="4" t="s">
        <v>1087</v>
      </c>
      <c r="B202" s="4" t="s">
        <v>17</v>
      </c>
      <c r="C202" s="4" t="s">
        <v>1090</v>
      </c>
      <c r="D202" s="4" t="s">
        <v>779</v>
      </c>
      <c r="E202" s="12" t="n">
        <v>1</v>
      </c>
      <c r="F202" s="4" t="s">
        <v>1668</v>
      </c>
      <c r="G202" s="4" t="s">
        <v>1443</v>
      </c>
      <c r="H202" s="4"/>
      <c r="I202" s="4"/>
    </row>
    <row r="203" customFormat="false" ht="12.75" hidden="false" customHeight="true" outlineLevel="0" collapsed="false">
      <c r="A203" s="4" t="s">
        <v>1087</v>
      </c>
      <c r="B203" s="4" t="s">
        <v>17</v>
      </c>
      <c r="C203" s="4" t="s">
        <v>1090</v>
      </c>
      <c r="D203" s="4" t="s">
        <v>779</v>
      </c>
      <c r="E203" s="12" t="n">
        <v>2</v>
      </c>
      <c r="F203" s="4" t="s">
        <v>1669</v>
      </c>
      <c r="G203" s="4" t="s">
        <v>1670</v>
      </c>
      <c r="H203" s="4"/>
      <c r="I203" s="4"/>
    </row>
    <row r="204" customFormat="false" ht="25.5" hidden="false" customHeight="true" outlineLevel="0" collapsed="false">
      <c r="A204" s="4" t="s">
        <v>1087</v>
      </c>
      <c r="B204" s="4" t="s">
        <v>17</v>
      </c>
      <c r="C204" s="4" t="s">
        <v>1090</v>
      </c>
      <c r="D204" s="4" t="s">
        <v>779</v>
      </c>
      <c r="E204" s="12" t="n">
        <v>3</v>
      </c>
      <c r="F204" s="4" t="s">
        <v>1671</v>
      </c>
      <c r="G204" s="4" t="s">
        <v>1672</v>
      </c>
      <c r="H204" s="4"/>
      <c r="I204" s="4"/>
    </row>
    <row r="205" customFormat="false" ht="12.75" hidden="false" customHeight="true" outlineLevel="0" collapsed="false">
      <c r="A205" s="4" t="s">
        <v>1087</v>
      </c>
      <c r="B205" s="4" t="s">
        <v>17</v>
      </c>
      <c r="C205" s="4" t="s">
        <v>1090</v>
      </c>
      <c r="D205" s="4" t="s">
        <v>779</v>
      </c>
      <c r="E205" s="12" t="n">
        <v>4</v>
      </c>
      <c r="F205" s="4" t="s">
        <v>1673</v>
      </c>
      <c r="G205" s="4" t="s">
        <v>1674</v>
      </c>
      <c r="H205" s="4"/>
      <c r="I205" s="4"/>
    </row>
    <row r="206" customFormat="false" ht="12.75" hidden="false" customHeight="true" outlineLevel="0" collapsed="false">
      <c r="A206" s="4" t="s">
        <v>1087</v>
      </c>
      <c r="B206" s="4" t="s">
        <v>17</v>
      </c>
      <c r="C206" s="4" t="s">
        <v>1090</v>
      </c>
      <c r="D206" s="4" t="s">
        <v>779</v>
      </c>
      <c r="E206" s="12" t="n">
        <v>5</v>
      </c>
      <c r="F206" s="4" t="s">
        <v>1675</v>
      </c>
      <c r="G206" s="4" t="s">
        <v>1676</v>
      </c>
      <c r="H206" s="4"/>
      <c r="I206" s="4"/>
    </row>
    <row r="207" customFormat="false" ht="12.75" hidden="false" customHeight="true" outlineLevel="0" collapsed="false">
      <c r="A207" s="4" t="s">
        <v>1095</v>
      </c>
      <c r="B207" s="4" t="s">
        <v>19</v>
      </c>
      <c r="C207" s="4" t="s">
        <v>1096</v>
      </c>
      <c r="D207" s="4" t="s">
        <v>779</v>
      </c>
      <c r="E207" s="12" t="n">
        <v>1</v>
      </c>
      <c r="F207" s="4" t="s">
        <v>1677</v>
      </c>
      <c r="G207" s="4" t="s">
        <v>1443</v>
      </c>
      <c r="H207" s="4"/>
      <c r="I207" s="4"/>
    </row>
    <row r="208" customFormat="false" ht="25.5" hidden="false" customHeight="true" outlineLevel="0" collapsed="false">
      <c r="A208" s="4" t="s">
        <v>1095</v>
      </c>
      <c r="B208" s="4" t="s">
        <v>19</v>
      </c>
      <c r="C208" s="4" t="s">
        <v>1096</v>
      </c>
      <c r="D208" s="4" t="s">
        <v>779</v>
      </c>
      <c r="E208" s="12" t="n">
        <v>2</v>
      </c>
      <c r="F208" s="4" t="s">
        <v>1678</v>
      </c>
      <c r="G208" s="4" t="s">
        <v>1679</v>
      </c>
      <c r="H208" s="4"/>
      <c r="I208" s="4"/>
    </row>
    <row r="209" customFormat="false" ht="12.75" hidden="false" customHeight="true" outlineLevel="0" collapsed="false">
      <c r="A209" s="4" t="s">
        <v>1095</v>
      </c>
      <c r="B209" s="4" t="s">
        <v>19</v>
      </c>
      <c r="C209" s="4" t="s">
        <v>1096</v>
      </c>
      <c r="D209" s="4" t="s">
        <v>779</v>
      </c>
      <c r="E209" s="12" t="n">
        <v>3</v>
      </c>
      <c r="F209" s="4" t="s">
        <v>1680</v>
      </c>
      <c r="G209" s="4" t="s">
        <v>1681</v>
      </c>
      <c r="H209" s="4"/>
      <c r="I209" s="4"/>
    </row>
    <row r="210" customFormat="false" ht="12.75" hidden="false" customHeight="true" outlineLevel="0" collapsed="false">
      <c r="A210" s="4" t="s">
        <v>1095</v>
      </c>
      <c r="B210" s="4" t="s">
        <v>19</v>
      </c>
      <c r="C210" s="4" t="s">
        <v>1096</v>
      </c>
      <c r="D210" s="4" t="s">
        <v>779</v>
      </c>
      <c r="E210" s="12" t="n">
        <v>4</v>
      </c>
      <c r="F210" s="4" t="s">
        <v>1682</v>
      </c>
      <c r="G210" s="4" t="s">
        <v>1683</v>
      </c>
      <c r="H210" s="4"/>
      <c r="I210" s="4"/>
    </row>
    <row r="211" customFormat="false" ht="12.75" hidden="false" customHeight="true" outlineLevel="0" collapsed="false">
      <c r="A211" s="4" t="s">
        <v>1102</v>
      </c>
      <c r="B211" s="4" t="s">
        <v>17</v>
      </c>
      <c r="C211" s="4" t="s">
        <v>1104</v>
      </c>
      <c r="D211" s="4" t="s">
        <v>769</v>
      </c>
      <c r="E211" s="12" t="n">
        <v>1</v>
      </c>
      <c r="F211" s="4" t="s">
        <v>1684</v>
      </c>
      <c r="G211" s="4" t="s">
        <v>1443</v>
      </c>
      <c r="H211" s="4"/>
      <c r="I211" s="4"/>
    </row>
    <row r="212" customFormat="false" ht="12.75" hidden="false" customHeight="true" outlineLevel="0" collapsed="false">
      <c r="A212" s="4" t="s">
        <v>1102</v>
      </c>
      <c r="B212" s="4" t="s">
        <v>17</v>
      </c>
      <c r="C212" s="4" t="s">
        <v>1104</v>
      </c>
      <c r="D212" s="4" t="s">
        <v>769</v>
      </c>
      <c r="E212" s="12" t="n">
        <v>2</v>
      </c>
      <c r="F212" s="4" t="s">
        <v>1685</v>
      </c>
      <c r="G212" s="4" t="s">
        <v>1686</v>
      </c>
      <c r="H212" s="4"/>
      <c r="I212" s="4"/>
    </row>
    <row r="213" customFormat="false" ht="25.5" hidden="false" customHeight="true" outlineLevel="0" collapsed="false">
      <c r="A213" s="4" t="s">
        <v>1102</v>
      </c>
      <c r="B213" s="4" t="s">
        <v>17</v>
      </c>
      <c r="C213" s="4" t="s">
        <v>1104</v>
      </c>
      <c r="D213" s="4" t="s">
        <v>769</v>
      </c>
      <c r="E213" s="12" t="n">
        <v>3</v>
      </c>
      <c r="F213" s="4" t="s">
        <v>1687</v>
      </c>
      <c r="G213" s="4" t="s">
        <v>1688</v>
      </c>
      <c r="H213" s="4"/>
      <c r="I213" s="4"/>
    </row>
    <row r="214" customFormat="false" ht="12.75" hidden="false" customHeight="true" outlineLevel="0" collapsed="false">
      <c r="A214" s="4" t="s">
        <v>1102</v>
      </c>
      <c r="B214" s="4" t="s">
        <v>17</v>
      </c>
      <c r="C214" s="4" t="s">
        <v>1104</v>
      </c>
      <c r="D214" s="4" t="s">
        <v>769</v>
      </c>
      <c r="E214" s="12" t="n">
        <v>4</v>
      </c>
      <c r="F214" s="4" t="s">
        <v>1689</v>
      </c>
      <c r="G214" s="4" t="s">
        <v>1690</v>
      </c>
      <c r="H214" s="4"/>
      <c r="I214" s="4"/>
    </row>
    <row r="215" customFormat="false" ht="25.5" hidden="false" customHeight="true" outlineLevel="0" collapsed="false">
      <c r="A215" s="4" t="s">
        <v>1108</v>
      </c>
      <c r="B215" s="4" t="s">
        <v>17</v>
      </c>
      <c r="C215" s="4" t="s">
        <v>1110</v>
      </c>
      <c r="D215" s="4" t="s">
        <v>779</v>
      </c>
      <c r="E215" s="12" t="n">
        <v>1</v>
      </c>
      <c r="F215" s="4" t="s">
        <v>1691</v>
      </c>
      <c r="G215" s="4" t="s">
        <v>1443</v>
      </c>
      <c r="H215" s="4"/>
      <c r="I215" s="4"/>
    </row>
    <row r="216" customFormat="false" ht="12.75" hidden="false" customHeight="true" outlineLevel="0" collapsed="false">
      <c r="A216" s="4" t="s">
        <v>1108</v>
      </c>
      <c r="B216" s="4" t="s">
        <v>17</v>
      </c>
      <c r="C216" s="4" t="s">
        <v>1110</v>
      </c>
      <c r="D216" s="4" t="s">
        <v>779</v>
      </c>
      <c r="E216" s="12" t="n">
        <v>2</v>
      </c>
      <c r="F216" s="4" t="s">
        <v>1692</v>
      </c>
      <c r="G216" s="4" t="s">
        <v>1693</v>
      </c>
      <c r="H216" s="4"/>
      <c r="I216" s="4"/>
    </row>
    <row r="217" customFormat="false" ht="25.5" hidden="false" customHeight="true" outlineLevel="0" collapsed="false">
      <c r="A217" s="4" t="s">
        <v>1108</v>
      </c>
      <c r="B217" s="4" t="s">
        <v>17</v>
      </c>
      <c r="C217" s="4" t="s">
        <v>1110</v>
      </c>
      <c r="D217" s="4" t="s">
        <v>779</v>
      </c>
      <c r="E217" s="12" t="n">
        <v>3</v>
      </c>
      <c r="F217" s="4" t="s">
        <v>1694</v>
      </c>
      <c r="G217" s="4" t="s">
        <v>1695</v>
      </c>
      <c r="H217" s="4"/>
      <c r="I217" s="4"/>
    </row>
    <row r="218" customFormat="false" ht="12.75" hidden="false" customHeight="true" outlineLevel="0" collapsed="false">
      <c r="A218" s="4" t="s">
        <v>1108</v>
      </c>
      <c r="B218" s="4" t="s">
        <v>17</v>
      </c>
      <c r="C218" s="4" t="s">
        <v>1110</v>
      </c>
      <c r="D218" s="4" t="s">
        <v>779</v>
      </c>
      <c r="E218" s="12" t="n">
        <v>4</v>
      </c>
      <c r="F218" s="4" t="s">
        <v>1696</v>
      </c>
      <c r="G218" s="4" t="s">
        <v>1697</v>
      </c>
      <c r="H218" s="4"/>
      <c r="I218" s="4"/>
    </row>
    <row r="219" customFormat="false" ht="25.5" hidden="false" customHeight="true" outlineLevel="0" collapsed="false">
      <c r="A219" s="4" t="s">
        <v>1108</v>
      </c>
      <c r="B219" s="4" t="s">
        <v>17</v>
      </c>
      <c r="C219" s="4" t="s">
        <v>1110</v>
      </c>
      <c r="D219" s="4" t="s">
        <v>779</v>
      </c>
      <c r="E219" s="12" t="n">
        <v>5</v>
      </c>
      <c r="F219" s="4" t="s">
        <v>1698</v>
      </c>
      <c r="G219" s="4" t="s">
        <v>1699</v>
      </c>
      <c r="H219" s="4"/>
      <c r="I219" s="4"/>
    </row>
    <row r="220" customFormat="false" ht="12.75" hidden="false" customHeight="true" outlineLevel="0" collapsed="false">
      <c r="A220" s="4" t="s">
        <v>1114</v>
      </c>
      <c r="B220" s="4" t="s">
        <v>203</v>
      </c>
      <c r="C220" s="4" t="s">
        <v>1115</v>
      </c>
      <c r="D220" s="4" t="s">
        <v>779</v>
      </c>
      <c r="E220" s="12" t="n">
        <v>1</v>
      </c>
      <c r="F220" s="4" t="s">
        <v>1463</v>
      </c>
      <c r="G220" s="4" t="s">
        <v>1443</v>
      </c>
      <c r="H220" s="4"/>
      <c r="I220" s="4"/>
    </row>
    <row r="221" customFormat="false" ht="25.5" hidden="false" customHeight="true" outlineLevel="0" collapsed="false">
      <c r="A221" s="4" t="s">
        <v>1114</v>
      </c>
      <c r="B221" s="4" t="s">
        <v>203</v>
      </c>
      <c r="C221" s="4" t="s">
        <v>1115</v>
      </c>
      <c r="D221" s="4" t="s">
        <v>779</v>
      </c>
      <c r="E221" s="12" t="n">
        <v>2</v>
      </c>
      <c r="F221" s="4" t="s">
        <v>1700</v>
      </c>
      <c r="G221" s="4" t="s">
        <v>1701</v>
      </c>
      <c r="H221" s="4"/>
      <c r="I221" s="4"/>
    </row>
    <row r="222" customFormat="false" ht="25.5" hidden="false" customHeight="true" outlineLevel="0" collapsed="false">
      <c r="A222" s="4" t="s">
        <v>1114</v>
      </c>
      <c r="B222" s="4" t="s">
        <v>203</v>
      </c>
      <c r="C222" s="4" t="s">
        <v>1115</v>
      </c>
      <c r="D222" s="4" t="s">
        <v>779</v>
      </c>
      <c r="E222" s="12" t="n">
        <v>3</v>
      </c>
      <c r="F222" s="4" t="s">
        <v>1702</v>
      </c>
      <c r="G222" s="4" t="s">
        <v>1703</v>
      </c>
      <c r="H222" s="4"/>
      <c r="I222" s="4"/>
    </row>
    <row r="223" customFormat="false" ht="12.75" hidden="false" customHeight="true" outlineLevel="0" collapsed="false">
      <c r="A223" s="4" t="s">
        <v>1114</v>
      </c>
      <c r="B223" s="4" t="s">
        <v>203</v>
      </c>
      <c r="C223" s="4" t="s">
        <v>1115</v>
      </c>
      <c r="D223" s="4" t="s">
        <v>779</v>
      </c>
      <c r="E223" s="12" t="n">
        <v>4</v>
      </c>
      <c r="F223" s="4" t="s">
        <v>1704</v>
      </c>
      <c r="G223" s="4" t="s">
        <v>1705</v>
      </c>
      <c r="H223" s="4"/>
      <c r="I223" s="4"/>
    </row>
    <row r="224" customFormat="false" ht="12.75" hidden="false" customHeight="true" outlineLevel="0" collapsed="false">
      <c r="A224" s="4" t="s">
        <v>1119</v>
      </c>
      <c r="B224" s="4" t="s">
        <v>416</v>
      </c>
      <c r="C224" s="4" t="s">
        <v>1122</v>
      </c>
      <c r="D224" s="4" t="s">
        <v>769</v>
      </c>
      <c r="E224" s="12" t="n">
        <v>1</v>
      </c>
      <c r="F224" s="4" t="s">
        <v>1706</v>
      </c>
      <c r="G224" s="4" t="s">
        <v>1443</v>
      </c>
      <c r="H224" s="4"/>
      <c r="I224" s="4"/>
    </row>
    <row r="225" customFormat="false" ht="25.5" hidden="false" customHeight="true" outlineLevel="0" collapsed="false">
      <c r="A225" s="4" t="s">
        <v>1119</v>
      </c>
      <c r="B225" s="4" t="s">
        <v>416</v>
      </c>
      <c r="C225" s="4" t="s">
        <v>1122</v>
      </c>
      <c r="D225" s="4" t="s">
        <v>769</v>
      </c>
      <c r="E225" s="12" t="n">
        <v>2</v>
      </c>
      <c r="F225" s="4" t="s">
        <v>1707</v>
      </c>
      <c r="G225" s="4" t="s">
        <v>1708</v>
      </c>
      <c r="H225" s="4"/>
      <c r="I225" s="4"/>
    </row>
    <row r="226" customFormat="false" ht="25.5" hidden="false" customHeight="true" outlineLevel="0" collapsed="false">
      <c r="A226" s="4" t="s">
        <v>1119</v>
      </c>
      <c r="B226" s="4" t="s">
        <v>416</v>
      </c>
      <c r="C226" s="4" t="s">
        <v>1122</v>
      </c>
      <c r="D226" s="4" t="s">
        <v>769</v>
      </c>
      <c r="E226" s="12" t="n">
        <v>3</v>
      </c>
      <c r="F226" s="4" t="s">
        <v>1709</v>
      </c>
      <c r="G226" s="4" t="s">
        <v>1710</v>
      </c>
      <c r="H226" s="4"/>
      <c r="I226" s="4"/>
    </row>
    <row r="227" customFormat="false" ht="12.75" hidden="false" customHeight="true" outlineLevel="0" collapsed="false">
      <c r="A227" s="4" t="s">
        <v>1119</v>
      </c>
      <c r="B227" s="4" t="s">
        <v>416</v>
      </c>
      <c r="C227" s="4" t="s">
        <v>1122</v>
      </c>
      <c r="D227" s="4" t="s">
        <v>769</v>
      </c>
      <c r="E227" s="12" t="n">
        <v>4</v>
      </c>
      <c r="F227" s="4" t="s">
        <v>1711</v>
      </c>
      <c r="G227" s="4" t="s">
        <v>1712</v>
      </c>
      <c r="H227" s="4"/>
      <c r="I227" s="4"/>
    </row>
    <row r="228" customFormat="false" ht="12.75" hidden="false" customHeight="true" outlineLevel="0" collapsed="false">
      <c r="A228" s="4" t="s">
        <v>1127</v>
      </c>
      <c r="B228" s="4" t="s">
        <v>416</v>
      </c>
      <c r="C228" s="4" t="s">
        <v>1128</v>
      </c>
      <c r="D228" s="4" t="s">
        <v>769</v>
      </c>
      <c r="E228" s="12" t="n">
        <v>1</v>
      </c>
      <c r="F228" s="4" t="s">
        <v>1713</v>
      </c>
      <c r="G228" s="4" t="s">
        <v>1443</v>
      </c>
      <c r="H228" s="4"/>
      <c r="I228" s="4"/>
    </row>
    <row r="229" customFormat="false" ht="12.75" hidden="false" customHeight="true" outlineLevel="0" collapsed="false">
      <c r="A229" s="4" t="s">
        <v>1127</v>
      </c>
      <c r="B229" s="4" t="s">
        <v>416</v>
      </c>
      <c r="C229" s="4" t="s">
        <v>1128</v>
      </c>
      <c r="D229" s="4" t="s">
        <v>769</v>
      </c>
      <c r="E229" s="12" t="n">
        <v>2</v>
      </c>
      <c r="F229" s="4" t="s">
        <v>1714</v>
      </c>
      <c r="G229" s="4" t="s">
        <v>1715</v>
      </c>
      <c r="H229" s="4"/>
      <c r="I229" s="4"/>
    </row>
    <row r="230" customFormat="false" ht="12.75" hidden="false" customHeight="true" outlineLevel="0" collapsed="false">
      <c r="A230" s="4" t="s">
        <v>1127</v>
      </c>
      <c r="B230" s="4" t="s">
        <v>416</v>
      </c>
      <c r="C230" s="4" t="s">
        <v>1128</v>
      </c>
      <c r="D230" s="4" t="s">
        <v>769</v>
      </c>
      <c r="E230" s="12" t="n">
        <v>3</v>
      </c>
      <c r="F230" s="4" t="s">
        <v>1716</v>
      </c>
      <c r="G230" s="4" t="s">
        <v>1717</v>
      </c>
      <c r="H230" s="4"/>
      <c r="I230" s="4"/>
    </row>
    <row r="231" customFormat="false" ht="12.75" hidden="false" customHeight="true" outlineLevel="0" collapsed="false">
      <c r="A231" s="4" t="s">
        <v>1127</v>
      </c>
      <c r="B231" s="4" t="s">
        <v>416</v>
      </c>
      <c r="C231" s="4" t="s">
        <v>1128</v>
      </c>
      <c r="D231" s="4" t="s">
        <v>769</v>
      </c>
      <c r="E231" s="12" t="n">
        <v>4</v>
      </c>
      <c r="F231" s="4" t="s">
        <v>1718</v>
      </c>
      <c r="G231" s="4" t="s">
        <v>1719</v>
      </c>
      <c r="H231" s="4"/>
      <c r="I231" s="4"/>
    </row>
    <row r="232" customFormat="false" ht="12.75" hidden="false" customHeight="true" outlineLevel="0" collapsed="false">
      <c r="A232" s="4" t="s">
        <v>1133</v>
      </c>
      <c r="B232" s="4" t="s">
        <v>17</v>
      </c>
      <c r="C232" s="4" t="s">
        <v>1136</v>
      </c>
      <c r="D232" s="4" t="s">
        <v>769</v>
      </c>
      <c r="E232" s="12" t="n">
        <v>1</v>
      </c>
      <c r="F232" s="4" t="s">
        <v>1720</v>
      </c>
      <c r="G232" s="4" t="s">
        <v>1443</v>
      </c>
      <c r="H232" s="4"/>
      <c r="I232" s="4"/>
    </row>
    <row r="233" customFormat="false" ht="12.75" hidden="false" customHeight="true" outlineLevel="0" collapsed="false">
      <c r="A233" s="4" t="s">
        <v>1133</v>
      </c>
      <c r="B233" s="4" t="s">
        <v>17</v>
      </c>
      <c r="C233" s="4" t="s">
        <v>1136</v>
      </c>
      <c r="D233" s="4" t="s">
        <v>769</v>
      </c>
      <c r="E233" s="12" t="n">
        <v>2</v>
      </c>
      <c r="F233" s="4" t="s">
        <v>1515</v>
      </c>
      <c r="G233" s="4" t="s">
        <v>1721</v>
      </c>
      <c r="H233" s="4"/>
      <c r="I233" s="4"/>
    </row>
    <row r="234" customFormat="false" ht="25.5" hidden="false" customHeight="true" outlineLevel="0" collapsed="false">
      <c r="A234" s="4" t="s">
        <v>1133</v>
      </c>
      <c r="B234" s="4" t="s">
        <v>17</v>
      </c>
      <c r="C234" s="4" t="s">
        <v>1136</v>
      </c>
      <c r="D234" s="4" t="s">
        <v>769</v>
      </c>
      <c r="E234" s="12" t="n">
        <v>3</v>
      </c>
      <c r="F234" s="4" t="s">
        <v>1722</v>
      </c>
      <c r="G234" s="4" t="s">
        <v>1723</v>
      </c>
      <c r="H234" s="4"/>
      <c r="I234" s="4"/>
    </row>
    <row r="235" customFormat="false" ht="25.5" hidden="false" customHeight="true" outlineLevel="0" collapsed="false">
      <c r="A235" s="4" t="s">
        <v>1133</v>
      </c>
      <c r="B235" s="4" t="s">
        <v>17</v>
      </c>
      <c r="C235" s="4" t="s">
        <v>1136</v>
      </c>
      <c r="D235" s="4" t="s">
        <v>769</v>
      </c>
      <c r="E235" s="12" t="n">
        <v>4</v>
      </c>
      <c r="F235" s="4" t="s">
        <v>1724</v>
      </c>
      <c r="G235" s="4" t="s">
        <v>1725</v>
      </c>
      <c r="H235" s="4"/>
      <c r="I235" s="4"/>
    </row>
    <row r="236" customFormat="false" ht="12.75" hidden="false" customHeight="true" outlineLevel="0" collapsed="false">
      <c r="A236" s="4" t="s">
        <v>1141</v>
      </c>
      <c r="B236" s="4" t="s">
        <v>17</v>
      </c>
      <c r="C236" s="4" t="s">
        <v>1142</v>
      </c>
      <c r="D236" s="4" t="s">
        <v>779</v>
      </c>
      <c r="E236" s="12" t="n">
        <v>1</v>
      </c>
      <c r="F236" s="4" t="s">
        <v>1726</v>
      </c>
      <c r="G236" s="4" t="s">
        <v>1443</v>
      </c>
      <c r="H236" s="4"/>
      <c r="I236" s="4"/>
    </row>
    <row r="237" customFormat="false" ht="25.5" hidden="false" customHeight="true" outlineLevel="0" collapsed="false">
      <c r="A237" s="4" t="s">
        <v>1141</v>
      </c>
      <c r="B237" s="4" t="s">
        <v>17</v>
      </c>
      <c r="C237" s="4" t="s">
        <v>1142</v>
      </c>
      <c r="D237" s="4" t="s">
        <v>779</v>
      </c>
      <c r="E237" s="12" t="n">
        <v>2</v>
      </c>
      <c r="F237" s="4" t="s">
        <v>1444</v>
      </c>
      <c r="G237" s="4" t="s">
        <v>1727</v>
      </c>
      <c r="H237" s="4"/>
      <c r="I237" s="4"/>
    </row>
    <row r="238" customFormat="false" ht="25.5" hidden="false" customHeight="true" outlineLevel="0" collapsed="false">
      <c r="A238" s="4" t="s">
        <v>1141</v>
      </c>
      <c r="B238" s="4" t="s">
        <v>17</v>
      </c>
      <c r="C238" s="4" t="s">
        <v>1142</v>
      </c>
      <c r="D238" s="4" t="s">
        <v>779</v>
      </c>
      <c r="E238" s="12" t="n">
        <v>3</v>
      </c>
      <c r="F238" s="4" t="s">
        <v>1728</v>
      </c>
      <c r="G238" s="4" t="s">
        <v>1729</v>
      </c>
      <c r="H238" s="4"/>
      <c r="I238" s="4"/>
    </row>
    <row r="239" customFormat="false" ht="12.75" hidden="false" customHeight="true" outlineLevel="0" collapsed="false">
      <c r="A239" s="4" t="s">
        <v>1147</v>
      </c>
      <c r="B239" s="4" t="s">
        <v>17</v>
      </c>
      <c r="C239" s="4" t="s">
        <v>1150</v>
      </c>
      <c r="D239" s="4" t="s">
        <v>769</v>
      </c>
      <c r="E239" s="12" t="n">
        <v>1</v>
      </c>
      <c r="F239" s="4" t="s">
        <v>1730</v>
      </c>
      <c r="G239" s="4" t="s">
        <v>1731</v>
      </c>
      <c r="H239" s="4"/>
      <c r="I239" s="4"/>
    </row>
    <row r="240" customFormat="false" ht="51.75" hidden="false" customHeight="true" outlineLevel="0" collapsed="false">
      <c r="A240" s="4" t="s">
        <v>1147</v>
      </c>
      <c r="B240" s="4" t="s">
        <v>17</v>
      </c>
      <c r="C240" s="4" t="s">
        <v>1150</v>
      </c>
      <c r="D240" s="4" t="s">
        <v>769</v>
      </c>
      <c r="E240" s="12" t="n">
        <v>2</v>
      </c>
      <c r="F240" s="4" t="s">
        <v>1732</v>
      </c>
      <c r="G240" s="4" t="s">
        <v>1733</v>
      </c>
      <c r="H240" s="4"/>
      <c r="I240" s="4"/>
    </row>
    <row r="241" customFormat="false" ht="25.5" hidden="false" customHeight="true" outlineLevel="0" collapsed="false">
      <c r="A241" s="4" t="s">
        <v>1147</v>
      </c>
      <c r="B241" s="4" t="s">
        <v>17</v>
      </c>
      <c r="C241" s="4" t="s">
        <v>1150</v>
      </c>
      <c r="D241" s="4" t="s">
        <v>769</v>
      </c>
      <c r="E241" s="12" t="n">
        <v>3</v>
      </c>
      <c r="F241" s="4" t="s">
        <v>1734</v>
      </c>
      <c r="G241" s="4" t="s">
        <v>1735</v>
      </c>
      <c r="H241" s="4"/>
      <c r="I241" s="4"/>
    </row>
    <row r="242" customFormat="false" ht="25.5" hidden="false" customHeight="true" outlineLevel="0" collapsed="false">
      <c r="A242" s="4" t="s">
        <v>1147</v>
      </c>
      <c r="B242" s="4" t="s">
        <v>17</v>
      </c>
      <c r="C242" s="4" t="s">
        <v>1150</v>
      </c>
      <c r="D242" s="4" t="s">
        <v>769</v>
      </c>
      <c r="E242" s="12" t="n">
        <v>4</v>
      </c>
      <c r="F242" s="4" t="s">
        <v>1736</v>
      </c>
      <c r="G242" s="4" t="s">
        <v>1737</v>
      </c>
      <c r="H242" s="4"/>
      <c r="I242" s="4"/>
    </row>
    <row r="243" customFormat="false" ht="39" hidden="false" customHeight="true" outlineLevel="0" collapsed="false">
      <c r="A243" s="4" t="s">
        <v>1153</v>
      </c>
      <c r="B243" s="4" t="s">
        <v>17</v>
      </c>
      <c r="C243" s="4" t="s">
        <v>1155</v>
      </c>
      <c r="D243" s="4" t="s">
        <v>779</v>
      </c>
      <c r="E243" s="12" t="n">
        <v>1</v>
      </c>
      <c r="F243" s="4" t="s">
        <v>1738</v>
      </c>
      <c r="G243" s="4" t="s">
        <v>1337</v>
      </c>
      <c r="H243" s="4"/>
      <c r="I243" s="4"/>
    </row>
    <row r="244" customFormat="false" ht="12.75" hidden="false" customHeight="true" outlineLevel="0" collapsed="false">
      <c r="A244" s="4" t="s">
        <v>1153</v>
      </c>
      <c r="B244" s="4" t="s">
        <v>17</v>
      </c>
      <c r="C244" s="4" t="s">
        <v>1155</v>
      </c>
      <c r="D244" s="4" t="s">
        <v>779</v>
      </c>
      <c r="E244" s="12" t="n">
        <v>2</v>
      </c>
      <c r="F244" s="4" t="s">
        <v>1739</v>
      </c>
      <c r="G244" s="4" t="s">
        <v>1740</v>
      </c>
      <c r="H244" s="4"/>
      <c r="I244" s="4"/>
    </row>
    <row r="245" customFormat="false" ht="12.75" hidden="false" customHeight="true" outlineLevel="0" collapsed="false">
      <c r="A245" s="4" t="s">
        <v>1153</v>
      </c>
      <c r="B245" s="4" t="s">
        <v>17</v>
      </c>
      <c r="C245" s="4" t="s">
        <v>1155</v>
      </c>
      <c r="D245" s="4" t="s">
        <v>779</v>
      </c>
      <c r="E245" s="12" t="n">
        <v>3</v>
      </c>
      <c r="F245" s="4" t="s">
        <v>1741</v>
      </c>
      <c r="G245" s="4" t="s">
        <v>1742</v>
      </c>
      <c r="H245" s="4"/>
      <c r="I245" s="4"/>
    </row>
    <row r="246" customFormat="false" ht="12.75" hidden="false" customHeight="true" outlineLevel="0" collapsed="false">
      <c r="A246" s="4" t="s">
        <v>1153</v>
      </c>
      <c r="B246" s="4" t="s">
        <v>17</v>
      </c>
      <c r="C246" s="4" t="s">
        <v>1155</v>
      </c>
      <c r="D246" s="4" t="s">
        <v>779</v>
      </c>
      <c r="E246" s="12" t="n">
        <v>4</v>
      </c>
      <c r="F246" s="4" t="s">
        <v>1743</v>
      </c>
      <c r="G246" s="4" t="s">
        <v>1568</v>
      </c>
      <c r="H246" s="4"/>
      <c r="I246" s="4"/>
    </row>
    <row r="247" customFormat="false" ht="25.5" hidden="false" customHeight="true" outlineLevel="0" collapsed="false">
      <c r="A247" s="4" t="s">
        <v>1160</v>
      </c>
      <c r="B247" s="4" t="s">
        <v>17</v>
      </c>
      <c r="C247" s="4" t="s">
        <v>1161</v>
      </c>
      <c r="D247" s="4" t="s">
        <v>779</v>
      </c>
      <c r="E247" s="12" t="n">
        <v>1</v>
      </c>
      <c r="F247" s="4" t="s">
        <v>1744</v>
      </c>
      <c r="G247" s="4" t="s">
        <v>1337</v>
      </c>
      <c r="H247" s="4"/>
      <c r="I247" s="4"/>
    </row>
    <row r="248" customFormat="false" ht="12.75" hidden="false" customHeight="true" outlineLevel="0" collapsed="false">
      <c r="A248" s="4" t="s">
        <v>1160</v>
      </c>
      <c r="B248" s="4" t="s">
        <v>17</v>
      </c>
      <c r="C248" s="4" t="s">
        <v>1161</v>
      </c>
      <c r="D248" s="4" t="s">
        <v>779</v>
      </c>
      <c r="E248" s="12" t="n">
        <v>2</v>
      </c>
      <c r="F248" s="4" t="s">
        <v>1745</v>
      </c>
      <c r="G248" s="4" t="s">
        <v>1746</v>
      </c>
      <c r="H248" s="4"/>
      <c r="I248" s="4"/>
    </row>
    <row r="249" customFormat="false" ht="12.75" hidden="false" customHeight="true" outlineLevel="0" collapsed="false">
      <c r="A249" s="4" t="s">
        <v>1160</v>
      </c>
      <c r="B249" s="4" t="s">
        <v>17</v>
      </c>
      <c r="C249" s="4" t="s">
        <v>1161</v>
      </c>
      <c r="D249" s="4" t="s">
        <v>779</v>
      </c>
      <c r="E249" s="12" t="n">
        <v>3</v>
      </c>
      <c r="F249" s="4" t="s">
        <v>1747</v>
      </c>
      <c r="G249" s="4" t="s">
        <v>1748</v>
      </c>
      <c r="H249" s="4"/>
      <c r="I249" s="4"/>
    </row>
    <row r="250" customFormat="false" ht="12.75" hidden="false" customHeight="true" outlineLevel="0" collapsed="false">
      <c r="A250" s="4" t="s">
        <v>1160</v>
      </c>
      <c r="B250" s="4" t="s">
        <v>17</v>
      </c>
      <c r="C250" s="4" t="s">
        <v>1161</v>
      </c>
      <c r="D250" s="4" t="s">
        <v>779</v>
      </c>
      <c r="E250" s="12" t="n">
        <v>4</v>
      </c>
      <c r="F250" s="4" t="s">
        <v>1749</v>
      </c>
      <c r="G250" s="4" t="s">
        <v>1750</v>
      </c>
      <c r="H250" s="4"/>
      <c r="I250" s="4"/>
    </row>
    <row r="251" customFormat="false" ht="12.75" hidden="false" customHeight="true" outlineLevel="0" collapsed="false">
      <c r="A251" s="4" t="s">
        <v>1164</v>
      </c>
      <c r="B251" s="4" t="s">
        <v>17</v>
      </c>
      <c r="C251" s="4" t="s">
        <v>1167</v>
      </c>
      <c r="D251" s="4" t="s">
        <v>779</v>
      </c>
      <c r="E251" s="12" t="n">
        <v>1</v>
      </c>
      <c r="F251" s="4" t="s">
        <v>1751</v>
      </c>
      <c r="G251" s="4" t="s">
        <v>1443</v>
      </c>
      <c r="H251" s="4"/>
      <c r="I251" s="4"/>
    </row>
    <row r="252" customFormat="false" ht="12.75" hidden="false" customHeight="true" outlineLevel="0" collapsed="false">
      <c r="A252" s="4" t="s">
        <v>1164</v>
      </c>
      <c r="B252" s="4" t="s">
        <v>17</v>
      </c>
      <c r="C252" s="4" t="s">
        <v>1167</v>
      </c>
      <c r="D252" s="4" t="s">
        <v>779</v>
      </c>
      <c r="E252" s="12" t="n">
        <v>2</v>
      </c>
      <c r="F252" s="4" t="s">
        <v>1752</v>
      </c>
      <c r="G252" s="4" t="s">
        <v>1753</v>
      </c>
      <c r="H252" s="4"/>
      <c r="I252" s="4"/>
    </row>
    <row r="253" customFormat="false" ht="25.5" hidden="false" customHeight="true" outlineLevel="0" collapsed="false">
      <c r="A253" s="4" t="s">
        <v>1164</v>
      </c>
      <c r="B253" s="4" t="s">
        <v>17</v>
      </c>
      <c r="C253" s="4" t="s">
        <v>1167</v>
      </c>
      <c r="D253" s="4" t="s">
        <v>779</v>
      </c>
      <c r="E253" s="12" t="n">
        <v>3</v>
      </c>
      <c r="F253" s="4" t="s">
        <v>1754</v>
      </c>
      <c r="G253" s="4" t="s">
        <v>1755</v>
      </c>
      <c r="H253" s="4"/>
      <c r="I253" s="4"/>
    </row>
    <row r="254" customFormat="false" ht="25.5" hidden="false" customHeight="true" outlineLevel="0" collapsed="false">
      <c r="A254" s="4" t="s">
        <v>1164</v>
      </c>
      <c r="B254" s="4" t="s">
        <v>17</v>
      </c>
      <c r="C254" s="4" t="s">
        <v>1167</v>
      </c>
      <c r="D254" s="4" t="s">
        <v>779</v>
      </c>
      <c r="E254" s="12" t="n">
        <v>4</v>
      </c>
      <c r="F254" s="4" t="s">
        <v>1756</v>
      </c>
      <c r="G254" s="4" t="s">
        <v>1757</v>
      </c>
      <c r="H254" s="4"/>
      <c r="I254" s="4"/>
    </row>
    <row r="255" customFormat="false" ht="12.75" hidden="false" customHeight="true" outlineLevel="0" collapsed="false">
      <c r="A255" s="4" t="s">
        <v>1172</v>
      </c>
      <c r="B255" s="4" t="s">
        <v>17</v>
      </c>
      <c r="C255" s="4" t="s">
        <v>1175</v>
      </c>
      <c r="D255" s="4" t="s">
        <v>769</v>
      </c>
      <c r="E255" s="12" t="n">
        <v>1</v>
      </c>
      <c r="F255" s="4" t="s">
        <v>1758</v>
      </c>
      <c r="G255" s="4" t="s">
        <v>1759</v>
      </c>
      <c r="H255" s="4"/>
      <c r="I255" s="4"/>
    </row>
    <row r="256" customFormat="false" ht="12.75" hidden="false" customHeight="true" outlineLevel="0" collapsed="false">
      <c r="A256" s="4" t="s">
        <v>1172</v>
      </c>
      <c r="B256" s="4" t="s">
        <v>17</v>
      </c>
      <c r="C256" s="4" t="s">
        <v>1175</v>
      </c>
      <c r="D256" s="4" t="s">
        <v>769</v>
      </c>
      <c r="E256" s="12" t="n">
        <v>2</v>
      </c>
      <c r="F256" s="4" t="s">
        <v>1760</v>
      </c>
      <c r="G256" s="4" t="s">
        <v>1761</v>
      </c>
      <c r="H256" s="4"/>
      <c r="I256" s="4"/>
    </row>
    <row r="257" customFormat="false" ht="25.5" hidden="false" customHeight="true" outlineLevel="0" collapsed="false">
      <c r="A257" s="4" t="s">
        <v>1172</v>
      </c>
      <c r="B257" s="4" t="s">
        <v>17</v>
      </c>
      <c r="C257" s="4" t="s">
        <v>1175</v>
      </c>
      <c r="D257" s="4" t="s">
        <v>769</v>
      </c>
      <c r="E257" s="12" t="n">
        <v>3</v>
      </c>
      <c r="F257" s="4" t="s">
        <v>1762</v>
      </c>
      <c r="G257" s="4" t="s">
        <v>1763</v>
      </c>
      <c r="H257" s="4"/>
      <c r="I257" s="4"/>
    </row>
    <row r="258" customFormat="false" ht="12.75" hidden="false" customHeight="true" outlineLevel="0" collapsed="false">
      <c r="A258" s="4" t="s">
        <v>1172</v>
      </c>
      <c r="B258" s="4" t="s">
        <v>17</v>
      </c>
      <c r="C258" s="4" t="s">
        <v>1175</v>
      </c>
      <c r="D258" s="4" t="s">
        <v>769</v>
      </c>
      <c r="E258" s="12" t="n">
        <v>4</v>
      </c>
      <c r="F258" s="4" t="s">
        <v>1764</v>
      </c>
      <c r="G258" s="4" t="s">
        <v>1765</v>
      </c>
      <c r="H258" s="4"/>
      <c r="I258" s="4"/>
    </row>
    <row r="259" customFormat="false" ht="12.75" hidden="false" customHeight="true" outlineLevel="0" collapsed="false">
      <c r="A259" s="4" t="s">
        <v>1172</v>
      </c>
      <c r="B259" s="4" t="s">
        <v>17</v>
      </c>
      <c r="C259" s="4" t="s">
        <v>1175</v>
      </c>
      <c r="D259" s="4" t="s">
        <v>769</v>
      </c>
      <c r="E259" s="12" t="n">
        <v>5</v>
      </c>
      <c r="F259" s="4" t="s">
        <v>1766</v>
      </c>
      <c r="G259" s="4" t="s">
        <v>1767</v>
      </c>
      <c r="H259" s="4"/>
      <c r="I259" s="4"/>
    </row>
    <row r="260" customFormat="false" ht="12.75" hidden="false" customHeight="true" outlineLevel="0" collapsed="false">
      <c r="A260" s="4" t="s">
        <v>1181</v>
      </c>
      <c r="B260" s="4" t="s">
        <v>385</v>
      </c>
      <c r="C260" s="4" t="s">
        <v>1182</v>
      </c>
      <c r="D260" s="4" t="s">
        <v>779</v>
      </c>
      <c r="E260" s="12" t="n">
        <v>1</v>
      </c>
      <c r="F260" s="4" t="s">
        <v>1768</v>
      </c>
      <c r="G260" s="4" t="s">
        <v>1769</v>
      </c>
      <c r="H260" s="4"/>
      <c r="I260" s="4"/>
    </row>
    <row r="261" customFormat="false" ht="12.75" hidden="false" customHeight="true" outlineLevel="0" collapsed="false">
      <c r="A261" s="4" t="s">
        <v>1181</v>
      </c>
      <c r="B261" s="4" t="s">
        <v>385</v>
      </c>
      <c r="C261" s="4" t="s">
        <v>1182</v>
      </c>
      <c r="D261" s="4" t="s">
        <v>779</v>
      </c>
      <c r="E261" s="12" t="n">
        <v>2</v>
      </c>
      <c r="F261" s="4" t="s">
        <v>1770</v>
      </c>
      <c r="G261" s="4" t="s">
        <v>1771</v>
      </c>
      <c r="H261" s="4"/>
      <c r="I261" s="4"/>
    </row>
    <row r="262" customFormat="false" ht="25.5" hidden="false" customHeight="true" outlineLevel="0" collapsed="false">
      <c r="A262" s="4" t="s">
        <v>1181</v>
      </c>
      <c r="B262" s="4" t="s">
        <v>385</v>
      </c>
      <c r="C262" s="4" t="s">
        <v>1182</v>
      </c>
      <c r="D262" s="4" t="s">
        <v>779</v>
      </c>
      <c r="E262" s="12" t="n">
        <v>3</v>
      </c>
      <c r="F262" s="4" t="s">
        <v>1772</v>
      </c>
      <c r="G262" s="4" t="s">
        <v>1773</v>
      </c>
      <c r="H262" s="4"/>
      <c r="I262" s="4"/>
    </row>
    <row r="263" customFormat="false" ht="12.75" hidden="false" customHeight="true" outlineLevel="0" collapsed="false">
      <c r="A263" s="4" t="s">
        <v>1181</v>
      </c>
      <c r="B263" s="4" t="s">
        <v>385</v>
      </c>
      <c r="C263" s="4" t="s">
        <v>1182</v>
      </c>
      <c r="D263" s="4" t="s">
        <v>779</v>
      </c>
      <c r="E263" s="12" t="n">
        <v>4</v>
      </c>
      <c r="F263" s="4" t="s">
        <v>1774</v>
      </c>
      <c r="G263" s="4" t="s">
        <v>1775</v>
      </c>
      <c r="H263" s="4"/>
      <c r="I263" s="4"/>
    </row>
    <row r="264" customFormat="false" ht="25.5" hidden="false" customHeight="true" outlineLevel="0" collapsed="false">
      <c r="A264" s="4" t="s">
        <v>1188</v>
      </c>
      <c r="B264" s="4" t="s">
        <v>17</v>
      </c>
      <c r="C264" s="4" t="s">
        <v>1189</v>
      </c>
      <c r="D264" s="4" t="s">
        <v>779</v>
      </c>
      <c r="E264" s="12" t="n">
        <v>1</v>
      </c>
      <c r="F264" s="4" t="s">
        <v>1776</v>
      </c>
      <c r="G264" s="4" t="s">
        <v>1443</v>
      </c>
      <c r="H264" s="4"/>
      <c r="I264" s="4"/>
    </row>
    <row r="265" customFormat="false" ht="12.75" hidden="false" customHeight="true" outlineLevel="0" collapsed="false">
      <c r="A265" s="4" t="s">
        <v>1188</v>
      </c>
      <c r="B265" s="4" t="s">
        <v>17</v>
      </c>
      <c r="C265" s="4" t="s">
        <v>1189</v>
      </c>
      <c r="D265" s="4" t="s">
        <v>779</v>
      </c>
      <c r="E265" s="12" t="n">
        <v>2</v>
      </c>
      <c r="F265" s="4" t="s">
        <v>1491</v>
      </c>
      <c r="G265" s="4" t="s">
        <v>1777</v>
      </c>
      <c r="H265" s="4"/>
      <c r="I265" s="4"/>
    </row>
    <row r="266" customFormat="false" ht="12.75" hidden="false" customHeight="true" outlineLevel="0" collapsed="false">
      <c r="A266" s="4" t="s">
        <v>1188</v>
      </c>
      <c r="B266" s="4" t="s">
        <v>17</v>
      </c>
      <c r="C266" s="4" t="s">
        <v>1189</v>
      </c>
      <c r="D266" s="4" t="s">
        <v>779</v>
      </c>
      <c r="E266" s="12" t="n">
        <v>3</v>
      </c>
      <c r="F266" s="4" t="s">
        <v>1444</v>
      </c>
      <c r="G266" s="4" t="s">
        <v>1778</v>
      </c>
      <c r="H266" s="4"/>
      <c r="I266" s="4"/>
    </row>
    <row r="267" customFormat="false" ht="25.5" hidden="false" customHeight="true" outlineLevel="0" collapsed="false">
      <c r="A267" s="4" t="s">
        <v>1188</v>
      </c>
      <c r="B267" s="4" t="s">
        <v>17</v>
      </c>
      <c r="C267" s="4" t="s">
        <v>1189</v>
      </c>
      <c r="D267" s="4" t="s">
        <v>779</v>
      </c>
      <c r="E267" s="12" t="n">
        <v>4</v>
      </c>
      <c r="F267" s="4" t="s">
        <v>1779</v>
      </c>
      <c r="G267" s="4" t="s">
        <v>1780</v>
      </c>
      <c r="H267" s="4"/>
      <c r="I267" s="4"/>
    </row>
    <row r="268" customFormat="false" ht="12.75" hidden="false" customHeight="true" outlineLevel="0" collapsed="false">
      <c r="A268" s="4" t="s">
        <v>1188</v>
      </c>
      <c r="B268" s="4" t="s">
        <v>17</v>
      </c>
      <c r="C268" s="4" t="s">
        <v>1189</v>
      </c>
      <c r="D268" s="4" t="s">
        <v>779</v>
      </c>
      <c r="E268" s="12" t="n">
        <v>5</v>
      </c>
      <c r="F268" s="4" t="s">
        <v>1781</v>
      </c>
      <c r="G268" s="4" t="s">
        <v>1782</v>
      </c>
      <c r="H268" s="4"/>
      <c r="I268" s="4"/>
    </row>
    <row r="269" customFormat="false" ht="12.75" hidden="false" customHeight="true" outlineLevel="0" collapsed="false">
      <c r="A269" s="4" t="s">
        <v>1194</v>
      </c>
      <c r="B269" s="4" t="s">
        <v>307</v>
      </c>
      <c r="C269" s="4" t="s">
        <v>1197</v>
      </c>
      <c r="D269" s="4" t="s">
        <v>769</v>
      </c>
      <c r="E269" s="12" t="n">
        <v>1</v>
      </c>
      <c r="F269" s="4" t="s">
        <v>1783</v>
      </c>
      <c r="G269" s="4" t="s">
        <v>1784</v>
      </c>
      <c r="H269" s="4"/>
      <c r="I269" s="4"/>
    </row>
    <row r="270" customFormat="false" ht="12.75" hidden="false" customHeight="true" outlineLevel="0" collapsed="false">
      <c r="A270" s="4" t="s">
        <v>1194</v>
      </c>
      <c r="B270" s="4" t="s">
        <v>307</v>
      </c>
      <c r="C270" s="4" t="s">
        <v>1197</v>
      </c>
      <c r="D270" s="4" t="s">
        <v>769</v>
      </c>
      <c r="E270" s="12" t="n">
        <v>2</v>
      </c>
      <c r="F270" s="4" t="s">
        <v>1785</v>
      </c>
      <c r="G270" s="4" t="s">
        <v>1786</v>
      </c>
      <c r="H270" s="4"/>
      <c r="I270" s="4"/>
    </row>
    <row r="271" customFormat="false" ht="25.5" hidden="false" customHeight="true" outlineLevel="0" collapsed="false">
      <c r="A271" s="4" t="s">
        <v>1194</v>
      </c>
      <c r="B271" s="4" t="s">
        <v>307</v>
      </c>
      <c r="C271" s="4" t="s">
        <v>1197</v>
      </c>
      <c r="D271" s="4" t="s">
        <v>769</v>
      </c>
      <c r="E271" s="12" t="n">
        <v>3</v>
      </c>
      <c r="F271" s="4" t="s">
        <v>1787</v>
      </c>
      <c r="G271" s="4" t="s">
        <v>1788</v>
      </c>
      <c r="H271" s="4"/>
      <c r="I271" s="4"/>
    </row>
    <row r="272" customFormat="false" ht="25.5" hidden="false" customHeight="true" outlineLevel="0" collapsed="false">
      <c r="A272" s="4" t="s">
        <v>1194</v>
      </c>
      <c r="B272" s="4" t="s">
        <v>307</v>
      </c>
      <c r="C272" s="4" t="s">
        <v>1197</v>
      </c>
      <c r="D272" s="4" t="s">
        <v>769</v>
      </c>
      <c r="E272" s="12" t="n">
        <v>4</v>
      </c>
      <c r="F272" s="4" t="s">
        <v>1789</v>
      </c>
      <c r="G272" s="4" t="s">
        <v>1790</v>
      </c>
      <c r="H272" s="4"/>
      <c r="I272" s="4"/>
    </row>
    <row r="273" customFormat="false" ht="25.5" hidden="false" customHeight="true" outlineLevel="0" collapsed="false">
      <c r="A273" s="4" t="s">
        <v>1194</v>
      </c>
      <c r="B273" s="4" t="s">
        <v>307</v>
      </c>
      <c r="C273" s="4" t="s">
        <v>1197</v>
      </c>
      <c r="D273" s="4" t="s">
        <v>769</v>
      </c>
      <c r="E273" s="12" t="n">
        <v>5</v>
      </c>
      <c r="F273" s="4" t="s">
        <v>1791</v>
      </c>
      <c r="G273" s="4" t="s">
        <v>1792</v>
      </c>
      <c r="H273" s="4"/>
      <c r="I273" s="4"/>
    </row>
    <row r="274" customFormat="false" ht="12.75" hidden="false" customHeight="true" outlineLevel="0" collapsed="false">
      <c r="A274" s="4" t="s">
        <v>1202</v>
      </c>
      <c r="B274" s="4" t="s">
        <v>401</v>
      </c>
      <c r="C274" s="4" t="s">
        <v>1205</v>
      </c>
      <c r="D274" s="4" t="s">
        <v>769</v>
      </c>
      <c r="E274" s="12" t="n">
        <v>1</v>
      </c>
      <c r="F274" s="4" t="s">
        <v>1793</v>
      </c>
      <c r="G274" s="4" t="s">
        <v>1794</v>
      </c>
      <c r="H274" s="4"/>
      <c r="I274" s="4"/>
    </row>
    <row r="275" customFormat="false" ht="12.75" hidden="false" customHeight="true" outlineLevel="0" collapsed="false">
      <c r="A275" s="4" t="s">
        <v>1202</v>
      </c>
      <c r="B275" s="4" t="s">
        <v>401</v>
      </c>
      <c r="C275" s="4" t="s">
        <v>1205</v>
      </c>
      <c r="D275" s="4" t="s">
        <v>769</v>
      </c>
      <c r="E275" s="12" t="n">
        <v>2</v>
      </c>
      <c r="F275" s="4" t="s">
        <v>1795</v>
      </c>
      <c r="G275" s="4" t="s">
        <v>1796</v>
      </c>
      <c r="H275" s="4"/>
      <c r="I275" s="4"/>
    </row>
    <row r="276" customFormat="false" ht="25.5" hidden="false" customHeight="true" outlineLevel="0" collapsed="false">
      <c r="A276" s="4" t="s">
        <v>1202</v>
      </c>
      <c r="B276" s="4" t="s">
        <v>401</v>
      </c>
      <c r="C276" s="4" t="s">
        <v>1205</v>
      </c>
      <c r="D276" s="4" t="s">
        <v>769</v>
      </c>
      <c r="E276" s="12" t="n">
        <v>3</v>
      </c>
      <c r="F276" s="4" t="s">
        <v>1797</v>
      </c>
      <c r="G276" s="4" t="s">
        <v>1798</v>
      </c>
      <c r="H276" s="4"/>
      <c r="I276" s="4"/>
    </row>
    <row r="277" customFormat="false" ht="12.75" hidden="false" customHeight="true" outlineLevel="0" collapsed="false">
      <c r="A277" s="4" t="s">
        <v>1202</v>
      </c>
      <c r="B277" s="4" t="s">
        <v>401</v>
      </c>
      <c r="C277" s="4" t="s">
        <v>1205</v>
      </c>
      <c r="D277" s="4" t="s">
        <v>769</v>
      </c>
      <c r="E277" s="12" t="n">
        <v>4</v>
      </c>
      <c r="F277" s="4" t="s">
        <v>1359</v>
      </c>
      <c r="G277" s="4" t="s">
        <v>1799</v>
      </c>
      <c r="H277" s="4"/>
      <c r="I277" s="4"/>
    </row>
    <row r="278" customFormat="false" ht="12.75" hidden="false" customHeight="true" outlineLevel="0" collapsed="false">
      <c r="A278" s="4" t="s">
        <v>1210</v>
      </c>
      <c r="B278" s="4" t="s">
        <v>210</v>
      </c>
      <c r="C278" s="4" t="s">
        <v>1212</v>
      </c>
      <c r="D278" s="4" t="s">
        <v>769</v>
      </c>
      <c r="E278" s="12" t="n">
        <v>1</v>
      </c>
      <c r="F278" s="4" t="s">
        <v>1800</v>
      </c>
      <c r="G278" s="4" t="s">
        <v>1801</v>
      </c>
      <c r="H278" s="4"/>
      <c r="I278" s="4"/>
    </row>
    <row r="279" customFormat="false" ht="12.75" hidden="false" customHeight="true" outlineLevel="0" collapsed="false">
      <c r="A279" s="4" t="s">
        <v>1210</v>
      </c>
      <c r="B279" s="4" t="s">
        <v>210</v>
      </c>
      <c r="C279" s="4" t="s">
        <v>1212</v>
      </c>
      <c r="D279" s="4" t="s">
        <v>769</v>
      </c>
      <c r="E279" s="12" t="n">
        <v>2</v>
      </c>
      <c r="F279" s="4" t="s">
        <v>1802</v>
      </c>
      <c r="G279" s="4" t="s">
        <v>1803</v>
      </c>
      <c r="H279" s="4"/>
      <c r="I279" s="4"/>
    </row>
    <row r="280" customFormat="false" ht="25.5" hidden="false" customHeight="true" outlineLevel="0" collapsed="false">
      <c r="A280" s="4" t="s">
        <v>1210</v>
      </c>
      <c r="B280" s="4" t="s">
        <v>210</v>
      </c>
      <c r="C280" s="4" t="s">
        <v>1212</v>
      </c>
      <c r="D280" s="4" t="s">
        <v>769</v>
      </c>
      <c r="E280" s="12" t="n">
        <v>3</v>
      </c>
      <c r="F280" s="4" t="s">
        <v>1804</v>
      </c>
      <c r="G280" s="4" t="s">
        <v>1805</v>
      </c>
      <c r="H280" s="4"/>
      <c r="I280" s="4"/>
    </row>
    <row r="281" customFormat="false" ht="12.75" hidden="false" customHeight="true" outlineLevel="0" collapsed="false">
      <c r="A281" s="4" t="s">
        <v>1210</v>
      </c>
      <c r="B281" s="4" t="s">
        <v>210</v>
      </c>
      <c r="C281" s="4" t="s">
        <v>1212</v>
      </c>
      <c r="D281" s="4" t="s">
        <v>769</v>
      </c>
      <c r="E281" s="12" t="n">
        <v>4</v>
      </c>
      <c r="F281" s="4" t="s">
        <v>1359</v>
      </c>
      <c r="G281" s="4" t="s">
        <v>1806</v>
      </c>
      <c r="H281" s="4"/>
      <c r="I281" s="4"/>
    </row>
    <row r="282" customFormat="false" ht="12.75" hidden="false" customHeight="true" outlineLevel="0" collapsed="false">
      <c r="A282" s="4" t="s">
        <v>1217</v>
      </c>
      <c r="B282" s="4" t="s">
        <v>1218</v>
      </c>
      <c r="C282" s="4" t="s">
        <v>1220</v>
      </c>
      <c r="D282" s="4" t="s">
        <v>769</v>
      </c>
      <c r="E282" s="12" t="n">
        <v>1</v>
      </c>
      <c r="F282" s="4" t="s">
        <v>1807</v>
      </c>
      <c r="G282" s="4" t="s">
        <v>1808</v>
      </c>
      <c r="H282" s="4"/>
      <c r="I282" s="4"/>
    </row>
    <row r="283" customFormat="false" ht="25.5" hidden="false" customHeight="true" outlineLevel="0" collapsed="false">
      <c r="A283" s="4" t="s">
        <v>1217</v>
      </c>
      <c r="B283" s="4" t="s">
        <v>1218</v>
      </c>
      <c r="C283" s="4" t="s">
        <v>1220</v>
      </c>
      <c r="D283" s="4" t="s">
        <v>769</v>
      </c>
      <c r="E283" s="12" t="n">
        <v>2</v>
      </c>
      <c r="F283" s="4" t="s">
        <v>1809</v>
      </c>
      <c r="G283" s="4" t="s">
        <v>1810</v>
      </c>
      <c r="H283" s="4"/>
      <c r="I283" s="4"/>
    </row>
    <row r="284" customFormat="false" ht="25.5" hidden="false" customHeight="true" outlineLevel="0" collapsed="false">
      <c r="A284" s="4" t="s">
        <v>1217</v>
      </c>
      <c r="B284" s="4" t="s">
        <v>1218</v>
      </c>
      <c r="C284" s="4" t="s">
        <v>1220</v>
      </c>
      <c r="D284" s="4" t="s">
        <v>769</v>
      </c>
      <c r="E284" s="12" t="n">
        <v>3</v>
      </c>
      <c r="F284" s="4" t="s">
        <v>1811</v>
      </c>
      <c r="G284" s="4" t="s">
        <v>1812</v>
      </c>
      <c r="H284" s="4"/>
      <c r="I284" s="4"/>
    </row>
    <row r="285" customFormat="false" ht="12.75" hidden="false" customHeight="true" outlineLevel="0" collapsed="false">
      <c r="A285" s="4" t="s">
        <v>1217</v>
      </c>
      <c r="B285" s="4" t="s">
        <v>1218</v>
      </c>
      <c r="C285" s="4" t="s">
        <v>1220</v>
      </c>
      <c r="D285" s="4" t="s">
        <v>769</v>
      </c>
      <c r="E285" s="12" t="n">
        <v>4</v>
      </c>
      <c r="F285" s="4" t="s">
        <v>1813</v>
      </c>
      <c r="G285" s="4" t="s">
        <v>1814</v>
      </c>
      <c r="H285" s="4"/>
      <c r="I285" s="4"/>
    </row>
    <row r="286" customFormat="false" ht="12.75" hidden="false" customHeight="true" outlineLevel="0" collapsed="false">
      <c r="A286" s="4" t="s">
        <v>1227</v>
      </c>
      <c r="B286" s="4" t="s">
        <v>1218</v>
      </c>
      <c r="C286" s="4" t="s">
        <v>1228</v>
      </c>
      <c r="D286" s="4" t="s">
        <v>779</v>
      </c>
      <c r="E286" s="12" t="n">
        <v>1</v>
      </c>
      <c r="F286" s="4" t="s">
        <v>1815</v>
      </c>
      <c r="G286" s="4" t="s">
        <v>1816</v>
      </c>
      <c r="H286" s="4"/>
      <c r="I286" s="4"/>
    </row>
    <row r="287" customFormat="false" ht="25.5" hidden="false" customHeight="true" outlineLevel="0" collapsed="false">
      <c r="A287" s="4" t="s">
        <v>1227</v>
      </c>
      <c r="B287" s="4" t="s">
        <v>1218</v>
      </c>
      <c r="C287" s="4" t="s">
        <v>1228</v>
      </c>
      <c r="D287" s="4" t="s">
        <v>779</v>
      </c>
      <c r="E287" s="12" t="n">
        <v>2</v>
      </c>
      <c r="F287" s="4" t="s">
        <v>1817</v>
      </c>
      <c r="G287" s="4" t="s">
        <v>1818</v>
      </c>
      <c r="H287" s="4"/>
      <c r="I287" s="4"/>
    </row>
    <row r="288" customFormat="false" ht="12.75" hidden="false" customHeight="true" outlineLevel="0" collapsed="false">
      <c r="A288" s="4" t="s">
        <v>1227</v>
      </c>
      <c r="B288" s="4" t="s">
        <v>1218</v>
      </c>
      <c r="C288" s="4" t="s">
        <v>1228</v>
      </c>
      <c r="D288" s="4" t="s">
        <v>779</v>
      </c>
      <c r="E288" s="12" t="n">
        <v>3</v>
      </c>
      <c r="F288" s="4" t="s">
        <v>1819</v>
      </c>
      <c r="G288" s="4" t="s">
        <v>1820</v>
      </c>
      <c r="H288" s="4"/>
      <c r="I288" s="4"/>
    </row>
    <row r="289" customFormat="false" ht="12.75" hidden="false" customHeight="true" outlineLevel="0" collapsed="false">
      <c r="A289" s="4" t="s">
        <v>1227</v>
      </c>
      <c r="B289" s="4" t="s">
        <v>1218</v>
      </c>
      <c r="C289" s="4" t="s">
        <v>1228</v>
      </c>
      <c r="D289" s="4" t="s">
        <v>779</v>
      </c>
      <c r="E289" s="12" t="n">
        <v>4</v>
      </c>
      <c r="F289" s="4" t="s">
        <v>1821</v>
      </c>
      <c r="G289" s="4" t="s">
        <v>1822</v>
      </c>
      <c r="H289" s="4"/>
      <c r="I289" s="4"/>
    </row>
    <row r="290" customFormat="false" ht="12.75" hidden="false" customHeight="true" outlineLevel="0" collapsed="false">
      <c r="A290" s="4" t="s">
        <v>1235</v>
      </c>
      <c r="B290" s="4" t="s">
        <v>1236</v>
      </c>
      <c r="C290" s="4" t="s">
        <v>1238</v>
      </c>
      <c r="D290" s="4" t="s">
        <v>769</v>
      </c>
      <c r="E290" s="12" t="n">
        <v>1</v>
      </c>
      <c r="F290" s="4" t="s">
        <v>1823</v>
      </c>
      <c r="G290" s="4" t="s">
        <v>1824</v>
      </c>
      <c r="H290" s="4"/>
      <c r="I290" s="4"/>
    </row>
    <row r="291" customFormat="false" ht="12.75" hidden="false" customHeight="true" outlineLevel="0" collapsed="false">
      <c r="A291" s="4" t="s">
        <v>1235</v>
      </c>
      <c r="B291" s="4" t="s">
        <v>1236</v>
      </c>
      <c r="C291" s="4" t="s">
        <v>1238</v>
      </c>
      <c r="D291" s="4" t="s">
        <v>769</v>
      </c>
      <c r="E291" s="12" t="n">
        <v>2</v>
      </c>
      <c r="F291" s="4" t="s">
        <v>1825</v>
      </c>
      <c r="G291" s="4" t="s">
        <v>1826</v>
      </c>
      <c r="H291" s="4"/>
      <c r="I291" s="4"/>
    </row>
    <row r="292" customFormat="false" ht="12.75" hidden="false" customHeight="true" outlineLevel="0" collapsed="false">
      <c r="A292" s="4" t="s">
        <v>1235</v>
      </c>
      <c r="B292" s="4" t="s">
        <v>1236</v>
      </c>
      <c r="C292" s="4" t="s">
        <v>1238</v>
      </c>
      <c r="D292" s="4" t="s">
        <v>769</v>
      </c>
      <c r="E292" s="12" t="n">
        <v>3</v>
      </c>
      <c r="F292" s="4" t="s">
        <v>1827</v>
      </c>
      <c r="G292" s="4" t="s">
        <v>1828</v>
      </c>
      <c r="H292" s="4"/>
      <c r="I292" s="4"/>
    </row>
    <row r="293" customFormat="false" ht="12.75" hidden="false" customHeight="true" outlineLevel="0" collapsed="false">
      <c r="A293" s="4" t="s">
        <v>1235</v>
      </c>
      <c r="B293" s="4" t="s">
        <v>1236</v>
      </c>
      <c r="C293" s="4" t="s">
        <v>1238</v>
      </c>
      <c r="D293" s="4" t="s">
        <v>769</v>
      </c>
      <c r="E293" s="12" t="n">
        <v>4</v>
      </c>
      <c r="F293" s="4" t="s">
        <v>1829</v>
      </c>
      <c r="G293" s="4" t="s">
        <v>1830</v>
      </c>
      <c r="H293" s="4"/>
      <c r="I293" s="4"/>
    </row>
    <row r="294" customFormat="false" ht="12.75" hidden="false" customHeight="true" outlineLevel="0" collapsed="false">
      <c r="A294" s="4" t="s">
        <v>1245</v>
      </c>
      <c r="B294" s="4" t="s">
        <v>1236</v>
      </c>
      <c r="C294" s="4" t="s">
        <v>1246</v>
      </c>
      <c r="D294" s="4" t="s">
        <v>779</v>
      </c>
      <c r="E294" s="12" t="n">
        <v>1</v>
      </c>
      <c r="F294" s="4" t="s">
        <v>1831</v>
      </c>
      <c r="G294" s="4" t="s">
        <v>1832</v>
      </c>
      <c r="H294" s="4"/>
      <c r="I294" s="4"/>
    </row>
    <row r="295" customFormat="false" ht="12.75" hidden="false" customHeight="true" outlineLevel="0" collapsed="false">
      <c r="A295" s="4" t="s">
        <v>1245</v>
      </c>
      <c r="B295" s="4" t="s">
        <v>1236</v>
      </c>
      <c r="C295" s="4" t="s">
        <v>1246</v>
      </c>
      <c r="D295" s="4" t="s">
        <v>779</v>
      </c>
      <c r="E295" s="12" t="n">
        <v>2</v>
      </c>
      <c r="F295" s="4" t="s">
        <v>1833</v>
      </c>
      <c r="G295" s="4" t="s">
        <v>1834</v>
      </c>
      <c r="H295" s="4"/>
      <c r="I295" s="4"/>
    </row>
    <row r="296" customFormat="false" ht="12.75" hidden="false" customHeight="true" outlineLevel="0" collapsed="false">
      <c r="A296" s="4" t="s">
        <v>1245</v>
      </c>
      <c r="B296" s="4" t="s">
        <v>1236</v>
      </c>
      <c r="C296" s="4" t="s">
        <v>1246</v>
      </c>
      <c r="D296" s="4" t="s">
        <v>779</v>
      </c>
      <c r="E296" s="12" t="n">
        <v>3</v>
      </c>
      <c r="F296" s="4" t="s">
        <v>1835</v>
      </c>
      <c r="G296" s="4" t="s">
        <v>1836</v>
      </c>
      <c r="H296" s="4"/>
      <c r="I296" s="4"/>
    </row>
    <row r="297" customFormat="false" ht="12.75" hidden="false" customHeight="true" outlineLevel="0" collapsed="false">
      <c r="A297" s="4" t="s">
        <v>1245</v>
      </c>
      <c r="B297" s="4" t="s">
        <v>1236</v>
      </c>
      <c r="C297" s="4" t="s">
        <v>1246</v>
      </c>
      <c r="D297" s="4" t="s">
        <v>779</v>
      </c>
      <c r="E297" s="12" t="n">
        <v>4</v>
      </c>
      <c r="F297" s="4" t="s">
        <v>1837</v>
      </c>
      <c r="G297" s="4" t="s">
        <v>1838</v>
      </c>
      <c r="H297" s="4"/>
      <c r="I297" s="4"/>
    </row>
    <row r="298" customFormat="false" ht="12.75" hidden="false" customHeight="true" outlineLevel="0" collapsed="false">
      <c r="A298" s="4" t="s">
        <v>1253</v>
      </c>
      <c r="B298" s="4" t="s">
        <v>1254</v>
      </c>
      <c r="C298" s="4" t="s">
        <v>1256</v>
      </c>
      <c r="D298" s="4" t="s">
        <v>769</v>
      </c>
      <c r="E298" s="12" t="n">
        <v>1</v>
      </c>
      <c r="F298" s="4" t="s">
        <v>1839</v>
      </c>
      <c r="G298" s="4" t="s">
        <v>1840</v>
      </c>
      <c r="H298" s="4"/>
      <c r="I298" s="4"/>
    </row>
    <row r="299" customFormat="false" ht="12.75" hidden="false" customHeight="true" outlineLevel="0" collapsed="false">
      <c r="A299" s="4" t="s">
        <v>1253</v>
      </c>
      <c r="B299" s="4" t="s">
        <v>1254</v>
      </c>
      <c r="C299" s="4" t="s">
        <v>1256</v>
      </c>
      <c r="D299" s="4" t="s">
        <v>769</v>
      </c>
      <c r="E299" s="12" t="n">
        <v>2</v>
      </c>
      <c r="F299" s="4" t="s">
        <v>1841</v>
      </c>
      <c r="G299" s="4" t="s">
        <v>1842</v>
      </c>
      <c r="H299" s="4"/>
      <c r="I299" s="4"/>
    </row>
    <row r="300" customFormat="false" ht="12.75" hidden="false" customHeight="true" outlineLevel="0" collapsed="false">
      <c r="A300" s="4" t="s">
        <v>1253</v>
      </c>
      <c r="B300" s="4" t="s">
        <v>1254</v>
      </c>
      <c r="C300" s="4" t="s">
        <v>1256</v>
      </c>
      <c r="D300" s="4" t="s">
        <v>769</v>
      </c>
      <c r="E300" s="12" t="n">
        <v>3</v>
      </c>
      <c r="F300" s="4" t="s">
        <v>1843</v>
      </c>
      <c r="G300" s="4" t="s">
        <v>1844</v>
      </c>
      <c r="H300" s="4"/>
      <c r="I300" s="4"/>
    </row>
    <row r="301" customFormat="false" ht="12.75" hidden="false" customHeight="true" outlineLevel="0" collapsed="false">
      <c r="A301" s="4" t="s">
        <v>1253</v>
      </c>
      <c r="B301" s="4" t="s">
        <v>1254</v>
      </c>
      <c r="C301" s="4" t="s">
        <v>1256</v>
      </c>
      <c r="D301" s="4" t="s">
        <v>769</v>
      </c>
      <c r="E301" s="12" t="n">
        <v>4</v>
      </c>
      <c r="F301" s="4" t="s">
        <v>1845</v>
      </c>
      <c r="G301" s="4" t="s">
        <v>1846</v>
      </c>
      <c r="H301" s="4"/>
      <c r="I301" s="4"/>
    </row>
    <row r="302" customFormat="false" ht="12.75" hidden="false" customHeight="true" outlineLevel="0" collapsed="false">
      <c r="A302" s="4" t="s">
        <v>1263</v>
      </c>
      <c r="B302" s="4" t="s">
        <v>1264</v>
      </c>
      <c r="C302" s="4" t="s">
        <v>1266</v>
      </c>
      <c r="D302" s="4" t="s">
        <v>769</v>
      </c>
      <c r="E302" s="12" t="n">
        <v>1</v>
      </c>
      <c r="F302" s="4" t="s">
        <v>1847</v>
      </c>
      <c r="G302" s="4" t="s">
        <v>1848</v>
      </c>
      <c r="H302" s="4"/>
      <c r="I302" s="4"/>
    </row>
    <row r="303" customFormat="false" ht="12.75" hidden="false" customHeight="true" outlineLevel="0" collapsed="false">
      <c r="A303" s="4" t="s">
        <v>1263</v>
      </c>
      <c r="B303" s="4" t="s">
        <v>1264</v>
      </c>
      <c r="C303" s="4" t="s">
        <v>1266</v>
      </c>
      <c r="D303" s="4" t="s">
        <v>769</v>
      </c>
      <c r="E303" s="12" t="n">
        <v>2</v>
      </c>
      <c r="F303" s="4" t="s">
        <v>1849</v>
      </c>
      <c r="G303" s="4" t="s">
        <v>1850</v>
      </c>
      <c r="H303" s="4"/>
      <c r="I303" s="4"/>
    </row>
    <row r="304" customFormat="false" ht="12.75" hidden="false" customHeight="true" outlineLevel="0" collapsed="false">
      <c r="A304" s="4" t="s">
        <v>1263</v>
      </c>
      <c r="B304" s="4" t="s">
        <v>1264</v>
      </c>
      <c r="C304" s="4" t="s">
        <v>1266</v>
      </c>
      <c r="D304" s="4" t="s">
        <v>769</v>
      </c>
      <c r="E304" s="12" t="n">
        <v>3</v>
      </c>
      <c r="F304" s="4" t="s">
        <v>1851</v>
      </c>
      <c r="G304" s="4" t="s">
        <v>1852</v>
      </c>
      <c r="H304" s="4"/>
      <c r="I304" s="4"/>
    </row>
    <row r="305" customFormat="false" ht="12.75" hidden="false" customHeight="true" outlineLevel="0" collapsed="false">
      <c r="A305" s="4" t="s">
        <v>1263</v>
      </c>
      <c r="B305" s="4" t="s">
        <v>1264</v>
      </c>
      <c r="C305" s="4" t="s">
        <v>1266</v>
      </c>
      <c r="D305" s="4" t="s">
        <v>769</v>
      </c>
      <c r="E305" s="12" t="n">
        <v>4</v>
      </c>
      <c r="F305" s="4" t="s">
        <v>1853</v>
      </c>
      <c r="G305" s="4" t="s">
        <v>1854</v>
      </c>
      <c r="H305" s="4"/>
      <c r="I305" s="4"/>
    </row>
    <row r="306" customFormat="false" ht="12.75" hidden="false" customHeight="true" outlineLevel="0" collapsed="false">
      <c r="A306" s="4" t="s">
        <v>1272</v>
      </c>
      <c r="B306" s="4" t="s">
        <v>1264</v>
      </c>
      <c r="C306" s="4" t="s">
        <v>1274</v>
      </c>
      <c r="D306" s="4" t="s">
        <v>769</v>
      </c>
      <c r="E306" s="12" t="n">
        <v>1</v>
      </c>
      <c r="F306" s="4" t="s">
        <v>1855</v>
      </c>
      <c r="G306" s="4" t="s">
        <v>1856</v>
      </c>
      <c r="H306" s="4"/>
      <c r="I306" s="4"/>
    </row>
    <row r="307" customFormat="false" ht="12.75" hidden="false" customHeight="true" outlineLevel="0" collapsed="false">
      <c r="A307" s="4" t="s">
        <v>1272</v>
      </c>
      <c r="B307" s="4" t="s">
        <v>1264</v>
      </c>
      <c r="C307" s="4" t="s">
        <v>1274</v>
      </c>
      <c r="D307" s="4" t="s">
        <v>769</v>
      </c>
      <c r="E307" s="12" t="n">
        <v>2</v>
      </c>
      <c r="F307" s="4" t="s">
        <v>1857</v>
      </c>
      <c r="G307" s="4" t="s">
        <v>1858</v>
      </c>
      <c r="H307" s="4"/>
      <c r="I307" s="4"/>
    </row>
    <row r="308" customFormat="false" ht="12.75" hidden="false" customHeight="true" outlineLevel="0" collapsed="false">
      <c r="A308" s="4" t="s">
        <v>1272</v>
      </c>
      <c r="B308" s="4" t="s">
        <v>1264</v>
      </c>
      <c r="C308" s="4" t="s">
        <v>1274</v>
      </c>
      <c r="D308" s="4" t="s">
        <v>769</v>
      </c>
      <c r="E308" s="12" t="n">
        <v>3</v>
      </c>
      <c r="F308" s="4" t="s">
        <v>1859</v>
      </c>
      <c r="G308" s="4" t="s">
        <v>1860</v>
      </c>
      <c r="H308" s="4"/>
      <c r="I308" s="4"/>
    </row>
    <row r="309" customFormat="false" ht="12.75" hidden="false" customHeight="true" outlineLevel="0" collapsed="false">
      <c r="A309" s="4" t="s">
        <v>1272</v>
      </c>
      <c r="B309" s="4" t="s">
        <v>1264</v>
      </c>
      <c r="C309" s="4" t="s">
        <v>1274</v>
      </c>
      <c r="D309" s="4" t="s">
        <v>769</v>
      </c>
      <c r="E309" s="12" t="n">
        <v>4</v>
      </c>
      <c r="F309" s="4" t="s">
        <v>1861</v>
      </c>
      <c r="G309" s="4" t="s">
        <v>1862</v>
      </c>
      <c r="H309" s="4"/>
      <c r="I309" s="4"/>
    </row>
    <row r="310" customFormat="false" ht="12.75" hidden="false" customHeight="true" outlineLevel="0" collapsed="false">
      <c r="A310" s="4" t="s">
        <v>1281</v>
      </c>
      <c r="B310" s="4" t="s">
        <v>1282</v>
      </c>
      <c r="C310" s="4" t="s">
        <v>1284</v>
      </c>
      <c r="D310" s="4" t="s">
        <v>779</v>
      </c>
      <c r="E310" s="12" t="n">
        <v>1</v>
      </c>
      <c r="F310" s="4" t="s">
        <v>1863</v>
      </c>
      <c r="G310" s="4" t="s">
        <v>1864</v>
      </c>
      <c r="H310" s="4"/>
      <c r="I310" s="4"/>
    </row>
    <row r="311" customFormat="false" ht="12.75" hidden="false" customHeight="true" outlineLevel="0" collapsed="false">
      <c r="A311" s="4" t="s">
        <v>1281</v>
      </c>
      <c r="B311" s="4" t="s">
        <v>1282</v>
      </c>
      <c r="C311" s="4" t="s">
        <v>1284</v>
      </c>
      <c r="D311" s="4" t="s">
        <v>779</v>
      </c>
      <c r="E311" s="12" t="n">
        <v>2</v>
      </c>
      <c r="F311" s="4" t="s">
        <v>1865</v>
      </c>
      <c r="G311" s="4" t="s">
        <v>1866</v>
      </c>
      <c r="H311" s="4"/>
      <c r="I311" s="4"/>
    </row>
    <row r="312" customFormat="false" ht="12.75" hidden="false" customHeight="true" outlineLevel="0" collapsed="false">
      <c r="A312" s="4" t="s">
        <v>1281</v>
      </c>
      <c r="B312" s="4" t="s">
        <v>1282</v>
      </c>
      <c r="C312" s="4" t="s">
        <v>1284</v>
      </c>
      <c r="D312" s="4" t="s">
        <v>779</v>
      </c>
      <c r="E312" s="12" t="n">
        <v>3</v>
      </c>
      <c r="F312" s="4" t="s">
        <v>1867</v>
      </c>
      <c r="G312" s="4" t="s">
        <v>1868</v>
      </c>
      <c r="H312" s="4"/>
      <c r="I312" s="4"/>
    </row>
    <row r="313" customFormat="false" ht="12.75" hidden="false" customHeight="true" outlineLevel="0" collapsed="false">
      <c r="A313" s="4" t="s">
        <v>1281</v>
      </c>
      <c r="B313" s="4" t="s">
        <v>1282</v>
      </c>
      <c r="C313" s="4" t="s">
        <v>1284</v>
      </c>
      <c r="D313" s="4" t="s">
        <v>779</v>
      </c>
      <c r="E313" s="12" t="n">
        <v>4</v>
      </c>
      <c r="F313" s="4" t="s">
        <v>1869</v>
      </c>
      <c r="G313" s="4" t="s">
        <v>1870</v>
      </c>
      <c r="H313" s="4"/>
      <c r="I313" s="4"/>
    </row>
    <row r="314" customFormat="false" ht="12.75" hidden="false" customHeight="true" outlineLevel="0" collapsed="false">
      <c r="A314" s="4" t="s">
        <v>1291</v>
      </c>
      <c r="B314" s="4" t="s">
        <v>1292</v>
      </c>
      <c r="C314" s="4" t="s">
        <v>1293</v>
      </c>
      <c r="D314" s="4" t="s">
        <v>769</v>
      </c>
      <c r="E314" s="12" t="n">
        <v>1</v>
      </c>
      <c r="F314" s="4" t="s">
        <v>1871</v>
      </c>
      <c r="G314" s="4" t="s">
        <v>1872</v>
      </c>
      <c r="H314" s="4"/>
      <c r="I314" s="4"/>
    </row>
    <row r="315" customFormat="false" ht="12.75" hidden="false" customHeight="true" outlineLevel="0" collapsed="false">
      <c r="A315" s="4" t="s">
        <v>1291</v>
      </c>
      <c r="B315" s="4" t="s">
        <v>1292</v>
      </c>
      <c r="C315" s="4" t="s">
        <v>1293</v>
      </c>
      <c r="D315" s="4" t="s">
        <v>769</v>
      </c>
      <c r="E315" s="12" t="n">
        <v>2</v>
      </c>
      <c r="F315" s="4" t="s">
        <v>1873</v>
      </c>
      <c r="G315" s="4" t="s">
        <v>1874</v>
      </c>
      <c r="H315" s="4"/>
      <c r="I315" s="4"/>
    </row>
    <row r="316" customFormat="false" ht="25.5" hidden="false" customHeight="true" outlineLevel="0" collapsed="false">
      <c r="A316" s="4" t="s">
        <v>1291</v>
      </c>
      <c r="B316" s="4" t="s">
        <v>1292</v>
      </c>
      <c r="C316" s="4" t="s">
        <v>1293</v>
      </c>
      <c r="D316" s="4" t="s">
        <v>769</v>
      </c>
      <c r="E316" s="12" t="n">
        <v>3</v>
      </c>
      <c r="F316" s="4" t="s">
        <v>1875</v>
      </c>
      <c r="G316" s="4" t="s">
        <v>1876</v>
      </c>
      <c r="H316" s="4"/>
      <c r="I316" s="4"/>
    </row>
    <row r="317" customFormat="false" ht="12.75" hidden="false" customHeight="true" outlineLevel="0" collapsed="false">
      <c r="A317" s="4" t="s">
        <v>1291</v>
      </c>
      <c r="B317" s="4" t="s">
        <v>1292</v>
      </c>
      <c r="C317" s="4" t="s">
        <v>1293</v>
      </c>
      <c r="D317" s="4" t="s">
        <v>769</v>
      </c>
      <c r="E317" s="12" t="n">
        <v>4</v>
      </c>
      <c r="F317" s="4" t="s">
        <v>1877</v>
      </c>
      <c r="G317" s="4" t="s">
        <v>1878</v>
      </c>
      <c r="H317" s="4"/>
      <c r="I317" s="4"/>
    </row>
    <row r="318" customFormat="false" ht="12.75" hidden="false" customHeight="true" outlineLevel="0" collapsed="false">
      <c r="A318" s="4" t="s">
        <v>1300</v>
      </c>
      <c r="B318" s="4" t="s">
        <v>1292</v>
      </c>
      <c r="C318" s="4" t="s">
        <v>1302</v>
      </c>
      <c r="D318" s="4" t="s">
        <v>769</v>
      </c>
      <c r="E318" s="12" t="n">
        <v>1</v>
      </c>
      <c r="F318" s="4" t="s">
        <v>1879</v>
      </c>
      <c r="G318" s="4" t="s">
        <v>1880</v>
      </c>
      <c r="H318" s="4"/>
      <c r="I318" s="4"/>
    </row>
    <row r="319" customFormat="false" ht="12.75" hidden="false" customHeight="true" outlineLevel="0" collapsed="false">
      <c r="A319" s="4" t="s">
        <v>1300</v>
      </c>
      <c r="B319" s="4" t="s">
        <v>1292</v>
      </c>
      <c r="C319" s="4" t="s">
        <v>1302</v>
      </c>
      <c r="D319" s="4" t="s">
        <v>769</v>
      </c>
      <c r="E319" s="12" t="n">
        <v>2</v>
      </c>
      <c r="F319" s="4" t="s">
        <v>1881</v>
      </c>
      <c r="G319" s="4" t="s">
        <v>1882</v>
      </c>
      <c r="H319" s="4"/>
      <c r="I319" s="4"/>
    </row>
    <row r="320" customFormat="false" ht="12.75" hidden="false" customHeight="true" outlineLevel="0" collapsed="false">
      <c r="A320" s="4" t="s">
        <v>1300</v>
      </c>
      <c r="B320" s="4" t="s">
        <v>1292</v>
      </c>
      <c r="C320" s="4" t="s">
        <v>1302</v>
      </c>
      <c r="D320" s="4" t="s">
        <v>769</v>
      </c>
      <c r="E320" s="12" t="n">
        <v>3</v>
      </c>
      <c r="F320" s="4" t="s">
        <v>1883</v>
      </c>
      <c r="G320" s="4" t="s">
        <v>1884</v>
      </c>
      <c r="H320" s="4"/>
      <c r="I320" s="4"/>
    </row>
    <row r="321" customFormat="false" ht="12.75" hidden="false" customHeight="true" outlineLevel="0" collapsed="false">
      <c r="A321" s="4" t="s">
        <v>1300</v>
      </c>
      <c r="B321" s="4" t="s">
        <v>1292</v>
      </c>
      <c r="C321" s="4" t="s">
        <v>1302</v>
      </c>
      <c r="D321" s="4" t="s">
        <v>769</v>
      </c>
      <c r="E321" s="12" t="n">
        <v>4</v>
      </c>
      <c r="F321" s="4" t="s">
        <v>1885</v>
      </c>
      <c r="G321" s="4" t="s">
        <v>1886</v>
      </c>
      <c r="H321" s="4"/>
      <c r="I321" s="4"/>
    </row>
    <row r="322" customFormat="false" ht="12.75" hidden="false" customHeight="true" outlineLevel="0" collapsed="false">
      <c r="A322" s="4" t="s">
        <v>1309</v>
      </c>
      <c r="B322" s="4" t="s">
        <v>1310</v>
      </c>
      <c r="C322" s="4" t="s">
        <v>1312</v>
      </c>
      <c r="D322" s="4" t="s">
        <v>769</v>
      </c>
      <c r="E322" s="12" t="n">
        <v>1</v>
      </c>
      <c r="F322" s="4" t="s">
        <v>1887</v>
      </c>
      <c r="G322" s="4" t="s">
        <v>1888</v>
      </c>
      <c r="H322" s="4"/>
      <c r="I322" s="4"/>
    </row>
    <row r="323" customFormat="false" ht="12.75" hidden="false" customHeight="true" outlineLevel="0" collapsed="false">
      <c r="A323" s="4" t="s">
        <v>1309</v>
      </c>
      <c r="B323" s="4" t="s">
        <v>1310</v>
      </c>
      <c r="C323" s="4" t="s">
        <v>1312</v>
      </c>
      <c r="D323" s="4" t="s">
        <v>769</v>
      </c>
      <c r="E323" s="12" t="n">
        <v>2</v>
      </c>
      <c r="F323" s="4" t="s">
        <v>1889</v>
      </c>
      <c r="G323" s="4" t="s">
        <v>1890</v>
      </c>
      <c r="H323" s="4"/>
      <c r="I323" s="4"/>
    </row>
    <row r="324" customFormat="false" ht="12.75" hidden="false" customHeight="true" outlineLevel="0" collapsed="false">
      <c r="A324" s="4" t="s">
        <v>1309</v>
      </c>
      <c r="B324" s="4" t="s">
        <v>1310</v>
      </c>
      <c r="C324" s="4" t="s">
        <v>1312</v>
      </c>
      <c r="D324" s="4" t="s">
        <v>769</v>
      </c>
      <c r="E324" s="12" t="n">
        <v>3</v>
      </c>
      <c r="F324" s="4" t="s">
        <v>1891</v>
      </c>
      <c r="G324" s="4" t="s">
        <v>1892</v>
      </c>
      <c r="H324" s="4"/>
      <c r="I324" s="4"/>
    </row>
    <row r="325" customFormat="false" ht="12.75" hidden="false" customHeight="true" outlineLevel="0" collapsed="false">
      <c r="A325" s="4" t="s">
        <v>1309</v>
      </c>
      <c r="B325" s="4" t="s">
        <v>1310</v>
      </c>
      <c r="C325" s="4" t="s">
        <v>1312</v>
      </c>
      <c r="D325" s="4" t="s">
        <v>769</v>
      </c>
      <c r="E325" s="12" t="n">
        <v>4</v>
      </c>
      <c r="F325" s="4" t="s">
        <v>1893</v>
      </c>
      <c r="G325" s="4" t="s">
        <v>1894</v>
      </c>
      <c r="H325" s="4"/>
      <c r="I325" s="4"/>
    </row>
  </sheetData>
  <dataValidations count="1">
    <dataValidation allowBlank="true" errorStyle="stop" operator="between" showDropDown="false" showErrorMessage="false" showInputMessage="false" sqref="I5:I32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1"/>
    <col collapsed="false" customWidth="true" hidden="false" outlineLevel="0" max="4" min="4" style="0" width="14"/>
    <col collapsed="false" customWidth="true" hidden="false" outlineLevel="0" max="5" min="5" style="0" width="13"/>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72"/>
  </cols>
  <sheetData>
    <row r="1" customFormat="false" ht="15" hidden="false" customHeight="false" outlineLevel="0" collapsed="false">
      <c r="A1" s="1" t="s">
        <v>1895</v>
      </c>
    </row>
    <row r="2" customFormat="false" ht="30" hidden="false" customHeight="true" outlineLevel="0" collapsed="false">
      <c r="A2" s="5" t="s">
        <v>1896</v>
      </c>
    </row>
    <row r="4" customFormat="false" ht="30" hidden="false" customHeight="true" outlineLevel="0" collapsed="false">
      <c r="A4" s="6" t="s">
        <v>1897</v>
      </c>
      <c r="B4" s="6" t="s">
        <v>1898</v>
      </c>
      <c r="C4" s="6" t="s">
        <v>755</v>
      </c>
      <c r="D4" s="6" t="s">
        <v>143</v>
      </c>
      <c r="E4" s="6" t="s">
        <v>41</v>
      </c>
      <c r="F4" s="6" t="s">
        <v>1899</v>
      </c>
      <c r="G4" s="6" t="s">
        <v>1900</v>
      </c>
      <c r="H4" s="6" t="s">
        <v>1901</v>
      </c>
      <c r="I4" s="6" t="s">
        <v>1902</v>
      </c>
      <c r="J4" s="6" t="s">
        <v>1903</v>
      </c>
    </row>
    <row r="5" customFormat="false" ht="27.75" hidden="false" customHeight="true" outlineLevel="0" collapsed="false">
      <c r="A5" s="11" t="s">
        <v>1904</v>
      </c>
      <c r="B5" s="11" t="s">
        <v>1905</v>
      </c>
      <c r="C5" s="11" t="s">
        <v>766</v>
      </c>
      <c r="D5" s="11" t="s">
        <v>1906</v>
      </c>
      <c r="E5" s="11" t="s">
        <v>1907</v>
      </c>
      <c r="F5" s="11" t="s">
        <v>1908</v>
      </c>
      <c r="G5" s="11" t="s">
        <v>183</v>
      </c>
      <c r="H5" s="11" t="s">
        <v>183</v>
      </c>
      <c r="I5" s="11" t="n">
        <v>6</v>
      </c>
      <c r="J5" s="11" t="s">
        <v>1909</v>
      </c>
    </row>
    <row r="6" customFormat="false" ht="15" hidden="false" customHeight="false" outlineLevel="0" collapsed="false">
      <c r="A6" s="13"/>
      <c r="B6" s="13"/>
      <c r="C6" s="13"/>
      <c r="D6" s="13"/>
      <c r="E6" s="13"/>
      <c r="F6" s="13"/>
      <c r="G6" s="13"/>
      <c r="H6" s="13"/>
      <c r="I6" s="13"/>
      <c r="J6" s="13"/>
    </row>
    <row r="7" customFormat="false" ht="15" hidden="false" customHeight="false" outlineLevel="0" collapsed="false">
      <c r="A7" s="13"/>
      <c r="B7" s="13"/>
      <c r="C7" s="13"/>
      <c r="D7" s="13"/>
      <c r="E7" s="13"/>
      <c r="F7" s="13"/>
      <c r="G7" s="13"/>
      <c r="H7" s="13"/>
      <c r="I7" s="13"/>
      <c r="J7" s="13"/>
    </row>
    <row r="8" customFormat="false" ht="15" hidden="false" customHeight="false" outlineLevel="0" collapsed="false">
      <c r="A8" s="13"/>
      <c r="B8" s="13"/>
      <c r="C8" s="13"/>
      <c r="D8" s="13"/>
      <c r="E8" s="13"/>
      <c r="F8" s="13"/>
      <c r="G8" s="13"/>
      <c r="H8" s="13"/>
      <c r="I8" s="13"/>
      <c r="J8" s="13"/>
    </row>
    <row r="9" customFormat="false" ht="15" hidden="false" customHeight="false" outlineLevel="0" collapsed="false">
      <c r="A9" s="13"/>
      <c r="B9" s="13"/>
      <c r="C9" s="13"/>
      <c r="D9" s="13"/>
      <c r="E9" s="13"/>
      <c r="F9" s="13"/>
      <c r="G9" s="13"/>
      <c r="H9" s="13"/>
      <c r="I9" s="13"/>
      <c r="J9" s="13"/>
    </row>
    <row r="10" customFormat="false" ht="15" hidden="false" customHeight="false" outlineLevel="0" collapsed="false">
      <c r="A10" s="13"/>
      <c r="B10" s="13"/>
      <c r="C10" s="13"/>
      <c r="D10" s="13"/>
      <c r="E10" s="13"/>
      <c r="F10" s="13"/>
      <c r="G10" s="13"/>
      <c r="H10" s="13"/>
      <c r="I10" s="13"/>
      <c r="J10" s="13"/>
    </row>
    <row r="11" customFormat="false" ht="15" hidden="false" customHeight="false" outlineLevel="0" collapsed="false">
      <c r="A11" s="13"/>
      <c r="B11" s="13"/>
      <c r="C11" s="13"/>
      <c r="D11" s="13"/>
      <c r="E11" s="13"/>
      <c r="F11" s="13"/>
      <c r="G11" s="13"/>
      <c r="H11" s="13"/>
      <c r="I11" s="13"/>
      <c r="J11" s="13"/>
    </row>
    <row r="12" customFormat="false" ht="15" hidden="false" customHeight="false" outlineLevel="0" collapsed="false">
      <c r="A12" s="13"/>
      <c r="B12" s="13"/>
      <c r="C12" s="13"/>
      <c r="D12" s="13"/>
      <c r="E12" s="13"/>
      <c r="F12" s="13"/>
      <c r="G12" s="13"/>
      <c r="H12" s="13"/>
      <c r="I12" s="13"/>
      <c r="J12" s="13"/>
    </row>
    <row r="13" customFormat="false" ht="15" hidden="false" customHeight="false" outlineLevel="0" collapsed="false">
      <c r="A13" s="13"/>
      <c r="B13" s="13"/>
      <c r="C13" s="13"/>
      <c r="D13" s="13"/>
      <c r="E13" s="13"/>
      <c r="F13" s="13"/>
      <c r="G13" s="13"/>
      <c r="H13" s="13"/>
      <c r="I13" s="13"/>
      <c r="J13" s="13"/>
    </row>
    <row r="14" customFormat="false" ht="15" hidden="false" customHeight="false" outlineLevel="0" collapsed="false">
      <c r="A14" s="13"/>
      <c r="B14" s="13"/>
      <c r="C14" s="13"/>
      <c r="D14" s="13"/>
      <c r="E14" s="13"/>
      <c r="F14" s="13"/>
      <c r="G14" s="13"/>
      <c r="H14" s="13"/>
      <c r="I14" s="13"/>
      <c r="J14" s="13"/>
    </row>
    <row r="15" customFormat="false" ht="15" hidden="false" customHeight="false" outlineLevel="0" collapsed="false">
      <c r="A15" s="13"/>
      <c r="B15" s="13"/>
      <c r="C15" s="13"/>
      <c r="D15" s="13"/>
      <c r="E15" s="13"/>
      <c r="F15" s="13"/>
      <c r="G15" s="13"/>
      <c r="H15" s="13"/>
      <c r="I15" s="13"/>
      <c r="J15" s="13"/>
    </row>
    <row r="16" customFormat="false" ht="15" hidden="false" customHeight="false" outlineLevel="0" collapsed="false">
      <c r="A16" s="13"/>
      <c r="B16" s="13"/>
      <c r="C16" s="13"/>
      <c r="D16" s="13"/>
      <c r="E16" s="13"/>
      <c r="F16" s="13"/>
      <c r="G16" s="13"/>
      <c r="H16" s="13"/>
      <c r="I16" s="13"/>
      <c r="J16" s="13"/>
    </row>
    <row r="17" customFormat="false" ht="15" hidden="false" customHeight="false" outlineLevel="0" collapsed="false">
      <c r="A17" s="13"/>
      <c r="B17" s="13"/>
      <c r="C17" s="13"/>
      <c r="D17" s="13"/>
      <c r="E17" s="13"/>
      <c r="F17" s="13"/>
      <c r="G17" s="13"/>
      <c r="H17" s="13"/>
      <c r="I17" s="13"/>
      <c r="J17" s="13"/>
    </row>
    <row r="18" customFormat="false" ht="15" hidden="false" customHeight="false" outlineLevel="0" collapsed="false">
      <c r="A18" s="13"/>
      <c r="B18" s="13"/>
      <c r="C18" s="13"/>
      <c r="D18" s="13"/>
      <c r="E18" s="13"/>
      <c r="F18" s="13"/>
      <c r="G18" s="13"/>
      <c r="H18" s="13"/>
      <c r="I18" s="13"/>
      <c r="J18" s="13"/>
    </row>
    <row r="19" customFormat="false" ht="15" hidden="false" customHeight="false" outlineLevel="0" collapsed="false">
      <c r="A19" s="13"/>
      <c r="B19" s="13"/>
      <c r="C19" s="13"/>
      <c r="D19" s="13"/>
      <c r="E19" s="13"/>
      <c r="F19" s="13"/>
      <c r="G19" s="13"/>
      <c r="H19" s="13"/>
      <c r="I19" s="13"/>
      <c r="J19" s="13"/>
    </row>
    <row r="20" customFormat="false" ht="15" hidden="false" customHeight="false" outlineLevel="0" collapsed="false">
      <c r="A20" s="13"/>
      <c r="B20" s="13"/>
      <c r="C20" s="13"/>
      <c r="D20" s="13"/>
      <c r="E20" s="13"/>
      <c r="F20" s="13"/>
      <c r="G20" s="13"/>
      <c r="H20" s="13"/>
      <c r="I20" s="13"/>
      <c r="J20" s="13"/>
    </row>
    <row r="21" customFormat="false" ht="15" hidden="false" customHeight="false" outlineLevel="0" collapsed="false">
      <c r="A21" s="13"/>
      <c r="B21" s="13"/>
      <c r="C21" s="13"/>
      <c r="D21" s="13"/>
      <c r="E21" s="13"/>
      <c r="F21" s="13"/>
      <c r="G21" s="13"/>
      <c r="H21" s="13"/>
      <c r="I21" s="13"/>
      <c r="J21" s="13"/>
    </row>
    <row r="22" customFormat="false" ht="15" hidden="false" customHeight="false" outlineLevel="0" collapsed="false">
      <c r="A22" s="13"/>
      <c r="B22" s="13"/>
      <c r="C22" s="13"/>
      <c r="D22" s="13"/>
      <c r="E22" s="13"/>
      <c r="F22" s="13"/>
      <c r="G22" s="13"/>
      <c r="H22" s="13"/>
      <c r="I22" s="13"/>
      <c r="J22" s="13"/>
    </row>
    <row r="23" customFormat="false" ht="15" hidden="false" customHeight="false" outlineLevel="0" collapsed="false">
      <c r="A23" s="13"/>
      <c r="B23" s="13"/>
      <c r="C23" s="13"/>
      <c r="D23" s="13"/>
      <c r="E23" s="13"/>
      <c r="F23" s="13"/>
      <c r="G23" s="13"/>
      <c r="H23" s="13"/>
      <c r="I23" s="13"/>
      <c r="J23" s="13"/>
    </row>
    <row r="24" customFormat="false" ht="15" hidden="false" customHeight="false" outlineLevel="0" collapsed="false">
      <c r="A24" s="13"/>
      <c r="B24" s="13"/>
      <c r="C24" s="13"/>
      <c r="D24" s="13"/>
      <c r="E24" s="13"/>
      <c r="F24" s="13"/>
      <c r="G24" s="13"/>
      <c r="H24" s="13"/>
      <c r="I24" s="13"/>
      <c r="J24" s="13"/>
    </row>
    <row r="25" customFormat="false" ht="15" hidden="false" customHeight="false" outlineLevel="0" collapsed="false">
      <c r="A25" s="13"/>
      <c r="B25" s="13"/>
      <c r="C25" s="13"/>
      <c r="D25" s="13"/>
      <c r="E25" s="13"/>
      <c r="F25" s="13"/>
      <c r="G25" s="13"/>
      <c r="H25" s="13"/>
      <c r="I25" s="13"/>
      <c r="J25" s="13"/>
    </row>
    <row r="26" customFormat="false" ht="15" hidden="false" customHeight="false" outlineLevel="0" collapsed="false">
      <c r="A26" s="13"/>
      <c r="B26" s="13"/>
      <c r="C26" s="13"/>
      <c r="D26" s="13"/>
      <c r="E26" s="13"/>
      <c r="F26" s="13"/>
      <c r="G26" s="13"/>
      <c r="H26" s="13"/>
      <c r="I26" s="13"/>
      <c r="J26" s="13"/>
    </row>
    <row r="27" customFormat="false" ht="15" hidden="false" customHeight="false" outlineLevel="0" collapsed="false">
      <c r="A27" s="13"/>
      <c r="B27" s="13"/>
      <c r="C27" s="13"/>
      <c r="D27" s="13"/>
      <c r="E27" s="13"/>
      <c r="F27" s="13"/>
      <c r="G27" s="13"/>
      <c r="H27" s="13"/>
      <c r="I27" s="13"/>
      <c r="J27" s="13"/>
    </row>
    <row r="28" customFormat="false" ht="15" hidden="false" customHeight="false" outlineLevel="0" collapsed="false">
      <c r="A28" s="13"/>
      <c r="B28" s="13"/>
      <c r="C28" s="13"/>
      <c r="D28" s="13"/>
      <c r="E28" s="13"/>
      <c r="F28" s="13"/>
      <c r="G28" s="13"/>
      <c r="H28" s="13"/>
      <c r="I28" s="13"/>
      <c r="J28" s="13"/>
    </row>
    <row r="29" customFormat="false" ht="15" hidden="false" customHeight="false" outlineLevel="0" collapsed="false">
      <c r="A29" s="13"/>
      <c r="B29" s="13"/>
      <c r="C29" s="13"/>
      <c r="D29" s="13"/>
      <c r="E29" s="13"/>
      <c r="F29" s="13"/>
      <c r="G29" s="13"/>
      <c r="H29" s="13"/>
      <c r="I29" s="13"/>
      <c r="J29" s="13"/>
    </row>
    <row r="30" customFormat="false" ht="15" hidden="false" customHeight="false" outlineLevel="0" collapsed="false">
      <c r="A30" s="13"/>
      <c r="B30" s="13"/>
      <c r="C30" s="13"/>
      <c r="D30" s="13"/>
      <c r="E30" s="13"/>
      <c r="F30" s="13"/>
      <c r="G30" s="13"/>
      <c r="H30" s="13"/>
      <c r="I30" s="13"/>
      <c r="J30" s="13"/>
    </row>
    <row r="31" customFormat="false" ht="15" hidden="false" customHeight="false" outlineLevel="0" collapsed="false">
      <c r="A31" s="13"/>
      <c r="B31" s="13"/>
      <c r="C31" s="13"/>
      <c r="D31" s="13"/>
      <c r="E31" s="13"/>
      <c r="F31" s="13"/>
      <c r="G31" s="13"/>
      <c r="H31" s="13"/>
      <c r="I31" s="13"/>
      <c r="J31" s="13"/>
    </row>
    <row r="32" customFormat="false" ht="15" hidden="false" customHeight="false" outlineLevel="0" collapsed="false">
      <c r="A32" s="13"/>
      <c r="B32" s="13"/>
      <c r="C32" s="13"/>
      <c r="D32" s="13"/>
      <c r="E32" s="13"/>
      <c r="F32" s="13"/>
      <c r="G32" s="13"/>
      <c r="H32" s="13"/>
      <c r="I32" s="13"/>
      <c r="J32" s="13"/>
    </row>
    <row r="33" customFormat="false" ht="15" hidden="false" customHeight="false" outlineLevel="0" collapsed="false">
      <c r="A33" s="13"/>
      <c r="B33" s="13"/>
      <c r="C33" s="13"/>
      <c r="D33" s="13"/>
      <c r="E33" s="13"/>
      <c r="F33" s="13"/>
      <c r="G33" s="13"/>
      <c r="H33" s="13"/>
      <c r="I33" s="13"/>
      <c r="J33" s="13"/>
    </row>
    <row r="34" customFormat="false" ht="15" hidden="false" customHeight="false" outlineLevel="0" collapsed="false">
      <c r="A34" s="13"/>
      <c r="B34" s="13"/>
      <c r="C34" s="13"/>
      <c r="D34" s="13"/>
      <c r="E34" s="13"/>
      <c r="F34" s="13"/>
      <c r="G34" s="13"/>
      <c r="H34" s="13"/>
      <c r="I34" s="13"/>
      <c r="J34" s="13"/>
    </row>
    <row r="35" customFormat="false" ht="15" hidden="false" customHeight="false" outlineLevel="0" collapsed="false">
      <c r="A35" s="13"/>
      <c r="B35" s="13"/>
      <c r="C35" s="13"/>
      <c r="D35" s="13"/>
      <c r="E35" s="13"/>
      <c r="F35" s="13"/>
      <c r="G35" s="13"/>
      <c r="H35" s="13"/>
      <c r="I35" s="13"/>
      <c r="J35" s="13"/>
    </row>
    <row r="36" customFormat="false" ht="15" hidden="false" customHeight="false" outlineLevel="0" collapsed="false">
      <c r="A36" s="13"/>
      <c r="B36" s="13"/>
      <c r="C36" s="13"/>
      <c r="D36" s="13"/>
      <c r="E36" s="13"/>
      <c r="F36" s="13"/>
      <c r="G36" s="13"/>
      <c r="H36" s="13"/>
      <c r="I36" s="13"/>
      <c r="J36" s="13"/>
    </row>
    <row r="37" customFormat="false" ht="15" hidden="false" customHeight="false" outlineLevel="0" collapsed="false">
      <c r="A37" s="13"/>
      <c r="B37" s="13"/>
      <c r="C37" s="13"/>
      <c r="D37" s="13"/>
      <c r="E37" s="13"/>
      <c r="F37" s="13"/>
      <c r="G37" s="13"/>
      <c r="H37" s="13"/>
      <c r="I37" s="13"/>
      <c r="J37" s="13"/>
    </row>
    <row r="38" customFormat="false" ht="15" hidden="false" customHeight="false" outlineLevel="0" collapsed="false">
      <c r="A38" s="13"/>
      <c r="B38" s="13"/>
      <c r="C38" s="13"/>
      <c r="D38" s="13"/>
      <c r="E38" s="13"/>
      <c r="F38" s="13"/>
      <c r="G38" s="13"/>
      <c r="H38" s="13"/>
      <c r="I38" s="13"/>
      <c r="J38" s="13"/>
    </row>
    <row r="39" customFormat="false" ht="15" hidden="false" customHeight="false" outlineLevel="0" collapsed="false">
      <c r="A39" s="13"/>
      <c r="B39" s="13"/>
      <c r="C39" s="13"/>
      <c r="D39" s="13"/>
      <c r="E39" s="13"/>
      <c r="F39" s="13"/>
      <c r="G39" s="13"/>
      <c r="H39" s="13"/>
      <c r="I39" s="13"/>
      <c r="J39" s="13"/>
    </row>
    <row r="40" customFormat="false" ht="15" hidden="false" customHeight="false" outlineLevel="0" collapsed="false">
      <c r="A40" s="13"/>
      <c r="B40" s="13"/>
      <c r="C40" s="13"/>
      <c r="D40" s="13"/>
      <c r="E40" s="13"/>
      <c r="F40" s="13"/>
      <c r="G40" s="13"/>
      <c r="H40" s="13"/>
      <c r="I40" s="13"/>
      <c r="J40" s="13"/>
    </row>
    <row r="41" customFormat="false" ht="15" hidden="false" customHeight="false" outlineLevel="0" collapsed="false">
      <c r="A41" s="13"/>
      <c r="B41" s="13"/>
      <c r="C41" s="13"/>
      <c r="D41" s="13"/>
      <c r="E41" s="13"/>
      <c r="F41" s="13"/>
      <c r="G41" s="13"/>
      <c r="H41" s="13"/>
      <c r="I41" s="13"/>
      <c r="J41" s="13"/>
    </row>
    <row r="42" customFormat="false" ht="15" hidden="false" customHeight="false" outlineLevel="0" collapsed="false">
      <c r="A42" s="13"/>
      <c r="B42" s="13"/>
      <c r="C42" s="13"/>
      <c r="D42" s="13"/>
      <c r="E42" s="13"/>
      <c r="F42" s="13"/>
      <c r="G42" s="13"/>
      <c r="H42" s="13"/>
      <c r="I42" s="13"/>
      <c r="J42" s="13"/>
    </row>
    <row r="43" customFormat="false" ht="15" hidden="false" customHeight="false" outlineLevel="0" collapsed="false">
      <c r="A43" s="13"/>
      <c r="B43" s="13"/>
      <c r="C43" s="13"/>
      <c r="D43" s="13"/>
      <c r="E43" s="13"/>
      <c r="F43" s="13"/>
      <c r="G43" s="13"/>
      <c r="H43" s="13"/>
      <c r="I43" s="13"/>
      <c r="J43" s="13"/>
    </row>
    <row r="44" customFormat="false" ht="15" hidden="false" customHeight="false" outlineLevel="0" collapsed="false">
      <c r="A44" s="13"/>
      <c r="B44" s="13"/>
      <c r="C44" s="13"/>
      <c r="D44" s="13"/>
      <c r="E44" s="13"/>
      <c r="F44" s="13"/>
      <c r="G44" s="13"/>
      <c r="H44" s="13"/>
      <c r="I44" s="13"/>
      <c r="J44" s="13"/>
    </row>
    <row r="45" customFormat="false" ht="15" hidden="false" customHeight="false" outlineLevel="0" collapsed="false">
      <c r="A45" s="13"/>
      <c r="B45" s="13"/>
      <c r="C45" s="13"/>
      <c r="D45" s="13"/>
      <c r="E45" s="13"/>
      <c r="F45" s="13"/>
      <c r="G45" s="13"/>
      <c r="H45" s="13"/>
      <c r="I45" s="13"/>
      <c r="J45" s="13"/>
    </row>
    <row r="46" customFormat="false" ht="15" hidden="false" customHeight="false" outlineLevel="0" collapsed="false">
      <c r="A46" s="13"/>
      <c r="B46" s="13"/>
      <c r="C46" s="13"/>
      <c r="D46" s="13"/>
      <c r="E46" s="13"/>
      <c r="F46" s="13"/>
      <c r="G46" s="13"/>
      <c r="H46" s="13"/>
      <c r="I46" s="13"/>
      <c r="J46" s="13"/>
    </row>
    <row r="47" customFormat="false" ht="15" hidden="false" customHeight="false" outlineLevel="0" collapsed="false">
      <c r="A47" s="13"/>
      <c r="B47" s="13"/>
      <c r="C47" s="13"/>
      <c r="D47" s="13"/>
      <c r="E47" s="13"/>
      <c r="F47" s="13"/>
      <c r="G47" s="13"/>
      <c r="H47" s="13"/>
      <c r="I47" s="13"/>
      <c r="J47" s="13"/>
    </row>
    <row r="48" customFormat="false" ht="15" hidden="false" customHeight="false" outlineLevel="0" collapsed="false">
      <c r="A48" s="13"/>
      <c r="B48" s="13"/>
      <c r="C48" s="13"/>
      <c r="D48" s="13"/>
      <c r="E48" s="13"/>
      <c r="F48" s="13"/>
      <c r="G48" s="13"/>
      <c r="H48" s="13"/>
      <c r="I48" s="13"/>
      <c r="J48" s="13"/>
    </row>
    <row r="49" customFormat="false" ht="15" hidden="false" customHeight="false" outlineLevel="0" collapsed="false">
      <c r="A49" s="13"/>
      <c r="B49" s="13"/>
      <c r="C49" s="13"/>
      <c r="D49" s="13"/>
      <c r="E49" s="13"/>
      <c r="F49" s="13"/>
      <c r="G49" s="13"/>
      <c r="H49" s="13"/>
      <c r="I49" s="13"/>
      <c r="J49" s="13"/>
    </row>
    <row r="50" customFormat="false" ht="15" hidden="false" customHeight="false" outlineLevel="0" collapsed="false">
      <c r="A50" s="13"/>
      <c r="B50" s="13"/>
      <c r="C50" s="13"/>
      <c r="D50" s="13"/>
      <c r="E50" s="13"/>
      <c r="F50" s="13"/>
      <c r="G50" s="13"/>
      <c r="H50" s="13"/>
      <c r="I50" s="13"/>
      <c r="J50" s="13"/>
    </row>
    <row r="51" customFormat="false" ht="15" hidden="false" customHeight="false" outlineLevel="0" collapsed="false">
      <c r="A51" s="13"/>
      <c r="B51" s="13"/>
      <c r="C51" s="13"/>
      <c r="D51" s="13"/>
      <c r="E51" s="13"/>
      <c r="F51" s="13"/>
      <c r="G51" s="13"/>
      <c r="H51" s="13"/>
      <c r="I51" s="13"/>
      <c r="J51" s="13"/>
    </row>
    <row r="52" customFormat="false" ht="15" hidden="false" customHeight="false" outlineLevel="0" collapsed="false">
      <c r="A52" s="13"/>
      <c r="B52" s="13"/>
      <c r="C52" s="13"/>
      <c r="D52" s="13"/>
      <c r="E52" s="13"/>
      <c r="F52" s="13"/>
      <c r="G52" s="13"/>
      <c r="H52" s="13"/>
      <c r="I52" s="13"/>
      <c r="J52" s="13"/>
    </row>
    <row r="53" customFormat="false" ht="15" hidden="false" customHeight="false" outlineLevel="0" collapsed="false">
      <c r="A53" s="13"/>
      <c r="B53" s="13"/>
      <c r="C53" s="13"/>
      <c r="D53" s="13"/>
      <c r="E53" s="13"/>
      <c r="F53" s="13"/>
      <c r="G53" s="13"/>
      <c r="H53" s="13"/>
      <c r="I53" s="13"/>
      <c r="J53" s="13"/>
    </row>
    <row r="54" customFormat="false" ht="15" hidden="false" customHeight="false" outlineLevel="0" collapsed="false">
      <c r="A54" s="13"/>
      <c r="B54" s="13"/>
      <c r="C54" s="13"/>
      <c r="D54" s="13"/>
      <c r="E54" s="13"/>
      <c r="F54" s="13"/>
      <c r="G54" s="13"/>
      <c r="H54" s="13"/>
      <c r="I54" s="13"/>
      <c r="J54" s="13"/>
    </row>
    <row r="55" customFormat="false" ht="15" hidden="false" customHeight="false" outlineLevel="0" collapsed="false">
      <c r="A55" s="13"/>
      <c r="B55" s="13"/>
      <c r="C55" s="13"/>
      <c r="D55" s="13"/>
      <c r="E55" s="13"/>
      <c r="F55" s="13"/>
      <c r="G55" s="13"/>
      <c r="H55" s="13"/>
      <c r="I55" s="13"/>
      <c r="J55" s="13"/>
    </row>
    <row r="56" customFormat="false" ht="15" hidden="false" customHeight="false" outlineLevel="0" collapsed="false">
      <c r="A56" s="13"/>
      <c r="B56" s="13"/>
      <c r="C56" s="13"/>
      <c r="D56" s="13"/>
      <c r="E56" s="13"/>
      <c r="F56" s="13"/>
      <c r="G56" s="13"/>
      <c r="H56" s="13"/>
      <c r="I56" s="13"/>
      <c r="J56" s="13"/>
    </row>
    <row r="57" customFormat="false" ht="15" hidden="false" customHeight="false" outlineLevel="0" collapsed="false">
      <c r="A57" s="13"/>
      <c r="B57" s="13"/>
      <c r="C57" s="13"/>
      <c r="D57" s="13"/>
      <c r="E57" s="13"/>
      <c r="F57" s="13"/>
      <c r="G57" s="13"/>
      <c r="H57" s="13"/>
      <c r="I57" s="13"/>
      <c r="J57" s="13"/>
    </row>
    <row r="58" customFormat="false" ht="15" hidden="false" customHeight="false" outlineLevel="0" collapsed="false">
      <c r="A58" s="13"/>
      <c r="B58" s="13"/>
      <c r="C58" s="13"/>
      <c r="D58" s="13"/>
      <c r="E58" s="13"/>
      <c r="F58" s="13"/>
      <c r="G58" s="13"/>
      <c r="H58" s="13"/>
      <c r="I58" s="13"/>
      <c r="J58" s="13"/>
    </row>
    <row r="59" customFormat="false" ht="15" hidden="false" customHeight="false" outlineLevel="0" collapsed="false">
      <c r="A59" s="13"/>
      <c r="B59" s="13"/>
      <c r="C59" s="13"/>
      <c r="D59" s="13"/>
      <c r="E59" s="13"/>
      <c r="F59" s="13"/>
      <c r="G59" s="13"/>
      <c r="H59" s="13"/>
      <c r="I59" s="13"/>
      <c r="J59" s="13"/>
    </row>
    <row r="60" customFormat="false" ht="15" hidden="false" customHeight="false" outlineLevel="0" collapsed="false">
      <c r="A60" s="13"/>
      <c r="B60" s="13"/>
      <c r="C60" s="13"/>
      <c r="D60" s="13"/>
      <c r="E60" s="13"/>
      <c r="F60" s="13"/>
      <c r="G60" s="13"/>
      <c r="H60" s="13"/>
      <c r="I60" s="13"/>
      <c r="J60" s="13"/>
    </row>
    <row r="61" customFormat="false" ht="15" hidden="false" customHeight="false" outlineLevel="0" collapsed="false">
      <c r="A61" s="13"/>
      <c r="B61" s="13"/>
      <c r="C61" s="13"/>
      <c r="D61" s="13"/>
      <c r="E61" s="13"/>
      <c r="F61" s="13"/>
      <c r="G61" s="13"/>
      <c r="H61" s="13"/>
      <c r="I61" s="13"/>
      <c r="J61" s="13"/>
    </row>
    <row r="62" customFormat="false" ht="15" hidden="false" customHeight="false" outlineLevel="0" collapsed="false">
      <c r="A62" s="13"/>
      <c r="B62" s="13"/>
      <c r="C62" s="13"/>
      <c r="D62" s="13"/>
      <c r="E62" s="13"/>
      <c r="F62" s="13"/>
      <c r="G62" s="13"/>
      <c r="H62" s="13"/>
      <c r="I62" s="13"/>
      <c r="J62" s="13"/>
    </row>
    <row r="63" customFormat="false" ht="15" hidden="false" customHeight="false" outlineLevel="0" collapsed="false">
      <c r="A63" s="13"/>
      <c r="B63" s="13"/>
      <c r="C63" s="13"/>
      <c r="D63" s="13"/>
      <c r="E63" s="13"/>
      <c r="F63" s="13"/>
      <c r="G63" s="13"/>
      <c r="H63" s="13"/>
      <c r="I63" s="13"/>
      <c r="J63" s="13"/>
    </row>
    <row r="64" customFormat="false" ht="15" hidden="false" customHeight="false" outlineLevel="0" collapsed="false">
      <c r="A64" s="13"/>
      <c r="B64" s="13"/>
      <c r="C64" s="13"/>
      <c r="D64" s="13"/>
      <c r="E64" s="13"/>
      <c r="F64" s="13"/>
      <c r="G64" s="13"/>
      <c r="H64" s="13"/>
      <c r="I64" s="13"/>
      <c r="J64" s="13"/>
    </row>
    <row r="65" customFormat="false" ht="15" hidden="false" customHeight="false" outlineLevel="0" collapsed="false">
      <c r="A65" s="13"/>
      <c r="B65" s="13"/>
      <c r="C65" s="13"/>
      <c r="D65" s="13"/>
      <c r="E65" s="13"/>
      <c r="F65" s="13"/>
      <c r="G65" s="13"/>
      <c r="H65" s="13"/>
      <c r="I65" s="13"/>
      <c r="J65" s="13"/>
    </row>
    <row r="66" customFormat="false" ht="15" hidden="false" customHeight="false" outlineLevel="0" collapsed="false">
      <c r="A66" s="13"/>
      <c r="B66" s="13"/>
      <c r="C66" s="13"/>
      <c r="D66" s="13"/>
      <c r="E66" s="13"/>
      <c r="F66" s="13"/>
      <c r="G66" s="13"/>
      <c r="H66" s="13"/>
      <c r="I66" s="13"/>
      <c r="J66" s="13"/>
    </row>
    <row r="67" customFormat="false" ht="15" hidden="false" customHeight="false" outlineLevel="0" collapsed="false">
      <c r="A67" s="13"/>
      <c r="B67" s="13"/>
      <c r="C67" s="13"/>
      <c r="D67" s="13"/>
      <c r="E67" s="13"/>
      <c r="F67" s="13"/>
      <c r="G67" s="13"/>
      <c r="H67" s="13"/>
      <c r="I67" s="13"/>
      <c r="J67" s="13"/>
    </row>
    <row r="68" customFormat="false" ht="15" hidden="false" customHeight="false" outlineLevel="0" collapsed="false">
      <c r="A68" s="13"/>
      <c r="B68" s="13"/>
      <c r="C68" s="13"/>
      <c r="D68" s="13"/>
      <c r="E68" s="13"/>
      <c r="F68" s="13"/>
      <c r="G68" s="13"/>
      <c r="H68" s="13"/>
      <c r="I68" s="13"/>
      <c r="J68" s="13"/>
    </row>
    <row r="69" customFormat="false" ht="15" hidden="false" customHeight="false" outlineLevel="0" collapsed="false">
      <c r="A69" s="13"/>
      <c r="B69" s="13"/>
      <c r="C69" s="13"/>
      <c r="D69" s="13"/>
      <c r="E69" s="13"/>
      <c r="F69" s="13"/>
      <c r="G69" s="13"/>
      <c r="H69" s="13"/>
      <c r="I69" s="13"/>
      <c r="J69" s="13"/>
    </row>
    <row r="70" customFormat="false" ht="15" hidden="false" customHeight="false" outlineLevel="0" collapsed="false">
      <c r="A70" s="13"/>
      <c r="B70" s="13"/>
      <c r="C70" s="13"/>
      <c r="D70" s="13"/>
      <c r="E70" s="13"/>
      <c r="F70" s="13"/>
      <c r="G70" s="13"/>
      <c r="H70" s="13"/>
      <c r="I70" s="13"/>
      <c r="J70" s="13"/>
    </row>
    <row r="71" customFormat="false" ht="15" hidden="false" customHeight="false" outlineLevel="0" collapsed="false">
      <c r="A71" s="13"/>
      <c r="B71" s="13"/>
      <c r="C71" s="13"/>
      <c r="D71" s="13"/>
      <c r="E71" s="13"/>
      <c r="F71" s="13"/>
      <c r="G71" s="13"/>
      <c r="H71" s="13"/>
      <c r="I71" s="13"/>
      <c r="J71" s="13"/>
    </row>
    <row r="72" customFormat="false" ht="15" hidden="false" customHeight="false" outlineLevel="0" collapsed="false">
      <c r="A72" s="13"/>
      <c r="B72" s="13"/>
      <c r="C72" s="13"/>
      <c r="D72" s="13"/>
      <c r="E72" s="13"/>
      <c r="F72" s="13"/>
      <c r="G72" s="13"/>
      <c r="H72" s="13"/>
      <c r="I72" s="13"/>
      <c r="J72" s="13"/>
    </row>
    <row r="73" customFormat="false" ht="15" hidden="false" customHeight="false" outlineLevel="0" collapsed="false">
      <c r="A73" s="13"/>
      <c r="B73" s="13"/>
      <c r="C73" s="13"/>
      <c r="D73" s="13"/>
      <c r="E73" s="13"/>
      <c r="F73" s="13"/>
      <c r="G73" s="13"/>
      <c r="H73" s="13"/>
      <c r="I73" s="13"/>
      <c r="J73" s="13"/>
    </row>
    <row r="74" customFormat="false" ht="15" hidden="false" customHeight="false" outlineLevel="0" collapsed="false">
      <c r="A74" s="13"/>
      <c r="B74" s="13"/>
      <c r="C74" s="13"/>
      <c r="D74" s="13"/>
      <c r="E74" s="13"/>
      <c r="F74" s="13"/>
      <c r="G74" s="13"/>
      <c r="H74" s="13"/>
      <c r="I74" s="13"/>
      <c r="J74" s="13"/>
    </row>
    <row r="75" customFormat="false" ht="15" hidden="false" customHeight="false" outlineLevel="0" collapsed="false">
      <c r="A75" s="13"/>
      <c r="B75" s="13"/>
      <c r="C75" s="13"/>
      <c r="D75" s="13"/>
      <c r="E75" s="13"/>
      <c r="F75" s="13"/>
      <c r="G75" s="13"/>
      <c r="H75" s="13"/>
      <c r="I75" s="13"/>
      <c r="J75" s="13"/>
    </row>
    <row r="76" customFormat="false" ht="15" hidden="false" customHeight="false" outlineLevel="0" collapsed="false">
      <c r="A76" s="13"/>
      <c r="B76" s="13"/>
      <c r="C76" s="13"/>
      <c r="D76" s="13"/>
      <c r="E76" s="13"/>
      <c r="F76" s="13"/>
      <c r="G76" s="13"/>
      <c r="H76" s="13"/>
      <c r="I76" s="13"/>
      <c r="J76" s="13"/>
    </row>
    <row r="77" customFormat="false" ht="15" hidden="false" customHeight="false" outlineLevel="0" collapsed="false">
      <c r="A77" s="13"/>
      <c r="B77" s="13"/>
      <c r="C77" s="13"/>
      <c r="D77" s="13"/>
      <c r="E77" s="13"/>
      <c r="F77" s="13"/>
      <c r="G77" s="13"/>
      <c r="H77" s="13"/>
      <c r="I77" s="13"/>
      <c r="J77" s="13"/>
    </row>
    <row r="78" customFormat="false" ht="15" hidden="false" customHeight="false" outlineLevel="0" collapsed="false">
      <c r="A78" s="13"/>
      <c r="B78" s="13"/>
      <c r="C78" s="13"/>
      <c r="D78" s="13"/>
      <c r="E78" s="13"/>
      <c r="F78" s="13"/>
      <c r="G78" s="13"/>
      <c r="H78" s="13"/>
      <c r="I78" s="13"/>
      <c r="J78" s="13"/>
    </row>
    <row r="79" customFormat="false" ht="15" hidden="false" customHeight="false" outlineLevel="0" collapsed="false">
      <c r="A79" s="13"/>
      <c r="B79" s="13"/>
      <c r="C79" s="13"/>
      <c r="D79" s="13"/>
      <c r="E79" s="13"/>
      <c r="F79" s="13"/>
      <c r="G79" s="13"/>
      <c r="H79" s="13"/>
      <c r="I79" s="13"/>
      <c r="J79" s="13"/>
    </row>
    <row r="80" customFormat="false" ht="15" hidden="false" customHeight="false" outlineLevel="0" collapsed="false">
      <c r="A80" s="13"/>
      <c r="B80" s="13"/>
      <c r="C80" s="13"/>
      <c r="D80" s="13"/>
      <c r="E80" s="13"/>
      <c r="F80" s="13"/>
      <c r="G80" s="13"/>
      <c r="H80" s="13"/>
      <c r="I80" s="13"/>
      <c r="J80" s="13"/>
    </row>
    <row r="81" customFormat="false" ht="15" hidden="false" customHeight="false" outlineLevel="0" collapsed="false">
      <c r="A81" s="13"/>
      <c r="B81" s="13"/>
      <c r="C81" s="13"/>
      <c r="D81" s="13"/>
      <c r="E81" s="13"/>
      <c r="F81" s="13"/>
      <c r="G81" s="13"/>
      <c r="H81" s="13"/>
      <c r="I81" s="13"/>
      <c r="J81" s="13"/>
    </row>
    <row r="82" customFormat="false" ht="15" hidden="false" customHeight="false" outlineLevel="0" collapsed="false">
      <c r="A82" s="13"/>
      <c r="B82" s="13"/>
      <c r="C82" s="13"/>
      <c r="D82" s="13"/>
      <c r="E82" s="13"/>
      <c r="F82" s="13"/>
      <c r="G82" s="13"/>
      <c r="H82" s="13"/>
      <c r="I82" s="13"/>
      <c r="J82" s="13"/>
    </row>
    <row r="83" customFormat="false" ht="15" hidden="false" customHeight="false" outlineLevel="0" collapsed="false">
      <c r="A83" s="13"/>
      <c r="B83" s="13"/>
      <c r="C83" s="13"/>
      <c r="D83" s="13"/>
      <c r="E83" s="13"/>
      <c r="F83" s="13"/>
      <c r="G83" s="13"/>
      <c r="H83" s="13"/>
      <c r="I83" s="13"/>
      <c r="J83" s="13"/>
    </row>
    <row r="84" customFormat="false" ht="15" hidden="false" customHeight="false" outlineLevel="0" collapsed="false">
      <c r="A84" s="13"/>
      <c r="B84" s="13"/>
      <c r="C84" s="13"/>
      <c r="D84" s="13"/>
      <c r="E84" s="13"/>
      <c r="F84" s="13"/>
      <c r="G84" s="13"/>
      <c r="H84" s="13"/>
      <c r="I84" s="13"/>
      <c r="J84" s="13"/>
    </row>
    <row r="85" customFormat="false" ht="15" hidden="false" customHeight="false" outlineLevel="0" collapsed="false">
      <c r="A85" s="13"/>
      <c r="B85" s="13"/>
      <c r="C85" s="13"/>
      <c r="D85" s="13"/>
      <c r="E85" s="13"/>
      <c r="F85" s="13"/>
      <c r="G85" s="13"/>
      <c r="H85" s="13"/>
      <c r="I85" s="13"/>
      <c r="J85" s="13"/>
    </row>
    <row r="86" customFormat="false" ht="15" hidden="false" customHeight="false" outlineLevel="0" collapsed="false">
      <c r="A86" s="13"/>
      <c r="B86" s="13"/>
      <c r="C86" s="13"/>
      <c r="D86" s="13"/>
      <c r="E86" s="13"/>
      <c r="F86" s="13"/>
      <c r="G86" s="13"/>
      <c r="H86" s="13"/>
      <c r="I86" s="13"/>
      <c r="J86" s="13"/>
    </row>
    <row r="87" customFormat="false" ht="15" hidden="false" customHeight="false" outlineLevel="0" collapsed="false">
      <c r="A87" s="13"/>
      <c r="B87" s="13"/>
      <c r="C87" s="13"/>
      <c r="D87" s="13"/>
      <c r="E87" s="13"/>
      <c r="F87" s="13"/>
      <c r="G87" s="13"/>
      <c r="H87" s="13"/>
      <c r="I87" s="13"/>
      <c r="J87" s="13"/>
    </row>
    <row r="88" customFormat="false" ht="15" hidden="false" customHeight="false" outlineLevel="0" collapsed="false">
      <c r="A88" s="13"/>
      <c r="B88" s="13"/>
      <c r="C88" s="13"/>
      <c r="D88" s="13"/>
      <c r="E88" s="13"/>
      <c r="F88" s="13"/>
      <c r="G88" s="13"/>
      <c r="H88" s="13"/>
      <c r="I88" s="13"/>
      <c r="J88" s="13"/>
    </row>
    <row r="89" customFormat="false" ht="15" hidden="false" customHeight="false" outlineLevel="0" collapsed="false">
      <c r="A89" s="13"/>
      <c r="B89" s="13"/>
      <c r="C89" s="13"/>
      <c r="D89" s="13"/>
      <c r="E89" s="13"/>
      <c r="F89" s="13"/>
      <c r="G89" s="13"/>
      <c r="H89" s="13"/>
      <c r="I89" s="13"/>
      <c r="J89" s="13"/>
    </row>
    <row r="90" customFormat="false" ht="15" hidden="false" customHeight="false" outlineLevel="0" collapsed="false">
      <c r="A90" s="13"/>
      <c r="B90" s="13"/>
      <c r="C90" s="13"/>
      <c r="D90" s="13"/>
      <c r="E90" s="13"/>
      <c r="F90" s="13"/>
      <c r="G90" s="13"/>
      <c r="H90" s="13"/>
      <c r="I90" s="13"/>
      <c r="J90" s="13"/>
    </row>
    <row r="91" customFormat="false" ht="15" hidden="false" customHeight="false" outlineLevel="0" collapsed="false">
      <c r="A91" s="13"/>
      <c r="B91" s="13"/>
      <c r="C91" s="13"/>
      <c r="D91" s="13"/>
      <c r="E91" s="13"/>
      <c r="F91" s="13"/>
      <c r="G91" s="13"/>
      <c r="H91" s="13"/>
      <c r="I91" s="13"/>
      <c r="J91" s="13"/>
    </row>
    <row r="92" customFormat="false" ht="15" hidden="false" customHeight="false" outlineLevel="0" collapsed="false">
      <c r="A92" s="13"/>
      <c r="B92" s="13"/>
      <c r="C92" s="13"/>
      <c r="D92" s="13"/>
      <c r="E92" s="13"/>
      <c r="F92" s="13"/>
      <c r="G92" s="13"/>
      <c r="H92" s="13"/>
      <c r="I92" s="13"/>
      <c r="J92" s="13"/>
    </row>
    <row r="93" customFormat="false" ht="15" hidden="false" customHeight="false" outlineLevel="0" collapsed="false">
      <c r="A93" s="13"/>
      <c r="B93" s="13"/>
      <c r="C93" s="13"/>
      <c r="D93" s="13"/>
      <c r="E93" s="13"/>
      <c r="F93" s="13"/>
      <c r="G93" s="13"/>
      <c r="H93" s="13"/>
      <c r="I93" s="13"/>
      <c r="J93" s="13"/>
    </row>
    <row r="94" customFormat="false" ht="15" hidden="false" customHeight="false" outlineLevel="0" collapsed="false">
      <c r="A94" s="13"/>
      <c r="B94" s="13"/>
      <c r="C94" s="13"/>
      <c r="D94" s="13"/>
      <c r="E94" s="13"/>
      <c r="F94" s="13"/>
      <c r="G94" s="13"/>
      <c r="H94" s="13"/>
      <c r="I94" s="13"/>
      <c r="J94" s="13"/>
    </row>
    <row r="95" customFormat="false" ht="15" hidden="false" customHeight="false" outlineLevel="0" collapsed="false">
      <c r="A95" s="13"/>
      <c r="B95" s="13"/>
      <c r="C95" s="13"/>
      <c r="D95" s="13"/>
      <c r="E95" s="13"/>
      <c r="F95" s="13"/>
      <c r="G95" s="13"/>
      <c r="H95" s="13"/>
      <c r="I95" s="13"/>
      <c r="J95" s="13"/>
    </row>
    <row r="96" customFormat="false" ht="15" hidden="false" customHeight="false" outlineLevel="0" collapsed="false">
      <c r="A96" s="13"/>
      <c r="B96" s="13"/>
      <c r="C96" s="13"/>
      <c r="D96" s="13"/>
      <c r="E96" s="13"/>
      <c r="F96" s="13"/>
      <c r="G96" s="13"/>
      <c r="H96" s="13"/>
      <c r="I96" s="13"/>
      <c r="J96" s="13"/>
    </row>
    <row r="97" customFormat="false" ht="15" hidden="false" customHeight="false" outlineLevel="0" collapsed="false">
      <c r="A97" s="13"/>
      <c r="B97" s="13"/>
      <c r="C97" s="13"/>
      <c r="D97" s="13"/>
      <c r="E97" s="13"/>
      <c r="F97" s="13"/>
      <c r="G97" s="13"/>
      <c r="H97" s="13"/>
      <c r="I97" s="13"/>
      <c r="J97" s="13"/>
    </row>
    <row r="98" customFormat="false" ht="15" hidden="false" customHeight="false" outlineLevel="0" collapsed="false">
      <c r="A98" s="13"/>
      <c r="B98" s="13"/>
      <c r="C98" s="13"/>
      <c r="D98" s="13"/>
      <c r="E98" s="13"/>
      <c r="F98" s="13"/>
      <c r="G98" s="13"/>
      <c r="H98" s="13"/>
      <c r="I98" s="13"/>
      <c r="J98" s="13"/>
    </row>
    <row r="99" customFormat="false" ht="15" hidden="false" customHeight="false" outlineLevel="0" collapsed="false">
      <c r="A99" s="13"/>
      <c r="B99" s="13"/>
      <c r="C99" s="13"/>
      <c r="D99" s="13"/>
      <c r="E99" s="13"/>
      <c r="F99" s="13"/>
      <c r="G99" s="13"/>
      <c r="H99" s="13"/>
      <c r="I99" s="13"/>
      <c r="J99" s="13"/>
    </row>
    <row r="100" customFormat="false" ht="15" hidden="false" customHeight="false" outlineLevel="0" collapsed="false">
      <c r="A100" s="13"/>
      <c r="B100" s="13"/>
      <c r="C100" s="13"/>
      <c r="D100" s="13"/>
      <c r="E100" s="13"/>
      <c r="F100" s="13"/>
      <c r="G100" s="13"/>
      <c r="H100" s="13"/>
      <c r="I100" s="13"/>
      <c r="J100" s="13"/>
    </row>
    <row r="101" customFormat="false" ht="15" hidden="false" customHeight="false" outlineLevel="0" collapsed="false">
      <c r="A101" s="13"/>
      <c r="B101" s="13"/>
      <c r="C101" s="13"/>
      <c r="D101" s="13"/>
      <c r="E101" s="13"/>
      <c r="F101" s="13"/>
      <c r="G101" s="13"/>
      <c r="H101" s="13"/>
      <c r="I101" s="13"/>
      <c r="J101" s="13"/>
    </row>
    <row r="102" customFormat="false" ht="15" hidden="false" customHeight="false" outlineLevel="0" collapsed="false">
      <c r="A102" s="13"/>
      <c r="B102" s="13"/>
      <c r="C102" s="13"/>
      <c r="D102" s="13"/>
      <c r="E102" s="13"/>
      <c r="F102" s="13"/>
      <c r="G102" s="13"/>
      <c r="H102" s="13"/>
      <c r="I102" s="13"/>
      <c r="J102" s="13"/>
    </row>
    <row r="103" customFormat="false" ht="15" hidden="false" customHeight="false" outlineLevel="0" collapsed="false">
      <c r="A103" s="13"/>
      <c r="B103" s="13"/>
      <c r="C103" s="13"/>
      <c r="D103" s="13"/>
      <c r="E103" s="13"/>
      <c r="F103" s="13"/>
      <c r="G103" s="13"/>
      <c r="H103" s="13"/>
      <c r="I103" s="13"/>
      <c r="J103" s="13"/>
    </row>
    <row r="104" customFormat="false" ht="15" hidden="false" customHeight="false" outlineLevel="0" collapsed="false">
      <c r="A104" s="13"/>
      <c r="B104" s="13"/>
      <c r="C104" s="13"/>
      <c r="D104" s="13"/>
      <c r="E104" s="13"/>
      <c r="F104" s="13"/>
      <c r="G104" s="13"/>
      <c r="H104" s="13"/>
      <c r="I104" s="13"/>
      <c r="J104" s="13"/>
    </row>
    <row r="105" customFormat="false" ht="15" hidden="false" customHeight="false" outlineLevel="0" collapsed="false">
      <c r="A105" s="13"/>
      <c r="B105" s="13"/>
      <c r="C105" s="13"/>
      <c r="D105" s="13"/>
      <c r="E105" s="13"/>
      <c r="F105" s="13"/>
      <c r="G105" s="13"/>
      <c r="H105" s="13"/>
      <c r="I105" s="13"/>
      <c r="J105" s="13"/>
    </row>
    <row r="106" customFormat="false" ht="15" hidden="false" customHeight="false" outlineLevel="0" collapsed="false">
      <c r="A106" s="13"/>
      <c r="B106" s="13"/>
      <c r="C106" s="13"/>
      <c r="D106" s="13"/>
      <c r="E106" s="13"/>
      <c r="F106" s="13"/>
      <c r="G106" s="13"/>
      <c r="H106" s="13"/>
      <c r="I106" s="13"/>
      <c r="J106" s="13"/>
    </row>
    <row r="107" customFormat="false" ht="15" hidden="false" customHeight="false" outlineLevel="0" collapsed="false">
      <c r="A107" s="13"/>
      <c r="B107" s="13"/>
      <c r="C107" s="13"/>
      <c r="D107" s="13"/>
      <c r="E107" s="13"/>
      <c r="F107" s="13"/>
      <c r="G107" s="13"/>
      <c r="H107" s="13"/>
      <c r="I107" s="13"/>
      <c r="J107" s="13"/>
    </row>
    <row r="108" customFormat="false" ht="15" hidden="false" customHeight="false" outlineLevel="0" collapsed="false">
      <c r="A108" s="13"/>
      <c r="B108" s="13"/>
      <c r="C108" s="13"/>
      <c r="D108" s="13"/>
      <c r="E108" s="13"/>
      <c r="F108" s="13"/>
      <c r="G108" s="13"/>
      <c r="H108" s="13"/>
      <c r="I108" s="13"/>
      <c r="J108" s="13"/>
    </row>
    <row r="109" customFormat="false" ht="15" hidden="false" customHeight="false" outlineLevel="0" collapsed="false">
      <c r="A109" s="13"/>
      <c r="B109" s="13"/>
      <c r="C109" s="13"/>
      <c r="D109" s="13"/>
      <c r="E109" s="13"/>
      <c r="F109" s="13"/>
      <c r="G109" s="13"/>
      <c r="H109" s="13"/>
      <c r="I109" s="13"/>
      <c r="J109" s="13"/>
    </row>
    <row r="110" customFormat="false" ht="15" hidden="false" customHeight="false" outlineLevel="0" collapsed="false">
      <c r="A110" s="13"/>
      <c r="B110" s="13"/>
      <c r="C110" s="13"/>
      <c r="D110" s="13"/>
      <c r="E110" s="13"/>
      <c r="F110" s="13"/>
      <c r="G110" s="13"/>
      <c r="H110" s="13"/>
      <c r="I110" s="13"/>
      <c r="J110" s="13"/>
    </row>
    <row r="111" customFormat="false" ht="15" hidden="false" customHeight="false" outlineLevel="0" collapsed="false">
      <c r="A111" s="13"/>
      <c r="B111" s="13"/>
      <c r="C111" s="13"/>
      <c r="D111" s="13"/>
      <c r="E111" s="13"/>
      <c r="F111" s="13"/>
      <c r="G111" s="13"/>
      <c r="H111" s="13"/>
      <c r="I111" s="13"/>
      <c r="J111" s="13"/>
    </row>
    <row r="112" customFormat="false" ht="15" hidden="false" customHeight="false" outlineLevel="0" collapsed="false">
      <c r="A112" s="13"/>
      <c r="B112" s="13"/>
      <c r="C112" s="13"/>
      <c r="D112" s="13"/>
      <c r="E112" s="13"/>
      <c r="F112" s="13"/>
      <c r="G112" s="13"/>
      <c r="H112" s="13"/>
      <c r="I112" s="13"/>
      <c r="J112" s="13"/>
    </row>
    <row r="113" customFormat="false" ht="15" hidden="false" customHeight="false" outlineLevel="0" collapsed="false">
      <c r="A113" s="13"/>
      <c r="B113" s="13"/>
      <c r="C113" s="13"/>
      <c r="D113" s="13"/>
      <c r="E113" s="13"/>
      <c r="F113" s="13"/>
      <c r="G113" s="13"/>
      <c r="H113" s="13"/>
      <c r="I113" s="13"/>
      <c r="J113" s="13"/>
    </row>
    <row r="114" customFormat="false" ht="15" hidden="false" customHeight="false" outlineLevel="0" collapsed="false">
      <c r="A114" s="13"/>
      <c r="B114" s="13"/>
      <c r="C114" s="13"/>
      <c r="D114" s="13"/>
      <c r="E114" s="13"/>
      <c r="F114" s="13"/>
      <c r="G114" s="13"/>
      <c r="H114" s="13"/>
      <c r="I114" s="13"/>
      <c r="J114" s="13"/>
    </row>
    <row r="115" customFormat="false" ht="15" hidden="false" customHeight="false" outlineLevel="0" collapsed="false">
      <c r="A115" s="13"/>
      <c r="B115" s="13"/>
      <c r="C115" s="13"/>
      <c r="D115" s="13"/>
      <c r="E115" s="13"/>
      <c r="F115" s="13"/>
      <c r="G115" s="13"/>
      <c r="H115" s="13"/>
      <c r="I115" s="13"/>
      <c r="J115" s="13"/>
    </row>
    <row r="116" customFormat="false" ht="15" hidden="false" customHeight="false" outlineLevel="0" collapsed="false">
      <c r="A116" s="13"/>
      <c r="B116" s="13"/>
      <c r="C116" s="13"/>
      <c r="D116" s="13"/>
      <c r="E116" s="13"/>
      <c r="F116" s="13"/>
      <c r="G116" s="13"/>
      <c r="H116" s="13"/>
      <c r="I116" s="13"/>
      <c r="J116" s="13"/>
    </row>
    <row r="117" customFormat="false" ht="15" hidden="false" customHeight="false" outlineLevel="0" collapsed="false">
      <c r="A117" s="13"/>
      <c r="B117" s="13"/>
      <c r="C117" s="13"/>
      <c r="D117" s="13"/>
      <c r="E117" s="13"/>
      <c r="F117" s="13"/>
      <c r="G117" s="13"/>
      <c r="H117" s="13"/>
      <c r="I117" s="13"/>
      <c r="J117" s="13"/>
    </row>
    <row r="118" customFormat="false" ht="15" hidden="false" customHeight="false" outlineLevel="0" collapsed="false">
      <c r="A118" s="13"/>
      <c r="B118" s="13"/>
      <c r="C118" s="13"/>
      <c r="D118" s="13"/>
      <c r="E118" s="13"/>
      <c r="F118" s="13"/>
      <c r="G118" s="13"/>
      <c r="H118" s="13"/>
      <c r="I118" s="13"/>
      <c r="J118" s="13"/>
    </row>
    <row r="119" customFormat="false" ht="15" hidden="false" customHeight="false" outlineLevel="0" collapsed="false">
      <c r="A119" s="13"/>
      <c r="B119" s="13"/>
      <c r="C119" s="13"/>
      <c r="D119" s="13"/>
      <c r="E119" s="13"/>
      <c r="F119" s="13"/>
      <c r="G119" s="13"/>
      <c r="H119" s="13"/>
      <c r="I119" s="13"/>
      <c r="J119" s="13"/>
    </row>
    <row r="120" customFormat="false" ht="15" hidden="false" customHeight="false" outlineLevel="0" collapsed="false">
      <c r="A120" s="13"/>
      <c r="B120" s="13"/>
      <c r="C120" s="13"/>
      <c r="D120" s="13"/>
      <c r="E120" s="13"/>
      <c r="F120" s="13"/>
      <c r="G120" s="13"/>
      <c r="H120" s="13"/>
      <c r="I120" s="13"/>
      <c r="J120" s="13"/>
    </row>
    <row r="121" customFormat="false" ht="15" hidden="false" customHeight="false" outlineLevel="0" collapsed="false">
      <c r="A121" s="13"/>
      <c r="B121" s="13"/>
      <c r="C121" s="13"/>
      <c r="D121" s="13"/>
      <c r="E121" s="13"/>
      <c r="F121" s="13"/>
      <c r="G121" s="13"/>
      <c r="H121" s="13"/>
      <c r="I121" s="13"/>
      <c r="J121" s="13"/>
    </row>
    <row r="122" customFormat="false" ht="15" hidden="false" customHeight="false" outlineLevel="0" collapsed="false">
      <c r="A122" s="13"/>
      <c r="B122" s="13"/>
      <c r="C122" s="13"/>
      <c r="D122" s="13"/>
      <c r="E122" s="13"/>
      <c r="F122" s="13"/>
      <c r="G122" s="13"/>
      <c r="H122" s="13"/>
      <c r="I122" s="13"/>
      <c r="J122" s="13"/>
    </row>
    <row r="123" customFormat="false" ht="15" hidden="false" customHeight="false" outlineLevel="0" collapsed="false">
      <c r="A123" s="13"/>
      <c r="B123" s="13"/>
      <c r="C123" s="13"/>
      <c r="D123" s="13"/>
      <c r="E123" s="13"/>
      <c r="F123" s="13"/>
      <c r="G123" s="13"/>
      <c r="H123" s="13"/>
      <c r="I123" s="13"/>
      <c r="J123" s="13"/>
    </row>
    <row r="124" customFormat="false" ht="15" hidden="false" customHeight="false" outlineLevel="0" collapsed="false">
      <c r="A124" s="13"/>
      <c r="B124" s="13"/>
      <c r="C124" s="13"/>
      <c r="D124" s="13"/>
      <c r="E124" s="13"/>
      <c r="F124" s="13"/>
      <c r="G124" s="13"/>
      <c r="H124" s="13"/>
      <c r="I124" s="13"/>
      <c r="J124" s="13"/>
    </row>
    <row r="125" customFormat="false" ht="15" hidden="false" customHeight="false" outlineLevel="0" collapsed="false">
      <c r="A125" s="13"/>
      <c r="B125" s="13"/>
      <c r="C125" s="13"/>
      <c r="D125" s="13"/>
      <c r="E125" s="13"/>
      <c r="F125" s="13"/>
      <c r="G125" s="13"/>
      <c r="H125" s="13"/>
      <c r="I125" s="13"/>
      <c r="J125" s="13"/>
    </row>
  </sheetData>
  <dataValidations count="1">
    <dataValidation allowBlank="true" errorStyle="stop" operator="between" showDropDown="false" showErrorMessage="false" showInputMessage="false" sqref="F5:F12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12"/>
    <col collapsed="false" customWidth="true" hidden="false" outlineLevel="0" max="4" min="4" style="0" width="11"/>
    <col collapsed="false" customWidth="true" hidden="false" outlineLevel="0" max="5" min="5" style="0" width="46"/>
    <col collapsed="false" customWidth="true" hidden="false" outlineLevel="0" max="6" min="6" style="0" width="92"/>
    <col collapsed="false" customWidth="true" hidden="false" outlineLevel="0" max="7" min="7" style="0" width="34"/>
    <col collapsed="false" customWidth="true" hidden="false" outlineLevel="0" max="8" min="8" style="0" width="11"/>
    <col collapsed="false" customWidth="true" hidden="false" outlineLevel="0" max="9" min="9" style="0" width="12"/>
    <col collapsed="false" customWidth="true" hidden="false" outlineLevel="0" max="10" min="10" style="0" width="11"/>
    <col collapsed="false" customWidth="true" hidden="false" outlineLevel="0" max="11" min="11" style="0" width="13"/>
  </cols>
  <sheetData>
    <row r="1" customFormat="false" ht="15" hidden="false" customHeight="false" outlineLevel="0" collapsed="false">
      <c r="A1" s="1" t="s">
        <v>1910</v>
      </c>
    </row>
    <row r="2" customFormat="false" ht="30" hidden="false" customHeight="true" outlineLevel="0" collapsed="false">
      <c r="A2" s="5" t="s">
        <v>1911</v>
      </c>
    </row>
    <row r="4" customFormat="false" ht="30" hidden="false" customHeight="true" outlineLevel="0" collapsed="false">
      <c r="A4" s="6" t="s">
        <v>1901</v>
      </c>
      <c r="B4" s="6" t="s">
        <v>1912</v>
      </c>
      <c r="C4" s="6" t="s">
        <v>41</v>
      </c>
      <c r="D4" s="6" t="s">
        <v>1913</v>
      </c>
      <c r="E4" s="6" t="s">
        <v>1914</v>
      </c>
      <c r="F4" s="6" t="s">
        <v>1915</v>
      </c>
      <c r="G4" s="6" t="s">
        <v>1916</v>
      </c>
      <c r="H4" s="6" t="s">
        <v>181</v>
      </c>
      <c r="I4" s="6" t="s">
        <v>437</v>
      </c>
      <c r="J4" s="6" t="s">
        <v>1917</v>
      </c>
      <c r="K4" s="6" t="s">
        <v>1918</v>
      </c>
    </row>
    <row r="5" customFormat="false" ht="64.5" hidden="false" customHeight="true" outlineLevel="0" collapsed="false">
      <c r="A5" s="4" t="s">
        <v>1919</v>
      </c>
      <c r="B5" s="4" t="s">
        <v>1920</v>
      </c>
      <c r="C5" s="4" t="s">
        <v>1907</v>
      </c>
      <c r="D5" s="8" t="s">
        <v>1921</v>
      </c>
      <c r="E5" s="4" t="s">
        <v>1922</v>
      </c>
      <c r="F5" s="4" t="s">
        <v>1923</v>
      </c>
      <c r="G5" s="4" t="s">
        <v>1924</v>
      </c>
      <c r="H5" s="8" t="s">
        <v>1925</v>
      </c>
      <c r="I5" s="4" t="s">
        <v>47</v>
      </c>
      <c r="J5" s="4" t="s">
        <v>488</v>
      </c>
      <c r="K5" s="4" t="s">
        <v>183</v>
      </c>
    </row>
    <row r="6" customFormat="false" ht="64.5" hidden="false" customHeight="true" outlineLevel="0" collapsed="false">
      <c r="A6" s="4" t="s">
        <v>1926</v>
      </c>
      <c r="B6" s="4" t="s">
        <v>1920</v>
      </c>
      <c r="C6" s="4" t="s">
        <v>1907</v>
      </c>
      <c r="D6" s="11" t="s">
        <v>1927</v>
      </c>
      <c r="E6" s="4" t="s">
        <v>1928</v>
      </c>
      <c r="F6" s="4" t="s">
        <v>1929</v>
      </c>
      <c r="G6" s="4" t="s">
        <v>1930</v>
      </c>
      <c r="H6" s="8" t="s">
        <v>1925</v>
      </c>
      <c r="I6" s="4" t="s">
        <v>47</v>
      </c>
      <c r="J6" s="4" t="s">
        <v>488</v>
      </c>
      <c r="K6" s="4" t="s">
        <v>183</v>
      </c>
    </row>
    <row r="7" customFormat="false" ht="51.75" hidden="false" customHeight="true" outlineLevel="0" collapsed="false">
      <c r="A7" s="4" t="s">
        <v>1931</v>
      </c>
      <c r="B7" s="4" t="s">
        <v>1932</v>
      </c>
      <c r="C7" s="4" t="s">
        <v>1907</v>
      </c>
      <c r="D7" s="9" t="s">
        <v>1933</v>
      </c>
      <c r="E7" s="4" t="s">
        <v>1934</v>
      </c>
      <c r="F7" s="4" t="s">
        <v>1935</v>
      </c>
      <c r="G7" s="4" t="s">
        <v>1936</v>
      </c>
      <c r="H7" s="7" t="s">
        <v>1937</v>
      </c>
      <c r="I7" s="4" t="s">
        <v>47</v>
      </c>
      <c r="J7" s="4" t="s">
        <v>1938</v>
      </c>
      <c r="K7" s="4" t="s">
        <v>15</v>
      </c>
    </row>
    <row r="8" customFormat="false" ht="15" hidden="false" customHeight="false" outlineLevel="0" collapsed="false">
      <c r="A8" s="13"/>
      <c r="B8" s="13"/>
      <c r="C8" s="13"/>
      <c r="D8" s="13"/>
      <c r="E8" s="13"/>
      <c r="F8" s="13"/>
      <c r="G8" s="13"/>
      <c r="H8" s="13"/>
      <c r="I8" s="13"/>
      <c r="J8" s="13"/>
      <c r="K8" s="13"/>
    </row>
    <row r="9" customFormat="false" ht="15" hidden="false" customHeight="false" outlineLevel="0" collapsed="false">
      <c r="A9" s="13"/>
      <c r="B9" s="13"/>
      <c r="C9" s="13"/>
      <c r="D9" s="13"/>
      <c r="E9" s="13"/>
      <c r="F9" s="13"/>
      <c r="G9" s="13"/>
      <c r="H9" s="13"/>
      <c r="I9" s="13"/>
      <c r="J9" s="13"/>
      <c r="K9" s="13"/>
    </row>
    <row r="10" customFormat="false" ht="15" hidden="false" customHeight="false" outlineLevel="0" collapsed="false">
      <c r="A10" s="13"/>
      <c r="B10" s="13"/>
      <c r="C10" s="13"/>
      <c r="D10" s="13"/>
      <c r="E10" s="13"/>
      <c r="F10" s="13"/>
      <c r="G10" s="13"/>
      <c r="H10" s="13"/>
      <c r="I10" s="13"/>
      <c r="J10" s="13"/>
      <c r="K10" s="13"/>
    </row>
    <row r="11" customFormat="false" ht="15" hidden="false" customHeight="false" outlineLevel="0" collapsed="false">
      <c r="A11" s="13"/>
      <c r="B11" s="13"/>
      <c r="C11" s="13"/>
      <c r="D11" s="13"/>
      <c r="E11" s="13"/>
      <c r="F11" s="13"/>
      <c r="G11" s="13"/>
      <c r="H11" s="13"/>
      <c r="I11" s="13"/>
      <c r="J11" s="13"/>
      <c r="K11" s="13"/>
    </row>
    <row r="12" customFormat="false" ht="15" hidden="false" customHeight="false" outlineLevel="0" collapsed="false">
      <c r="A12" s="13"/>
      <c r="B12" s="13"/>
      <c r="C12" s="13"/>
      <c r="D12" s="13"/>
      <c r="E12" s="13"/>
      <c r="F12" s="13"/>
      <c r="G12" s="13"/>
      <c r="H12" s="13"/>
      <c r="I12" s="13"/>
      <c r="J12" s="13"/>
      <c r="K12" s="13"/>
    </row>
    <row r="13" customFormat="false" ht="15" hidden="false" customHeight="false" outlineLevel="0" collapsed="false">
      <c r="A13" s="13"/>
      <c r="B13" s="13"/>
      <c r="C13" s="13"/>
      <c r="D13" s="13"/>
      <c r="E13" s="13"/>
      <c r="F13" s="13"/>
      <c r="G13" s="13"/>
      <c r="H13" s="13"/>
      <c r="I13" s="13"/>
      <c r="J13" s="13"/>
      <c r="K13" s="13"/>
    </row>
    <row r="14" customFormat="false" ht="15" hidden="false" customHeight="false" outlineLevel="0" collapsed="false">
      <c r="A14" s="13"/>
      <c r="B14" s="13"/>
      <c r="C14" s="13"/>
      <c r="D14" s="13"/>
      <c r="E14" s="13"/>
      <c r="F14" s="13"/>
      <c r="G14" s="13"/>
      <c r="H14" s="13"/>
      <c r="I14" s="13"/>
      <c r="J14" s="13"/>
      <c r="K14" s="13"/>
    </row>
    <row r="15" customFormat="false" ht="15" hidden="false" customHeight="false" outlineLevel="0" collapsed="false">
      <c r="A15" s="13"/>
      <c r="B15" s="13"/>
      <c r="C15" s="13"/>
      <c r="D15" s="13"/>
      <c r="E15" s="13"/>
      <c r="F15" s="13"/>
      <c r="G15" s="13"/>
      <c r="H15" s="13"/>
      <c r="I15" s="13"/>
      <c r="J15" s="13"/>
      <c r="K15" s="13"/>
    </row>
    <row r="16" customFormat="false" ht="15" hidden="false" customHeight="false" outlineLevel="0" collapsed="false">
      <c r="A16" s="13"/>
      <c r="B16" s="13"/>
      <c r="C16" s="13"/>
      <c r="D16" s="13"/>
      <c r="E16" s="13"/>
      <c r="F16" s="13"/>
      <c r="G16" s="13"/>
      <c r="H16" s="13"/>
      <c r="I16" s="13"/>
      <c r="J16" s="13"/>
      <c r="K16" s="13"/>
    </row>
    <row r="17" customFormat="false" ht="15" hidden="false" customHeight="false" outlineLevel="0" collapsed="false">
      <c r="A17" s="13"/>
      <c r="B17" s="13"/>
      <c r="C17" s="13"/>
      <c r="D17" s="13"/>
      <c r="E17" s="13"/>
      <c r="F17" s="13"/>
      <c r="G17" s="13"/>
      <c r="H17" s="13"/>
      <c r="I17" s="13"/>
      <c r="J17" s="13"/>
      <c r="K17" s="13"/>
    </row>
    <row r="18" customFormat="false" ht="15" hidden="false" customHeight="false" outlineLevel="0" collapsed="false">
      <c r="A18" s="13"/>
      <c r="B18" s="13"/>
      <c r="C18" s="13"/>
      <c r="D18" s="13"/>
      <c r="E18" s="13"/>
      <c r="F18" s="13"/>
      <c r="G18" s="13"/>
      <c r="H18" s="13"/>
      <c r="I18" s="13"/>
      <c r="J18" s="13"/>
      <c r="K18" s="13"/>
    </row>
    <row r="19" customFormat="false" ht="15" hidden="false" customHeight="false" outlineLevel="0" collapsed="false">
      <c r="A19" s="13"/>
      <c r="B19" s="13"/>
      <c r="C19" s="13"/>
      <c r="D19" s="13"/>
      <c r="E19" s="13"/>
      <c r="F19" s="13"/>
      <c r="G19" s="13"/>
      <c r="H19" s="13"/>
      <c r="I19" s="13"/>
      <c r="J19" s="13"/>
      <c r="K19" s="13"/>
    </row>
    <row r="20" customFormat="false" ht="15" hidden="false" customHeight="false" outlineLevel="0" collapsed="false">
      <c r="A20" s="13"/>
      <c r="B20" s="13"/>
      <c r="C20" s="13"/>
      <c r="D20" s="13"/>
      <c r="E20" s="13"/>
      <c r="F20" s="13"/>
      <c r="G20" s="13"/>
      <c r="H20" s="13"/>
      <c r="I20" s="13"/>
      <c r="J20" s="13"/>
      <c r="K20" s="13"/>
    </row>
    <row r="21" customFormat="false" ht="15" hidden="false" customHeight="false" outlineLevel="0" collapsed="false">
      <c r="A21" s="13"/>
      <c r="B21" s="13"/>
      <c r="C21" s="13"/>
      <c r="D21" s="13"/>
      <c r="E21" s="13"/>
      <c r="F21" s="13"/>
      <c r="G21" s="13"/>
      <c r="H21" s="13"/>
      <c r="I21" s="13"/>
      <c r="J21" s="13"/>
      <c r="K21" s="13"/>
    </row>
    <row r="22" customFormat="false" ht="15" hidden="false" customHeight="false" outlineLevel="0" collapsed="false">
      <c r="A22" s="13"/>
      <c r="B22" s="13"/>
      <c r="C22" s="13"/>
      <c r="D22" s="13"/>
      <c r="E22" s="13"/>
      <c r="F22" s="13"/>
      <c r="G22" s="13"/>
      <c r="H22" s="13"/>
      <c r="I22" s="13"/>
      <c r="J22" s="13"/>
      <c r="K22" s="13"/>
    </row>
    <row r="23" customFormat="false" ht="15" hidden="false" customHeight="false" outlineLevel="0" collapsed="false">
      <c r="A23" s="13"/>
      <c r="B23" s="13"/>
      <c r="C23" s="13"/>
      <c r="D23" s="13"/>
      <c r="E23" s="13"/>
      <c r="F23" s="13"/>
      <c r="G23" s="13"/>
      <c r="H23" s="13"/>
      <c r="I23" s="13"/>
      <c r="J23" s="13"/>
      <c r="K23" s="13"/>
    </row>
    <row r="24" customFormat="false" ht="15" hidden="false" customHeight="false" outlineLevel="0" collapsed="false">
      <c r="A24" s="13"/>
      <c r="B24" s="13"/>
      <c r="C24" s="13"/>
      <c r="D24" s="13"/>
      <c r="E24" s="13"/>
      <c r="F24" s="13"/>
      <c r="G24" s="13"/>
      <c r="H24" s="13"/>
      <c r="I24" s="13"/>
      <c r="J24" s="13"/>
      <c r="K24" s="13"/>
    </row>
    <row r="25" customFormat="false" ht="15" hidden="false" customHeight="false" outlineLevel="0" collapsed="false">
      <c r="A25" s="13"/>
      <c r="B25" s="13"/>
      <c r="C25" s="13"/>
      <c r="D25" s="13"/>
      <c r="E25" s="13"/>
      <c r="F25" s="13"/>
      <c r="G25" s="13"/>
      <c r="H25" s="13"/>
      <c r="I25" s="13"/>
      <c r="J25" s="13"/>
      <c r="K25" s="13"/>
    </row>
    <row r="26" customFormat="false" ht="15" hidden="false" customHeight="false" outlineLevel="0" collapsed="false">
      <c r="A26" s="13"/>
      <c r="B26" s="13"/>
      <c r="C26" s="13"/>
      <c r="D26" s="13"/>
      <c r="E26" s="13"/>
      <c r="F26" s="13"/>
      <c r="G26" s="13"/>
      <c r="H26" s="13"/>
      <c r="I26" s="13"/>
      <c r="J26" s="13"/>
      <c r="K26" s="13"/>
    </row>
    <row r="27" customFormat="false" ht="15" hidden="false" customHeight="false" outlineLevel="0" collapsed="false">
      <c r="A27" s="13"/>
      <c r="B27" s="13"/>
      <c r="C27" s="13"/>
      <c r="D27" s="13"/>
      <c r="E27" s="13"/>
      <c r="F27" s="13"/>
      <c r="G27" s="13"/>
      <c r="H27" s="13"/>
      <c r="I27" s="13"/>
      <c r="J27" s="13"/>
      <c r="K27" s="13"/>
    </row>
    <row r="28" customFormat="false" ht="15" hidden="false" customHeight="false" outlineLevel="0" collapsed="false">
      <c r="A28" s="13"/>
      <c r="B28" s="13"/>
      <c r="C28" s="13"/>
      <c r="D28" s="13"/>
      <c r="E28" s="13"/>
      <c r="F28" s="13"/>
      <c r="G28" s="13"/>
      <c r="H28" s="13"/>
      <c r="I28" s="13"/>
      <c r="J28" s="13"/>
      <c r="K28" s="13"/>
    </row>
    <row r="29" customFormat="false" ht="15" hidden="false" customHeight="false" outlineLevel="0" collapsed="false">
      <c r="A29" s="13"/>
      <c r="B29" s="13"/>
      <c r="C29" s="13"/>
      <c r="D29" s="13"/>
      <c r="E29" s="13"/>
      <c r="F29" s="13"/>
      <c r="G29" s="13"/>
      <c r="H29" s="13"/>
      <c r="I29" s="13"/>
      <c r="J29" s="13"/>
      <c r="K29" s="13"/>
    </row>
    <row r="30" customFormat="false" ht="15" hidden="false" customHeight="false" outlineLevel="0" collapsed="false">
      <c r="A30" s="13"/>
      <c r="B30" s="13"/>
      <c r="C30" s="13"/>
      <c r="D30" s="13"/>
      <c r="E30" s="13"/>
      <c r="F30" s="13"/>
      <c r="G30" s="13"/>
      <c r="H30" s="13"/>
      <c r="I30" s="13"/>
      <c r="J30" s="13"/>
      <c r="K30" s="13"/>
    </row>
    <row r="31" customFormat="false" ht="15" hidden="false" customHeight="false" outlineLevel="0" collapsed="false">
      <c r="A31" s="13"/>
      <c r="B31" s="13"/>
      <c r="C31" s="13"/>
      <c r="D31" s="13"/>
      <c r="E31" s="13"/>
      <c r="F31" s="13"/>
      <c r="G31" s="13"/>
      <c r="H31" s="13"/>
      <c r="I31" s="13"/>
      <c r="J31" s="13"/>
      <c r="K31" s="13"/>
    </row>
    <row r="32" customFormat="false" ht="15" hidden="false" customHeight="false" outlineLevel="0" collapsed="false">
      <c r="A32" s="13"/>
      <c r="B32" s="13"/>
      <c r="C32" s="13"/>
      <c r="D32" s="13"/>
      <c r="E32" s="13"/>
      <c r="F32" s="13"/>
      <c r="G32" s="13"/>
      <c r="H32" s="13"/>
      <c r="I32" s="13"/>
      <c r="J32" s="13"/>
      <c r="K32" s="13"/>
    </row>
    <row r="33" customFormat="false" ht="15" hidden="false" customHeight="false" outlineLevel="0" collapsed="false">
      <c r="A33" s="13"/>
      <c r="B33" s="13"/>
      <c r="C33" s="13"/>
      <c r="D33" s="13"/>
      <c r="E33" s="13"/>
      <c r="F33" s="13"/>
      <c r="G33" s="13"/>
      <c r="H33" s="13"/>
      <c r="I33" s="13"/>
      <c r="J33" s="13"/>
      <c r="K33" s="13"/>
    </row>
    <row r="34" customFormat="false" ht="15" hidden="false" customHeight="false" outlineLevel="0" collapsed="false">
      <c r="A34" s="13"/>
      <c r="B34" s="13"/>
      <c r="C34" s="13"/>
      <c r="D34" s="13"/>
      <c r="E34" s="13"/>
      <c r="F34" s="13"/>
      <c r="G34" s="13"/>
      <c r="H34" s="13"/>
      <c r="I34" s="13"/>
      <c r="J34" s="13"/>
      <c r="K34" s="13"/>
    </row>
    <row r="35" customFormat="false" ht="15" hidden="false" customHeight="false" outlineLevel="0" collapsed="false">
      <c r="A35" s="13"/>
      <c r="B35" s="13"/>
      <c r="C35" s="13"/>
      <c r="D35" s="13"/>
      <c r="E35" s="13"/>
      <c r="F35" s="13"/>
      <c r="G35" s="13"/>
      <c r="H35" s="13"/>
      <c r="I35" s="13"/>
      <c r="J35" s="13"/>
      <c r="K35" s="13"/>
    </row>
    <row r="36" customFormat="false" ht="15" hidden="false" customHeight="false" outlineLevel="0" collapsed="false">
      <c r="A36" s="13"/>
      <c r="B36" s="13"/>
      <c r="C36" s="13"/>
      <c r="D36" s="13"/>
      <c r="E36" s="13"/>
      <c r="F36" s="13"/>
      <c r="G36" s="13"/>
      <c r="H36" s="13"/>
      <c r="I36" s="13"/>
      <c r="J36" s="13"/>
      <c r="K36" s="13"/>
    </row>
    <row r="37" customFormat="false" ht="15" hidden="false" customHeight="false" outlineLevel="0" collapsed="false">
      <c r="A37" s="13"/>
      <c r="B37" s="13"/>
      <c r="C37" s="13"/>
      <c r="D37" s="13"/>
      <c r="E37" s="13"/>
      <c r="F37" s="13"/>
      <c r="G37" s="13"/>
      <c r="H37" s="13"/>
      <c r="I37" s="13"/>
      <c r="J37" s="13"/>
      <c r="K37" s="13"/>
    </row>
    <row r="38" customFormat="false" ht="15" hidden="false" customHeight="false" outlineLevel="0" collapsed="false">
      <c r="A38" s="13"/>
      <c r="B38" s="13"/>
      <c r="C38" s="13"/>
      <c r="D38" s="13"/>
      <c r="E38" s="13"/>
      <c r="F38" s="13"/>
      <c r="G38" s="13"/>
      <c r="H38" s="13"/>
      <c r="I38" s="13"/>
      <c r="J38" s="13"/>
      <c r="K38" s="13"/>
    </row>
    <row r="39" customFormat="false" ht="15" hidden="false" customHeight="false" outlineLevel="0" collapsed="false">
      <c r="A39" s="13"/>
      <c r="B39" s="13"/>
      <c r="C39" s="13"/>
      <c r="D39" s="13"/>
      <c r="E39" s="13"/>
      <c r="F39" s="13"/>
      <c r="G39" s="13"/>
      <c r="H39" s="13"/>
      <c r="I39" s="13"/>
      <c r="J39" s="13"/>
      <c r="K39" s="13"/>
    </row>
    <row r="40" customFormat="false" ht="15" hidden="false" customHeight="false" outlineLevel="0" collapsed="false">
      <c r="A40" s="13"/>
      <c r="B40" s="13"/>
      <c r="C40" s="13"/>
      <c r="D40" s="13"/>
      <c r="E40" s="13"/>
      <c r="F40" s="13"/>
      <c r="G40" s="13"/>
      <c r="H40" s="13"/>
      <c r="I40" s="13"/>
      <c r="J40" s="13"/>
      <c r="K40" s="13"/>
    </row>
    <row r="41" customFormat="false" ht="15" hidden="false" customHeight="false" outlineLevel="0" collapsed="false">
      <c r="A41" s="13"/>
      <c r="B41" s="13"/>
      <c r="C41" s="13"/>
      <c r="D41" s="13"/>
      <c r="E41" s="13"/>
      <c r="F41" s="13"/>
      <c r="G41" s="13"/>
      <c r="H41" s="13"/>
      <c r="I41" s="13"/>
      <c r="J41" s="13"/>
      <c r="K41" s="13"/>
    </row>
    <row r="42" customFormat="false" ht="15" hidden="false" customHeight="false" outlineLevel="0" collapsed="false">
      <c r="A42" s="13"/>
      <c r="B42" s="13"/>
      <c r="C42" s="13"/>
      <c r="D42" s="13"/>
      <c r="E42" s="13"/>
      <c r="F42" s="13"/>
      <c r="G42" s="13"/>
      <c r="H42" s="13"/>
      <c r="I42" s="13"/>
      <c r="J42" s="13"/>
      <c r="K42" s="13"/>
    </row>
    <row r="43" customFormat="false" ht="15" hidden="false" customHeight="false" outlineLevel="0" collapsed="false">
      <c r="A43" s="13"/>
      <c r="B43" s="13"/>
      <c r="C43" s="13"/>
      <c r="D43" s="13"/>
      <c r="E43" s="13"/>
      <c r="F43" s="13"/>
      <c r="G43" s="13"/>
      <c r="H43" s="13"/>
      <c r="I43" s="13"/>
      <c r="J43" s="13"/>
      <c r="K43" s="13"/>
    </row>
    <row r="44" customFormat="false" ht="15" hidden="false" customHeight="false" outlineLevel="0" collapsed="false">
      <c r="A44" s="13"/>
      <c r="B44" s="13"/>
      <c r="C44" s="13"/>
      <c r="D44" s="13"/>
      <c r="E44" s="13"/>
      <c r="F44" s="13"/>
      <c r="G44" s="13"/>
      <c r="H44" s="13"/>
      <c r="I44" s="13"/>
      <c r="J44" s="13"/>
      <c r="K44" s="13"/>
    </row>
    <row r="45" customFormat="false" ht="15" hidden="false" customHeight="false" outlineLevel="0" collapsed="false">
      <c r="A45" s="13"/>
      <c r="B45" s="13"/>
      <c r="C45" s="13"/>
      <c r="D45" s="13"/>
      <c r="E45" s="13"/>
      <c r="F45" s="13"/>
      <c r="G45" s="13"/>
      <c r="H45" s="13"/>
      <c r="I45" s="13"/>
      <c r="J45" s="13"/>
      <c r="K45" s="13"/>
    </row>
    <row r="46" customFormat="false" ht="15" hidden="false" customHeight="false" outlineLevel="0" collapsed="false">
      <c r="A46" s="13"/>
      <c r="B46" s="13"/>
      <c r="C46" s="13"/>
      <c r="D46" s="13"/>
      <c r="E46" s="13"/>
      <c r="F46" s="13"/>
      <c r="G46" s="13"/>
      <c r="H46" s="13"/>
      <c r="I46" s="13"/>
      <c r="J46" s="13"/>
      <c r="K46" s="13"/>
    </row>
    <row r="47" customFormat="false" ht="15" hidden="false" customHeight="false" outlineLevel="0" collapsed="false">
      <c r="A47" s="13"/>
      <c r="B47" s="13"/>
      <c r="C47" s="13"/>
      <c r="D47" s="13"/>
      <c r="E47" s="13"/>
      <c r="F47" s="13"/>
      <c r="G47" s="13"/>
      <c r="H47" s="13"/>
      <c r="I47" s="13"/>
      <c r="J47" s="13"/>
      <c r="K47"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1"/>
    <col collapsed="false" customWidth="true" hidden="false" outlineLevel="0" max="4" min="4" style="0" width="86"/>
    <col collapsed="false" customWidth="true" hidden="false" outlineLevel="0" max="5" min="5" style="0" width="13"/>
    <col collapsed="false" customWidth="true" hidden="false" outlineLevel="0" max="6" min="6" style="0" width="26"/>
    <col collapsed="false" customWidth="true" hidden="false" outlineLevel="0" max="7" min="7" style="0" width="56"/>
  </cols>
  <sheetData>
    <row r="1" customFormat="false" ht="15" hidden="false" customHeight="false" outlineLevel="0" collapsed="false">
      <c r="A1" s="1" t="s">
        <v>1939</v>
      </c>
    </row>
    <row r="2" customFormat="false" ht="30" hidden="false" customHeight="true" outlineLevel="0" collapsed="false">
      <c r="A2" s="5" t="s">
        <v>1940</v>
      </c>
    </row>
    <row r="4" customFormat="false" ht="30" hidden="false" customHeight="true" outlineLevel="0" collapsed="false">
      <c r="A4" s="6" t="s">
        <v>1941</v>
      </c>
      <c r="B4" s="6" t="s">
        <v>1942</v>
      </c>
      <c r="C4" s="6" t="s">
        <v>1913</v>
      </c>
      <c r="D4" s="6" t="s">
        <v>1943</v>
      </c>
      <c r="E4" s="6" t="s">
        <v>1944</v>
      </c>
      <c r="F4" s="6" t="s">
        <v>1945</v>
      </c>
      <c r="G4" s="6" t="s">
        <v>1946</v>
      </c>
    </row>
    <row r="5" customFormat="false" ht="39" hidden="false" customHeight="true" outlineLevel="0" collapsed="false">
      <c r="A5" s="4" t="s">
        <v>1947</v>
      </c>
      <c r="B5" s="4" t="s">
        <v>1948</v>
      </c>
      <c r="C5" s="4" t="s">
        <v>1949</v>
      </c>
      <c r="D5" s="4" t="s">
        <v>1950</v>
      </c>
      <c r="E5" s="7" t="s">
        <v>15</v>
      </c>
      <c r="F5" s="4" t="s">
        <v>1951</v>
      </c>
      <c r="G5" s="4" t="s">
        <v>1952</v>
      </c>
    </row>
    <row r="6" customFormat="false" ht="25.5" hidden="false" customHeight="true" outlineLevel="0" collapsed="false">
      <c r="A6" s="4" t="s">
        <v>1953</v>
      </c>
      <c r="B6" s="4" t="s">
        <v>1948</v>
      </c>
      <c r="C6" s="4" t="s">
        <v>1949</v>
      </c>
      <c r="D6" s="4" t="s">
        <v>1954</v>
      </c>
      <c r="E6" s="7" t="s">
        <v>15</v>
      </c>
      <c r="F6" s="4" t="s">
        <v>1955</v>
      </c>
      <c r="G6" s="4" t="s">
        <v>951</v>
      </c>
    </row>
    <row r="7" customFormat="false" ht="25.5" hidden="false" customHeight="true" outlineLevel="0" collapsed="false">
      <c r="A7" s="4" t="s">
        <v>1956</v>
      </c>
      <c r="B7" s="4" t="s">
        <v>1948</v>
      </c>
      <c r="C7" s="4" t="s">
        <v>1933</v>
      </c>
      <c r="D7" s="4" t="s">
        <v>1957</v>
      </c>
      <c r="E7" s="7" t="s">
        <v>15</v>
      </c>
      <c r="F7" s="4" t="s">
        <v>1958</v>
      </c>
      <c r="G7" s="4" t="s">
        <v>859</v>
      </c>
    </row>
    <row r="8" customFormat="false" ht="25.5" hidden="false" customHeight="true" outlineLevel="0" collapsed="false">
      <c r="A8" s="4" t="s">
        <v>1959</v>
      </c>
      <c r="B8" s="4" t="s">
        <v>1948</v>
      </c>
      <c r="C8" s="4" t="s">
        <v>1933</v>
      </c>
      <c r="D8" s="4" t="s">
        <v>1960</v>
      </c>
      <c r="E8" s="7" t="s">
        <v>15</v>
      </c>
      <c r="F8" s="4" t="s">
        <v>1961</v>
      </c>
      <c r="G8" s="4" t="s">
        <v>917</v>
      </c>
    </row>
    <row r="9" customFormat="false" ht="25.5" hidden="false" customHeight="true" outlineLevel="0" collapsed="false">
      <c r="A9" s="4" t="s">
        <v>1962</v>
      </c>
      <c r="B9" s="4" t="s">
        <v>1948</v>
      </c>
      <c r="C9" s="4" t="s">
        <v>1933</v>
      </c>
      <c r="D9" s="4" t="s">
        <v>1963</v>
      </c>
      <c r="E9" s="7" t="s">
        <v>15</v>
      </c>
      <c r="F9" s="4" t="s">
        <v>1964</v>
      </c>
      <c r="G9" s="4" t="s">
        <v>850</v>
      </c>
    </row>
    <row r="10" customFormat="false" ht="25.5" hidden="false" customHeight="true" outlineLevel="0" collapsed="false">
      <c r="A10" s="4" t="s">
        <v>1965</v>
      </c>
      <c r="B10" s="4" t="s">
        <v>1948</v>
      </c>
      <c r="C10" s="4" t="s">
        <v>1921</v>
      </c>
      <c r="D10" s="4" t="s">
        <v>1966</v>
      </c>
      <c r="E10" s="7" t="s">
        <v>15</v>
      </c>
      <c r="F10" s="4" t="s">
        <v>1967</v>
      </c>
      <c r="G10" s="4" t="s">
        <v>1094</v>
      </c>
    </row>
    <row r="11" customFormat="false" ht="25.5" hidden="false" customHeight="true" outlineLevel="0" collapsed="false">
      <c r="A11" s="4" t="s">
        <v>1968</v>
      </c>
      <c r="B11" s="4" t="s">
        <v>1948</v>
      </c>
      <c r="C11" s="4" t="s">
        <v>1921</v>
      </c>
      <c r="D11" s="4" t="s">
        <v>1969</v>
      </c>
      <c r="E11" s="7" t="s">
        <v>15</v>
      </c>
      <c r="F11" s="4" t="s">
        <v>1970</v>
      </c>
      <c r="G11" s="4" t="s">
        <v>850</v>
      </c>
    </row>
    <row r="12" customFormat="false" ht="25.5" hidden="false" customHeight="true" outlineLevel="0" collapsed="false">
      <c r="A12" s="4" t="s">
        <v>1971</v>
      </c>
      <c r="B12" s="4" t="s">
        <v>1948</v>
      </c>
      <c r="C12" s="4" t="s">
        <v>1921</v>
      </c>
      <c r="D12" s="4" t="s">
        <v>1972</v>
      </c>
      <c r="E12" s="7" t="s">
        <v>15</v>
      </c>
      <c r="F12" s="4" t="s">
        <v>1973</v>
      </c>
      <c r="G12" s="4" t="s">
        <v>1974</v>
      </c>
    </row>
    <row r="13" customFormat="false" ht="25.5" hidden="false" customHeight="true" outlineLevel="0" collapsed="false">
      <c r="A13" s="4" t="s">
        <v>1975</v>
      </c>
      <c r="B13" s="4" t="s">
        <v>1948</v>
      </c>
      <c r="C13" s="4" t="s">
        <v>1921</v>
      </c>
      <c r="D13" s="4" t="s">
        <v>1976</v>
      </c>
      <c r="E13" s="7" t="s">
        <v>1977</v>
      </c>
      <c r="F13" s="4" t="s">
        <v>867</v>
      </c>
      <c r="G13" s="4" t="s">
        <v>1978</v>
      </c>
    </row>
    <row r="14" customFormat="false" ht="25.5" hidden="false" customHeight="true" outlineLevel="0" collapsed="false">
      <c r="A14" s="4" t="s">
        <v>1979</v>
      </c>
      <c r="B14" s="4" t="s">
        <v>1948</v>
      </c>
      <c r="C14" s="4" t="s">
        <v>1921</v>
      </c>
      <c r="D14" s="4" t="s">
        <v>1980</v>
      </c>
      <c r="E14" s="7" t="s">
        <v>15</v>
      </c>
      <c r="F14" s="4" t="s">
        <v>1981</v>
      </c>
      <c r="G14" s="4" t="s">
        <v>850</v>
      </c>
    </row>
    <row r="15" customFormat="false" ht="25.5" hidden="false" customHeight="true" outlineLevel="0" collapsed="false">
      <c r="A15" s="4" t="s">
        <v>1982</v>
      </c>
      <c r="B15" s="4" t="s">
        <v>1948</v>
      </c>
      <c r="C15" s="4" t="s">
        <v>1921</v>
      </c>
      <c r="D15" s="4" t="s">
        <v>1983</v>
      </c>
      <c r="E15" s="7" t="s">
        <v>15</v>
      </c>
      <c r="F15" s="4" t="s">
        <v>1984</v>
      </c>
      <c r="G15" s="4" t="s">
        <v>1985</v>
      </c>
    </row>
    <row r="16" customFormat="false" ht="25.5" hidden="false" customHeight="true" outlineLevel="0" collapsed="false">
      <c r="A16" s="4" t="s">
        <v>1986</v>
      </c>
      <c r="B16" s="4" t="s">
        <v>1948</v>
      </c>
      <c r="C16" s="4" t="s">
        <v>1987</v>
      </c>
      <c r="D16" s="4" t="s">
        <v>1988</v>
      </c>
      <c r="E16" s="7" t="s">
        <v>1977</v>
      </c>
      <c r="F16" s="4" t="s">
        <v>872</v>
      </c>
      <c r="G16" s="4" t="s">
        <v>989</v>
      </c>
    </row>
    <row r="17" customFormat="false" ht="25.5" hidden="false" customHeight="true" outlineLevel="0" collapsed="false">
      <c r="A17" s="4" t="s">
        <v>1931</v>
      </c>
      <c r="B17" s="4" t="s">
        <v>1989</v>
      </c>
      <c r="C17" s="4" t="s">
        <v>1933</v>
      </c>
      <c r="D17" s="4" t="s">
        <v>1990</v>
      </c>
      <c r="E17" s="7" t="s">
        <v>15</v>
      </c>
      <c r="F17" s="4" t="s">
        <v>1991</v>
      </c>
      <c r="G17" s="4" t="s">
        <v>1992</v>
      </c>
    </row>
    <row r="18" customFormat="false" ht="25.5" hidden="false" customHeight="true" outlineLevel="0" collapsed="false">
      <c r="A18" s="4" t="s">
        <v>1919</v>
      </c>
      <c r="B18" s="4" t="s">
        <v>1993</v>
      </c>
      <c r="C18" s="4" t="s">
        <v>1921</v>
      </c>
      <c r="D18" s="4" t="s">
        <v>1994</v>
      </c>
      <c r="E18" s="8" t="s">
        <v>1995</v>
      </c>
      <c r="F18" s="4" t="s">
        <v>1996</v>
      </c>
      <c r="G18" s="4" t="s">
        <v>1997</v>
      </c>
    </row>
    <row r="19" customFormat="false" ht="25.5" hidden="false" customHeight="true" outlineLevel="0" collapsed="false">
      <c r="A19" s="4" t="s">
        <v>1926</v>
      </c>
      <c r="B19" s="4" t="s">
        <v>1993</v>
      </c>
      <c r="C19" s="4" t="s">
        <v>1927</v>
      </c>
      <c r="D19" s="4" t="s">
        <v>1998</v>
      </c>
      <c r="E19" s="8" t="s">
        <v>1995</v>
      </c>
      <c r="F19" s="4" t="s">
        <v>1999</v>
      </c>
      <c r="G19" s="4" t="s">
        <v>1997</v>
      </c>
    </row>
    <row r="20" customFormat="false" ht="39" hidden="false" customHeight="true" outlineLevel="0" collapsed="false">
      <c r="A20" s="4" t="s">
        <v>2000</v>
      </c>
      <c r="B20" s="4" t="s">
        <v>2001</v>
      </c>
      <c r="C20" s="4" t="s">
        <v>2002</v>
      </c>
      <c r="D20" s="4" t="s">
        <v>2003</v>
      </c>
      <c r="E20" s="7" t="s">
        <v>417</v>
      </c>
      <c r="F20" s="4" t="s">
        <v>2004</v>
      </c>
      <c r="G20" s="4" t="s">
        <v>2005</v>
      </c>
    </row>
    <row r="21" customFormat="false" ht="25.5" hidden="false" customHeight="true" outlineLevel="0" collapsed="false">
      <c r="A21" s="4" t="s">
        <v>2006</v>
      </c>
      <c r="B21" s="4" t="s">
        <v>2007</v>
      </c>
      <c r="C21" s="4" t="s">
        <v>2002</v>
      </c>
      <c r="D21" s="4" t="s">
        <v>2008</v>
      </c>
      <c r="E21" s="8" t="s">
        <v>2009</v>
      </c>
      <c r="F21" s="4" t="s">
        <v>2010</v>
      </c>
      <c r="G21" s="4" t="s">
        <v>2011</v>
      </c>
    </row>
    <row r="22" customFormat="false" ht="39" hidden="false" customHeight="true" outlineLevel="0" collapsed="false">
      <c r="A22" s="4" t="s">
        <v>2012</v>
      </c>
      <c r="B22" s="4" t="s">
        <v>2013</v>
      </c>
      <c r="C22" s="4" t="s">
        <v>1933</v>
      </c>
      <c r="D22" s="4" t="s">
        <v>2014</v>
      </c>
      <c r="E22" s="7" t="s">
        <v>15</v>
      </c>
      <c r="F22" s="4" t="s">
        <v>2015</v>
      </c>
      <c r="G22" s="4" t="s">
        <v>2016</v>
      </c>
    </row>
    <row r="23" customFormat="false" ht="25.5" hidden="false" customHeight="true" outlineLevel="0" collapsed="false">
      <c r="A23" s="4" t="s">
        <v>2017</v>
      </c>
      <c r="B23" s="4" t="s">
        <v>2018</v>
      </c>
      <c r="C23" s="4" t="s">
        <v>183</v>
      </c>
      <c r="D23" s="4" t="s">
        <v>2019</v>
      </c>
      <c r="E23" s="8" t="s">
        <v>2020</v>
      </c>
      <c r="F23" s="4" t="s">
        <v>2021</v>
      </c>
      <c r="G23" s="4" t="s">
        <v>2022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3" min="3" style="0" width="72"/>
  </cols>
  <sheetData>
    <row r="1" customFormat="false" ht="15" hidden="false" customHeight="false" outlineLevel="0" collapsed="false">
      <c r="A1" s="1" t="s">
        <v>2023</v>
      </c>
    </row>
    <row r="2" customFormat="false" ht="30" hidden="false" customHeight="true" outlineLevel="0" collapsed="false">
      <c r="A2" s="5" t="s">
        <v>2024</v>
      </c>
    </row>
    <row r="4" customFormat="false" ht="30" hidden="false" customHeight="true" outlineLevel="0" collapsed="false">
      <c r="A4" s="6" t="s">
        <v>2025</v>
      </c>
      <c r="B4" s="6" t="s">
        <v>2026</v>
      </c>
      <c r="C4" s="6" t="s">
        <v>2027</v>
      </c>
    </row>
    <row r="5" customFormat="false" ht="15" hidden="false" customHeight="false" outlineLevel="0" collapsed="false">
      <c r="A5" s="4" t="s">
        <v>32</v>
      </c>
      <c r="B5" s="14" t="n">
        <f aca="false">COUNTA(Manual_Test_Cases!A5:A81)</f>
        <v>77</v>
      </c>
      <c r="C5" s="4" t="s">
        <v>2028</v>
      </c>
    </row>
    <row r="6" customFormat="false" ht="15" hidden="false" customHeight="false" outlineLevel="0" collapsed="false">
      <c r="A6" s="4" t="s">
        <v>2029</v>
      </c>
      <c r="B6" s="14" t="n">
        <f aca="false">COUNTIF(Manual_Test_Cases!E5:E81,"Positive")</f>
        <v>34</v>
      </c>
      <c r="C6" s="4" t="s">
        <v>2030</v>
      </c>
    </row>
    <row r="7" customFormat="false" ht="15" hidden="false" customHeight="false" outlineLevel="0" collapsed="false">
      <c r="A7" s="4" t="s">
        <v>2031</v>
      </c>
      <c r="B7" s="14" t="n">
        <f aca="false">COUNTIF(Manual_Test_Cases!E5:E81,"Negative")</f>
        <v>43</v>
      </c>
      <c r="C7" s="4" t="s">
        <v>2030</v>
      </c>
    </row>
    <row r="8" customFormat="false" ht="15" hidden="false" customHeight="false" outlineLevel="0" collapsed="false">
      <c r="A8" s="4" t="s">
        <v>2032</v>
      </c>
      <c r="B8" s="14" t="n">
        <f aca="false">COUNTIF(Manual_Test_Cases!F5:F81,"P0")</f>
        <v>36</v>
      </c>
      <c r="C8" s="4" t="s">
        <v>2033</v>
      </c>
    </row>
    <row r="9" customFormat="false" ht="15" hidden="false" customHeight="false" outlineLevel="0" collapsed="false">
      <c r="A9" s="4" t="s">
        <v>2034</v>
      </c>
      <c r="B9" s="14" t="n">
        <f aca="false">COUNTIF(Manual_Test_Cases!F5:F81,"P1")</f>
        <v>32</v>
      </c>
      <c r="C9" s="4" t="s">
        <v>2033</v>
      </c>
    </row>
    <row r="10" customFormat="false" ht="15" hidden="false" customHeight="false" outlineLevel="0" collapsed="false">
      <c r="A10" s="4" t="s">
        <v>2035</v>
      </c>
      <c r="B10" s="14" t="n">
        <f aca="false">COUNTIF(Manual_Test_Cases!F5:F81,"P2")</f>
        <v>9</v>
      </c>
      <c r="C10" s="4" t="s">
        <v>2033</v>
      </c>
    </row>
    <row r="11" customFormat="false" ht="15" hidden="false" customHeight="false" outlineLevel="0" collapsed="false">
      <c r="A11" s="4" t="s">
        <v>2036</v>
      </c>
      <c r="B11" s="14" t="n">
        <f aca="false">COUNTIF(Manual_Test_Cases!M5:M81,"Yes*")</f>
        <v>66</v>
      </c>
      <c r="C11" s="4" t="s">
        <v>2037</v>
      </c>
    </row>
    <row r="12" customFormat="false" ht="15" hidden="false" customHeight="false" outlineLevel="0" collapsed="false">
      <c r="A12" s="4" t="s">
        <v>2038</v>
      </c>
      <c r="B12" s="14" t="n">
        <f aca="false">COUNTIF(Manual_Test_Cases!M5:M81,"NO*")</f>
        <v>11</v>
      </c>
      <c r="C12" s="4" t="s">
        <v>2037</v>
      </c>
    </row>
    <row r="13" customFormat="false" ht="15" hidden="false" customHeight="false" outlineLevel="0" collapsed="false">
      <c r="A13" s="4" t="s">
        <v>2039</v>
      </c>
      <c r="B13" s="14" t="n">
        <f aca="false">SUM(Manual_Test_Cases!K5:K81)</f>
        <v>321</v>
      </c>
      <c r="C13" s="4" t="s">
        <v>2040</v>
      </c>
    </row>
    <row r="14" customFormat="false" ht="15" hidden="false" customHeight="false" outlineLevel="0" collapsed="false">
      <c r="A14" s="4" t="s">
        <v>2041</v>
      </c>
      <c r="B14" s="14" t="n">
        <f aca="false">SUMPRODUCT((COUNTIF(Manual_Test_Cases!B5:B81,Manual_Test_Cases!B5:B81)&gt;0)/COUNTIF(Manual_Test_Cases!B5:B81,Manual_Test_Cases!B5:B81))</f>
        <v>20</v>
      </c>
      <c r="C14" s="4" t="s">
        <v>2042</v>
      </c>
    </row>
    <row r="15" customFormat="false" ht="15" hidden="false" customHeight="false" outlineLevel="0" collapsed="false">
      <c r="A15" s="15" t="s">
        <v>2043</v>
      </c>
      <c r="B15" s="15"/>
      <c r="C15" s="15"/>
    </row>
    <row r="16" customFormat="false" ht="15" hidden="false" customHeight="false" outlineLevel="0" collapsed="false">
      <c r="A16" s="4" t="s">
        <v>2044</v>
      </c>
      <c r="B16" s="14" t="n">
        <f aca="false">COUNTA(Test_Execution_Log!F6:F125)</f>
        <v>0</v>
      </c>
      <c r="C16" s="4" t="s">
        <v>2045</v>
      </c>
    </row>
    <row r="17" customFormat="false" ht="15" hidden="false" customHeight="false" outlineLevel="0" collapsed="false">
      <c r="A17" s="4" t="s">
        <v>2046</v>
      </c>
      <c r="B17" s="14" t="n">
        <f aca="false">COUNTIF(Test_Execution_Log!F6:F125,"Pass")</f>
        <v>0</v>
      </c>
      <c r="C17" s="4" t="s">
        <v>139</v>
      </c>
    </row>
    <row r="18" customFormat="false" ht="15" hidden="false" customHeight="false" outlineLevel="0" collapsed="false">
      <c r="A18" s="4" t="s">
        <v>2047</v>
      </c>
      <c r="B18" s="14" t="n">
        <f aca="false">COUNTIF(Test_Execution_Log!F6:F125,"Fail")</f>
        <v>0</v>
      </c>
      <c r="C18" s="4" t="s">
        <v>139</v>
      </c>
    </row>
    <row r="19" customFormat="false" ht="15" hidden="false" customHeight="false" outlineLevel="0" collapsed="false">
      <c r="A19" s="4" t="s">
        <v>2048</v>
      </c>
      <c r="B19" s="14" t="n">
        <f aca="false">COUNTIF(Test_Execution_Log!F6:F125,"Blocked")</f>
        <v>0</v>
      </c>
      <c r="C19" s="4" t="s">
        <v>139</v>
      </c>
    </row>
    <row r="20" customFormat="false" ht="15" hidden="false" customHeight="false" outlineLevel="0" collapsed="false">
      <c r="A20" s="4" t="s">
        <v>2049</v>
      </c>
      <c r="B20" s="14" t="n">
        <f aca="false">COUNTA(Manual_Test_Cases!A5:A81)-COUNTA(Test_Execution_Log!F6:F125)</f>
        <v>77</v>
      </c>
      <c r="C20" s="4" t="s">
        <v>2050</v>
      </c>
    </row>
    <row r="21" customFormat="false" ht="15" hidden="false" customHeight="false" outlineLevel="0" collapsed="false">
      <c r="A21" s="4" t="s">
        <v>2051</v>
      </c>
      <c r="B21" s="16" t="str">
        <f aca="false">IF(COUNTA(Test_Execution_Log!F6:F125)=0,"—",COUNTIF(Test_Execution_Log!F6:F125,"Pass")/COUNTA(Test_Execution_Log!F6:F125))</f>
        <v>—</v>
      </c>
      <c r="C21" s="4" t="s">
        <v>2052</v>
      </c>
    </row>
    <row r="22" customFormat="false" ht="15" hidden="false" customHeight="false" outlineLevel="0" collapsed="false">
      <c r="A22" s="15" t="s">
        <v>2053</v>
      </c>
      <c r="B22" s="15"/>
      <c r="C22" s="15"/>
    </row>
    <row r="23" customFormat="false" ht="15" hidden="false" customHeight="false" outlineLevel="0" collapsed="false">
      <c r="A23" s="4" t="s">
        <v>2054</v>
      </c>
      <c r="B23" s="14" t="n">
        <f aca="false">COUNTA(Version_Detail!B5:B36)</f>
        <v>32</v>
      </c>
      <c r="C23" s="4" t="s">
        <v>103</v>
      </c>
    </row>
    <row r="24" customFormat="false" ht="15" hidden="false" customHeight="false" outlineLevel="0" collapsed="false">
      <c r="A24" s="4" t="s">
        <v>2055</v>
      </c>
      <c r="B24" s="14" t="n">
        <f aca="false">COUNTA(Pending_Versions!B5:B18)</f>
        <v>14</v>
      </c>
      <c r="C24" s="4" t="s">
        <v>108</v>
      </c>
    </row>
    <row r="25" customFormat="false" ht="15" hidden="false" customHeight="false" outlineLevel="0" collapsed="false">
      <c r="A25" s="4" t="s">
        <v>2056</v>
      </c>
      <c r="B25" s="14" t="n">
        <f aca="false">COUNTIF(Completed_vs_Pending!C5:C21,"DONE")</f>
        <v>8</v>
      </c>
      <c r="C25" s="4" t="s">
        <v>113</v>
      </c>
    </row>
    <row r="26" customFormat="false" ht="15" hidden="false" customHeight="false" outlineLevel="0" collapsed="false">
      <c r="A26" s="4" t="s">
        <v>2057</v>
      </c>
      <c r="B26" s="14" t="n">
        <f aca="false">COUNTIF(Completed_vs_Pending!C5:C21,"PARTIAL")</f>
        <v>3</v>
      </c>
      <c r="C26" s="4" t="s">
        <v>1974</v>
      </c>
    </row>
    <row r="27" customFormat="false" ht="15" hidden="false" customHeight="false" outlineLevel="0" collapsed="false">
      <c r="A27" s="4" t="s">
        <v>2058</v>
      </c>
      <c r="B27" s="14" t="n">
        <f aca="false">COUNTIF(Completed_vs_Pending!C5:C21,"BLOCKED")</f>
        <v>4</v>
      </c>
      <c r="C27" s="4" t="s">
        <v>1974</v>
      </c>
    </row>
    <row r="28" customFormat="false" ht="15" hidden="false" customHeight="false" outlineLevel="0" collapsed="false">
      <c r="A28" s="4" t="s">
        <v>2059</v>
      </c>
      <c r="B28" s="14" t="n">
        <f aca="false">COUNTIF(Completed_vs_Pending!C5:C21,"NOT BUILT")</f>
        <v>2</v>
      </c>
      <c r="C28" s="4" t="s">
        <v>1974</v>
      </c>
    </row>
    <row r="29" customFormat="false" ht="15" hidden="false" customHeight="false" outlineLevel="0" collapsed="false">
      <c r="A29" s="4" t="s">
        <v>2060</v>
      </c>
      <c r="B29" s="14" t="n">
        <f aca="false">COUNTIF(Defect_Log!H5:H47,"Open")</f>
        <v>2</v>
      </c>
      <c r="C29" s="4"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86"/>
    <col collapsed="false" customWidth="true" hidden="false" outlineLevel="0" max="4" min="4" style="0" width="72"/>
    <col collapsed="false" customWidth="true" hidden="false" outlineLevel="0" max="5" min="5" style="0" width="52"/>
  </cols>
  <sheetData>
    <row r="1" customFormat="false" ht="15" hidden="false" customHeight="false" outlineLevel="0" collapsed="false">
      <c r="A1" s="1" t="s">
        <v>2061</v>
      </c>
    </row>
    <row r="2" customFormat="false" ht="30" hidden="false" customHeight="true" outlineLevel="0" collapsed="false">
      <c r="A2" s="5" t="s">
        <v>2062</v>
      </c>
    </row>
    <row r="4" customFormat="false" ht="30" hidden="false" customHeight="true" outlineLevel="0" collapsed="false">
      <c r="A4" s="6" t="s">
        <v>81</v>
      </c>
      <c r="B4" s="6" t="s">
        <v>725</v>
      </c>
      <c r="C4" s="6" t="s">
        <v>2063</v>
      </c>
      <c r="D4" s="6" t="s">
        <v>2064</v>
      </c>
      <c r="E4" s="6" t="s">
        <v>2065</v>
      </c>
    </row>
    <row r="5" customFormat="false" ht="25.5" hidden="false" customHeight="true" outlineLevel="0" collapsed="false">
      <c r="A5" s="4" t="n">
        <v>1</v>
      </c>
      <c r="B5" s="10" t="s">
        <v>2066</v>
      </c>
      <c r="C5" s="4" t="s">
        <v>2067</v>
      </c>
      <c r="D5" s="4" t="s">
        <v>2068</v>
      </c>
      <c r="E5" s="4" t="s">
        <v>2069</v>
      </c>
    </row>
    <row r="6" customFormat="false" ht="39" hidden="false" customHeight="true" outlineLevel="0" collapsed="false">
      <c r="A6" s="4" t="n">
        <v>2</v>
      </c>
      <c r="B6" s="10" t="s">
        <v>2066</v>
      </c>
      <c r="C6" s="4" t="s">
        <v>2070</v>
      </c>
      <c r="D6" s="4" t="s">
        <v>2071</v>
      </c>
      <c r="E6" s="4" t="s">
        <v>2072</v>
      </c>
    </row>
    <row r="7" customFormat="false" ht="39" hidden="false" customHeight="true" outlineLevel="0" collapsed="false">
      <c r="A7" s="4" t="n">
        <v>3</v>
      </c>
      <c r="B7" s="10" t="s">
        <v>2066</v>
      </c>
      <c r="C7" s="4" t="s">
        <v>2073</v>
      </c>
      <c r="D7" s="4" t="s">
        <v>2074</v>
      </c>
      <c r="E7" s="4" t="s">
        <v>2075</v>
      </c>
    </row>
    <row r="8" customFormat="false" ht="39" hidden="false" customHeight="true" outlineLevel="0" collapsed="false">
      <c r="A8" s="4" t="n">
        <v>4</v>
      </c>
      <c r="B8" s="10" t="s">
        <v>2066</v>
      </c>
      <c r="C8" s="4" t="s">
        <v>2076</v>
      </c>
      <c r="D8" s="4" t="s">
        <v>2077</v>
      </c>
      <c r="E8" s="4" t="s">
        <v>2078</v>
      </c>
    </row>
    <row r="9" customFormat="false" ht="25.5" hidden="false" customHeight="true" outlineLevel="0" collapsed="false">
      <c r="A9" s="4" t="n">
        <v>5</v>
      </c>
      <c r="B9" s="8" t="s">
        <v>2079</v>
      </c>
      <c r="C9" s="4" t="s">
        <v>2080</v>
      </c>
      <c r="D9" s="4" t="s">
        <v>2081</v>
      </c>
      <c r="E9" s="4" t="s">
        <v>2082</v>
      </c>
    </row>
    <row r="10" customFormat="false" ht="25.5" hidden="false" customHeight="true" outlineLevel="0" collapsed="false">
      <c r="A10" s="4" t="n">
        <v>6</v>
      </c>
      <c r="B10" s="8" t="s">
        <v>2079</v>
      </c>
      <c r="C10" s="4" t="s">
        <v>2083</v>
      </c>
      <c r="D10" s="4" t="s">
        <v>2084</v>
      </c>
      <c r="E10" s="4" t="s">
        <v>2085</v>
      </c>
    </row>
    <row r="11" customFormat="false" ht="25.5" hidden="false" customHeight="true" outlineLevel="0" collapsed="false">
      <c r="A11" s="4" t="n">
        <v>7</v>
      </c>
      <c r="B11" s="8" t="s">
        <v>2079</v>
      </c>
      <c r="C11" s="4" t="s">
        <v>2086</v>
      </c>
      <c r="D11" s="4" t="s">
        <v>2087</v>
      </c>
      <c r="E11" s="4" t="s">
        <v>2088</v>
      </c>
    </row>
    <row r="12" customFormat="false" ht="25.5" hidden="false" customHeight="true" outlineLevel="0" collapsed="false">
      <c r="A12" s="4" t="n">
        <v>8</v>
      </c>
      <c r="B12" s="8" t="s">
        <v>2079</v>
      </c>
      <c r="C12" s="4" t="s">
        <v>2089</v>
      </c>
      <c r="D12" s="4" t="s">
        <v>2090</v>
      </c>
      <c r="E12" s="4" t="s">
        <v>2091</v>
      </c>
    </row>
    <row r="13" customFormat="false" ht="39" hidden="false" customHeight="true" outlineLevel="0" collapsed="false">
      <c r="A13" s="4" t="n">
        <v>9</v>
      </c>
      <c r="B13" s="8" t="s">
        <v>2079</v>
      </c>
      <c r="C13" s="4" t="s">
        <v>2092</v>
      </c>
      <c r="D13" s="4" t="s">
        <v>2093</v>
      </c>
      <c r="E13" s="4" t="s">
        <v>2094</v>
      </c>
    </row>
    <row r="14" customFormat="false" ht="25.5" hidden="false" customHeight="true" outlineLevel="0" collapsed="false">
      <c r="A14" s="4" t="n">
        <v>10</v>
      </c>
      <c r="B14" s="8" t="s">
        <v>2079</v>
      </c>
      <c r="C14" s="4" t="s">
        <v>2095</v>
      </c>
      <c r="D14" s="4" t="s">
        <v>2096</v>
      </c>
      <c r="E14" s="4" t="s">
        <v>2097</v>
      </c>
    </row>
    <row r="15" customFormat="false" ht="25.5" hidden="false" customHeight="true" outlineLevel="0" collapsed="false">
      <c r="A15" s="4" t="n">
        <v>11</v>
      </c>
      <c r="B15" s="8" t="s">
        <v>2079</v>
      </c>
      <c r="C15" s="4" t="s">
        <v>2098</v>
      </c>
      <c r="D15" s="4" t="s">
        <v>2099</v>
      </c>
      <c r="E15" s="4" t="s">
        <v>2100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15" hidden="false" customHeight="false" outlineLevel="0" collapsed="false">
      <c r="A1" s="1" t="s">
        <v>162</v>
      </c>
    </row>
    <row r="2" customFormat="false" ht="30" hidden="false" customHeight="true" outlineLevel="0" collapsed="false">
      <c r="A2" s="5" t="s">
        <v>2101</v>
      </c>
    </row>
    <row r="4" customFormat="false" ht="30" hidden="false" customHeight="true" outlineLevel="0" collapsed="false">
      <c r="A4" s="6" t="s">
        <v>2102</v>
      </c>
      <c r="B4" s="6" t="s">
        <v>2103</v>
      </c>
    </row>
    <row r="5" customFormat="false" ht="15" hidden="false" customHeight="true" outlineLevel="0" collapsed="false">
      <c r="A5" s="4" t="s">
        <v>2104</v>
      </c>
      <c r="B5" s="4" t="s">
        <v>2105</v>
      </c>
    </row>
    <row r="6" customFormat="false" ht="30" hidden="false" customHeight="true" outlineLevel="0" collapsed="false">
      <c r="A6" s="4" t="s">
        <v>2106</v>
      </c>
      <c r="B6" s="4" t="s">
        <v>2107</v>
      </c>
    </row>
    <row r="7" customFormat="false" ht="30" hidden="false" customHeight="true" outlineLevel="0" collapsed="false">
      <c r="A7" s="4" t="s">
        <v>1148</v>
      </c>
      <c r="B7" s="4" t="s">
        <v>2108</v>
      </c>
    </row>
    <row r="8" customFormat="false" ht="15" hidden="false" customHeight="true" outlineLevel="0" collapsed="false">
      <c r="A8" s="4" t="s">
        <v>2109</v>
      </c>
      <c r="B8" s="4" t="s">
        <v>2110</v>
      </c>
    </row>
    <row r="9" customFormat="false" ht="30" hidden="false" customHeight="true" outlineLevel="0" collapsed="false">
      <c r="A9" s="4" t="s">
        <v>2111</v>
      </c>
      <c r="B9" s="4" t="s">
        <v>2112</v>
      </c>
    </row>
    <row r="10" customFormat="false" ht="30" hidden="false" customHeight="true" outlineLevel="0" collapsed="false">
      <c r="A10" s="4" t="s">
        <v>823</v>
      </c>
      <c r="B10" s="4" t="s">
        <v>2113</v>
      </c>
    </row>
    <row r="11" customFormat="false" ht="15" hidden="false" customHeight="true" outlineLevel="0" collapsed="false">
      <c r="A11" s="4" t="s">
        <v>2114</v>
      </c>
      <c r="B11" s="4" t="s">
        <v>2115</v>
      </c>
    </row>
    <row r="12" customFormat="false" ht="15" hidden="false" customHeight="true" outlineLevel="0" collapsed="false">
      <c r="A12" s="4" t="s">
        <v>2116</v>
      </c>
      <c r="B12" s="4" t="s">
        <v>2117</v>
      </c>
    </row>
    <row r="13" customFormat="false" ht="30" hidden="false" customHeight="true" outlineLevel="0" collapsed="false">
      <c r="A13" s="4" t="s">
        <v>2118</v>
      </c>
      <c r="B13" s="4" t="s">
        <v>2119</v>
      </c>
    </row>
    <row r="14" customFormat="false" ht="30" hidden="false" customHeight="true" outlineLevel="0" collapsed="false">
      <c r="A14" s="4" t="s">
        <v>2120</v>
      </c>
      <c r="B14" s="4" t="s">
        <v>2121</v>
      </c>
    </row>
    <row r="15" customFormat="false" ht="15" hidden="false" customHeight="true" outlineLevel="0" collapsed="false">
      <c r="A15" s="4" t="s">
        <v>2122</v>
      </c>
      <c r="B15" s="4" t="s">
        <v>2123</v>
      </c>
    </row>
    <row r="16" customFormat="false" ht="30" hidden="false" customHeight="true" outlineLevel="0" collapsed="false">
      <c r="A16" s="4" t="s">
        <v>912</v>
      </c>
      <c r="B16" s="4" t="s">
        <v>2124</v>
      </c>
    </row>
    <row r="17" customFormat="false" ht="15" hidden="false" customHeight="true" outlineLevel="0" collapsed="false">
      <c r="A17" s="4" t="s">
        <v>2125</v>
      </c>
      <c r="B17" s="4" t="s">
        <v>2126</v>
      </c>
    </row>
    <row r="18" customFormat="false" ht="30" hidden="false" customHeight="true" outlineLevel="0" collapsed="false">
      <c r="A18" s="4" t="s">
        <v>2127</v>
      </c>
      <c r="B18" s="4" t="s">
        <v>2128</v>
      </c>
    </row>
    <row r="19" customFormat="false" ht="15" hidden="false" customHeight="true" outlineLevel="0" collapsed="false">
      <c r="A19" s="4" t="s">
        <v>2129</v>
      </c>
      <c r="B19" s="4" t="s">
        <v>2130</v>
      </c>
    </row>
    <row r="20" customFormat="false" ht="30" hidden="false" customHeight="true" outlineLevel="0" collapsed="false">
      <c r="A20" s="4" t="s">
        <v>2131</v>
      </c>
      <c r="B20" s="4" t="s">
        <v>2132</v>
      </c>
    </row>
    <row r="21" customFormat="false" ht="15" hidden="false" customHeight="true" outlineLevel="0" collapsed="false">
      <c r="A21" s="4" t="s">
        <v>2133</v>
      </c>
      <c r="B21" s="4" t="s">
        <v>2134</v>
      </c>
    </row>
    <row r="22" customFormat="false" ht="30" hidden="false" customHeight="true" outlineLevel="0" collapsed="false">
      <c r="A22" s="4" t="s">
        <v>2017</v>
      </c>
      <c r="B22" s="4" t="s">
        <v>2135</v>
      </c>
    </row>
    <row r="23" customFormat="false" ht="15" hidden="false" customHeight="true" outlineLevel="0" collapsed="false">
      <c r="A23" s="4" t="s">
        <v>2136</v>
      </c>
      <c r="B23" s="4" t="s">
        <v>2137</v>
      </c>
    </row>
    <row r="24" customFormat="false" ht="30" hidden="false" customHeight="true" outlineLevel="0" collapsed="false">
      <c r="A24" s="4" t="s">
        <v>2138</v>
      </c>
      <c r="B24" s="4" t="s">
        <v>2139</v>
      </c>
    </row>
    <row r="25" customFormat="false" ht="15" hidden="false" customHeight="true" outlineLevel="0" collapsed="false">
      <c r="A25" s="4" t="s">
        <v>2140</v>
      </c>
      <c r="B25" s="4" t="s">
        <v>2141</v>
      </c>
    </row>
    <row r="26" customFormat="false" ht="15" hidden="false" customHeight="true" outlineLevel="0" collapsed="false">
      <c r="A26" s="4" t="s">
        <v>2142</v>
      </c>
      <c r="B26" s="4" t="s">
        <v>2143</v>
      </c>
    </row>
    <row r="27" customFormat="false" ht="15" hidden="false" customHeight="true" outlineLevel="0" collapsed="false">
      <c r="A27" s="4" t="s">
        <v>2144</v>
      </c>
      <c r="B27" s="4" t="s">
        <v>2145</v>
      </c>
    </row>
    <row r="28" customFormat="false" ht="30" hidden="false" customHeight="true" outlineLevel="0" collapsed="false">
      <c r="A28" s="4" t="s">
        <v>2146</v>
      </c>
      <c r="B28" s="4" t="s">
        <v>2147</v>
      </c>
    </row>
    <row r="29" customFormat="false" ht="30" hidden="false" customHeight="true" outlineLevel="0" collapsed="false">
      <c r="A29" s="4" t="s">
        <v>1109</v>
      </c>
      <c r="B29" s="4" t="s">
        <v>2148</v>
      </c>
    </row>
    <row r="30" customFormat="false" ht="15" hidden="false" customHeight="true" outlineLevel="0" collapsed="false">
      <c r="A30" s="4" t="s">
        <v>2149</v>
      </c>
      <c r="B30" s="4" t="s">
        <v>2150</v>
      </c>
    </row>
    <row r="31" customFormat="false" ht="15" hidden="false" customHeight="true" outlineLevel="0" collapsed="false">
      <c r="A31" s="4" t="s">
        <v>2151</v>
      </c>
      <c r="B31" s="4" t="s">
        <v>2152</v>
      </c>
    </row>
    <row r="32" customFormat="false" ht="30" hidden="false" customHeight="true" outlineLevel="0" collapsed="false">
      <c r="A32" s="4" t="s">
        <v>1019</v>
      </c>
      <c r="B32" s="4" t="s">
        <v>2153</v>
      </c>
    </row>
    <row r="33" customFormat="false" ht="15" hidden="false" customHeight="true" outlineLevel="0" collapsed="false">
      <c r="A33" s="4" t="s">
        <v>2154</v>
      </c>
      <c r="B33" s="4" t="s">
        <v>2155</v>
      </c>
    </row>
    <row r="34" customFormat="false" ht="15" hidden="false" customHeight="true" outlineLevel="0" collapsed="false">
      <c r="A34" s="4" t="s">
        <v>2156</v>
      </c>
      <c r="B34" s="4" t="s">
        <v>2157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86"/>
    <col collapsed="false" customWidth="true" hidden="false" outlineLevel="0" max="4" min="4" style="0" width="26"/>
    <col collapsed="false" customWidth="true" hidden="false" outlineLevel="0" max="5" min="5" style="0" width="14"/>
  </cols>
  <sheetData>
    <row r="1" customFormat="false" ht="15" hidden="false" customHeight="false" outlineLevel="0" collapsed="false">
      <c r="A1" s="1" t="s">
        <v>2158</v>
      </c>
    </row>
    <row r="2" customFormat="false" ht="30" hidden="false" customHeight="true" outlineLevel="0" collapsed="false">
      <c r="A2" s="5" t="s">
        <v>2159</v>
      </c>
    </row>
    <row r="4" customFormat="false" ht="30" hidden="false" customHeight="true" outlineLevel="0" collapsed="false">
      <c r="A4" s="6" t="s">
        <v>2160</v>
      </c>
      <c r="B4" s="6" t="s">
        <v>2161</v>
      </c>
      <c r="C4" s="6" t="s">
        <v>2162</v>
      </c>
      <c r="D4" s="6" t="s">
        <v>2163</v>
      </c>
      <c r="E4" s="6" t="s">
        <v>41</v>
      </c>
    </row>
    <row r="5" customFormat="false" ht="51.75" hidden="false" customHeight="true" outlineLevel="0" collapsed="false">
      <c r="A5" s="4" t="s">
        <v>2164</v>
      </c>
      <c r="B5" s="4" t="s">
        <v>2165</v>
      </c>
      <c r="C5" s="4" t="s">
        <v>2166</v>
      </c>
      <c r="D5" s="13" t="s">
        <v>47</v>
      </c>
      <c r="E5" s="13" t="s">
        <v>2167</v>
      </c>
    </row>
    <row r="6" customFormat="false" ht="39" hidden="false" customHeight="true" outlineLevel="0" collapsed="false">
      <c r="A6" s="4" t="s">
        <v>2168</v>
      </c>
      <c r="B6" s="4"/>
      <c r="C6" s="4" t="s">
        <v>2169</v>
      </c>
      <c r="D6" s="13"/>
      <c r="E6" s="13"/>
    </row>
    <row r="7" customFormat="false" ht="51.75" hidden="false" customHeight="true" outlineLevel="0" collapsed="false">
      <c r="A7" s="4" t="s">
        <v>2170</v>
      </c>
      <c r="B7" s="4" t="s">
        <v>2171</v>
      </c>
      <c r="C7" s="4" t="s">
        <v>2172</v>
      </c>
      <c r="D7" s="13"/>
      <c r="E7" s="13"/>
    </row>
    <row r="8" customFormat="false" ht="25.5" hidden="false" customHeight="true" outlineLevel="0" collapsed="false">
      <c r="A8" s="4" t="s">
        <v>2173</v>
      </c>
      <c r="B8" s="4"/>
      <c r="C8" s="4" t="s">
        <v>2174</v>
      </c>
      <c r="D8" s="13"/>
      <c r="E8" s="13"/>
    </row>
    <row r="10" customFormat="false" ht="15" hidden="false" customHeight="false" outlineLevel="0" collapsed="false">
      <c r="A10" s="3" t="s">
        <v>2175</v>
      </c>
    </row>
    <row r="11" customFormat="false" ht="15" hidden="false" customHeight="false" outlineLevel="0" collapsed="false">
      <c r="A11" s="17"/>
      <c r="B11" s="17"/>
      <c r="C11" s="17"/>
      <c r="D11" s="17"/>
      <c r="E11" s="17"/>
    </row>
    <row r="12" customFormat="false" ht="15" hidden="false" customHeight="false" outlineLevel="0" collapsed="false">
      <c r="A12" s="17"/>
      <c r="B12" s="17"/>
      <c r="C12" s="17"/>
      <c r="D12" s="17"/>
      <c r="E12" s="17"/>
    </row>
    <row r="13" customFormat="false" ht="15" hidden="false" customHeight="false" outlineLevel="0" collapsed="false">
      <c r="A13" s="17"/>
      <c r="B13" s="17"/>
      <c r="C13" s="17"/>
      <c r="D13" s="17"/>
      <c r="E13" s="17"/>
    </row>
    <row r="14" customFormat="false" ht="15" hidden="false" customHeight="false" outlineLevel="0" collapsed="false">
      <c r="A14" s="17"/>
      <c r="B14" s="17"/>
      <c r="C14" s="17"/>
      <c r="D14" s="17"/>
      <c r="E14" s="17"/>
    </row>
    <row r="15" customFormat="false" ht="15" hidden="false" customHeight="false" outlineLevel="0" collapsed="false">
      <c r="A15" s="17"/>
      <c r="B15" s="17"/>
      <c r="C15" s="17"/>
      <c r="D15" s="17"/>
      <c r="E15" s="17"/>
    </row>
    <row r="16" customFormat="false" ht="15" hidden="false" customHeight="false" outlineLevel="0" collapsed="false">
      <c r="A16" s="17"/>
      <c r="B16" s="17"/>
      <c r="C16" s="17"/>
      <c r="D16" s="17"/>
      <c r="E16"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2026-09-20T16:40:09Z</dcterms:created>
  <dc:creator>openpyxl</dc:creator>
  <dc:description/>
  <dc:language>en-US</dc:language>
  <cp:lastModifiedBy/>
  <dcterms:modified xsi:type="dcterms:W3CDTF">2026-09-20T16:40:09Z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